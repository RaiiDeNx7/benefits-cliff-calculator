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3139404366596c08/Desktop/Benefits Cliff Calculator/Cliff App/Test Cases/"/>
    </mc:Choice>
  </mc:AlternateContent>
  <xr:revisionPtr revIDLastSave="29" documentId="13_ncr:1_{4C21D046-854B-45ED-82ED-8B367B0B1D58}" xr6:coauthVersionLast="47" xr6:coauthVersionMax="47" xr10:uidLastSave="{51CAE3EE-0FAB-44BC-A377-DBC352EBA08B}"/>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G70" i="13" s="1"/>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75" i="3"/>
  <c r="E97" i="3"/>
  <c r="E137" i="3"/>
  <c r="E177" i="3"/>
  <c r="E151" i="3"/>
  <c r="E132" i="3"/>
  <c r="E16" i="3"/>
  <c r="E96" i="3"/>
  <c r="E116" i="3"/>
  <c r="E136" i="3"/>
  <c r="E156" i="3"/>
  <c r="E176" i="3"/>
  <c r="E77" i="3"/>
  <c r="E197" i="3"/>
  <c r="E207" i="3"/>
  <c r="E68" i="3"/>
  <c r="E109" i="3"/>
  <c r="E30" i="3"/>
  <c r="E31" i="3"/>
  <c r="E92" i="3"/>
  <c r="E93" i="3"/>
  <c r="E74" i="3"/>
  <c r="E194" i="3"/>
  <c r="E188" i="3"/>
  <c r="E18" i="3"/>
  <c r="E78" i="3"/>
  <c r="E118" i="3"/>
  <c r="E138" i="3"/>
  <c r="E158" i="3"/>
  <c r="E178" i="3"/>
  <c r="E124" i="3"/>
  <c r="E208" i="3"/>
  <c r="E189" i="3"/>
  <c r="E191" i="3"/>
  <c r="E11" i="3"/>
  <c r="E19" i="3"/>
  <c r="E59" i="3"/>
  <c r="E99" i="3"/>
  <c r="E139" i="3"/>
  <c r="E159" i="3"/>
  <c r="E199" i="3"/>
  <c r="E144" i="3"/>
  <c r="E148" i="3"/>
  <c r="E33" i="3"/>
  <c r="E20" i="3"/>
  <c r="E40" i="3"/>
  <c r="E60" i="3"/>
  <c r="E80" i="3"/>
  <c r="E120" i="3"/>
  <c r="E160" i="3"/>
  <c r="E180" i="3"/>
  <c r="E200" i="3"/>
  <c r="E107" i="3"/>
  <c r="E209" i="3"/>
  <c r="E21" i="3"/>
  <c r="E61" i="3"/>
  <c r="E81" i="3"/>
  <c r="E101" i="3"/>
  <c r="E121" i="3"/>
  <c r="E141" i="3"/>
  <c r="E181" i="3"/>
  <c r="E204" i="3"/>
  <c r="E187" i="3"/>
  <c r="E169" i="3"/>
  <c r="E173" i="3"/>
  <c r="E22" i="3"/>
  <c r="E82" i="3"/>
  <c r="E142" i="3"/>
  <c r="E162" i="3"/>
  <c r="E182" i="3"/>
  <c r="E202" i="3"/>
  <c r="E84" i="3"/>
  <c r="E108" i="3"/>
  <c r="E130" i="3"/>
  <c r="E131" i="3"/>
  <c r="E52" i="3"/>
  <c r="E172" i="3"/>
  <c r="E133" i="3"/>
  <c r="E174" i="3"/>
  <c r="E63" i="3"/>
  <c r="E103" i="3"/>
  <c r="E123" i="3"/>
  <c r="E143" i="3"/>
  <c r="E163" i="3"/>
  <c r="E203" i="3"/>
  <c r="E126" i="3"/>
  <c r="E127" i="3"/>
  <c r="E128" i="3"/>
  <c r="E69" i="3"/>
  <c r="E110" i="3"/>
  <c r="E32" i="3"/>
  <c r="E153" i="3"/>
  <c r="E24" i="3"/>
  <c r="E64" i="3"/>
  <c r="E184" i="3"/>
  <c r="E47" i="3"/>
  <c r="E168" i="3"/>
  <c r="E70" i="3"/>
  <c r="E9" i="3"/>
  <c r="E91" i="3"/>
  <c r="E72" i="3"/>
  <c r="E113" i="3"/>
  <c r="E25" i="3"/>
  <c r="E65" i="3"/>
  <c r="E85" i="3"/>
  <c r="E105" i="3"/>
  <c r="E145" i="3"/>
  <c r="E165" i="3"/>
  <c r="E46" i="3"/>
  <c r="E106" i="3"/>
  <c r="E186" i="3"/>
  <c r="E206" i="3"/>
  <c r="E167" i="3"/>
  <c r="E170" i="3"/>
  <c r="E26" i="3"/>
  <c r="E166" i="3"/>
  <c r="E67" i="3"/>
  <c r="E88" i="3"/>
  <c r="E129" i="3"/>
  <c r="E90" i="3"/>
  <c r="E73"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134" i="13"/>
  <c r="G80" i="13"/>
  <c r="G196" i="13"/>
  <c r="G91" i="13"/>
  <c r="G180" i="13"/>
  <c r="G17" i="13"/>
  <c r="G43" i="13"/>
  <c r="G100" i="13"/>
  <c r="G109" i="13"/>
  <c r="G169" i="13"/>
  <c r="G50" i="13"/>
  <c r="G189" i="13"/>
  <c r="G79" i="13"/>
  <c r="G40" i="13"/>
  <c r="G127" i="13"/>
  <c r="G126" i="13"/>
  <c r="G23" i="13"/>
  <c r="G42" i="13"/>
  <c r="G38" i="13"/>
  <c r="G52" i="13"/>
  <c r="G31" i="13"/>
  <c r="G8" i="13"/>
  <c r="G12" i="13"/>
  <c r="G142" i="13"/>
  <c r="G204" i="13"/>
  <c r="G194" i="13"/>
  <c r="G103" i="13"/>
  <c r="G155" i="13"/>
  <c r="G210" i="13"/>
  <c r="G201" i="13"/>
  <c r="G97" i="13"/>
  <c r="G165" i="13"/>
  <c r="G33" i="13"/>
  <c r="G63" i="13"/>
  <c r="G94" i="13"/>
  <c r="G72" i="13"/>
  <c r="G102" i="13"/>
  <c r="G179" i="13"/>
  <c r="G28" i="13"/>
  <c r="G154" i="13"/>
  <c r="G157" i="13"/>
  <c r="G7" i="13"/>
  <c r="G150" i="13"/>
  <c r="G62" i="13"/>
  <c r="G32" i="13"/>
  <c r="G106" i="13"/>
  <c r="G104" i="13"/>
  <c r="G99" i="13"/>
  <c r="G182"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M10" i="4"/>
  <c r="O10" i="4" s="1"/>
  <c r="D18" i="14"/>
  <c r="N5" i="14"/>
  <c r="M6" i="14"/>
  <c r="M5" i="14"/>
  <c r="N3" i="14"/>
  <c r="M4" i="14"/>
  <c r="M7" i="14"/>
  <c r="M3" i="14"/>
  <c r="N2" i="14"/>
  <c r="N6" i="14"/>
  <c r="E214" i="3" l="1"/>
  <c r="G191" i="13"/>
  <c r="G53" i="13"/>
  <c r="G19" i="13"/>
  <c r="G83" i="13"/>
  <c r="G61" i="13"/>
  <c r="G162" i="13"/>
  <c r="G118" i="13"/>
  <c r="G6" i="13"/>
  <c r="G172" i="13"/>
  <c r="E34" i="3"/>
  <c r="E86" i="3"/>
  <c r="E66" i="3"/>
  <c r="E45" i="3"/>
  <c r="E29" i="3"/>
  <c r="E152" i="3"/>
  <c r="E44" i="3"/>
  <c r="E43" i="3"/>
  <c r="E49" i="3"/>
  <c r="E122" i="3"/>
  <c r="E201" i="3"/>
  <c r="E41" i="3"/>
  <c r="E140" i="3"/>
  <c r="F140" i="3" s="1"/>
  <c r="E192" i="3"/>
  <c r="E79" i="3"/>
  <c r="E147" i="3"/>
  <c r="E58" i="3"/>
  <c r="E171" i="3"/>
  <c r="E157" i="3"/>
  <c r="E76" i="3"/>
  <c r="E195" i="3"/>
  <c r="L195" i="3" s="1"/>
  <c r="G192" i="13"/>
  <c r="G145" i="13"/>
  <c r="G108" i="13"/>
  <c r="G13" i="13"/>
  <c r="G5" i="13"/>
  <c r="G73" i="13"/>
  <c r="G171" i="13"/>
  <c r="G147" i="13"/>
  <c r="E112" i="3"/>
  <c r="E14" i="3"/>
  <c r="E205" i="3"/>
  <c r="E134" i="3"/>
  <c r="E28" i="3"/>
  <c r="E111" i="3"/>
  <c r="E183" i="3"/>
  <c r="E54" i="3"/>
  <c r="E146" i="3"/>
  <c r="E62" i="3"/>
  <c r="E161" i="3"/>
  <c r="E10" i="3"/>
  <c r="E100" i="3"/>
  <c r="E87" i="3"/>
  <c r="E39" i="3"/>
  <c r="E198" i="3"/>
  <c r="F198" i="3" s="1"/>
  <c r="E13" i="3"/>
  <c r="E150" i="3"/>
  <c r="E37" i="3"/>
  <c r="E114" i="3"/>
  <c r="E155"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L140" i="3"/>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J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J195" i="3"/>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M195" i="3" l="1"/>
  <c r="K195" i="3"/>
  <c r="P203" i="14" s="1"/>
  <c r="L198" i="3"/>
  <c r="K140" i="3"/>
  <c r="P148" i="14" s="1"/>
  <c r="F195" i="3"/>
  <c r="M198" i="3"/>
  <c r="G140" i="3"/>
  <c r="O148" i="14" s="1"/>
  <c r="K148" i="14" s="1"/>
  <c r="G198" i="3"/>
  <c r="O206" i="14" s="1"/>
  <c r="M140" i="3"/>
  <c r="G195" i="3"/>
  <c r="O203" i="14" s="1"/>
  <c r="K198" i="3"/>
  <c r="P206" i="14" s="1"/>
  <c r="J140" i="3"/>
  <c r="L193" i="3"/>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L157" i="14" s="1"/>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5" i="13" l="1"/>
  <c r="R103" i="13"/>
  <c r="R86" i="13"/>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<sst xmlns="http://schemas.openxmlformats.org/spreadsheetml/2006/main" count="1202" uniqueCount="742">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</sst>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$500.00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8828.5490000000009</c:v>
                </c:pt>
                <c:pt idx="1">
                  <c:v>9328.5490000000009</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$500.00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8828.5490000000009</c:v>
                </c:pt>
                <c:pt idx="1">
                  <c:v>9328.5490000000009</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32400</c:v>
                </c:pt>
                <c:pt idx="1">
                  <c:v>32375</c:v>
                </c:pt>
                <c:pt idx="2">
                  <c:v>32350</c:v>
                </c:pt>
                <c:pt idx="3">
                  <c:v>32325</c:v>
                </c:pt>
                <c:pt idx="4">
                  <c:v>32300</c:v>
                </c:pt>
                <c:pt idx="5">
                  <c:v>32275</c:v>
                </c:pt>
                <c:pt idx="6">
                  <c:v>32250</c:v>
                </c:pt>
                <c:pt idx="7">
                  <c:v>32225</c:v>
                </c:pt>
                <c:pt idx="8">
                  <c:v>32200</c:v>
                </c:pt>
                <c:pt idx="9">
                  <c:v>32175</c:v>
                </c:pt>
                <c:pt idx="10">
                  <c:v>32150</c:v>
                </c:pt>
                <c:pt idx="11">
                  <c:v>32125</c:v>
                </c:pt>
                <c:pt idx="12">
                  <c:v>32100</c:v>
                </c:pt>
                <c:pt idx="13">
                  <c:v>32075</c:v>
                </c:pt>
                <c:pt idx="14">
                  <c:v>32050</c:v>
                </c:pt>
                <c:pt idx="15">
                  <c:v>32025</c:v>
                </c:pt>
                <c:pt idx="16">
                  <c:v>32000</c:v>
                </c:pt>
                <c:pt idx="17">
                  <c:v>31975</c:v>
                </c:pt>
                <c:pt idx="18">
                  <c:v>31950</c:v>
                </c:pt>
                <c:pt idx="19">
                  <c:v>31925</c:v>
                </c:pt>
                <c:pt idx="20">
                  <c:v>31900</c:v>
                </c:pt>
                <c:pt idx="21">
                  <c:v>31875</c:v>
                </c:pt>
                <c:pt idx="22">
                  <c:v>31860</c:v>
                </c:pt>
                <c:pt idx="23">
                  <c:v>31860</c:v>
                </c:pt>
                <c:pt idx="24">
                  <c:v>31860</c:v>
                </c:pt>
                <c:pt idx="25">
                  <c:v>31860</c:v>
                </c:pt>
                <c:pt idx="26">
                  <c:v>31860</c:v>
                </c:pt>
                <c:pt idx="27">
                  <c:v>31860</c:v>
                </c:pt>
                <c:pt idx="28">
                  <c:v>31860</c:v>
                </c:pt>
                <c:pt idx="29">
                  <c:v>31860</c:v>
                </c:pt>
                <c:pt idx="30">
                  <c:v>31860</c:v>
                </c:pt>
                <c:pt idx="31">
                  <c:v>31860</c:v>
                </c:pt>
                <c:pt idx="32">
                  <c:v>31860</c:v>
                </c:pt>
                <c:pt idx="33">
                  <c:v>31860</c:v>
                </c:pt>
                <c:pt idx="34">
                  <c:v>31860</c:v>
                </c:pt>
                <c:pt idx="35">
                  <c:v>31860</c:v>
                </c:pt>
                <c:pt idx="36">
                  <c:v>31860</c:v>
                </c:pt>
                <c:pt idx="37">
                  <c:v>31860</c:v>
                </c:pt>
                <c:pt idx="38">
                  <c:v>31860</c:v>
                </c:pt>
                <c:pt idx="39">
                  <c:v>31860</c:v>
                </c:pt>
                <c:pt idx="40">
                  <c:v>31860</c:v>
                </c:pt>
                <c:pt idx="41">
                  <c:v>31860</c:v>
                </c:pt>
                <c:pt idx="42">
                  <c:v>31860</c:v>
                </c:pt>
                <c:pt idx="43">
                  <c:v>31860</c:v>
                </c:pt>
                <c:pt idx="44">
                  <c:v>31860</c:v>
                </c:pt>
                <c:pt idx="45">
                  <c:v>31860</c:v>
                </c:pt>
                <c:pt idx="46">
                  <c:v>31860</c:v>
                </c:pt>
                <c:pt idx="47">
                  <c:v>31860</c:v>
                </c:pt>
                <c:pt idx="48">
                  <c:v>31860</c:v>
                </c:pt>
                <c:pt idx="49">
                  <c:v>31860</c:v>
                </c:pt>
                <c:pt idx="50">
                  <c:v>31860</c:v>
                </c:pt>
                <c:pt idx="51">
                  <c:v>31860</c:v>
                </c:pt>
                <c:pt idx="52">
                  <c:v>31860</c:v>
                </c:pt>
                <c:pt idx="53">
                  <c:v>31860</c:v>
                </c:pt>
                <c:pt idx="54">
                  <c:v>31860</c:v>
                </c:pt>
                <c:pt idx="55">
                  <c:v>31860</c:v>
                </c:pt>
                <c:pt idx="56">
                  <c:v>31860</c:v>
                </c:pt>
                <c:pt idx="57">
                  <c:v>31860</c:v>
                </c:pt>
                <c:pt idx="58">
                  <c:v>31860</c:v>
                </c:pt>
                <c:pt idx="59">
                  <c:v>31860</c:v>
                </c:pt>
                <c:pt idx="60">
                  <c:v>31860</c:v>
                </c:pt>
                <c:pt idx="61">
                  <c:v>31860</c:v>
                </c:pt>
                <c:pt idx="62">
                  <c:v>31860</c:v>
                </c:pt>
                <c:pt idx="63">
                  <c:v>31860</c:v>
                </c:pt>
                <c:pt idx="64">
                  <c:v>31860</c:v>
                </c:pt>
                <c:pt idx="65">
                  <c:v>31860</c:v>
                </c:pt>
                <c:pt idx="66">
                  <c:v>31860</c:v>
                </c:pt>
                <c:pt idx="67">
                  <c:v>31860</c:v>
                </c:pt>
                <c:pt idx="68">
                  <c:v>31860</c:v>
                </c:pt>
                <c:pt idx="69">
                  <c:v>31860</c:v>
                </c:pt>
                <c:pt idx="70">
                  <c:v>31860</c:v>
                </c:pt>
                <c:pt idx="71">
                  <c:v>31860</c:v>
                </c:pt>
                <c:pt idx="72">
                  <c:v>31860</c:v>
                </c:pt>
                <c:pt idx="73">
                  <c:v>31860</c:v>
                </c:pt>
                <c:pt idx="74">
                  <c:v>31860</c:v>
                </c:pt>
                <c:pt idx="75">
                  <c:v>31860</c:v>
                </c:pt>
                <c:pt idx="76">
                  <c:v>31860</c:v>
                </c:pt>
                <c:pt idx="77">
                  <c:v>31860</c:v>
                </c:pt>
                <c:pt idx="78">
                  <c:v>31860</c:v>
                </c:pt>
                <c:pt idx="79">
                  <c:v>31860</c:v>
                </c:pt>
                <c:pt idx="80">
                  <c:v>31860</c:v>
                </c:pt>
                <c:pt idx="81">
                  <c:v>31860</c:v>
                </c:pt>
                <c:pt idx="82">
                  <c:v>31860</c:v>
                </c:pt>
                <c:pt idx="83">
                  <c:v>31860</c:v>
                </c:pt>
                <c:pt idx="84">
                  <c:v>31860</c:v>
                </c:pt>
                <c:pt idx="85">
                  <c:v>31860</c:v>
                </c:pt>
                <c:pt idx="86">
                  <c:v>31860</c:v>
                </c:pt>
                <c:pt idx="87">
                  <c:v>31860</c:v>
                </c:pt>
                <c:pt idx="88">
                  <c:v>31860</c:v>
                </c:pt>
                <c:pt idx="89">
                  <c:v>31860</c:v>
                </c:pt>
                <c:pt idx="90">
                  <c:v>31860</c:v>
                </c:pt>
                <c:pt idx="91">
                  <c:v>31860</c:v>
                </c:pt>
                <c:pt idx="92">
                  <c:v>31860</c:v>
                </c:pt>
                <c:pt idx="93">
                  <c:v>31860</c:v>
                </c:pt>
                <c:pt idx="94">
                  <c:v>31860</c:v>
                </c:pt>
                <c:pt idx="95">
                  <c:v>31860</c:v>
                </c:pt>
                <c:pt idx="96">
                  <c:v>31860</c:v>
                </c:pt>
                <c:pt idx="97">
                  <c:v>31860</c:v>
                </c:pt>
                <c:pt idx="98">
                  <c:v>31860</c:v>
                </c:pt>
                <c:pt idx="99">
                  <c:v>31860</c:v>
                </c:pt>
                <c:pt idx="100">
                  <c:v>31860</c:v>
                </c:pt>
                <c:pt idx="101">
                  <c:v>29875</c:v>
                </c:pt>
                <c:pt idx="102">
                  <c:v>29850</c:v>
                </c:pt>
                <c:pt idx="103">
                  <c:v>29825</c:v>
                </c:pt>
                <c:pt idx="104">
                  <c:v>29800</c:v>
                </c:pt>
                <c:pt idx="105">
                  <c:v>29775</c:v>
                </c:pt>
                <c:pt idx="106">
                  <c:v>29750</c:v>
                </c:pt>
                <c:pt idx="107">
                  <c:v>29725</c:v>
                </c:pt>
                <c:pt idx="108">
                  <c:v>29700</c:v>
                </c:pt>
                <c:pt idx="109">
                  <c:v>29675</c:v>
                </c:pt>
                <c:pt idx="110">
                  <c:v>29650</c:v>
                </c:pt>
                <c:pt idx="111">
                  <c:v>29625</c:v>
                </c:pt>
                <c:pt idx="112">
                  <c:v>29600</c:v>
                </c:pt>
                <c:pt idx="113">
                  <c:v>29575</c:v>
                </c:pt>
                <c:pt idx="114">
                  <c:v>29550</c:v>
                </c:pt>
                <c:pt idx="115">
                  <c:v>29525</c:v>
                </c:pt>
                <c:pt idx="116">
                  <c:v>29500</c:v>
                </c:pt>
                <c:pt idx="117">
                  <c:v>29475</c:v>
                </c:pt>
                <c:pt idx="118">
                  <c:v>29450</c:v>
                </c:pt>
                <c:pt idx="119">
                  <c:v>29425</c:v>
                </c:pt>
                <c:pt idx="120">
                  <c:v>29400</c:v>
                </c:pt>
                <c:pt idx="121">
                  <c:v>29375</c:v>
                </c:pt>
                <c:pt idx="122">
                  <c:v>29350</c:v>
                </c:pt>
                <c:pt idx="123">
                  <c:v>29325</c:v>
                </c:pt>
                <c:pt idx="124">
                  <c:v>29300</c:v>
                </c:pt>
                <c:pt idx="125">
                  <c:v>29275</c:v>
                </c:pt>
                <c:pt idx="126">
                  <c:v>29250</c:v>
                </c:pt>
                <c:pt idx="127">
                  <c:v>29225</c:v>
                </c:pt>
                <c:pt idx="128">
                  <c:v>29200</c:v>
                </c:pt>
                <c:pt idx="129">
                  <c:v>29175</c:v>
                </c:pt>
                <c:pt idx="130">
                  <c:v>29150</c:v>
                </c:pt>
                <c:pt idx="131">
                  <c:v>29125</c:v>
                </c:pt>
                <c:pt idx="132">
                  <c:v>29100</c:v>
                </c:pt>
                <c:pt idx="133">
                  <c:v>29075</c:v>
                </c:pt>
                <c:pt idx="134">
                  <c:v>29050</c:v>
                </c:pt>
                <c:pt idx="135">
                  <c:v>29025</c:v>
                </c:pt>
                <c:pt idx="136">
                  <c:v>29000</c:v>
                </c:pt>
                <c:pt idx="137">
                  <c:v>28975</c:v>
                </c:pt>
                <c:pt idx="138">
                  <c:v>28950</c:v>
                </c:pt>
                <c:pt idx="139">
                  <c:v>28925</c:v>
                </c:pt>
                <c:pt idx="140">
                  <c:v>28900</c:v>
                </c:pt>
                <c:pt idx="141">
                  <c:v>28875</c:v>
                </c:pt>
                <c:pt idx="142">
                  <c:v>28850</c:v>
                </c:pt>
                <c:pt idx="143">
                  <c:v>28825</c:v>
                </c:pt>
                <c:pt idx="144">
                  <c:v>28800</c:v>
                </c:pt>
                <c:pt idx="145">
                  <c:v>28775</c:v>
                </c:pt>
                <c:pt idx="146">
                  <c:v>28750</c:v>
                </c:pt>
                <c:pt idx="147">
                  <c:v>28725</c:v>
                </c:pt>
                <c:pt idx="148">
                  <c:v>28700</c:v>
                </c:pt>
                <c:pt idx="149">
                  <c:v>28675</c:v>
                </c:pt>
                <c:pt idx="150">
                  <c:v>28650</c:v>
                </c:pt>
                <c:pt idx="151">
                  <c:v>28625</c:v>
                </c:pt>
                <c:pt idx="152">
                  <c:v>28600</c:v>
                </c:pt>
                <c:pt idx="153">
                  <c:v>28575</c:v>
                </c:pt>
                <c:pt idx="154">
                  <c:v>28550</c:v>
                </c:pt>
                <c:pt idx="155">
                  <c:v>28525</c:v>
                </c:pt>
                <c:pt idx="156">
                  <c:v>28500</c:v>
                </c:pt>
                <c:pt idx="157">
                  <c:v>28475</c:v>
                </c:pt>
                <c:pt idx="158">
                  <c:v>28450</c:v>
                </c:pt>
                <c:pt idx="159">
                  <c:v>28425</c:v>
                </c:pt>
                <c:pt idx="160">
                  <c:v>28400</c:v>
                </c:pt>
                <c:pt idx="161">
                  <c:v>28375</c:v>
                </c:pt>
                <c:pt idx="162">
                  <c:v>28350</c:v>
                </c:pt>
                <c:pt idx="163">
                  <c:v>28325</c:v>
                </c:pt>
                <c:pt idx="164">
                  <c:v>28300</c:v>
                </c:pt>
                <c:pt idx="165">
                  <c:v>28275</c:v>
                </c:pt>
                <c:pt idx="166">
                  <c:v>28250</c:v>
                </c:pt>
                <c:pt idx="167">
                  <c:v>28225</c:v>
                </c:pt>
                <c:pt idx="168">
                  <c:v>28200</c:v>
                </c:pt>
                <c:pt idx="169">
                  <c:v>28175</c:v>
                </c:pt>
                <c:pt idx="170">
                  <c:v>28150</c:v>
                </c:pt>
                <c:pt idx="171">
                  <c:v>28125</c:v>
                </c:pt>
                <c:pt idx="172">
                  <c:v>28100</c:v>
                </c:pt>
                <c:pt idx="173">
                  <c:v>28075</c:v>
                </c:pt>
                <c:pt idx="174">
                  <c:v>28050</c:v>
                </c:pt>
                <c:pt idx="175">
                  <c:v>28025</c:v>
                </c:pt>
                <c:pt idx="176">
                  <c:v>28000</c:v>
                </c:pt>
                <c:pt idx="177">
                  <c:v>27975</c:v>
                </c:pt>
                <c:pt idx="178">
                  <c:v>27950</c:v>
                </c:pt>
                <c:pt idx="179">
                  <c:v>27925</c:v>
                </c:pt>
                <c:pt idx="180">
                  <c:v>27900</c:v>
                </c:pt>
                <c:pt idx="181">
                  <c:v>27875</c:v>
                </c:pt>
                <c:pt idx="182">
                  <c:v>27850</c:v>
                </c:pt>
                <c:pt idx="183">
                  <c:v>27825</c:v>
                </c:pt>
                <c:pt idx="184">
                  <c:v>27800</c:v>
                </c:pt>
                <c:pt idx="185">
                  <c:v>27775</c:v>
                </c:pt>
                <c:pt idx="186">
                  <c:v>27750</c:v>
                </c:pt>
                <c:pt idx="187">
                  <c:v>27725</c:v>
                </c:pt>
                <c:pt idx="188">
                  <c:v>27700</c:v>
                </c:pt>
                <c:pt idx="189">
                  <c:v>27675</c:v>
                </c:pt>
                <c:pt idx="190">
                  <c:v>27650</c:v>
                </c:pt>
                <c:pt idx="191">
                  <c:v>27625</c:v>
                </c:pt>
                <c:pt idx="192">
                  <c:v>27600</c:v>
                </c:pt>
                <c:pt idx="193">
                  <c:v>27575</c:v>
                </c:pt>
                <c:pt idx="194">
                  <c:v>27550</c:v>
                </c:pt>
                <c:pt idx="195">
                  <c:v>27525</c:v>
                </c:pt>
                <c:pt idx="196">
                  <c:v>27500</c:v>
                </c:pt>
                <c:pt idx="197">
                  <c:v>27474.999999999996</c:v>
                </c:pt>
                <c:pt idx="198">
                  <c:v>27450</c:v>
                </c:pt>
                <c:pt idx="199">
                  <c:v>27425</c:v>
                </c:pt>
                <c:pt idx="200">
                  <c:v>25400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6924</c:v>
                </c:pt>
                <c:pt idx="1">
                  <c:v>6924</c:v>
                </c:pt>
                <c:pt idx="2">
                  <c:v>6924</c:v>
                </c:pt>
                <c:pt idx="3">
                  <c:v>6924</c:v>
                </c:pt>
                <c:pt idx="4">
                  <c:v>6924</c:v>
                </c:pt>
                <c:pt idx="5">
                  <c:v>6924</c:v>
                </c:pt>
                <c:pt idx="6">
                  <c:v>6664.7999999999993</c:v>
                </c:pt>
                <c:pt idx="7">
                  <c:v>6264.7999999999993</c:v>
                </c:pt>
                <c:pt idx="8">
                  <c:v>5864.8</c:v>
                </c:pt>
                <c:pt idx="9">
                  <c:v>5464.7999999999993</c:v>
                </c:pt>
                <c:pt idx="10">
                  <c:v>5064.8</c:v>
                </c:pt>
                <c:pt idx="11">
                  <c:v>4664.8</c:v>
                </c:pt>
                <c:pt idx="12">
                  <c:v>4264.7999999999993</c:v>
                </c:pt>
                <c:pt idx="13">
                  <c:v>3864.8000000000006</c:v>
                </c:pt>
                <c:pt idx="14">
                  <c:v>3464.7999999999993</c:v>
                </c:pt>
                <c:pt idx="15">
                  <c:v>3064.7999999999997</c:v>
                </c:pt>
                <c:pt idx="16">
                  <c:v>2664.8000000000006</c:v>
                </c:pt>
                <c:pt idx="17">
                  <c:v>2264.7999999999993</c:v>
                </c:pt>
                <c:pt idx="18">
                  <c:v>1864.7999999999997</c:v>
                </c:pt>
                <c:pt idx="19">
                  <c:v>1464.8000000000006</c:v>
                </c:pt>
                <c:pt idx="20">
                  <c:v>1064.7999999999995</c:v>
                </c:pt>
                <c:pt idx="21">
                  <c:v>664.79999999999973</c:v>
                </c:pt>
                <c:pt idx="22">
                  <c:v>264.80000000000064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18060</c:v>
                </c:pt>
                <c:pt idx="1">
                  <c:v>17880</c:v>
                </c:pt>
                <c:pt idx="2">
                  <c:v>17700</c:v>
                </c:pt>
                <c:pt idx="3">
                  <c:v>17520</c:v>
                </c:pt>
                <c:pt idx="4">
                  <c:v>17340</c:v>
                </c:pt>
                <c:pt idx="5">
                  <c:v>17160</c:v>
                </c:pt>
                <c:pt idx="6">
                  <c:v>17100</c:v>
                </c:pt>
                <c:pt idx="7">
                  <c:v>17100</c:v>
                </c:pt>
                <c:pt idx="8">
                  <c:v>17100</c:v>
                </c:pt>
                <c:pt idx="9">
                  <c:v>17100</c:v>
                </c:pt>
                <c:pt idx="10">
                  <c:v>17100</c:v>
                </c:pt>
                <c:pt idx="11">
                  <c:v>17100</c:v>
                </c:pt>
                <c:pt idx="12">
                  <c:v>17100</c:v>
                </c:pt>
                <c:pt idx="13">
                  <c:v>17100</c:v>
                </c:pt>
                <c:pt idx="14">
                  <c:v>17100</c:v>
                </c:pt>
                <c:pt idx="15">
                  <c:v>17100</c:v>
                </c:pt>
                <c:pt idx="16">
                  <c:v>17100</c:v>
                </c:pt>
                <c:pt idx="17">
                  <c:v>17100</c:v>
                </c:pt>
                <c:pt idx="18">
                  <c:v>17100</c:v>
                </c:pt>
                <c:pt idx="19">
                  <c:v>17100</c:v>
                </c:pt>
                <c:pt idx="20">
                  <c:v>17100</c:v>
                </c:pt>
                <c:pt idx="21">
                  <c:v>17100</c:v>
                </c:pt>
                <c:pt idx="22">
                  <c:v>17100</c:v>
                </c:pt>
                <c:pt idx="23">
                  <c:v>17040</c:v>
                </c:pt>
                <c:pt idx="24">
                  <c:v>16860</c:v>
                </c:pt>
                <c:pt idx="25">
                  <c:v>16680</c:v>
                </c:pt>
                <c:pt idx="26">
                  <c:v>16500</c:v>
                </c:pt>
                <c:pt idx="27">
                  <c:v>16320</c:v>
                </c:pt>
                <c:pt idx="28">
                  <c:v>16140</c:v>
                </c:pt>
                <c:pt idx="29">
                  <c:v>15960</c:v>
                </c:pt>
                <c:pt idx="30">
                  <c:v>15780</c:v>
                </c:pt>
                <c:pt idx="31">
                  <c:v>15600</c:v>
                </c:pt>
                <c:pt idx="32">
                  <c:v>15420</c:v>
                </c:pt>
                <c:pt idx="33">
                  <c:v>15240</c:v>
                </c:pt>
                <c:pt idx="34">
                  <c:v>15120</c:v>
                </c:pt>
                <c:pt idx="35">
                  <c:v>15000</c:v>
                </c:pt>
                <c:pt idx="36">
                  <c:v>14880</c:v>
                </c:pt>
                <c:pt idx="37">
                  <c:v>14760</c:v>
                </c:pt>
                <c:pt idx="38">
                  <c:v>14640</c:v>
                </c:pt>
                <c:pt idx="39">
                  <c:v>14520</c:v>
                </c:pt>
                <c:pt idx="40">
                  <c:v>14400</c:v>
                </c:pt>
                <c:pt idx="41">
                  <c:v>14280</c:v>
                </c:pt>
                <c:pt idx="42">
                  <c:v>14160</c:v>
                </c:pt>
                <c:pt idx="43">
                  <c:v>14040</c:v>
                </c:pt>
                <c:pt idx="44">
                  <c:v>13920</c:v>
                </c:pt>
                <c:pt idx="45">
                  <c:v>13800</c:v>
                </c:pt>
                <c:pt idx="46">
                  <c:v>13680</c:v>
                </c:pt>
                <c:pt idx="47">
                  <c:v>13560</c:v>
                </c:pt>
                <c:pt idx="48">
                  <c:v>13440</c:v>
                </c:pt>
                <c:pt idx="49">
                  <c:v>13320</c:v>
                </c:pt>
                <c:pt idx="50">
                  <c:v>13200</c:v>
                </c:pt>
                <c:pt idx="51">
                  <c:v>13080</c:v>
                </c:pt>
                <c:pt idx="52">
                  <c:v>12960</c:v>
                </c:pt>
                <c:pt idx="53">
                  <c:v>12840</c:v>
                </c:pt>
                <c:pt idx="54">
                  <c:v>12720</c:v>
                </c:pt>
                <c:pt idx="55">
                  <c:v>12600</c:v>
                </c:pt>
                <c:pt idx="56">
                  <c:v>12480</c:v>
                </c:pt>
                <c:pt idx="57">
                  <c:v>12360</c:v>
                </c:pt>
                <c:pt idx="58">
                  <c:v>12240</c:v>
                </c:pt>
                <c:pt idx="59">
                  <c:v>12120</c:v>
                </c:pt>
                <c:pt idx="60">
                  <c:v>12000</c:v>
                </c:pt>
                <c:pt idx="61">
                  <c:v>11880</c:v>
                </c:pt>
                <c:pt idx="62">
                  <c:v>11760</c:v>
                </c:pt>
                <c:pt idx="63">
                  <c:v>11640</c:v>
                </c:pt>
                <c:pt idx="64">
                  <c:v>11520</c:v>
                </c:pt>
                <c:pt idx="65">
                  <c:v>11400</c:v>
                </c:pt>
                <c:pt idx="66">
                  <c:v>11280</c:v>
                </c:pt>
                <c:pt idx="67">
                  <c:v>11160</c:v>
                </c:pt>
                <c:pt idx="68">
                  <c:v>11040</c:v>
                </c:pt>
                <c:pt idx="69">
                  <c:v>10920</c:v>
                </c:pt>
                <c:pt idx="70">
                  <c:v>10800</c:v>
                </c:pt>
                <c:pt idx="71">
                  <c:v>10680</c:v>
                </c:pt>
                <c:pt idx="72">
                  <c:v>10560</c:v>
                </c:pt>
                <c:pt idx="73">
                  <c:v>10440</c:v>
                </c:pt>
                <c:pt idx="74">
                  <c:v>10320</c:v>
                </c:pt>
                <c:pt idx="75">
                  <c:v>10200</c:v>
                </c:pt>
                <c:pt idx="76">
                  <c:v>10080</c:v>
                </c:pt>
                <c:pt idx="77">
                  <c:v>9960</c:v>
                </c:pt>
                <c:pt idx="78">
                  <c:v>9840</c:v>
                </c:pt>
                <c:pt idx="79">
                  <c:v>9720</c:v>
                </c:pt>
                <c:pt idx="80">
                  <c:v>9600</c:v>
                </c:pt>
                <c:pt idx="81">
                  <c:v>9480</c:v>
                </c:pt>
                <c:pt idx="82">
                  <c:v>9360</c:v>
                </c:pt>
                <c:pt idx="83">
                  <c:v>9240</c:v>
                </c:pt>
                <c:pt idx="84">
                  <c:v>9120</c:v>
                </c:pt>
                <c:pt idx="85">
                  <c:v>9000</c:v>
                </c:pt>
                <c:pt idx="86">
                  <c:v>8880</c:v>
                </c:pt>
                <c:pt idx="87">
                  <c:v>8760</c:v>
                </c:pt>
                <c:pt idx="88">
                  <c:v>8640</c:v>
                </c:pt>
                <c:pt idx="89">
                  <c:v>8520</c:v>
                </c:pt>
                <c:pt idx="90">
                  <c:v>8400</c:v>
                </c:pt>
                <c:pt idx="91">
                  <c:v>8280</c:v>
                </c:pt>
                <c:pt idx="92">
                  <c:v>8160</c:v>
                </c:pt>
                <c:pt idx="93">
                  <c:v>8040</c:v>
                </c:pt>
                <c:pt idx="94">
                  <c:v>7920</c:v>
                </c:pt>
                <c:pt idx="95">
                  <c:v>7800</c:v>
                </c:pt>
                <c:pt idx="96">
                  <c:v>7680</c:v>
                </c:pt>
                <c:pt idx="97">
                  <c:v>7560</c:v>
                </c:pt>
                <c:pt idx="98">
                  <c:v>7440</c:v>
                </c:pt>
                <c:pt idx="99">
                  <c:v>7320</c:v>
                </c:pt>
                <c:pt idx="100">
                  <c:v>7200</c:v>
                </c:pt>
                <c:pt idx="101">
                  <c:v>7080</c:v>
                </c:pt>
                <c:pt idx="102">
                  <c:v>6960</c:v>
                </c:pt>
                <c:pt idx="103">
                  <c:v>6840</c:v>
                </c:pt>
                <c:pt idx="104">
                  <c:v>6720</c:v>
                </c:pt>
                <c:pt idx="105">
                  <c:v>6600</c:v>
                </c:pt>
                <c:pt idx="106">
                  <c:v>6480</c:v>
                </c:pt>
                <c:pt idx="107">
                  <c:v>6360</c:v>
                </c:pt>
                <c:pt idx="108">
                  <c:v>6240</c:v>
                </c:pt>
                <c:pt idx="109">
                  <c:v>6120</c:v>
                </c:pt>
                <c:pt idx="110">
                  <c:v>6000</c:v>
                </c:pt>
                <c:pt idx="111">
                  <c:v>5880</c:v>
                </c:pt>
                <c:pt idx="112">
                  <c:v>5760</c:v>
                </c:pt>
                <c:pt idx="113">
                  <c:v>5640</c:v>
                </c:pt>
                <c:pt idx="114">
                  <c:v>5520</c:v>
                </c:pt>
                <c:pt idx="115">
                  <c:v>5400</c:v>
                </c:pt>
                <c:pt idx="116">
                  <c:v>5280</c:v>
                </c:pt>
                <c:pt idx="117">
                  <c:v>5160</c:v>
                </c:pt>
                <c:pt idx="118">
                  <c:v>5040</c:v>
                </c:pt>
                <c:pt idx="119">
                  <c:v>4920</c:v>
                </c:pt>
                <c:pt idx="120">
                  <c:v>4800</c:v>
                </c:pt>
                <c:pt idx="121">
                  <c:v>4680</c:v>
                </c:pt>
                <c:pt idx="122">
                  <c:v>4560</c:v>
                </c:pt>
                <c:pt idx="123">
                  <c:v>4440</c:v>
                </c:pt>
                <c:pt idx="124">
                  <c:v>4320</c:v>
                </c:pt>
                <c:pt idx="125">
                  <c:v>4200</c:v>
                </c:pt>
                <c:pt idx="126">
                  <c:v>4080</c:v>
                </c:pt>
                <c:pt idx="127">
                  <c:v>3960</c:v>
                </c:pt>
                <c:pt idx="128">
                  <c:v>3840</c:v>
                </c:pt>
                <c:pt idx="129">
                  <c:v>3720</c:v>
                </c:pt>
                <c:pt idx="130">
                  <c:v>3600</c:v>
                </c:pt>
                <c:pt idx="131">
                  <c:v>3480</c:v>
                </c:pt>
                <c:pt idx="132">
                  <c:v>3360</c:v>
                </c:pt>
                <c:pt idx="133">
                  <c:v>3240</c:v>
                </c:pt>
                <c:pt idx="134">
                  <c:v>3120</c:v>
                </c:pt>
                <c:pt idx="135">
                  <c:v>3000</c:v>
                </c:pt>
                <c:pt idx="136">
                  <c:v>2880</c:v>
                </c:pt>
                <c:pt idx="137">
                  <c:v>2760</c:v>
                </c:pt>
                <c:pt idx="138">
                  <c:v>2640</c:v>
                </c:pt>
                <c:pt idx="139">
                  <c:v>2520</c:v>
                </c:pt>
                <c:pt idx="140">
                  <c:v>2400</c:v>
                </c:pt>
                <c:pt idx="141">
                  <c:v>2280</c:v>
                </c:pt>
                <c:pt idx="142">
                  <c:v>2160</c:v>
                </c:pt>
                <c:pt idx="143">
                  <c:v>2040</c:v>
                </c:pt>
                <c:pt idx="144">
                  <c:v>1920</c:v>
                </c:pt>
                <c:pt idx="145">
                  <c:v>1800</c:v>
                </c:pt>
                <c:pt idx="146">
                  <c:v>1680</c:v>
                </c:pt>
                <c:pt idx="147">
                  <c:v>1560</c:v>
                </c:pt>
                <c:pt idx="148">
                  <c:v>1440</c:v>
                </c:pt>
                <c:pt idx="149">
                  <c:v>1320</c:v>
                </c:pt>
                <c:pt idx="150">
                  <c:v>1200</c:v>
                </c:pt>
                <c:pt idx="151">
                  <c:v>1080</c:v>
                </c:pt>
                <c:pt idx="152">
                  <c:v>960</c:v>
                </c:pt>
                <c:pt idx="153">
                  <c:v>840</c:v>
                </c:pt>
                <c:pt idx="154">
                  <c:v>720</c:v>
                </c:pt>
                <c:pt idx="155">
                  <c:v>600</c:v>
                </c:pt>
                <c:pt idx="156">
                  <c:v>480</c:v>
                </c:pt>
                <c:pt idx="157">
                  <c:v>360</c:v>
                </c:pt>
                <c:pt idx="158">
                  <c:v>288</c:v>
                </c:pt>
                <c:pt idx="159">
                  <c:v>120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882.24</c:v>
                </c:pt>
                <c:pt idx="131">
                  <c:v>882.24</c:v>
                </c:pt>
                <c:pt idx="132">
                  <c:v>882.24</c:v>
                </c:pt>
                <c:pt idx="133">
                  <c:v>882.24</c:v>
                </c:pt>
                <c:pt idx="134">
                  <c:v>882.24</c:v>
                </c:pt>
                <c:pt idx="135">
                  <c:v>882.24</c:v>
                </c:pt>
                <c:pt idx="136">
                  <c:v>882.24</c:v>
                </c:pt>
                <c:pt idx="137">
                  <c:v>882.24</c:v>
                </c:pt>
                <c:pt idx="138">
                  <c:v>882.24</c:v>
                </c:pt>
                <c:pt idx="139">
                  <c:v>882.24</c:v>
                </c:pt>
                <c:pt idx="140">
                  <c:v>882.24</c:v>
                </c:pt>
                <c:pt idx="141">
                  <c:v>882.24</c:v>
                </c:pt>
                <c:pt idx="142">
                  <c:v>882.24</c:v>
                </c:pt>
                <c:pt idx="143">
                  <c:v>882.24</c:v>
                </c:pt>
                <c:pt idx="144">
                  <c:v>882.24</c:v>
                </c:pt>
                <c:pt idx="145">
                  <c:v>882.24</c:v>
                </c:pt>
                <c:pt idx="146">
                  <c:v>882.24</c:v>
                </c:pt>
                <c:pt idx="147">
                  <c:v>882.24</c:v>
                </c:pt>
                <c:pt idx="148">
                  <c:v>882.24</c:v>
                </c:pt>
                <c:pt idx="149">
                  <c:v>882.24</c:v>
                </c:pt>
                <c:pt idx="150">
                  <c:v>882.24</c:v>
                </c:pt>
                <c:pt idx="151">
                  <c:v>882.24</c:v>
                </c:pt>
                <c:pt idx="152">
                  <c:v>882.24</c:v>
                </c:pt>
                <c:pt idx="153">
                  <c:v>882.24</c:v>
                </c:pt>
                <c:pt idx="154">
                  <c:v>882.24</c:v>
                </c:pt>
                <c:pt idx="155">
                  <c:v>882.24</c:v>
                </c:pt>
                <c:pt idx="156">
                  <c:v>882.24</c:v>
                </c:pt>
                <c:pt idx="157">
                  <c:v>882.24</c:v>
                </c:pt>
                <c:pt idx="158">
                  <c:v>882.24</c:v>
                </c:pt>
                <c:pt idx="159">
                  <c:v>882.24</c:v>
                </c:pt>
                <c:pt idx="160">
                  <c:v>882.24</c:v>
                </c:pt>
                <c:pt idx="161">
                  <c:v>882.24</c:v>
                </c:pt>
                <c:pt idx="162">
                  <c:v>882.24</c:v>
                </c:pt>
                <c:pt idx="163">
                  <c:v>882.24</c:v>
                </c:pt>
                <c:pt idx="164">
                  <c:v>882.24</c:v>
                </c:pt>
                <c:pt idx="165">
                  <c:v>882.24</c:v>
                </c:pt>
                <c:pt idx="166">
                  <c:v>882.24</c:v>
                </c:pt>
                <c:pt idx="167">
                  <c:v>882.24</c:v>
                </c:pt>
                <c:pt idx="168">
                  <c:v>882.24</c:v>
                </c:pt>
                <c:pt idx="169">
                  <c:v>882.24</c:v>
                </c:pt>
                <c:pt idx="170">
                  <c:v>882.24</c:v>
                </c:pt>
                <c:pt idx="171">
                  <c:v>882.24</c:v>
                </c:pt>
                <c:pt idx="172">
                  <c:v>882.24</c:v>
                </c:pt>
                <c:pt idx="173">
                  <c:v>882.24</c:v>
                </c:pt>
                <c:pt idx="174">
                  <c:v>882.24</c:v>
                </c:pt>
                <c:pt idx="175">
                  <c:v>882.24</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15610.788</c:v>
                </c:pt>
                <c:pt idx="1">
                  <c:v>15460.788</c:v>
                </c:pt>
                <c:pt idx="2">
                  <c:v>15310.787999999999</c:v>
                </c:pt>
                <c:pt idx="3">
                  <c:v>15160.788</c:v>
                </c:pt>
                <c:pt idx="4">
                  <c:v>15010.788</c:v>
                </c:pt>
                <c:pt idx="5">
                  <c:v>14860.787999999999</c:v>
                </c:pt>
                <c:pt idx="6">
                  <c:v>14788.547999999999</c:v>
                </c:pt>
                <c:pt idx="7">
                  <c:v>14758.547999999999</c:v>
                </c:pt>
                <c:pt idx="8">
                  <c:v>14728.547999999999</c:v>
                </c:pt>
                <c:pt idx="9">
                  <c:v>14698.547999999999</c:v>
                </c:pt>
                <c:pt idx="10">
                  <c:v>14668.547999999999</c:v>
                </c:pt>
                <c:pt idx="11">
                  <c:v>14638.547999999999</c:v>
                </c:pt>
                <c:pt idx="12">
                  <c:v>14608.547999999999</c:v>
                </c:pt>
                <c:pt idx="13">
                  <c:v>14578.547999999999</c:v>
                </c:pt>
                <c:pt idx="14">
                  <c:v>14548.547999999999</c:v>
                </c:pt>
                <c:pt idx="15">
                  <c:v>14518.547999999999</c:v>
                </c:pt>
                <c:pt idx="16">
                  <c:v>14488.547999999999</c:v>
                </c:pt>
                <c:pt idx="17">
                  <c:v>14458.547999999999</c:v>
                </c:pt>
                <c:pt idx="18">
                  <c:v>14428.547999999999</c:v>
                </c:pt>
                <c:pt idx="19">
                  <c:v>14398.547999999999</c:v>
                </c:pt>
                <c:pt idx="20">
                  <c:v>14368.547999999999</c:v>
                </c:pt>
                <c:pt idx="21">
                  <c:v>14338.547999999999</c:v>
                </c:pt>
                <c:pt idx="22">
                  <c:v>14308.547999999999</c:v>
                </c:pt>
                <c:pt idx="23">
                  <c:v>14237.988000000001</c:v>
                </c:pt>
                <c:pt idx="24">
                  <c:v>14087.988000000001</c:v>
                </c:pt>
                <c:pt idx="25">
                  <c:v>13937.988000000001</c:v>
                </c:pt>
                <c:pt idx="26">
                  <c:v>13787.988000000001</c:v>
                </c:pt>
                <c:pt idx="27">
                  <c:v>13637.988000000001</c:v>
                </c:pt>
                <c:pt idx="28">
                  <c:v>13487.988000000001</c:v>
                </c:pt>
                <c:pt idx="29">
                  <c:v>13337.988000000001</c:v>
                </c:pt>
                <c:pt idx="30">
                  <c:v>13187.988000000001</c:v>
                </c:pt>
                <c:pt idx="31">
                  <c:v>13037.988000000001</c:v>
                </c:pt>
                <c:pt idx="32">
                  <c:v>12887.988000000001</c:v>
                </c:pt>
                <c:pt idx="33">
                  <c:v>12737.988000000001</c:v>
                </c:pt>
                <c:pt idx="34">
                  <c:v>12587.988000000001</c:v>
                </c:pt>
                <c:pt idx="35">
                  <c:v>12437.988000000001</c:v>
                </c:pt>
                <c:pt idx="36">
                  <c:v>12287.988000000001</c:v>
                </c:pt>
                <c:pt idx="37">
                  <c:v>12137.988000000001</c:v>
                </c:pt>
                <c:pt idx="38">
                  <c:v>11987.988000000001</c:v>
                </c:pt>
                <c:pt idx="39">
                  <c:v>11837.988000000001</c:v>
                </c:pt>
                <c:pt idx="40">
                  <c:v>11687.988000000001</c:v>
                </c:pt>
                <c:pt idx="41">
                  <c:v>11537.988000000001</c:v>
                </c:pt>
                <c:pt idx="42">
                  <c:v>11387.988000000001</c:v>
                </c:pt>
                <c:pt idx="43">
                  <c:v>11237.988000000001</c:v>
                </c:pt>
                <c:pt idx="44">
                  <c:v>11087.988000000001</c:v>
                </c:pt>
                <c:pt idx="45">
                  <c:v>10937.988000000001</c:v>
                </c:pt>
                <c:pt idx="46">
                  <c:v>10787.987999999999</c:v>
                </c:pt>
                <c:pt idx="47">
                  <c:v>10637.988000000001</c:v>
                </c:pt>
                <c:pt idx="48">
                  <c:v>10487.988000000001</c:v>
                </c:pt>
                <c:pt idx="49">
                  <c:v>10337.987999999999</c:v>
                </c:pt>
                <c:pt idx="50">
                  <c:v>10187.987999999999</c:v>
                </c:pt>
                <c:pt idx="51">
                  <c:v>10037.988000000001</c:v>
                </c:pt>
                <c:pt idx="52">
                  <c:v>9887.9880000000012</c:v>
                </c:pt>
                <c:pt idx="53">
                  <c:v>9737.9879999999994</c:v>
                </c:pt>
                <c:pt idx="54">
                  <c:v>9587.9880000000012</c:v>
                </c:pt>
                <c:pt idx="55">
                  <c:v>9437.9880000000012</c:v>
                </c:pt>
                <c:pt idx="56">
                  <c:v>9287.9879999999994</c:v>
                </c:pt>
                <c:pt idx="57">
                  <c:v>9137.9880000000012</c:v>
                </c:pt>
                <c:pt idx="58">
                  <c:v>8987.9880000000012</c:v>
                </c:pt>
                <c:pt idx="59">
                  <c:v>8837.9879999999994</c:v>
                </c:pt>
                <c:pt idx="60">
                  <c:v>8687.9880000000012</c:v>
                </c:pt>
                <c:pt idx="61">
                  <c:v>8537.9880000000012</c:v>
                </c:pt>
                <c:pt idx="62">
                  <c:v>8387.9879999999994</c:v>
                </c:pt>
                <c:pt idx="63">
                  <c:v>8237.9880000000012</c:v>
                </c:pt>
                <c:pt idx="64">
                  <c:v>8087.9880000000003</c:v>
                </c:pt>
                <c:pt idx="65">
                  <c:v>7937.9879999999994</c:v>
                </c:pt>
                <c:pt idx="66">
                  <c:v>7787.9880000000003</c:v>
                </c:pt>
                <c:pt idx="67">
                  <c:v>7637.9880000000003</c:v>
                </c:pt>
                <c:pt idx="68">
                  <c:v>7487.9879999999994</c:v>
                </c:pt>
                <c:pt idx="69">
                  <c:v>7337.9880000000003</c:v>
                </c:pt>
                <c:pt idx="70">
                  <c:v>7187.9880000000003</c:v>
                </c:pt>
                <c:pt idx="71">
                  <c:v>7037.9879999999994</c:v>
                </c:pt>
                <c:pt idx="72">
                  <c:v>6887.9880000000003</c:v>
                </c:pt>
                <c:pt idx="73">
                  <c:v>6737.9880000000003</c:v>
                </c:pt>
                <c:pt idx="74">
                  <c:v>6587.9880000000003</c:v>
                </c:pt>
                <c:pt idx="75">
                  <c:v>6437.9880000000003</c:v>
                </c:pt>
                <c:pt idx="76">
                  <c:v>6287.9880000000003</c:v>
                </c:pt>
                <c:pt idx="77">
                  <c:v>6137.9880000000003</c:v>
                </c:pt>
                <c:pt idx="78">
                  <c:v>5987.9880000000003</c:v>
                </c:pt>
                <c:pt idx="79">
                  <c:v>5837.9880000000003</c:v>
                </c:pt>
                <c:pt idx="80">
                  <c:v>5687.9880000000003</c:v>
                </c:pt>
                <c:pt idx="81">
                  <c:v>5537.9880000000003</c:v>
                </c:pt>
                <c:pt idx="82">
                  <c:v>5387.9880000000003</c:v>
                </c:pt>
                <c:pt idx="83">
                  <c:v>5237.9880000000003</c:v>
                </c:pt>
                <c:pt idx="84">
                  <c:v>5087.9880000000003</c:v>
                </c:pt>
                <c:pt idx="85">
                  <c:v>4937.9880000000003</c:v>
                </c:pt>
                <c:pt idx="86">
                  <c:v>4787.9880000000003</c:v>
                </c:pt>
                <c:pt idx="87">
                  <c:v>4637.9880000000003</c:v>
                </c:pt>
                <c:pt idx="88">
                  <c:v>4487.9880000000003</c:v>
                </c:pt>
                <c:pt idx="89">
                  <c:v>4337.9880000000003</c:v>
                </c:pt>
                <c:pt idx="90">
                  <c:v>4187.9880000000003</c:v>
                </c:pt>
                <c:pt idx="91">
                  <c:v>4037.9880000000003</c:v>
                </c:pt>
                <c:pt idx="92">
                  <c:v>3887.9880000000003</c:v>
                </c:pt>
                <c:pt idx="93">
                  <c:v>3737.9880000000003</c:v>
                </c:pt>
                <c:pt idx="94">
                  <c:v>3587.988000000003</c:v>
                </c:pt>
                <c:pt idx="95">
                  <c:v>3437.9879999999976</c:v>
                </c:pt>
                <c:pt idx="96">
                  <c:v>3287.9880000000003</c:v>
                </c:pt>
                <c:pt idx="97">
                  <c:v>3137.988000000003</c:v>
                </c:pt>
                <c:pt idx="98">
                  <c:v>2987.9879999999976</c:v>
                </c:pt>
                <c:pt idx="99">
                  <c:v>2837.9880000000003</c:v>
                </c:pt>
                <c:pt idx="100">
                  <c:v>2687.9880000000003</c:v>
                </c:pt>
                <c:pt idx="101">
                  <c:v>2537.9880000000003</c:v>
                </c:pt>
                <c:pt idx="102">
                  <c:v>2387.9880000000003</c:v>
                </c:pt>
                <c:pt idx="103">
                  <c:v>2237.9880000000003</c:v>
                </c:pt>
                <c:pt idx="104">
                  <c:v>2087.9880000000003</c:v>
                </c:pt>
                <c:pt idx="105">
                  <c:v>1937.9880000000003</c:v>
                </c:pt>
                <c:pt idx="106">
                  <c:v>1787.9880000000003</c:v>
                </c:pt>
                <c:pt idx="107">
                  <c:v>1637.9880000000003</c:v>
                </c:pt>
                <c:pt idx="108">
                  <c:v>1487.9880000000003</c:v>
                </c:pt>
                <c:pt idx="109">
                  <c:v>1337.9880000000003</c:v>
                </c:pt>
                <c:pt idx="110">
                  <c:v>1187.9880000000003</c:v>
                </c:pt>
                <c:pt idx="111">
                  <c:v>1037.9880000000003</c:v>
                </c:pt>
                <c:pt idx="112">
                  <c:v>887.98800000000028</c:v>
                </c:pt>
                <c:pt idx="113">
                  <c:v>737.98800000000028</c:v>
                </c:pt>
                <c:pt idx="114">
                  <c:v>587.98800000000028</c:v>
                </c:pt>
                <c:pt idx="115">
                  <c:v>437.98800000000028</c:v>
                </c:pt>
                <c:pt idx="116">
                  <c:v>287.98800000000028</c:v>
                </c:pt>
                <c:pt idx="117">
                  <c:v>137.98800000000028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36294</c:v>
                </c:pt>
                <c:pt idx="1">
                  <c:v>36294</c:v>
                </c:pt>
                <c:pt idx="2">
                  <c:v>36294</c:v>
                </c:pt>
                <c:pt idx="3">
                  <c:v>36294</c:v>
                </c:pt>
                <c:pt idx="4">
                  <c:v>36294</c:v>
                </c:pt>
                <c:pt idx="5">
                  <c:v>36294</c:v>
                </c:pt>
                <c:pt idx="6">
                  <c:v>36294</c:v>
                </c:pt>
                <c:pt idx="7">
                  <c:v>36294</c:v>
                </c:pt>
                <c:pt idx="8">
                  <c:v>36294</c:v>
                </c:pt>
                <c:pt idx="9">
                  <c:v>36294</c:v>
                </c:pt>
                <c:pt idx="10">
                  <c:v>36294</c:v>
                </c:pt>
                <c:pt idx="11">
                  <c:v>36294</c:v>
                </c:pt>
                <c:pt idx="12">
                  <c:v>36294</c:v>
                </c:pt>
                <c:pt idx="13">
                  <c:v>36294</c:v>
                </c:pt>
                <c:pt idx="14">
                  <c:v>36294</c:v>
                </c:pt>
                <c:pt idx="15">
                  <c:v>36294</c:v>
                </c:pt>
                <c:pt idx="16">
                  <c:v>36294</c:v>
                </c:pt>
                <c:pt idx="17">
                  <c:v>36294</c:v>
                </c:pt>
                <c:pt idx="18">
                  <c:v>36294</c:v>
                </c:pt>
                <c:pt idx="19">
                  <c:v>36294</c:v>
                </c:pt>
                <c:pt idx="20">
                  <c:v>36294</c:v>
                </c:pt>
                <c:pt idx="21">
                  <c:v>36294</c:v>
                </c:pt>
                <c:pt idx="22">
                  <c:v>36294</c:v>
                </c:pt>
                <c:pt idx="23">
                  <c:v>36294</c:v>
                </c:pt>
                <c:pt idx="24">
                  <c:v>36294</c:v>
                </c:pt>
                <c:pt idx="25">
                  <c:v>36294</c:v>
                </c:pt>
                <c:pt idx="26">
                  <c:v>36294</c:v>
                </c:pt>
                <c:pt idx="27">
                  <c:v>36294</c:v>
                </c:pt>
                <c:pt idx="28">
                  <c:v>36294</c:v>
                </c:pt>
                <c:pt idx="29">
                  <c:v>36294</c:v>
                </c:pt>
                <c:pt idx="30">
                  <c:v>36294</c:v>
                </c:pt>
                <c:pt idx="31">
                  <c:v>36294</c:v>
                </c:pt>
                <c:pt idx="32">
                  <c:v>36294</c:v>
                </c:pt>
                <c:pt idx="33">
                  <c:v>36294</c:v>
                </c:pt>
                <c:pt idx="34">
                  <c:v>36294</c:v>
                </c:pt>
                <c:pt idx="35">
                  <c:v>36294</c:v>
                </c:pt>
                <c:pt idx="36">
                  <c:v>36294</c:v>
                </c:pt>
                <c:pt idx="37">
                  <c:v>36294</c:v>
                </c:pt>
                <c:pt idx="38">
                  <c:v>36294</c:v>
                </c:pt>
                <c:pt idx="39">
                  <c:v>36294</c:v>
                </c:pt>
                <c:pt idx="40">
                  <c:v>36294</c:v>
                </c:pt>
                <c:pt idx="41">
                  <c:v>36294</c:v>
                </c:pt>
                <c:pt idx="42">
                  <c:v>36294</c:v>
                </c:pt>
                <c:pt idx="43">
                  <c:v>36294</c:v>
                </c:pt>
                <c:pt idx="44">
                  <c:v>36294</c:v>
                </c:pt>
                <c:pt idx="45">
                  <c:v>36294</c:v>
                </c:pt>
                <c:pt idx="46">
                  <c:v>36294</c:v>
                </c:pt>
                <c:pt idx="47">
                  <c:v>36294</c:v>
                </c:pt>
                <c:pt idx="48">
                  <c:v>36294</c:v>
                </c:pt>
                <c:pt idx="49">
                  <c:v>36294</c:v>
                </c:pt>
                <c:pt idx="50">
                  <c:v>36294</c:v>
                </c:pt>
                <c:pt idx="51">
                  <c:v>36294</c:v>
                </c:pt>
                <c:pt idx="52">
                  <c:v>36294</c:v>
                </c:pt>
                <c:pt idx="53">
                  <c:v>36294</c:v>
                </c:pt>
                <c:pt idx="54">
                  <c:v>36294</c:v>
                </c:pt>
                <c:pt idx="55">
                  <c:v>36294</c:v>
                </c:pt>
                <c:pt idx="56">
                  <c:v>36294</c:v>
                </c:pt>
                <c:pt idx="57">
                  <c:v>36294</c:v>
                </c:pt>
                <c:pt idx="58">
                  <c:v>36294</c:v>
                </c:pt>
                <c:pt idx="59">
                  <c:v>36294</c:v>
                </c:pt>
                <c:pt idx="60">
                  <c:v>36294</c:v>
                </c:pt>
                <c:pt idx="61">
                  <c:v>36294</c:v>
                </c:pt>
                <c:pt idx="62">
                  <c:v>36294</c:v>
                </c:pt>
                <c:pt idx="63">
                  <c:v>36294</c:v>
                </c:pt>
                <c:pt idx="64">
                  <c:v>36294</c:v>
                </c:pt>
                <c:pt idx="65">
                  <c:v>36294</c:v>
                </c:pt>
                <c:pt idx="66">
                  <c:v>36294</c:v>
                </c:pt>
                <c:pt idx="67">
                  <c:v>36294</c:v>
                </c:pt>
                <c:pt idx="68">
                  <c:v>36294</c:v>
                </c:pt>
                <c:pt idx="69">
                  <c:v>36294</c:v>
                </c:pt>
                <c:pt idx="70">
                  <c:v>36294</c:v>
                </c:pt>
                <c:pt idx="71">
                  <c:v>36294</c:v>
                </c:pt>
                <c:pt idx="72">
                  <c:v>36294</c:v>
                </c:pt>
                <c:pt idx="73">
                  <c:v>36294</c:v>
                </c:pt>
                <c:pt idx="74">
                  <c:v>36294</c:v>
                </c:pt>
                <c:pt idx="75">
                  <c:v>36294</c:v>
                </c:pt>
                <c:pt idx="76">
                  <c:v>36294</c:v>
                </c:pt>
                <c:pt idx="77">
                  <c:v>36294</c:v>
                </c:pt>
                <c:pt idx="78">
                  <c:v>36294</c:v>
                </c:pt>
                <c:pt idx="79">
                  <c:v>36294</c:v>
                </c:pt>
                <c:pt idx="80">
                  <c:v>36294</c:v>
                </c:pt>
                <c:pt idx="81">
                  <c:v>36294</c:v>
                </c:pt>
                <c:pt idx="82">
                  <c:v>36294</c:v>
                </c:pt>
                <c:pt idx="83">
                  <c:v>36294</c:v>
                </c:pt>
                <c:pt idx="84">
                  <c:v>36294</c:v>
                </c:pt>
                <c:pt idx="85">
                  <c:v>36294</c:v>
                </c:pt>
                <c:pt idx="86">
                  <c:v>36294</c:v>
                </c:pt>
                <c:pt idx="87">
                  <c:v>36294</c:v>
                </c:pt>
                <c:pt idx="88">
                  <c:v>36294</c:v>
                </c:pt>
                <c:pt idx="89">
                  <c:v>36294</c:v>
                </c:pt>
                <c:pt idx="90">
                  <c:v>36294</c:v>
                </c:pt>
                <c:pt idx="91">
                  <c:v>36294</c:v>
                </c:pt>
                <c:pt idx="92">
                  <c:v>36294</c:v>
                </c:pt>
                <c:pt idx="93">
                  <c:v>36294</c:v>
                </c:pt>
                <c:pt idx="94">
                  <c:v>36294</c:v>
                </c:pt>
                <c:pt idx="95">
                  <c:v>36294</c:v>
                </c:pt>
                <c:pt idx="96">
                  <c:v>36294</c:v>
                </c:pt>
                <c:pt idx="97">
                  <c:v>36294</c:v>
                </c:pt>
                <c:pt idx="98">
                  <c:v>36294</c:v>
                </c:pt>
                <c:pt idx="99">
                  <c:v>36294</c:v>
                </c:pt>
                <c:pt idx="100">
                  <c:v>36294</c:v>
                </c:pt>
                <c:pt idx="101">
                  <c:v>36294</c:v>
                </c:pt>
                <c:pt idx="102">
                  <c:v>36294</c:v>
                </c:pt>
                <c:pt idx="103">
                  <c:v>36294</c:v>
                </c:pt>
                <c:pt idx="104">
                  <c:v>36294</c:v>
                </c:pt>
                <c:pt idx="105">
                  <c:v>36294</c:v>
                </c:pt>
                <c:pt idx="106">
                  <c:v>36294</c:v>
                </c:pt>
                <c:pt idx="107">
                  <c:v>36294</c:v>
                </c:pt>
                <c:pt idx="108">
                  <c:v>36294</c:v>
                </c:pt>
                <c:pt idx="109">
                  <c:v>36294</c:v>
                </c:pt>
                <c:pt idx="110">
                  <c:v>36294</c:v>
                </c:pt>
                <c:pt idx="111">
                  <c:v>36294</c:v>
                </c:pt>
                <c:pt idx="112">
                  <c:v>36294</c:v>
                </c:pt>
                <c:pt idx="113">
                  <c:v>36294</c:v>
                </c:pt>
                <c:pt idx="114">
                  <c:v>36294</c:v>
                </c:pt>
                <c:pt idx="115">
                  <c:v>36294</c:v>
                </c:pt>
                <c:pt idx="116">
                  <c:v>36294</c:v>
                </c:pt>
                <c:pt idx="117">
                  <c:v>36294</c:v>
                </c:pt>
                <c:pt idx="118">
                  <c:v>36294</c:v>
                </c:pt>
                <c:pt idx="119">
                  <c:v>36294</c:v>
                </c:pt>
                <c:pt idx="120">
                  <c:v>36294</c:v>
                </c:pt>
                <c:pt idx="121">
                  <c:v>36294</c:v>
                </c:pt>
                <c:pt idx="122">
                  <c:v>36294</c:v>
                </c:pt>
                <c:pt idx="123">
                  <c:v>36294</c:v>
                </c:pt>
                <c:pt idx="124">
                  <c:v>36294</c:v>
                </c:pt>
                <c:pt idx="125">
                  <c:v>36294</c:v>
                </c:pt>
                <c:pt idx="126">
                  <c:v>36294</c:v>
                </c:pt>
                <c:pt idx="127">
                  <c:v>36294</c:v>
                </c:pt>
                <c:pt idx="128">
                  <c:v>36294</c:v>
                </c:pt>
                <c:pt idx="129">
                  <c:v>36294</c:v>
                </c:pt>
                <c:pt idx="130">
                  <c:v>36294</c:v>
                </c:pt>
                <c:pt idx="131">
                  <c:v>36294</c:v>
                </c:pt>
                <c:pt idx="132">
                  <c:v>36294</c:v>
                </c:pt>
                <c:pt idx="133">
                  <c:v>36294</c:v>
                </c:pt>
                <c:pt idx="134">
                  <c:v>36294</c:v>
                </c:pt>
                <c:pt idx="135">
                  <c:v>36294</c:v>
                </c:pt>
                <c:pt idx="136">
                  <c:v>36294</c:v>
                </c:pt>
                <c:pt idx="137">
                  <c:v>36294</c:v>
                </c:pt>
                <c:pt idx="138">
                  <c:v>36294</c:v>
                </c:pt>
                <c:pt idx="139">
                  <c:v>11466</c:v>
                </c:pt>
                <c:pt idx="140">
                  <c:v>11466</c:v>
                </c:pt>
                <c:pt idx="141">
                  <c:v>11466</c:v>
                </c:pt>
                <c:pt idx="142">
                  <c:v>11466</c:v>
                </c:pt>
                <c:pt idx="143">
                  <c:v>11466</c:v>
                </c:pt>
                <c:pt idx="144">
                  <c:v>11466</c:v>
                </c:pt>
                <c:pt idx="145">
                  <c:v>11466</c:v>
                </c:pt>
                <c:pt idx="146">
                  <c:v>11466</c:v>
                </c:pt>
                <c:pt idx="147">
                  <c:v>11466</c:v>
                </c:pt>
                <c:pt idx="148">
                  <c:v>11466</c:v>
                </c:pt>
                <c:pt idx="149">
                  <c:v>11466</c:v>
                </c:pt>
                <c:pt idx="150">
                  <c:v>11466</c:v>
                </c:pt>
                <c:pt idx="151">
                  <c:v>11466</c:v>
                </c:pt>
                <c:pt idx="152">
                  <c:v>11466</c:v>
                </c:pt>
                <c:pt idx="153">
                  <c:v>11466</c:v>
                </c:pt>
                <c:pt idx="154">
                  <c:v>11466</c:v>
                </c:pt>
                <c:pt idx="155">
                  <c:v>11466</c:v>
                </c:pt>
                <c:pt idx="156">
                  <c:v>11466</c:v>
                </c:pt>
                <c:pt idx="157">
                  <c:v>11466</c:v>
                </c:pt>
                <c:pt idx="158">
                  <c:v>11466</c:v>
                </c:pt>
                <c:pt idx="159">
                  <c:v>11466</c:v>
                </c:pt>
                <c:pt idx="160">
                  <c:v>11466</c:v>
                </c:pt>
                <c:pt idx="161">
                  <c:v>11466</c:v>
                </c:pt>
                <c:pt idx="162">
                  <c:v>11466</c:v>
                </c:pt>
                <c:pt idx="163">
                  <c:v>11466</c:v>
                </c:pt>
                <c:pt idx="164">
                  <c:v>11466</c:v>
                </c:pt>
                <c:pt idx="165">
                  <c:v>11466</c:v>
                </c:pt>
                <c:pt idx="166">
                  <c:v>11466</c:v>
                </c:pt>
                <c:pt idx="167">
                  <c:v>11466</c:v>
                </c:pt>
                <c:pt idx="168">
                  <c:v>11466</c:v>
                </c:pt>
                <c:pt idx="169">
                  <c:v>11466</c:v>
                </c:pt>
                <c:pt idx="170">
                  <c:v>11466</c:v>
                </c:pt>
                <c:pt idx="171">
                  <c:v>11466</c:v>
                </c:pt>
                <c:pt idx="172">
                  <c:v>11466</c:v>
                </c:pt>
                <c:pt idx="173">
                  <c:v>11466</c:v>
                </c:pt>
                <c:pt idx="174">
                  <c:v>11466</c:v>
                </c:pt>
                <c:pt idx="175">
                  <c:v>11466</c:v>
                </c:pt>
                <c:pt idx="176">
                  <c:v>11466</c:v>
                </c:pt>
                <c:pt idx="177">
                  <c:v>11466</c:v>
                </c:pt>
                <c:pt idx="178">
                  <c:v>11466</c:v>
                </c:pt>
                <c:pt idx="179">
                  <c:v>11466</c:v>
                </c:pt>
                <c:pt idx="180">
                  <c:v>11466</c:v>
                </c:pt>
                <c:pt idx="181">
                  <c:v>11466</c:v>
                </c:pt>
                <c:pt idx="182">
                  <c:v>11466</c:v>
                </c:pt>
                <c:pt idx="183">
                  <c:v>11466</c:v>
                </c:pt>
                <c:pt idx="184">
                  <c:v>11466</c:v>
                </c:pt>
                <c:pt idx="185">
                  <c:v>11466</c:v>
                </c:pt>
                <c:pt idx="186">
                  <c:v>11466</c:v>
                </c:pt>
                <c:pt idx="187">
                  <c:v>11466</c:v>
                </c:pt>
                <c:pt idx="188">
                  <c:v>11466</c:v>
                </c:pt>
                <c:pt idx="189">
                  <c:v>11466</c:v>
                </c:pt>
                <c:pt idx="190">
                  <c:v>11466</c:v>
                </c:pt>
                <c:pt idx="191">
                  <c:v>11466</c:v>
                </c:pt>
                <c:pt idx="192">
                  <c:v>11466</c:v>
                </c:pt>
                <c:pt idx="193">
                  <c:v>11466</c:v>
                </c:pt>
                <c:pt idx="194">
                  <c:v>11466</c:v>
                </c:pt>
                <c:pt idx="195">
                  <c:v>11466</c:v>
                </c:pt>
                <c:pt idx="196">
                  <c:v>11466</c:v>
                </c:pt>
                <c:pt idx="197">
                  <c:v>11466</c:v>
                </c:pt>
                <c:pt idx="198">
                  <c:v>11466</c:v>
                </c:pt>
                <c:pt idx="199">
                  <c:v>11466</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110171.02799999999</c:v>
                      </c:pt>
                      <c:pt idx="1">
                        <c:v>110086.02799999999</c:v>
                      </c:pt>
                      <c:pt idx="2">
                        <c:v>110001.02799999999</c:v>
                      </c:pt>
                      <c:pt idx="3">
                        <c:v>109916.02799999999</c:v>
                      </c:pt>
                      <c:pt idx="4">
                        <c:v>109831.02799999999</c:v>
                      </c:pt>
                      <c:pt idx="5">
                        <c:v>109746.02799999999</c:v>
                      </c:pt>
                      <c:pt idx="6">
                        <c:v>109599.588</c:v>
                      </c:pt>
                      <c:pt idx="7">
                        <c:v>109414.588</c:v>
                      </c:pt>
                      <c:pt idx="8">
                        <c:v>109229.588</c:v>
                      </c:pt>
                      <c:pt idx="9">
                        <c:v>109044.588</c:v>
                      </c:pt>
                      <c:pt idx="10">
                        <c:v>108859.588</c:v>
                      </c:pt>
                      <c:pt idx="11">
                        <c:v>108674.588</c:v>
                      </c:pt>
                      <c:pt idx="12">
                        <c:v>108489.588</c:v>
                      </c:pt>
                      <c:pt idx="13">
                        <c:v>108304.588</c:v>
                      </c:pt>
                      <c:pt idx="14">
                        <c:v>108119.588</c:v>
                      </c:pt>
                      <c:pt idx="15">
                        <c:v>107934.588</c:v>
                      </c:pt>
                      <c:pt idx="16">
                        <c:v>107749.588</c:v>
                      </c:pt>
                      <c:pt idx="17">
                        <c:v>107564.588</c:v>
                      </c:pt>
                      <c:pt idx="18">
                        <c:v>107379.588</c:v>
                      </c:pt>
                      <c:pt idx="19">
                        <c:v>107194.588</c:v>
                      </c:pt>
                      <c:pt idx="20">
                        <c:v>107009.588</c:v>
                      </c:pt>
                      <c:pt idx="21">
                        <c:v>106824.588</c:v>
                      </c:pt>
                      <c:pt idx="22">
                        <c:v>106649.588</c:v>
                      </c:pt>
                      <c:pt idx="23">
                        <c:v>106524.228</c:v>
                      </c:pt>
                      <c:pt idx="24">
                        <c:v>106464.228</c:v>
                      </c:pt>
                      <c:pt idx="25">
                        <c:v>106404.228</c:v>
                      </c:pt>
                      <c:pt idx="26">
                        <c:v>106344.228</c:v>
                      </c:pt>
                      <c:pt idx="27">
                        <c:v>106284.228</c:v>
                      </c:pt>
                      <c:pt idx="28">
                        <c:v>106224.228</c:v>
                      </c:pt>
                      <c:pt idx="29">
                        <c:v>106164.228</c:v>
                      </c:pt>
                      <c:pt idx="30">
                        <c:v>106104.228</c:v>
                      </c:pt>
                      <c:pt idx="31">
                        <c:v>106044.228</c:v>
                      </c:pt>
                      <c:pt idx="32">
                        <c:v>105984.228</c:v>
                      </c:pt>
                      <c:pt idx="33">
                        <c:v>105924.228</c:v>
                      </c:pt>
                      <c:pt idx="34">
                        <c:v>105924.228</c:v>
                      </c:pt>
                      <c:pt idx="35">
                        <c:v>105924.228</c:v>
                      </c:pt>
                      <c:pt idx="36">
                        <c:v>105924.228</c:v>
                      </c:pt>
                      <c:pt idx="37">
                        <c:v>105811.428</c:v>
                      </c:pt>
                      <c:pt idx="38">
                        <c:v>105541.428</c:v>
                      </c:pt>
                      <c:pt idx="39">
                        <c:v>105271.428</c:v>
                      </c:pt>
                      <c:pt idx="40">
                        <c:v>105001.428</c:v>
                      </c:pt>
                      <c:pt idx="41">
                        <c:v>104731.428</c:v>
                      </c:pt>
                      <c:pt idx="42">
                        <c:v>104461.428</c:v>
                      </c:pt>
                      <c:pt idx="43">
                        <c:v>104191.428</c:v>
                      </c:pt>
                      <c:pt idx="44">
                        <c:v>103921.428</c:v>
                      </c:pt>
                      <c:pt idx="45">
                        <c:v>103651.428</c:v>
                      </c:pt>
                      <c:pt idx="46">
                        <c:v>103381.428</c:v>
                      </c:pt>
                      <c:pt idx="47">
                        <c:v>103111.428</c:v>
                      </c:pt>
                      <c:pt idx="48">
                        <c:v>102841.428</c:v>
                      </c:pt>
                      <c:pt idx="49">
                        <c:v>102571.428</c:v>
                      </c:pt>
                      <c:pt idx="50">
                        <c:v>102301.428</c:v>
                      </c:pt>
                      <c:pt idx="51">
                        <c:v>102031.428</c:v>
                      </c:pt>
                      <c:pt idx="52">
                        <c:v>101761.428</c:v>
                      </c:pt>
                      <c:pt idx="53">
                        <c:v>101491.428</c:v>
                      </c:pt>
                      <c:pt idx="54">
                        <c:v>101221.428</c:v>
                      </c:pt>
                      <c:pt idx="55">
                        <c:v>100951.428</c:v>
                      </c:pt>
                      <c:pt idx="56">
                        <c:v>100681.428</c:v>
                      </c:pt>
                      <c:pt idx="57">
                        <c:v>100411.428</c:v>
                      </c:pt>
                      <c:pt idx="58">
                        <c:v>100141.428</c:v>
                      </c:pt>
                      <c:pt idx="59">
                        <c:v>99871.428</c:v>
                      </c:pt>
                      <c:pt idx="60">
                        <c:v>99601.428</c:v>
                      </c:pt>
                      <c:pt idx="61">
                        <c:v>99331.428</c:v>
                      </c:pt>
                      <c:pt idx="62">
                        <c:v>99061.428</c:v>
                      </c:pt>
                      <c:pt idx="63">
                        <c:v>98705.755919999996</c:v>
                      </c:pt>
                      <c:pt idx="64">
                        <c:v>98309.395919999995</c:v>
                      </c:pt>
                      <c:pt idx="65">
                        <c:v>97913.035919999995</c:v>
                      </c:pt>
                      <c:pt idx="66">
                        <c:v>97516.675919999994</c:v>
                      </c:pt>
                      <c:pt idx="67">
                        <c:v>97120.315919999994</c:v>
                      </c:pt>
                      <c:pt idx="68">
                        <c:v>96723.955919999993</c:v>
                      </c:pt>
                      <c:pt idx="69">
                        <c:v>96327.595919999992</c:v>
                      </c:pt>
                      <c:pt idx="70">
                        <c:v>95931.235919999992</c:v>
                      </c:pt>
                      <c:pt idx="71">
                        <c:v>95534.875919999991</c:v>
                      </c:pt>
                      <c:pt idx="72">
                        <c:v>95138.515920000005</c:v>
                      </c:pt>
                      <c:pt idx="73">
                        <c:v>94742.15591999999</c:v>
                      </c:pt>
                      <c:pt idx="74">
                        <c:v>94345.795920000004</c:v>
                      </c:pt>
                      <c:pt idx="75">
                        <c:v>93949.435919999989</c:v>
                      </c:pt>
                      <c:pt idx="76">
                        <c:v>93553.075920000003</c:v>
                      </c:pt>
                      <c:pt idx="77">
                        <c:v>93156.715919999988</c:v>
                      </c:pt>
                      <c:pt idx="78">
                        <c:v>92760.355920000002</c:v>
                      </c:pt>
                      <c:pt idx="79">
                        <c:v>92363.995919999987</c:v>
                      </c:pt>
                      <c:pt idx="80">
                        <c:v>91967.635920000001</c:v>
                      </c:pt>
                      <c:pt idx="81">
                        <c:v>91571.275919999985</c:v>
                      </c:pt>
                      <c:pt idx="82">
                        <c:v>91174.915919999999</c:v>
                      </c:pt>
                      <c:pt idx="83">
                        <c:v>90778.555919999999</c:v>
                      </c:pt>
                      <c:pt idx="84">
                        <c:v>90382.195919999998</c:v>
                      </c:pt>
                      <c:pt idx="85">
                        <c:v>89985.835919999998</c:v>
                      </c:pt>
                      <c:pt idx="86">
                        <c:v>89589.475919999997</c:v>
                      </c:pt>
                      <c:pt idx="87">
                        <c:v>89193.115919999997</c:v>
                      </c:pt>
                      <c:pt idx="88">
                        <c:v>88796.755919999996</c:v>
                      </c:pt>
                      <c:pt idx="89">
                        <c:v>88400.395919999995</c:v>
                      </c:pt>
                      <c:pt idx="90">
                        <c:v>88004.035919999995</c:v>
                      </c:pt>
                      <c:pt idx="91">
                        <c:v>87607.675919999994</c:v>
                      </c:pt>
                      <c:pt idx="92">
                        <c:v>87211.315919999994</c:v>
                      </c:pt>
                      <c:pt idx="93">
                        <c:v>86814.955919999993</c:v>
                      </c:pt>
                      <c:pt idx="94">
                        <c:v>86418.595919999992</c:v>
                      </c:pt>
                      <c:pt idx="95">
                        <c:v>86022.235919999992</c:v>
                      </c:pt>
                      <c:pt idx="96">
                        <c:v>85625.875919999991</c:v>
                      </c:pt>
                      <c:pt idx="97">
                        <c:v>85229.515920000005</c:v>
                      </c:pt>
                      <c:pt idx="98">
                        <c:v>84833.15591999999</c:v>
                      </c:pt>
                      <c:pt idx="99">
                        <c:v>84436.795920000004</c:v>
                      </c:pt>
                      <c:pt idx="100">
                        <c:v>84040.435919999989</c:v>
                      </c:pt>
                      <c:pt idx="101">
                        <c:v>81659.075920000003</c:v>
                      </c:pt>
                      <c:pt idx="102">
                        <c:v>81237.715919999988</c:v>
                      </c:pt>
                      <c:pt idx="103">
                        <c:v>80816.355920000002</c:v>
                      </c:pt>
                      <c:pt idx="104">
                        <c:v>80394.995919999987</c:v>
                      </c:pt>
                      <c:pt idx="105">
                        <c:v>79973.635920000001</c:v>
                      </c:pt>
                      <c:pt idx="106">
                        <c:v>79552.275919999985</c:v>
                      </c:pt>
                      <c:pt idx="107">
                        <c:v>79130.915919999999</c:v>
                      </c:pt>
                      <c:pt idx="108">
                        <c:v>78709.555919999999</c:v>
                      </c:pt>
                      <c:pt idx="109">
                        <c:v>78288.195919999998</c:v>
                      </c:pt>
                      <c:pt idx="110">
                        <c:v>77866.835919999998</c:v>
                      </c:pt>
                      <c:pt idx="111">
                        <c:v>77445.475919999997</c:v>
                      </c:pt>
                      <c:pt idx="112">
                        <c:v>77024.115919999997</c:v>
                      </c:pt>
                      <c:pt idx="113">
                        <c:v>76602.755919999996</c:v>
                      </c:pt>
                      <c:pt idx="114">
                        <c:v>76181.395919999995</c:v>
                      </c:pt>
                      <c:pt idx="115">
                        <c:v>75760.035919999995</c:v>
                      </c:pt>
                      <c:pt idx="116">
                        <c:v>75338.675919999994</c:v>
                      </c:pt>
                      <c:pt idx="117">
                        <c:v>74917.315919999994</c:v>
                      </c:pt>
                      <c:pt idx="118">
                        <c:v>74507.967919999996</c:v>
                      </c:pt>
                      <c:pt idx="119">
                        <c:v>74236.607919999995</c:v>
                      </c:pt>
                      <c:pt idx="120">
                        <c:v>73965.247919999994</c:v>
                      </c:pt>
                      <c:pt idx="121">
                        <c:v>73693.887919999994</c:v>
                      </c:pt>
                      <c:pt idx="122">
                        <c:v>73422.527919999993</c:v>
                      </c:pt>
                      <c:pt idx="123">
                        <c:v>73151.167920000007</c:v>
                      </c:pt>
                      <c:pt idx="124">
                        <c:v>72879.807919999992</c:v>
                      </c:pt>
                      <c:pt idx="125">
                        <c:v>72608.447920000006</c:v>
                      </c:pt>
                      <c:pt idx="126">
                        <c:v>72337.087919999991</c:v>
                      </c:pt>
                      <c:pt idx="127">
                        <c:v>72065.727920000005</c:v>
                      </c:pt>
                      <c:pt idx="128">
                        <c:v>71794.36791999999</c:v>
                      </c:pt>
                      <c:pt idx="129">
                        <c:v>71523.007920000004</c:v>
                      </c:pt>
                      <c:pt idx="130">
                        <c:v>71251.647919999989</c:v>
                      </c:pt>
                      <c:pt idx="131">
                        <c:v>70980.287920000002</c:v>
                      </c:pt>
                      <c:pt idx="132">
                        <c:v>70708.927919999987</c:v>
                      </c:pt>
                      <c:pt idx="133">
                        <c:v>70437.567920000001</c:v>
                      </c:pt>
                      <c:pt idx="134">
                        <c:v>70166.207920000001</c:v>
                      </c:pt>
                      <c:pt idx="135">
                        <c:v>69894.84792</c:v>
                      </c:pt>
                      <c:pt idx="136">
                        <c:v>69623.48792</c:v>
                      </c:pt>
                      <c:pt idx="137">
                        <c:v>69352.127919999999</c:v>
                      </c:pt>
                      <c:pt idx="138">
                        <c:v>68766.240000000005</c:v>
                      </c:pt>
                      <c:pt idx="139">
                        <c:v>43793.240000000005</c:v>
                      </c:pt>
                      <c:pt idx="140">
                        <c:v>43648.240000000005</c:v>
                      </c:pt>
                      <c:pt idx="141">
                        <c:v>43503.240000000005</c:v>
                      </c:pt>
                      <c:pt idx="142">
                        <c:v>43358.240000000005</c:v>
                      </c:pt>
                      <c:pt idx="143">
                        <c:v>43213.240000000005</c:v>
                      </c:pt>
                      <c:pt idx="144">
                        <c:v>43068.240000000005</c:v>
                      </c:pt>
                      <c:pt idx="145">
                        <c:v>42923.240000000005</c:v>
                      </c:pt>
                      <c:pt idx="146">
                        <c:v>42778.240000000005</c:v>
                      </c:pt>
                      <c:pt idx="147">
                        <c:v>42633.240000000005</c:v>
                      </c:pt>
                      <c:pt idx="148">
                        <c:v>42488.240000000005</c:v>
                      </c:pt>
                      <c:pt idx="149">
                        <c:v>42343.240000000005</c:v>
                      </c:pt>
                      <c:pt idx="150">
                        <c:v>42198.240000000005</c:v>
                      </c:pt>
                      <c:pt idx="151">
                        <c:v>42053.240000000005</c:v>
                      </c:pt>
                      <c:pt idx="152">
                        <c:v>41908.240000000005</c:v>
                      </c:pt>
                      <c:pt idx="153">
                        <c:v>41763.240000000005</c:v>
                      </c:pt>
                      <c:pt idx="154">
                        <c:v>41618.240000000005</c:v>
                      </c:pt>
                      <c:pt idx="155">
                        <c:v>41473.240000000005</c:v>
                      </c:pt>
                      <c:pt idx="156">
                        <c:v>41328.240000000005</c:v>
                      </c:pt>
                      <c:pt idx="157">
                        <c:v>41183.240000000005</c:v>
                      </c:pt>
                      <c:pt idx="158">
                        <c:v>41086.240000000005</c:v>
                      </c:pt>
                      <c:pt idx="159">
                        <c:v>40893.240000000005</c:v>
                      </c:pt>
                      <c:pt idx="160">
                        <c:v>40748.240000000005</c:v>
                      </c:pt>
                      <c:pt idx="161">
                        <c:v>40723.240000000005</c:v>
                      </c:pt>
                      <c:pt idx="162">
                        <c:v>40698.240000000005</c:v>
                      </c:pt>
                      <c:pt idx="163">
                        <c:v>40673.240000000005</c:v>
                      </c:pt>
                      <c:pt idx="164">
                        <c:v>40648.240000000005</c:v>
                      </c:pt>
                      <c:pt idx="165">
                        <c:v>40623.240000000005</c:v>
                      </c:pt>
                      <c:pt idx="166">
                        <c:v>40598.240000000005</c:v>
                      </c:pt>
                      <c:pt idx="167">
                        <c:v>40573.240000000005</c:v>
                      </c:pt>
                      <c:pt idx="168">
                        <c:v>40548.240000000005</c:v>
                      </c:pt>
                      <c:pt idx="169">
                        <c:v>40523.240000000005</c:v>
                      </c:pt>
                      <c:pt idx="170">
                        <c:v>40498.240000000005</c:v>
                      </c:pt>
                      <c:pt idx="171">
                        <c:v>40473.240000000005</c:v>
                      </c:pt>
                      <c:pt idx="172">
                        <c:v>40448.240000000005</c:v>
                      </c:pt>
                      <c:pt idx="173">
                        <c:v>40423.240000000005</c:v>
                      </c:pt>
                      <c:pt idx="174">
                        <c:v>40398.240000000005</c:v>
                      </c:pt>
                      <c:pt idx="175">
                        <c:v>40373.240000000005</c:v>
                      </c:pt>
                      <c:pt idx="176">
                        <c:v>39466</c:v>
                      </c:pt>
                      <c:pt idx="177">
                        <c:v>39441</c:v>
                      </c:pt>
                      <c:pt idx="178">
                        <c:v>39416</c:v>
                      </c:pt>
                      <c:pt idx="179">
                        <c:v>39391</c:v>
                      </c:pt>
                      <c:pt idx="180">
                        <c:v>39366</c:v>
                      </c:pt>
                      <c:pt idx="181">
                        <c:v>39341</c:v>
                      </c:pt>
                      <c:pt idx="182">
                        <c:v>39316</c:v>
                      </c:pt>
                      <c:pt idx="183">
                        <c:v>39291</c:v>
                      </c:pt>
                      <c:pt idx="184">
                        <c:v>39266</c:v>
                      </c:pt>
                      <c:pt idx="185">
                        <c:v>39241</c:v>
                      </c:pt>
                      <c:pt idx="186">
                        <c:v>39216</c:v>
                      </c:pt>
                      <c:pt idx="187">
                        <c:v>39191</c:v>
                      </c:pt>
                      <c:pt idx="188">
                        <c:v>39166</c:v>
                      </c:pt>
                      <c:pt idx="189">
                        <c:v>39141</c:v>
                      </c:pt>
                      <c:pt idx="190">
                        <c:v>39116</c:v>
                      </c:pt>
                      <c:pt idx="191">
                        <c:v>39091</c:v>
                      </c:pt>
                      <c:pt idx="192">
                        <c:v>39066</c:v>
                      </c:pt>
                      <c:pt idx="193">
                        <c:v>39041</c:v>
                      </c:pt>
                      <c:pt idx="194">
                        <c:v>39016</c:v>
                      </c:pt>
                      <c:pt idx="195">
                        <c:v>38991</c:v>
                      </c:pt>
                      <c:pt idx="196">
                        <c:v>38966</c:v>
                      </c:pt>
                      <c:pt idx="197">
                        <c:v>38941</c:v>
                      </c:pt>
                      <c:pt idx="198">
                        <c:v>38916</c:v>
                      </c:pt>
                      <c:pt idx="199">
                        <c:v>38891</c:v>
                      </c:pt>
                      <c:pt idx="200">
                        <c:v>25400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110171.02799999999</c:v>
                      </c:pt>
                      <c:pt idx="1">
                        <c:v>110586.02799999999</c:v>
                      </c:pt>
                      <c:pt idx="2">
                        <c:v>111001.02799999999</c:v>
                      </c:pt>
                      <c:pt idx="3">
                        <c:v>111416.02799999999</c:v>
                      </c:pt>
                      <c:pt idx="4">
                        <c:v>111831.02799999999</c:v>
                      </c:pt>
                      <c:pt idx="5">
                        <c:v>112246.02799999999</c:v>
                      </c:pt>
                      <c:pt idx="6">
                        <c:v>112599.588</c:v>
                      </c:pt>
                      <c:pt idx="7">
                        <c:v>112914.588</c:v>
                      </c:pt>
                      <c:pt idx="8">
                        <c:v>113229.588</c:v>
                      </c:pt>
                      <c:pt idx="9">
                        <c:v>113544.588</c:v>
                      </c:pt>
                      <c:pt idx="10">
                        <c:v>113859.588</c:v>
                      </c:pt>
                      <c:pt idx="11">
                        <c:v>114174.588</c:v>
                      </c:pt>
                      <c:pt idx="12">
                        <c:v>114489.588</c:v>
                      </c:pt>
                      <c:pt idx="13">
                        <c:v>114804.588</c:v>
                      </c:pt>
                      <c:pt idx="14">
                        <c:v>115119.588</c:v>
                      </c:pt>
                      <c:pt idx="15">
                        <c:v>115434.588</c:v>
                      </c:pt>
                      <c:pt idx="16">
                        <c:v>115749.588</c:v>
                      </c:pt>
                      <c:pt idx="17">
                        <c:v>116064.588</c:v>
                      </c:pt>
                      <c:pt idx="18">
                        <c:v>116379.588</c:v>
                      </c:pt>
                      <c:pt idx="19">
                        <c:v>116694.588</c:v>
                      </c:pt>
                      <c:pt idx="20">
                        <c:v>117009.588</c:v>
                      </c:pt>
                      <c:pt idx="21">
                        <c:v>117324.588</c:v>
                      </c:pt>
                      <c:pt idx="22">
                        <c:v>117649.588</c:v>
                      </c:pt>
                      <c:pt idx="23">
                        <c:v>118024.228</c:v>
                      </c:pt>
                      <c:pt idx="24">
                        <c:v>118464.228</c:v>
                      </c:pt>
                      <c:pt idx="25">
                        <c:v>118904.228</c:v>
                      </c:pt>
                      <c:pt idx="26">
                        <c:v>119344.228</c:v>
                      </c:pt>
                      <c:pt idx="27">
                        <c:v>119784.228</c:v>
                      </c:pt>
                      <c:pt idx="28">
                        <c:v>120224.228</c:v>
                      </c:pt>
                      <c:pt idx="29">
                        <c:v>120664.228</c:v>
                      </c:pt>
                      <c:pt idx="30">
                        <c:v>121104.228</c:v>
                      </c:pt>
                      <c:pt idx="31">
                        <c:v>121544.228</c:v>
                      </c:pt>
                      <c:pt idx="32">
                        <c:v>121984.228</c:v>
                      </c:pt>
                      <c:pt idx="33">
                        <c:v>122424.228</c:v>
                      </c:pt>
                      <c:pt idx="34">
                        <c:v>122924.228</c:v>
                      </c:pt>
                      <c:pt idx="35">
                        <c:v>123424.228</c:v>
                      </c:pt>
                      <c:pt idx="36">
                        <c:v>123924.228</c:v>
                      </c:pt>
                      <c:pt idx="37">
                        <c:v>124311.428</c:v>
                      </c:pt>
                      <c:pt idx="38">
                        <c:v>124541.428</c:v>
                      </c:pt>
                      <c:pt idx="39">
                        <c:v>124771.428</c:v>
                      </c:pt>
                      <c:pt idx="40">
                        <c:v>125001.428</c:v>
                      </c:pt>
                      <c:pt idx="41">
                        <c:v>125231.428</c:v>
                      </c:pt>
                      <c:pt idx="42">
                        <c:v>125461.428</c:v>
                      </c:pt>
                      <c:pt idx="43">
                        <c:v>125691.428</c:v>
                      </c:pt>
                      <c:pt idx="44">
                        <c:v>125921.428</c:v>
                      </c:pt>
                      <c:pt idx="45">
                        <c:v>126151.428</c:v>
                      </c:pt>
                      <c:pt idx="46">
                        <c:v>126381.428</c:v>
                      </c:pt>
                      <c:pt idx="47">
                        <c:v>126611.428</c:v>
                      </c:pt>
                      <c:pt idx="48">
                        <c:v>126841.428</c:v>
                      </c:pt>
                      <c:pt idx="49">
                        <c:v>127071.428</c:v>
                      </c:pt>
                      <c:pt idx="50">
                        <c:v>127301.428</c:v>
                      </c:pt>
                      <c:pt idx="51">
                        <c:v>127531.428</c:v>
                      </c:pt>
                      <c:pt idx="52">
                        <c:v>127761.428</c:v>
                      </c:pt>
                      <c:pt idx="53">
                        <c:v>127991.428</c:v>
                      </c:pt>
                      <c:pt idx="54">
                        <c:v>128221.428</c:v>
                      </c:pt>
                      <c:pt idx="55">
                        <c:v>128451.428</c:v>
                      </c:pt>
                      <c:pt idx="56">
                        <c:v>128681.428</c:v>
                      </c:pt>
                      <c:pt idx="57">
                        <c:v>128911.428</c:v>
                      </c:pt>
                      <c:pt idx="58">
                        <c:v>129141.428</c:v>
                      </c:pt>
                      <c:pt idx="59">
                        <c:v>129371.428</c:v>
                      </c:pt>
                      <c:pt idx="60">
                        <c:v>129601.428</c:v>
                      </c:pt>
                      <c:pt idx="61">
                        <c:v>129831.428</c:v>
                      </c:pt>
                      <c:pt idx="62">
                        <c:v>130061.428</c:v>
                      </c:pt>
                      <c:pt idx="63">
                        <c:v>130205.75592</c:v>
                      </c:pt>
                      <c:pt idx="64">
                        <c:v>130309.39592</c:v>
                      </c:pt>
                      <c:pt idx="65">
                        <c:v>130413.03591999999</c:v>
                      </c:pt>
                      <c:pt idx="66">
                        <c:v>130516.67591999999</c:v>
                      </c:pt>
                      <c:pt idx="67">
                        <c:v>130620.31591999999</c:v>
                      </c:pt>
                      <c:pt idx="68">
                        <c:v>130723.95591999999</c:v>
                      </c:pt>
                      <c:pt idx="69">
                        <c:v>130827.59591999999</c:v>
                      </c:pt>
                      <c:pt idx="70">
                        <c:v>130931.23591999999</c:v>
                      </c:pt>
                      <c:pt idx="71">
                        <c:v>131034.87591999999</c:v>
                      </c:pt>
                      <c:pt idx="72">
                        <c:v>131138.51592000001</c:v>
                      </c:pt>
                      <c:pt idx="73">
                        <c:v>131242.15591999999</c:v>
                      </c:pt>
                      <c:pt idx="74">
                        <c:v>131345.79592</c:v>
                      </c:pt>
                      <c:pt idx="75">
                        <c:v>131449.43591999999</c:v>
                      </c:pt>
                      <c:pt idx="76">
                        <c:v>131553.07592</c:v>
                      </c:pt>
                      <c:pt idx="77">
                        <c:v>131656.71591999999</c:v>
                      </c:pt>
                      <c:pt idx="78">
                        <c:v>131760.35592</c:v>
                      </c:pt>
                      <c:pt idx="79">
                        <c:v>131863.99591999999</c:v>
                      </c:pt>
                      <c:pt idx="80">
                        <c:v>131967.63592</c:v>
                      </c:pt>
                      <c:pt idx="81">
                        <c:v>132071.27591999999</c:v>
                      </c:pt>
                      <c:pt idx="82">
                        <c:v>132174.91592</c:v>
                      </c:pt>
                      <c:pt idx="83">
                        <c:v>132278.55592000001</c:v>
                      </c:pt>
                      <c:pt idx="84">
                        <c:v>132382.19592</c:v>
                      </c:pt>
                      <c:pt idx="85">
                        <c:v>132485.83591999998</c:v>
                      </c:pt>
                      <c:pt idx="86">
                        <c:v>132589.47592</c:v>
                      </c:pt>
                      <c:pt idx="87">
                        <c:v>132693.11592000001</c:v>
                      </c:pt>
                      <c:pt idx="88">
                        <c:v>132796.75592</c:v>
                      </c:pt>
                      <c:pt idx="89">
                        <c:v>132900.39591999998</c:v>
                      </c:pt>
                      <c:pt idx="90">
                        <c:v>133004.03591999999</c:v>
                      </c:pt>
                      <c:pt idx="91">
                        <c:v>133107.67592000001</c:v>
                      </c:pt>
                      <c:pt idx="92">
                        <c:v>133211.31591999999</c:v>
                      </c:pt>
                      <c:pt idx="93">
                        <c:v>133314.95591999998</c:v>
                      </c:pt>
                      <c:pt idx="94">
                        <c:v>133418.59591999999</c:v>
                      </c:pt>
                      <c:pt idx="95">
                        <c:v>133522.23592000001</c:v>
                      </c:pt>
                      <c:pt idx="96">
                        <c:v>133625.87591999999</c:v>
                      </c:pt>
                      <c:pt idx="97">
                        <c:v>133729.51592000001</c:v>
                      </c:pt>
                      <c:pt idx="98">
                        <c:v>133833.15591999999</c:v>
                      </c:pt>
                      <c:pt idx="99">
                        <c:v>133936.79592</c:v>
                      </c:pt>
                      <c:pt idx="100">
                        <c:v>134040.43591999999</c:v>
                      </c:pt>
                      <c:pt idx="101">
                        <c:v>132159.07592</c:v>
                      </c:pt>
                      <c:pt idx="102">
                        <c:v>132237.71591999999</c:v>
                      </c:pt>
                      <c:pt idx="103">
                        <c:v>132316.35592</c:v>
                      </c:pt>
                      <c:pt idx="104">
                        <c:v>132394.99591999999</c:v>
                      </c:pt>
                      <c:pt idx="105">
                        <c:v>132473.63592</c:v>
                      </c:pt>
                      <c:pt idx="106">
                        <c:v>132552.27591999999</c:v>
                      </c:pt>
                      <c:pt idx="107">
                        <c:v>132630.91592</c:v>
                      </c:pt>
                      <c:pt idx="108">
                        <c:v>132709.55592000001</c:v>
                      </c:pt>
                      <c:pt idx="109">
                        <c:v>132788.19592</c:v>
                      </c:pt>
                      <c:pt idx="110">
                        <c:v>132866.83591999998</c:v>
                      </c:pt>
                      <c:pt idx="111">
                        <c:v>132945.47592</c:v>
                      </c:pt>
                      <c:pt idx="112">
                        <c:v>133024.11592000001</c:v>
                      </c:pt>
                      <c:pt idx="113">
                        <c:v>133102.75592</c:v>
                      </c:pt>
                      <c:pt idx="114">
                        <c:v>133181.39591999998</c:v>
                      </c:pt>
                      <c:pt idx="115">
                        <c:v>133260.03591999999</c:v>
                      </c:pt>
                      <c:pt idx="116">
                        <c:v>133338.67592000001</c:v>
                      </c:pt>
                      <c:pt idx="117">
                        <c:v>133417.31591999999</c:v>
                      </c:pt>
                      <c:pt idx="118">
                        <c:v>133507.96792</c:v>
                      </c:pt>
                      <c:pt idx="119">
                        <c:v>133736.60791999998</c:v>
                      </c:pt>
                      <c:pt idx="120">
                        <c:v>133965.24791999999</c:v>
                      </c:pt>
                      <c:pt idx="121">
                        <c:v>134193.88792000001</c:v>
                      </c:pt>
                      <c:pt idx="122">
                        <c:v>134422.52791999999</c:v>
                      </c:pt>
                      <c:pt idx="123">
                        <c:v>134651.16792000001</c:v>
                      </c:pt>
                      <c:pt idx="124">
                        <c:v>134879.80791999999</c:v>
                      </c:pt>
                      <c:pt idx="125">
                        <c:v>135108.44792000001</c:v>
                      </c:pt>
                      <c:pt idx="126">
                        <c:v>135337.08791999999</c:v>
                      </c:pt>
                      <c:pt idx="127">
                        <c:v>135565.72792</c:v>
                      </c:pt>
                      <c:pt idx="128">
                        <c:v>135794.36791999999</c:v>
                      </c:pt>
                      <c:pt idx="129">
                        <c:v>136023.00792</c:v>
                      </c:pt>
                      <c:pt idx="130">
                        <c:v>136251.64791999999</c:v>
                      </c:pt>
                      <c:pt idx="131">
                        <c:v>136480.28792</c:v>
                      </c:pt>
                      <c:pt idx="132">
                        <c:v>136708.92791999999</c:v>
                      </c:pt>
                      <c:pt idx="133">
                        <c:v>136937.56792</c:v>
                      </c:pt>
                      <c:pt idx="134">
                        <c:v>137166.20792000002</c:v>
                      </c:pt>
                      <c:pt idx="135">
                        <c:v>137394.84792</c:v>
                      </c:pt>
                      <c:pt idx="136">
                        <c:v>137623.48791999999</c:v>
                      </c:pt>
                      <c:pt idx="137">
                        <c:v>137852.12792</c:v>
                      </c:pt>
                      <c:pt idx="138">
                        <c:v>137766.24</c:v>
                      </c:pt>
                      <c:pt idx="139">
                        <c:v>113293.24</c:v>
                      </c:pt>
                      <c:pt idx="140">
                        <c:v>113648.24</c:v>
                      </c:pt>
                      <c:pt idx="141">
                        <c:v>114003.24</c:v>
                      </c:pt>
                      <c:pt idx="142">
                        <c:v>114358.24</c:v>
                      </c:pt>
                      <c:pt idx="143">
                        <c:v>114713.24</c:v>
                      </c:pt>
                      <c:pt idx="144">
                        <c:v>115068.24</c:v>
                      </c:pt>
                      <c:pt idx="145">
                        <c:v>115423.24</c:v>
                      </c:pt>
                      <c:pt idx="146">
                        <c:v>115778.24000000001</c:v>
                      </c:pt>
                      <c:pt idx="147">
                        <c:v>116133.24</c:v>
                      </c:pt>
                      <c:pt idx="148">
                        <c:v>116488.24</c:v>
                      </c:pt>
                      <c:pt idx="149">
                        <c:v>116843.24</c:v>
                      </c:pt>
                      <c:pt idx="150">
                        <c:v>117198.24</c:v>
                      </c:pt>
                      <c:pt idx="151">
                        <c:v>117553.24</c:v>
                      </c:pt>
                      <c:pt idx="152">
                        <c:v>117908.24</c:v>
                      </c:pt>
                      <c:pt idx="153">
                        <c:v>118263.24</c:v>
                      </c:pt>
                      <c:pt idx="154">
                        <c:v>118618.24000000001</c:v>
                      </c:pt>
                      <c:pt idx="155">
                        <c:v>118973.24</c:v>
                      </c:pt>
                      <c:pt idx="156">
                        <c:v>119328.24</c:v>
                      </c:pt>
                      <c:pt idx="157">
                        <c:v>119683.24</c:v>
                      </c:pt>
                      <c:pt idx="158">
                        <c:v>120086.24</c:v>
                      </c:pt>
                      <c:pt idx="159">
                        <c:v>120393.24</c:v>
                      </c:pt>
                      <c:pt idx="160">
                        <c:v>120748.24</c:v>
                      </c:pt>
                      <c:pt idx="161">
                        <c:v>121223.24</c:v>
                      </c:pt>
                      <c:pt idx="162">
                        <c:v>121698.24000000001</c:v>
                      </c:pt>
                      <c:pt idx="163">
                        <c:v>122173.24</c:v>
                      </c:pt>
                      <c:pt idx="164">
                        <c:v>122648.24</c:v>
                      </c:pt>
                      <c:pt idx="165">
                        <c:v>123123.24</c:v>
                      </c:pt>
                      <c:pt idx="166">
                        <c:v>123598.24</c:v>
                      </c:pt>
                      <c:pt idx="167">
                        <c:v>124073.24</c:v>
                      </c:pt>
                      <c:pt idx="168">
                        <c:v>124548.24</c:v>
                      </c:pt>
                      <c:pt idx="169">
                        <c:v>125023.24</c:v>
                      </c:pt>
                      <c:pt idx="170">
                        <c:v>125498.24000000001</c:v>
                      </c:pt>
                      <c:pt idx="171">
                        <c:v>125973.24</c:v>
                      </c:pt>
                      <c:pt idx="172">
                        <c:v>126448.24</c:v>
                      </c:pt>
                      <c:pt idx="173">
                        <c:v>126923.24</c:v>
                      </c:pt>
                      <c:pt idx="174">
                        <c:v>127398.24</c:v>
                      </c:pt>
                      <c:pt idx="175">
                        <c:v>127873.24</c:v>
                      </c:pt>
                      <c:pt idx="176">
                        <c:v>127466</c:v>
                      </c:pt>
                      <c:pt idx="177">
                        <c:v>127941</c:v>
                      </c:pt>
                      <c:pt idx="178">
                        <c:v>128416</c:v>
                      </c:pt>
                      <c:pt idx="179">
                        <c:v>128891</c:v>
                      </c:pt>
                      <c:pt idx="180">
                        <c:v>129366</c:v>
                      </c:pt>
                      <c:pt idx="181">
                        <c:v>129841</c:v>
                      </c:pt>
                      <c:pt idx="182">
                        <c:v>130316</c:v>
                      </c:pt>
                      <c:pt idx="183">
                        <c:v>130791</c:v>
                      </c:pt>
                      <c:pt idx="184">
                        <c:v>131266</c:v>
                      </c:pt>
                      <c:pt idx="185">
                        <c:v>131741</c:v>
                      </c:pt>
                      <c:pt idx="186">
                        <c:v>132216</c:v>
                      </c:pt>
                      <c:pt idx="187">
                        <c:v>132691</c:v>
                      </c:pt>
                      <c:pt idx="188">
                        <c:v>133166</c:v>
                      </c:pt>
                      <c:pt idx="189">
                        <c:v>133641</c:v>
                      </c:pt>
                      <c:pt idx="190">
                        <c:v>134116</c:v>
                      </c:pt>
                      <c:pt idx="191">
                        <c:v>134591</c:v>
                      </c:pt>
                      <c:pt idx="192">
                        <c:v>135066</c:v>
                      </c:pt>
                      <c:pt idx="193">
                        <c:v>135541</c:v>
                      </c:pt>
                      <c:pt idx="194">
                        <c:v>136016</c:v>
                      </c:pt>
                      <c:pt idx="195">
                        <c:v>136491</c:v>
                      </c:pt>
                      <c:pt idx="196">
                        <c:v>136966</c:v>
                      </c:pt>
                      <c:pt idx="197">
                        <c:v>137441</c:v>
                      </c:pt>
                      <c:pt idx="198">
                        <c:v>137916</c:v>
                      </c:pt>
                      <c:pt idx="199">
                        <c:v>138391</c:v>
                      </c:pt>
                      <c:pt idx="200">
                        <c:v>125400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32400</c:v>
                </c:pt>
                <c:pt idx="1">
                  <c:v>32375</c:v>
                </c:pt>
                <c:pt idx="2">
                  <c:v>32350</c:v>
                </c:pt>
                <c:pt idx="3">
                  <c:v>32325</c:v>
                </c:pt>
                <c:pt idx="4">
                  <c:v>32300</c:v>
                </c:pt>
                <c:pt idx="5">
                  <c:v>32275</c:v>
                </c:pt>
                <c:pt idx="6">
                  <c:v>32250</c:v>
                </c:pt>
                <c:pt idx="7">
                  <c:v>32225</c:v>
                </c:pt>
                <c:pt idx="8">
                  <c:v>32200</c:v>
                </c:pt>
                <c:pt idx="9">
                  <c:v>32175</c:v>
                </c:pt>
                <c:pt idx="10">
                  <c:v>32150</c:v>
                </c:pt>
                <c:pt idx="11">
                  <c:v>32125</c:v>
                </c:pt>
                <c:pt idx="12">
                  <c:v>32100</c:v>
                </c:pt>
                <c:pt idx="13">
                  <c:v>32075</c:v>
                </c:pt>
                <c:pt idx="14">
                  <c:v>32050</c:v>
                </c:pt>
                <c:pt idx="15">
                  <c:v>32025</c:v>
                </c:pt>
                <c:pt idx="16">
                  <c:v>32000</c:v>
                </c:pt>
                <c:pt idx="17">
                  <c:v>31975</c:v>
                </c:pt>
                <c:pt idx="18">
                  <c:v>31950</c:v>
                </c:pt>
                <c:pt idx="19">
                  <c:v>31925</c:v>
                </c:pt>
                <c:pt idx="20">
                  <c:v>31900</c:v>
                </c:pt>
                <c:pt idx="21">
                  <c:v>31875</c:v>
                </c:pt>
                <c:pt idx="22">
                  <c:v>31860</c:v>
                </c:pt>
                <c:pt idx="23">
                  <c:v>31860</c:v>
                </c:pt>
                <c:pt idx="24">
                  <c:v>31860</c:v>
                </c:pt>
                <c:pt idx="25">
                  <c:v>31860</c:v>
                </c:pt>
                <c:pt idx="26">
                  <c:v>31860</c:v>
                </c:pt>
                <c:pt idx="27">
                  <c:v>31860</c:v>
                </c:pt>
                <c:pt idx="28">
                  <c:v>31860</c:v>
                </c:pt>
                <c:pt idx="29">
                  <c:v>31860</c:v>
                </c:pt>
                <c:pt idx="30">
                  <c:v>31860</c:v>
                </c:pt>
                <c:pt idx="31">
                  <c:v>31860</c:v>
                </c:pt>
                <c:pt idx="32">
                  <c:v>31860</c:v>
                </c:pt>
                <c:pt idx="33">
                  <c:v>31860</c:v>
                </c:pt>
                <c:pt idx="34">
                  <c:v>31860</c:v>
                </c:pt>
                <c:pt idx="35">
                  <c:v>31860</c:v>
                </c:pt>
                <c:pt idx="36">
                  <c:v>31860</c:v>
                </c:pt>
                <c:pt idx="37">
                  <c:v>31860</c:v>
                </c:pt>
                <c:pt idx="38">
                  <c:v>31860</c:v>
                </c:pt>
                <c:pt idx="39">
                  <c:v>31860</c:v>
                </c:pt>
                <c:pt idx="40">
                  <c:v>31860</c:v>
                </c:pt>
                <c:pt idx="41">
                  <c:v>31860</c:v>
                </c:pt>
                <c:pt idx="42">
                  <c:v>31860</c:v>
                </c:pt>
                <c:pt idx="43">
                  <c:v>31860</c:v>
                </c:pt>
                <c:pt idx="44">
                  <c:v>31860</c:v>
                </c:pt>
                <c:pt idx="45">
                  <c:v>31860</c:v>
                </c:pt>
                <c:pt idx="46">
                  <c:v>31860</c:v>
                </c:pt>
                <c:pt idx="47">
                  <c:v>31860</c:v>
                </c:pt>
                <c:pt idx="48">
                  <c:v>31860</c:v>
                </c:pt>
                <c:pt idx="49">
                  <c:v>31860</c:v>
                </c:pt>
                <c:pt idx="50">
                  <c:v>31860</c:v>
                </c:pt>
                <c:pt idx="51">
                  <c:v>31860</c:v>
                </c:pt>
                <c:pt idx="52">
                  <c:v>31860</c:v>
                </c:pt>
                <c:pt idx="53">
                  <c:v>31860</c:v>
                </c:pt>
                <c:pt idx="54">
                  <c:v>31860</c:v>
                </c:pt>
                <c:pt idx="55">
                  <c:v>31860</c:v>
                </c:pt>
                <c:pt idx="56">
                  <c:v>31860</c:v>
                </c:pt>
                <c:pt idx="57">
                  <c:v>31860</c:v>
                </c:pt>
                <c:pt idx="58">
                  <c:v>31860</c:v>
                </c:pt>
                <c:pt idx="59">
                  <c:v>31860</c:v>
                </c:pt>
                <c:pt idx="60">
                  <c:v>31860</c:v>
                </c:pt>
                <c:pt idx="61">
                  <c:v>31860</c:v>
                </c:pt>
                <c:pt idx="62">
                  <c:v>31860</c:v>
                </c:pt>
                <c:pt idx="63">
                  <c:v>31860</c:v>
                </c:pt>
                <c:pt idx="64">
                  <c:v>31860</c:v>
                </c:pt>
                <c:pt idx="65">
                  <c:v>31860</c:v>
                </c:pt>
                <c:pt idx="66">
                  <c:v>31860</c:v>
                </c:pt>
                <c:pt idx="67">
                  <c:v>31860</c:v>
                </c:pt>
                <c:pt idx="68">
                  <c:v>31860</c:v>
                </c:pt>
                <c:pt idx="69">
                  <c:v>31860</c:v>
                </c:pt>
                <c:pt idx="70">
                  <c:v>31860</c:v>
                </c:pt>
                <c:pt idx="71">
                  <c:v>31860</c:v>
                </c:pt>
                <c:pt idx="72">
                  <c:v>31860</c:v>
                </c:pt>
                <c:pt idx="73">
                  <c:v>31860</c:v>
                </c:pt>
                <c:pt idx="74">
                  <c:v>31860</c:v>
                </c:pt>
                <c:pt idx="75">
                  <c:v>31860</c:v>
                </c:pt>
                <c:pt idx="76">
                  <c:v>31860</c:v>
                </c:pt>
                <c:pt idx="77">
                  <c:v>31860</c:v>
                </c:pt>
                <c:pt idx="78">
                  <c:v>31860</c:v>
                </c:pt>
                <c:pt idx="79">
                  <c:v>31860</c:v>
                </c:pt>
                <c:pt idx="80">
                  <c:v>31860</c:v>
                </c:pt>
                <c:pt idx="81">
                  <c:v>31860</c:v>
                </c:pt>
                <c:pt idx="82">
                  <c:v>31860</c:v>
                </c:pt>
                <c:pt idx="83">
                  <c:v>31860</c:v>
                </c:pt>
                <c:pt idx="84">
                  <c:v>31860</c:v>
                </c:pt>
                <c:pt idx="85">
                  <c:v>31860</c:v>
                </c:pt>
                <c:pt idx="86">
                  <c:v>31860</c:v>
                </c:pt>
                <c:pt idx="87">
                  <c:v>31860</c:v>
                </c:pt>
                <c:pt idx="88">
                  <c:v>31860</c:v>
                </c:pt>
                <c:pt idx="89">
                  <c:v>31860</c:v>
                </c:pt>
                <c:pt idx="90">
                  <c:v>31860</c:v>
                </c:pt>
                <c:pt idx="91">
                  <c:v>31860</c:v>
                </c:pt>
                <c:pt idx="92">
                  <c:v>31860</c:v>
                </c:pt>
                <c:pt idx="93">
                  <c:v>31860</c:v>
                </c:pt>
                <c:pt idx="94">
                  <c:v>31860</c:v>
                </c:pt>
                <c:pt idx="95">
                  <c:v>31860</c:v>
                </c:pt>
                <c:pt idx="96">
                  <c:v>31860</c:v>
                </c:pt>
                <c:pt idx="97">
                  <c:v>31860</c:v>
                </c:pt>
                <c:pt idx="98">
                  <c:v>31860</c:v>
                </c:pt>
                <c:pt idx="99">
                  <c:v>31860</c:v>
                </c:pt>
                <c:pt idx="100">
                  <c:v>31860</c:v>
                </c:pt>
                <c:pt idx="101">
                  <c:v>29875</c:v>
                </c:pt>
                <c:pt idx="102">
                  <c:v>29850</c:v>
                </c:pt>
                <c:pt idx="103">
                  <c:v>29825</c:v>
                </c:pt>
                <c:pt idx="104">
                  <c:v>29800</c:v>
                </c:pt>
                <c:pt idx="105">
                  <c:v>29775</c:v>
                </c:pt>
                <c:pt idx="106">
                  <c:v>29750</c:v>
                </c:pt>
                <c:pt idx="107">
                  <c:v>29725</c:v>
                </c:pt>
                <c:pt idx="108">
                  <c:v>29700</c:v>
                </c:pt>
                <c:pt idx="109">
                  <c:v>29675</c:v>
                </c:pt>
                <c:pt idx="110">
                  <c:v>29650</c:v>
                </c:pt>
                <c:pt idx="111">
                  <c:v>29625</c:v>
                </c:pt>
                <c:pt idx="112">
                  <c:v>29600</c:v>
                </c:pt>
                <c:pt idx="113">
                  <c:v>29575</c:v>
                </c:pt>
                <c:pt idx="114">
                  <c:v>29550</c:v>
                </c:pt>
                <c:pt idx="115">
                  <c:v>29525</c:v>
                </c:pt>
                <c:pt idx="116">
                  <c:v>29500</c:v>
                </c:pt>
                <c:pt idx="117">
                  <c:v>29475</c:v>
                </c:pt>
                <c:pt idx="118">
                  <c:v>29450</c:v>
                </c:pt>
                <c:pt idx="119">
                  <c:v>29425</c:v>
                </c:pt>
                <c:pt idx="120">
                  <c:v>29400</c:v>
                </c:pt>
                <c:pt idx="121">
                  <c:v>29375</c:v>
                </c:pt>
                <c:pt idx="122">
                  <c:v>29350</c:v>
                </c:pt>
                <c:pt idx="123">
                  <c:v>29325</c:v>
                </c:pt>
                <c:pt idx="124">
                  <c:v>29300</c:v>
                </c:pt>
                <c:pt idx="125">
                  <c:v>29275</c:v>
                </c:pt>
                <c:pt idx="126">
                  <c:v>29250</c:v>
                </c:pt>
                <c:pt idx="127">
                  <c:v>29225</c:v>
                </c:pt>
                <c:pt idx="128">
                  <c:v>29200</c:v>
                </c:pt>
                <c:pt idx="129">
                  <c:v>29175</c:v>
                </c:pt>
                <c:pt idx="130">
                  <c:v>29150</c:v>
                </c:pt>
                <c:pt idx="131">
                  <c:v>29125</c:v>
                </c:pt>
                <c:pt idx="132">
                  <c:v>29100</c:v>
                </c:pt>
                <c:pt idx="133">
                  <c:v>29075</c:v>
                </c:pt>
                <c:pt idx="134">
                  <c:v>29050</c:v>
                </c:pt>
                <c:pt idx="135">
                  <c:v>29025</c:v>
                </c:pt>
                <c:pt idx="136">
                  <c:v>29000</c:v>
                </c:pt>
                <c:pt idx="137">
                  <c:v>28975</c:v>
                </c:pt>
                <c:pt idx="138">
                  <c:v>28950</c:v>
                </c:pt>
                <c:pt idx="139">
                  <c:v>28925</c:v>
                </c:pt>
                <c:pt idx="140">
                  <c:v>28900</c:v>
                </c:pt>
                <c:pt idx="141">
                  <c:v>28875</c:v>
                </c:pt>
                <c:pt idx="142">
                  <c:v>28850</c:v>
                </c:pt>
                <c:pt idx="143">
                  <c:v>28825</c:v>
                </c:pt>
                <c:pt idx="144">
                  <c:v>28800</c:v>
                </c:pt>
                <c:pt idx="145">
                  <c:v>28775</c:v>
                </c:pt>
                <c:pt idx="146">
                  <c:v>28750</c:v>
                </c:pt>
                <c:pt idx="147">
                  <c:v>28725</c:v>
                </c:pt>
                <c:pt idx="148">
                  <c:v>28700</c:v>
                </c:pt>
                <c:pt idx="149">
                  <c:v>28675</c:v>
                </c:pt>
                <c:pt idx="150">
                  <c:v>28650</c:v>
                </c:pt>
                <c:pt idx="151">
                  <c:v>28625</c:v>
                </c:pt>
                <c:pt idx="152">
                  <c:v>28600</c:v>
                </c:pt>
                <c:pt idx="153">
                  <c:v>28575</c:v>
                </c:pt>
                <c:pt idx="154">
                  <c:v>28550</c:v>
                </c:pt>
                <c:pt idx="155">
                  <c:v>28525</c:v>
                </c:pt>
                <c:pt idx="156">
                  <c:v>28500</c:v>
                </c:pt>
                <c:pt idx="157">
                  <c:v>28475</c:v>
                </c:pt>
                <c:pt idx="158">
                  <c:v>28450</c:v>
                </c:pt>
                <c:pt idx="159">
                  <c:v>28425</c:v>
                </c:pt>
                <c:pt idx="160">
                  <c:v>28400</c:v>
                </c:pt>
                <c:pt idx="161">
                  <c:v>28375</c:v>
                </c:pt>
                <c:pt idx="162">
                  <c:v>28350</c:v>
                </c:pt>
                <c:pt idx="163">
                  <c:v>28325</c:v>
                </c:pt>
                <c:pt idx="164">
                  <c:v>28300</c:v>
                </c:pt>
                <c:pt idx="165">
                  <c:v>28275</c:v>
                </c:pt>
                <c:pt idx="166">
                  <c:v>28250</c:v>
                </c:pt>
                <c:pt idx="167">
                  <c:v>28225</c:v>
                </c:pt>
                <c:pt idx="168">
                  <c:v>28200</c:v>
                </c:pt>
                <c:pt idx="169">
                  <c:v>28175</c:v>
                </c:pt>
                <c:pt idx="170">
                  <c:v>28150</c:v>
                </c:pt>
                <c:pt idx="171">
                  <c:v>28125</c:v>
                </c:pt>
                <c:pt idx="172">
                  <c:v>28100</c:v>
                </c:pt>
                <c:pt idx="173">
                  <c:v>28075</c:v>
                </c:pt>
                <c:pt idx="174">
                  <c:v>28050</c:v>
                </c:pt>
                <c:pt idx="175">
                  <c:v>28025</c:v>
                </c:pt>
                <c:pt idx="176">
                  <c:v>28000</c:v>
                </c:pt>
                <c:pt idx="177">
                  <c:v>27975</c:v>
                </c:pt>
                <c:pt idx="178">
                  <c:v>27950</c:v>
                </c:pt>
                <c:pt idx="179">
                  <c:v>27925</c:v>
                </c:pt>
                <c:pt idx="180">
                  <c:v>27900</c:v>
                </c:pt>
                <c:pt idx="181">
                  <c:v>27875</c:v>
                </c:pt>
                <c:pt idx="182">
                  <c:v>27850</c:v>
                </c:pt>
                <c:pt idx="183">
                  <c:v>27825</c:v>
                </c:pt>
                <c:pt idx="184">
                  <c:v>27800</c:v>
                </c:pt>
                <c:pt idx="185">
                  <c:v>27775</c:v>
                </c:pt>
                <c:pt idx="186">
                  <c:v>27750</c:v>
                </c:pt>
                <c:pt idx="187">
                  <c:v>27725</c:v>
                </c:pt>
                <c:pt idx="188">
                  <c:v>27700</c:v>
                </c:pt>
                <c:pt idx="189">
                  <c:v>27675</c:v>
                </c:pt>
                <c:pt idx="190">
                  <c:v>27650</c:v>
                </c:pt>
                <c:pt idx="191">
                  <c:v>27625</c:v>
                </c:pt>
                <c:pt idx="192">
                  <c:v>27600</c:v>
                </c:pt>
                <c:pt idx="193">
                  <c:v>27575</c:v>
                </c:pt>
                <c:pt idx="194">
                  <c:v>27550</c:v>
                </c:pt>
                <c:pt idx="195">
                  <c:v>27525</c:v>
                </c:pt>
                <c:pt idx="196">
                  <c:v>27500</c:v>
                </c:pt>
                <c:pt idx="197">
                  <c:v>27474.999999999996</c:v>
                </c:pt>
                <c:pt idx="198">
                  <c:v>27450</c:v>
                </c:pt>
                <c:pt idx="199">
                  <c:v>27425</c:v>
                </c:pt>
                <c:pt idx="200">
                  <c:v>25400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6924</c:v>
                </c:pt>
                <c:pt idx="1">
                  <c:v>6924</c:v>
                </c:pt>
                <c:pt idx="2">
                  <c:v>6924</c:v>
                </c:pt>
                <c:pt idx="3">
                  <c:v>6924</c:v>
                </c:pt>
                <c:pt idx="4">
                  <c:v>6924</c:v>
                </c:pt>
                <c:pt idx="5">
                  <c:v>6924</c:v>
                </c:pt>
                <c:pt idx="6">
                  <c:v>6664.7999999999993</c:v>
                </c:pt>
                <c:pt idx="7">
                  <c:v>6264.7999999999993</c:v>
                </c:pt>
                <c:pt idx="8">
                  <c:v>5864.8</c:v>
                </c:pt>
                <c:pt idx="9">
                  <c:v>5464.7999999999993</c:v>
                </c:pt>
                <c:pt idx="10">
                  <c:v>5064.8</c:v>
                </c:pt>
                <c:pt idx="11">
                  <c:v>4664.8</c:v>
                </c:pt>
                <c:pt idx="12">
                  <c:v>4264.7999999999993</c:v>
                </c:pt>
                <c:pt idx="13">
                  <c:v>3864.8000000000006</c:v>
                </c:pt>
                <c:pt idx="14">
                  <c:v>3464.7999999999993</c:v>
                </c:pt>
                <c:pt idx="15">
                  <c:v>3064.7999999999997</c:v>
                </c:pt>
                <c:pt idx="16">
                  <c:v>2664.8000000000006</c:v>
                </c:pt>
                <c:pt idx="17">
                  <c:v>2264.7999999999993</c:v>
                </c:pt>
                <c:pt idx="18">
                  <c:v>1864.7999999999997</c:v>
                </c:pt>
                <c:pt idx="19">
                  <c:v>1464.8000000000006</c:v>
                </c:pt>
                <c:pt idx="20">
                  <c:v>1064.7999999999995</c:v>
                </c:pt>
                <c:pt idx="21">
                  <c:v>664.79999999999973</c:v>
                </c:pt>
                <c:pt idx="22">
                  <c:v>264.80000000000064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18060</c:v>
                </c:pt>
                <c:pt idx="1">
                  <c:v>17880</c:v>
                </c:pt>
                <c:pt idx="2">
                  <c:v>17700</c:v>
                </c:pt>
                <c:pt idx="3">
                  <c:v>17520</c:v>
                </c:pt>
                <c:pt idx="4">
                  <c:v>17340</c:v>
                </c:pt>
                <c:pt idx="5">
                  <c:v>17160</c:v>
                </c:pt>
                <c:pt idx="6">
                  <c:v>17100</c:v>
                </c:pt>
                <c:pt idx="7">
                  <c:v>17100</c:v>
                </c:pt>
                <c:pt idx="8">
                  <c:v>17100</c:v>
                </c:pt>
                <c:pt idx="9">
                  <c:v>17100</c:v>
                </c:pt>
                <c:pt idx="10">
                  <c:v>17100</c:v>
                </c:pt>
                <c:pt idx="11">
                  <c:v>17100</c:v>
                </c:pt>
                <c:pt idx="12">
                  <c:v>17100</c:v>
                </c:pt>
                <c:pt idx="13">
                  <c:v>17100</c:v>
                </c:pt>
                <c:pt idx="14">
                  <c:v>17100</c:v>
                </c:pt>
                <c:pt idx="15">
                  <c:v>17100</c:v>
                </c:pt>
                <c:pt idx="16">
                  <c:v>17100</c:v>
                </c:pt>
                <c:pt idx="17">
                  <c:v>17100</c:v>
                </c:pt>
                <c:pt idx="18">
                  <c:v>17100</c:v>
                </c:pt>
                <c:pt idx="19">
                  <c:v>17100</c:v>
                </c:pt>
                <c:pt idx="20">
                  <c:v>17100</c:v>
                </c:pt>
                <c:pt idx="21">
                  <c:v>17100</c:v>
                </c:pt>
                <c:pt idx="22">
                  <c:v>17100</c:v>
                </c:pt>
                <c:pt idx="23">
                  <c:v>17040</c:v>
                </c:pt>
                <c:pt idx="24">
                  <c:v>16860</c:v>
                </c:pt>
                <c:pt idx="25">
                  <c:v>16680</c:v>
                </c:pt>
                <c:pt idx="26">
                  <c:v>16500</c:v>
                </c:pt>
                <c:pt idx="27">
                  <c:v>16320</c:v>
                </c:pt>
                <c:pt idx="28">
                  <c:v>16140</c:v>
                </c:pt>
                <c:pt idx="29">
                  <c:v>15960</c:v>
                </c:pt>
                <c:pt idx="30">
                  <c:v>15780</c:v>
                </c:pt>
                <c:pt idx="31">
                  <c:v>15600</c:v>
                </c:pt>
                <c:pt idx="32">
                  <c:v>15420</c:v>
                </c:pt>
                <c:pt idx="33">
                  <c:v>15240</c:v>
                </c:pt>
                <c:pt idx="34">
                  <c:v>15120</c:v>
                </c:pt>
                <c:pt idx="35">
                  <c:v>15000</c:v>
                </c:pt>
                <c:pt idx="36">
                  <c:v>14880</c:v>
                </c:pt>
                <c:pt idx="37">
                  <c:v>14760</c:v>
                </c:pt>
                <c:pt idx="38">
                  <c:v>14640</c:v>
                </c:pt>
                <c:pt idx="39">
                  <c:v>14520</c:v>
                </c:pt>
                <c:pt idx="40">
                  <c:v>14400</c:v>
                </c:pt>
                <c:pt idx="41">
                  <c:v>14280</c:v>
                </c:pt>
                <c:pt idx="42">
                  <c:v>14160</c:v>
                </c:pt>
                <c:pt idx="43">
                  <c:v>14040</c:v>
                </c:pt>
                <c:pt idx="44">
                  <c:v>13920</c:v>
                </c:pt>
                <c:pt idx="45">
                  <c:v>13800</c:v>
                </c:pt>
                <c:pt idx="46">
                  <c:v>13680</c:v>
                </c:pt>
                <c:pt idx="47">
                  <c:v>13560</c:v>
                </c:pt>
                <c:pt idx="48">
                  <c:v>13440</c:v>
                </c:pt>
                <c:pt idx="49">
                  <c:v>13320</c:v>
                </c:pt>
                <c:pt idx="50">
                  <c:v>13200</c:v>
                </c:pt>
                <c:pt idx="51">
                  <c:v>13080</c:v>
                </c:pt>
                <c:pt idx="52">
                  <c:v>12960</c:v>
                </c:pt>
                <c:pt idx="53">
                  <c:v>12840</c:v>
                </c:pt>
                <c:pt idx="54">
                  <c:v>12720</c:v>
                </c:pt>
                <c:pt idx="55">
                  <c:v>12600</c:v>
                </c:pt>
                <c:pt idx="56">
                  <c:v>12480</c:v>
                </c:pt>
                <c:pt idx="57">
                  <c:v>12360</c:v>
                </c:pt>
                <c:pt idx="58">
                  <c:v>12240</c:v>
                </c:pt>
                <c:pt idx="59">
                  <c:v>12120</c:v>
                </c:pt>
                <c:pt idx="60">
                  <c:v>12000</c:v>
                </c:pt>
                <c:pt idx="61">
                  <c:v>11880</c:v>
                </c:pt>
                <c:pt idx="62">
                  <c:v>11760</c:v>
                </c:pt>
                <c:pt idx="63">
                  <c:v>11640</c:v>
                </c:pt>
                <c:pt idx="64">
                  <c:v>11520</c:v>
                </c:pt>
                <c:pt idx="65">
                  <c:v>11400</c:v>
                </c:pt>
                <c:pt idx="66">
                  <c:v>11280</c:v>
                </c:pt>
                <c:pt idx="67">
                  <c:v>11160</c:v>
                </c:pt>
                <c:pt idx="68">
                  <c:v>11040</c:v>
                </c:pt>
                <c:pt idx="69">
                  <c:v>10920</c:v>
                </c:pt>
                <c:pt idx="70">
                  <c:v>10800</c:v>
                </c:pt>
                <c:pt idx="71">
                  <c:v>10680</c:v>
                </c:pt>
                <c:pt idx="72">
                  <c:v>10560</c:v>
                </c:pt>
                <c:pt idx="73">
                  <c:v>10440</c:v>
                </c:pt>
                <c:pt idx="74">
                  <c:v>10320</c:v>
                </c:pt>
                <c:pt idx="75">
                  <c:v>10200</c:v>
                </c:pt>
                <c:pt idx="76">
                  <c:v>10080</c:v>
                </c:pt>
                <c:pt idx="77">
                  <c:v>9960</c:v>
                </c:pt>
                <c:pt idx="78">
                  <c:v>9840</c:v>
                </c:pt>
                <c:pt idx="79">
                  <c:v>9720</c:v>
                </c:pt>
                <c:pt idx="80">
                  <c:v>9600</c:v>
                </c:pt>
                <c:pt idx="81">
                  <c:v>9480</c:v>
                </c:pt>
                <c:pt idx="82">
                  <c:v>9360</c:v>
                </c:pt>
                <c:pt idx="83">
                  <c:v>9240</c:v>
                </c:pt>
                <c:pt idx="84">
                  <c:v>9120</c:v>
                </c:pt>
                <c:pt idx="85">
                  <c:v>9000</c:v>
                </c:pt>
                <c:pt idx="86">
                  <c:v>8880</c:v>
                </c:pt>
                <c:pt idx="87">
                  <c:v>8760</c:v>
                </c:pt>
                <c:pt idx="88">
                  <c:v>8640</c:v>
                </c:pt>
                <c:pt idx="89">
                  <c:v>8520</c:v>
                </c:pt>
                <c:pt idx="90">
                  <c:v>8400</c:v>
                </c:pt>
                <c:pt idx="91">
                  <c:v>8280</c:v>
                </c:pt>
                <c:pt idx="92">
                  <c:v>8160</c:v>
                </c:pt>
                <c:pt idx="93">
                  <c:v>8040</c:v>
                </c:pt>
                <c:pt idx="94">
                  <c:v>7920</c:v>
                </c:pt>
                <c:pt idx="95">
                  <c:v>7800</c:v>
                </c:pt>
                <c:pt idx="96">
                  <c:v>7680</c:v>
                </c:pt>
                <c:pt idx="97">
                  <c:v>7560</c:v>
                </c:pt>
                <c:pt idx="98">
                  <c:v>7440</c:v>
                </c:pt>
                <c:pt idx="99">
                  <c:v>7320</c:v>
                </c:pt>
                <c:pt idx="100">
                  <c:v>7200</c:v>
                </c:pt>
                <c:pt idx="101">
                  <c:v>7080</c:v>
                </c:pt>
                <c:pt idx="102">
                  <c:v>6960</c:v>
                </c:pt>
                <c:pt idx="103">
                  <c:v>6840</c:v>
                </c:pt>
                <c:pt idx="104">
                  <c:v>6720</c:v>
                </c:pt>
                <c:pt idx="105">
                  <c:v>6600</c:v>
                </c:pt>
                <c:pt idx="106">
                  <c:v>6480</c:v>
                </c:pt>
                <c:pt idx="107">
                  <c:v>6360</c:v>
                </c:pt>
                <c:pt idx="108">
                  <c:v>6240</c:v>
                </c:pt>
                <c:pt idx="109">
                  <c:v>6120</c:v>
                </c:pt>
                <c:pt idx="110">
                  <c:v>6000</c:v>
                </c:pt>
                <c:pt idx="111">
                  <c:v>5880</c:v>
                </c:pt>
                <c:pt idx="112">
                  <c:v>5760</c:v>
                </c:pt>
                <c:pt idx="113">
                  <c:v>5640</c:v>
                </c:pt>
                <c:pt idx="114">
                  <c:v>5520</c:v>
                </c:pt>
                <c:pt idx="115">
                  <c:v>5400</c:v>
                </c:pt>
                <c:pt idx="116">
                  <c:v>5280</c:v>
                </c:pt>
                <c:pt idx="117">
                  <c:v>5160</c:v>
                </c:pt>
                <c:pt idx="118">
                  <c:v>5040</c:v>
                </c:pt>
                <c:pt idx="119">
                  <c:v>4920</c:v>
                </c:pt>
                <c:pt idx="120">
                  <c:v>4800</c:v>
                </c:pt>
                <c:pt idx="121">
                  <c:v>4680</c:v>
                </c:pt>
                <c:pt idx="122">
                  <c:v>4560</c:v>
                </c:pt>
                <c:pt idx="123">
                  <c:v>4440</c:v>
                </c:pt>
                <c:pt idx="124">
                  <c:v>4320</c:v>
                </c:pt>
                <c:pt idx="125">
                  <c:v>4200</c:v>
                </c:pt>
                <c:pt idx="126">
                  <c:v>4080</c:v>
                </c:pt>
                <c:pt idx="127">
                  <c:v>3960</c:v>
                </c:pt>
                <c:pt idx="128">
                  <c:v>3840</c:v>
                </c:pt>
                <c:pt idx="129">
                  <c:v>3720</c:v>
                </c:pt>
                <c:pt idx="130">
                  <c:v>3600</c:v>
                </c:pt>
                <c:pt idx="131">
                  <c:v>3480</c:v>
                </c:pt>
                <c:pt idx="132">
                  <c:v>3360</c:v>
                </c:pt>
                <c:pt idx="133">
                  <c:v>3240</c:v>
                </c:pt>
                <c:pt idx="134">
                  <c:v>3120</c:v>
                </c:pt>
                <c:pt idx="135">
                  <c:v>3000</c:v>
                </c:pt>
                <c:pt idx="136">
                  <c:v>2880</c:v>
                </c:pt>
                <c:pt idx="137">
                  <c:v>2760</c:v>
                </c:pt>
                <c:pt idx="138">
                  <c:v>2640</c:v>
                </c:pt>
                <c:pt idx="139">
                  <c:v>2520</c:v>
                </c:pt>
                <c:pt idx="140">
                  <c:v>2400</c:v>
                </c:pt>
                <c:pt idx="141">
                  <c:v>2280</c:v>
                </c:pt>
                <c:pt idx="142">
                  <c:v>2160</c:v>
                </c:pt>
                <c:pt idx="143">
                  <c:v>2040</c:v>
                </c:pt>
                <c:pt idx="144">
                  <c:v>1920</c:v>
                </c:pt>
                <c:pt idx="145">
                  <c:v>1800</c:v>
                </c:pt>
                <c:pt idx="146">
                  <c:v>1680</c:v>
                </c:pt>
                <c:pt idx="147">
                  <c:v>1560</c:v>
                </c:pt>
                <c:pt idx="148">
                  <c:v>1440</c:v>
                </c:pt>
                <c:pt idx="149">
                  <c:v>1320</c:v>
                </c:pt>
                <c:pt idx="150">
                  <c:v>1200</c:v>
                </c:pt>
                <c:pt idx="151">
                  <c:v>1080</c:v>
                </c:pt>
                <c:pt idx="152">
                  <c:v>960</c:v>
                </c:pt>
                <c:pt idx="153">
                  <c:v>840</c:v>
                </c:pt>
                <c:pt idx="154">
                  <c:v>720</c:v>
                </c:pt>
                <c:pt idx="155">
                  <c:v>600</c:v>
                </c:pt>
                <c:pt idx="156">
                  <c:v>480</c:v>
                </c:pt>
                <c:pt idx="157">
                  <c:v>360</c:v>
                </c:pt>
                <c:pt idx="158">
                  <c:v>288</c:v>
                </c:pt>
                <c:pt idx="159">
                  <c:v>120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882.24</c:v>
                </c:pt>
                <c:pt idx="131">
                  <c:v>882.24</c:v>
                </c:pt>
                <c:pt idx="132">
                  <c:v>882.24</c:v>
                </c:pt>
                <c:pt idx="133">
                  <c:v>882.24</c:v>
                </c:pt>
                <c:pt idx="134">
                  <c:v>882.24</c:v>
                </c:pt>
                <c:pt idx="135">
                  <c:v>882.24</c:v>
                </c:pt>
                <c:pt idx="136">
                  <c:v>882.24</c:v>
                </c:pt>
                <c:pt idx="137">
                  <c:v>882.24</c:v>
                </c:pt>
                <c:pt idx="138">
                  <c:v>882.24</c:v>
                </c:pt>
                <c:pt idx="139">
                  <c:v>882.24</c:v>
                </c:pt>
                <c:pt idx="140">
                  <c:v>882.24</c:v>
                </c:pt>
                <c:pt idx="141">
                  <c:v>882.24</c:v>
                </c:pt>
                <c:pt idx="142">
                  <c:v>882.24</c:v>
                </c:pt>
                <c:pt idx="143">
                  <c:v>882.24</c:v>
                </c:pt>
                <c:pt idx="144">
                  <c:v>882.24</c:v>
                </c:pt>
                <c:pt idx="145">
                  <c:v>882.24</c:v>
                </c:pt>
                <c:pt idx="146">
                  <c:v>882.24</c:v>
                </c:pt>
                <c:pt idx="147">
                  <c:v>882.24</c:v>
                </c:pt>
                <c:pt idx="148">
                  <c:v>882.24</c:v>
                </c:pt>
                <c:pt idx="149">
                  <c:v>882.24</c:v>
                </c:pt>
                <c:pt idx="150">
                  <c:v>882.24</c:v>
                </c:pt>
                <c:pt idx="151">
                  <c:v>882.24</c:v>
                </c:pt>
                <c:pt idx="152">
                  <c:v>882.24</c:v>
                </c:pt>
                <c:pt idx="153">
                  <c:v>882.24</c:v>
                </c:pt>
                <c:pt idx="154">
                  <c:v>882.24</c:v>
                </c:pt>
                <c:pt idx="155">
                  <c:v>882.24</c:v>
                </c:pt>
                <c:pt idx="156">
                  <c:v>882.24</c:v>
                </c:pt>
                <c:pt idx="157">
                  <c:v>882.24</c:v>
                </c:pt>
                <c:pt idx="158">
                  <c:v>882.24</c:v>
                </c:pt>
                <c:pt idx="159">
                  <c:v>882.24</c:v>
                </c:pt>
                <c:pt idx="160">
                  <c:v>882.24</c:v>
                </c:pt>
                <c:pt idx="161">
                  <c:v>882.24</c:v>
                </c:pt>
                <c:pt idx="162">
                  <c:v>882.24</c:v>
                </c:pt>
                <c:pt idx="163">
                  <c:v>882.24</c:v>
                </c:pt>
                <c:pt idx="164">
                  <c:v>882.24</c:v>
                </c:pt>
                <c:pt idx="165">
                  <c:v>882.24</c:v>
                </c:pt>
                <c:pt idx="166">
                  <c:v>882.24</c:v>
                </c:pt>
                <c:pt idx="167">
                  <c:v>882.24</c:v>
                </c:pt>
                <c:pt idx="168">
                  <c:v>882.24</c:v>
                </c:pt>
                <c:pt idx="169">
                  <c:v>882.24</c:v>
                </c:pt>
                <c:pt idx="170">
                  <c:v>882.24</c:v>
                </c:pt>
                <c:pt idx="171">
                  <c:v>882.24</c:v>
                </c:pt>
                <c:pt idx="172">
                  <c:v>882.24</c:v>
                </c:pt>
                <c:pt idx="173">
                  <c:v>882.24</c:v>
                </c:pt>
                <c:pt idx="174">
                  <c:v>882.24</c:v>
                </c:pt>
                <c:pt idx="175">
                  <c:v>882.24</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15610.788</c:v>
                </c:pt>
                <c:pt idx="1">
                  <c:v>15460.788</c:v>
                </c:pt>
                <c:pt idx="2">
                  <c:v>15310.787999999999</c:v>
                </c:pt>
                <c:pt idx="3">
                  <c:v>15160.788</c:v>
                </c:pt>
                <c:pt idx="4">
                  <c:v>15010.788</c:v>
                </c:pt>
                <c:pt idx="5">
                  <c:v>14860.787999999999</c:v>
                </c:pt>
                <c:pt idx="6">
                  <c:v>14788.547999999999</c:v>
                </c:pt>
                <c:pt idx="7">
                  <c:v>14758.547999999999</c:v>
                </c:pt>
                <c:pt idx="8">
                  <c:v>14728.547999999999</c:v>
                </c:pt>
                <c:pt idx="9">
                  <c:v>14698.547999999999</c:v>
                </c:pt>
                <c:pt idx="10">
                  <c:v>14668.547999999999</c:v>
                </c:pt>
                <c:pt idx="11">
                  <c:v>14638.547999999999</c:v>
                </c:pt>
                <c:pt idx="12">
                  <c:v>14608.547999999999</c:v>
                </c:pt>
                <c:pt idx="13">
                  <c:v>14578.547999999999</c:v>
                </c:pt>
                <c:pt idx="14">
                  <c:v>14548.547999999999</c:v>
                </c:pt>
                <c:pt idx="15">
                  <c:v>14518.547999999999</c:v>
                </c:pt>
                <c:pt idx="16">
                  <c:v>14488.547999999999</c:v>
                </c:pt>
                <c:pt idx="17">
                  <c:v>14458.547999999999</c:v>
                </c:pt>
                <c:pt idx="18">
                  <c:v>14428.547999999999</c:v>
                </c:pt>
                <c:pt idx="19">
                  <c:v>14398.547999999999</c:v>
                </c:pt>
                <c:pt idx="20">
                  <c:v>14368.547999999999</c:v>
                </c:pt>
                <c:pt idx="21">
                  <c:v>14338.547999999999</c:v>
                </c:pt>
                <c:pt idx="22">
                  <c:v>14308.547999999999</c:v>
                </c:pt>
                <c:pt idx="23">
                  <c:v>14237.988000000001</c:v>
                </c:pt>
                <c:pt idx="24">
                  <c:v>14087.988000000001</c:v>
                </c:pt>
                <c:pt idx="25">
                  <c:v>13937.988000000001</c:v>
                </c:pt>
                <c:pt idx="26">
                  <c:v>13787.988000000001</c:v>
                </c:pt>
                <c:pt idx="27">
                  <c:v>13637.988000000001</c:v>
                </c:pt>
                <c:pt idx="28">
                  <c:v>13487.988000000001</c:v>
                </c:pt>
                <c:pt idx="29">
                  <c:v>13337.988000000001</c:v>
                </c:pt>
                <c:pt idx="30">
                  <c:v>13187.988000000001</c:v>
                </c:pt>
                <c:pt idx="31">
                  <c:v>13037.988000000001</c:v>
                </c:pt>
                <c:pt idx="32">
                  <c:v>12887.988000000001</c:v>
                </c:pt>
                <c:pt idx="33">
                  <c:v>12737.988000000001</c:v>
                </c:pt>
                <c:pt idx="34">
                  <c:v>12587.988000000001</c:v>
                </c:pt>
                <c:pt idx="35">
                  <c:v>12437.988000000001</c:v>
                </c:pt>
                <c:pt idx="36">
                  <c:v>12287.988000000001</c:v>
                </c:pt>
                <c:pt idx="37">
                  <c:v>12137.988000000001</c:v>
                </c:pt>
                <c:pt idx="38">
                  <c:v>11987.988000000001</c:v>
                </c:pt>
                <c:pt idx="39">
                  <c:v>11837.988000000001</c:v>
                </c:pt>
                <c:pt idx="40">
                  <c:v>11687.988000000001</c:v>
                </c:pt>
                <c:pt idx="41">
                  <c:v>11537.988000000001</c:v>
                </c:pt>
                <c:pt idx="42">
                  <c:v>11387.988000000001</c:v>
                </c:pt>
                <c:pt idx="43">
                  <c:v>11237.988000000001</c:v>
                </c:pt>
                <c:pt idx="44">
                  <c:v>11087.988000000001</c:v>
                </c:pt>
                <c:pt idx="45">
                  <c:v>10937.988000000001</c:v>
                </c:pt>
                <c:pt idx="46">
                  <c:v>10787.987999999999</c:v>
                </c:pt>
                <c:pt idx="47">
                  <c:v>10637.988000000001</c:v>
                </c:pt>
                <c:pt idx="48">
                  <c:v>10487.988000000001</c:v>
                </c:pt>
                <c:pt idx="49">
                  <c:v>10337.987999999999</c:v>
                </c:pt>
                <c:pt idx="50">
                  <c:v>10187.987999999999</c:v>
                </c:pt>
                <c:pt idx="51">
                  <c:v>10037.988000000001</c:v>
                </c:pt>
                <c:pt idx="52">
                  <c:v>9887.9880000000012</c:v>
                </c:pt>
                <c:pt idx="53">
                  <c:v>9737.9879999999994</c:v>
                </c:pt>
                <c:pt idx="54">
                  <c:v>9587.9880000000012</c:v>
                </c:pt>
                <c:pt idx="55">
                  <c:v>9437.9880000000012</c:v>
                </c:pt>
                <c:pt idx="56">
                  <c:v>9287.9879999999994</c:v>
                </c:pt>
                <c:pt idx="57">
                  <c:v>9137.9880000000012</c:v>
                </c:pt>
                <c:pt idx="58">
                  <c:v>8987.9880000000012</c:v>
                </c:pt>
                <c:pt idx="59">
                  <c:v>8837.9879999999994</c:v>
                </c:pt>
                <c:pt idx="60">
                  <c:v>8687.9880000000012</c:v>
                </c:pt>
                <c:pt idx="61">
                  <c:v>8537.9880000000012</c:v>
                </c:pt>
                <c:pt idx="62">
                  <c:v>8387.9879999999994</c:v>
                </c:pt>
                <c:pt idx="63">
                  <c:v>8237.9880000000012</c:v>
                </c:pt>
                <c:pt idx="64">
                  <c:v>8087.9880000000003</c:v>
                </c:pt>
                <c:pt idx="65">
                  <c:v>7937.9879999999994</c:v>
                </c:pt>
                <c:pt idx="66">
                  <c:v>7787.9880000000003</c:v>
                </c:pt>
                <c:pt idx="67">
                  <c:v>7637.9880000000003</c:v>
                </c:pt>
                <c:pt idx="68">
                  <c:v>7487.9879999999994</c:v>
                </c:pt>
                <c:pt idx="69">
                  <c:v>7337.9880000000003</c:v>
                </c:pt>
                <c:pt idx="70">
                  <c:v>7187.9880000000003</c:v>
                </c:pt>
                <c:pt idx="71">
                  <c:v>7037.9879999999994</c:v>
                </c:pt>
                <c:pt idx="72">
                  <c:v>6887.9880000000003</c:v>
                </c:pt>
                <c:pt idx="73">
                  <c:v>6737.9880000000003</c:v>
                </c:pt>
                <c:pt idx="74">
                  <c:v>6587.9880000000003</c:v>
                </c:pt>
                <c:pt idx="75">
                  <c:v>6437.9880000000003</c:v>
                </c:pt>
                <c:pt idx="76">
                  <c:v>6287.9880000000003</c:v>
                </c:pt>
                <c:pt idx="77">
                  <c:v>6137.9880000000003</c:v>
                </c:pt>
                <c:pt idx="78">
                  <c:v>5987.9880000000003</c:v>
                </c:pt>
                <c:pt idx="79">
                  <c:v>5837.9880000000003</c:v>
                </c:pt>
                <c:pt idx="80">
                  <c:v>5687.9880000000003</c:v>
                </c:pt>
                <c:pt idx="81">
                  <c:v>5537.9880000000003</c:v>
                </c:pt>
                <c:pt idx="82">
                  <c:v>5387.9880000000003</c:v>
                </c:pt>
                <c:pt idx="83">
                  <c:v>5237.9880000000003</c:v>
                </c:pt>
                <c:pt idx="84">
                  <c:v>5087.9880000000003</c:v>
                </c:pt>
                <c:pt idx="85">
                  <c:v>4937.9880000000003</c:v>
                </c:pt>
                <c:pt idx="86">
                  <c:v>4787.9880000000003</c:v>
                </c:pt>
                <c:pt idx="87">
                  <c:v>4637.9880000000003</c:v>
                </c:pt>
                <c:pt idx="88">
                  <c:v>4487.9880000000003</c:v>
                </c:pt>
                <c:pt idx="89">
                  <c:v>4337.9880000000003</c:v>
                </c:pt>
                <c:pt idx="90">
                  <c:v>4187.9880000000003</c:v>
                </c:pt>
                <c:pt idx="91">
                  <c:v>4037.9880000000003</c:v>
                </c:pt>
                <c:pt idx="92">
                  <c:v>3887.9880000000003</c:v>
                </c:pt>
                <c:pt idx="93">
                  <c:v>3737.9880000000003</c:v>
                </c:pt>
                <c:pt idx="94">
                  <c:v>3587.988000000003</c:v>
                </c:pt>
                <c:pt idx="95">
                  <c:v>3437.9879999999976</c:v>
                </c:pt>
                <c:pt idx="96">
                  <c:v>3287.9880000000003</c:v>
                </c:pt>
                <c:pt idx="97">
                  <c:v>3137.988000000003</c:v>
                </c:pt>
                <c:pt idx="98">
                  <c:v>2987.9879999999976</c:v>
                </c:pt>
                <c:pt idx="99">
                  <c:v>2837.9880000000003</c:v>
                </c:pt>
                <c:pt idx="100">
                  <c:v>2687.9880000000003</c:v>
                </c:pt>
                <c:pt idx="101">
                  <c:v>2537.9880000000003</c:v>
                </c:pt>
                <c:pt idx="102">
                  <c:v>2387.9880000000003</c:v>
                </c:pt>
                <c:pt idx="103">
                  <c:v>2237.9880000000003</c:v>
                </c:pt>
                <c:pt idx="104">
                  <c:v>2087.9880000000003</c:v>
                </c:pt>
                <c:pt idx="105">
                  <c:v>1937.9880000000003</c:v>
                </c:pt>
                <c:pt idx="106">
                  <c:v>1787.9880000000003</c:v>
                </c:pt>
                <c:pt idx="107">
                  <c:v>1637.9880000000003</c:v>
                </c:pt>
                <c:pt idx="108">
                  <c:v>1487.9880000000003</c:v>
                </c:pt>
                <c:pt idx="109">
                  <c:v>1337.9880000000003</c:v>
                </c:pt>
                <c:pt idx="110">
                  <c:v>1187.9880000000003</c:v>
                </c:pt>
                <c:pt idx="111">
                  <c:v>1037.9880000000003</c:v>
                </c:pt>
                <c:pt idx="112">
                  <c:v>887.98800000000028</c:v>
                </c:pt>
                <c:pt idx="113">
                  <c:v>737.98800000000028</c:v>
                </c:pt>
                <c:pt idx="114">
                  <c:v>587.98800000000028</c:v>
                </c:pt>
                <c:pt idx="115">
                  <c:v>437.98800000000028</c:v>
                </c:pt>
                <c:pt idx="116">
                  <c:v>287.98800000000028</c:v>
                </c:pt>
                <c:pt idx="117">
                  <c:v>137.98800000000028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36294</c:v>
                </c:pt>
                <c:pt idx="1">
                  <c:v>36294</c:v>
                </c:pt>
                <c:pt idx="2">
                  <c:v>36294</c:v>
                </c:pt>
                <c:pt idx="3">
                  <c:v>36294</c:v>
                </c:pt>
                <c:pt idx="4">
                  <c:v>36294</c:v>
                </c:pt>
                <c:pt idx="5">
                  <c:v>36294</c:v>
                </c:pt>
                <c:pt idx="6">
                  <c:v>36294</c:v>
                </c:pt>
                <c:pt idx="7">
                  <c:v>36294</c:v>
                </c:pt>
                <c:pt idx="8">
                  <c:v>36294</c:v>
                </c:pt>
                <c:pt idx="9">
                  <c:v>36294</c:v>
                </c:pt>
                <c:pt idx="10">
                  <c:v>36294</c:v>
                </c:pt>
                <c:pt idx="11">
                  <c:v>36294</c:v>
                </c:pt>
                <c:pt idx="12">
                  <c:v>36294</c:v>
                </c:pt>
                <c:pt idx="13">
                  <c:v>36294</c:v>
                </c:pt>
                <c:pt idx="14">
                  <c:v>36294</c:v>
                </c:pt>
                <c:pt idx="15">
                  <c:v>36294</c:v>
                </c:pt>
                <c:pt idx="16">
                  <c:v>36294</c:v>
                </c:pt>
                <c:pt idx="17">
                  <c:v>36294</c:v>
                </c:pt>
                <c:pt idx="18">
                  <c:v>36294</c:v>
                </c:pt>
                <c:pt idx="19">
                  <c:v>36294</c:v>
                </c:pt>
                <c:pt idx="20">
                  <c:v>36294</c:v>
                </c:pt>
                <c:pt idx="21">
                  <c:v>36294</c:v>
                </c:pt>
                <c:pt idx="22">
                  <c:v>36294</c:v>
                </c:pt>
                <c:pt idx="23">
                  <c:v>36294</c:v>
                </c:pt>
                <c:pt idx="24">
                  <c:v>36294</c:v>
                </c:pt>
                <c:pt idx="25">
                  <c:v>36294</c:v>
                </c:pt>
                <c:pt idx="26">
                  <c:v>36294</c:v>
                </c:pt>
                <c:pt idx="27">
                  <c:v>36294</c:v>
                </c:pt>
                <c:pt idx="28">
                  <c:v>36294</c:v>
                </c:pt>
                <c:pt idx="29">
                  <c:v>36294</c:v>
                </c:pt>
                <c:pt idx="30">
                  <c:v>36294</c:v>
                </c:pt>
                <c:pt idx="31">
                  <c:v>36294</c:v>
                </c:pt>
                <c:pt idx="32">
                  <c:v>36294</c:v>
                </c:pt>
                <c:pt idx="33">
                  <c:v>36294</c:v>
                </c:pt>
                <c:pt idx="34">
                  <c:v>36294</c:v>
                </c:pt>
                <c:pt idx="35">
                  <c:v>36294</c:v>
                </c:pt>
                <c:pt idx="36">
                  <c:v>36294</c:v>
                </c:pt>
                <c:pt idx="37">
                  <c:v>36294</c:v>
                </c:pt>
                <c:pt idx="38">
                  <c:v>36294</c:v>
                </c:pt>
                <c:pt idx="39">
                  <c:v>36294</c:v>
                </c:pt>
                <c:pt idx="40">
                  <c:v>36294</c:v>
                </c:pt>
                <c:pt idx="41">
                  <c:v>36294</c:v>
                </c:pt>
                <c:pt idx="42">
                  <c:v>36294</c:v>
                </c:pt>
                <c:pt idx="43">
                  <c:v>36294</c:v>
                </c:pt>
                <c:pt idx="44">
                  <c:v>36294</c:v>
                </c:pt>
                <c:pt idx="45">
                  <c:v>36294</c:v>
                </c:pt>
                <c:pt idx="46">
                  <c:v>36294</c:v>
                </c:pt>
                <c:pt idx="47">
                  <c:v>36294</c:v>
                </c:pt>
                <c:pt idx="48">
                  <c:v>36294</c:v>
                </c:pt>
                <c:pt idx="49">
                  <c:v>36294</c:v>
                </c:pt>
                <c:pt idx="50">
                  <c:v>36294</c:v>
                </c:pt>
                <c:pt idx="51">
                  <c:v>36294</c:v>
                </c:pt>
                <c:pt idx="52">
                  <c:v>36294</c:v>
                </c:pt>
                <c:pt idx="53">
                  <c:v>36294</c:v>
                </c:pt>
                <c:pt idx="54">
                  <c:v>36294</c:v>
                </c:pt>
                <c:pt idx="55">
                  <c:v>36294</c:v>
                </c:pt>
                <c:pt idx="56">
                  <c:v>36294</c:v>
                </c:pt>
                <c:pt idx="57">
                  <c:v>36294</c:v>
                </c:pt>
                <c:pt idx="58">
                  <c:v>36294</c:v>
                </c:pt>
                <c:pt idx="59">
                  <c:v>36294</c:v>
                </c:pt>
                <c:pt idx="60">
                  <c:v>36294</c:v>
                </c:pt>
                <c:pt idx="61">
                  <c:v>36294</c:v>
                </c:pt>
                <c:pt idx="62">
                  <c:v>36294</c:v>
                </c:pt>
                <c:pt idx="63">
                  <c:v>36294</c:v>
                </c:pt>
                <c:pt idx="64">
                  <c:v>36294</c:v>
                </c:pt>
                <c:pt idx="65">
                  <c:v>36294</c:v>
                </c:pt>
                <c:pt idx="66">
                  <c:v>36294</c:v>
                </c:pt>
                <c:pt idx="67">
                  <c:v>36294</c:v>
                </c:pt>
                <c:pt idx="68">
                  <c:v>36294</c:v>
                </c:pt>
                <c:pt idx="69">
                  <c:v>36294</c:v>
                </c:pt>
                <c:pt idx="70">
                  <c:v>36294</c:v>
                </c:pt>
                <c:pt idx="71">
                  <c:v>36294</c:v>
                </c:pt>
                <c:pt idx="72">
                  <c:v>36294</c:v>
                </c:pt>
                <c:pt idx="73">
                  <c:v>36294</c:v>
                </c:pt>
                <c:pt idx="74">
                  <c:v>36294</c:v>
                </c:pt>
                <c:pt idx="75">
                  <c:v>36294</c:v>
                </c:pt>
                <c:pt idx="76">
                  <c:v>36294</c:v>
                </c:pt>
                <c:pt idx="77">
                  <c:v>36294</c:v>
                </c:pt>
                <c:pt idx="78">
                  <c:v>36294</c:v>
                </c:pt>
                <c:pt idx="79">
                  <c:v>36294</c:v>
                </c:pt>
                <c:pt idx="80">
                  <c:v>36294</c:v>
                </c:pt>
                <c:pt idx="81">
                  <c:v>36294</c:v>
                </c:pt>
                <c:pt idx="82">
                  <c:v>36294</c:v>
                </c:pt>
                <c:pt idx="83">
                  <c:v>36294</c:v>
                </c:pt>
                <c:pt idx="84">
                  <c:v>36294</c:v>
                </c:pt>
                <c:pt idx="85">
                  <c:v>36294</c:v>
                </c:pt>
                <c:pt idx="86">
                  <c:v>36294</c:v>
                </c:pt>
                <c:pt idx="87">
                  <c:v>36294</c:v>
                </c:pt>
                <c:pt idx="88">
                  <c:v>36294</c:v>
                </c:pt>
                <c:pt idx="89">
                  <c:v>36294</c:v>
                </c:pt>
                <c:pt idx="90">
                  <c:v>36294</c:v>
                </c:pt>
                <c:pt idx="91">
                  <c:v>36294</c:v>
                </c:pt>
                <c:pt idx="92">
                  <c:v>36294</c:v>
                </c:pt>
                <c:pt idx="93">
                  <c:v>36294</c:v>
                </c:pt>
                <c:pt idx="94">
                  <c:v>36294</c:v>
                </c:pt>
                <c:pt idx="95">
                  <c:v>36294</c:v>
                </c:pt>
                <c:pt idx="96">
                  <c:v>36294</c:v>
                </c:pt>
                <c:pt idx="97">
                  <c:v>36294</c:v>
                </c:pt>
                <c:pt idx="98">
                  <c:v>36294</c:v>
                </c:pt>
                <c:pt idx="99">
                  <c:v>36294</c:v>
                </c:pt>
                <c:pt idx="100">
                  <c:v>36294</c:v>
                </c:pt>
                <c:pt idx="101">
                  <c:v>36294</c:v>
                </c:pt>
                <c:pt idx="102">
                  <c:v>36294</c:v>
                </c:pt>
                <c:pt idx="103">
                  <c:v>36294</c:v>
                </c:pt>
                <c:pt idx="104">
                  <c:v>36294</c:v>
                </c:pt>
                <c:pt idx="105">
                  <c:v>36294</c:v>
                </c:pt>
                <c:pt idx="106">
                  <c:v>36294</c:v>
                </c:pt>
                <c:pt idx="107">
                  <c:v>36294</c:v>
                </c:pt>
                <c:pt idx="108">
                  <c:v>36294</c:v>
                </c:pt>
                <c:pt idx="109">
                  <c:v>36294</c:v>
                </c:pt>
                <c:pt idx="110">
                  <c:v>36294</c:v>
                </c:pt>
                <c:pt idx="111">
                  <c:v>36294</c:v>
                </c:pt>
                <c:pt idx="112">
                  <c:v>36294</c:v>
                </c:pt>
                <c:pt idx="113">
                  <c:v>36294</c:v>
                </c:pt>
                <c:pt idx="114">
                  <c:v>36294</c:v>
                </c:pt>
                <c:pt idx="115">
                  <c:v>36294</c:v>
                </c:pt>
                <c:pt idx="116">
                  <c:v>36294</c:v>
                </c:pt>
                <c:pt idx="117">
                  <c:v>36294</c:v>
                </c:pt>
                <c:pt idx="118">
                  <c:v>36294</c:v>
                </c:pt>
                <c:pt idx="119">
                  <c:v>36294</c:v>
                </c:pt>
                <c:pt idx="120">
                  <c:v>36294</c:v>
                </c:pt>
                <c:pt idx="121">
                  <c:v>36294</c:v>
                </c:pt>
                <c:pt idx="122">
                  <c:v>36294</c:v>
                </c:pt>
                <c:pt idx="123">
                  <c:v>36294</c:v>
                </c:pt>
                <c:pt idx="124">
                  <c:v>36294</c:v>
                </c:pt>
                <c:pt idx="125">
                  <c:v>36294</c:v>
                </c:pt>
                <c:pt idx="126">
                  <c:v>36294</c:v>
                </c:pt>
                <c:pt idx="127">
                  <c:v>36294</c:v>
                </c:pt>
                <c:pt idx="128">
                  <c:v>36294</c:v>
                </c:pt>
                <c:pt idx="129">
                  <c:v>36294</c:v>
                </c:pt>
                <c:pt idx="130">
                  <c:v>36294</c:v>
                </c:pt>
                <c:pt idx="131">
                  <c:v>36294</c:v>
                </c:pt>
                <c:pt idx="132">
                  <c:v>36294</c:v>
                </c:pt>
                <c:pt idx="133">
                  <c:v>36294</c:v>
                </c:pt>
                <c:pt idx="134">
                  <c:v>36294</c:v>
                </c:pt>
                <c:pt idx="135">
                  <c:v>36294</c:v>
                </c:pt>
                <c:pt idx="136">
                  <c:v>36294</c:v>
                </c:pt>
                <c:pt idx="137">
                  <c:v>36294</c:v>
                </c:pt>
                <c:pt idx="138">
                  <c:v>36294</c:v>
                </c:pt>
                <c:pt idx="139">
                  <c:v>11466</c:v>
                </c:pt>
                <c:pt idx="140">
                  <c:v>11466</c:v>
                </c:pt>
                <c:pt idx="141">
                  <c:v>11466</c:v>
                </c:pt>
                <c:pt idx="142">
                  <c:v>11466</c:v>
                </c:pt>
                <c:pt idx="143">
                  <c:v>11466</c:v>
                </c:pt>
                <c:pt idx="144">
                  <c:v>11466</c:v>
                </c:pt>
                <c:pt idx="145">
                  <c:v>11466</c:v>
                </c:pt>
                <c:pt idx="146">
                  <c:v>11466</c:v>
                </c:pt>
                <c:pt idx="147">
                  <c:v>11466</c:v>
                </c:pt>
                <c:pt idx="148">
                  <c:v>11466</c:v>
                </c:pt>
                <c:pt idx="149">
                  <c:v>11466</c:v>
                </c:pt>
                <c:pt idx="150">
                  <c:v>11466</c:v>
                </c:pt>
                <c:pt idx="151">
                  <c:v>11466</c:v>
                </c:pt>
                <c:pt idx="152">
                  <c:v>11466</c:v>
                </c:pt>
                <c:pt idx="153">
                  <c:v>11466</c:v>
                </c:pt>
                <c:pt idx="154">
                  <c:v>11466</c:v>
                </c:pt>
                <c:pt idx="155">
                  <c:v>11466</c:v>
                </c:pt>
                <c:pt idx="156">
                  <c:v>11466</c:v>
                </c:pt>
                <c:pt idx="157">
                  <c:v>11466</c:v>
                </c:pt>
                <c:pt idx="158">
                  <c:v>11466</c:v>
                </c:pt>
                <c:pt idx="159">
                  <c:v>11466</c:v>
                </c:pt>
                <c:pt idx="160">
                  <c:v>11466</c:v>
                </c:pt>
                <c:pt idx="161">
                  <c:v>11466</c:v>
                </c:pt>
                <c:pt idx="162">
                  <c:v>11466</c:v>
                </c:pt>
                <c:pt idx="163">
                  <c:v>11466</c:v>
                </c:pt>
                <c:pt idx="164">
                  <c:v>11466</c:v>
                </c:pt>
                <c:pt idx="165">
                  <c:v>11466</c:v>
                </c:pt>
                <c:pt idx="166">
                  <c:v>11466</c:v>
                </c:pt>
                <c:pt idx="167">
                  <c:v>11466</c:v>
                </c:pt>
                <c:pt idx="168">
                  <c:v>11466</c:v>
                </c:pt>
                <c:pt idx="169">
                  <c:v>11466</c:v>
                </c:pt>
                <c:pt idx="170">
                  <c:v>11466</c:v>
                </c:pt>
                <c:pt idx="171">
                  <c:v>11466</c:v>
                </c:pt>
                <c:pt idx="172">
                  <c:v>11466</c:v>
                </c:pt>
                <c:pt idx="173">
                  <c:v>11466</c:v>
                </c:pt>
                <c:pt idx="174">
                  <c:v>11466</c:v>
                </c:pt>
                <c:pt idx="175">
                  <c:v>11466</c:v>
                </c:pt>
                <c:pt idx="176">
                  <c:v>11466</c:v>
                </c:pt>
                <c:pt idx="177">
                  <c:v>11466</c:v>
                </c:pt>
                <c:pt idx="178">
                  <c:v>11466</c:v>
                </c:pt>
                <c:pt idx="179">
                  <c:v>11466</c:v>
                </c:pt>
                <c:pt idx="180">
                  <c:v>11466</c:v>
                </c:pt>
                <c:pt idx="181">
                  <c:v>11466</c:v>
                </c:pt>
                <c:pt idx="182">
                  <c:v>11466</c:v>
                </c:pt>
                <c:pt idx="183">
                  <c:v>11466</c:v>
                </c:pt>
                <c:pt idx="184">
                  <c:v>11466</c:v>
                </c:pt>
                <c:pt idx="185">
                  <c:v>11466</c:v>
                </c:pt>
                <c:pt idx="186">
                  <c:v>11466</c:v>
                </c:pt>
                <c:pt idx="187">
                  <c:v>11466</c:v>
                </c:pt>
                <c:pt idx="188">
                  <c:v>11466</c:v>
                </c:pt>
                <c:pt idx="189">
                  <c:v>11466</c:v>
                </c:pt>
                <c:pt idx="190">
                  <c:v>11466</c:v>
                </c:pt>
                <c:pt idx="191">
                  <c:v>11466</c:v>
                </c:pt>
                <c:pt idx="192">
                  <c:v>11466</c:v>
                </c:pt>
                <c:pt idx="193">
                  <c:v>11466</c:v>
                </c:pt>
                <c:pt idx="194">
                  <c:v>11466</c:v>
                </c:pt>
                <c:pt idx="195">
                  <c:v>11466</c:v>
                </c:pt>
                <c:pt idx="196">
                  <c:v>11466</c:v>
                </c:pt>
                <c:pt idx="197">
                  <c:v>11466</c:v>
                </c:pt>
                <c:pt idx="198">
                  <c:v>11466</c:v>
                </c:pt>
                <c:pt idx="199">
                  <c:v>11466</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110171.02799999999</c:v>
                      </c:pt>
                      <c:pt idx="1">
                        <c:v>110086.02799999999</c:v>
                      </c:pt>
                      <c:pt idx="2">
                        <c:v>110001.02799999999</c:v>
                      </c:pt>
                      <c:pt idx="3">
                        <c:v>109916.02799999999</c:v>
                      </c:pt>
                      <c:pt idx="4">
                        <c:v>109831.02799999999</c:v>
                      </c:pt>
                      <c:pt idx="5">
                        <c:v>109746.02799999999</c:v>
                      </c:pt>
                      <c:pt idx="6">
                        <c:v>109599.588</c:v>
                      </c:pt>
                      <c:pt idx="7">
                        <c:v>109414.588</c:v>
                      </c:pt>
                      <c:pt idx="8">
                        <c:v>109229.588</c:v>
                      </c:pt>
                      <c:pt idx="9">
                        <c:v>109044.588</c:v>
                      </c:pt>
                      <c:pt idx="10">
                        <c:v>108859.588</c:v>
                      </c:pt>
                      <c:pt idx="11">
                        <c:v>108674.588</c:v>
                      </c:pt>
                      <c:pt idx="12">
                        <c:v>108489.588</c:v>
                      </c:pt>
                      <c:pt idx="13">
                        <c:v>108304.588</c:v>
                      </c:pt>
                      <c:pt idx="14">
                        <c:v>108119.588</c:v>
                      </c:pt>
                      <c:pt idx="15">
                        <c:v>107934.588</c:v>
                      </c:pt>
                      <c:pt idx="16">
                        <c:v>107749.588</c:v>
                      </c:pt>
                      <c:pt idx="17">
                        <c:v>107564.588</c:v>
                      </c:pt>
                      <c:pt idx="18">
                        <c:v>107379.588</c:v>
                      </c:pt>
                      <c:pt idx="19">
                        <c:v>107194.588</c:v>
                      </c:pt>
                      <c:pt idx="20">
                        <c:v>107009.588</c:v>
                      </c:pt>
                      <c:pt idx="21">
                        <c:v>106824.588</c:v>
                      </c:pt>
                      <c:pt idx="22">
                        <c:v>106649.588</c:v>
                      </c:pt>
                      <c:pt idx="23">
                        <c:v>106524.228</c:v>
                      </c:pt>
                      <c:pt idx="24">
                        <c:v>106464.228</c:v>
                      </c:pt>
                      <c:pt idx="25">
                        <c:v>106404.228</c:v>
                      </c:pt>
                      <c:pt idx="26">
                        <c:v>106344.228</c:v>
                      </c:pt>
                      <c:pt idx="27">
                        <c:v>106284.228</c:v>
                      </c:pt>
                      <c:pt idx="28">
                        <c:v>106224.228</c:v>
                      </c:pt>
                      <c:pt idx="29">
                        <c:v>106164.228</c:v>
                      </c:pt>
                      <c:pt idx="30">
                        <c:v>106104.228</c:v>
                      </c:pt>
                      <c:pt idx="31">
                        <c:v>106044.228</c:v>
                      </c:pt>
                      <c:pt idx="32">
                        <c:v>105984.228</c:v>
                      </c:pt>
                      <c:pt idx="33">
                        <c:v>105924.228</c:v>
                      </c:pt>
                      <c:pt idx="34">
                        <c:v>105924.228</c:v>
                      </c:pt>
                      <c:pt idx="35">
                        <c:v>105924.228</c:v>
                      </c:pt>
                      <c:pt idx="36">
                        <c:v>105924.228</c:v>
                      </c:pt>
                      <c:pt idx="37">
                        <c:v>105811.428</c:v>
                      </c:pt>
                      <c:pt idx="38">
                        <c:v>105541.428</c:v>
                      </c:pt>
                      <c:pt idx="39">
                        <c:v>105271.428</c:v>
                      </c:pt>
                      <c:pt idx="40">
                        <c:v>105001.428</c:v>
                      </c:pt>
                      <c:pt idx="41">
                        <c:v>104731.428</c:v>
                      </c:pt>
                      <c:pt idx="42">
                        <c:v>104461.428</c:v>
                      </c:pt>
                      <c:pt idx="43">
                        <c:v>104191.428</c:v>
                      </c:pt>
                      <c:pt idx="44">
                        <c:v>103921.428</c:v>
                      </c:pt>
                      <c:pt idx="45">
                        <c:v>103651.428</c:v>
                      </c:pt>
                      <c:pt idx="46">
                        <c:v>103381.428</c:v>
                      </c:pt>
                      <c:pt idx="47">
                        <c:v>103111.428</c:v>
                      </c:pt>
                      <c:pt idx="48">
                        <c:v>102841.428</c:v>
                      </c:pt>
                      <c:pt idx="49">
                        <c:v>102571.428</c:v>
                      </c:pt>
                      <c:pt idx="50">
                        <c:v>102301.428</c:v>
                      </c:pt>
                      <c:pt idx="51">
                        <c:v>102031.428</c:v>
                      </c:pt>
                      <c:pt idx="52">
                        <c:v>101761.428</c:v>
                      </c:pt>
                      <c:pt idx="53">
                        <c:v>101491.428</c:v>
                      </c:pt>
                      <c:pt idx="54">
                        <c:v>101221.428</c:v>
                      </c:pt>
                      <c:pt idx="55">
                        <c:v>100951.428</c:v>
                      </c:pt>
                      <c:pt idx="56">
                        <c:v>100681.428</c:v>
                      </c:pt>
                      <c:pt idx="57">
                        <c:v>100411.428</c:v>
                      </c:pt>
                      <c:pt idx="58">
                        <c:v>100141.428</c:v>
                      </c:pt>
                      <c:pt idx="59">
                        <c:v>99871.428</c:v>
                      </c:pt>
                      <c:pt idx="60">
                        <c:v>99601.428</c:v>
                      </c:pt>
                      <c:pt idx="61">
                        <c:v>99331.428</c:v>
                      </c:pt>
                      <c:pt idx="62">
                        <c:v>99061.428</c:v>
                      </c:pt>
                      <c:pt idx="63">
                        <c:v>98705.755919999996</c:v>
                      </c:pt>
                      <c:pt idx="64">
                        <c:v>98309.395919999995</c:v>
                      </c:pt>
                      <c:pt idx="65">
                        <c:v>97913.035919999995</c:v>
                      </c:pt>
                      <c:pt idx="66">
                        <c:v>97516.675919999994</c:v>
                      </c:pt>
                      <c:pt idx="67">
                        <c:v>97120.315919999994</c:v>
                      </c:pt>
                      <c:pt idx="68">
                        <c:v>96723.955919999993</c:v>
                      </c:pt>
                      <c:pt idx="69">
                        <c:v>96327.595919999992</c:v>
                      </c:pt>
                      <c:pt idx="70">
                        <c:v>95931.235919999992</c:v>
                      </c:pt>
                      <c:pt idx="71">
                        <c:v>95534.875919999991</c:v>
                      </c:pt>
                      <c:pt idx="72">
                        <c:v>95138.515920000005</c:v>
                      </c:pt>
                      <c:pt idx="73">
                        <c:v>94742.15591999999</c:v>
                      </c:pt>
                      <c:pt idx="74">
                        <c:v>94345.795920000004</c:v>
                      </c:pt>
                      <c:pt idx="75">
                        <c:v>93949.435919999989</c:v>
                      </c:pt>
                      <c:pt idx="76">
                        <c:v>93553.075920000003</c:v>
                      </c:pt>
                      <c:pt idx="77">
                        <c:v>93156.715919999988</c:v>
                      </c:pt>
                      <c:pt idx="78">
                        <c:v>92760.355920000002</c:v>
                      </c:pt>
                      <c:pt idx="79">
                        <c:v>92363.995919999987</c:v>
                      </c:pt>
                      <c:pt idx="80">
                        <c:v>91967.635920000001</c:v>
                      </c:pt>
                      <c:pt idx="81">
                        <c:v>91571.275919999985</c:v>
                      </c:pt>
                      <c:pt idx="82">
                        <c:v>91174.915919999999</c:v>
                      </c:pt>
                      <c:pt idx="83">
                        <c:v>90778.555919999999</c:v>
                      </c:pt>
                      <c:pt idx="84">
                        <c:v>90382.195919999998</c:v>
                      </c:pt>
                      <c:pt idx="85">
                        <c:v>89985.835919999998</c:v>
                      </c:pt>
                      <c:pt idx="86">
                        <c:v>89589.475919999997</c:v>
                      </c:pt>
                      <c:pt idx="87">
                        <c:v>89193.115919999997</c:v>
                      </c:pt>
                      <c:pt idx="88">
                        <c:v>88796.755919999996</c:v>
                      </c:pt>
                      <c:pt idx="89">
                        <c:v>88400.395919999995</c:v>
                      </c:pt>
                      <c:pt idx="90">
                        <c:v>88004.035919999995</c:v>
                      </c:pt>
                      <c:pt idx="91">
                        <c:v>87607.675919999994</c:v>
                      </c:pt>
                      <c:pt idx="92">
                        <c:v>87211.315919999994</c:v>
                      </c:pt>
                      <c:pt idx="93">
                        <c:v>86814.955919999993</c:v>
                      </c:pt>
                      <c:pt idx="94">
                        <c:v>86418.595919999992</c:v>
                      </c:pt>
                      <c:pt idx="95">
                        <c:v>86022.235919999992</c:v>
                      </c:pt>
                      <c:pt idx="96">
                        <c:v>85625.875919999991</c:v>
                      </c:pt>
                      <c:pt idx="97">
                        <c:v>85229.515920000005</c:v>
                      </c:pt>
                      <c:pt idx="98">
                        <c:v>84833.15591999999</c:v>
                      </c:pt>
                      <c:pt idx="99">
                        <c:v>84436.795920000004</c:v>
                      </c:pt>
                      <c:pt idx="100">
                        <c:v>84040.435919999989</c:v>
                      </c:pt>
                      <c:pt idx="101">
                        <c:v>81659.075920000003</c:v>
                      </c:pt>
                      <c:pt idx="102">
                        <c:v>81237.715919999988</c:v>
                      </c:pt>
                      <c:pt idx="103">
                        <c:v>80816.355920000002</c:v>
                      </c:pt>
                      <c:pt idx="104">
                        <c:v>80394.995919999987</c:v>
                      </c:pt>
                      <c:pt idx="105">
                        <c:v>79973.635920000001</c:v>
                      </c:pt>
                      <c:pt idx="106">
                        <c:v>79552.275919999985</c:v>
                      </c:pt>
                      <c:pt idx="107">
                        <c:v>79130.915919999999</c:v>
                      </c:pt>
                      <c:pt idx="108">
                        <c:v>78709.555919999999</c:v>
                      </c:pt>
                      <c:pt idx="109">
                        <c:v>78288.195919999998</c:v>
                      </c:pt>
                      <c:pt idx="110">
                        <c:v>77866.835919999998</c:v>
                      </c:pt>
                      <c:pt idx="111">
                        <c:v>77445.475919999997</c:v>
                      </c:pt>
                      <c:pt idx="112">
                        <c:v>77024.115919999997</c:v>
                      </c:pt>
                      <c:pt idx="113">
                        <c:v>76602.755919999996</c:v>
                      </c:pt>
                      <c:pt idx="114">
                        <c:v>76181.395919999995</c:v>
                      </c:pt>
                      <c:pt idx="115">
                        <c:v>75760.035919999995</c:v>
                      </c:pt>
                      <c:pt idx="116">
                        <c:v>75338.675919999994</c:v>
                      </c:pt>
                      <c:pt idx="117">
                        <c:v>74917.315919999994</c:v>
                      </c:pt>
                      <c:pt idx="118">
                        <c:v>74507.967919999996</c:v>
                      </c:pt>
                      <c:pt idx="119">
                        <c:v>74236.607919999995</c:v>
                      </c:pt>
                      <c:pt idx="120">
                        <c:v>73965.247919999994</c:v>
                      </c:pt>
                      <c:pt idx="121">
                        <c:v>73693.887919999994</c:v>
                      </c:pt>
                      <c:pt idx="122">
                        <c:v>73422.527919999993</c:v>
                      </c:pt>
                      <c:pt idx="123">
                        <c:v>73151.167920000007</c:v>
                      </c:pt>
                      <c:pt idx="124">
                        <c:v>72879.807919999992</c:v>
                      </c:pt>
                      <c:pt idx="125">
                        <c:v>72608.447920000006</c:v>
                      </c:pt>
                      <c:pt idx="126">
                        <c:v>72337.087919999991</c:v>
                      </c:pt>
                      <c:pt idx="127">
                        <c:v>72065.727920000005</c:v>
                      </c:pt>
                      <c:pt idx="128">
                        <c:v>71794.36791999999</c:v>
                      </c:pt>
                      <c:pt idx="129">
                        <c:v>71523.007920000004</c:v>
                      </c:pt>
                      <c:pt idx="130">
                        <c:v>71251.647919999989</c:v>
                      </c:pt>
                      <c:pt idx="131">
                        <c:v>70980.287920000002</c:v>
                      </c:pt>
                      <c:pt idx="132">
                        <c:v>70708.927919999987</c:v>
                      </c:pt>
                      <c:pt idx="133">
                        <c:v>70437.567920000001</c:v>
                      </c:pt>
                      <c:pt idx="134">
                        <c:v>70166.207920000001</c:v>
                      </c:pt>
                      <c:pt idx="135">
                        <c:v>69894.84792</c:v>
                      </c:pt>
                      <c:pt idx="136">
                        <c:v>69623.48792</c:v>
                      </c:pt>
                      <c:pt idx="137">
                        <c:v>69352.127919999999</c:v>
                      </c:pt>
                      <c:pt idx="138">
                        <c:v>68766.240000000005</c:v>
                      </c:pt>
                      <c:pt idx="139">
                        <c:v>43793.240000000005</c:v>
                      </c:pt>
                      <c:pt idx="140">
                        <c:v>43648.240000000005</c:v>
                      </c:pt>
                      <c:pt idx="141">
                        <c:v>43503.240000000005</c:v>
                      </c:pt>
                      <c:pt idx="142">
                        <c:v>43358.240000000005</c:v>
                      </c:pt>
                      <c:pt idx="143">
                        <c:v>43213.240000000005</c:v>
                      </c:pt>
                      <c:pt idx="144">
                        <c:v>43068.240000000005</c:v>
                      </c:pt>
                      <c:pt idx="145">
                        <c:v>42923.240000000005</c:v>
                      </c:pt>
                      <c:pt idx="146">
                        <c:v>42778.240000000005</c:v>
                      </c:pt>
                      <c:pt idx="147">
                        <c:v>42633.240000000005</c:v>
                      </c:pt>
                      <c:pt idx="148">
                        <c:v>42488.240000000005</c:v>
                      </c:pt>
                      <c:pt idx="149">
                        <c:v>42343.240000000005</c:v>
                      </c:pt>
                      <c:pt idx="150">
                        <c:v>42198.240000000005</c:v>
                      </c:pt>
                      <c:pt idx="151">
                        <c:v>42053.240000000005</c:v>
                      </c:pt>
                      <c:pt idx="152">
                        <c:v>41908.240000000005</c:v>
                      </c:pt>
                      <c:pt idx="153">
                        <c:v>41763.240000000005</c:v>
                      </c:pt>
                      <c:pt idx="154">
                        <c:v>41618.240000000005</c:v>
                      </c:pt>
                      <c:pt idx="155">
                        <c:v>41473.240000000005</c:v>
                      </c:pt>
                      <c:pt idx="156">
                        <c:v>41328.240000000005</c:v>
                      </c:pt>
                      <c:pt idx="157">
                        <c:v>41183.240000000005</c:v>
                      </c:pt>
                      <c:pt idx="158">
                        <c:v>41086.240000000005</c:v>
                      </c:pt>
                      <c:pt idx="159">
                        <c:v>40893.240000000005</c:v>
                      </c:pt>
                      <c:pt idx="160">
                        <c:v>40748.240000000005</c:v>
                      </c:pt>
                      <c:pt idx="161">
                        <c:v>40723.240000000005</c:v>
                      </c:pt>
                      <c:pt idx="162">
                        <c:v>40698.240000000005</c:v>
                      </c:pt>
                      <c:pt idx="163">
                        <c:v>40673.240000000005</c:v>
                      </c:pt>
                      <c:pt idx="164">
                        <c:v>40648.240000000005</c:v>
                      </c:pt>
                      <c:pt idx="165">
                        <c:v>40623.240000000005</c:v>
                      </c:pt>
                      <c:pt idx="166">
                        <c:v>40598.240000000005</c:v>
                      </c:pt>
                      <c:pt idx="167">
                        <c:v>40573.240000000005</c:v>
                      </c:pt>
                      <c:pt idx="168">
                        <c:v>40548.240000000005</c:v>
                      </c:pt>
                      <c:pt idx="169">
                        <c:v>40523.240000000005</c:v>
                      </c:pt>
                      <c:pt idx="170">
                        <c:v>40498.240000000005</c:v>
                      </c:pt>
                      <c:pt idx="171">
                        <c:v>40473.240000000005</c:v>
                      </c:pt>
                      <c:pt idx="172">
                        <c:v>40448.240000000005</c:v>
                      </c:pt>
                      <c:pt idx="173">
                        <c:v>40423.240000000005</c:v>
                      </c:pt>
                      <c:pt idx="174">
                        <c:v>40398.240000000005</c:v>
                      </c:pt>
                      <c:pt idx="175">
                        <c:v>40373.240000000005</c:v>
                      </c:pt>
                      <c:pt idx="176">
                        <c:v>39466</c:v>
                      </c:pt>
                      <c:pt idx="177">
                        <c:v>39441</c:v>
                      </c:pt>
                      <c:pt idx="178">
                        <c:v>39416</c:v>
                      </c:pt>
                      <c:pt idx="179">
                        <c:v>39391</c:v>
                      </c:pt>
                      <c:pt idx="180">
                        <c:v>39366</c:v>
                      </c:pt>
                      <c:pt idx="181">
                        <c:v>39341</c:v>
                      </c:pt>
                      <c:pt idx="182">
                        <c:v>39316</c:v>
                      </c:pt>
                      <c:pt idx="183">
                        <c:v>39291</c:v>
                      </c:pt>
                      <c:pt idx="184">
                        <c:v>39266</c:v>
                      </c:pt>
                      <c:pt idx="185">
                        <c:v>39241</c:v>
                      </c:pt>
                      <c:pt idx="186">
                        <c:v>39216</c:v>
                      </c:pt>
                      <c:pt idx="187">
                        <c:v>39191</c:v>
                      </c:pt>
                      <c:pt idx="188">
                        <c:v>39166</c:v>
                      </c:pt>
                      <c:pt idx="189">
                        <c:v>39141</c:v>
                      </c:pt>
                      <c:pt idx="190">
                        <c:v>39116</c:v>
                      </c:pt>
                      <c:pt idx="191">
                        <c:v>39091</c:v>
                      </c:pt>
                      <c:pt idx="192">
                        <c:v>39066</c:v>
                      </c:pt>
                      <c:pt idx="193">
                        <c:v>39041</c:v>
                      </c:pt>
                      <c:pt idx="194">
                        <c:v>39016</c:v>
                      </c:pt>
                      <c:pt idx="195">
                        <c:v>38991</c:v>
                      </c:pt>
                      <c:pt idx="196">
                        <c:v>38966</c:v>
                      </c:pt>
                      <c:pt idx="197">
                        <c:v>38941</c:v>
                      </c:pt>
                      <c:pt idx="198">
                        <c:v>38916</c:v>
                      </c:pt>
                      <c:pt idx="199">
                        <c:v>38891</c:v>
                      </c:pt>
                      <c:pt idx="200">
                        <c:v>25400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110171.02799999999</c:v>
                      </c:pt>
                      <c:pt idx="1">
                        <c:v>110586.02799999999</c:v>
                      </c:pt>
                      <c:pt idx="2">
                        <c:v>111001.02799999999</c:v>
                      </c:pt>
                      <c:pt idx="3">
                        <c:v>111416.02799999999</c:v>
                      </c:pt>
                      <c:pt idx="4">
                        <c:v>111831.02799999999</c:v>
                      </c:pt>
                      <c:pt idx="5">
                        <c:v>112246.02799999999</c:v>
                      </c:pt>
                      <c:pt idx="6">
                        <c:v>112599.588</c:v>
                      </c:pt>
                      <c:pt idx="7">
                        <c:v>112914.588</c:v>
                      </c:pt>
                      <c:pt idx="8">
                        <c:v>113229.588</c:v>
                      </c:pt>
                      <c:pt idx="9">
                        <c:v>113544.588</c:v>
                      </c:pt>
                      <c:pt idx="10">
                        <c:v>113859.588</c:v>
                      </c:pt>
                      <c:pt idx="11">
                        <c:v>114174.588</c:v>
                      </c:pt>
                      <c:pt idx="12">
                        <c:v>114489.588</c:v>
                      </c:pt>
                      <c:pt idx="13">
                        <c:v>114804.588</c:v>
                      </c:pt>
                      <c:pt idx="14">
                        <c:v>115119.588</c:v>
                      </c:pt>
                      <c:pt idx="15">
                        <c:v>115434.588</c:v>
                      </c:pt>
                      <c:pt idx="16">
                        <c:v>115749.588</c:v>
                      </c:pt>
                      <c:pt idx="17">
                        <c:v>116064.588</c:v>
                      </c:pt>
                      <c:pt idx="18">
                        <c:v>116379.588</c:v>
                      </c:pt>
                      <c:pt idx="19">
                        <c:v>116694.588</c:v>
                      </c:pt>
                      <c:pt idx="20">
                        <c:v>117009.588</c:v>
                      </c:pt>
                      <c:pt idx="21">
                        <c:v>117324.588</c:v>
                      </c:pt>
                      <c:pt idx="22">
                        <c:v>117649.588</c:v>
                      </c:pt>
                      <c:pt idx="23">
                        <c:v>118024.228</c:v>
                      </c:pt>
                      <c:pt idx="24">
                        <c:v>118464.228</c:v>
                      </c:pt>
                      <c:pt idx="25">
                        <c:v>118904.228</c:v>
                      </c:pt>
                      <c:pt idx="26">
                        <c:v>119344.228</c:v>
                      </c:pt>
                      <c:pt idx="27">
                        <c:v>119784.228</c:v>
                      </c:pt>
                      <c:pt idx="28">
                        <c:v>120224.228</c:v>
                      </c:pt>
                      <c:pt idx="29">
                        <c:v>120664.228</c:v>
                      </c:pt>
                      <c:pt idx="30">
                        <c:v>121104.228</c:v>
                      </c:pt>
                      <c:pt idx="31">
                        <c:v>121544.228</c:v>
                      </c:pt>
                      <c:pt idx="32">
                        <c:v>121984.228</c:v>
                      </c:pt>
                      <c:pt idx="33">
                        <c:v>122424.228</c:v>
                      </c:pt>
                      <c:pt idx="34">
                        <c:v>122924.228</c:v>
                      </c:pt>
                      <c:pt idx="35">
                        <c:v>123424.228</c:v>
                      </c:pt>
                      <c:pt idx="36">
                        <c:v>123924.228</c:v>
                      </c:pt>
                      <c:pt idx="37">
                        <c:v>124311.428</c:v>
                      </c:pt>
                      <c:pt idx="38">
                        <c:v>124541.428</c:v>
                      </c:pt>
                      <c:pt idx="39">
                        <c:v>124771.428</c:v>
                      </c:pt>
                      <c:pt idx="40">
                        <c:v>125001.428</c:v>
                      </c:pt>
                      <c:pt idx="41">
                        <c:v>125231.428</c:v>
                      </c:pt>
                      <c:pt idx="42">
                        <c:v>125461.428</c:v>
                      </c:pt>
                      <c:pt idx="43">
                        <c:v>125691.428</c:v>
                      </c:pt>
                      <c:pt idx="44">
                        <c:v>125921.428</c:v>
                      </c:pt>
                      <c:pt idx="45">
                        <c:v>126151.428</c:v>
                      </c:pt>
                      <c:pt idx="46">
                        <c:v>126381.428</c:v>
                      </c:pt>
                      <c:pt idx="47">
                        <c:v>126611.428</c:v>
                      </c:pt>
                      <c:pt idx="48">
                        <c:v>126841.428</c:v>
                      </c:pt>
                      <c:pt idx="49">
                        <c:v>127071.428</c:v>
                      </c:pt>
                      <c:pt idx="50">
                        <c:v>127301.428</c:v>
                      </c:pt>
                      <c:pt idx="51">
                        <c:v>127531.428</c:v>
                      </c:pt>
                      <c:pt idx="52">
                        <c:v>127761.428</c:v>
                      </c:pt>
                      <c:pt idx="53">
                        <c:v>127991.428</c:v>
                      </c:pt>
                      <c:pt idx="54">
                        <c:v>128221.428</c:v>
                      </c:pt>
                      <c:pt idx="55">
                        <c:v>128451.428</c:v>
                      </c:pt>
                      <c:pt idx="56">
                        <c:v>128681.428</c:v>
                      </c:pt>
                      <c:pt idx="57">
                        <c:v>128911.428</c:v>
                      </c:pt>
                      <c:pt idx="58">
                        <c:v>129141.428</c:v>
                      </c:pt>
                      <c:pt idx="59">
                        <c:v>129371.428</c:v>
                      </c:pt>
                      <c:pt idx="60">
                        <c:v>129601.428</c:v>
                      </c:pt>
                      <c:pt idx="61">
                        <c:v>129831.428</c:v>
                      </c:pt>
                      <c:pt idx="62">
                        <c:v>130061.428</c:v>
                      </c:pt>
                      <c:pt idx="63">
                        <c:v>130205.75592</c:v>
                      </c:pt>
                      <c:pt idx="64">
                        <c:v>130309.39592</c:v>
                      </c:pt>
                      <c:pt idx="65">
                        <c:v>130413.03591999999</c:v>
                      </c:pt>
                      <c:pt idx="66">
                        <c:v>130516.67591999999</c:v>
                      </c:pt>
                      <c:pt idx="67">
                        <c:v>130620.31591999999</c:v>
                      </c:pt>
                      <c:pt idx="68">
                        <c:v>130723.95591999999</c:v>
                      </c:pt>
                      <c:pt idx="69">
                        <c:v>130827.59591999999</c:v>
                      </c:pt>
                      <c:pt idx="70">
                        <c:v>130931.23591999999</c:v>
                      </c:pt>
                      <c:pt idx="71">
                        <c:v>131034.87591999999</c:v>
                      </c:pt>
                      <c:pt idx="72">
                        <c:v>131138.51592000001</c:v>
                      </c:pt>
                      <c:pt idx="73">
                        <c:v>131242.15591999999</c:v>
                      </c:pt>
                      <c:pt idx="74">
                        <c:v>131345.79592</c:v>
                      </c:pt>
                      <c:pt idx="75">
                        <c:v>131449.43591999999</c:v>
                      </c:pt>
                      <c:pt idx="76">
                        <c:v>131553.07592</c:v>
                      </c:pt>
                      <c:pt idx="77">
                        <c:v>131656.71591999999</c:v>
                      </c:pt>
                      <c:pt idx="78">
                        <c:v>131760.35592</c:v>
                      </c:pt>
                      <c:pt idx="79">
                        <c:v>131863.99591999999</c:v>
                      </c:pt>
                      <c:pt idx="80">
                        <c:v>131967.63592</c:v>
                      </c:pt>
                      <c:pt idx="81">
                        <c:v>132071.27591999999</c:v>
                      </c:pt>
                      <c:pt idx="82">
                        <c:v>132174.91592</c:v>
                      </c:pt>
                      <c:pt idx="83">
                        <c:v>132278.55592000001</c:v>
                      </c:pt>
                      <c:pt idx="84">
                        <c:v>132382.19592</c:v>
                      </c:pt>
                      <c:pt idx="85">
                        <c:v>132485.83591999998</c:v>
                      </c:pt>
                      <c:pt idx="86">
                        <c:v>132589.47592</c:v>
                      </c:pt>
                      <c:pt idx="87">
                        <c:v>132693.11592000001</c:v>
                      </c:pt>
                      <c:pt idx="88">
                        <c:v>132796.75592</c:v>
                      </c:pt>
                      <c:pt idx="89">
                        <c:v>132900.39591999998</c:v>
                      </c:pt>
                      <c:pt idx="90">
                        <c:v>133004.03591999999</c:v>
                      </c:pt>
                      <c:pt idx="91">
                        <c:v>133107.67592000001</c:v>
                      </c:pt>
                      <c:pt idx="92">
                        <c:v>133211.31591999999</c:v>
                      </c:pt>
                      <c:pt idx="93">
                        <c:v>133314.95591999998</c:v>
                      </c:pt>
                      <c:pt idx="94">
                        <c:v>133418.59591999999</c:v>
                      </c:pt>
                      <c:pt idx="95">
                        <c:v>133522.23592000001</c:v>
                      </c:pt>
                      <c:pt idx="96">
                        <c:v>133625.87591999999</c:v>
                      </c:pt>
                      <c:pt idx="97">
                        <c:v>133729.51592000001</c:v>
                      </c:pt>
                      <c:pt idx="98">
                        <c:v>133833.15591999999</c:v>
                      </c:pt>
                      <c:pt idx="99">
                        <c:v>133936.79592</c:v>
                      </c:pt>
                      <c:pt idx="100">
                        <c:v>134040.43591999999</c:v>
                      </c:pt>
                      <c:pt idx="101">
                        <c:v>132159.07592</c:v>
                      </c:pt>
                      <c:pt idx="102">
                        <c:v>132237.71591999999</c:v>
                      </c:pt>
                      <c:pt idx="103">
                        <c:v>132316.35592</c:v>
                      </c:pt>
                      <c:pt idx="104">
                        <c:v>132394.99591999999</c:v>
                      </c:pt>
                      <c:pt idx="105">
                        <c:v>132473.63592</c:v>
                      </c:pt>
                      <c:pt idx="106">
                        <c:v>132552.27591999999</c:v>
                      </c:pt>
                      <c:pt idx="107">
                        <c:v>132630.91592</c:v>
                      </c:pt>
                      <c:pt idx="108">
                        <c:v>132709.55592000001</c:v>
                      </c:pt>
                      <c:pt idx="109">
                        <c:v>132788.19592</c:v>
                      </c:pt>
                      <c:pt idx="110">
                        <c:v>132866.83591999998</c:v>
                      </c:pt>
                      <c:pt idx="111">
                        <c:v>132945.47592</c:v>
                      </c:pt>
                      <c:pt idx="112">
                        <c:v>133024.11592000001</c:v>
                      </c:pt>
                      <c:pt idx="113">
                        <c:v>133102.75592</c:v>
                      </c:pt>
                      <c:pt idx="114">
                        <c:v>133181.39591999998</c:v>
                      </c:pt>
                      <c:pt idx="115">
                        <c:v>133260.03591999999</c:v>
                      </c:pt>
                      <c:pt idx="116">
                        <c:v>133338.67592000001</c:v>
                      </c:pt>
                      <c:pt idx="117">
                        <c:v>133417.31591999999</c:v>
                      </c:pt>
                      <c:pt idx="118">
                        <c:v>133507.96792</c:v>
                      </c:pt>
                      <c:pt idx="119">
                        <c:v>133736.60791999998</c:v>
                      </c:pt>
                      <c:pt idx="120">
                        <c:v>133965.24791999999</c:v>
                      </c:pt>
                      <c:pt idx="121">
                        <c:v>134193.88792000001</c:v>
                      </c:pt>
                      <c:pt idx="122">
                        <c:v>134422.52791999999</c:v>
                      </c:pt>
                      <c:pt idx="123">
                        <c:v>134651.16792000001</c:v>
                      </c:pt>
                      <c:pt idx="124">
                        <c:v>134879.80791999999</c:v>
                      </c:pt>
                      <c:pt idx="125">
                        <c:v>135108.44792000001</c:v>
                      </c:pt>
                      <c:pt idx="126">
                        <c:v>135337.08791999999</c:v>
                      </c:pt>
                      <c:pt idx="127">
                        <c:v>135565.72792</c:v>
                      </c:pt>
                      <c:pt idx="128">
                        <c:v>135794.36791999999</c:v>
                      </c:pt>
                      <c:pt idx="129">
                        <c:v>136023.00792</c:v>
                      </c:pt>
                      <c:pt idx="130">
                        <c:v>136251.64791999999</c:v>
                      </c:pt>
                      <c:pt idx="131">
                        <c:v>136480.28792</c:v>
                      </c:pt>
                      <c:pt idx="132">
                        <c:v>136708.92791999999</c:v>
                      </c:pt>
                      <c:pt idx="133">
                        <c:v>136937.56792</c:v>
                      </c:pt>
                      <c:pt idx="134">
                        <c:v>137166.20792000002</c:v>
                      </c:pt>
                      <c:pt idx="135">
                        <c:v>137394.84792</c:v>
                      </c:pt>
                      <c:pt idx="136">
                        <c:v>137623.48791999999</c:v>
                      </c:pt>
                      <c:pt idx="137">
                        <c:v>137852.12792</c:v>
                      </c:pt>
                      <c:pt idx="138">
                        <c:v>137766.24</c:v>
                      </c:pt>
                      <c:pt idx="139">
                        <c:v>113293.24</c:v>
                      </c:pt>
                      <c:pt idx="140">
                        <c:v>113648.24</c:v>
                      </c:pt>
                      <c:pt idx="141">
                        <c:v>114003.24</c:v>
                      </c:pt>
                      <c:pt idx="142">
                        <c:v>114358.24</c:v>
                      </c:pt>
                      <c:pt idx="143">
                        <c:v>114713.24</c:v>
                      </c:pt>
                      <c:pt idx="144">
                        <c:v>115068.24</c:v>
                      </c:pt>
                      <c:pt idx="145">
                        <c:v>115423.24</c:v>
                      </c:pt>
                      <c:pt idx="146">
                        <c:v>115778.24000000001</c:v>
                      </c:pt>
                      <c:pt idx="147">
                        <c:v>116133.24</c:v>
                      </c:pt>
                      <c:pt idx="148">
                        <c:v>116488.24</c:v>
                      </c:pt>
                      <c:pt idx="149">
                        <c:v>116843.24</c:v>
                      </c:pt>
                      <c:pt idx="150">
                        <c:v>117198.24</c:v>
                      </c:pt>
                      <c:pt idx="151">
                        <c:v>117553.24</c:v>
                      </c:pt>
                      <c:pt idx="152">
                        <c:v>117908.24</c:v>
                      </c:pt>
                      <c:pt idx="153">
                        <c:v>118263.24</c:v>
                      </c:pt>
                      <c:pt idx="154">
                        <c:v>118618.24000000001</c:v>
                      </c:pt>
                      <c:pt idx="155">
                        <c:v>118973.24</c:v>
                      </c:pt>
                      <c:pt idx="156">
                        <c:v>119328.24</c:v>
                      </c:pt>
                      <c:pt idx="157">
                        <c:v>119683.24</c:v>
                      </c:pt>
                      <c:pt idx="158">
                        <c:v>120086.24</c:v>
                      </c:pt>
                      <c:pt idx="159">
                        <c:v>120393.24</c:v>
                      </c:pt>
                      <c:pt idx="160">
                        <c:v>120748.24</c:v>
                      </c:pt>
                      <c:pt idx="161">
                        <c:v>121223.24</c:v>
                      </c:pt>
                      <c:pt idx="162">
                        <c:v>121698.24000000001</c:v>
                      </c:pt>
                      <c:pt idx="163">
                        <c:v>122173.24</c:v>
                      </c:pt>
                      <c:pt idx="164">
                        <c:v>122648.24</c:v>
                      </c:pt>
                      <c:pt idx="165">
                        <c:v>123123.24</c:v>
                      </c:pt>
                      <c:pt idx="166">
                        <c:v>123598.24</c:v>
                      </c:pt>
                      <c:pt idx="167">
                        <c:v>124073.24</c:v>
                      </c:pt>
                      <c:pt idx="168">
                        <c:v>124548.24</c:v>
                      </c:pt>
                      <c:pt idx="169">
                        <c:v>125023.24</c:v>
                      </c:pt>
                      <c:pt idx="170">
                        <c:v>125498.24000000001</c:v>
                      </c:pt>
                      <c:pt idx="171">
                        <c:v>125973.24</c:v>
                      </c:pt>
                      <c:pt idx="172">
                        <c:v>126448.24</c:v>
                      </c:pt>
                      <c:pt idx="173">
                        <c:v>126923.24</c:v>
                      </c:pt>
                      <c:pt idx="174">
                        <c:v>127398.24</c:v>
                      </c:pt>
                      <c:pt idx="175">
                        <c:v>127873.24</c:v>
                      </c:pt>
                      <c:pt idx="176">
                        <c:v>127466</c:v>
                      </c:pt>
                      <c:pt idx="177">
                        <c:v>127941</c:v>
                      </c:pt>
                      <c:pt idx="178">
                        <c:v>128416</c:v>
                      </c:pt>
                      <c:pt idx="179">
                        <c:v>128891</c:v>
                      </c:pt>
                      <c:pt idx="180">
                        <c:v>129366</c:v>
                      </c:pt>
                      <c:pt idx="181">
                        <c:v>129841</c:v>
                      </c:pt>
                      <c:pt idx="182">
                        <c:v>130316</c:v>
                      </c:pt>
                      <c:pt idx="183">
                        <c:v>130791</c:v>
                      </c:pt>
                      <c:pt idx="184">
                        <c:v>131266</c:v>
                      </c:pt>
                      <c:pt idx="185">
                        <c:v>131741</c:v>
                      </c:pt>
                      <c:pt idx="186">
                        <c:v>132216</c:v>
                      </c:pt>
                      <c:pt idx="187">
                        <c:v>132691</c:v>
                      </c:pt>
                      <c:pt idx="188">
                        <c:v>133166</c:v>
                      </c:pt>
                      <c:pt idx="189">
                        <c:v>133641</c:v>
                      </c:pt>
                      <c:pt idx="190">
                        <c:v>134116</c:v>
                      </c:pt>
                      <c:pt idx="191">
                        <c:v>134591</c:v>
                      </c:pt>
                      <c:pt idx="192">
                        <c:v>135066</c:v>
                      </c:pt>
                      <c:pt idx="193">
                        <c:v>135541</c:v>
                      </c:pt>
                      <c:pt idx="194">
                        <c:v>136016</c:v>
                      </c:pt>
                      <c:pt idx="195">
                        <c:v>136491</c:v>
                      </c:pt>
                      <c:pt idx="196">
                        <c:v>136966</c:v>
                      </c:pt>
                      <c:pt idx="197">
                        <c:v>137441</c:v>
                      </c:pt>
                      <c:pt idx="198">
                        <c:v>137916</c:v>
                      </c:pt>
                      <c:pt idx="199">
                        <c:v>138391</c:v>
                      </c:pt>
                      <c:pt idx="200">
                        <c:v>125400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5" zoomScale="85" zoomScaleNormal="85" workbookViewId="0">
      <selection activeCell="A76" sqref="A76:C76"/>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4</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4</v>
      </c>
      <c r="C30" s="423" t="s">
        <v>34</v>
      </c>
      <c r="D30" s="424"/>
      <c r="O30" s="225"/>
      <c r="P30" s="224"/>
      <c r="Q30" s="216"/>
      <c r="R30" s="216"/>
      <c r="S30" s="216"/>
      <c r="T30" s="215"/>
      <c r="U30" s="224"/>
      <c r="V30" s="215"/>
      <c r="Y30" s="224"/>
      <c r="Z30" s="224"/>
    </row>
    <row r="31" spans="1:26" ht="23.25" customHeight="1" x14ac:dyDescent="0.25">
      <c r="A31" s="229" t="s">
        <v>35</v>
      </c>
      <c r="B31" s="230">
        <v>3</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7</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34</v>
      </c>
      <c r="C37" s="425" t="s">
        <v>680</v>
      </c>
      <c r="D37" s="426"/>
      <c r="E37" s="376" t="s">
        <v>67</v>
      </c>
      <c r="O37" s="225"/>
      <c r="P37" s="224"/>
      <c r="Q37" s="216"/>
      <c r="R37" s="216"/>
      <c r="S37" s="216"/>
      <c r="T37" s="215"/>
      <c r="U37" s="224"/>
      <c r="V37" s="215"/>
      <c r="Y37" s="224"/>
      <c r="Z37" s="224"/>
    </row>
    <row r="38" spans="1:26" ht="14.25" customHeight="1" x14ac:dyDescent="0.25">
      <c r="A38" s="235" t="s">
        <v>41</v>
      </c>
      <c r="B38" s="236">
        <v>28</v>
      </c>
      <c r="C38" s="427" t="s">
        <v>680</v>
      </c>
      <c r="D38" s="428"/>
      <c r="E38" s="377" t="s">
        <v>67</v>
      </c>
      <c r="O38" s="225"/>
      <c r="P38" s="224"/>
      <c r="Q38" s="216"/>
      <c r="R38" s="216"/>
      <c r="S38" s="216"/>
      <c r="T38" s="215"/>
      <c r="U38" s="224"/>
      <c r="V38" s="215"/>
      <c r="Y38" s="224"/>
      <c r="Z38" s="224"/>
    </row>
    <row r="39" spans="1:26" ht="14.25" customHeight="1" x14ac:dyDescent="0.25">
      <c r="A39" s="235" t="s">
        <v>42</v>
      </c>
      <c r="B39" s="236">
        <v>67</v>
      </c>
      <c r="C39" s="427" t="s">
        <v>680</v>
      </c>
      <c r="D39" s="428"/>
      <c r="E39" s="377" t="s">
        <v>62</v>
      </c>
      <c r="O39" s="225"/>
      <c r="P39" s="224"/>
      <c r="Q39" s="216"/>
      <c r="R39" s="216"/>
      <c r="S39" s="216"/>
      <c r="T39" s="215"/>
      <c r="U39" s="224"/>
      <c r="V39" s="215"/>
      <c r="Y39" s="224"/>
      <c r="Z39" s="224"/>
    </row>
    <row r="40" spans="1:26" ht="14.25" customHeight="1" x14ac:dyDescent="0.25">
      <c r="A40" s="235" t="s">
        <v>43</v>
      </c>
      <c r="B40" s="236">
        <v>70</v>
      </c>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51</v>
      </c>
      <c r="C48" s="410"/>
      <c r="O48" s="216"/>
      <c r="P48" s="216"/>
      <c r="Q48" s="216"/>
      <c r="R48" s="216"/>
      <c r="S48" s="216"/>
      <c r="T48" s="215"/>
      <c r="U48" s="224"/>
      <c r="V48" s="215"/>
      <c r="Y48" s="224"/>
      <c r="Z48" s="224"/>
    </row>
    <row r="49" spans="1:30" ht="14.25" customHeight="1" x14ac:dyDescent="0.25">
      <c r="A49" s="235" t="s">
        <v>52</v>
      </c>
      <c r="B49" s="300" t="s">
        <v>125</v>
      </c>
      <c r="C49" s="410"/>
      <c r="O49" s="216"/>
      <c r="P49" s="216"/>
      <c r="Q49" s="216"/>
      <c r="R49" s="216"/>
      <c r="S49" s="216"/>
      <c r="T49" s="215"/>
      <c r="U49" s="224"/>
      <c r="V49" s="215"/>
      <c r="Y49" s="224"/>
      <c r="Z49" s="224"/>
    </row>
    <row r="50" spans="1:30" ht="14.25" customHeight="1" x14ac:dyDescent="0.25">
      <c r="A50" s="235" t="s">
        <v>53</v>
      </c>
      <c r="B50" s="300" t="s">
        <v>120</v>
      </c>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200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500</v>
      </c>
      <c r="C77" s="305" t="s">
        <v>83</v>
      </c>
      <c r="D77" s="387" t="s">
        <v>695</v>
      </c>
      <c r="O77" s="225"/>
      <c r="P77" s="224"/>
      <c r="Q77" s="216"/>
      <c r="R77" s="216"/>
      <c r="S77" s="216"/>
      <c r="T77" s="215"/>
      <c r="U77" s="224"/>
      <c r="V77" s="215"/>
      <c r="Y77" s="224"/>
      <c r="Z77" s="224"/>
    </row>
    <row r="78" spans="1:30" ht="35.25" customHeight="1" thickBot="1" x14ac:dyDescent="0.3">
      <c r="A78" s="295" t="s">
        <v>84</v>
      </c>
      <c r="B78" s="296">
        <v>500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500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500</v>
      </c>
      <c r="C90" s="270">
        <f>SUM(E90:M90)</f>
        <v>8828.5490000000009</v>
      </c>
      <c r="D90" s="271">
        <f>SUM(E90:M90)+B90</f>
        <v>9328.5490000000009</v>
      </c>
      <c r="E90" s="267">
        <f>'Child care subsidy'!S208</f>
        <v>2675</v>
      </c>
      <c r="F90" s="268">
        <f>EITC!E208/12</f>
        <v>258.75</v>
      </c>
      <c r="G90" s="268">
        <f>'Health insurance subsidy '!L220</f>
        <v>0</v>
      </c>
      <c r="H90" s="268">
        <f>'Housing Voucher'!Q209</f>
        <v>1217.3789999999999</v>
      </c>
      <c r="I90" s="268">
        <f>Medicaid!N212</f>
        <v>3024.5</v>
      </c>
      <c r="J90" s="268">
        <f>SNAP!V209</f>
        <v>1224</v>
      </c>
      <c r="K90" s="268">
        <f>MAX('TANF-VIEW'!L212,'TANF-VIEW'!T212)</f>
        <v>355.4</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500</v>
      </c>
      <c r="C91" s="270">
        <f>SUM(E91:M91)</f>
        <v>8828.5490000000009</v>
      </c>
      <c r="D91" s="2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SNAP!V211</f>
        <v>1224</v>
      </c>
      <c r="K91" s="283">
        <f>MAX('TANF-VIEW'!L214,'TANF-VIEW'!T214)</f>
        <v>355.4</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32400</v>
      </c>
      <c r="D2" s="185">
        <f>MAX('TANF-VIEW'!L9,'TANF-VIEW'!T9)*12</f>
        <v>6924</v>
      </c>
      <c r="E2" s="193">
        <f>SNAP!V6*12</f>
        <v>18060</v>
      </c>
      <c r="F2" s="184">
        <f>WIC!F8*12</f>
        <v>882.24</v>
      </c>
      <c r="G2" s="185">
        <f>'Housing Voucher'!Q6*12</f>
        <v>15610.788</v>
      </c>
      <c r="H2" s="184">
        <f>EITC!E5</f>
        <v>0</v>
      </c>
      <c r="I2" s="205">
        <f>Medicaid!N9*12</f>
        <v>36294</v>
      </c>
      <c r="J2" s="183"/>
      <c r="K2" s="185">
        <f>SUM(C2:I2)</f>
        <v>110171.02799999999</v>
      </c>
      <c r="L2" s="185">
        <f>A2+K2</f>
        <v>110171.02799999999</v>
      </c>
      <c r="M2" s="36">
        <f>L2/12</f>
        <v>9180.9189999999999</v>
      </c>
    </row>
    <row r="3" spans="1:13" x14ac:dyDescent="0.25">
      <c r="A3" s="186">
        <v>500</v>
      </c>
      <c r="B3" s="33">
        <f>A3/12</f>
        <v>41.666666666666664</v>
      </c>
      <c r="C3" s="185">
        <f>'Child care subsidy'!S6*12</f>
        <v>32375</v>
      </c>
      <c r="D3" s="185">
        <f>MAX('TANF-VIEW'!L10,'TANF-VIEW'!T10)*12</f>
        <v>6924</v>
      </c>
      <c r="E3" s="193">
        <f>SNAP!V7*12</f>
        <v>17880</v>
      </c>
      <c r="F3" s="184">
        <f>WIC!F9*12</f>
        <v>882.24</v>
      </c>
      <c r="G3" s="185">
        <f>'Housing Voucher'!Q7*12</f>
        <v>15460.788</v>
      </c>
      <c r="H3" s="197">
        <f>EITC!E6</f>
        <v>270</v>
      </c>
      <c r="I3" s="205">
        <f>Medicaid!N10*12</f>
        <v>36294</v>
      </c>
      <c r="J3" s="183"/>
      <c r="K3" s="185">
        <f>SUM(C3:I3)</f>
        <v>110086.02799999999</v>
      </c>
      <c r="L3" s="185">
        <f>A3+K3</f>
        <v>110586.02799999999</v>
      </c>
      <c r="M3" s="36">
        <f t="shared" ref="M3:M66" si="0">L3/12</f>
        <v>9215.502333333332</v>
      </c>
    </row>
    <row r="4" spans="1:13" ht="15.75" customHeight="1" x14ac:dyDescent="0.25">
      <c r="A4" s="186">
        <v>1000</v>
      </c>
      <c r="B4" s="33">
        <f>A4/12</f>
        <v>83.333333333333329</v>
      </c>
      <c r="C4" s="185">
        <f>'Child care subsidy'!S7*12</f>
        <v>32350</v>
      </c>
      <c r="D4" s="185">
        <f>MAX('TANF-VIEW'!L11,'TANF-VIEW'!T11)*12</f>
        <v>6924</v>
      </c>
      <c r="E4" s="193">
        <f>SNAP!V8*12</f>
        <v>17700</v>
      </c>
      <c r="F4" s="184">
        <f>WIC!F10*12</f>
        <v>882.24</v>
      </c>
      <c r="G4" s="185">
        <f>'Housing Voucher'!Q8*12</f>
        <v>15310.787999999999</v>
      </c>
      <c r="H4" s="197">
        <f>EITC!E7</f>
        <v>540</v>
      </c>
      <c r="I4" s="205">
        <f>Medicaid!N11*12</f>
        <v>36294</v>
      </c>
      <c r="K4" s="185">
        <f t="shared" ref="K4:K67" si="1">SUM(C4:I4)</f>
        <v>110001.02799999999</v>
      </c>
      <c r="L4" s="185">
        <f t="shared" ref="L4:L67" si="2">A4+K4</f>
        <v>111001.02799999999</v>
      </c>
      <c r="M4" s="36">
        <f t="shared" si="0"/>
        <v>9250.0856666666659</v>
      </c>
    </row>
    <row r="5" spans="1:13" x14ac:dyDescent="0.25">
      <c r="A5" s="186">
        <v>1500</v>
      </c>
      <c r="B5" s="33">
        <f t="shared" ref="B5:B68" si="3">A5/12</f>
        <v>125</v>
      </c>
      <c r="C5" s="185">
        <f>'Child care subsidy'!S8*12</f>
        <v>32325</v>
      </c>
      <c r="D5" s="185">
        <f>MAX('TANF-VIEW'!L12,'TANF-VIEW'!T12)*12</f>
        <v>6924</v>
      </c>
      <c r="E5" s="193">
        <f>SNAP!V9*12</f>
        <v>17520</v>
      </c>
      <c r="F5" s="184">
        <f>WIC!F11*12</f>
        <v>882.24</v>
      </c>
      <c r="G5" s="185">
        <f>'Housing Voucher'!Q9*12</f>
        <v>15160.788</v>
      </c>
      <c r="H5" s="197">
        <f>EITC!E8</f>
        <v>810</v>
      </c>
      <c r="I5" s="205">
        <f>Medicaid!N12*12</f>
        <v>36294</v>
      </c>
      <c r="K5" s="185">
        <f t="shared" si="1"/>
        <v>109916.02799999999</v>
      </c>
      <c r="L5" s="185">
        <f t="shared" si="2"/>
        <v>111416.02799999999</v>
      </c>
      <c r="M5" s="36">
        <f t="shared" si="0"/>
        <v>9284.6689999999999</v>
      </c>
    </row>
    <row r="6" spans="1:13" x14ac:dyDescent="0.25">
      <c r="A6" s="186">
        <v>2000</v>
      </c>
      <c r="B6" s="33">
        <f t="shared" si="3"/>
        <v>166.66666666666666</v>
      </c>
      <c r="C6" s="185">
        <f>'Child care subsidy'!S9*12</f>
        <v>32300</v>
      </c>
      <c r="D6" s="185">
        <f>MAX('TANF-VIEW'!L13,'TANF-VIEW'!T13)*12</f>
        <v>6924</v>
      </c>
      <c r="E6" s="193">
        <f>SNAP!V10*12</f>
        <v>17340</v>
      </c>
      <c r="F6" s="184">
        <f>WIC!F12*12</f>
        <v>882.24</v>
      </c>
      <c r="G6" s="185">
        <f>'Housing Voucher'!Q10*12</f>
        <v>15010.788</v>
      </c>
      <c r="H6" s="197">
        <f>EITC!E9</f>
        <v>1080</v>
      </c>
      <c r="I6" s="205">
        <f>Medicaid!N13*12</f>
        <v>36294</v>
      </c>
      <c r="K6" s="185">
        <f t="shared" si="1"/>
        <v>109831.02799999999</v>
      </c>
      <c r="L6" s="185">
        <f t="shared" si="2"/>
        <v>111831.02799999999</v>
      </c>
      <c r="M6" s="36">
        <f t="shared" si="0"/>
        <v>9319.252333333332</v>
      </c>
    </row>
    <row r="7" spans="1:13" x14ac:dyDescent="0.25">
      <c r="A7" s="186">
        <v>2500</v>
      </c>
      <c r="B7" s="33">
        <f t="shared" si="3"/>
        <v>208.33333333333334</v>
      </c>
      <c r="C7" s="185">
        <f>'Child care subsidy'!S10*12</f>
        <v>32275</v>
      </c>
      <c r="D7" s="185">
        <f>MAX('TANF-VIEW'!L14,'TANF-VIEW'!T14)*12</f>
        <v>6924</v>
      </c>
      <c r="E7" s="193">
        <f>SNAP!V11*12</f>
        <v>17160</v>
      </c>
      <c r="F7" s="184">
        <f>WIC!F13*12</f>
        <v>882.24</v>
      </c>
      <c r="G7" s="185">
        <f>'Housing Voucher'!Q11*12</f>
        <v>14860.787999999999</v>
      </c>
      <c r="H7" s="197">
        <f>EITC!E10</f>
        <v>1350</v>
      </c>
      <c r="I7" s="205">
        <f>Medicaid!N14*12</f>
        <v>36294</v>
      </c>
      <c r="K7" s="185">
        <f t="shared" si="1"/>
        <v>109746.02799999999</v>
      </c>
      <c r="L7" s="185">
        <f t="shared" si="2"/>
        <v>112246.02799999999</v>
      </c>
      <c r="M7" s="36">
        <f t="shared" si="0"/>
        <v>9353.8356666666659</v>
      </c>
    </row>
    <row r="8" spans="1:13" x14ac:dyDescent="0.25">
      <c r="A8" s="186">
        <v>3000</v>
      </c>
      <c r="B8" s="33">
        <f t="shared" si="3"/>
        <v>250</v>
      </c>
      <c r="C8" s="185">
        <f>'Child care subsidy'!S11*12</f>
        <v>32250</v>
      </c>
      <c r="D8" s="185">
        <f>MAX('TANF-VIEW'!L15,'TANF-VIEW'!T15)*12</f>
        <v>6664.7999999999993</v>
      </c>
      <c r="E8" s="193">
        <f>SNAP!V12*12</f>
        <v>17100</v>
      </c>
      <c r="F8" s="184">
        <f>WIC!F14*12</f>
        <v>882.24</v>
      </c>
      <c r="G8" s="185">
        <f>'Housing Voucher'!Q12*12</f>
        <v>14788.547999999999</v>
      </c>
      <c r="H8" s="197">
        <f>EITC!E11</f>
        <v>1620</v>
      </c>
      <c r="I8" s="205">
        <f>Medicaid!N15*12</f>
        <v>36294</v>
      </c>
      <c r="K8" s="185">
        <f t="shared" si="1"/>
        <v>109599.588</v>
      </c>
      <c r="L8" s="185">
        <f t="shared" si="2"/>
        <v>112599.588</v>
      </c>
      <c r="M8" s="36">
        <f t="shared" si="0"/>
        <v>9383.2990000000009</v>
      </c>
    </row>
    <row r="9" spans="1:13" x14ac:dyDescent="0.25">
      <c r="A9" s="186">
        <v>3500</v>
      </c>
      <c r="B9" s="33">
        <f t="shared" si="3"/>
        <v>291.66666666666669</v>
      </c>
      <c r="C9" s="185">
        <f>'Child care subsidy'!S12*12</f>
        <v>32225</v>
      </c>
      <c r="D9" s="185">
        <f>MAX('TANF-VIEW'!L16,'TANF-VIEW'!T16)*12</f>
        <v>6264.7999999999993</v>
      </c>
      <c r="E9" s="193">
        <f>SNAP!V13*12</f>
        <v>17100</v>
      </c>
      <c r="F9" s="184">
        <f>WIC!F15*12</f>
        <v>882.24</v>
      </c>
      <c r="G9" s="185">
        <f>'Housing Voucher'!Q13*12</f>
        <v>14758.547999999999</v>
      </c>
      <c r="H9" s="197">
        <f>EITC!E12</f>
        <v>1890</v>
      </c>
      <c r="I9" s="205">
        <f>Medicaid!N16*12</f>
        <v>36294</v>
      </c>
      <c r="K9" s="185">
        <f t="shared" si="1"/>
        <v>109414.588</v>
      </c>
      <c r="L9" s="185">
        <f t="shared" si="2"/>
        <v>112914.588</v>
      </c>
      <c r="M9" s="36">
        <f t="shared" si="0"/>
        <v>9409.5490000000009</v>
      </c>
    </row>
    <row r="10" spans="1:13" x14ac:dyDescent="0.25">
      <c r="A10" s="186">
        <v>4000</v>
      </c>
      <c r="B10" s="33">
        <f t="shared" si="3"/>
        <v>333.33333333333331</v>
      </c>
      <c r="C10" s="185">
        <f>'Child care subsidy'!S13*12</f>
        <v>32200</v>
      </c>
      <c r="D10" s="185">
        <f>MAX('TANF-VIEW'!L17,'TANF-VIEW'!T17)*12</f>
        <v>5864.8</v>
      </c>
      <c r="E10" s="193">
        <f>SNAP!V14*12</f>
        <v>17100</v>
      </c>
      <c r="F10" s="184">
        <f>WIC!F16*12</f>
        <v>882.24</v>
      </c>
      <c r="G10" s="185">
        <f>'Housing Voucher'!Q14*12</f>
        <v>14728.547999999999</v>
      </c>
      <c r="H10" s="197">
        <f>EITC!E13</f>
        <v>2160</v>
      </c>
      <c r="I10" s="205">
        <f>Medicaid!N17*12</f>
        <v>36294</v>
      </c>
      <c r="K10" s="185">
        <f t="shared" si="1"/>
        <v>109229.588</v>
      </c>
      <c r="L10" s="185">
        <f t="shared" si="2"/>
        <v>113229.588</v>
      </c>
      <c r="M10" s="36">
        <f t="shared" si="0"/>
        <v>9435.7990000000009</v>
      </c>
    </row>
    <row r="11" spans="1:13" x14ac:dyDescent="0.25">
      <c r="A11" s="186">
        <v>4500</v>
      </c>
      <c r="B11" s="33">
        <f t="shared" si="3"/>
        <v>375</v>
      </c>
      <c r="C11" s="185">
        <f>'Child care subsidy'!S14*12</f>
        <v>32175</v>
      </c>
      <c r="D11" s="185">
        <f>MAX('TANF-VIEW'!L18,'TANF-VIEW'!T18)*12</f>
        <v>5464.7999999999993</v>
      </c>
      <c r="E11" s="193">
        <f>SNAP!V15*12</f>
        <v>17100</v>
      </c>
      <c r="F11" s="184">
        <f>WIC!F17*12</f>
        <v>882.24</v>
      </c>
      <c r="G11" s="185">
        <f>'Housing Voucher'!Q15*12</f>
        <v>14698.547999999999</v>
      </c>
      <c r="H11" s="197">
        <f>EITC!E14</f>
        <v>2430</v>
      </c>
      <c r="I11" s="205">
        <f>Medicaid!N18*12</f>
        <v>36294</v>
      </c>
      <c r="K11" s="185">
        <f t="shared" si="1"/>
        <v>109044.588</v>
      </c>
      <c r="L11" s="185">
        <f t="shared" si="2"/>
        <v>113544.588</v>
      </c>
      <c r="M11" s="36">
        <f t="shared" si="0"/>
        <v>9462.0490000000009</v>
      </c>
    </row>
    <row r="12" spans="1:13" x14ac:dyDescent="0.25">
      <c r="A12" s="186">
        <v>5000</v>
      </c>
      <c r="B12" s="33">
        <f t="shared" si="3"/>
        <v>416.66666666666669</v>
      </c>
      <c r="C12" s="185">
        <f>'Child care subsidy'!S15*12</f>
        <v>32150</v>
      </c>
      <c r="D12" s="185">
        <f>MAX('TANF-VIEW'!L19,'TANF-VIEW'!T19)*12</f>
        <v>5064.8</v>
      </c>
      <c r="E12" s="193">
        <f>SNAP!V16*12</f>
        <v>17100</v>
      </c>
      <c r="F12" s="184">
        <f>WIC!F18*12</f>
        <v>882.24</v>
      </c>
      <c r="G12" s="185">
        <f>'Housing Voucher'!Q16*12</f>
        <v>14668.547999999999</v>
      </c>
      <c r="H12" s="197">
        <f>EITC!E15</f>
        <v>2700</v>
      </c>
      <c r="I12" s="205">
        <f>Medicaid!N19*12</f>
        <v>36294</v>
      </c>
      <c r="K12" s="185">
        <f t="shared" si="1"/>
        <v>108859.588</v>
      </c>
      <c r="L12" s="185">
        <f t="shared" si="2"/>
        <v>113859.588</v>
      </c>
      <c r="M12" s="36">
        <f t="shared" si="0"/>
        <v>9488.2990000000009</v>
      </c>
    </row>
    <row r="13" spans="1:13" x14ac:dyDescent="0.25">
      <c r="A13" s="186">
        <v>5500</v>
      </c>
      <c r="B13" s="33">
        <f t="shared" si="3"/>
        <v>458.33333333333331</v>
      </c>
      <c r="C13" s="185">
        <f>'Child care subsidy'!S16*12</f>
        <v>32125</v>
      </c>
      <c r="D13" s="185">
        <f>MAX('TANF-VIEW'!L20,'TANF-VIEW'!T20)*12</f>
        <v>4664.8</v>
      </c>
      <c r="E13" s="193">
        <f>SNAP!V17*12</f>
        <v>17100</v>
      </c>
      <c r="F13" s="184">
        <f>WIC!F19*12</f>
        <v>882.24</v>
      </c>
      <c r="G13" s="185">
        <f>'Housing Voucher'!Q17*12</f>
        <v>14638.547999999999</v>
      </c>
      <c r="H13" s="197">
        <f>EITC!E16</f>
        <v>2970</v>
      </c>
      <c r="I13" s="205">
        <f>Medicaid!N20*12</f>
        <v>36294</v>
      </c>
      <c r="K13" s="185">
        <f t="shared" si="1"/>
        <v>108674.588</v>
      </c>
      <c r="L13" s="185">
        <f t="shared" si="2"/>
        <v>114174.588</v>
      </c>
      <c r="M13" s="36">
        <f t="shared" si="0"/>
        <v>9514.5490000000009</v>
      </c>
    </row>
    <row r="14" spans="1:13" x14ac:dyDescent="0.25">
      <c r="A14" s="186">
        <v>6000</v>
      </c>
      <c r="B14" s="33">
        <f t="shared" si="3"/>
        <v>500</v>
      </c>
      <c r="C14" s="185">
        <f>'Child care subsidy'!S17*12</f>
        <v>32100</v>
      </c>
      <c r="D14" s="185">
        <f>MAX('TANF-VIEW'!L21,'TANF-VIEW'!T21)*12</f>
        <v>4264.7999999999993</v>
      </c>
      <c r="E14" s="193">
        <f>SNAP!V18*12</f>
        <v>17100</v>
      </c>
      <c r="F14" s="184">
        <f>WIC!F20*12</f>
        <v>882.24</v>
      </c>
      <c r="G14" s="185">
        <f>'Housing Voucher'!Q18*12</f>
        <v>14608.547999999999</v>
      </c>
      <c r="H14" s="197">
        <f>EITC!E17</f>
        <v>3240</v>
      </c>
      <c r="I14" s="205">
        <f>Medicaid!N21*12</f>
        <v>36294</v>
      </c>
      <c r="K14" s="185">
        <f t="shared" si="1"/>
        <v>108489.588</v>
      </c>
      <c r="L14" s="185">
        <f t="shared" si="2"/>
        <v>114489.588</v>
      </c>
      <c r="M14" s="36">
        <f t="shared" si="0"/>
        <v>9540.7990000000009</v>
      </c>
    </row>
    <row r="15" spans="1:13" x14ac:dyDescent="0.25">
      <c r="A15" s="186">
        <v>6500</v>
      </c>
      <c r="B15" s="33">
        <f t="shared" si="3"/>
        <v>541.66666666666663</v>
      </c>
      <c r="C15" s="185">
        <f>'Child care subsidy'!S18*12</f>
        <v>32075</v>
      </c>
      <c r="D15" s="185">
        <f>MAX('TANF-VIEW'!L22,'TANF-VIEW'!T22)*12</f>
        <v>3864.8000000000006</v>
      </c>
      <c r="E15" s="193">
        <f>SNAP!V19*12</f>
        <v>17100</v>
      </c>
      <c r="F15" s="184">
        <f>WIC!F21*12</f>
        <v>882.24</v>
      </c>
      <c r="G15" s="185">
        <f>'Housing Voucher'!Q19*12</f>
        <v>14578.547999999999</v>
      </c>
      <c r="H15" s="197">
        <f>EITC!E18</f>
        <v>3510</v>
      </c>
      <c r="I15" s="205">
        <f>Medicaid!N22*12</f>
        <v>36294</v>
      </c>
      <c r="K15" s="185">
        <f t="shared" si="1"/>
        <v>108304.588</v>
      </c>
      <c r="L15" s="185">
        <f t="shared" si="2"/>
        <v>114804.588</v>
      </c>
      <c r="M15" s="36">
        <f t="shared" si="0"/>
        <v>9567.0490000000009</v>
      </c>
    </row>
    <row r="16" spans="1:13" x14ac:dyDescent="0.25">
      <c r="A16" s="186">
        <v>7000</v>
      </c>
      <c r="B16" s="33">
        <f t="shared" si="3"/>
        <v>583.33333333333337</v>
      </c>
      <c r="C16" s="185">
        <f>'Child care subsidy'!S19*12</f>
        <v>32050</v>
      </c>
      <c r="D16" s="185">
        <f>MAX('TANF-VIEW'!L23,'TANF-VIEW'!T23)*12</f>
        <v>3464.7999999999993</v>
      </c>
      <c r="E16" s="193">
        <f>SNAP!V20*12</f>
        <v>17100</v>
      </c>
      <c r="F16" s="184">
        <f>WIC!F22*12</f>
        <v>882.24</v>
      </c>
      <c r="G16" s="185">
        <f>'Housing Voucher'!Q20*12</f>
        <v>14548.547999999999</v>
      </c>
      <c r="H16" s="197">
        <f>EITC!E19</f>
        <v>3780</v>
      </c>
      <c r="I16" s="205">
        <f>Medicaid!N23*12</f>
        <v>36294</v>
      </c>
      <c r="K16" s="185">
        <f t="shared" si="1"/>
        <v>108119.588</v>
      </c>
      <c r="L16" s="185">
        <f t="shared" si="2"/>
        <v>115119.588</v>
      </c>
      <c r="M16" s="36">
        <f t="shared" si="0"/>
        <v>9593.2990000000009</v>
      </c>
    </row>
    <row r="17" spans="1:13" x14ac:dyDescent="0.25">
      <c r="A17" s="186">
        <v>7500</v>
      </c>
      <c r="B17" s="33">
        <f t="shared" si="3"/>
        <v>625</v>
      </c>
      <c r="C17" s="185">
        <f>'Child care subsidy'!S20*12</f>
        <v>32025</v>
      </c>
      <c r="D17" s="185">
        <f>MAX('TANF-VIEW'!L24,'TANF-VIEW'!T24)*12</f>
        <v>3064.7999999999997</v>
      </c>
      <c r="E17" s="193">
        <f>SNAP!V21*12</f>
        <v>17100</v>
      </c>
      <c r="F17" s="184">
        <f>WIC!F23*12</f>
        <v>882.24</v>
      </c>
      <c r="G17" s="185">
        <f>'Housing Voucher'!Q21*12</f>
        <v>14518.547999999999</v>
      </c>
      <c r="H17" s="197">
        <f>EITC!E20</f>
        <v>4050</v>
      </c>
      <c r="I17" s="205">
        <f>Medicaid!N24*12</f>
        <v>36294</v>
      </c>
      <c r="K17" s="185">
        <f t="shared" si="1"/>
        <v>107934.588</v>
      </c>
      <c r="L17" s="185">
        <f t="shared" si="2"/>
        <v>115434.588</v>
      </c>
      <c r="M17" s="36">
        <f t="shared" si="0"/>
        <v>9619.5490000000009</v>
      </c>
    </row>
    <row r="18" spans="1:13" x14ac:dyDescent="0.25">
      <c r="A18" s="186">
        <v>8000</v>
      </c>
      <c r="B18" s="33">
        <f t="shared" si="3"/>
        <v>666.66666666666663</v>
      </c>
      <c r="C18" s="185">
        <f>'Child care subsidy'!S21*12</f>
        <v>32000</v>
      </c>
      <c r="D18" s="185">
        <f>MAX('TANF-VIEW'!L25,'TANF-VIEW'!T25)*12</f>
        <v>2664.8000000000006</v>
      </c>
      <c r="E18" s="193">
        <f>SNAP!V22*12</f>
        <v>17100</v>
      </c>
      <c r="F18" s="184">
        <f>WIC!F24*12</f>
        <v>882.24</v>
      </c>
      <c r="G18" s="185">
        <f>'Housing Voucher'!Q22*12</f>
        <v>14488.547999999999</v>
      </c>
      <c r="H18" s="197">
        <f>EITC!E21</f>
        <v>4320</v>
      </c>
      <c r="I18" s="205">
        <f>Medicaid!N25*12</f>
        <v>36294</v>
      </c>
      <c r="K18" s="185">
        <f t="shared" si="1"/>
        <v>107749.588</v>
      </c>
      <c r="L18" s="185">
        <f t="shared" si="2"/>
        <v>115749.588</v>
      </c>
      <c r="M18" s="36">
        <f t="shared" si="0"/>
        <v>9645.7990000000009</v>
      </c>
    </row>
    <row r="19" spans="1:13" x14ac:dyDescent="0.25">
      <c r="A19" s="186">
        <v>8500</v>
      </c>
      <c r="B19" s="33">
        <f t="shared" si="3"/>
        <v>708.33333333333337</v>
      </c>
      <c r="C19" s="185">
        <f>'Child care subsidy'!S22*12</f>
        <v>31975</v>
      </c>
      <c r="D19" s="185">
        <f>MAX('TANF-VIEW'!L26,'TANF-VIEW'!T26)*12</f>
        <v>2264.7999999999993</v>
      </c>
      <c r="E19" s="193">
        <f>SNAP!V23*12</f>
        <v>17100</v>
      </c>
      <c r="F19" s="184">
        <f>WIC!F25*12</f>
        <v>882.24</v>
      </c>
      <c r="G19" s="185">
        <f>'Housing Voucher'!Q23*12</f>
        <v>14458.547999999999</v>
      </c>
      <c r="H19" s="197">
        <f>EITC!E22</f>
        <v>4590</v>
      </c>
      <c r="I19" s="205">
        <f>Medicaid!N26*12</f>
        <v>36294</v>
      </c>
      <c r="K19" s="185">
        <f t="shared" si="1"/>
        <v>107564.588</v>
      </c>
      <c r="L19" s="185">
        <f t="shared" si="2"/>
        <v>116064.588</v>
      </c>
      <c r="M19" s="36">
        <f t="shared" si="0"/>
        <v>9672.0490000000009</v>
      </c>
    </row>
    <row r="20" spans="1:13" x14ac:dyDescent="0.25">
      <c r="A20" s="186">
        <v>9000</v>
      </c>
      <c r="B20" s="33">
        <f t="shared" si="3"/>
        <v>750</v>
      </c>
      <c r="C20" s="185">
        <f>'Child care subsidy'!S23*12</f>
        <v>31950</v>
      </c>
      <c r="D20" s="185">
        <f>MAX('TANF-VIEW'!L27,'TANF-VIEW'!T27)*12</f>
        <v>1864.7999999999997</v>
      </c>
      <c r="E20" s="193">
        <f>SNAP!V24*12</f>
        <v>17100</v>
      </c>
      <c r="F20" s="184">
        <f>WIC!F26*12</f>
        <v>882.24</v>
      </c>
      <c r="G20" s="185">
        <f>'Housing Voucher'!Q24*12</f>
        <v>14428.547999999999</v>
      </c>
      <c r="H20" s="197">
        <f>EITC!E23</f>
        <v>4860</v>
      </c>
      <c r="I20" s="205">
        <f>Medicaid!N27*12</f>
        <v>36294</v>
      </c>
      <c r="K20" s="185">
        <f t="shared" si="1"/>
        <v>107379.588</v>
      </c>
      <c r="L20" s="185">
        <f t="shared" si="2"/>
        <v>116379.588</v>
      </c>
      <c r="M20" s="36">
        <f t="shared" si="0"/>
        <v>9698.2990000000009</v>
      </c>
    </row>
    <row r="21" spans="1:13" x14ac:dyDescent="0.25">
      <c r="A21" s="186">
        <v>9500</v>
      </c>
      <c r="B21" s="33">
        <f t="shared" si="3"/>
        <v>791.66666666666663</v>
      </c>
      <c r="C21" s="185">
        <f>'Child care subsidy'!S24*12</f>
        <v>31925</v>
      </c>
      <c r="D21" s="185">
        <f>MAX('TANF-VIEW'!L28,'TANF-VIEW'!T28)*12</f>
        <v>1464.8000000000006</v>
      </c>
      <c r="E21" s="193">
        <f>SNAP!V25*12</f>
        <v>17100</v>
      </c>
      <c r="F21" s="184">
        <f>WIC!F27*12</f>
        <v>882.24</v>
      </c>
      <c r="G21" s="185">
        <f>'Housing Voucher'!Q25*12</f>
        <v>14398.547999999999</v>
      </c>
      <c r="H21" s="197">
        <f>EITC!E24</f>
        <v>5130</v>
      </c>
      <c r="I21" s="205">
        <f>Medicaid!N28*12</f>
        <v>36294</v>
      </c>
      <c r="K21" s="185">
        <f t="shared" si="1"/>
        <v>107194.588</v>
      </c>
      <c r="L21" s="185">
        <f t="shared" si="2"/>
        <v>116694.588</v>
      </c>
      <c r="M21" s="36">
        <f t="shared" si="0"/>
        <v>9724.5490000000009</v>
      </c>
    </row>
    <row r="22" spans="1:13" x14ac:dyDescent="0.25">
      <c r="A22" s="186">
        <v>10000</v>
      </c>
      <c r="B22" s="33">
        <f t="shared" si="3"/>
        <v>833.33333333333337</v>
      </c>
      <c r="C22" s="185">
        <f>'Child care subsidy'!S25*12</f>
        <v>31900</v>
      </c>
      <c r="D22" s="185">
        <f>MAX('TANF-VIEW'!L29,'TANF-VIEW'!T29)*12</f>
        <v>1064.7999999999995</v>
      </c>
      <c r="E22" s="193">
        <f>SNAP!V26*12</f>
        <v>17100</v>
      </c>
      <c r="F22" s="184">
        <f>WIC!F28*12</f>
        <v>882.24</v>
      </c>
      <c r="G22" s="185">
        <f>'Housing Voucher'!Q26*12</f>
        <v>14368.547999999999</v>
      </c>
      <c r="H22" s="197">
        <f>EITC!E25</f>
        <v>5400</v>
      </c>
      <c r="I22" s="205">
        <f>Medicaid!N29*12</f>
        <v>36294</v>
      </c>
      <c r="K22" s="185">
        <f t="shared" si="1"/>
        <v>107009.588</v>
      </c>
      <c r="L22" s="185">
        <f t="shared" si="2"/>
        <v>117009.588</v>
      </c>
      <c r="M22" s="36">
        <f t="shared" si="0"/>
        <v>9750.7990000000009</v>
      </c>
    </row>
    <row r="23" spans="1:13" x14ac:dyDescent="0.25">
      <c r="A23" s="186">
        <v>10500</v>
      </c>
      <c r="B23" s="33">
        <f t="shared" si="3"/>
        <v>875</v>
      </c>
      <c r="C23" s="185">
        <f>'Child care subsidy'!S26*12</f>
        <v>31875</v>
      </c>
      <c r="D23" s="185">
        <f>MAX('TANF-VIEW'!L30,'TANF-VIEW'!T30)*12</f>
        <v>664.79999999999973</v>
      </c>
      <c r="E23" s="193">
        <f>SNAP!V27*12</f>
        <v>17100</v>
      </c>
      <c r="F23" s="184">
        <f>WIC!F29*12</f>
        <v>882.24</v>
      </c>
      <c r="G23" s="185">
        <f>'Housing Voucher'!Q27*12</f>
        <v>14338.547999999999</v>
      </c>
      <c r="H23" s="197">
        <f>EITC!E26</f>
        <v>5670</v>
      </c>
      <c r="I23" s="205">
        <f>Medicaid!N30*12</f>
        <v>36294</v>
      </c>
      <c r="K23" s="185">
        <f t="shared" si="1"/>
        <v>106824.588</v>
      </c>
      <c r="L23" s="185">
        <f t="shared" si="2"/>
        <v>117324.588</v>
      </c>
      <c r="M23" s="36">
        <f t="shared" si="0"/>
        <v>9777.0490000000009</v>
      </c>
    </row>
    <row r="24" spans="1:13" ht="15.75" customHeight="1" x14ac:dyDescent="0.25">
      <c r="A24" s="186">
        <v>11000</v>
      </c>
      <c r="B24" s="33">
        <f t="shared" si="3"/>
        <v>916.66666666666663</v>
      </c>
      <c r="C24" s="185">
        <f>'Child care subsidy'!S27*12</f>
        <v>31860</v>
      </c>
      <c r="D24" s="185">
        <f>MAX('TANF-VIEW'!L31,'TANF-VIEW'!T31)*12</f>
        <v>264.80000000000064</v>
      </c>
      <c r="E24" s="193">
        <f>SNAP!V28*12</f>
        <v>17100</v>
      </c>
      <c r="F24" s="184">
        <f>WIC!F30*12</f>
        <v>882.24</v>
      </c>
      <c r="G24" s="185">
        <f>'Housing Voucher'!Q28*12</f>
        <v>14308.547999999999</v>
      </c>
      <c r="H24" s="197">
        <f>EITC!E27</f>
        <v>5940</v>
      </c>
      <c r="I24" s="205">
        <f>Medicaid!N31*12</f>
        <v>36294</v>
      </c>
      <c r="K24" s="185">
        <f t="shared" si="1"/>
        <v>106649.588</v>
      </c>
      <c r="L24" s="185">
        <f t="shared" si="2"/>
        <v>117649.588</v>
      </c>
      <c r="M24" s="36">
        <f t="shared" si="0"/>
        <v>9804.132333333333</v>
      </c>
    </row>
    <row r="25" spans="1:13" ht="15" customHeight="1" x14ac:dyDescent="0.25">
      <c r="A25" s="186">
        <v>11500</v>
      </c>
      <c r="B25" s="33">
        <f t="shared" si="3"/>
        <v>958.33333333333337</v>
      </c>
      <c r="C25" s="185">
        <f>'Child care subsidy'!S28*12</f>
        <v>31860</v>
      </c>
      <c r="D25" s="185">
        <f>MAX('TANF-VIEW'!L32,'TANF-VIEW'!T32)*12</f>
        <v>0</v>
      </c>
      <c r="E25" s="193">
        <f>SNAP!V29*12</f>
        <v>17040</v>
      </c>
      <c r="F25" s="184">
        <f>WIC!F31*12</f>
        <v>882.24</v>
      </c>
      <c r="G25" s="185">
        <f>'Housing Voucher'!Q29*12</f>
        <v>14237.988000000001</v>
      </c>
      <c r="H25" s="197">
        <f>EITC!E28</f>
        <v>6210</v>
      </c>
      <c r="I25" s="205">
        <f>Medicaid!N32*12</f>
        <v>36294</v>
      </c>
      <c r="K25" s="185">
        <f t="shared" si="1"/>
        <v>106524.228</v>
      </c>
      <c r="L25" s="185">
        <f t="shared" si="2"/>
        <v>118024.228</v>
      </c>
      <c r="M25" s="36">
        <f t="shared" si="0"/>
        <v>9835.3523333333342</v>
      </c>
    </row>
    <row r="26" spans="1:13" ht="15" customHeight="1" x14ac:dyDescent="0.25">
      <c r="A26" s="186">
        <v>12000</v>
      </c>
      <c r="B26" s="33">
        <f t="shared" si="3"/>
        <v>1000</v>
      </c>
      <c r="C26" s="185">
        <f>'Child care subsidy'!S29*12</f>
        <v>31860</v>
      </c>
      <c r="D26" s="185">
        <f>MAX('TANF-VIEW'!L33,'TANF-VIEW'!T33)*12</f>
        <v>0</v>
      </c>
      <c r="E26" s="193">
        <f>SNAP!V30*12</f>
        <v>16860</v>
      </c>
      <c r="F26" s="184">
        <f>WIC!F32*12</f>
        <v>882.24</v>
      </c>
      <c r="G26" s="185">
        <f>'Housing Voucher'!Q30*12</f>
        <v>14087.988000000001</v>
      </c>
      <c r="H26" s="197">
        <f>EITC!E29</f>
        <v>6480</v>
      </c>
      <c r="I26" s="205">
        <f>Medicaid!N33*12</f>
        <v>36294</v>
      </c>
      <c r="K26" s="185">
        <f t="shared" si="1"/>
        <v>106464.228</v>
      </c>
      <c r="L26" s="185">
        <f t="shared" si="2"/>
        <v>118464.228</v>
      </c>
      <c r="M26" s="36">
        <f t="shared" si="0"/>
        <v>9872.0190000000002</v>
      </c>
    </row>
    <row r="27" spans="1:13" ht="15" customHeight="1" x14ac:dyDescent="0.25">
      <c r="A27" s="186">
        <v>12500</v>
      </c>
      <c r="B27" s="33">
        <f t="shared" si="3"/>
        <v>1041.6666666666667</v>
      </c>
      <c r="C27" s="185">
        <f>'Child care subsidy'!S30*12</f>
        <v>31860</v>
      </c>
      <c r="D27" s="185">
        <f>MAX('TANF-VIEW'!L34,'TANF-VIEW'!T34)*12</f>
        <v>0</v>
      </c>
      <c r="E27" s="193">
        <f>SNAP!V31*12</f>
        <v>16680</v>
      </c>
      <c r="F27" s="184">
        <f>WIC!F33*12</f>
        <v>882.24</v>
      </c>
      <c r="G27" s="185">
        <f>'Housing Voucher'!Q31*12</f>
        <v>13937.988000000001</v>
      </c>
      <c r="H27" s="197">
        <f>EITC!E30</f>
        <v>6750</v>
      </c>
      <c r="I27" s="205">
        <f>Medicaid!N34*12</f>
        <v>36294</v>
      </c>
      <c r="K27" s="185">
        <f t="shared" si="1"/>
        <v>106404.228</v>
      </c>
      <c r="L27" s="185">
        <f t="shared" si="2"/>
        <v>118904.228</v>
      </c>
      <c r="M27" s="36">
        <f t="shared" si="0"/>
        <v>9908.6856666666663</v>
      </c>
    </row>
    <row r="28" spans="1:13" x14ac:dyDescent="0.25">
      <c r="A28" s="186">
        <v>13000</v>
      </c>
      <c r="B28" s="33">
        <f t="shared" si="3"/>
        <v>1083.3333333333333</v>
      </c>
      <c r="C28" s="185">
        <f>'Child care subsidy'!S31*12</f>
        <v>31860</v>
      </c>
      <c r="D28" s="185">
        <f>MAX('TANF-VIEW'!L35,'TANF-VIEW'!T35)*12</f>
        <v>0</v>
      </c>
      <c r="E28" s="193">
        <f>SNAP!V32*12</f>
        <v>16500</v>
      </c>
      <c r="F28" s="184">
        <f>WIC!F34*12</f>
        <v>882.24</v>
      </c>
      <c r="G28" s="185">
        <f>'Housing Voucher'!Q32*12</f>
        <v>13787.988000000001</v>
      </c>
      <c r="H28" s="197">
        <f>EITC!E31</f>
        <v>7020</v>
      </c>
      <c r="I28" s="205">
        <f>Medicaid!N35*12</f>
        <v>36294</v>
      </c>
      <c r="K28" s="185">
        <f t="shared" si="1"/>
        <v>106344.228</v>
      </c>
      <c r="L28" s="185">
        <f t="shared" si="2"/>
        <v>119344.228</v>
      </c>
      <c r="M28" s="36">
        <f t="shared" si="0"/>
        <v>9945.3523333333342</v>
      </c>
    </row>
    <row r="29" spans="1:13" x14ac:dyDescent="0.25">
      <c r="A29" s="186">
        <v>13500</v>
      </c>
      <c r="B29" s="33">
        <f t="shared" si="3"/>
        <v>1125</v>
      </c>
      <c r="C29" s="185">
        <f>'Child care subsidy'!S32*12</f>
        <v>31860</v>
      </c>
      <c r="D29" s="185">
        <f>MAX('TANF-VIEW'!L36,'TANF-VIEW'!T36)*12</f>
        <v>0</v>
      </c>
      <c r="E29" s="193">
        <f>SNAP!V33*12</f>
        <v>16320</v>
      </c>
      <c r="F29" s="184">
        <f>WIC!F35*12</f>
        <v>882.24</v>
      </c>
      <c r="G29" s="185">
        <f>'Housing Voucher'!Q33*12</f>
        <v>13637.988000000001</v>
      </c>
      <c r="H29" s="197">
        <f>EITC!E32</f>
        <v>7290</v>
      </c>
      <c r="I29" s="205">
        <f>Medicaid!N36*12</f>
        <v>36294</v>
      </c>
      <c r="K29" s="185">
        <f t="shared" si="1"/>
        <v>106284.228</v>
      </c>
      <c r="L29" s="185">
        <f t="shared" si="2"/>
        <v>119784.228</v>
      </c>
      <c r="M29" s="36">
        <f t="shared" si="0"/>
        <v>9982.0190000000002</v>
      </c>
    </row>
    <row r="30" spans="1:13" x14ac:dyDescent="0.25">
      <c r="A30" s="186">
        <v>14000</v>
      </c>
      <c r="B30" s="33">
        <f t="shared" si="3"/>
        <v>1166.6666666666667</v>
      </c>
      <c r="C30" s="185">
        <f>'Child care subsidy'!S33*12</f>
        <v>31860</v>
      </c>
      <c r="D30" s="185">
        <f>MAX('TANF-VIEW'!L37,'TANF-VIEW'!T37)*12</f>
        <v>0</v>
      </c>
      <c r="E30" s="193">
        <f>SNAP!V34*12</f>
        <v>16140</v>
      </c>
      <c r="F30" s="184">
        <f>WIC!F36*12</f>
        <v>882.24</v>
      </c>
      <c r="G30" s="185">
        <f>'Housing Voucher'!Q34*12</f>
        <v>13487.988000000001</v>
      </c>
      <c r="H30" s="197">
        <f>EITC!E33</f>
        <v>7560</v>
      </c>
      <c r="I30" s="205">
        <f>Medicaid!N37*12</f>
        <v>36294</v>
      </c>
      <c r="K30" s="185">
        <f t="shared" si="1"/>
        <v>106224.228</v>
      </c>
      <c r="L30" s="185">
        <f t="shared" si="2"/>
        <v>120224.228</v>
      </c>
      <c r="M30" s="36">
        <f t="shared" si="0"/>
        <v>10018.685666666666</v>
      </c>
    </row>
    <row r="31" spans="1:13" x14ac:dyDescent="0.25">
      <c r="A31" s="186">
        <v>14500</v>
      </c>
      <c r="B31" s="33">
        <f t="shared" si="3"/>
        <v>1208.3333333333333</v>
      </c>
      <c r="C31" s="185">
        <f>'Child care subsidy'!S34*12</f>
        <v>31860</v>
      </c>
      <c r="D31" s="185">
        <f>MAX('TANF-VIEW'!L38,'TANF-VIEW'!T38)*12</f>
        <v>0</v>
      </c>
      <c r="E31" s="193">
        <f>SNAP!V35*12</f>
        <v>15960</v>
      </c>
      <c r="F31" s="184">
        <f>WIC!F37*12</f>
        <v>882.24</v>
      </c>
      <c r="G31" s="185">
        <f>'Housing Voucher'!Q35*12</f>
        <v>13337.988000000001</v>
      </c>
      <c r="H31" s="197">
        <f>EITC!E34</f>
        <v>7830</v>
      </c>
      <c r="I31" s="205">
        <f>Medicaid!N38*12</f>
        <v>36294</v>
      </c>
      <c r="K31" s="185">
        <f t="shared" si="1"/>
        <v>106164.228</v>
      </c>
      <c r="L31" s="185">
        <f t="shared" si="2"/>
        <v>120664.228</v>
      </c>
      <c r="M31" s="36">
        <f t="shared" si="0"/>
        <v>10055.352333333334</v>
      </c>
    </row>
    <row r="32" spans="1:13" x14ac:dyDescent="0.25">
      <c r="A32" s="186">
        <v>15000</v>
      </c>
      <c r="B32" s="33">
        <f t="shared" si="3"/>
        <v>1250</v>
      </c>
      <c r="C32" s="185">
        <f>'Child care subsidy'!S35*12</f>
        <v>31860</v>
      </c>
      <c r="D32" s="185">
        <f>MAX('TANF-VIEW'!L39,'TANF-VIEW'!T39)*12</f>
        <v>0</v>
      </c>
      <c r="E32" s="193">
        <f>SNAP!V36*12</f>
        <v>15780</v>
      </c>
      <c r="F32" s="184">
        <f>WIC!F38*12</f>
        <v>882.24</v>
      </c>
      <c r="G32" s="185">
        <f>'Housing Voucher'!Q36*12</f>
        <v>13187.988000000001</v>
      </c>
      <c r="H32" s="197">
        <f>EITC!E35</f>
        <v>8100</v>
      </c>
      <c r="I32" s="205">
        <f>Medicaid!N39*12</f>
        <v>36294</v>
      </c>
      <c r="K32" s="185">
        <f t="shared" si="1"/>
        <v>106104.228</v>
      </c>
      <c r="L32" s="185">
        <f t="shared" si="2"/>
        <v>121104.228</v>
      </c>
      <c r="M32" s="36">
        <f t="shared" si="0"/>
        <v>10092.019</v>
      </c>
    </row>
    <row r="33" spans="1:13" x14ac:dyDescent="0.25">
      <c r="A33" s="186">
        <v>15500</v>
      </c>
      <c r="B33" s="33">
        <f t="shared" si="3"/>
        <v>1291.6666666666667</v>
      </c>
      <c r="C33" s="185">
        <f>'Child care subsidy'!S36*12</f>
        <v>31860</v>
      </c>
      <c r="D33" s="185">
        <f>MAX('TANF-VIEW'!L40,'TANF-VIEW'!T40)*12</f>
        <v>0</v>
      </c>
      <c r="E33" s="193">
        <f>SNAP!V37*12</f>
        <v>15600</v>
      </c>
      <c r="F33" s="184">
        <f>WIC!F39*12</f>
        <v>882.24</v>
      </c>
      <c r="G33" s="185">
        <f>'Housing Voucher'!Q37*12</f>
        <v>13037.988000000001</v>
      </c>
      <c r="H33" s="197">
        <f>EITC!E36</f>
        <v>8370</v>
      </c>
      <c r="I33" s="205">
        <f>Medicaid!N40*12</f>
        <v>36294</v>
      </c>
      <c r="K33" s="185">
        <f t="shared" si="1"/>
        <v>106044.228</v>
      </c>
      <c r="L33" s="185">
        <f t="shared" si="2"/>
        <v>121544.228</v>
      </c>
      <c r="M33" s="36">
        <f t="shared" si="0"/>
        <v>10128.685666666666</v>
      </c>
    </row>
    <row r="34" spans="1:13" x14ac:dyDescent="0.25">
      <c r="A34" s="186">
        <v>16000</v>
      </c>
      <c r="B34" s="33">
        <f t="shared" si="3"/>
        <v>1333.3333333333333</v>
      </c>
      <c r="C34" s="185">
        <f>'Child care subsidy'!S37*12</f>
        <v>31860</v>
      </c>
      <c r="D34" s="185">
        <f>MAX('TANF-VIEW'!L41,'TANF-VIEW'!T41)*12</f>
        <v>0</v>
      </c>
      <c r="E34" s="193">
        <f>SNAP!V38*12</f>
        <v>15420</v>
      </c>
      <c r="F34" s="184">
        <f>WIC!F40*12</f>
        <v>882.24</v>
      </c>
      <c r="G34" s="185">
        <f>'Housing Voucher'!Q38*12</f>
        <v>12887.988000000001</v>
      </c>
      <c r="H34" s="197">
        <f>EITC!E37</f>
        <v>8640</v>
      </c>
      <c r="I34" s="205">
        <f>Medicaid!N41*12</f>
        <v>36294</v>
      </c>
      <c r="K34" s="185">
        <f t="shared" si="1"/>
        <v>105984.228</v>
      </c>
      <c r="L34" s="185">
        <f t="shared" si="2"/>
        <v>121984.228</v>
      </c>
      <c r="M34" s="36">
        <f t="shared" si="0"/>
        <v>10165.352333333334</v>
      </c>
    </row>
    <row r="35" spans="1:13" x14ac:dyDescent="0.25">
      <c r="A35" s="186">
        <v>16500</v>
      </c>
      <c r="B35" s="33">
        <f t="shared" si="3"/>
        <v>1375</v>
      </c>
      <c r="C35" s="185">
        <f>'Child care subsidy'!S38*12</f>
        <v>31860</v>
      </c>
      <c r="D35" s="185">
        <f>MAX('TANF-VIEW'!L42,'TANF-VIEW'!T42)*12</f>
        <v>0</v>
      </c>
      <c r="E35" s="193">
        <f>SNAP!V39*12</f>
        <v>15240</v>
      </c>
      <c r="F35" s="184">
        <f>WIC!F41*12</f>
        <v>882.24</v>
      </c>
      <c r="G35" s="185">
        <f>'Housing Voucher'!Q39*12</f>
        <v>12737.988000000001</v>
      </c>
      <c r="H35" s="197">
        <f>EITC!E38</f>
        <v>8910</v>
      </c>
      <c r="I35" s="205">
        <f>Medicaid!N42*12</f>
        <v>36294</v>
      </c>
      <c r="K35" s="185">
        <f t="shared" si="1"/>
        <v>105924.228</v>
      </c>
      <c r="L35" s="185">
        <f t="shared" si="2"/>
        <v>122424.228</v>
      </c>
      <c r="M35" s="36">
        <f t="shared" si="0"/>
        <v>10202.019</v>
      </c>
    </row>
    <row r="36" spans="1:13" x14ac:dyDescent="0.25">
      <c r="A36" s="186">
        <v>17000</v>
      </c>
      <c r="B36" s="33">
        <f t="shared" si="3"/>
        <v>1416.6666666666667</v>
      </c>
      <c r="C36" s="185">
        <f>'Child care subsidy'!S39*12</f>
        <v>31860</v>
      </c>
      <c r="D36" s="185">
        <f>MAX('TANF-VIEW'!L43,'TANF-VIEW'!T43)*12</f>
        <v>0</v>
      </c>
      <c r="E36" s="193">
        <f>SNAP!V40*12</f>
        <v>15120</v>
      </c>
      <c r="F36" s="184">
        <f>WIC!F42*12</f>
        <v>882.24</v>
      </c>
      <c r="G36" s="185">
        <f>'Housing Voucher'!Q40*12</f>
        <v>12587.988000000001</v>
      </c>
      <c r="H36" s="197">
        <f>EITC!E39</f>
        <v>9180</v>
      </c>
      <c r="I36" s="205">
        <f>Medicaid!N43*12</f>
        <v>36294</v>
      </c>
      <c r="K36" s="185">
        <f t="shared" si="1"/>
        <v>105924.228</v>
      </c>
      <c r="L36" s="185">
        <f t="shared" si="2"/>
        <v>122924.228</v>
      </c>
      <c r="M36" s="36">
        <f t="shared" si="0"/>
        <v>10243.685666666666</v>
      </c>
    </row>
    <row r="37" spans="1:13" x14ac:dyDescent="0.25">
      <c r="A37" s="186">
        <v>17500</v>
      </c>
      <c r="B37" s="33">
        <f t="shared" si="3"/>
        <v>1458.3333333333333</v>
      </c>
      <c r="C37" s="185">
        <f>'Child care subsidy'!S40*12</f>
        <v>31860</v>
      </c>
      <c r="D37" s="185">
        <f>MAX('TANF-VIEW'!L44,'TANF-VIEW'!T44)*12</f>
        <v>0</v>
      </c>
      <c r="E37" s="193">
        <f>SNAP!V41*12</f>
        <v>15000</v>
      </c>
      <c r="F37" s="184">
        <f>WIC!F43*12</f>
        <v>882.24</v>
      </c>
      <c r="G37" s="185">
        <f>'Housing Voucher'!Q41*12</f>
        <v>12437.988000000001</v>
      </c>
      <c r="H37" s="197">
        <f>EITC!E40</f>
        <v>9450</v>
      </c>
      <c r="I37" s="205">
        <f>Medicaid!N44*12</f>
        <v>36294</v>
      </c>
      <c r="K37" s="185">
        <f t="shared" si="1"/>
        <v>105924.228</v>
      </c>
      <c r="L37" s="185">
        <f t="shared" si="2"/>
        <v>123424.228</v>
      </c>
      <c r="M37" s="36">
        <f t="shared" si="0"/>
        <v>10285.352333333334</v>
      </c>
    </row>
    <row r="38" spans="1:13" x14ac:dyDescent="0.25">
      <c r="A38" s="186">
        <v>18000</v>
      </c>
      <c r="B38" s="33">
        <f t="shared" si="3"/>
        <v>1500</v>
      </c>
      <c r="C38" s="185">
        <f>'Child care subsidy'!S41*12</f>
        <v>31860</v>
      </c>
      <c r="D38" s="185">
        <f>MAX('TANF-VIEW'!L45,'TANF-VIEW'!T45)*12</f>
        <v>0</v>
      </c>
      <c r="E38" s="193">
        <f>SNAP!V42*12</f>
        <v>14880</v>
      </c>
      <c r="F38" s="184">
        <f>WIC!F44*12</f>
        <v>882.24</v>
      </c>
      <c r="G38" s="185">
        <f>'Housing Voucher'!Q42*12</f>
        <v>12287.988000000001</v>
      </c>
      <c r="H38" s="197">
        <f>EITC!E41</f>
        <v>9720</v>
      </c>
      <c r="I38" s="205">
        <f>Medicaid!N45*12</f>
        <v>36294</v>
      </c>
      <c r="K38" s="185">
        <f t="shared" si="1"/>
        <v>105924.228</v>
      </c>
      <c r="L38" s="185">
        <f t="shared" si="2"/>
        <v>123924.228</v>
      </c>
      <c r="M38" s="36">
        <f t="shared" si="0"/>
        <v>10327.019</v>
      </c>
    </row>
    <row r="39" spans="1:13" ht="15" customHeight="1" x14ac:dyDescent="0.25">
      <c r="A39" s="186">
        <v>18500</v>
      </c>
      <c r="B39" s="33">
        <f t="shared" si="3"/>
        <v>1541.6666666666667</v>
      </c>
      <c r="C39" s="185">
        <f>'Child care subsidy'!S42*12</f>
        <v>31860</v>
      </c>
      <c r="D39" s="185">
        <f>MAX('TANF-VIEW'!L46,'TANF-VIEW'!T46)*12</f>
        <v>0</v>
      </c>
      <c r="E39" s="193">
        <f>SNAP!V43*12</f>
        <v>14760</v>
      </c>
      <c r="F39" s="184">
        <f>WIC!F45*12</f>
        <v>882.24</v>
      </c>
      <c r="G39" s="185">
        <f>'Housing Voucher'!Q43*12</f>
        <v>12137.988000000001</v>
      </c>
      <c r="H39" s="197">
        <f>EITC!E42</f>
        <v>9877.2000000000007</v>
      </c>
      <c r="I39" s="205">
        <f>Medicaid!N46*12</f>
        <v>36294</v>
      </c>
      <c r="K39" s="185">
        <f t="shared" si="1"/>
        <v>105811.428</v>
      </c>
      <c r="L39" s="185">
        <f t="shared" si="2"/>
        <v>124311.428</v>
      </c>
      <c r="M39" s="36">
        <f t="shared" si="0"/>
        <v>10359.285666666667</v>
      </c>
    </row>
    <row r="40" spans="1:13" x14ac:dyDescent="0.25">
      <c r="A40" s="186">
        <v>19000</v>
      </c>
      <c r="B40" s="33">
        <f t="shared" si="3"/>
        <v>1583.3333333333333</v>
      </c>
      <c r="C40" s="185">
        <f>'Child care subsidy'!S43*12</f>
        <v>31860</v>
      </c>
      <c r="D40" s="185">
        <f>MAX('TANF-VIEW'!L47,'TANF-VIEW'!T47)*12</f>
        <v>0</v>
      </c>
      <c r="E40" s="193">
        <f>SNAP!V44*12</f>
        <v>14640</v>
      </c>
      <c r="F40" s="184">
        <f>WIC!F46*12</f>
        <v>882.24</v>
      </c>
      <c r="G40" s="185">
        <f>'Housing Voucher'!Q44*12</f>
        <v>11987.988000000001</v>
      </c>
      <c r="H40" s="197">
        <f>EITC!E43</f>
        <v>9877.2000000000007</v>
      </c>
      <c r="I40" s="205">
        <f>Medicaid!N47*12</f>
        <v>36294</v>
      </c>
      <c r="K40" s="185">
        <f t="shared" si="1"/>
        <v>105541.428</v>
      </c>
      <c r="L40" s="185">
        <f t="shared" si="2"/>
        <v>124541.428</v>
      </c>
      <c r="M40" s="36">
        <f t="shared" si="0"/>
        <v>10378.452333333333</v>
      </c>
    </row>
    <row r="41" spans="1:13" x14ac:dyDescent="0.25">
      <c r="A41" s="186">
        <v>19500</v>
      </c>
      <c r="B41" s="33">
        <f t="shared" si="3"/>
        <v>1625</v>
      </c>
      <c r="C41" s="185">
        <f>'Child care subsidy'!S44*12</f>
        <v>31860</v>
      </c>
      <c r="D41" s="185">
        <f>MAX('TANF-VIEW'!L48,'TANF-VIEW'!T48)*12</f>
        <v>0</v>
      </c>
      <c r="E41" s="193">
        <f>SNAP!V45*12</f>
        <v>14520</v>
      </c>
      <c r="F41" s="184">
        <f>WIC!F47*12</f>
        <v>882.24</v>
      </c>
      <c r="G41" s="185">
        <f>'Housing Voucher'!Q45*12</f>
        <v>11837.988000000001</v>
      </c>
      <c r="H41" s="197">
        <f>EITC!E44</f>
        <v>9877.2000000000007</v>
      </c>
      <c r="I41" s="205">
        <f>Medicaid!N48*12</f>
        <v>36294</v>
      </c>
      <c r="K41" s="185">
        <f t="shared" si="1"/>
        <v>105271.428</v>
      </c>
      <c r="L41" s="185">
        <f t="shared" si="2"/>
        <v>124771.428</v>
      </c>
      <c r="M41" s="36">
        <f t="shared" si="0"/>
        <v>10397.619000000001</v>
      </c>
    </row>
    <row r="42" spans="1:13" x14ac:dyDescent="0.25">
      <c r="A42" s="186">
        <v>20000</v>
      </c>
      <c r="B42" s="33">
        <f t="shared" si="3"/>
        <v>1666.6666666666667</v>
      </c>
      <c r="C42" s="185">
        <f>'Child care subsidy'!S45*12</f>
        <v>31860</v>
      </c>
      <c r="D42" s="185">
        <f>MAX('TANF-VIEW'!L49,'TANF-VIEW'!T49)*12</f>
        <v>0</v>
      </c>
      <c r="E42" s="193">
        <f>SNAP!V46*12</f>
        <v>14400</v>
      </c>
      <c r="F42" s="184">
        <f>WIC!F48*12</f>
        <v>882.24</v>
      </c>
      <c r="G42" s="185">
        <f>'Housing Voucher'!Q46*12</f>
        <v>11687.988000000001</v>
      </c>
      <c r="H42" s="197">
        <f>EITC!E45</f>
        <v>9877.2000000000007</v>
      </c>
      <c r="I42" s="205">
        <f>Medicaid!N49*12</f>
        <v>36294</v>
      </c>
      <c r="K42" s="185">
        <f t="shared" si="1"/>
        <v>105001.428</v>
      </c>
      <c r="L42" s="185">
        <f t="shared" si="2"/>
        <v>125001.428</v>
      </c>
      <c r="M42" s="36">
        <f t="shared" si="0"/>
        <v>10416.785666666667</v>
      </c>
    </row>
    <row r="43" spans="1:13" x14ac:dyDescent="0.25">
      <c r="A43" s="186">
        <v>20500</v>
      </c>
      <c r="B43" s="33">
        <f t="shared" si="3"/>
        <v>1708.3333333333333</v>
      </c>
      <c r="C43" s="185">
        <f>'Child care subsidy'!S46*12</f>
        <v>31860</v>
      </c>
      <c r="D43" s="185">
        <f>MAX('TANF-VIEW'!L50,'TANF-VIEW'!T50)*12</f>
        <v>0</v>
      </c>
      <c r="E43" s="193">
        <f>SNAP!V47*12</f>
        <v>14280</v>
      </c>
      <c r="F43" s="184">
        <f>WIC!F49*12</f>
        <v>882.24</v>
      </c>
      <c r="G43" s="185">
        <f>'Housing Voucher'!Q47*12</f>
        <v>11537.988000000001</v>
      </c>
      <c r="H43" s="197">
        <f>EITC!E46</f>
        <v>9877.2000000000007</v>
      </c>
      <c r="I43" s="205">
        <f>Medicaid!N50*12</f>
        <v>36294</v>
      </c>
      <c r="K43" s="185">
        <f t="shared" si="1"/>
        <v>104731.428</v>
      </c>
      <c r="L43" s="185">
        <f t="shared" si="2"/>
        <v>125231.428</v>
      </c>
      <c r="M43" s="36">
        <f t="shared" si="0"/>
        <v>10435.952333333333</v>
      </c>
    </row>
    <row r="44" spans="1:13" x14ac:dyDescent="0.25">
      <c r="A44" s="186">
        <v>21000</v>
      </c>
      <c r="B44" s="33">
        <f t="shared" si="3"/>
        <v>1750</v>
      </c>
      <c r="C44" s="185">
        <f>'Child care subsidy'!S47*12</f>
        <v>31860</v>
      </c>
      <c r="D44" s="185">
        <f>MAX('TANF-VIEW'!L51,'TANF-VIEW'!T51)*12</f>
        <v>0</v>
      </c>
      <c r="E44" s="193">
        <f>SNAP!V48*12</f>
        <v>14160</v>
      </c>
      <c r="F44" s="184">
        <f>WIC!F50*12</f>
        <v>882.24</v>
      </c>
      <c r="G44" s="185">
        <f>'Housing Voucher'!Q48*12</f>
        <v>11387.988000000001</v>
      </c>
      <c r="H44" s="197">
        <f>EITC!E47</f>
        <v>9877.2000000000007</v>
      </c>
      <c r="I44" s="205">
        <f>Medicaid!N51*12</f>
        <v>36294</v>
      </c>
      <c r="K44" s="185">
        <f t="shared" si="1"/>
        <v>104461.428</v>
      </c>
      <c r="L44" s="185">
        <f t="shared" si="2"/>
        <v>125461.428</v>
      </c>
      <c r="M44" s="36">
        <f t="shared" si="0"/>
        <v>10455.119000000001</v>
      </c>
    </row>
    <row r="45" spans="1:13" x14ac:dyDescent="0.25">
      <c r="A45" s="186">
        <v>21500</v>
      </c>
      <c r="B45" s="33">
        <f t="shared" si="3"/>
        <v>1791.6666666666667</v>
      </c>
      <c r="C45" s="185">
        <f>'Child care subsidy'!S48*12</f>
        <v>31860</v>
      </c>
      <c r="D45" s="185">
        <f>MAX('TANF-VIEW'!L52,'TANF-VIEW'!T52)*12</f>
        <v>0</v>
      </c>
      <c r="E45" s="193">
        <f>SNAP!V49*12</f>
        <v>14040</v>
      </c>
      <c r="F45" s="184">
        <f>WIC!F51*12</f>
        <v>882.24</v>
      </c>
      <c r="G45" s="185">
        <f>'Housing Voucher'!Q49*12</f>
        <v>11237.988000000001</v>
      </c>
      <c r="H45" s="197">
        <f>EITC!E48</f>
        <v>9877.2000000000007</v>
      </c>
      <c r="I45" s="205">
        <f>Medicaid!N52*12</f>
        <v>36294</v>
      </c>
      <c r="K45" s="185">
        <f t="shared" si="1"/>
        <v>104191.428</v>
      </c>
      <c r="L45" s="185">
        <f t="shared" si="2"/>
        <v>125691.428</v>
      </c>
      <c r="M45" s="36">
        <f t="shared" si="0"/>
        <v>10474.285666666667</v>
      </c>
    </row>
    <row r="46" spans="1:13" x14ac:dyDescent="0.25">
      <c r="A46" s="186">
        <v>22000</v>
      </c>
      <c r="B46" s="33">
        <f t="shared" si="3"/>
        <v>1833.3333333333333</v>
      </c>
      <c r="C46" s="185">
        <f>'Child care subsidy'!S49*12</f>
        <v>31860</v>
      </c>
      <c r="D46" s="185">
        <f>MAX('TANF-VIEW'!L53,'TANF-VIEW'!T53)*12</f>
        <v>0</v>
      </c>
      <c r="E46" s="193">
        <f>SNAP!V50*12</f>
        <v>13920</v>
      </c>
      <c r="F46" s="184">
        <f>WIC!F52*12</f>
        <v>882.24</v>
      </c>
      <c r="G46" s="185">
        <f>'Housing Voucher'!Q50*12</f>
        <v>11087.988000000001</v>
      </c>
      <c r="H46" s="197">
        <f>EITC!E49</f>
        <v>9877.2000000000007</v>
      </c>
      <c r="I46" s="205">
        <f>Medicaid!N53*12</f>
        <v>36294</v>
      </c>
      <c r="K46" s="185">
        <f t="shared" si="1"/>
        <v>103921.428</v>
      </c>
      <c r="L46" s="185">
        <f t="shared" si="2"/>
        <v>125921.428</v>
      </c>
      <c r="M46" s="36">
        <f t="shared" si="0"/>
        <v>10493.452333333333</v>
      </c>
    </row>
    <row r="47" spans="1:13" x14ac:dyDescent="0.25">
      <c r="A47" s="186">
        <v>22500</v>
      </c>
      <c r="B47" s="33">
        <f t="shared" si="3"/>
        <v>1875</v>
      </c>
      <c r="C47" s="185">
        <f>'Child care subsidy'!S50*12</f>
        <v>31860</v>
      </c>
      <c r="D47" s="185">
        <f>MAX('TANF-VIEW'!L54,'TANF-VIEW'!T54)*12</f>
        <v>0</v>
      </c>
      <c r="E47" s="193">
        <f>SNAP!V51*12</f>
        <v>13800</v>
      </c>
      <c r="F47" s="184">
        <f>WIC!F53*12</f>
        <v>882.24</v>
      </c>
      <c r="G47" s="185">
        <f>'Housing Voucher'!Q51*12</f>
        <v>10937.988000000001</v>
      </c>
      <c r="H47" s="197">
        <f>EITC!E50</f>
        <v>9877.2000000000007</v>
      </c>
      <c r="I47" s="205">
        <f>Medicaid!N54*12</f>
        <v>36294</v>
      </c>
      <c r="K47" s="185">
        <f t="shared" si="1"/>
        <v>103651.428</v>
      </c>
      <c r="L47" s="185">
        <f t="shared" si="2"/>
        <v>126151.428</v>
      </c>
      <c r="M47" s="36">
        <f t="shared" si="0"/>
        <v>10512.619000000001</v>
      </c>
    </row>
    <row r="48" spans="1:13" x14ac:dyDescent="0.25">
      <c r="A48" s="186">
        <v>23000</v>
      </c>
      <c r="B48" s="33">
        <f t="shared" si="3"/>
        <v>1916.6666666666667</v>
      </c>
      <c r="C48" s="185">
        <f>'Child care subsidy'!S51*12</f>
        <v>31860</v>
      </c>
      <c r="D48" s="185">
        <f>MAX('TANF-VIEW'!L55,'TANF-VIEW'!T55)*12</f>
        <v>0</v>
      </c>
      <c r="E48" s="193">
        <f>SNAP!V52*12</f>
        <v>13680</v>
      </c>
      <c r="F48" s="184">
        <f>WIC!F54*12</f>
        <v>882.24</v>
      </c>
      <c r="G48" s="185">
        <f>'Housing Voucher'!Q52*12</f>
        <v>10787.987999999999</v>
      </c>
      <c r="H48" s="197">
        <f>EITC!E51</f>
        <v>9877.2000000000007</v>
      </c>
      <c r="I48" s="205">
        <f>Medicaid!N55*12</f>
        <v>36294</v>
      </c>
      <c r="K48" s="185">
        <f t="shared" si="1"/>
        <v>103381.428</v>
      </c>
      <c r="L48" s="185">
        <f t="shared" si="2"/>
        <v>126381.428</v>
      </c>
      <c r="M48" s="36">
        <f t="shared" si="0"/>
        <v>10531.785666666667</v>
      </c>
    </row>
    <row r="49" spans="1:13" x14ac:dyDescent="0.25">
      <c r="A49" s="186">
        <v>23500</v>
      </c>
      <c r="B49" s="33">
        <f t="shared" si="3"/>
        <v>1958.3333333333333</v>
      </c>
      <c r="C49" s="185">
        <f>'Child care subsidy'!S52*12</f>
        <v>31860</v>
      </c>
      <c r="D49" s="185">
        <f>MAX('TANF-VIEW'!L56,'TANF-VIEW'!T56)*12</f>
        <v>0</v>
      </c>
      <c r="E49" s="193">
        <f>SNAP!V53*12</f>
        <v>13560</v>
      </c>
      <c r="F49" s="184">
        <f>WIC!F55*12</f>
        <v>882.24</v>
      </c>
      <c r="G49" s="185">
        <f>'Housing Voucher'!Q53*12</f>
        <v>10637.988000000001</v>
      </c>
      <c r="H49" s="197">
        <f>EITC!E52</f>
        <v>9877.2000000000007</v>
      </c>
      <c r="I49" s="205">
        <f>Medicaid!N56*12</f>
        <v>36294</v>
      </c>
      <c r="K49" s="185">
        <f t="shared" si="1"/>
        <v>103111.428</v>
      </c>
      <c r="L49" s="185">
        <f t="shared" si="2"/>
        <v>126611.428</v>
      </c>
      <c r="M49" s="36">
        <f t="shared" si="0"/>
        <v>10550.952333333333</v>
      </c>
    </row>
    <row r="50" spans="1:13" x14ac:dyDescent="0.25">
      <c r="A50" s="186">
        <v>24000</v>
      </c>
      <c r="B50" s="33">
        <f t="shared" si="3"/>
        <v>2000</v>
      </c>
      <c r="C50" s="185">
        <f>'Child care subsidy'!S53*12</f>
        <v>31860</v>
      </c>
      <c r="D50" s="185">
        <f>MAX('TANF-VIEW'!L57,'TANF-VIEW'!T57)*12</f>
        <v>0</v>
      </c>
      <c r="E50" s="193">
        <f>SNAP!V54*12</f>
        <v>13440</v>
      </c>
      <c r="F50" s="184">
        <f>WIC!F56*12</f>
        <v>882.24</v>
      </c>
      <c r="G50" s="185">
        <f>'Housing Voucher'!Q54*12</f>
        <v>10487.988000000001</v>
      </c>
      <c r="H50" s="197">
        <f>EITC!E53</f>
        <v>9877.2000000000007</v>
      </c>
      <c r="I50" s="205">
        <f>Medicaid!N57*12</f>
        <v>36294</v>
      </c>
      <c r="K50" s="185">
        <f t="shared" si="1"/>
        <v>102841.428</v>
      </c>
      <c r="L50" s="185">
        <f t="shared" si="2"/>
        <v>126841.428</v>
      </c>
      <c r="M50" s="36">
        <f t="shared" si="0"/>
        <v>10570.119000000001</v>
      </c>
    </row>
    <row r="51" spans="1:13" x14ac:dyDescent="0.25">
      <c r="A51" s="186">
        <v>24500</v>
      </c>
      <c r="B51" s="33">
        <f t="shared" si="3"/>
        <v>2041.6666666666667</v>
      </c>
      <c r="C51" s="185">
        <f>'Child care subsidy'!S54*12</f>
        <v>31860</v>
      </c>
      <c r="D51" s="185">
        <f>MAX('TANF-VIEW'!L58,'TANF-VIEW'!T58)*12</f>
        <v>0</v>
      </c>
      <c r="E51" s="193">
        <f>SNAP!V55*12</f>
        <v>13320</v>
      </c>
      <c r="F51" s="184">
        <f>WIC!F57*12</f>
        <v>882.24</v>
      </c>
      <c r="G51" s="185">
        <f>'Housing Voucher'!Q55*12</f>
        <v>10337.987999999999</v>
      </c>
      <c r="H51" s="197">
        <f>EITC!E54</f>
        <v>9877.2000000000007</v>
      </c>
      <c r="I51" s="205">
        <f>Medicaid!N58*12</f>
        <v>36294</v>
      </c>
      <c r="K51" s="185">
        <f t="shared" si="1"/>
        <v>102571.428</v>
      </c>
      <c r="L51" s="185">
        <f t="shared" si="2"/>
        <v>127071.428</v>
      </c>
      <c r="M51" s="36">
        <f t="shared" si="0"/>
        <v>10589.285666666667</v>
      </c>
    </row>
    <row r="52" spans="1:13" x14ac:dyDescent="0.25">
      <c r="A52" s="186">
        <v>25000</v>
      </c>
      <c r="B52" s="33">
        <f t="shared" si="3"/>
        <v>2083.3333333333335</v>
      </c>
      <c r="C52" s="185">
        <f>'Child care subsidy'!S55*12</f>
        <v>31860</v>
      </c>
      <c r="D52" s="185">
        <f>MAX('TANF-VIEW'!L59,'TANF-VIEW'!T59)*12</f>
        <v>0</v>
      </c>
      <c r="E52" s="193">
        <f>SNAP!V56*12</f>
        <v>13200</v>
      </c>
      <c r="F52" s="184">
        <f>WIC!F58*12</f>
        <v>882.24</v>
      </c>
      <c r="G52" s="185">
        <f>'Housing Voucher'!Q56*12</f>
        <v>10187.987999999999</v>
      </c>
      <c r="H52" s="197">
        <f>EITC!E55</f>
        <v>9877.2000000000007</v>
      </c>
      <c r="I52" s="205">
        <f>Medicaid!N59*12</f>
        <v>36294</v>
      </c>
      <c r="K52" s="185">
        <f t="shared" si="1"/>
        <v>102301.428</v>
      </c>
      <c r="L52" s="185">
        <f t="shared" si="2"/>
        <v>127301.428</v>
      </c>
      <c r="M52" s="36">
        <f t="shared" si="0"/>
        <v>10608.452333333333</v>
      </c>
    </row>
    <row r="53" spans="1:13" x14ac:dyDescent="0.25">
      <c r="A53" s="186">
        <v>25500</v>
      </c>
      <c r="B53" s="33">
        <f t="shared" si="3"/>
        <v>2125</v>
      </c>
      <c r="C53" s="185">
        <f>'Child care subsidy'!S56*12</f>
        <v>31860</v>
      </c>
      <c r="D53" s="185">
        <f>MAX('TANF-VIEW'!L60,'TANF-VIEW'!T60)*12</f>
        <v>0</v>
      </c>
      <c r="E53" s="193">
        <f>SNAP!V57*12</f>
        <v>13080</v>
      </c>
      <c r="F53" s="184">
        <f>WIC!F59*12</f>
        <v>882.24</v>
      </c>
      <c r="G53" s="185">
        <f>'Housing Voucher'!Q57*12</f>
        <v>10037.988000000001</v>
      </c>
      <c r="H53" s="197">
        <f>EITC!E56</f>
        <v>9877.2000000000007</v>
      </c>
      <c r="I53" s="205">
        <f>Medicaid!N60*12</f>
        <v>36294</v>
      </c>
      <c r="K53" s="185">
        <f t="shared" si="1"/>
        <v>102031.428</v>
      </c>
      <c r="L53" s="185">
        <f t="shared" si="2"/>
        <v>127531.428</v>
      </c>
      <c r="M53" s="36">
        <f t="shared" si="0"/>
        <v>10627.619000000001</v>
      </c>
    </row>
    <row r="54" spans="1:13" x14ac:dyDescent="0.25">
      <c r="A54" s="186">
        <v>26000</v>
      </c>
      <c r="B54" s="33">
        <f t="shared" si="3"/>
        <v>2166.6666666666665</v>
      </c>
      <c r="C54" s="185">
        <f>'Child care subsidy'!S57*12</f>
        <v>31860</v>
      </c>
      <c r="D54" s="185">
        <f>MAX('TANF-VIEW'!L61,'TANF-VIEW'!T61)*12</f>
        <v>0</v>
      </c>
      <c r="E54" s="193">
        <f>SNAP!V58*12</f>
        <v>12960</v>
      </c>
      <c r="F54" s="184">
        <f>WIC!F60*12</f>
        <v>882.24</v>
      </c>
      <c r="G54" s="185">
        <f>'Housing Voucher'!Q58*12</f>
        <v>9887.9880000000012</v>
      </c>
      <c r="H54" s="197">
        <f>EITC!E57</f>
        <v>9877.2000000000007</v>
      </c>
      <c r="I54" s="205">
        <f>Medicaid!N61*12</f>
        <v>36294</v>
      </c>
      <c r="K54" s="185">
        <f t="shared" si="1"/>
        <v>101761.428</v>
      </c>
      <c r="L54" s="185">
        <f t="shared" si="2"/>
        <v>127761.428</v>
      </c>
      <c r="M54" s="36">
        <f t="shared" si="0"/>
        <v>10646.785666666667</v>
      </c>
    </row>
    <row r="55" spans="1:13" x14ac:dyDescent="0.25">
      <c r="A55" s="206">
        <v>26500</v>
      </c>
      <c r="B55" s="207">
        <f t="shared" si="3"/>
        <v>2208.3333333333335</v>
      </c>
      <c r="C55" s="208">
        <f>'Child care subsidy'!S58*12</f>
        <v>31860</v>
      </c>
      <c r="D55" s="208">
        <f>MAX('TANF-VIEW'!L62,'TANF-VIEW'!T62)*12</f>
        <v>0</v>
      </c>
      <c r="E55" s="209">
        <f>SNAP!V59*12</f>
        <v>12840</v>
      </c>
      <c r="F55" s="210">
        <f>WIC!F61*12</f>
        <v>882.24</v>
      </c>
      <c r="G55" s="208">
        <f>'Housing Voucher'!Q59*12</f>
        <v>9737.9879999999994</v>
      </c>
      <c r="H55" s="211">
        <f>EITC!E58</f>
        <v>9877.2000000000007</v>
      </c>
      <c r="I55" s="212">
        <f>Medicaid!N62*12</f>
        <v>36294</v>
      </c>
      <c r="J55" s="213"/>
      <c r="K55" s="208">
        <f t="shared" si="1"/>
        <v>101491.428</v>
      </c>
      <c r="L55" s="208">
        <f t="shared" si="2"/>
        <v>127991.428</v>
      </c>
      <c r="M55" s="36">
        <f t="shared" si="0"/>
        <v>10665.952333333333</v>
      </c>
    </row>
    <row r="56" spans="1:13" x14ac:dyDescent="0.25">
      <c r="A56" s="206">
        <v>27000</v>
      </c>
      <c r="B56" s="207">
        <f t="shared" si="3"/>
        <v>2250</v>
      </c>
      <c r="C56" s="208">
        <f>'Child care subsidy'!S59*12</f>
        <v>31860</v>
      </c>
      <c r="D56" s="208">
        <f>MAX('TANF-VIEW'!L63,'TANF-VIEW'!T63)*12</f>
        <v>0</v>
      </c>
      <c r="E56" s="209">
        <f>SNAP!V60*12</f>
        <v>12720</v>
      </c>
      <c r="F56" s="210">
        <f>WIC!F62*12</f>
        <v>882.24</v>
      </c>
      <c r="G56" s="208">
        <f>'Housing Voucher'!Q60*12</f>
        <v>9587.9880000000012</v>
      </c>
      <c r="H56" s="211">
        <f>EITC!E59</f>
        <v>9877.2000000000007</v>
      </c>
      <c r="I56" s="212">
        <f>Medicaid!N63*12</f>
        <v>36294</v>
      </c>
      <c r="J56" s="213"/>
      <c r="K56" s="208">
        <f t="shared" si="1"/>
        <v>101221.428</v>
      </c>
      <c r="L56" s="208">
        <f t="shared" si="2"/>
        <v>128221.428</v>
      </c>
      <c r="M56" s="36">
        <f t="shared" si="0"/>
        <v>10685.119000000001</v>
      </c>
    </row>
    <row r="57" spans="1:13" x14ac:dyDescent="0.25">
      <c r="A57" s="186">
        <v>27500</v>
      </c>
      <c r="B57" s="33">
        <f t="shared" si="3"/>
        <v>2291.6666666666665</v>
      </c>
      <c r="C57" s="185">
        <f>'Child care subsidy'!S60*12</f>
        <v>31860</v>
      </c>
      <c r="D57" s="185">
        <f>MAX('TANF-VIEW'!L64,'TANF-VIEW'!T64)*12</f>
        <v>0</v>
      </c>
      <c r="E57" s="193">
        <f>SNAP!V61*12</f>
        <v>12600</v>
      </c>
      <c r="F57" s="184">
        <f>WIC!F63*12</f>
        <v>882.24</v>
      </c>
      <c r="G57" s="185">
        <f>'Housing Voucher'!Q61*12</f>
        <v>9437.9880000000012</v>
      </c>
      <c r="H57" s="197">
        <f>EITC!E60</f>
        <v>9877.2000000000007</v>
      </c>
      <c r="I57" s="205">
        <f>Medicaid!N64*12</f>
        <v>36294</v>
      </c>
      <c r="K57" s="185">
        <f t="shared" si="1"/>
        <v>100951.428</v>
      </c>
      <c r="L57" s="185">
        <f t="shared" si="2"/>
        <v>128451.428</v>
      </c>
      <c r="M57" s="36">
        <f t="shared" si="0"/>
        <v>10704.285666666667</v>
      </c>
    </row>
    <row r="58" spans="1:13" x14ac:dyDescent="0.25">
      <c r="A58" s="186">
        <v>28000</v>
      </c>
      <c r="B58" s="33">
        <f t="shared" si="3"/>
        <v>2333.3333333333335</v>
      </c>
      <c r="C58" s="185">
        <f>'Child care subsidy'!S61*12</f>
        <v>31860</v>
      </c>
      <c r="D58" s="185">
        <f>MAX('TANF-VIEW'!L65,'TANF-VIEW'!T65)*12</f>
        <v>0</v>
      </c>
      <c r="E58" s="193">
        <f>SNAP!V62*12</f>
        <v>12480</v>
      </c>
      <c r="F58" s="184">
        <f>WIC!F64*12</f>
        <v>882.24</v>
      </c>
      <c r="G58" s="185">
        <f>'Housing Voucher'!Q62*12</f>
        <v>9287.9879999999994</v>
      </c>
      <c r="H58" s="197">
        <f>EITC!E61</f>
        <v>9877.2000000000007</v>
      </c>
      <c r="I58" s="205">
        <f>Medicaid!N65*12</f>
        <v>36294</v>
      </c>
      <c r="K58" s="185">
        <f t="shared" si="1"/>
        <v>100681.428</v>
      </c>
      <c r="L58" s="185">
        <f t="shared" si="2"/>
        <v>128681.428</v>
      </c>
      <c r="M58" s="36">
        <f t="shared" si="0"/>
        <v>10723.452333333333</v>
      </c>
    </row>
    <row r="59" spans="1:13" x14ac:dyDescent="0.25">
      <c r="A59" s="186">
        <v>28500</v>
      </c>
      <c r="B59" s="33">
        <f t="shared" si="3"/>
        <v>2375</v>
      </c>
      <c r="C59" s="185">
        <f>'Child care subsidy'!S62*12</f>
        <v>31860</v>
      </c>
      <c r="D59" s="185">
        <f>MAX('TANF-VIEW'!L66,'TANF-VIEW'!T66)*12</f>
        <v>0</v>
      </c>
      <c r="E59" s="193">
        <f>SNAP!V63*12</f>
        <v>12360</v>
      </c>
      <c r="F59" s="184">
        <f>WIC!F65*12</f>
        <v>882.24</v>
      </c>
      <c r="G59" s="185">
        <f>'Housing Voucher'!Q63*12</f>
        <v>9137.9880000000012</v>
      </c>
      <c r="H59" s="197">
        <f>EITC!E62</f>
        <v>9877.2000000000007</v>
      </c>
      <c r="I59" s="205">
        <f>Medicaid!N66*12</f>
        <v>36294</v>
      </c>
      <c r="K59" s="185">
        <f t="shared" si="1"/>
        <v>100411.428</v>
      </c>
      <c r="L59" s="185">
        <f t="shared" si="2"/>
        <v>128911.428</v>
      </c>
      <c r="M59" s="36">
        <f t="shared" si="0"/>
        <v>10742.619000000001</v>
      </c>
    </row>
    <row r="60" spans="1:13" x14ac:dyDescent="0.25">
      <c r="A60" s="186">
        <v>29000</v>
      </c>
      <c r="B60" s="33">
        <f t="shared" si="3"/>
        <v>2416.6666666666665</v>
      </c>
      <c r="C60" s="185">
        <f>'Child care subsidy'!S63*12</f>
        <v>31860</v>
      </c>
      <c r="D60" s="185">
        <f>MAX('TANF-VIEW'!L67,'TANF-VIEW'!T67)*12</f>
        <v>0</v>
      </c>
      <c r="E60" s="193">
        <f>SNAP!V64*12</f>
        <v>12240</v>
      </c>
      <c r="F60" s="184">
        <f>WIC!F66*12</f>
        <v>882.24</v>
      </c>
      <c r="G60" s="185">
        <f>'Housing Voucher'!Q64*12</f>
        <v>8987.9880000000012</v>
      </c>
      <c r="H60" s="197">
        <f>EITC!E63</f>
        <v>9877.2000000000007</v>
      </c>
      <c r="I60" s="205">
        <f>Medicaid!N67*12</f>
        <v>36294</v>
      </c>
      <c r="K60" s="185">
        <f t="shared" si="1"/>
        <v>100141.428</v>
      </c>
      <c r="L60" s="185">
        <f t="shared" si="2"/>
        <v>129141.428</v>
      </c>
      <c r="M60" s="36">
        <f t="shared" si="0"/>
        <v>10761.785666666667</v>
      </c>
    </row>
    <row r="61" spans="1:13" x14ac:dyDescent="0.25">
      <c r="A61" s="186">
        <v>29500</v>
      </c>
      <c r="B61" s="33">
        <f t="shared" si="3"/>
        <v>2458.3333333333335</v>
      </c>
      <c r="C61" s="185">
        <f>'Child care subsidy'!S64*12</f>
        <v>31860</v>
      </c>
      <c r="D61" s="185">
        <f>MAX('TANF-VIEW'!L68,'TANF-VIEW'!T68)*12</f>
        <v>0</v>
      </c>
      <c r="E61" s="193">
        <f>SNAP!V65*12</f>
        <v>12120</v>
      </c>
      <c r="F61" s="184">
        <f>WIC!F67*12</f>
        <v>882.24</v>
      </c>
      <c r="G61" s="185">
        <f>'Housing Voucher'!Q65*12</f>
        <v>8837.9879999999994</v>
      </c>
      <c r="H61" s="197">
        <f>EITC!E64</f>
        <v>9877.2000000000007</v>
      </c>
      <c r="I61" s="205">
        <f>Medicaid!N68*12</f>
        <v>36294</v>
      </c>
      <c r="K61" s="185">
        <f t="shared" si="1"/>
        <v>99871.428</v>
      </c>
      <c r="L61" s="185">
        <f t="shared" si="2"/>
        <v>129371.428</v>
      </c>
      <c r="M61" s="36">
        <f t="shared" si="0"/>
        <v>10780.952333333333</v>
      </c>
    </row>
    <row r="62" spans="1:13" x14ac:dyDescent="0.25">
      <c r="A62" s="186">
        <v>30000</v>
      </c>
      <c r="B62" s="33">
        <f t="shared" si="3"/>
        <v>2500</v>
      </c>
      <c r="C62" s="185">
        <f>'Child care subsidy'!S65*12</f>
        <v>31860</v>
      </c>
      <c r="D62" s="185">
        <f>MAX('TANF-VIEW'!L69,'TANF-VIEW'!T69)*12</f>
        <v>0</v>
      </c>
      <c r="E62" s="193">
        <f>SNAP!V66*12</f>
        <v>12000</v>
      </c>
      <c r="F62" s="184">
        <f>WIC!F68*12</f>
        <v>882.24</v>
      </c>
      <c r="G62" s="185">
        <f>'Housing Voucher'!Q66*12</f>
        <v>8687.9880000000012</v>
      </c>
      <c r="H62" s="197">
        <f>EITC!E65</f>
        <v>9877.2000000000007</v>
      </c>
      <c r="I62" s="205">
        <f>Medicaid!N69*12</f>
        <v>36294</v>
      </c>
      <c r="K62" s="185">
        <f t="shared" si="1"/>
        <v>99601.428</v>
      </c>
      <c r="L62" s="185">
        <f t="shared" si="2"/>
        <v>129601.428</v>
      </c>
      <c r="M62" s="36">
        <f t="shared" si="0"/>
        <v>10800.119000000001</v>
      </c>
    </row>
    <row r="63" spans="1:13" x14ac:dyDescent="0.25">
      <c r="A63" s="186">
        <v>30500</v>
      </c>
      <c r="B63" s="33">
        <f t="shared" si="3"/>
        <v>2541.6666666666665</v>
      </c>
      <c r="C63" s="185">
        <f>'Child care subsidy'!S66*12</f>
        <v>31860</v>
      </c>
      <c r="D63" s="185">
        <f>MAX('TANF-VIEW'!L70,'TANF-VIEW'!T70)*12</f>
        <v>0</v>
      </c>
      <c r="E63" s="193">
        <f>SNAP!V67*12</f>
        <v>11880</v>
      </c>
      <c r="F63" s="184">
        <f>WIC!F69*12</f>
        <v>882.24</v>
      </c>
      <c r="G63" s="185">
        <f>'Housing Voucher'!Q67*12</f>
        <v>8537.9880000000012</v>
      </c>
      <c r="H63" s="197">
        <f>EITC!E66</f>
        <v>9877.2000000000007</v>
      </c>
      <c r="I63" s="205">
        <f>Medicaid!N70*12</f>
        <v>36294</v>
      </c>
      <c r="K63" s="185">
        <f t="shared" si="1"/>
        <v>99331.428</v>
      </c>
      <c r="L63" s="185">
        <f t="shared" si="2"/>
        <v>129831.428</v>
      </c>
      <c r="M63" s="36">
        <f t="shared" si="0"/>
        <v>10819.285666666667</v>
      </c>
    </row>
    <row r="64" spans="1:13" x14ac:dyDescent="0.25">
      <c r="A64" s="186">
        <v>31000</v>
      </c>
      <c r="B64" s="33">
        <f t="shared" si="3"/>
        <v>2583.3333333333335</v>
      </c>
      <c r="C64" s="185">
        <f>'Child care subsidy'!S67*12</f>
        <v>31860</v>
      </c>
      <c r="D64" s="185">
        <f>MAX('TANF-VIEW'!L71,'TANF-VIEW'!T71)*12</f>
        <v>0</v>
      </c>
      <c r="E64" s="193">
        <f>SNAP!V68*12</f>
        <v>11760</v>
      </c>
      <c r="F64" s="184">
        <f>WIC!F70*12</f>
        <v>882.24</v>
      </c>
      <c r="G64" s="185">
        <f>'Housing Voucher'!Q68*12</f>
        <v>8387.9879999999994</v>
      </c>
      <c r="H64" s="197">
        <f>EITC!E67</f>
        <v>9877.2000000000007</v>
      </c>
      <c r="I64" s="205">
        <f>Medicaid!N71*12</f>
        <v>36294</v>
      </c>
      <c r="K64" s="185">
        <f t="shared" si="1"/>
        <v>99061.428</v>
      </c>
      <c r="L64" s="185">
        <f t="shared" si="2"/>
        <v>130061.428</v>
      </c>
      <c r="M64" s="36">
        <f t="shared" si="0"/>
        <v>10838.452333333333</v>
      </c>
    </row>
    <row r="65" spans="1:13" x14ac:dyDescent="0.25">
      <c r="A65" s="186">
        <v>31500</v>
      </c>
      <c r="B65" s="33">
        <f t="shared" si="3"/>
        <v>2625</v>
      </c>
      <c r="C65" s="185">
        <f>'Child care subsidy'!S68*12</f>
        <v>31860</v>
      </c>
      <c r="D65" s="185">
        <f>MAX('TANF-VIEW'!L72,'TANF-VIEW'!T72)*12</f>
        <v>0</v>
      </c>
      <c r="E65" s="193">
        <f>SNAP!V69*12</f>
        <v>11640</v>
      </c>
      <c r="F65" s="184">
        <f>WIC!F71*12</f>
        <v>882.24</v>
      </c>
      <c r="G65" s="185">
        <f>'Housing Voucher'!Q69*12</f>
        <v>8237.9880000000012</v>
      </c>
      <c r="H65" s="197">
        <f>EITC!E68</f>
        <v>9791.5279200000004</v>
      </c>
      <c r="I65" s="205">
        <f>Medicaid!N72*12</f>
        <v>36294</v>
      </c>
      <c r="K65" s="185">
        <f t="shared" si="1"/>
        <v>98705.755919999996</v>
      </c>
      <c r="L65" s="185">
        <f t="shared" si="2"/>
        <v>130205.75592</v>
      </c>
      <c r="M65" s="36">
        <f t="shared" si="0"/>
        <v>10850.479659999999</v>
      </c>
    </row>
    <row r="66" spans="1:13" x14ac:dyDescent="0.25">
      <c r="A66" s="186">
        <v>32000</v>
      </c>
      <c r="B66" s="33">
        <f t="shared" si="3"/>
        <v>2666.6666666666665</v>
      </c>
      <c r="C66" s="185">
        <f>'Child care subsidy'!S69*12</f>
        <v>31860</v>
      </c>
      <c r="D66" s="185">
        <f>MAX('TANF-VIEW'!L73,'TANF-VIEW'!T73)*12</f>
        <v>0</v>
      </c>
      <c r="E66" s="193">
        <f>SNAP!V70*12</f>
        <v>11520</v>
      </c>
      <c r="F66" s="184">
        <f>WIC!F72*12</f>
        <v>882.24</v>
      </c>
      <c r="G66" s="185">
        <f>'Housing Voucher'!Q70*12</f>
        <v>8087.9880000000003</v>
      </c>
      <c r="H66" s="197">
        <f>EITC!E69</f>
        <v>9665.1679199999999</v>
      </c>
      <c r="I66" s="205">
        <f>Medicaid!N73*12</f>
        <v>36294</v>
      </c>
      <c r="K66" s="185">
        <f t="shared" si="1"/>
        <v>98309.395919999995</v>
      </c>
      <c r="L66" s="185">
        <f t="shared" si="2"/>
        <v>130309.39592</v>
      </c>
      <c r="M66" s="36">
        <f t="shared" si="0"/>
        <v>10859.116326666666</v>
      </c>
    </row>
    <row r="67" spans="1:13" x14ac:dyDescent="0.25">
      <c r="A67" s="186">
        <v>32500</v>
      </c>
      <c r="B67" s="33">
        <f t="shared" si="3"/>
        <v>2708.3333333333335</v>
      </c>
      <c r="C67" s="185">
        <f>'Child care subsidy'!S70*12</f>
        <v>31860</v>
      </c>
      <c r="D67" s="185">
        <f>MAX('TANF-VIEW'!L74,'TANF-VIEW'!T74)*12</f>
        <v>0</v>
      </c>
      <c r="E67" s="193">
        <f>SNAP!V71*12</f>
        <v>11400</v>
      </c>
      <c r="F67" s="184">
        <f>WIC!F73*12</f>
        <v>882.24</v>
      </c>
      <c r="G67" s="185">
        <f>'Housing Voucher'!Q71*12</f>
        <v>7937.9879999999994</v>
      </c>
      <c r="H67" s="197">
        <f>EITC!E70</f>
        <v>9538.8079199999993</v>
      </c>
      <c r="I67" s="205">
        <f>Medicaid!N74*12</f>
        <v>36294</v>
      </c>
      <c r="K67" s="185">
        <f t="shared" si="1"/>
        <v>97913.035919999995</v>
      </c>
      <c r="L67" s="185">
        <f t="shared" si="2"/>
        <v>130413.03591999999</v>
      </c>
      <c r="M67" s="36">
        <f t="shared" ref="M67:M130" si="4">L67/12</f>
        <v>10867.752993333334</v>
      </c>
    </row>
    <row r="68" spans="1:13" x14ac:dyDescent="0.25">
      <c r="A68" s="206">
        <v>33000</v>
      </c>
      <c r="B68" s="207">
        <f t="shared" si="3"/>
        <v>2750</v>
      </c>
      <c r="C68" s="208">
        <f>'Child care subsidy'!S71*12</f>
        <v>31860</v>
      </c>
      <c r="D68" s="208">
        <f>MAX('TANF-VIEW'!L75,'TANF-VIEW'!T75)*12</f>
        <v>0</v>
      </c>
      <c r="E68" s="209">
        <f>SNAP!V72*12</f>
        <v>11280</v>
      </c>
      <c r="F68" s="210">
        <f>WIC!F74*12</f>
        <v>882.24</v>
      </c>
      <c r="G68" s="208">
        <f>'Housing Voucher'!Q72*12</f>
        <v>7787.9880000000003</v>
      </c>
      <c r="H68" s="211">
        <f>EITC!E71</f>
        <v>9412.4479199999987</v>
      </c>
      <c r="I68" s="212">
        <f>Medicaid!N75*12</f>
        <v>36294</v>
      </c>
      <c r="J68" s="213"/>
      <c r="K68" s="208">
        <f t="shared" ref="K68:K131" si="5">SUM(C68:I68)</f>
        <v>97516.675919999994</v>
      </c>
      <c r="L68" s="208">
        <f t="shared" ref="L68:L131" si="6">A68+K68</f>
        <v>130516.67591999999</v>
      </c>
      <c r="M68" s="36">
        <f t="shared" si="4"/>
        <v>10876.389659999999</v>
      </c>
    </row>
    <row r="69" spans="1:13" x14ac:dyDescent="0.25">
      <c r="A69" s="206">
        <v>33500</v>
      </c>
      <c r="B69" s="207">
        <f t="shared" ref="B69:B102" si="7">A69/12</f>
        <v>2791.6666666666665</v>
      </c>
      <c r="C69" s="208">
        <f>'Child care subsidy'!S72*12</f>
        <v>31860</v>
      </c>
      <c r="D69" s="208">
        <f>MAX('TANF-VIEW'!L76,'TANF-VIEW'!T76)*12</f>
        <v>0</v>
      </c>
      <c r="E69" s="209">
        <f>SNAP!V73*12</f>
        <v>11160</v>
      </c>
      <c r="F69" s="210">
        <f>WIC!F75*12</f>
        <v>882.24</v>
      </c>
      <c r="G69" s="208">
        <f>'Housing Voucher'!Q73*12</f>
        <v>7637.9880000000003</v>
      </c>
      <c r="H69" s="211">
        <f>EITC!E72</f>
        <v>9286.0879199999999</v>
      </c>
      <c r="I69" s="212">
        <f>Medicaid!N76*12</f>
        <v>36294</v>
      </c>
      <c r="J69" s="213"/>
      <c r="K69" s="208">
        <f t="shared" si="5"/>
        <v>97120.315919999994</v>
      </c>
      <c r="L69" s="208">
        <f t="shared" si="6"/>
        <v>130620.31591999999</v>
      </c>
      <c r="M69" s="36">
        <f t="shared" si="4"/>
        <v>10885.026326666666</v>
      </c>
    </row>
    <row r="70" spans="1:13" x14ac:dyDescent="0.25">
      <c r="A70" s="186">
        <v>34000</v>
      </c>
      <c r="B70" s="33">
        <f t="shared" si="7"/>
        <v>2833.3333333333335</v>
      </c>
      <c r="C70" s="185">
        <f>'Child care subsidy'!S73*12</f>
        <v>31860</v>
      </c>
      <c r="D70" s="185">
        <f>MAX('TANF-VIEW'!L77,'TANF-VIEW'!T77)*12</f>
        <v>0</v>
      </c>
      <c r="E70" s="193">
        <f>SNAP!V74*12</f>
        <v>11040</v>
      </c>
      <c r="F70" s="184">
        <f>WIC!F76*12</f>
        <v>882.24</v>
      </c>
      <c r="G70" s="185">
        <f>'Housing Voucher'!Q74*12</f>
        <v>7487.9879999999994</v>
      </c>
      <c r="H70" s="197">
        <f>EITC!E73</f>
        <v>9159.7279200000012</v>
      </c>
      <c r="I70" s="205">
        <f>Medicaid!N77*12</f>
        <v>36294</v>
      </c>
      <c r="K70" s="185">
        <f t="shared" si="5"/>
        <v>96723.955919999993</v>
      </c>
      <c r="L70" s="185">
        <f t="shared" si="6"/>
        <v>130723.95591999999</v>
      </c>
      <c r="M70" s="36">
        <f t="shared" si="4"/>
        <v>10893.662993333333</v>
      </c>
    </row>
    <row r="71" spans="1:13" x14ac:dyDescent="0.25">
      <c r="A71" s="186">
        <v>34500</v>
      </c>
      <c r="B71" s="33">
        <f t="shared" si="7"/>
        <v>2875</v>
      </c>
      <c r="C71" s="185">
        <f>'Child care subsidy'!S74*12</f>
        <v>31860</v>
      </c>
      <c r="D71" s="185">
        <f>MAX('TANF-VIEW'!L78,'TANF-VIEW'!T78)*12</f>
        <v>0</v>
      </c>
      <c r="E71" s="193">
        <f>SNAP!V75*12</f>
        <v>10920</v>
      </c>
      <c r="F71" s="184">
        <f>WIC!F77*12</f>
        <v>882.24</v>
      </c>
      <c r="G71" s="185">
        <f>'Housing Voucher'!Q75*12</f>
        <v>7337.9880000000003</v>
      </c>
      <c r="H71" s="197">
        <f>EITC!E74</f>
        <v>9033.3679200000006</v>
      </c>
      <c r="I71" s="205">
        <f>Medicaid!N78*12</f>
        <v>36294</v>
      </c>
      <c r="K71" s="185">
        <f t="shared" si="5"/>
        <v>96327.595919999992</v>
      </c>
      <c r="L71" s="185">
        <f t="shared" si="6"/>
        <v>130827.59591999999</v>
      </c>
      <c r="M71" s="36">
        <f t="shared" si="4"/>
        <v>10902.299659999999</v>
      </c>
    </row>
    <row r="72" spans="1:13" x14ac:dyDescent="0.25">
      <c r="A72" s="186">
        <v>35000</v>
      </c>
      <c r="B72" s="33">
        <f t="shared" si="7"/>
        <v>2916.6666666666665</v>
      </c>
      <c r="C72" s="185">
        <f>'Child care subsidy'!S75*12</f>
        <v>31860</v>
      </c>
      <c r="D72" s="185">
        <f>MAX('TANF-VIEW'!L79,'TANF-VIEW'!T79)*12</f>
        <v>0</v>
      </c>
      <c r="E72" s="193">
        <f>SNAP!V76*12</f>
        <v>10800</v>
      </c>
      <c r="F72" s="184">
        <f>WIC!F78*12</f>
        <v>882.24</v>
      </c>
      <c r="G72" s="185">
        <f>'Housing Voucher'!Q76*12</f>
        <v>7187.9880000000003</v>
      </c>
      <c r="H72" s="197">
        <f>EITC!E75</f>
        <v>8907.00792</v>
      </c>
      <c r="I72" s="205">
        <f>Medicaid!N79*12</f>
        <v>36294</v>
      </c>
      <c r="K72" s="185">
        <f t="shared" si="5"/>
        <v>95931.235919999992</v>
      </c>
      <c r="L72" s="185">
        <f t="shared" si="6"/>
        <v>130931.23591999999</v>
      </c>
      <c r="M72" s="36">
        <f t="shared" si="4"/>
        <v>10910.936326666666</v>
      </c>
    </row>
    <row r="73" spans="1:13" x14ac:dyDescent="0.25">
      <c r="A73" s="186">
        <v>35500</v>
      </c>
      <c r="B73" s="33">
        <f t="shared" si="7"/>
        <v>2958.3333333333335</v>
      </c>
      <c r="C73" s="185">
        <f>'Child care subsidy'!S76*12</f>
        <v>31860</v>
      </c>
      <c r="D73" s="185">
        <f>MAX('TANF-VIEW'!L80,'TANF-VIEW'!T80)*12</f>
        <v>0</v>
      </c>
      <c r="E73" s="193">
        <f>SNAP!V77*12</f>
        <v>10680</v>
      </c>
      <c r="F73" s="184">
        <f>WIC!F79*12</f>
        <v>882.24</v>
      </c>
      <c r="G73" s="185">
        <f>'Housing Voucher'!Q77*12</f>
        <v>7037.9879999999994</v>
      </c>
      <c r="H73" s="197">
        <f>EITC!E76</f>
        <v>8780.6479199999994</v>
      </c>
      <c r="I73" s="205">
        <f>Medicaid!N80*12</f>
        <v>36294</v>
      </c>
      <c r="K73" s="185">
        <f t="shared" si="5"/>
        <v>95534.875919999991</v>
      </c>
      <c r="L73" s="185">
        <f t="shared" si="6"/>
        <v>131034.87591999999</v>
      </c>
      <c r="M73" s="36">
        <f t="shared" si="4"/>
        <v>10919.572993333333</v>
      </c>
    </row>
    <row r="74" spans="1:13" x14ac:dyDescent="0.25">
      <c r="A74" s="186">
        <v>36000</v>
      </c>
      <c r="B74" s="33">
        <f t="shared" si="7"/>
        <v>3000</v>
      </c>
      <c r="C74" s="185">
        <f>'Child care subsidy'!S77*12</f>
        <v>31860</v>
      </c>
      <c r="D74" s="185">
        <f>MAX('TANF-VIEW'!L81,'TANF-VIEW'!T81)*12</f>
        <v>0</v>
      </c>
      <c r="E74" s="193">
        <f>SNAP!V78*12</f>
        <v>10560</v>
      </c>
      <c r="F74" s="184">
        <f>WIC!F80*12</f>
        <v>882.24</v>
      </c>
      <c r="G74" s="185">
        <f>'Housing Voucher'!Q78*12</f>
        <v>6887.9880000000003</v>
      </c>
      <c r="H74" s="197">
        <f>EITC!E77</f>
        <v>8654.2879200000007</v>
      </c>
      <c r="I74" s="205">
        <f>Medicaid!N81*12</f>
        <v>36294</v>
      </c>
      <c r="K74" s="185">
        <f t="shared" si="5"/>
        <v>95138.515920000005</v>
      </c>
      <c r="L74" s="185">
        <f t="shared" si="6"/>
        <v>131138.51592000001</v>
      </c>
      <c r="M74" s="36">
        <f t="shared" si="4"/>
        <v>10928.20966</v>
      </c>
    </row>
    <row r="75" spans="1:13" x14ac:dyDescent="0.25">
      <c r="A75" s="206">
        <v>36500</v>
      </c>
      <c r="B75" s="207">
        <f t="shared" si="7"/>
        <v>3041.6666666666665</v>
      </c>
      <c r="C75" s="208">
        <f>'Child care subsidy'!S78*12</f>
        <v>31860</v>
      </c>
      <c r="D75" s="208">
        <f>MAX('TANF-VIEW'!L82,'TANF-VIEW'!T82)*12</f>
        <v>0</v>
      </c>
      <c r="E75" s="209">
        <f>SNAP!V79*12</f>
        <v>10440</v>
      </c>
      <c r="F75" s="210">
        <f>WIC!F81*12</f>
        <v>882.24</v>
      </c>
      <c r="G75" s="208">
        <f>'Housing Voucher'!Q79*12</f>
        <v>6737.9880000000003</v>
      </c>
      <c r="H75" s="211">
        <f>EITC!E78</f>
        <v>8527.9279200000001</v>
      </c>
      <c r="I75" s="212">
        <f>Medicaid!N82*12</f>
        <v>36294</v>
      </c>
      <c r="J75" s="213"/>
      <c r="K75" s="208">
        <f t="shared" si="5"/>
        <v>94742.15591999999</v>
      </c>
      <c r="L75" s="208">
        <f t="shared" si="6"/>
        <v>131242.15591999999</v>
      </c>
      <c r="M75" s="36">
        <f t="shared" si="4"/>
        <v>10936.846326666666</v>
      </c>
    </row>
    <row r="76" spans="1:13" x14ac:dyDescent="0.25">
      <c r="A76" s="206">
        <v>37000</v>
      </c>
      <c r="B76" s="207">
        <f t="shared" si="7"/>
        <v>3083.3333333333335</v>
      </c>
      <c r="C76" s="208">
        <f>'Child care subsidy'!S79*12</f>
        <v>31860</v>
      </c>
      <c r="D76" s="208">
        <f>MAX('TANF-VIEW'!L83,'TANF-VIEW'!T83)*12</f>
        <v>0</v>
      </c>
      <c r="E76" s="209">
        <f>SNAP!V80*12</f>
        <v>10320</v>
      </c>
      <c r="F76" s="210">
        <f>WIC!F82*12</f>
        <v>882.24</v>
      </c>
      <c r="G76" s="208">
        <f>'Housing Voucher'!Q80*12</f>
        <v>6587.9880000000003</v>
      </c>
      <c r="H76" s="211">
        <f>EITC!E79</f>
        <v>8401.5679199999995</v>
      </c>
      <c r="I76" s="212">
        <f>Medicaid!N83*12</f>
        <v>36294</v>
      </c>
      <c r="J76" s="213"/>
      <c r="K76" s="208">
        <f t="shared" si="5"/>
        <v>94345.795920000004</v>
      </c>
      <c r="L76" s="208">
        <f t="shared" si="6"/>
        <v>131345.79592</v>
      </c>
      <c r="M76" s="36">
        <f t="shared" si="4"/>
        <v>10945.482993333333</v>
      </c>
    </row>
    <row r="77" spans="1:13" x14ac:dyDescent="0.25">
      <c r="A77" s="186">
        <v>37500</v>
      </c>
      <c r="B77" s="33">
        <f t="shared" si="7"/>
        <v>3125</v>
      </c>
      <c r="C77" s="185">
        <f>'Child care subsidy'!S80*12</f>
        <v>31860</v>
      </c>
      <c r="D77" s="185">
        <f>MAX('TANF-VIEW'!L84,'TANF-VIEW'!T84)*12</f>
        <v>0</v>
      </c>
      <c r="E77" s="193">
        <f>SNAP!V81*12</f>
        <v>10200</v>
      </c>
      <c r="F77" s="184">
        <f>WIC!F83*12</f>
        <v>882.24</v>
      </c>
      <c r="G77" s="185">
        <f>'Housing Voucher'!Q81*12</f>
        <v>6437.9880000000003</v>
      </c>
      <c r="H77" s="197">
        <f>EITC!E80</f>
        <v>8275.2079200000007</v>
      </c>
      <c r="I77" s="205">
        <f>Medicaid!N84*12</f>
        <v>36294</v>
      </c>
      <c r="K77" s="185">
        <f t="shared" si="5"/>
        <v>93949.435919999989</v>
      </c>
      <c r="L77" s="185">
        <f t="shared" si="6"/>
        <v>131449.43591999999</v>
      </c>
      <c r="M77" s="36">
        <f t="shared" si="4"/>
        <v>10954.119659999998</v>
      </c>
    </row>
    <row r="78" spans="1:13" x14ac:dyDescent="0.25">
      <c r="A78" s="186">
        <v>38000</v>
      </c>
      <c r="B78" s="33">
        <f t="shared" si="7"/>
        <v>3166.6666666666665</v>
      </c>
      <c r="C78" s="185">
        <f>'Child care subsidy'!S81*12</f>
        <v>31860</v>
      </c>
      <c r="D78" s="185">
        <f>MAX('TANF-VIEW'!L85,'TANF-VIEW'!T85)*12</f>
        <v>0</v>
      </c>
      <c r="E78" s="193">
        <f>SNAP!V82*12</f>
        <v>10080</v>
      </c>
      <c r="F78" s="184">
        <f>WIC!F84*12</f>
        <v>882.24</v>
      </c>
      <c r="G78" s="185">
        <f>'Housing Voucher'!Q82*12</f>
        <v>6287.9880000000003</v>
      </c>
      <c r="H78" s="197">
        <f>EITC!E81</f>
        <v>8148.8479199999992</v>
      </c>
      <c r="I78" s="205">
        <f>Medicaid!N85*12</f>
        <v>36294</v>
      </c>
      <c r="K78" s="185">
        <f t="shared" si="5"/>
        <v>93553.075920000003</v>
      </c>
      <c r="L78" s="185">
        <f t="shared" si="6"/>
        <v>131553.07592</v>
      </c>
      <c r="M78" s="36">
        <f t="shared" si="4"/>
        <v>10962.756326666668</v>
      </c>
    </row>
    <row r="79" spans="1:13" x14ac:dyDescent="0.25">
      <c r="A79" s="186">
        <v>38500</v>
      </c>
      <c r="B79" s="33">
        <f t="shared" si="7"/>
        <v>3208.3333333333335</v>
      </c>
      <c r="C79" s="185">
        <f>'Child care subsidy'!S82*12</f>
        <v>31860</v>
      </c>
      <c r="D79" s="185">
        <f>MAX('TANF-VIEW'!L86,'TANF-VIEW'!T86)*12</f>
        <v>0</v>
      </c>
      <c r="E79" s="193">
        <f>SNAP!V83*12</f>
        <v>9960</v>
      </c>
      <c r="F79" s="184">
        <f>WIC!F85*12</f>
        <v>882.24</v>
      </c>
      <c r="G79" s="185">
        <f>'Housing Voucher'!Q83*12</f>
        <v>6137.9880000000003</v>
      </c>
      <c r="H79" s="197">
        <f>EITC!E82</f>
        <v>8022.4879200000005</v>
      </c>
      <c r="I79" s="205">
        <f>Medicaid!N86*12</f>
        <v>36294</v>
      </c>
      <c r="K79" s="185">
        <f t="shared" si="5"/>
        <v>93156.715919999988</v>
      </c>
      <c r="L79" s="185">
        <f t="shared" si="6"/>
        <v>131656.71591999999</v>
      </c>
      <c r="M79" s="36">
        <f t="shared" si="4"/>
        <v>10971.392993333333</v>
      </c>
    </row>
    <row r="80" spans="1:13" x14ac:dyDescent="0.25">
      <c r="A80" s="186">
        <v>39000</v>
      </c>
      <c r="B80" s="33">
        <f t="shared" si="7"/>
        <v>3250</v>
      </c>
      <c r="C80" s="185">
        <f>'Child care subsidy'!S83*12</f>
        <v>31860</v>
      </c>
      <c r="D80" s="185">
        <f>MAX('TANF-VIEW'!L87,'TANF-VIEW'!T87)*12</f>
        <v>0</v>
      </c>
      <c r="E80" s="193">
        <f>SNAP!V84*12</f>
        <v>9840</v>
      </c>
      <c r="F80" s="184">
        <f>WIC!F86*12</f>
        <v>882.24</v>
      </c>
      <c r="G80" s="185">
        <f>'Housing Voucher'!Q84*12</f>
        <v>5987.9880000000003</v>
      </c>
      <c r="H80" s="197">
        <f>EITC!E83</f>
        <v>7896.1279199999999</v>
      </c>
      <c r="I80" s="205">
        <f>Medicaid!N87*12</f>
        <v>36294</v>
      </c>
      <c r="K80" s="185">
        <f t="shared" si="5"/>
        <v>92760.355920000002</v>
      </c>
      <c r="L80" s="185">
        <f t="shared" si="6"/>
        <v>131760.35592</v>
      </c>
      <c r="M80" s="36">
        <f t="shared" si="4"/>
        <v>10980.02966</v>
      </c>
    </row>
    <row r="81" spans="1:13" x14ac:dyDescent="0.25">
      <c r="A81" s="186">
        <v>39500</v>
      </c>
      <c r="B81" s="33">
        <f t="shared" si="7"/>
        <v>3291.6666666666665</v>
      </c>
      <c r="C81" s="185">
        <f>'Child care subsidy'!S84*12</f>
        <v>31860</v>
      </c>
      <c r="D81" s="185">
        <f>MAX('TANF-VIEW'!L88,'TANF-VIEW'!T88)*12</f>
        <v>0</v>
      </c>
      <c r="E81" s="193">
        <f>SNAP!V85*12</f>
        <v>9720</v>
      </c>
      <c r="F81" s="184">
        <f>WIC!F87*12</f>
        <v>882.24</v>
      </c>
      <c r="G81" s="185">
        <f>'Housing Voucher'!Q85*12</f>
        <v>5837.9880000000003</v>
      </c>
      <c r="H81" s="197">
        <f>EITC!E84</f>
        <v>7769.7679200000002</v>
      </c>
      <c r="I81" s="205">
        <f>Medicaid!N88*12</f>
        <v>36294</v>
      </c>
      <c r="K81" s="185">
        <f t="shared" si="5"/>
        <v>92363.995919999987</v>
      </c>
      <c r="L81" s="185">
        <f t="shared" si="6"/>
        <v>131863.99591999999</v>
      </c>
      <c r="M81" s="36">
        <f t="shared" si="4"/>
        <v>10988.666326666666</v>
      </c>
    </row>
    <row r="82" spans="1:13" x14ac:dyDescent="0.25">
      <c r="A82" s="186">
        <v>40000</v>
      </c>
      <c r="B82" s="33">
        <f t="shared" si="7"/>
        <v>3333.3333333333335</v>
      </c>
      <c r="C82" s="185">
        <f>'Child care subsidy'!S85*12</f>
        <v>31860</v>
      </c>
      <c r="D82" s="185">
        <f>MAX('TANF-VIEW'!L89,'TANF-VIEW'!T89)*12</f>
        <v>0</v>
      </c>
      <c r="E82" s="193">
        <f>SNAP!V86*12</f>
        <v>9600</v>
      </c>
      <c r="F82" s="184">
        <f>WIC!F88*12</f>
        <v>882.24</v>
      </c>
      <c r="G82" s="185">
        <f>'Housing Voucher'!Q86*12</f>
        <v>5687.9880000000003</v>
      </c>
      <c r="H82" s="197">
        <f>EITC!E85</f>
        <v>7643.4079199999996</v>
      </c>
      <c r="I82" s="205">
        <f>Medicaid!N89*12</f>
        <v>36294</v>
      </c>
      <c r="K82" s="185">
        <f t="shared" si="5"/>
        <v>91967.635920000001</v>
      </c>
      <c r="L82" s="185">
        <f t="shared" si="6"/>
        <v>131967.63592</v>
      </c>
      <c r="M82" s="36">
        <f t="shared" si="4"/>
        <v>10997.302993333333</v>
      </c>
    </row>
    <row r="83" spans="1:13" x14ac:dyDescent="0.25">
      <c r="A83" s="186">
        <v>40500</v>
      </c>
      <c r="B83" s="33">
        <f t="shared" si="7"/>
        <v>3375</v>
      </c>
      <c r="C83" s="185">
        <f>'Child care subsidy'!S86*12</f>
        <v>31860</v>
      </c>
      <c r="D83" s="185">
        <f>MAX('TANF-VIEW'!L90,'TANF-VIEW'!T90)*12</f>
        <v>0</v>
      </c>
      <c r="E83" s="193">
        <f>SNAP!V87*12</f>
        <v>9480</v>
      </c>
      <c r="F83" s="184">
        <f>WIC!F89*12</f>
        <v>882.24</v>
      </c>
      <c r="G83" s="185">
        <f>'Housing Voucher'!Q87*12</f>
        <v>5537.9880000000003</v>
      </c>
      <c r="H83" s="197">
        <f>EITC!E86</f>
        <v>7517.0479199999991</v>
      </c>
      <c r="I83" s="205">
        <f>Medicaid!N90*12</f>
        <v>36294</v>
      </c>
      <c r="K83" s="185">
        <f t="shared" si="5"/>
        <v>91571.275919999985</v>
      </c>
      <c r="L83" s="185">
        <f t="shared" si="6"/>
        <v>132071.27591999999</v>
      </c>
      <c r="M83" s="36">
        <f t="shared" si="4"/>
        <v>11005.939659999998</v>
      </c>
    </row>
    <row r="84" spans="1:13" x14ac:dyDescent="0.25">
      <c r="A84" s="186">
        <v>41000</v>
      </c>
      <c r="B84" s="33">
        <f t="shared" si="7"/>
        <v>3416.6666666666665</v>
      </c>
      <c r="C84" s="185">
        <f>'Child care subsidy'!S87*12</f>
        <v>31860</v>
      </c>
      <c r="D84" s="185">
        <f>MAX('TANF-VIEW'!L91,'TANF-VIEW'!T91)*12</f>
        <v>0</v>
      </c>
      <c r="E84" s="193">
        <f>SNAP!V88*12</f>
        <v>9360</v>
      </c>
      <c r="F84" s="184">
        <f>WIC!F90*12</f>
        <v>882.24</v>
      </c>
      <c r="G84" s="185">
        <f>'Housing Voucher'!Q88*12</f>
        <v>5387.9880000000003</v>
      </c>
      <c r="H84" s="197">
        <f>EITC!E87</f>
        <v>7390.6879200000003</v>
      </c>
      <c r="I84" s="205">
        <f>Medicaid!N91*12</f>
        <v>36294</v>
      </c>
      <c r="K84" s="185">
        <f t="shared" si="5"/>
        <v>91174.915919999999</v>
      </c>
      <c r="L84" s="185">
        <f t="shared" si="6"/>
        <v>132174.91592</v>
      </c>
      <c r="M84" s="36">
        <f t="shared" si="4"/>
        <v>11014.576326666667</v>
      </c>
    </row>
    <row r="85" spans="1:13" x14ac:dyDescent="0.25">
      <c r="A85" s="186">
        <v>41500</v>
      </c>
      <c r="B85" s="33">
        <f t="shared" si="7"/>
        <v>3458.3333333333335</v>
      </c>
      <c r="C85" s="185">
        <f>'Child care subsidy'!S88*12</f>
        <v>31860</v>
      </c>
      <c r="D85" s="185">
        <f>MAX('TANF-VIEW'!L92,'TANF-VIEW'!T92)*12</f>
        <v>0</v>
      </c>
      <c r="E85" s="193">
        <f>SNAP!V89*12</f>
        <v>9240</v>
      </c>
      <c r="F85" s="184">
        <f>WIC!F91*12</f>
        <v>882.24</v>
      </c>
      <c r="G85" s="185">
        <f>'Housing Voucher'!Q89*12</f>
        <v>5237.9880000000003</v>
      </c>
      <c r="H85" s="197">
        <f>EITC!E88</f>
        <v>7264.3279199999997</v>
      </c>
      <c r="I85" s="205">
        <f>Medicaid!N92*12</f>
        <v>36294</v>
      </c>
      <c r="K85" s="185">
        <f t="shared" si="5"/>
        <v>90778.555919999999</v>
      </c>
      <c r="L85" s="185">
        <f t="shared" si="6"/>
        <v>132278.55592000001</v>
      </c>
      <c r="M85" s="36">
        <f t="shared" si="4"/>
        <v>11023.212993333334</v>
      </c>
    </row>
    <row r="86" spans="1:13" x14ac:dyDescent="0.25">
      <c r="A86" s="186">
        <v>42000</v>
      </c>
      <c r="B86" s="33">
        <f t="shared" si="7"/>
        <v>3500</v>
      </c>
      <c r="C86" s="185">
        <f>'Child care subsidy'!S89*12</f>
        <v>31860</v>
      </c>
      <c r="D86" s="185">
        <f>MAX('TANF-VIEW'!L93,'TANF-VIEW'!T93)*12</f>
        <v>0</v>
      </c>
      <c r="E86" s="193">
        <f>SNAP!V90*12</f>
        <v>9120</v>
      </c>
      <c r="F86" s="184">
        <f>WIC!F92*12</f>
        <v>882.24</v>
      </c>
      <c r="G86" s="185">
        <f>'Housing Voucher'!Q90*12</f>
        <v>5087.9880000000003</v>
      </c>
      <c r="H86" s="197">
        <f>EITC!E89</f>
        <v>7137.96792</v>
      </c>
      <c r="I86" s="205">
        <f>Medicaid!N93*12</f>
        <v>36294</v>
      </c>
      <c r="K86" s="185">
        <f t="shared" si="5"/>
        <v>90382.195919999998</v>
      </c>
      <c r="L86" s="185">
        <f t="shared" si="6"/>
        <v>132382.19592</v>
      </c>
      <c r="M86" s="36">
        <f t="shared" si="4"/>
        <v>11031.84966</v>
      </c>
    </row>
    <row r="87" spans="1:13" x14ac:dyDescent="0.25">
      <c r="A87" s="186">
        <v>42500</v>
      </c>
      <c r="B87" s="33">
        <f t="shared" si="7"/>
        <v>3541.6666666666665</v>
      </c>
      <c r="C87" s="185">
        <f>'Child care subsidy'!S90*12</f>
        <v>31860</v>
      </c>
      <c r="D87" s="185">
        <f>MAX('TANF-VIEW'!L94,'TANF-VIEW'!T94)*12</f>
        <v>0</v>
      </c>
      <c r="E87" s="193">
        <f>SNAP!V91*12</f>
        <v>9000</v>
      </c>
      <c r="F87" s="184">
        <f>WIC!F93*12</f>
        <v>882.24</v>
      </c>
      <c r="G87" s="185">
        <f>'Housing Voucher'!Q91*12</f>
        <v>4937.9880000000003</v>
      </c>
      <c r="H87" s="197">
        <f>EITC!E90</f>
        <v>7011.6079199999995</v>
      </c>
      <c r="I87" s="205">
        <f>Medicaid!N94*12</f>
        <v>36294</v>
      </c>
      <c r="K87" s="185">
        <f t="shared" si="5"/>
        <v>89985.835919999998</v>
      </c>
      <c r="L87" s="185">
        <f t="shared" si="6"/>
        <v>132485.83591999998</v>
      </c>
      <c r="M87" s="36">
        <f t="shared" si="4"/>
        <v>11040.486326666665</v>
      </c>
    </row>
    <row r="88" spans="1:13" x14ac:dyDescent="0.25">
      <c r="A88" s="186">
        <v>43000</v>
      </c>
      <c r="B88" s="33">
        <f t="shared" si="7"/>
        <v>3583.3333333333335</v>
      </c>
      <c r="C88" s="185">
        <f>'Child care subsidy'!S91*12</f>
        <v>31860</v>
      </c>
      <c r="D88" s="185">
        <f>MAX('TANF-VIEW'!L95,'TANF-VIEW'!T95)*12</f>
        <v>0</v>
      </c>
      <c r="E88" s="193">
        <f>SNAP!V92*12</f>
        <v>8880</v>
      </c>
      <c r="F88" s="184">
        <f>WIC!F94*12</f>
        <v>882.24</v>
      </c>
      <c r="G88" s="185">
        <f>'Housing Voucher'!Q92*12</f>
        <v>4787.9880000000003</v>
      </c>
      <c r="H88" s="197">
        <f>EITC!E91</f>
        <v>6885.2479199999998</v>
      </c>
      <c r="I88" s="205">
        <f>Medicaid!N95*12</f>
        <v>36294</v>
      </c>
      <c r="K88" s="185">
        <f t="shared" si="5"/>
        <v>89589.475919999997</v>
      </c>
      <c r="L88" s="185">
        <f t="shared" si="6"/>
        <v>132589.47592</v>
      </c>
      <c r="M88" s="36">
        <f t="shared" si="4"/>
        <v>11049.122993333332</v>
      </c>
    </row>
    <row r="89" spans="1:13" x14ac:dyDescent="0.25">
      <c r="A89" s="186">
        <v>43500</v>
      </c>
      <c r="B89" s="33">
        <f t="shared" si="7"/>
        <v>3625</v>
      </c>
      <c r="C89" s="185">
        <f>'Child care subsidy'!S92*12</f>
        <v>31860</v>
      </c>
      <c r="D89" s="185">
        <f>MAX('TANF-VIEW'!L96,'TANF-VIEW'!T96)*12</f>
        <v>0</v>
      </c>
      <c r="E89" s="193">
        <f>SNAP!V93*12</f>
        <v>8760</v>
      </c>
      <c r="F89" s="184">
        <f>WIC!F95*12</f>
        <v>882.24</v>
      </c>
      <c r="G89" s="185">
        <f>'Housing Voucher'!Q93*12</f>
        <v>4637.9880000000003</v>
      </c>
      <c r="H89" s="197">
        <f>EITC!E92</f>
        <v>6758.8879200000001</v>
      </c>
      <c r="I89" s="205">
        <f>Medicaid!N96*12</f>
        <v>36294</v>
      </c>
      <c r="K89" s="185">
        <f t="shared" si="5"/>
        <v>89193.115919999997</v>
      </c>
      <c r="L89" s="185">
        <f t="shared" si="6"/>
        <v>132693.11592000001</v>
      </c>
      <c r="M89" s="36">
        <f t="shared" si="4"/>
        <v>11057.759660000002</v>
      </c>
    </row>
    <row r="90" spans="1:13" x14ac:dyDescent="0.25">
      <c r="A90" s="186">
        <v>44000</v>
      </c>
      <c r="B90" s="33">
        <f t="shared" si="7"/>
        <v>3666.6666666666665</v>
      </c>
      <c r="C90" s="185">
        <f>'Child care subsidy'!S93*12</f>
        <v>31860</v>
      </c>
      <c r="D90" s="185">
        <f>MAX('TANF-VIEW'!L97,'TANF-VIEW'!T97)*12</f>
        <v>0</v>
      </c>
      <c r="E90" s="193">
        <f>SNAP!V94*12</f>
        <v>8640</v>
      </c>
      <c r="F90" s="184">
        <f>WIC!F96*12</f>
        <v>882.24</v>
      </c>
      <c r="G90" s="185">
        <f>'Housing Voucher'!Q94*12</f>
        <v>4487.9880000000003</v>
      </c>
      <c r="H90" s="197">
        <f>EITC!E93</f>
        <v>6632.5279200000004</v>
      </c>
      <c r="I90" s="205">
        <f>Medicaid!N97*12</f>
        <v>36294</v>
      </c>
      <c r="K90" s="185">
        <f t="shared" si="5"/>
        <v>88796.755919999996</v>
      </c>
      <c r="L90" s="185">
        <f t="shared" si="6"/>
        <v>132796.75592</v>
      </c>
      <c r="M90" s="36">
        <f t="shared" si="4"/>
        <v>11066.396326666667</v>
      </c>
    </row>
    <row r="91" spans="1:13" x14ac:dyDescent="0.25">
      <c r="A91" s="186">
        <v>44500</v>
      </c>
      <c r="B91" s="33">
        <f t="shared" si="7"/>
        <v>3708.3333333333335</v>
      </c>
      <c r="C91" s="185">
        <f>'Child care subsidy'!S94*12</f>
        <v>31860</v>
      </c>
      <c r="D91" s="185">
        <f>MAX('TANF-VIEW'!L98,'TANF-VIEW'!T98)*12</f>
        <v>0</v>
      </c>
      <c r="E91" s="193">
        <f>SNAP!V95*12</f>
        <v>8520</v>
      </c>
      <c r="F91" s="184">
        <f>WIC!F97*12</f>
        <v>882.24</v>
      </c>
      <c r="G91" s="185">
        <f>'Housing Voucher'!Q95*12</f>
        <v>4337.9880000000003</v>
      </c>
      <c r="H91" s="197">
        <f>EITC!E94</f>
        <v>6506.1679199999999</v>
      </c>
      <c r="I91" s="205">
        <f>Medicaid!N98*12</f>
        <v>36294</v>
      </c>
      <c r="K91" s="185">
        <f t="shared" si="5"/>
        <v>88400.395919999995</v>
      </c>
      <c r="L91" s="185">
        <f t="shared" si="6"/>
        <v>132900.39591999998</v>
      </c>
      <c r="M91" s="36">
        <f t="shared" si="4"/>
        <v>11075.032993333332</v>
      </c>
    </row>
    <row r="92" spans="1:13" x14ac:dyDescent="0.25">
      <c r="A92" s="186">
        <v>45000</v>
      </c>
      <c r="B92" s="33">
        <f t="shared" si="7"/>
        <v>3750</v>
      </c>
      <c r="C92" s="185">
        <f>'Child care subsidy'!S95*12</f>
        <v>31860</v>
      </c>
      <c r="D92" s="185">
        <f>MAX('TANF-VIEW'!L99,'TANF-VIEW'!T99)*12</f>
        <v>0</v>
      </c>
      <c r="E92" s="193">
        <f>SNAP!V96*12</f>
        <v>8400</v>
      </c>
      <c r="F92" s="184">
        <f>WIC!F98*12</f>
        <v>882.24</v>
      </c>
      <c r="G92" s="185">
        <f>'Housing Voucher'!Q96*12</f>
        <v>4187.9880000000003</v>
      </c>
      <c r="H92" s="197">
        <f>EITC!E95</f>
        <v>6379.8079199999993</v>
      </c>
      <c r="I92" s="205">
        <f>Medicaid!N99*12</f>
        <v>36294</v>
      </c>
      <c r="K92" s="185">
        <f t="shared" si="5"/>
        <v>88004.035919999995</v>
      </c>
      <c r="L92" s="185">
        <f t="shared" si="6"/>
        <v>133004.03591999999</v>
      </c>
      <c r="M92" s="36">
        <f t="shared" si="4"/>
        <v>11083.66966</v>
      </c>
    </row>
    <row r="93" spans="1:13" x14ac:dyDescent="0.25">
      <c r="A93" s="186">
        <v>45500</v>
      </c>
      <c r="B93" s="33">
        <f t="shared" si="7"/>
        <v>3791.6666666666665</v>
      </c>
      <c r="C93" s="185">
        <f>'Child care subsidy'!S96*12</f>
        <v>31860</v>
      </c>
      <c r="D93" s="185">
        <f>MAX('TANF-VIEW'!L100,'TANF-VIEW'!T100)*12</f>
        <v>0</v>
      </c>
      <c r="E93" s="193">
        <f>SNAP!V97*12</f>
        <v>8280</v>
      </c>
      <c r="F93" s="184">
        <f>WIC!F99*12</f>
        <v>882.24</v>
      </c>
      <c r="G93" s="185">
        <f>'Housing Voucher'!Q97*12</f>
        <v>4037.9880000000003</v>
      </c>
      <c r="H93" s="197">
        <f>EITC!E96</f>
        <v>6253.4479199999996</v>
      </c>
      <c r="I93" s="205">
        <f>Medicaid!N100*12</f>
        <v>36294</v>
      </c>
      <c r="K93" s="185">
        <f t="shared" si="5"/>
        <v>87607.675919999994</v>
      </c>
      <c r="L93" s="185">
        <f t="shared" si="6"/>
        <v>133107.67592000001</v>
      </c>
      <c r="M93" s="36">
        <f t="shared" si="4"/>
        <v>11092.306326666667</v>
      </c>
    </row>
    <row r="94" spans="1:13" x14ac:dyDescent="0.25">
      <c r="A94" s="186">
        <v>46000</v>
      </c>
      <c r="B94" s="33">
        <f>A94/12</f>
        <v>3833.3333333333335</v>
      </c>
      <c r="C94" s="185">
        <f>'Child care subsidy'!S97*12</f>
        <v>31860</v>
      </c>
      <c r="D94" s="185">
        <f>MAX('TANF-VIEW'!L101,'TANF-VIEW'!T101)*12</f>
        <v>0</v>
      </c>
      <c r="E94" s="193">
        <f>SNAP!V98*12</f>
        <v>8160</v>
      </c>
      <c r="F94" s="184">
        <f>WIC!F100*12</f>
        <v>882.24</v>
      </c>
      <c r="G94" s="185">
        <f>'Housing Voucher'!Q98*12</f>
        <v>3887.9880000000003</v>
      </c>
      <c r="H94" s="197">
        <f>EITC!E97</f>
        <v>6127.0879199999999</v>
      </c>
      <c r="I94" s="205">
        <f>Medicaid!N101*12</f>
        <v>36294</v>
      </c>
      <c r="K94" s="185">
        <f t="shared" si="5"/>
        <v>87211.315919999994</v>
      </c>
      <c r="L94" s="185">
        <f t="shared" si="6"/>
        <v>133211.31591999999</v>
      </c>
      <c r="M94" s="36">
        <f t="shared" si="4"/>
        <v>11100.942993333332</v>
      </c>
    </row>
    <row r="95" spans="1:13" x14ac:dyDescent="0.25">
      <c r="A95" s="186">
        <v>46500</v>
      </c>
      <c r="B95" s="33">
        <f t="shared" si="7"/>
        <v>3875</v>
      </c>
      <c r="C95" s="185">
        <f>'Child care subsidy'!S98*12</f>
        <v>31860</v>
      </c>
      <c r="D95" s="185">
        <f>MAX('TANF-VIEW'!L102,'TANF-VIEW'!T102)*12</f>
        <v>0</v>
      </c>
      <c r="E95" s="193">
        <f>SNAP!V99*12</f>
        <v>8040</v>
      </c>
      <c r="F95" s="184">
        <f>WIC!F101*12</f>
        <v>882.24</v>
      </c>
      <c r="G95" s="185">
        <f>'Housing Voucher'!Q99*12</f>
        <v>3737.9880000000003</v>
      </c>
      <c r="H95" s="197">
        <f>EITC!E98</f>
        <v>6000.7279200000003</v>
      </c>
      <c r="I95" s="205">
        <f>Medicaid!N102*12</f>
        <v>36294</v>
      </c>
      <c r="K95" s="185">
        <f t="shared" si="5"/>
        <v>86814.955919999993</v>
      </c>
      <c r="L95" s="185">
        <f t="shared" si="6"/>
        <v>133314.95591999998</v>
      </c>
      <c r="M95" s="36">
        <f t="shared" si="4"/>
        <v>11109.579659999998</v>
      </c>
    </row>
    <row r="96" spans="1:13" x14ac:dyDescent="0.25">
      <c r="A96" s="186">
        <v>47000</v>
      </c>
      <c r="B96" s="33">
        <f t="shared" si="7"/>
        <v>3916.6666666666665</v>
      </c>
      <c r="C96" s="185">
        <f>'Child care subsidy'!S99*12</f>
        <v>31860</v>
      </c>
      <c r="D96" s="185">
        <f>MAX('TANF-VIEW'!L103,'TANF-VIEW'!T103)*12</f>
        <v>0</v>
      </c>
      <c r="E96" s="193">
        <f>SNAP!V100*12</f>
        <v>7920</v>
      </c>
      <c r="F96" s="184">
        <f>WIC!F102*12</f>
        <v>882.24</v>
      </c>
      <c r="G96" s="185">
        <f>'Housing Voucher'!Q100*12</f>
        <v>3587.988000000003</v>
      </c>
      <c r="H96" s="197">
        <f>EITC!E99</f>
        <v>5874.3679199999997</v>
      </c>
      <c r="I96" s="205">
        <f>Medicaid!N103*12</f>
        <v>36294</v>
      </c>
      <c r="K96" s="185">
        <f t="shared" si="5"/>
        <v>86418.595919999992</v>
      </c>
      <c r="L96" s="185">
        <f t="shared" si="6"/>
        <v>133418.59591999999</v>
      </c>
      <c r="M96" s="36">
        <f t="shared" si="4"/>
        <v>11118.216326666667</v>
      </c>
    </row>
    <row r="97" spans="1:13" x14ac:dyDescent="0.25">
      <c r="A97" s="186">
        <v>47500</v>
      </c>
      <c r="B97" s="33">
        <f t="shared" si="7"/>
        <v>3958.3333333333335</v>
      </c>
      <c r="C97" s="185">
        <f>'Child care subsidy'!S100*12</f>
        <v>31860</v>
      </c>
      <c r="D97" s="185">
        <f>MAX('TANF-VIEW'!L104,'TANF-VIEW'!T104)*12</f>
        <v>0</v>
      </c>
      <c r="E97" s="193">
        <f>SNAP!V101*12</f>
        <v>7800</v>
      </c>
      <c r="F97" s="184">
        <f>WIC!F103*12</f>
        <v>882.24</v>
      </c>
      <c r="G97" s="185">
        <f>'Housing Voucher'!Q101*12</f>
        <v>3437.9879999999976</v>
      </c>
      <c r="H97" s="197">
        <f>EITC!E100</f>
        <v>5748.00792</v>
      </c>
      <c r="I97" s="205">
        <f>Medicaid!N104*12</f>
        <v>36294</v>
      </c>
      <c r="K97" s="185">
        <f t="shared" si="5"/>
        <v>86022.235919999992</v>
      </c>
      <c r="L97" s="185">
        <f t="shared" si="6"/>
        <v>133522.23592000001</v>
      </c>
      <c r="M97" s="36">
        <f t="shared" si="4"/>
        <v>11126.852993333334</v>
      </c>
    </row>
    <row r="98" spans="1:13" x14ac:dyDescent="0.25">
      <c r="A98" s="186">
        <v>48000</v>
      </c>
      <c r="B98" s="33">
        <f t="shared" si="7"/>
        <v>4000</v>
      </c>
      <c r="C98" s="185">
        <f>'Child care subsidy'!S101*12</f>
        <v>31860</v>
      </c>
      <c r="D98" s="185">
        <f>MAX('TANF-VIEW'!L105,'TANF-VIEW'!T105)*12</f>
        <v>0</v>
      </c>
      <c r="E98" s="193">
        <f>SNAP!V102*12</f>
        <v>7680</v>
      </c>
      <c r="F98" s="184">
        <f>WIC!F104*12</f>
        <v>882.24</v>
      </c>
      <c r="G98" s="185">
        <f>'Housing Voucher'!Q102*12</f>
        <v>3287.9880000000003</v>
      </c>
      <c r="H98" s="197">
        <f>EITC!E101</f>
        <v>5621.6479199999994</v>
      </c>
      <c r="I98" s="205">
        <f>Medicaid!N105*12</f>
        <v>36294</v>
      </c>
      <c r="K98" s="185">
        <f t="shared" si="5"/>
        <v>85625.875919999991</v>
      </c>
      <c r="L98" s="185">
        <f t="shared" si="6"/>
        <v>133625.87591999999</v>
      </c>
      <c r="M98" s="36">
        <f t="shared" si="4"/>
        <v>11135.489659999999</v>
      </c>
    </row>
    <row r="99" spans="1:13" x14ac:dyDescent="0.25">
      <c r="A99" s="186">
        <v>48500</v>
      </c>
      <c r="B99" s="33">
        <f t="shared" si="7"/>
        <v>4041.6666666666665</v>
      </c>
      <c r="C99" s="185">
        <f>'Child care subsidy'!S102*12</f>
        <v>31860</v>
      </c>
      <c r="D99" s="185">
        <f>MAX('TANF-VIEW'!L106,'TANF-VIEW'!T106)*12</f>
        <v>0</v>
      </c>
      <c r="E99" s="193">
        <f>SNAP!V103*12</f>
        <v>7560</v>
      </c>
      <c r="F99" s="184">
        <f>WIC!F105*12</f>
        <v>882.24</v>
      </c>
      <c r="G99" s="185">
        <f>'Housing Voucher'!Q103*12</f>
        <v>3137.988000000003</v>
      </c>
      <c r="H99" s="197">
        <f>EITC!E102</f>
        <v>5495.2879200000007</v>
      </c>
      <c r="I99" s="205">
        <f>Medicaid!N106*12</f>
        <v>36294</v>
      </c>
      <c r="K99" s="185">
        <f t="shared" si="5"/>
        <v>85229.515920000005</v>
      </c>
      <c r="L99" s="185">
        <f t="shared" si="6"/>
        <v>133729.51592000001</v>
      </c>
      <c r="M99" s="36">
        <f t="shared" si="4"/>
        <v>11144.126326666667</v>
      </c>
    </row>
    <row r="100" spans="1:13" x14ac:dyDescent="0.25">
      <c r="A100" s="186">
        <v>49000</v>
      </c>
      <c r="B100" s="33">
        <f t="shared" si="7"/>
        <v>4083.3333333333335</v>
      </c>
      <c r="C100" s="185">
        <f>'Child care subsidy'!S103*12</f>
        <v>31860</v>
      </c>
      <c r="D100" s="185">
        <f>MAX('TANF-VIEW'!L107,'TANF-VIEW'!T107)*12</f>
        <v>0</v>
      </c>
      <c r="E100" s="193">
        <f>SNAP!V104*12</f>
        <v>7440</v>
      </c>
      <c r="F100" s="184">
        <f>WIC!F106*12</f>
        <v>882.24</v>
      </c>
      <c r="G100" s="185">
        <f>'Housing Voucher'!Q104*12</f>
        <v>2987.9879999999976</v>
      </c>
      <c r="H100" s="197">
        <f>EITC!E103</f>
        <v>5368.9279199999992</v>
      </c>
      <c r="I100" s="205">
        <f>Medicaid!N107*12</f>
        <v>36294</v>
      </c>
      <c r="K100" s="185">
        <f t="shared" si="5"/>
        <v>84833.15591999999</v>
      </c>
      <c r="L100" s="185">
        <f t="shared" si="6"/>
        <v>133833.15591999999</v>
      </c>
      <c r="M100" s="36">
        <f t="shared" si="4"/>
        <v>11152.762993333332</v>
      </c>
    </row>
    <row r="101" spans="1:13" x14ac:dyDescent="0.25">
      <c r="A101" s="186">
        <v>49500</v>
      </c>
      <c r="B101" s="33">
        <f t="shared" si="7"/>
        <v>4125</v>
      </c>
      <c r="C101" s="185">
        <f>'Child care subsidy'!S104*12</f>
        <v>31860</v>
      </c>
      <c r="D101" s="185">
        <f>MAX('TANF-VIEW'!L108,'TANF-VIEW'!T108)*12</f>
        <v>0</v>
      </c>
      <c r="E101" s="193">
        <f>SNAP!V105*12</f>
        <v>7320</v>
      </c>
      <c r="F101" s="184">
        <f>WIC!F107*12</f>
        <v>882.24</v>
      </c>
      <c r="G101" s="185">
        <f>'Housing Voucher'!Q105*12</f>
        <v>2837.9880000000003</v>
      </c>
      <c r="H101" s="197">
        <f>EITC!E104</f>
        <v>5242.5679199999995</v>
      </c>
      <c r="I101" s="205">
        <f>Medicaid!N108*12</f>
        <v>36294</v>
      </c>
      <c r="K101" s="185">
        <f t="shared" si="5"/>
        <v>84436.795920000004</v>
      </c>
      <c r="L101" s="185">
        <f t="shared" si="6"/>
        <v>133936.79592</v>
      </c>
      <c r="M101" s="36">
        <f t="shared" si="4"/>
        <v>11161.399660000001</v>
      </c>
    </row>
    <row r="102" spans="1:13" x14ac:dyDescent="0.25">
      <c r="A102" s="186">
        <v>50000</v>
      </c>
      <c r="B102" s="33">
        <f t="shared" si="7"/>
        <v>4166.666666666667</v>
      </c>
      <c r="C102" s="185">
        <f>'Child care subsidy'!S105*12</f>
        <v>31860</v>
      </c>
      <c r="D102" s="185">
        <f>MAX('TANF-VIEW'!L109,'TANF-VIEW'!T109)*12</f>
        <v>0</v>
      </c>
      <c r="E102" s="193">
        <f>SNAP!V106*12</f>
        <v>7200</v>
      </c>
      <c r="F102" s="184">
        <f>WIC!F108*12</f>
        <v>882.24</v>
      </c>
      <c r="G102" s="185">
        <f>'Housing Voucher'!Q106*12</f>
        <v>2687.9880000000003</v>
      </c>
      <c r="H102" s="197">
        <f>EITC!E105</f>
        <v>5116.2079199999998</v>
      </c>
      <c r="I102" s="205">
        <f>Medicaid!N109*12</f>
        <v>36294</v>
      </c>
      <c r="K102" s="185">
        <f t="shared" si="5"/>
        <v>84040.435919999989</v>
      </c>
      <c r="L102" s="185">
        <f t="shared" si="6"/>
        <v>134040.43591999999</v>
      </c>
      <c r="M102" s="36">
        <f t="shared" si="4"/>
        <v>11170.036326666666</v>
      </c>
    </row>
    <row r="103" spans="1:13" x14ac:dyDescent="0.25">
      <c r="A103" s="186">
        <v>50500</v>
      </c>
      <c r="B103" s="33">
        <f>A103/12</f>
        <v>4208.333333333333</v>
      </c>
      <c r="C103" s="185">
        <f>'Child care subsidy'!S106*12</f>
        <v>29875</v>
      </c>
      <c r="D103" s="185">
        <f>MAX('TANF-VIEW'!L110,'TANF-VIEW'!T110)*12</f>
        <v>0</v>
      </c>
      <c r="E103" s="193">
        <f>SNAP!V107*12</f>
        <v>7080</v>
      </c>
      <c r="F103" s="184">
        <f>WIC!F109*12</f>
        <v>882.24</v>
      </c>
      <c r="G103" s="185">
        <f>'Housing Voucher'!Q107*12</f>
        <v>2537.9880000000003</v>
      </c>
      <c r="H103" s="197">
        <f>EITC!E106</f>
        <v>4989.8479199999992</v>
      </c>
      <c r="I103" s="205">
        <f>Medicaid!N110*12</f>
        <v>36294</v>
      </c>
      <c r="K103" s="185">
        <f t="shared" si="5"/>
        <v>81659.075920000003</v>
      </c>
      <c r="L103" s="185">
        <f t="shared" si="6"/>
        <v>132159.07592</v>
      </c>
      <c r="M103" s="36">
        <f t="shared" si="4"/>
        <v>11013.256326666668</v>
      </c>
    </row>
    <row r="104" spans="1:13" x14ac:dyDescent="0.25">
      <c r="A104" s="186">
        <v>51000</v>
      </c>
      <c r="B104" s="33">
        <f t="shared" ref="B104:B167" si="8">A104/12</f>
        <v>4250</v>
      </c>
      <c r="C104" s="185">
        <f>'Child care subsidy'!S107*12</f>
        <v>29850</v>
      </c>
      <c r="D104" s="185">
        <f>MAX('TANF-VIEW'!L111,'TANF-VIEW'!T111)*12</f>
        <v>0</v>
      </c>
      <c r="E104" s="193">
        <f>SNAP!V108*12</f>
        <v>6960</v>
      </c>
      <c r="F104" s="184">
        <f>WIC!F110*12</f>
        <v>882.24</v>
      </c>
      <c r="G104" s="185">
        <f>'Housing Voucher'!Q108*12</f>
        <v>2387.9880000000003</v>
      </c>
      <c r="H104" s="197">
        <f>EITC!E107</f>
        <v>4863.4879200000005</v>
      </c>
      <c r="I104" s="205">
        <f>Medicaid!N111*12</f>
        <v>36294</v>
      </c>
      <c r="K104" s="185">
        <f t="shared" si="5"/>
        <v>81237.715919999988</v>
      </c>
      <c r="L104" s="185">
        <f t="shared" si="6"/>
        <v>132237.71591999999</v>
      </c>
      <c r="M104" s="36">
        <f t="shared" si="4"/>
        <v>11019.809659999999</v>
      </c>
    </row>
    <row r="105" spans="1:13" x14ac:dyDescent="0.25">
      <c r="A105" s="186">
        <v>51500</v>
      </c>
      <c r="B105" s="33">
        <f t="shared" si="8"/>
        <v>4291.666666666667</v>
      </c>
      <c r="C105" s="185">
        <f>'Child care subsidy'!S108*12</f>
        <v>29825</v>
      </c>
      <c r="D105" s="185">
        <f>MAX('TANF-VIEW'!L112,'TANF-VIEW'!T112)*12</f>
        <v>0</v>
      </c>
      <c r="E105" s="193">
        <f>SNAP!V109*12</f>
        <v>6840</v>
      </c>
      <c r="F105" s="184">
        <f>WIC!F111*12</f>
        <v>882.24</v>
      </c>
      <c r="G105" s="185">
        <f>'Housing Voucher'!Q109*12</f>
        <v>2237.9880000000003</v>
      </c>
      <c r="H105" s="197">
        <f>EITC!E108</f>
        <v>4737.1279199999999</v>
      </c>
      <c r="I105" s="205">
        <f>Medicaid!N112*12</f>
        <v>36294</v>
      </c>
      <c r="K105" s="185">
        <f t="shared" si="5"/>
        <v>80816.355920000002</v>
      </c>
      <c r="L105" s="185">
        <f t="shared" si="6"/>
        <v>132316.35592</v>
      </c>
      <c r="M105" s="36">
        <f t="shared" si="4"/>
        <v>11026.362993333334</v>
      </c>
    </row>
    <row r="106" spans="1:13" x14ac:dyDescent="0.25">
      <c r="A106" s="186">
        <v>52000</v>
      </c>
      <c r="B106" s="33">
        <f t="shared" si="8"/>
        <v>4333.333333333333</v>
      </c>
      <c r="C106" s="185">
        <f>'Child care subsidy'!S109*12</f>
        <v>29800</v>
      </c>
      <c r="D106" s="185">
        <f>MAX('TANF-VIEW'!L113,'TANF-VIEW'!T113)*12</f>
        <v>0</v>
      </c>
      <c r="E106" s="193">
        <f>SNAP!V110*12</f>
        <v>6720</v>
      </c>
      <c r="F106" s="184">
        <f>WIC!F112*12</f>
        <v>882.24</v>
      </c>
      <c r="G106" s="185">
        <f>'Housing Voucher'!Q110*12</f>
        <v>2087.9880000000003</v>
      </c>
      <c r="H106" s="197">
        <f>EITC!E109</f>
        <v>4610.7679200000002</v>
      </c>
      <c r="I106" s="205">
        <f>Medicaid!N113*12</f>
        <v>36294</v>
      </c>
      <c r="K106" s="185">
        <f t="shared" si="5"/>
        <v>80394.995919999987</v>
      </c>
      <c r="L106" s="185">
        <f t="shared" si="6"/>
        <v>132394.99591999999</v>
      </c>
      <c r="M106" s="36">
        <f t="shared" si="4"/>
        <v>11032.916326666666</v>
      </c>
    </row>
    <row r="107" spans="1:13" x14ac:dyDescent="0.25">
      <c r="A107" s="186">
        <v>52500</v>
      </c>
      <c r="B107" s="33">
        <f t="shared" si="8"/>
        <v>4375</v>
      </c>
      <c r="C107" s="185">
        <f>'Child care subsidy'!S110*12</f>
        <v>29775</v>
      </c>
      <c r="D107" s="185">
        <f>MAX('TANF-VIEW'!L114,'TANF-VIEW'!T114)*12</f>
        <v>0</v>
      </c>
      <c r="E107" s="193">
        <f>SNAP!V111*12</f>
        <v>6600</v>
      </c>
      <c r="F107" s="184">
        <f>WIC!F113*12</f>
        <v>882.24</v>
      </c>
      <c r="G107" s="185">
        <f>'Housing Voucher'!Q111*12</f>
        <v>1937.9880000000003</v>
      </c>
      <c r="H107" s="197">
        <f>EITC!E110</f>
        <v>4484.4079199999996</v>
      </c>
      <c r="I107" s="205">
        <f>Medicaid!N114*12</f>
        <v>36294</v>
      </c>
      <c r="K107" s="185">
        <f t="shared" si="5"/>
        <v>79973.635920000001</v>
      </c>
      <c r="L107" s="185">
        <f t="shared" si="6"/>
        <v>132473.63592</v>
      </c>
      <c r="M107" s="36">
        <f t="shared" si="4"/>
        <v>11039.469660000001</v>
      </c>
    </row>
    <row r="108" spans="1:13" x14ac:dyDescent="0.25">
      <c r="A108" s="186">
        <v>53000</v>
      </c>
      <c r="B108" s="33">
        <f t="shared" si="8"/>
        <v>4416.666666666667</v>
      </c>
      <c r="C108" s="185">
        <f>'Child care subsidy'!S111*12</f>
        <v>29750</v>
      </c>
      <c r="D108" s="185">
        <f>MAX('TANF-VIEW'!L115,'TANF-VIEW'!T115)*12</f>
        <v>0</v>
      </c>
      <c r="E108" s="193">
        <f>SNAP!V112*12</f>
        <v>6480</v>
      </c>
      <c r="F108" s="184">
        <f>WIC!F114*12</f>
        <v>882.24</v>
      </c>
      <c r="G108" s="185">
        <f>'Housing Voucher'!Q112*12</f>
        <v>1787.9880000000003</v>
      </c>
      <c r="H108" s="197">
        <f>EITC!E111</f>
        <v>4358.0479199999991</v>
      </c>
      <c r="I108" s="205">
        <f>Medicaid!N115*12</f>
        <v>36294</v>
      </c>
      <c r="K108" s="185">
        <f t="shared" si="5"/>
        <v>79552.275919999985</v>
      </c>
      <c r="L108" s="185">
        <f t="shared" si="6"/>
        <v>132552.27591999999</v>
      </c>
      <c r="M108" s="36">
        <f t="shared" si="4"/>
        <v>11046.022993333332</v>
      </c>
    </row>
    <row r="109" spans="1:13" x14ac:dyDescent="0.25">
      <c r="A109" s="186">
        <v>53500</v>
      </c>
      <c r="B109" s="33">
        <f t="shared" si="8"/>
        <v>4458.333333333333</v>
      </c>
      <c r="C109" s="185">
        <f>'Child care subsidy'!S112*12</f>
        <v>29725</v>
      </c>
      <c r="D109" s="185">
        <f>MAX('TANF-VIEW'!L116,'TANF-VIEW'!T116)*12</f>
        <v>0</v>
      </c>
      <c r="E109" s="193">
        <f>SNAP!V113*12</f>
        <v>6360</v>
      </c>
      <c r="F109" s="184">
        <f>WIC!F115*12</f>
        <v>882.24</v>
      </c>
      <c r="G109" s="185">
        <f>'Housing Voucher'!Q113*12</f>
        <v>1637.9880000000003</v>
      </c>
      <c r="H109" s="197">
        <f>EITC!E112</f>
        <v>4231.6879199999994</v>
      </c>
      <c r="I109" s="205">
        <f>Medicaid!N116*12</f>
        <v>36294</v>
      </c>
      <c r="K109" s="185">
        <f t="shared" si="5"/>
        <v>79130.915919999999</v>
      </c>
      <c r="L109" s="185">
        <f t="shared" si="6"/>
        <v>132630.91592</v>
      </c>
      <c r="M109" s="36">
        <f t="shared" si="4"/>
        <v>11052.576326666667</v>
      </c>
    </row>
    <row r="110" spans="1:13" x14ac:dyDescent="0.25">
      <c r="A110" s="186">
        <v>54000</v>
      </c>
      <c r="B110" s="33">
        <f t="shared" si="8"/>
        <v>4500</v>
      </c>
      <c r="C110" s="185">
        <f>'Child care subsidy'!S113*12</f>
        <v>29700</v>
      </c>
      <c r="D110" s="185">
        <f>MAX('TANF-VIEW'!L117,'TANF-VIEW'!T117)*12</f>
        <v>0</v>
      </c>
      <c r="E110" s="193">
        <f>SNAP!V114*12</f>
        <v>6240</v>
      </c>
      <c r="F110" s="184">
        <f>WIC!F116*12</f>
        <v>882.24</v>
      </c>
      <c r="G110" s="185">
        <f>'Housing Voucher'!Q114*12</f>
        <v>1487.9880000000003</v>
      </c>
      <c r="H110" s="197">
        <f>EITC!E113</f>
        <v>4105.3279199999997</v>
      </c>
      <c r="I110" s="205">
        <f>Medicaid!N117*12</f>
        <v>36294</v>
      </c>
      <c r="K110" s="185">
        <f t="shared" si="5"/>
        <v>78709.555919999999</v>
      </c>
      <c r="L110" s="185">
        <f t="shared" si="6"/>
        <v>132709.55592000001</v>
      </c>
      <c r="M110" s="36">
        <f t="shared" si="4"/>
        <v>11059.129660000001</v>
      </c>
    </row>
    <row r="111" spans="1:13" x14ac:dyDescent="0.25">
      <c r="A111" s="186">
        <v>54500</v>
      </c>
      <c r="B111" s="33">
        <f t="shared" si="8"/>
        <v>4541.666666666667</v>
      </c>
      <c r="C111" s="185">
        <f>'Child care subsidy'!S114*12</f>
        <v>29675</v>
      </c>
      <c r="D111" s="185">
        <f>MAX('TANF-VIEW'!L118,'TANF-VIEW'!T118)*12</f>
        <v>0</v>
      </c>
      <c r="E111" s="193">
        <f>SNAP!V115*12</f>
        <v>6120</v>
      </c>
      <c r="F111" s="184">
        <f>WIC!F117*12</f>
        <v>882.24</v>
      </c>
      <c r="G111" s="185">
        <f>'Housing Voucher'!Q115*12</f>
        <v>1337.9880000000003</v>
      </c>
      <c r="H111" s="197">
        <f>EITC!E114</f>
        <v>3978.96792</v>
      </c>
      <c r="I111" s="205">
        <f>Medicaid!N118*12</f>
        <v>36294</v>
      </c>
      <c r="K111" s="185">
        <f t="shared" si="5"/>
        <v>78288.195919999998</v>
      </c>
      <c r="L111" s="185">
        <f t="shared" si="6"/>
        <v>132788.19592</v>
      </c>
      <c r="M111" s="36">
        <f t="shared" si="4"/>
        <v>11065.682993333334</v>
      </c>
    </row>
    <row r="112" spans="1:13" x14ac:dyDescent="0.25">
      <c r="A112" s="186">
        <v>55000</v>
      </c>
      <c r="B112" s="33">
        <f t="shared" si="8"/>
        <v>4583.333333333333</v>
      </c>
      <c r="C112" s="185">
        <f>'Child care subsidy'!S115*12</f>
        <v>29650</v>
      </c>
      <c r="D112" s="185">
        <f>MAX('TANF-VIEW'!L119,'TANF-VIEW'!T119)*12</f>
        <v>0</v>
      </c>
      <c r="E112" s="193">
        <f>SNAP!V116*12</f>
        <v>6000</v>
      </c>
      <c r="F112" s="184">
        <f>WIC!F118*12</f>
        <v>882.24</v>
      </c>
      <c r="G112" s="185">
        <f>'Housing Voucher'!Q116*12</f>
        <v>1187.9880000000003</v>
      </c>
      <c r="H112" s="197">
        <f>EITC!E115</f>
        <v>3852.6079199999995</v>
      </c>
      <c r="I112" s="205">
        <f>Medicaid!N119*12</f>
        <v>36294</v>
      </c>
      <c r="K112" s="185">
        <f t="shared" si="5"/>
        <v>77866.835919999998</v>
      </c>
      <c r="L112" s="185">
        <f t="shared" si="6"/>
        <v>132866.83591999998</v>
      </c>
      <c r="M112" s="36">
        <f t="shared" si="4"/>
        <v>11072.236326666665</v>
      </c>
    </row>
    <row r="113" spans="1:13" x14ac:dyDescent="0.25">
      <c r="A113" s="206">
        <v>55500</v>
      </c>
      <c r="B113" s="207">
        <f t="shared" si="8"/>
        <v>4625</v>
      </c>
      <c r="C113" s="208">
        <f>'Child care subsidy'!S116*12</f>
        <v>29625</v>
      </c>
      <c r="D113" s="208">
        <f>MAX('TANF-VIEW'!L120,'TANF-VIEW'!T120)*12</f>
        <v>0</v>
      </c>
      <c r="E113" s="209">
        <f>SNAP!V117*12</f>
        <v>5880</v>
      </c>
      <c r="F113" s="210">
        <f>WIC!F119*12</f>
        <v>882.24</v>
      </c>
      <c r="G113" s="208">
        <f>'Housing Voucher'!Q117*12</f>
        <v>1037.9880000000003</v>
      </c>
      <c r="H113" s="211">
        <f>EITC!E116</f>
        <v>3726.2479199999993</v>
      </c>
      <c r="I113" s="212">
        <f>Medicaid!N120*12</f>
        <v>36294</v>
      </c>
      <c r="J113" s="213"/>
      <c r="K113" s="208">
        <f t="shared" si="5"/>
        <v>77445.475919999997</v>
      </c>
      <c r="L113" s="208">
        <f t="shared" si="6"/>
        <v>132945.47592</v>
      </c>
      <c r="M113" s="36">
        <f t="shared" si="4"/>
        <v>11078.78966</v>
      </c>
    </row>
    <row r="114" spans="1:13" x14ac:dyDescent="0.25">
      <c r="A114" s="206">
        <v>56000</v>
      </c>
      <c r="B114" s="207">
        <f t="shared" si="8"/>
        <v>4666.666666666667</v>
      </c>
      <c r="C114" s="208">
        <f>'Child care subsidy'!S117*12</f>
        <v>29600</v>
      </c>
      <c r="D114" s="208">
        <f>MAX('TANF-VIEW'!L121,'TANF-VIEW'!T121)*12</f>
        <v>0</v>
      </c>
      <c r="E114" s="209">
        <f>SNAP!V118*12</f>
        <v>5760</v>
      </c>
      <c r="F114" s="210">
        <f>WIC!F120*12</f>
        <v>882.24</v>
      </c>
      <c r="G114" s="208">
        <f>'Housing Voucher'!Q118*12</f>
        <v>887.98800000000028</v>
      </c>
      <c r="H114" s="211">
        <f>EITC!E117</f>
        <v>3599.8879199999992</v>
      </c>
      <c r="I114" s="212">
        <f>Medicaid!N121*12</f>
        <v>36294</v>
      </c>
      <c r="J114" s="213"/>
      <c r="K114" s="208">
        <f t="shared" si="5"/>
        <v>77024.115919999997</v>
      </c>
      <c r="L114" s="208">
        <f t="shared" si="6"/>
        <v>133024.11592000001</v>
      </c>
      <c r="M114" s="36">
        <f t="shared" si="4"/>
        <v>11085.342993333334</v>
      </c>
    </row>
    <row r="115" spans="1:13" x14ac:dyDescent="0.25">
      <c r="A115" s="186">
        <v>56500</v>
      </c>
      <c r="B115" s="33">
        <f t="shared" si="8"/>
        <v>4708.333333333333</v>
      </c>
      <c r="C115" s="185">
        <f>'Child care subsidy'!S118*12</f>
        <v>29575</v>
      </c>
      <c r="D115" s="185">
        <f>MAX('TANF-VIEW'!L122,'TANF-VIEW'!T122)*12</f>
        <v>0</v>
      </c>
      <c r="E115" s="193">
        <f>SNAP!V119*12</f>
        <v>5640</v>
      </c>
      <c r="F115" s="184">
        <f>WIC!F121*12</f>
        <v>882.24</v>
      </c>
      <c r="G115" s="185">
        <f>'Housing Voucher'!Q119*12</f>
        <v>737.98800000000028</v>
      </c>
      <c r="H115" s="197">
        <f>EITC!E118</f>
        <v>3473.52792</v>
      </c>
      <c r="I115" s="205">
        <f>Medicaid!N122*12</f>
        <v>36294</v>
      </c>
      <c r="K115" s="185">
        <f t="shared" si="5"/>
        <v>76602.755919999996</v>
      </c>
      <c r="L115" s="185">
        <f t="shared" si="6"/>
        <v>133102.75592</v>
      </c>
      <c r="M115" s="36">
        <f t="shared" si="4"/>
        <v>11091.896326666667</v>
      </c>
    </row>
    <row r="116" spans="1:13" x14ac:dyDescent="0.25">
      <c r="A116" s="186">
        <v>57000</v>
      </c>
      <c r="B116" s="33">
        <f t="shared" si="8"/>
        <v>4750</v>
      </c>
      <c r="C116" s="185">
        <f>'Child care subsidy'!S119*12</f>
        <v>29550</v>
      </c>
      <c r="D116" s="185">
        <f>MAX('TANF-VIEW'!L123,'TANF-VIEW'!T123)*12</f>
        <v>0</v>
      </c>
      <c r="E116" s="193">
        <f>SNAP!V120*12</f>
        <v>5520</v>
      </c>
      <c r="F116" s="184">
        <f>WIC!F122*12</f>
        <v>882.24</v>
      </c>
      <c r="G116" s="185">
        <f>'Housing Voucher'!Q120*12</f>
        <v>587.98800000000028</v>
      </c>
      <c r="H116" s="197">
        <f>EITC!E119</f>
        <v>3347.1679199999999</v>
      </c>
      <c r="I116" s="205">
        <f>Medicaid!N123*12</f>
        <v>36294</v>
      </c>
      <c r="K116" s="185">
        <f t="shared" si="5"/>
        <v>76181.395919999995</v>
      </c>
      <c r="L116" s="185">
        <f t="shared" si="6"/>
        <v>133181.39591999998</v>
      </c>
      <c r="M116" s="36">
        <f t="shared" si="4"/>
        <v>11098.449659999998</v>
      </c>
    </row>
    <row r="117" spans="1:13" x14ac:dyDescent="0.25">
      <c r="A117" s="186">
        <v>57500</v>
      </c>
      <c r="B117" s="33">
        <f t="shared" si="8"/>
        <v>4791.666666666667</v>
      </c>
      <c r="C117" s="185">
        <f>'Child care subsidy'!S120*12</f>
        <v>29525</v>
      </c>
      <c r="D117" s="185">
        <f>MAX('TANF-VIEW'!L124,'TANF-VIEW'!T124)*12</f>
        <v>0</v>
      </c>
      <c r="E117" s="193">
        <f>SNAP!V121*12</f>
        <v>5400</v>
      </c>
      <c r="F117" s="184">
        <f>WIC!F123*12</f>
        <v>882.24</v>
      </c>
      <c r="G117" s="185">
        <f>'Housing Voucher'!Q121*12</f>
        <v>437.98800000000028</v>
      </c>
      <c r="H117" s="197">
        <f>EITC!E120</f>
        <v>3220.8079199999997</v>
      </c>
      <c r="I117" s="205">
        <f>Medicaid!N124*12</f>
        <v>36294</v>
      </c>
      <c r="K117" s="185">
        <f t="shared" si="5"/>
        <v>75760.035919999995</v>
      </c>
      <c r="L117" s="185">
        <f t="shared" si="6"/>
        <v>133260.03591999999</v>
      </c>
      <c r="M117" s="36">
        <f t="shared" si="4"/>
        <v>11105.002993333334</v>
      </c>
    </row>
    <row r="118" spans="1:13" x14ac:dyDescent="0.25">
      <c r="A118" s="186">
        <v>58000</v>
      </c>
      <c r="B118" s="33">
        <f t="shared" si="8"/>
        <v>4833.333333333333</v>
      </c>
      <c r="C118" s="185">
        <f>'Child care subsidy'!S121*12</f>
        <v>29500</v>
      </c>
      <c r="D118" s="185">
        <f>MAX('TANF-VIEW'!L125,'TANF-VIEW'!T125)*12</f>
        <v>0</v>
      </c>
      <c r="E118" s="193">
        <f>SNAP!V122*12</f>
        <v>5280</v>
      </c>
      <c r="F118" s="184">
        <f>WIC!F124*12</f>
        <v>882.24</v>
      </c>
      <c r="G118" s="185">
        <f>'Housing Voucher'!Q122*12</f>
        <v>287.98800000000028</v>
      </c>
      <c r="H118" s="197">
        <f>EITC!E121</f>
        <v>3094.4479199999996</v>
      </c>
      <c r="I118" s="205">
        <f>Medicaid!N125*12</f>
        <v>36294</v>
      </c>
      <c r="K118" s="185">
        <f t="shared" si="5"/>
        <v>75338.675919999994</v>
      </c>
      <c r="L118" s="185">
        <f t="shared" si="6"/>
        <v>133338.67592000001</v>
      </c>
      <c r="M118" s="36">
        <f t="shared" si="4"/>
        <v>11111.556326666667</v>
      </c>
    </row>
    <row r="119" spans="1:13" x14ac:dyDescent="0.25">
      <c r="A119" s="186">
        <v>58500</v>
      </c>
      <c r="B119" s="33">
        <f t="shared" si="8"/>
        <v>4875</v>
      </c>
      <c r="C119" s="185">
        <f>'Child care subsidy'!S122*12</f>
        <v>29475</v>
      </c>
      <c r="D119" s="185">
        <f>MAX('TANF-VIEW'!L126,'TANF-VIEW'!T126)*12</f>
        <v>0</v>
      </c>
      <c r="E119" s="193">
        <f>SNAP!V123*12</f>
        <v>5160</v>
      </c>
      <c r="F119" s="184">
        <f>WIC!F125*12</f>
        <v>882.24</v>
      </c>
      <c r="G119" s="185">
        <f>'Housing Voucher'!Q123*12</f>
        <v>137.98800000000028</v>
      </c>
      <c r="H119" s="197">
        <f>EITC!E122</f>
        <v>2968.087919999999</v>
      </c>
      <c r="I119" s="205">
        <f>Medicaid!N126*12</f>
        <v>36294</v>
      </c>
      <c r="K119" s="185">
        <f t="shared" si="5"/>
        <v>74917.315919999994</v>
      </c>
      <c r="L119" s="185">
        <f t="shared" si="6"/>
        <v>133417.31591999999</v>
      </c>
      <c r="M119" s="36">
        <f t="shared" si="4"/>
        <v>11118.10966</v>
      </c>
    </row>
    <row r="120" spans="1:13" x14ac:dyDescent="0.25">
      <c r="A120" s="186">
        <v>59000</v>
      </c>
      <c r="B120" s="33">
        <f t="shared" si="8"/>
        <v>4916.666666666667</v>
      </c>
      <c r="C120" s="185">
        <f>'Child care subsidy'!S123*12</f>
        <v>29450</v>
      </c>
      <c r="D120" s="185">
        <f>MAX('TANF-VIEW'!L127,'TANF-VIEW'!T127)*12</f>
        <v>0</v>
      </c>
      <c r="E120" s="193">
        <f>SNAP!V124*12</f>
        <v>5040</v>
      </c>
      <c r="F120" s="184">
        <f>WIC!F126*12</f>
        <v>882.24</v>
      </c>
      <c r="G120" s="185">
        <f>'Housing Voucher'!Q124*12</f>
        <v>0</v>
      </c>
      <c r="H120" s="197">
        <f>EITC!E123</f>
        <v>2841.7279200000003</v>
      </c>
      <c r="I120" s="205">
        <f>Medicaid!N127*12</f>
        <v>36294</v>
      </c>
      <c r="K120" s="185">
        <f t="shared" si="5"/>
        <v>74507.967919999996</v>
      </c>
      <c r="L120" s="185">
        <f t="shared" si="6"/>
        <v>133507.96792</v>
      </c>
      <c r="M120" s="36">
        <f t="shared" si="4"/>
        <v>11125.663993333334</v>
      </c>
    </row>
    <row r="121" spans="1:13" x14ac:dyDescent="0.25">
      <c r="A121" s="186">
        <v>59500</v>
      </c>
      <c r="B121" s="33">
        <f t="shared" si="8"/>
        <v>4958.333333333333</v>
      </c>
      <c r="C121" s="185">
        <f>'Child care subsidy'!S124*12</f>
        <v>29425</v>
      </c>
      <c r="D121" s="185">
        <f>MAX('TANF-VIEW'!L128,'TANF-VIEW'!T128)*12</f>
        <v>0</v>
      </c>
      <c r="E121" s="193">
        <f>SNAP!V125*12</f>
        <v>4920</v>
      </c>
      <c r="F121" s="184">
        <f>WIC!F127*12</f>
        <v>882.24</v>
      </c>
      <c r="G121" s="185">
        <f>'Housing Voucher'!Q125*12</f>
        <v>0</v>
      </c>
      <c r="H121" s="197">
        <f>EITC!E124</f>
        <v>2715.3679199999997</v>
      </c>
      <c r="I121" s="205">
        <f>Medicaid!N128*12</f>
        <v>36294</v>
      </c>
      <c r="K121" s="185">
        <f t="shared" si="5"/>
        <v>74236.607919999995</v>
      </c>
      <c r="L121" s="185">
        <f t="shared" si="6"/>
        <v>133736.60791999998</v>
      </c>
      <c r="M121" s="36">
        <f t="shared" si="4"/>
        <v>11144.717326666665</v>
      </c>
    </row>
    <row r="122" spans="1:13" x14ac:dyDescent="0.25">
      <c r="A122" s="186">
        <v>60000</v>
      </c>
      <c r="B122" s="33">
        <f t="shared" si="8"/>
        <v>5000</v>
      </c>
      <c r="C122" s="185">
        <f>'Child care subsidy'!S125*12</f>
        <v>29400</v>
      </c>
      <c r="D122" s="185">
        <f>MAX('TANF-VIEW'!L129,'TANF-VIEW'!T129)*12</f>
        <v>0</v>
      </c>
      <c r="E122" s="193">
        <f>SNAP!V126*12</f>
        <v>4800</v>
      </c>
      <c r="F122" s="184">
        <f>WIC!F128*12</f>
        <v>882.24</v>
      </c>
      <c r="G122" s="185">
        <f>'Housing Voucher'!Q126*12</f>
        <v>0</v>
      </c>
      <c r="H122" s="197">
        <f>EITC!E125</f>
        <v>2589.0079199999996</v>
      </c>
      <c r="I122" s="205">
        <f>Medicaid!N129*12</f>
        <v>36294</v>
      </c>
      <c r="K122" s="185">
        <f t="shared" si="5"/>
        <v>73965.247919999994</v>
      </c>
      <c r="L122" s="185">
        <f t="shared" si="6"/>
        <v>133965.24791999999</v>
      </c>
      <c r="M122" s="36">
        <f t="shared" si="4"/>
        <v>11163.77066</v>
      </c>
    </row>
    <row r="123" spans="1:13" x14ac:dyDescent="0.25">
      <c r="A123" s="186">
        <v>60500</v>
      </c>
      <c r="B123" s="33">
        <f t="shared" si="8"/>
        <v>5041.666666666667</v>
      </c>
      <c r="C123" s="185">
        <f>'Child care subsidy'!S126*12</f>
        <v>29375</v>
      </c>
      <c r="D123" s="185">
        <f>MAX('TANF-VIEW'!L130,'TANF-VIEW'!T130)*12</f>
        <v>0</v>
      </c>
      <c r="E123" s="193">
        <f>SNAP!V127*12</f>
        <v>4680</v>
      </c>
      <c r="F123" s="184">
        <f>WIC!F129*12</f>
        <v>882.24</v>
      </c>
      <c r="G123" s="185">
        <f>'Housing Voucher'!Q127*12</f>
        <v>0</v>
      </c>
      <c r="H123" s="197">
        <f>EITC!E126</f>
        <v>2462.6479199999994</v>
      </c>
      <c r="I123" s="205">
        <f>Medicaid!N130*12</f>
        <v>36294</v>
      </c>
      <c r="K123" s="185">
        <f t="shared" si="5"/>
        <v>73693.887919999994</v>
      </c>
      <c r="L123" s="185">
        <f t="shared" si="6"/>
        <v>134193.88792000001</v>
      </c>
      <c r="M123" s="36">
        <f t="shared" si="4"/>
        <v>11182.823993333333</v>
      </c>
    </row>
    <row r="124" spans="1:13" x14ac:dyDescent="0.25">
      <c r="A124" s="186">
        <v>61000</v>
      </c>
      <c r="B124" s="33">
        <f t="shared" si="8"/>
        <v>5083.333333333333</v>
      </c>
      <c r="C124" s="185">
        <f>'Child care subsidy'!S127*12</f>
        <v>29350</v>
      </c>
      <c r="D124" s="185">
        <f>MAX('TANF-VIEW'!L131,'TANF-VIEW'!T131)*12</f>
        <v>0</v>
      </c>
      <c r="E124" s="193">
        <f>SNAP!V128*12</f>
        <v>4560</v>
      </c>
      <c r="F124" s="184">
        <f>WIC!F130*12</f>
        <v>882.24</v>
      </c>
      <c r="G124" s="185">
        <f>'Housing Voucher'!Q128*12</f>
        <v>0</v>
      </c>
      <c r="H124" s="197">
        <f>EITC!E127</f>
        <v>2336.2879199999993</v>
      </c>
      <c r="I124" s="205">
        <f>Medicaid!N131*12</f>
        <v>36294</v>
      </c>
      <c r="K124" s="185">
        <f t="shared" si="5"/>
        <v>73422.527919999993</v>
      </c>
      <c r="L124" s="185">
        <f t="shared" si="6"/>
        <v>134422.52791999999</v>
      </c>
      <c r="M124" s="36">
        <f t="shared" si="4"/>
        <v>11201.877326666667</v>
      </c>
    </row>
    <row r="125" spans="1:13" x14ac:dyDescent="0.25">
      <c r="A125" s="186">
        <v>61500</v>
      </c>
      <c r="B125" s="33">
        <f t="shared" si="8"/>
        <v>5125</v>
      </c>
      <c r="C125" s="185">
        <f>'Child care subsidy'!S128*12</f>
        <v>29325</v>
      </c>
      <c r="D125" s="185">
        <f>MAX('TANF-VIEW'!L132,'TANF-VIEW'!T132)*12</f>
        <v>0</v>
      </c>
      <c r="E125" s="193">
        <f>SNAP!V129*12</f>
        <v>4440</v>
      </c>
      <c r="F125" s="184">
        <f>WIC!F131*12</f>
        <v>882.24</v>
      </c>
      <c r="G125" s="185">
        <f>'Housing Voucher'!Q129*12</f>
        <v>0</v>
      </c>
      <c r="H125" s="197">
        <f>EITC!E128</f>
        <v>2209.9279200000001</v>
      </c>
      <c r="I125" s="205">
        <f>Medicaid!N132*12</f>
        <v>36294</v>
      </c>
      <c r="K125" s="185">
        <f t="shared" si="5"/>
        <v>73151.167920000007</v>
      </c>
      <c r="L125" s="185">
        <f t="shared" si="6"/>
        <v>134651.16792000001</v>
      </c>
      <c r="M125" s="36">
        <f t="shared" si="4"/>
        <v>11220.93066</v>
      </c>
    </row>
    <row r="126" spans="1:13" x14ac:dyDescent="0.25">
      <c r="A126" s="186">
        <v>62000</v>
      </c>
      <c r="B126" s="33">
        <f t="shared" si="8"/>
        <v>5166.666666666667</v>
      </c>
      <c r="C126" s="185">
        <f>'Child care subsidy'!S129*12</f>
        <v>29300</v>
      </c>
      <c r="D126" s="185">
        <f>MAX('TANF-VIEW'!L133,'TANF-VIEW'!T133)*12</f>
        <v>0</v>
      </c>
      <c r="E126" s="193">
        <f>SNAP!V130*12</f>
        <v>4320</v>
      </c>
      <c r="F126" s="184">
        <f>WIC!F132*12</f>
        <v>882.24</v>
      </c>
      <c r="G126" s="185">
        <f>'Housing Voucher'!Q130*12</f>
        <v>0</v>
      </c>
      <c r="H126" s="197">
        <f>EITC!E129</f>
        <v>2083.56792</v>
      </c>
      <c r="I126" s="205">
        <f>Medicaid!N133*12</f>
        <v>36294</v>
      </c>
      <c r="K126" s="185">
        <f t="shared" si="5"/>
        <v>72879.807919999992</v>
      </c>
      <c r="L126" s="185">
        <f t="shared" si="6"/>
        <v>134879.80791999999</v>
      </c>
      <c r="M126" s="36">
        <f t="shared" si="4"/>
        <v>11239.983993333333</v>
      </c>
    </row>
    <row r="127" spans="1:13" x14ac:dyDescent="0.25">
      <c r="A127" s="186">
        <v>62500</v>
      </c>
      <c r="B127" s="33">
        <f t="shared" si="8"/>
        <v>5208.333333333333</v>
      </c>
      <c r="C127" s="185">
        <f>'Child care subsidy'!S130*12</f>
        <v>29275</v>
      </c>
      <c r="D127" s="185">
        <f>MAX('TANF-VIEW'!L134,'TANF-VIEW'!T134)*12</f>
        <v>0</v>
      </c>
      <c r="E127" s="193">
        <f>SNAP!V131*12</f>
        <v>4200</v>
      </c>
      <c r="F127" s="184">
        <f>WIC!F133*12</f>
        <v>882.24</v>
      </c>
      <c r="G127" s="185">
        <f>'Housing Voucher'!Q131*12</f>
        <v>0</v>
      </c>
      <c r="H127" s="197">
        <f>EITC!E130</f>
        <v>1957.2079199999996</v>
      </c>
      <c r="I127" s="205">
        <f>Medicaid!N134*12</f>
        <v>36294</v>
      </c>
      <c r="K127" s="185">
        <f t="shared" si="5"/>
        <v>72608.447920000006</v>
      </c>
      <c r="L127" s="185">
        <f t="shared" si="6"/>
        <v>135108.44792000001</v>
      </c>
      <c r="M127" s="36">
        <f t="shared" si="4"/>
        <v>11259.037326666667</v>
      </c>
    </row>
    <row r="128" spans="1:13" x14ac:dyDescent="0.25">
      <c r="A128" s="186">
        <v>63000</v>
      </c>
      <c r="B128" s="33">
        <f t="shared" si="8"/>
        <v>5250</v>
      </c>
      <c r="C128" s="185">
        <f>'Child care subsidy'!S131*12</f>
        <v>29250</v>
      </c>
      <c r="D128" s="185">
        <f>MAX('TANF-VIEW'!L135,'TANF-VIEW'!T135)*12</f>
        <v>0</v>
      </c>
      <c r="E128" s="193">
        <f>SNAP!V132*12</f>
        <v>4080</v>
      </c>
      <c r="F128" s="184">
        <f>WIC!F134*12</f>
        <v>882.24</v>
      </c>
      <c r="G128" s="185">
        <f>'Housing Voucher'!Q132*12</f>
        <v>0</v>
      </c>
      <c r="H128" s="197">
        <f>EITC!E131</f>
        <v>1830.8479199999995</v>
      </c>
      <c r="I128" s="205">
        <f>Medicaid!N135*12</f>
        <v>36294</v>
      </c>
      <c r="K128" s="185">
        <f t="shared" si="5"/>
        <v>72337.087919999991</v>
      </c>
      <c r="L128" s="185">
        <f t="shared" si="6"/>
        <v>135337.08791999999</v>
      </c>
      <c r="M128" s="36">
        <f t="shared" si="4"/>
        <v>11278.09066</v>
      </c>
    </row>
    <row r="129" spans="1:16" x14ac:dyDescent="0.25">
      <c r="A129" s="186">
        <v>63500</v>
      </c>
      <c r="B129" s="33">
        <f t="shared" si="8"/>
        <v>5291.666666666667</v>
      </c>
      <c r="C129" s="185">
        <f>'Child care subsidy'!S132*12</f>
        <v>29225</v>
      </c>
      <c r="D129" s="185">
        <f>MAX('TANF-VIEW'!L136,'TANF-VIEW'!T136)*12</f>
        <v>0</v>
      </c>
      <c r="E129" s="193">
        <f>SNAP!V133*12</f>
        <v>3960</v>
      </c>
      <c r="F129" s="184">
        <f>WIC!F135*12</f>
        <v>882.24</v>
      </c>
      <c r="G129" s="185">
        <f>'Housing Voucher'!Q133*12</f>
        <v>0</v>
      </c>
      <c r="H129" s="197">
        <f>EITC!E132</f>
        <v>1704.4879199999991</v>
      </c>
      <c r="I129" s="205">
        <f>Medicaid!N136*12</f>
        <v>36294</v>
      </c>
      <c r="K129" s="185">
        <f t="shared" si="5"/>
        <v>72065.727920000005</v>
      </c>
      <c r="L129" s="185">
        <f t="shared" si="6"/>
        <v>135565.72792</v>
      </c>
      <c r="M129" s="36">
        <f t="shared" si="4"/>
        <v>11297.143993333333</v>
      </c>
    </row>
    <row r="130" spans="1:16" x14ac:dyDescent="0.25">
      <c r="A130" s="186">
        <v>64000</v>
      </c>
      <c r="B130" s="33">
        <f t="shared" si="8"/>
        <v>5333.333333333333</v>
      </c>
      <c r="C130" s="185">
        <f>'Child care subsidy'!S133*12</f>
        <v>29200</v>
      </c>
      <c r="D130" s="185">
        <f>MAX('TANF-VIEW'!L137,'TANF-VIEW'!T137)*12</f>
        <v>0</v>
      </c>
      <c r="E130" s="193">
        <f>SNAP!V134*12</f>
        <v>3840</v>
      </c>
      <c r="F130" s="184">
        <f>WIC!F136*12</f>
        <v>882.24</v>
      </c>
      <c r="G130" s="185">
        <f>'Housing Voucher'!Q134*12</f>
        <v>0</v>
      </c>
      <c r="H130" s="197">
        <f>EITC!E133</f>
        <v>1578.1279200000001</v>
      </c>
      <c r="I130" s="205">
        <f>Medicaid!N137*12</f>
        <v>36294</v>
      </c>
      <c r="K130" s="185">
        <f t="shared" si="5"/>
        <v>71794.36791999999</v>
      </c>
      <c r="L130" s="185">
        <f t="shared" si="6"/>
        <v>135794.36791999999</v>
      </c>
      <c r="M130" s="36">
        <f t="shared" si="4"/>
        <v>11316.197326666666</v>
      </c>
    </row>
    <row r="131" spans="1:16" x14ac:dyDescent="0.25">
      <c r="A131" s="186">
        <v>64500</v>
      </c>
      <c r="B131" s="33">
        <f t="shared" si="8"/>
        <v>5375</v>
      </c>
      <c r="C131" s="185">
        <f>'Child care subsidy'!S134*12</f>
        <v>29175</v>
      </c>
      <c r="D131" s="185">
        <f>MAX('TANF-VIEW'!L138,'TANF-VIEW'!T138)*12</f>
        <v>0</v>
      </c>
      <c r="E131" s="193">
        <f>SNAP!V135*12</f>
        <v>3720</v>
      </c>
      <c r="F131" s="184">
        <f>WIC!F137*12</f>
        <v>882.24</v>
      </c>
      <c r="G131" s="185">
        <f>'Housing Voucher'!Q135*12</f>
        <v>0</v>
      </c>
      <c r="H131" s="197">
        <f>EITC!E134</f>
        <v>1451.7679199999998</v>
      </c>
      <c r="I131" s="205">
        <f>Medicaid!N138*12</f>
        <v>36294</v>
      </c>
      <c r="K131" s="185">
        <f t="shared" si="5"/>
        <v>71523.007920000004</v>
      </c>
      <c r="L131" s="185">
        <f t="shared" si="6"/>
        <v>136023.00792</v>
      </c>
      <c r="M131" s="36">
        <f t="shared" ref="M131:M194" si="9">L131/12</f>
        <v>11335.25066</v>
      </c>
    </row>
    <row r="132" spans="1:16" x14ac:dyDescent="0.25">
      <c r="A132" s="186">
        <v>65000</v>
      </c>
      <c r="B132" s="33">
        <f t="shared" si="8"/>
        <v>5416.666666666667</v>
      </c>
      <c r="C132" s="185">
        <f>'Child care subsidy'!S135*12</f>
        <v>29150</v>
      </c>
      <c r="D132" s="185">
        <f>MAX('TANF-VIEW'!L139,'TANF-VIEW'!T139)*12</f>
        <v>0</v>
      </c>
      <c r="E132" s="193">
        <f>SNAP!V136*12</f>
        <v>3600</v>
      </c>
      <c r="F132" s="184">
        <f>WIC!F138*12</f>
        <v>882.24</v>
      </c>
      <c r="G132" s="185">
        <f>'Housing Voucher'!Q136*12</f>
        <v>0</v>
      </c>
      <c r="H132" s="197">
        <f>EITC!E135</f>
        <v>1325.4079199999996</v>
      </c>
      <c r="I132" s="205">
        <f>Medicaid!N139*12</f>
        <v>36294</v>
      </c>
      <c r="K132" s="185">
        <f t="shared" ref="K132:K195" si="10">SUM(C132:I132)</f>
        <v>71251.647919999989</v>
      </c>
      <c r="L132" s="185">
        <f t="shared" ref="L132:L195" si="11">A132+K132</f>
        <v>136251.64791999999</v>
      </c>
      <c r="M132" s="36">
        <f t="shared" si="9"/>
        <v>11354.303993333333</v>
      </c>
    </row>
    <row r="133" spans="1:16" x14ac:dyDescent="0.25">
      <c r="A133" s="186">
        <v>65500</v>
      </c>
      <c r="B133" s="33">
        <f t="shared" si="8"/>
        <v>5458.333333333333</v>
      </c>
      <c r="C133" s="185">
        <f>'Child care subsidy'!S136*12</f>
        <v>29125</v>
      </c>
      <c r="D133" s="185">
        <f>MAX('TANF-VIEW'!L140,'TANF-VIEW'!T140)*12</f>
        <v>0</v>
      </c>
      <c r="E133" s="193">
        <f>SNAP!V137*12</f>
        <v>3480</v>
      </c>
      <c r="F133" s="184">
        <f>WIC!F139*12</f>
        <v>882.24</v>
      </c>
      <c r="G133" s="185">
        <f>'Housing Voucher'!Q137*12</f>
        <v>0</v>
      </c>
      <c r="H133" s="197">
        <f>EITC!E136</f>
        <v>1199.0479199999995</v>
      </c>
      <c r="I133" s="205">
        <f>Medicaid!N140*12</f>
        <v>36294</v>
      </c>
      <c r="K133" s="185">
        <f t="shared" si="10"/>
        <v>70980.287920000002</v>
      </c>
      <c r="L133" s="185">
        <f t="shared" si="11"/>
        <v>136480.28792</v>
      </c>
      <c r="M133" s="36">
        <f t="shared" si="9"/>
        <v>11373.357326666666</v>
      </c>
      <c r="P133" s="34">
        <f>C135/12</f>
        <v>2422.9166666666665</v>
      </c>
    </row>
    <row r="134" spans="1:16" x14ac:dyDescent="0.25">
      <c r="A134" s="186">
        <v>66000</v>
      </c>
      <c r="B134" s="33">
        <f t="shared" si="8"/>
        <v>5500</v>
      </c>
      <c r="C134" s="185">
        <f>'Child care subsidy'!S137*12</f>
        <v>29100</v>
      </c>
      <c r="D134" s="185">
        <f>MAX('TANF-VIEW'!L141,'TANF-VIEW'!T141)*12</f>
        <v>0</v>
      </c>
      <c r="E134" s="193">
        <f>SNAP!V138*12</f>
        <v>3360</v>
      </c>
      <c r="F134" s="184">
        <f>WIC!F140*12</f>
        <v>882.24</v>
      </c>
      <c r="G134" s="185">
        <f>'Housing Voucher'!Q138*12</f>
        <v>0</v>
      </c>
      <c r="H134" s="197">
        <f>EITC!E137</f>
        <v>1072.6879199999992</v>
      </c>
      <c r="I134" s="205">
        <f>Medicaid!N141*12</f>
        <v>36294</v>
      </c>
      <c r="K134" s="185">
        <f t="shared" si="10"/>
        <v>70708.927919999987</v>
      </c>
      <c r="L134" s="185">
        <f t="shared" si="11"/>
        <v>136708.92791999999</v>
      </c>
      <c r="M134" s="36">
        <f t="shared" si="9"/>
        <v>11392.41066</v>
      </c>
    </row>
    <row r="135" spans="1:16" x14ac:dyDescent="0.25">
      <c r="A135" s="186">
        <v>66500</v>
      </c>
      <c r="B135" s="33">
        <f t="shared" si="8"/>
        <v>5541.666666666667</v>
      </c>
      <c r="C135" s="185">
        <f>'Child care subsidy'!S138*12</f>
        <v>29075</v>
      </c>
      <c r="D135" s="185">
        <f>MAX('TANF-VIEW'!L142,'TANF-VIEW'!T142)*12</f>
        <v>0</v>
      </c>
      <c r="E135" s="193">
        <f>SNAP!V139*12</f>
        <v>3240</v>
      </c>
      <c r="F135" s="184">
        <f>WIC!F141*12</f>
        <v>882.24</v>
      </c>
      <c r="G135" s="185">
        <f>'Housing Voucher'!Q139*12</f>
        <v>0</v>
      </c>
      <c r="H135" s="197">
        <f>EITC!E138</f>
        <v>946.32792000000006</v>
      </c>
      <c r="I135" s="205">
        <f>Medicaid!N142*12</f>
        <v>36294</v>
      </c>
      <c r="K135" s="185">
        <f t="shared" si="10"/>
        <v>70437.567920000001</v>
      </c>
      <c r="L135" s="185">
        <f t="shared" si="11"/>
        <v>136937.56792</v>
      </c>
      <c r="M135" s="36">
        <f t="shared" si="9"/>
        <v>11411.463993333333</v>
      </c>
    </row>
    <row r="136" spans="1:16" x14ac:dyDescent="0.25">
      <c r="A136" s="186">
        <v>67000</v>
      </c>
      <c r="B136" s="33">
        <f t="shared" si="8"/>
        <v>5583.333333333333</v>
      </c>
      <c r="C136" s="185">
        <f>'Child care subsidy'!S139*12</f>
        <v>29050</v>
      </c>
      <c r="D136" s="185">
        <f>MAX('TANF-VIEW'!L143,'TANF-VIEW'!T143)*12</f>
        <v>0</v>
      </c>
      <c r="E136" s="193">
        <f>SNAP!V140*12</f>
        <v>3120</v>
      </c>
      <c r="F136" s="184">
        <f>WIC!F142*12</f>
        <v>882.24</v>
      </c>
      <c r="G136" s="185">
        <f>'Housing Voucher'!Q140*12</f>
        <v>0</v>
      </c>
      <c r="H136" s="197">
        <f>EITC!E139</f>
        <v>819.96791999999982</v>
      </c>
      <c r="I136" s="205">
        <f>Medicaid!N143*12</f>
        <v>36294</v>
      </c>
      <c r="K136" s="185">
        <f t="shared" si="10"/>
        <v>70166.207920000001</v>
      </c>
      <c r="L136" s="185">
        <f t="shared" si="11"/>
        <v>137166.20792000002</v>
      </c>
      <c r="M136" s="36">
        <f t="shared" si="9"/>
        <v>11430.517326666668</v>
      </c>
    </row>
    <row r="137" spans="1:16" x14ac:dyDescent="0.25">
      <c r="A137" s="186">
        <v>67500</v>
      </c>
      <c r="B137" s="33">
        <f t="shared" si="8"/>
        <v>5625</v>
      </c>
      <c r="C137" s="185">
        <f>'Child care subsidy'!S140*12</f>
        <v>29025</v>
      </c>
      <c r="D137" s="185">
        <f>MAX('TANF-VIEW'!L144,'TANF-VIEW'!T144)*12</f>
        <v>0</v>
      </c>
      <c r="E137" s="193">
        <f>SNAP!V141*12</f>
        <v>3000</v>
      </c>
      <c r="F137" s="184">
        <f>WIC!F143*12</f>
        <v>882.24</v>
      </c>
      <c r="G137" s="185">
        <f>'Housing Voucher'!Q141*12</f>
        <v>0</v>
      </c>
      <c r="H137" s="197">
        <f>EITC!E140</f>
        <v>693.60791999999969</v>
      </c>
      <c r="I137" s="205">
        <f>Medicaid!N144*12</f>
        <v>36294</v>
      </c>
      <c r="K137" s="185">
        <f t="shared" si="10"/>
        <v>69894.84792</v>
      </c>
      <c r="L137" s="185">
        <f t="shared" si="11"/>
        <v>137394.84792</v>
      </c>
      <c r="M137" s="36">
        <f t="shared" si="9"/>
        <v>11449.570659999999</v>
      </c>
    </row>
    <row r="138" spans="1:16" x14ac:dyDescent="0.25">
      <c r="A138" s="186">
        <v>68000</v>
      </c>
      <c r="B138" s="33">
        <f t="shared" si="8"/>
        <v>5666.666666666667</v>
      </c>
      <c r="C138" s="185">
        <f>'Child care subsidy'!S141*12</f>
        <v>29000</v>
      </c>
      <c r="D138" s="185">
        <f>MAX('TANF-VIEW'!L145,'TANF-VIEW'!T145)*12</f>
        <v>0</v>
      </c>
      <c r="E138" s="193">
        <f>SNAP!V142*12</f>
        <v>2880</v>
      </c>
      <c r="F138" s="184">
        <f>WIC!F144*12</f>
        <v>882.24</v>
      </c>
      <c r="G138" s="185">
        <f>'Housing Voucher'!Q142*12</f>
        <v>0</v>
      </c>
      <c r="H138" s="197">
        <f>EITC!E141</f>
        <v>567.24791999999945</v>
      </c>
      <c r="I138" s="205">
        <f>Medicaid!N145*12</f>
        <v>36294</v>
      </c>
      <c r="K138" s="185">
        <f t="shared" si="10"/>
        <v>69623.48792</v>
      </c>
      <c r="L138" s="185">
        <f t="shared" si="11"/>
        <v>137623.48791999999</v>
      </c>
      <c r="M138" s="36">
        <f t="shared" si="9"/>
        <v>11468.623993333333</v>
      </c>
    </row>
    <row r="139" spans="1:16" x14ac:dyDescent="0.25">
      <c r="A139" s="186">
        <v>68500</v>
      </c>
      <c r="B139" s="33">
        <f t="shared" si="8"/>
        <v>5708.333333333333</v>
      </c>
      <c r="C139" s="185">
        <f>'Child care subsidy'!S142*12</f>
        <v>28975</v>
      </c>
      <c r="D139" s="185">
        <f>MAX('TANF-VIEW'!L146,'TANF-VIEW'!T146)*12</f>
        <v>0</v>
      </c>
      <c r="E139" s="193">
        <f>SNAP!V143*12</f>
        <v>2760</v>
      </c>
      <c r="F139" s="184">
        <f>WIC!F145*12</f>
        <v>882.24</v>
      </c>
      <c r="G139" s="185">
        <f>'Housing Voucher'!Q143*12</f>
        <v>0</v>
      </c>
      <c r="H139" s="197">
        <f>EITC!E142</f>
        <v>440.88791999999921</v>
      </c>
      <c r="I139" s="205">
        <f>Medicaid!N146*12</f>
        <v>36294</v>
      </c>
      <c r="K139" s="185">
        <f t="shared" si="10"/>
        <v>69352.127919999999</v>
      </c>
      <c r="L139" s="185">
        <f t="shared" si="11"/>
        <v>137852.12792</v>
      </c>
      <c r="M139" s="36">
        <f t="shared" si="9"/>
        <v>11487.677326666666</v>
      </c>
    </row>
    <row r="140" spans="1:16" x14ac:dyDescent="0.25">
      <c r="A140" s="186">
        <v>69000</v>
      </c>
      <c r="B140" s="33">
        <f t="shared" si="8"/>
        <v>5750</v>
      </c>
      <c r="C140" s="185">
        <f>'Child care subsidy'!S143*12</f>
        <v>28950</v>
      </c>
      <c r="D140" s="185">
        <f>MAX('TANF-VIEW'!L147,'TANF-VIEW'!T147)*12</f>
        <v>0</v>
      </c>
      <c r="E140" s="193">
        <f>SNAP!V144*12</f>
        <v>2640</v>
      </c>
      <c r="F140" s="184">
        <f>WIC!F146*12</f>
        <v>882.24</v>
      </c>
      <c r="G140" s="185">
        <f>'Housing Voucher'!Q144*12</f>
        <v>0</v>
      </c>
      <c r="H140" s="197">
        <f>EITC!E143</f>
        <v>0</v>
      </c>
      <c r="I140" s="205">
        <f>Medicaid!N147*12</f>
        <v>36294</v>
      </c>
      <c r="K140" s="185">
        <f t="shared" si="10"/>
        <v>68766.240000000005</v>
      </c>
      <c r="L140" s="185">
        <f t="shared" si="11"/>
        <v>137766.24</v>
      </c>
      <c r="M140" s="36">
        <f t="shared" si="9"/>
        <v>11480.519999999999</v>
      </c>
    </row>
    <row r="141" spans="1:16" x14ac:dyDescent="0.25">
      <c r="A141" s="186">
        <v>69500</v>
      </c>
      <c r="B141" s="33">
        <f t="shared" si="8"/>
        <v>5791.666666666667</v>
      </c>
      <c r="C141" s="185">
        <f>'Child care subsidy'!S144*12</f>
        <v>28925</v>
      </c>
      <c r="D141" s="185">
        <f>MAX('TANF-VIEW'!L148,'TANF-VIEW'!T148)*12</f>
        <v>0</v>
      </c>
      <c r="E141" s="193">
        <f>SNAP!V145*12</f>
        <v>2520</v>
      </c>
      <c r="F141" s="184">
        <f>WIC!F147*12</f>
        <v>882.24</v>
      </c>
      <c r="G141" s="185">
        <f>'Housing Voucher'!Q145*12</f>
        <v>0</v>
      </c>
      <c r="H141" s="197">
        <f>EITC!E144</f>
        <v>0</v>
      </c>
      <c r="I141" s="205">
        <f>Medicaid!N148*12</f>
        <v>11466</v>
      </c>
      <c r="K141" s="185">
        <f t="shared" si="10"/>
        <v>43793.240000000005</v>
      </c>
      <c r="L141" s="185">
        <f t="shared" si="11"/>
        <v>113293.24</v>
      </c>
      <c r="M141" s="36">
        <f t="shared" si="9"/>
        <v>9441.1033333333344</v>
      </c>
    </row>
    <row r="142" spans="1:16" x14ac:dyDescent="0.25">
      <c r="A142" s="186">
        <v>70000</v>
      </c>
      <c r="B142" s="33">
        <f t="shared" si="8"/>
        <v>5833.333333333333</v>
      </c>
      <c r="C142" s="185">
        <f>'Child care subsidy'!S145*12</f>
        <v>28900</v>
      </c>
      <c r="D142" s="185">
        <f>MAX('TANF-VIEW'!L149,'TANF-VIEW'!T149)*12</f>
        <v>0</v>
      </c>
      <c r="E142" s="193">
        <f>SNAP!V146*12</f>
        <v>2400</v>
      </c>
      <c r="F142" s="184">
        <f>WIC!F148*12</f>
        <v>882.24</v>
      </c>
      <c r="G142" s="185">
        <f>'Housing Voucher'!Q146*12</f>
        <v>0</v>
      </c>
      <c r="H142" s="197">
        <f>EITC!E145</f>
        <v>0</v>
      </c>
      <c r="I142" s="205">
        <f>Medicaid!N149*12</f>
        <v>11466</v>
      </c>
      <c r="K142" s="185">
        <f t="shared" si="10"/>
        <v>43648.240000000005</v>
      </c>
      <c r="L142" s="185">
        <f t="shared" si="11"/>
        <v>113648.24</v>
      </c>
      <c r="M142" s="36">
        <f t="shared" si="9"/>
        <v>9470.6866666666665</v>
      </c>
    </row>
    <row r="143" spans="1:16" x14ac:dyDescent="0.25">
      <c r="A143" s="186">
        <v>70500</v>
      </c>
      <c r="B143" s="33">
        <f t="shared" si="8"/>
        <v>5875</v>
      </c>
      <c r="C143" s="185">
        <f>'Child care subsidy'!S146*12</f>
        <v>28875</v>
      </c>
      <c r="D143" s="185">
        <f>MAX('TANF-VIEW'!L150,'TANF-VIEW'!T150)*12</f>
        <v>0</v>
      </c>
      <c r="E143" s="193">
        <f>SNAP!V147*12</f>
        <v>2280</v>
      </c>
      <c r="F143" s="184">
        <f>WIC!F149*12</f>
        <v>882.24</v>
      </c>
      <c r="G143" s="185">
        <f>'Housing Voucher'!Q147*12</f>
        <v>0</v>
      </c>
      <c r="H143" s="197">
        <f>EITC!E146</f>
        <v>0</v>
      </c>
      <c r="I143" s="205">
        <f>Medicaid!N150*12</f>
        <v>11466</v>
      </c>
      <c r="K143" s="185">
        <f t="shared" si="10"/>
        <v>43503.240000000005</v>
      </c>
      <c r="L143" s="185">
        <f t="shared" si="11"/>
        <v>114003.24</v>
      </c>
      <c r="M143" s="36">
        <f t="shared" si="9"/>
        <v>9500.27</v>
      </c>
    </row>
    <row r="144" spans="1:16" x14ac:dyDescent="0.25">
      <c r="A144" s="186">
        <v>71000</v>
      </c>
      <c r="B144" s="33">
        <f t="shared" si="8"/>
        <v>5916.666666666667</v>
      </c>
      <c r="C144" s="185">
        <f>'Child care subsidy'!S147*12</f>
        <v>28850</v>
      </c>
      <c r="D144" s="185">
        <f>MAX('TANF-VIEW'!L151,'TANF-VIEW'!T151)*12</f>
        <v>0</v>
      </c>
      <c r="E144" s="193">
        <f>SNAP!V148*12</f>
        <v>2160</v>
      </c>
      <c r="F144" s="184">
        <f>WIC!F150*12</f>
        <v>882.24</v>
      </c>
      <c r="G144" s="185">
        <f>'Housing Voucher'!Q148*12</f>
        <v>0</v>
      </c>
      <c r="H144" s="197">
        <f>EITC!E147</f>
        <v>0</v>
      </c>
      <c r="I144" s="205">
        <f>Medicaid!N151*12</f>
        <v>11466</v>
      </c>
      <c r="K144" s="185">
        <f t="shared" si="10"/>
        <v>43358.240000000005</v>
      </c>
      <c r="L144" s="185">
        <f t="shared" si="11"/>
        <v>114358.24</v>
      </c>
      <c r="M144" s="36">
        <f t="shared" si="9"/>
        <v>9529.8533333333344</v>
      </c>
    </row>
    <row r="145" spans="1:13" x14ac:dyDescent="0.25">
      <c r="A145" s="186">
        <v>71500</v>
      </c>
      <c r="B145" s="33">
        <f t="shared" si="8"/>
        <v>5958.333333333333</v>
      </c>
      <c r="C145" s="185">
        <f>'Child care subsidy'!S148*12</f>
        <v>28825</v>
      </c>
      <c r="D145" s="185">
        <f>MAX('TANF-VIEW'!L152,'TANF-VIEW'!T152)*12</f>
        <v>0</v>
      </c>
      <c r="E145" s="193">
        <f>SNAP!V149*12</f>
        <v>2040</v>
      </c>
      <c r="F145" s="184">
        <f>WIC!F151*12</f>
        <v>882.24</v>
      </c>
      <c r="G145" s="185">
        <f>'Housing Voucher'!Q149*12</f>
        <v>0</v>
      </c>
      <c r="H145" s="197">
        <f>EITC!E148</f>
        <v>0</v>
      </c>
      <c r="I145" s="205">
        <f>Medicaid!N152*12</f>
        <v>11466</v>
      </c>
      <c r="K145" s="185">
        <f t="shared" si="10"/>
        <v>43213.240000000005</v>
      </c>
      <c r="L145" s="185">
        <f t="shared" si="11"/>
        <v>114713.24</v>
      </c>
      <c r="M145" s="36">
        <f t="shared" si="9"/>
        <v>9559.4366666666665</v>
      </c>
    </row>
    <row r="146" spans="1:13" x14ac:dyDescent="0.25">
      <c r="A146" s="186">
        <v>72000</v>
      </c>
      <c r="B146" s="33">
        <f t="shared" si="8"/>
        <v>6000</v>
      </c>
      <c r="C146" s="185">
        <f>'Child care subsidy'!S149*12</f>
        <v>28800</v>
      </c>
      <c r="D146" s="185">
        <f>MAX('TANF-VIEW'!L153,'TANF-VIEW'!T153)*12</f>
        <v>0</v>
      </c>
      <c r="E146" s="193">
        <f>SNAP!V150*12</f>
        <v>1920</v>
      </c>
      <c r="F146" s="184">
        <f>WIC!F152*12</f>
        <v>882.24</v>
      </c>
      <c r="G146" s="185">
        <f>'Housing Voucher'!Q150*12</f>
        <v>0</v>
      </c>
      <c r="H146" s="197">
        <f>EITC!E149</f>
        <v>0</v>
      </c>
      <c r="I146" s="205">
        <f>Medicaid!N153*12</f>
        <v>11466</v>
      </c>
      <c r="K146" s="185">
        <f t="shared" si="10"/>
        <v>43068.240000000005</v>
      </c>
      <c r="L146" s="185">
        <f t="shared" si="11"/>
        <v>115068.24</v>
      </c>
      <c r="M146" s="36">
        <f t="shared" si="9"/>
        <v>9589.02</v>
      </c>
    </row>
    <row r="147" spans="1:13" x14ac:dyDescent="0.25">
      <c r="A147" s="186">
        <v>72500</v>
      </c>
      <c r="B147" s="33">
        <f t="shared" si="8"/>
        <v>6041.666666666667</v>
      </c>
      <c r="C147" s="185">
        <f>'Child care subsidy'!S150*12</f>
        <v>28775</v>
      </c>
      <c r="D147" s="185">
        <f>MAX('TANF-VIEW'!L154,'TANF-VIEW'!T154)*12</f>
        <v>0</v>
      </c>
      <c r="E147" s="193">
        <f>SNAP!V151*12</f>
        <v>1800</v>
      </c>
      <c r="F147" s="184">
        <f>WIC!F153*12</f>
        <v>882.24</v>
      </c>
      <c r="G147" s="185">
        <f>'Housing Voucher'!Q151*12</f>
        <v>0</v>
      </c>
      <c r="H147" s="197">
        <f>EITC!E150</f>
        <v>0</v>
      </c>
      <c r="I147" s="205">
        <f>Medicaid!N154*12</f>
        <v>11466</v>
      </c>
      <c r="K147" s="185">
        <f t="shared" si="10"/>
        <v>42923.240000000005</v>
      </c>
      <c r="L147" s="185">
        <f t="shared" si="11"/>
        <v>115423.24</v>
      </c>
      <c r="M147" s="36">
        <f t="shared" si="9"/>
        <v>9618.6033333333344</v>
      </c>
    </row>
    <row r="148" spans="1:13" x14ac:dyDescent="0.25">
      <c r="A148" s="186">
        <v>73000</v>
      </c>
      <c r="B148" s="33">
        <f t="shared" si="8"/>
        <v>6083.333333333333</v>
      </c>
      <c r="C148" s="185">
        <f>'Child care subsidy'!S151*12</f>
        <v>28750</v>
      </c>
      <c r="D148" s="185">
        <f>MAX('TANF-VIEW'!L155,'TANF-VIEW'!T155)*12</f>
        <v>0</v>
      </c>
      <c r="E148" s="193">
        <f>SNAP!V152*12</f>
        <v>1680</v>
      </c>
      <c r="F148" s="184">
        <f>WIC!F154*12</f>
        <v>882.24</v>
      </c>
      <c r="G148" s="185">
        <f>'Housing Voucher'!Q152*12</f>
        <v>0</v>
      </c>
      <c r="H148" s="197">
        <f>EITC!E151</f>
        <v>0</v>
      </c>
      <c r="I148" s="205">
        <f>Medicaid!N155*12</f>
        <v>11466</v>
      </c>
      <c r="K148" s="185">
        <f t="shared" si="10"/>
        <v>42778.240000000005</v>
      </c>
      <c r="L148" s="185">
        <f t="shared" si="11"/>
        <v>115778.24000000001</v>
      </c>
      <c r="M148" s="36">
        <f t="shared" si="9"/>
        <v>9648.1866666666665</v>
      </c>
    </row>
    <row r="149" spans="1:13" x14ac:dyDescent="0.25">
      <c r="A149" s="186">
        <v>73500</v>
      </c>
      <c r="B149" s="33">
        <f t="shared" si="8"/>
        <v>6125</v>
      </c>
      <c r="C149" s="185">
        <f>'Child care subsidy'!S152*12</f>
        <v>28725</v>
      </c>
      <c r="D149" s="185">
        <f>MAX('TANF-VIEW'!L156,'TANF-VIEW'!T156)*12</f>
        <v>0</v>
      </c>
      <c r="E149" s="193">
        <f>SNAP!V153*12</f>
        <v>1560</v>
      </c>
      <c r="F149" s="184">
        <f>WIC!F155*12</f>
        <v>882.24</v>
      </c>
      <c r="G149" s="185">
        <f>'Housing Voucher'!Q153*12</f>
        <v>0</v>
      </c>
      <c r="H149" s="197">
        <f>EITC!E152</f>
        <v>0</v>
      </c>
      <c r="I149" s="205">
        <f>Medicaid!N156*12</f>
        <v>11466</v>
      </c>
      <c r="K149" s="185">
        <f t="shared" si="10"/>
        <v>42633.240000000005</v>
      </c>
      <c r="L149" s="185">
        <f t="shared" si="11"/>
        <v>116133.24</v>
      </c>
      <c r="M149" s="36">
        <f t="shared" si="9"/>
        <v>9677.77</v>
      </c>
    </row>
    <row r="150" spans="1:13" x14ac:dyDescent="0.25">
      <c r="A150" s="186">
        <v>74000</v>
      </c>
      <c r="B150" s="33">
        <f t="shared" si="8"/>
        <v>6166.666666666667</v>
      </c>
      <c r="C150" s="185">
        <f>'Child care subsidy'!S153*12</f>
        <v>28700</v>
      </c>
      <c r="D150" s="185">
        <f>MAX('TANF-VIEW'!L157,'TANF-VIEW'!T157)*12</f>
        <v>0</v>
      </c>
      <c r="E150" s="193">
        <f>SNAP!V154*12</f>
        <v>1440</v>
      </c>
      <c r="F150" s="184">
        <f>WIC!F156*12</f>
        <v>882.24</v>
      </c>
      <c r="G150" s="185">
        <f>'Housing Voucher'!Q154*12</f>
        <v>0</v>
      </c>
      <c r="H150" s="197">
        <f>EITC!E153</f>
        <v>0</v>
      </c>
      <c r="I150" s="205">
        <f>Medicaid!N157*12</f>
        <v>11466</v>
      </c>
      <c r="K150" s="185">
        <f t="shared" si="10"/>
        <v>42488.240000000005</v>
      </c>
      <c r="L150" s="185">
        <f t="shared" si="11"/>
        <v>116488.24</v>
      </c>
      <c r="M150" s="36">
        <f t="shared" si="9"/>
        <v>9707.3533333333344</v>
      </c>
    </row>
    <row r="151" spans="1:13" x14ac:dyDescent="0.25">
      <c r="A151" s="186">
        <v>74500</v>
      </c>
      <c r="B151" s="33">
        <f t="shared" si="8"/>
        <v>6208.333333333333</v>
      </c>
      <c r="C151" s="185">
        <f>'Child care subsidy'!S154*12</f>
        <v>28675</v>
      </c>
      <c r="D151" s="185">
        <f>MAX('TANF-VIEW'!L158,'TANF-VIEW'!T158)*12</f>
        <v>0</v>
      </c>
      <c r="E151" s="193">
        <f>SNAP!V155*12</f>
        <v>1320</v>
      </c>
      <c r="F151" s="184">
        <f>WIC!F157*12</f>
        <v>882.24</v>
      </c>
      <c r="G151" s="185">
        <f>'Housing Voucher'!Q155*12</f>
        <v>0</v>
      </c>
      <c r="H151" s="197">
        <f>EITC!E154</f>
        <v>0</v>
      </c>
      <c r="I151" s="205">
        <f>Medicaid!N158*12</f>
        <v>11466</v>
      </c>
      <c r="K151" s="185">
        <f t="shared" si="10"/>
        <v>42343.240000000005</v>
      </c>
      <c r="L151" s="185">
        <f t="shared" si="11"/>
        <v>116843.24</v>
      </c>
      <c r="M151" s="36">
        <f t="shared" si="9"/>
        <v>9736.9366666666665</v>
      </c>
    </row>
    <row r="152" spans="1:13" x14ac:dyDescent="0.25">
      <c r="A152" s="186">
        <v>75000</v>
      </c>
      <c r="B152" s="33">
        <f t="shared" si="8"/>
        <v>6250</v>
      </c>
      <c r="C152" s="185">
        <f>'Child care subsidy'!S155*12</f>
        <v>28650</v>
      </c>
      <c r="D152" s="185">
        <f>MAX('TANF-VIEW'!L159,'TANF-VIEW'!T159)*12</f>
        <v>0</v>
      </c>
      <c r="E152" s="193">
        <f>SNAP!V156*12</f>
        <v>1200</v>
      </c>
      <c r="F152" s="184">
        <f>WIC!F158*12</f>
        <v>882.24</v>
      </c>
      <c r="G152" s="185">
        <f>'Housing Voucher'!Q156*12</f>
        <v>0</v>
      </c>
      <c r="H152" s="197">
        <f>EITC!E155</f>
        <v>0</v>
      </c>
      <c r="I152" s="205">
        <f>Medicaid!N159*12</f>
        <v>11466</v>
      </c>
      <c r="K152" s="185">
        <f t="shared" si="10"/>
        <v>42198.240000000005</v>
      </c>
      <c r="L152" s="185">
        <f t="shared" si="11"/>
        <v>117198.24</v>
      </c>
      <c r="M152" s="36">
        <f t="shared" si="9"/>
        <v>9766.52</v>
      </c>
    </row>
    <row r="153" spans="1:13" x14ac:dyDescent="0.25">
      <c r="A153" s="186">
        <v>75500</v>
      </c>
      <c r="B153" s="33">
        <f t="shared" si="8"/>
        <v>6291.666666666667</v>
      </c>
      <c r="C153" s="185">
        <f>'Child care subsidy'!S156*12</f>
        <v>28625</v>
      </c>
      <c r="D153" s="185">
        <f>MAX('TANF-VIEW'!L160,'TANF-VIEW'!T160)*12</f>
        <v>0</v>
      </c>
      <c r="E153" s="193">
        <f>SNAP!V157*12</f>
        <v>1080</v>
      </c>
      <c r="F153" s="184">
        <f>WIC!F159*12</f>
        <v>882.24</v>
      </c>
      <c r="G153" s="185">
        <f>'Housing Voucher'!Q157*12</f>
        <v>0</v>
      </c>
      <c r="H153" s="197">
        <f>EITC!E156</f>
        <v>0</v>
      </c>
      <c r="I153" s="205">
        <f>Medicaid!N160*12</f>
        <v>11466</v>
      </c>
      <c r="K153" s="185">
        <f t="shared" si="10"/>
        <v>42053.240000000005</v>
      </c>
      <c r="L153" s="185">
        <f t="shared" si="11"/>
        <v>117553.24</v>
      </c>
      <c r="M153" s="36">
        <f t="shared" si="9"/>
        <v>9796.1033333333344</v>
      </c>
    </row>
    <row r="154" spans="1:13" x14ac:dyDescent="0.25">
      <c r="A154" s="186">
        <v>76000</v>
      </c>
      <c r="B154" s="33">
        <f t="shared" si="8"/>
        <v>6333.333333333333</v>
      </c>
      <c r="C154" s="185">
        <f>'Child care subsidy'!S157*12</f>
        <v>28600</v>
      </c>
      <c r="D154" s="185">
        <f>MAX('TANF-VIEW'!L161,'TANF-VIEW'!T161)*12</f>
        <v>0</v>
      </c>
      <c r="E154" s="193">
        <f>SNAP!V158*12</f>
        <v>960</v>
      </c>
      <c r="F154" s="184">
        <f>WIC!F160*12</f>
        <v>882.24</v>
      </c>
      <c r="G154" s="185">
        <f>'Housing Voucher'!Q158*12</f>
        <v>0</v>
      </c>
      <c r="H154" s="197">
        <f>EITC!E157</f>
        <v>0</v>
      </c>
      <c r="I154" s="205">
        <f>Medicaid!N161*12</f>
        <v>11466</v>
      </c>
      <c r="K154" s="185">
        <f t="shared" si="10"/>
        <v>41908.240000000005</v>
      </c>
      <c r="L154" s="185">
        <f t="shared" si="11"/>
        <v>117908.24</v>
      </c>
      <c r="M154" s="36">
        <f t="shared" si="9"/>
        <v>9825.6866666666665</v>
      </c>
    </row>
    <row r="155" spans="1:13" x14ac:dyDescent="0.25">
      <c r="A155" s="186">
        <v>76500</v>
      </c>
      <c r="B155" s="33">
        <f t="shared" si="8"/>
        <v>6375</v>
      </c>
      <c r="C155" s="185">
        <f>'Child care subsidy'!S158*12</f>
        <v>28575</v>
      </c>
      <c r="D155" s="185">
        <f>MAX('TANF-VIEW'!L162,'TANF-VIEW'!T162)*12</f>
        <v>0</v>
      </c>
      <c r="E155" s="193">
        <f>SNAP!V159*12</f>
        <v>840</v>
      </c>
      <c r="F155" s="184">
        <f>WIC!F161*12</f>
        <v>882.24</v>
      </c>
      <c r="G155" s="185">
        <f>'Housing Voucher'!Q159*12</f>
        <v>0</v>
      </c>
      <c r="H155" s="197">
        <f>EITC!E158</f>
        <v>0</v>
      </c>
      <c r="I155" s="205">
        <f>Medicaid!N162*12</f>
        <v>11466</v>
      </c>
      <c r="K155" s="185">
        <f t="shared" si="10"/>
        <v>41763.240000000005</v>
      </c>
      <c r="L155" s="185">
        <f t="shared" si="11"/>
        <v>118263.24</v>
      </c>
      <c r="M155" s="36">
        <f t="shared" si="9"/>
        <v>9855.27</v>
      </c>
    </row>
    <row r="156" spans="1:13" x14ac:dyDescent="0.25">
      <c r="A156" s="186">
        <v>77000</v>
      </c>
      <c r="B156" s="33">
        <f t="shared" si="8"/>
        <v>6416.666666666667</v>
      </c>
      <c r="C156" s="185">
        <f>'Child care subsidy'!S159*12</f>
        <v>28550</v>
      </c>
      <c r="D156" s="185">
        <f>MAX('TANF-VIEW'!L163,'TANF-VIEW'!T163)*12</f>
        <v>0</v>
      </c>
      <c r="E156" s="193">
        <f>SNAP!V160*12</f>
        <v>720</v>
      </c>
      <c r="F156" s="184">
        <f>WIC!F162*12</f>
        <v>882.24</v>
      </c>
      <c r="G156" s="185">
        <f>'Housing Voucher'!Q160*12</f>
        <v>0</v>
      </c>
      <c r="H156" s="197">
        <f>EITC!E159</f>
        <v>0</v>
      </c>
      <c r="I156" s="205">
        <f>Medicaid!N163*12</f>
        <v>11466</v>
      </c>
      <c r="K156" s="185">
        <f t="shared" si="10"/>
        <v>41618.240000000005</v>
      </c>
      <c r="L156" s="185">
        <f t="shared" si="11"/>
        <v>118618.24000000001</v>
      </c>
      <c r="M156" s="36">
        <f t="shared" si="9"/>
        <v>9884.8533333333344</v>
      </c>
    </row>
    <row r="157" spans="1:13" x14ac:dyDescent="0.25">
      <c r="A157" s="186">
        <v>77500</v>
      </c>
      <c r="B157" s="33">
        <f t="shared" si="8"/>
        <v>6458.333333333333</v>
      </c>
      <c r="C157" s="185">
        <f>'Child care subsidy'!S160*12</f>
        <v>28525</v>
      </c>
      <c r="D157" s="185">
        <f>MAX('TANF-VIEW'!L164,'TANF-VIEW'!T164)*12</f>
        <v>0</v>
      </c>
      <c r="E157" s="193">
        <f>SNAP!V161*12</f>
        <v>600</v>
      </c>
      <c r="F157" s="184">
        <f>WIC!F163*12</f>
        <v>882.24</v>
      </c>
      <c r="G157" s="185">
        <f>'Housing Voucher'!Q161*12</f>
        <v>0</v>
      </c>
      <c r="H157" s="197">
        <f>EITC!E160</f>
        <v>0</v>
      </c>
      <c r="I157" s="205">
        <f>Medicaid!N164*12</f>
        <v>11466</v>
      </c>
      <c r="K157" s="185">
        <f t="shared" si="10"/>
        <v>41473.240000000005</v>
      </c>
      <c r="L157" s="185">
        <f t="shared" si="11"/>
        <v>118973.24</v>
      </c>
      <c r="M157" s="36">
        <f t="shared" si="9"/>
        <v>9914.4366666666665</v>
      </c>
    </row>
    <row r="158" spans="1:13" x14ac:dyDescent="0.25">
      <c r="A158" s="186">
        <v>78000</v>
      </c>
      <c r="B158" s="33">
        <f t="shared" si="8"/>
        <v>6500</v>
      </c>
      <c r="C158" s="185">
        <f>'Child care subsidy'!S161*12</f>
        <v>28500</v>
      </c>
      <c r="D158" s="185">
        <f>MAX('TANF-VIEW'!L165,'TANF-VIEW'!T165)*12</f>
        <v>0</v>
      </c>
      <c r="E158" s="193">
        <f>SNAP!V162*12</f>
        <v>480</v>
      </c>
      <c r="F158" s="184">
        <f>WIC!F164*12</f>
        <v>882.24</v>
      </c>
      <c r="G158" s="185">
        <f>'Housing Voucher'!Q162*12</f>
        <v>0</v>
      </c>
      <c r="H158" s="197">
        <f>EITC!E161</f>
        <v>0</v>
      </c>
      <c r="I158" s="205">
        <f>Medicaid!N165*12</f>
        <v>11466</v>
      </c>
      <c r="K158" s="185">
        <f t="shared" si="10"/>
        <v>41328.240000000005</v>
      </c>
      <c r="L158" s="185">
        <f t="shared" si="11"/>
        <v>119328.24</v>
      </c>
      <c r="M158" s="36">
        <f t="shared" si="9"/>
        <v>9944.02</v>
      </c>
    </row>
    <row r="159" spans="1:13" x14ac:dyDescent="0.25">
      <c r="A159" s="186">
        <v>78500</v>
      </c>
      <c r="B159" s="33">
        <f t="shared" si="8"/>
        <v>6541.666666666667</v>
      </c>
      <c r="C159" s="185">
        <f>'Child care subsidy'!S162*12</f>
        <v>28475</v>
      </c>
      <c r="D159" s="185">
        <f>MAX('TANF-VIEW'!L166,'TANF-VIEW'!T166)*12</f>
        <v>0</v>
      </c>
      <c r="E159" s="193">
        <f>SNAP!V163*12</f>
        <v>360</v>
      </c>
      <c r="F159" s="184">
        <f>WIC!F165*12</f>
        <v>882.24</v>
      </c>
      <c r="G159" s="185">
        <f>'Housing Voucher'!Q163*12</f>
        <v>0</v>
      </c>
      <c r="H159" s="197">
        <f>EITC!E162</f>
        <v>0</v>
      </c>
      <c r="I159" s="205">
        <f>Medicaid!N166*12</f>
        <v>11466</v>
      </c>
      <c r="K159" s="185">
        <f t="shared" si="10"/>
        <v>41183.240000000005</v>
      </c>
      <c r="L159" s="185">
        <f t="shared" si="11"/>
        <v>119683.24</v>
      </c>
      <c r="M159" s="36">
        <f t="shared" si="9"/>
        <v>9973.6033333333344</v>
      </c>
    </row>
    <row r="160" spans="1:13" x14ac:dyDescent="0.25">
      <c r="A160" s="186">
        <v>79000</v>
      </c>
      <c r="B160" s="33">
        <f t="shared" si="8"/>
        <v>6583.333333333333</v>
      </c>
      <c r="C160" s="185">
        <f>'Child care subsidy'!S163*12</f>
        <v>28450</v>
      </c>
      <c r="D160" s="185">
        <f>MAX('TANF-VIEW'!L167,'TANF-VIEW'!T167)*12</f>
        <v>0</v>
      </c>
      <c r="E160" s="193">
        <f>SNAP!V164*12</f>
        <v>288</v>
      </c>
      <c r="F160" s="184">
        <f>WIC!F166*12</f>
        <v>882.24</v>
      </c>
      <c r="G160" s="185">
        <f>'Housing Voucher'!Q164*12</f>
        <v>0</v>
      </c>
      <c r="H160" s="197">
        <f>EITC!E163</f>
        <v>0</v>
      </c>
      <c r="I160" s="205">
        <f>Medicaid!N167*12</f>
        <v>11466</v>
      </c>
      <c r="K160" s="185">
        <f t="shared" si="10"/>
        <v>41086.240000000005</v>
      </c>
      <c r="L160" s="185">
        <f t="shared" si="11"/>
        <v>120086.24</v>
      </c>
      <c r="M160" s="36">
        <f t="shared" si="9"/>
        <v>10007.186666666666</v>
      </c>
    </row>
    <row r="161" spans="1:13" x14ac:dyDescent="0.25">
      <c r="A161" s="186">
        <v>79500</v>
      </c>
      <c r="B161" s="33">
        <f t="shared" si="8"/>
        <v>6625</v>
      </c>
      <c r="C161" s="185">
        <f>'Child care subsidy'!S164*12</f>
        <v>28425</v>
      </c>
      <c r="D161" s="185">
        <f>MAX('TANF-VIEW'!L168,'TANF-VIEW'!T168)*12</f>
        <v>0</v>
      </c>
      <c r="E161" s="193">
        <f>SNAP!V165*12</f>
        <v>120</v>
      </c>
      <c r="F161" s="184">
        <f>WIC!F167*12</f>
        <v>882.24</v>
      </c>
      <c r="G161" s="185">
        <f>'Housing Voucher'!Q165*12</f>
        <v>0</v>
      </c>
      <c r="H161" s="197">
        <f>EITC!E164</f>
        <v>0</v>
      </c>
      <c r="I161" s="205">
        <f>Medicaid!N168*12</f>
        <v>11466</v>
      </c>
      <c r="K161" s="185">
        <f t="shared" si="10"/>
        <v>40893.240000000005</v>
      </c>
      <c r="L161" s="185">
        <f t="shared" si="11"/>
        <v>120393.24</v>
      </c>
      <c r="M161" s="36">
        <f t="shared" si="9"/>
        <v>10032.77</v>
      </c>
    </row>
    <row r="162" spans="1:13" x14ac:dyDescent="0.25">
      <c r="A162" s="186">
        <v>80000</v>
      </c>
      <c r="B162" s="33">
        <f t="shared" si="8"/>
        <v>6666.666666666667</v>
      </c>
      <c r="C162" s="185">
        <f>'Child care subsidy'!S165*12</f>
        <v>28400</v>
      </c>
      <c r="D162" s="185">
        <f>MAX('TANF-VIEW'!L169,'TANF-VIEW'!T169)*12</f>
        <v>0</v>
      </c>
      <c r="E162" s="193">
        <f>SNAP!V166*12</f>
        <v>0</v>
      </c>
      <c r="F162" s="184">
        <f>WIC!F168*12</f>
        <v>882.24</v>
      </c>
      <c r="G162" s="185">
        <f>'Housing Voucher'!Q166*12</f>
        <v>0</v>
      </c>
      <c r="H162" s="197">
        <f>EITC!E165</f>
        <v>0</v>
      </c>
      <c r="I162" s="205">
        <f>Medicaid!N169*12</f>
        <v>11466</v>
      </c>
      <c r="K162" s="185">
        <f t="shared" si="10"/>
        <v>40748.240000000005</v>
      </c>
      <c r="L162" s="185">
        <f t="shared" si="11"/>
        <v>120748.24</v>
      </c>
      <c r="M162" s="36">
        <f t="shared" si="9"/>
        <v>10062.353333333334</v>
      </c>
    </row>
    <row r="163" spans="1:13" x14ac:dyDescent="0.25">
      <c r="A163" s="186">
        <v>80500</v>
      </c>
      <c r="B163" s="33">
        <f t="shared" si="8"/>
        <v>6708.333333333333</v>
      </c>
      <c r="C163" s="185">
        <f>'Child care subsidy'!S166*12</f>
        <v>28375</v>
      </c>
      <c r="D163" s="185">
        <f>MAX('TANF-VIEW'!L170,'TANF-VIEW'!T170)*12</f>
        <v>0</v>
      </c>
      <c r="E163" s="193">
        <f>SNAP!V167*12</f>
        <v>0</v>
      </c>
      <c r="F163" s="184">
        <f>WIC!F169*12</f>
        <v>882.24</v>
      </c>
      <c r="G163" s="185">
        <f>'Housing Voucher'!Q167*12</f>
        <v>0</v>
      </c>
      <c r="H163" s="197">
        <f>EITC!E166</f>
        <v>0</v>
      </c>
      <c r="I163" s="205">
        <f>Medicaid!N170*12</f>
        <v>11466</v>
      </c>
      <c r="K163" s="185">
        <f t="shared" si="10"/>
        <v>40723.240000000005</v>
      </c>
      <c r="L163" s="185">
        <f t="shared" si="11"/>
        <v>121223.24</v>
      </c>
      <c r="M163" s="36">
        <f t="shared" si="9"/>
        <v>10101.936666666666</v>
      </c>
    </row>
    <row r="164" spans="1:13" x14ac:dyDescent="0.25">
      <c r="A164" s="186">
        <v>81000</v>
      </c>
      <c r="B164" s="33">
        <f t="shared" si="8"/>
        <v>6750</v>
      </c>
      <c r="C164" s="185">
        <f>'Child care subsidy'!S167*12</f>
        <v>28350</v>
      </c>
      <c r="D164" s="185">
        <f>MAX('TANF-VIEW'!L171,'TANF-VIEW'!T171)*12</f>
        <v>0</v>
      </c>
      <c r="E164" s="193">
        <f>SNAP!V168*12</f>
        <v>0</v>
      </c>
      <c r="F164" s="184">
        <f>WIC!F170*12</f>
        <v>882.24</v>
      </c>
      <c r="G164" s="185">
        <f>'Housing Voucher'!Q168*12</f>
        <v>0</v>
      </c>
      <c r="H164" s="197">
        <f>EITC!E167</f>
        <v>0</v>
      </c>
      <c r="I164" s="205">
        <f>Medicaid!N171*12</f>
        <v>11466</v>
      </c>
      <c r="K164" s="185">
        <f t="shared" si="10"/>
        <v>40698.240000000005</v>
      </c>
      <c r="L164" s="185">
        <f t="shared" si="11"/>
        <v>121698.24000000001</v>
      </c>
      <c r="M164" s="36">
        <f t="shared" si="9"/>
        <v>10141.52</v>
      </c>
    </row>
    <row r="165" spans="1:13" x14ac:dyDescent="0.25">
      <c r="A165" s="186">
        <v>81500</v>
      </c>
      <c r="B165" s="33">
        <f t="shared" si="8"/>
        <v>6791.666666666667</v>
      </c>
      <c r="C165" s="185">
        <f>'Child care subsidy'!S168*12</f>
        <v>28325</v>
      </c>
      <c r="D165" s="185">
        <f>MAX('TANF-VIEW'!L172,'TANF-VIEW'!T172)*12</f>
        <v>0</v>
      </c>
      <c r="E165" s="193">
        <f>SNAP!V169*12</f>
        <v>0</v>
      </c>
      <c r="F165" s="184">
        <f>WIC!F171*12</f>
        <v>882.24</v>
      </c>
      <c r="G165" s="185">
        <f>'Housing Voucher'!Q169*12</f>
        <v>0</v>
      </c>
      <c r="H165" s="197">
        <f>EITC!E168</f>
        <v>0</v>
      </c>
      <c r="I165" s="205">
        <f>Medicaid!N172*12</f>
        <v>11466</v>
      </c>
      <c r="K165" s="185">
        <f t="shared" si="10"/>
        <v>40673.240000000005</v>
      </c>
      <c r="L165" s="185">
        <f t="shared" si="11"/>
        <v>122173.24</v>
      </c>
      <c r="M165" s="36">
        <f t="shared" si="9"/>
        <v>10181.103333333334</v>
      </c>
    </row>
    <row r="166" spans="1:13" x14ac:dyDescent="0.25">
      <c r="A166" s="186">
        <v>82000</v>
      </c>
      <c r="B166" s="33">
        <f t="shared" si="8"/>
        <v>6833.333333333333</v>
      </c>
      <c r="C166" s="185">
        <f>'Child care subsidy'!S169*12</f>
        <v>28300</v>
      </c>
      <c r="D166" s="185">
        <f>MAX('TANF-VIEW'!L173,'TANF-VIEW'!T173)*12</f>
        <v>0</v>
      </c>
      <c r="E166" s="193">
        <f>SNAP!V170*12</f>
        <v>0</v>
      </c>
      <c r="F166" s="184">
        <f>WIC!F172*12</f>
        <v>882.24</v>
      </c>
      <c r="G166" s="185">
        <f>'Housing Voucher'!Q170*12</f>
        <v>0</v>
      </c>
      <c r="H166" s="197">
        <f>EITC!E169</f>
        <v>0</v>
      </c>
      <c r="I166" s="205">
        <f>Medicaid!N173*12</f>
        <v>11466</v>
      </c>
      <c r="K166" s="185">
        <f t="shared" si="10"/>
        <v>40648.240000000005</v>
      </c>
      <c r="L166" s="185">
        <f t="shared" si="11"/>
        <v>122648.24</v>
      </c>
      <c r="M166" s="36">
        <f t="shared" si="9"/>
        <v>10220.686666666666</v>
      </c>
    </row>
    <row r="167" spans="1:13" x14ac:dyDescent="0.25">
      <c r="A167" s="186">
        <v>82500</v>
      </c>
      <c r="B167" s="33">
        <f t="shared" si="8"/>
        <v>6875</v>
      </c>
      <c r="C167" s="185">
        <f>'Child care subsidy'!S170*12</f>
        <v>28275</v>
      </c>
      <c r="D167" s="185">
        <f>MAX('TANF-VIEW'!L174,'TANF-VIEW'!T174)*12</f>
        <v>0</v>
      </c>
      <c r="E167" s="193">
        <f>SNAP!V171*12</f>
        <v>0</v>
      </c>
      <c r="F167" s="184">
        <f>WIC!F173*12</f>
        <v>882.24</v>
      </c>
      <c r="G167" s="185">
        <f>'Housing Voucher'!Q171*12</f>
        <v>0</v>
      </c>
      <c r="H167" s="197">
        <f>EITC!E170</f>
        <v>0</v>
      </c>
      <c r="I167" s="205">
        <f>Medicaid!N174*12</f>
        <v>11466</v>
      </c>
      <c r="K167" s="185">
        <f t="shared" si="10"/>
        <v>40623.240000000005</v>
      </c>
      <c r="L167" s="185">
        <f t="shared" si="11"/>
        <v>123123.24</v>
      </c>
      <c r="M167" s="36">
        <f t="shared" si="9"/>
        <v>10260.27</v>
      </c>
    </row>
    <row r="168" spans="1:13" x14ac:dyDescent="0.25">
      <c r="A168" s="186">
        <v>83000</v>
      </c>
      <c r="B168" s="33">
        <f t="shared" ref="B168:B202" si="12">A168/12</f>
        <v>6916.666666666667</v>
      </c>
      <c r="C168" s="185">
        <f>'Child care subsidy'!S171*12</f>
        <v>28250</v>
      </c>
      <c r="D168" s="185">
        <f>MAX('TANF-VIEW'!L175,'TANF-VIEW'!T175)*12</f>
        <v>0</v>
      </c>
      <c r="E168" s="193">
        <f>SNAP!V172*12</f>
        <v>0</v>
      </c>
      <c r="F168" s="184">
        <f>WIC!F174*12</f>
        <v>882.24</v>
      </c>
      <c r="G168" s="185">
        <f>'Housing Voucher'!Q172*12</f>
        <v>0</v>
      </c>
      <c r="H168" s="197">
        <f>EITC!E171</f>
        <v>0</v>
      </c>
      <c r="I168" s="205">
        <f>Medicaid!N175*12</f>
        <v>11466</v>
      </c>
      <c r="K168" s="185">
        <f t="shared" si="10"/>
        <v>40598.240000000005</v>
      </c>
      <c r="L168" s="185">
        <f t="shared" si="11"/>
        <v>123598.24</v>
      </c>
      <c r="M168" s="36">
        <f t="shared" si="9"/>
        <v>10299.853333333334</v>
      </c>
    </row>
    <row r="169" spans="1:13" x14ac:dyDescent="0.25">
      <c r="A169" s="186">
        <v>83500</v>
      </c>
      <c r="B169" s="33">
        <f t="shared" si="12"/>
        <v>6958.333333333333</v>
      </c>
      <c r="C169" s="185">
        <f>'Child care subsidy'!S172*12</f>
        <v>28225</v>
      </c>
      <c r="D169" s="185">
        <f>MAX('TANF-VIEW'!L176,'TANF-VIEW'!T176)*12</f>
        <v>0</v>
      </c>
      <c r="E169" s="193">
        <f>SNAP!V173*12</f>
        <v>0</v>
      </c>
      <c r="F169" s="184">
        <f>WIC!F175*12</f>
        <v>882.24</v>
      </c>
      <c r="G169" s="185">
        <f>'Housing Voucher'!Q173*12</f>
        <v>0</v>
      </c>
      <c r="H169" s="197">
        <f>EITC!E172</f>
        <v>0</v>
      </c>
      <c r="I169" s="205">
        <f>Medicaid!N176*12</f>
        <v>11466</v>
      </c>
      <c r="K169" s="185">
        <f t="shared" si="10"/>
        <v>40573.240000000005</v>
      </c>
      <c r="L169" s="185">
        <f t="shared" si="11"/>
        <v>124073.24</v>
      </c>
      <c r="M169" s="36">
        <f t="shared" si="9"/>
        <v>10339.436666666666</v>
      </c>
    </row>
    <row r="170" spans="1:13" x14ac:dyDescent="0.25">
      <c r="A170" s="186">
        <v>84000</v>
      </c>
      <c r="B170" s="33">
        <f t="shared" si="12"/>
        <v>7000</v>
      </c>
      <c r="C170" s="185">
        <f>'Child care subsidy'!S173*12</f>
        <v>28200</v>
      </c>
      <c r="D170" s="185">
        <f>MAX('TANF-VIEW'!L177,'TANF-VIEW'!T177)*12</f>
        <v>0</v>
      </c>
      <c r="E170" s="193">
        <f>SNAP!V174*12</f>
        <v>0</v>
      </c>
      <c r="F170" s="184">
        <f>WIC!F176*12</f>
        <v>882.24</v>
      </c>
      <c r="G170" s="185">
        <f>'Housing Voucher'!Q174*12</f>
        <v>0</v>
      </c>
      <c r="H170" s="197">
        <f>EITC!E173</f>
        <v>0</v>
      </c>
      <c r="I170" s="205">
        <f>Medicaid!N177*12</f>
        <v>11466</v>
      </c>
      <c r="K170" s="185">
        <f t="shared" si="10"/>
        <v>40548.240000000005</v>
      </c>
      <c r="L170" s="185">
        <f t="shared" si="11"/>
        <v>124548.24</v>
      </c>
      <c r="M170" s="36">
        <f t="shared" si="9"/>
        <v>10379.02</v>
      </c>
    </row>
    <row r="171" spans="1:13" x14ac:dyDescent="0.25">
      <c r="A171" s="186">
        <v>84500</v>
      </c>
      <c r="B171" s="33">
        <f t="shared" si="12"/>
        <v>7041.666666666667</v>
      </c>
      <c r="C171" s="185">
        <f>'Child care subsidy'!S174*12</f>
        <v>28175</v>
      </c>
      <c r="D171" s="185">
        <f>MAX('TANF-VIEW'!L178,'TANF-VIEW'!T178)*12</f>
        <v>0</v>
      </c>
      <c r="E171" s="193">
        <f>SNAP!V175*12</f>
        <v>0</v>
      </c>
      <c r="F171" s="184">
        <f>WIC!F177*12</f>
        <v>882.24</v>
      </c>
      <c r="G171" s="185">
        <f>'Housing Voucher'!Q175*12</f>
        <v>0</v>
      </c>
      <c r="H171" s="197">
        <f>EITC!E174</f>
        <v>0</v>
      </c>
      <c r="I171" s="205">
        <f>Medicaid!N178*12</f>
        <v>11466</v>
      </c>
      <c r="K171" s="185">
        <f t="shared" si="10"/>
        <v>40523.240000000005</v>
      </c>
      <c r="L171" s="185">
        <f t="shared" si="11"/>
        <v>125023.24</v>
      </c>
      <c r="M171" s="36">
        <f t="shared" si="9"/>
        <v>10418.603333333334</v>
      </c>
    </row>
    <row r="172" spans="1:13" x14ac:dyDescent="0.25">
      <c r="A172" s="186">
        <v>85000</v>
      </c>
      <c r="B172" s="33">
        <f t="shared" si="12"/>
        <v>7083.333333333333</v>
      </c>
      <c r="C172" s="185">
        <f>'Child care subsidy'!S175*12</f>
        <v>28150</v>
      </c>
      <c r="D172" s="185">
        <f>MAX('TANF-VIEW'!L179,'TANF-VIEW'!T179)*12</f>
        <v>0</v>
      </c>
      <c r="E172" s="193">
        <f>SNAP!V176*12</f>
        <v>0</v>
      </c>
      <c r="F172" s="184">
        <f>WIC!F178*12</f>
        <v>882.24</v>
      </c>
      <c r="G172" s="185">
        <f>'Housing Voucher'!Q176*12</f>
        <v>0</v>
      </c>
      <c r="H172" s="197">
        <f>EITC!E175</f>
        <v>0</v>
      </c>
      <c r="I172" s="205">
        <f>Medicaid!N179*12</f>
        <v>11466</v>
      </c>
      <c r="K172" s="185">
        <f t="shared" si="10"/>
        <v>40498.240000000005</v>
      </c>
      <c r="L172" s="185">
        <f t="shared" si="11"/>
        <v>125498.24000000001</v>
      </c>
      <c r="M172" s="36">
        <f t="shared" si="9"/>
        <v>10458.186666666666</v>
      </c>
    </row>
    <row r="173" spans="1:13" x14ac:dyDescent="0.25">
      <c r="A173" s="186">
        <v>85500</v>
      </c>
      <c r="B173" s="33">
        <f t="shared" si="12"/>
        <v>7125</v>
      </c>
      <c r="C173" s="185">
        <f>'Child care subsidy'!S176*12</f>
        <v>28125</v>
      </c>
      <c r="D173" s="185">
        <f>MAX('TANF-VIEW'!L180,'TANF-VIEW'!T180)*12</f>
        <v>0</v>
      </c>
      <c r="E173" s="193">
        <f>SNAP!V177*12</f>
        <v>0</v>
      </c>
      <c r="F173" s="184">
        <f>WIC!F179*12</f>
        <v>882.24</v>
      </c>
      <c r="G173" s="185">
        <f>'Housing Voucher'!Q177*12</f>
        <v>0</v>
      </c>
      <c r="H173" s="197">
        <f>EITC!E176</f>
        <v>0</v>
      </c>
      <c r="I173" s="205">
        <f>Medicaid!N180*12</f>
        <v>11466</v>
      </c>
      <c r="K173" s="185">
        <f t="shared" si="10"/>
        <v>40473.240000000005</v>
      </c>
      <c r="L173" s="185">
        <f t="shared" si="11"/>
        <v>125973.24</v>
      </c>
      <c r="M173" s="36">
        <f t="shared" si="9"/>
        <v>10497.77</v>
      </c>
    </row>
    <row r="174" spans="1:13" x14ac:dyDescent="0.25">
      <c r="A174" s="186">
        <v>86000</v>
      </c>
      <c r="B174" s="33">
        <f t="shared" si="12"/>
        <v>7166.666666666667</v>
      </c>
      <c r="C174" s="185">
        <f>'Child care subsidy'!S177*12</f>
        <v>28100</v>
      </c>
      <c r="D174" s="185">
        <f>MAX('TANF-VIEW'!L181,'TANF-VIEW'!T181)*12</f>
        <v>0</v>
      </c>
      <c r="E174" s="193">
        <f>SNAP!V178*12</f>
        <v>0</v>
      </c>
      <c r="F174" s="184">
        <f>WIC!F180*12</f>
        <v>882.24</v>
      </c>
      <c r="G174" s="185">
        <f>'Housing Voucher'!Q178*12</f>
        <v>0</v>
      </c>
      <c r="H174" s="197">
        <f>EITC!E177</f>
        <v>0</v>
      </c>
      <c r="I174" s="205">
        <f>Medicaid!N181*12</f>
        <v>11466</v>
      </c>
      <c r="K174" s="185">
        <f t="shared" si="10"/>
        <v>40448.240000000005</v>
      </c>
      <c r="L174" s="185">
        <f t="shared" si="11"/>
        <v>126448.24</v>
      </c>
      <c r="M174" s="36">
        <f t="shared" si="9"/>
        <v>10537.353333333334</v>
      </c>
    </row>
    <row r="175" spans="1:13" x14ac:dyDescent="0.25">
      <c r="A175" s="186">
        <v>86500</v>
      </c>
      <c r="B175" s="33">
        <f t="shared" si="12"/>
        <v>7208.333333333333</v>
      </c>
      <c r="C175" s="185">
        <f>'Child care subsidy'!S178*12</f>
        <v>28075</v>
      </c>
      <c r="D175" s="185">
        <f>MAX('TANF-VIEW'!L182,'TANF-VIEW'!T182)*12</f>
        <v>0</v>
      </c>
      <c r="E175" s="193">
        <f>SNAP!V179*12</f>
        <v>0</v>
      </c>
      <c r="F175" s="184">
        <f>WIC!F181*12</f>
        <v>882.24</v>
      </c>
      <c r="G175" s="185">
        <f>'Housing Voucher'!Q179*12</f>
        <v>0</v>
      </c>
      <c r="H175" s="197">
        <f>EITC!E178</f>
        <v>0</v>
      </c>
      <c r="I175" s="205">
        <f>Medicaid!N182*12</f>
        <v>11466</v>
      </c>
      <c r="K175" s="185">
        <f t="shared" si="10"/>
        <v>40423.240000000005</v>
      </c>
      <c r="L175" s="185">
        <f t="shared" si="11"/>
        <v>126923.24</v>
      </c>
      <c r="M175" s="36">
        <f t="shared" si="9"/>
        <v>10576.936666666666</v>
      </c>
    </row>
    <row r="176" spans="1:13" x14ac:dyDescent="0.25">
      <c r="A176" s="186">
        <v>87000</v>
      </c>
      <c r="B176" s="33">
        <f t="shared" si="12"/>
        <v>7250</v>
      </c>
      <c r="C176" s="185">
        <f>'Child care subsidy'!S179*12</f>
        <v>28050</v>
      </c>
      <c r="D176" s="185">
        <f>MAX('TANF-VIEW'!L183,'TANF-VIEW'!T183)*12</f>
        <v>0</v>
      </c>
      <c r="E176" s="193">
        <f>SNAP!V180*12</f>
        <v>0</v>
      </c>
      <c r="F176" s="184">
        <f>WIC!F182*12</f>
        <v>882.24</v>
      </c>
      <c r="G176" s="185">
        <f>'Housing Voucher'!Q180*12</f>
        <v>0</v>
      </c>
      <c r="H176" s="197">
        <f>EITC!E179</f>
        <v>0</v>
      </c>
      <c r="I176" s="205">
        <f>Medicaid!N183*12</f>
        <v>11466</v>
      </c>
      <c r="K176" s="185">
        <f t="shared" si="10"/>
        <v>40398.240000000005</v>
      </c>
      <c r="L176" s="185">
        <f t="shared" si="11"/>
        <v>127398.24</v>
      </c>
      <c r="M176" s="36">
        <f t="shared" si="9"/>
        <v>10616.52</v>
      </c>
    </row>
    <row r="177" spans="1:13" x14ac:dyDescent="0.25">
      <c r="A177" s="186">
        <v>87500</v>
      </c>
      <c r="B177" s="33">
        <f t="shared" si="12"/>
        <v>7291.666666666667</v>
      </c>
      <c r="C177" s="185">
        <f>'Child care subsidy'!S180*12</f>
        <v>28025</v>
      </c>
      <c r="D177" s="185">
        <f>MAX('TANF-VIEW'!L184,'TANF-VIEW'!T184)*12</f>
        <v>0</v>
      </c>
      <c r="E177" s="193">
        <f>SNAP!V181*12</f>
        <v>0</v>
      </c>
      <c r="F177" s="184">
        <f>WIC!F183*12</f>
        <v>882.24</v>
      </c>
      <c r="G177" s="185">
        <f>'Housing Voucher'!Q181*12</f>
        <v>0</v>
      </c>
      <c r="H177" s="197">
        <f>EITC!E180</f>
        <v>0</v>
      </c>
      <c r="I177" s="205">
        <f>Medicaid!N184*12</f>
        <v>11466</v>
      </c>
      <c r="K177" s="185">
        <f t="shared" si="10"/>
        <v>40373.240000000005</v>
      </c>
      <c r="L177" s="185">
        <f t="shared" si="11"/>
        <v>127873.24</v>
      </c>
      <c r="M177" s="36">
        <f t="shared" si="9"/>
        <v>10656.103333333334</v>
      </c>
    </row>
    <row r="178" spans="1:13" x14ac:dyDescent="0.25">
      <c r="A178" s="186">
        <v>88000</v>
      </c>
      <c r="B178" s="33">
        <f t="shared" si="12"/>
        <v>7333.333333333333</v>
      </c>
      <c r="C178" s="185">
        <f>'Child care subsidy'!S181*12</f>
        <v>28000</v>
      </c>
      <c r="D178" s="185">
        <f>MAX('TANF-VIEW'!L185,'TANF-VIEW'!T185)*12</f>
        <v>0</v>
      </c>
      <c r="E178" s="193">
        <f>SNAP!V182*12</f>
        <v>0</v>
      </c>
      <c r="F178" s="184">
        <f>WIC!F184*12</f>
        <v>0</v>
      </c>
      <c r="G178" s="185">
        <f>'Housing Voucher'!Q182*12</f>
        <v>0</v>
      </c>
      <c r="H178" s="197">
        <f>EITC!E181</f>
        <v>0</v>
      </c>
      <c r="I178" s="205">
        <f>Medicaid!N185*12</f>
        <v>11466</v>
      </c>
      <c r="K178" s="185">
        <f t="shared" si="10"/>
        <v>39466</v>
      </c>
      <c r="L178" s="185">
        <f t="shared" si="11"/>
        <v>127466</v>
      </c>
      <c r="M178" s="36">
        <f t="shared" si="9"/>
        <v>10622.166666666666</v>
      </c>
    </row>
    <row r="179" spans="1:13" x14ac:dyDescent="0.25">
      <c r="A179" s="186">
        <v>88500</v>
      </c>
      <c r="B179" s="33">
        <f t="shared" si="12"/>
        <v>7375</v>
      </c>
      <c r="C179" s="185">
        <f>'Child care subsidy'!S182*12</f>
        <v>27975</v>
      </c>
      <c r="D179" s="185">
        <f>MAX('TANF-VIEW'!L186,'TANF-VIEW'!T186)*12</f>
        <v>0</v>
      </c>
      <c r="E179" s="193">
        <f>SNAP!V183*12</f>
        <v>0</v>
      </c>
      <c r="F179" s="184">
        <f>WIC!F185*12</f>
        <v>0</v>
      </c>
      <c r="G179" s="185">
        <f>'Housing Voucher'!Q183*12</f>
        <v>0</v>
      </c>
      <c r="H179" s="197">
        <f>EITC!E182</f>
        <v>0</v>
      </c>
      <c r="I179" s="205">
        <f>Medicaid!N186*12</f>
        <v>11466</v>
      </c>
      <c r="K179" s="185">
        <f t="shared" si="10"/>
        <v>39441</v>
      </c>
      <c r="L179" s="185">
        <f t="shared" si="11"/>
        <v>127941</v>
      </c>
      <c r="M179" s="36">
        <f t="shared" si="9"/>
        <v>10661.75</v>
      </c>
    </row>
    <row r="180" spans="1:13" x14ac:dyDescent="0.25">
      <c r="A180" s="186">
        <v>89000</v>
      </c>
      <c r="B180" s="33">
        <f t="shared" si="12"/>
        <v>7416.666666666667</v>
      </c>
      <c r="C180" s="185">
        <f>'Child care subsidy'!S183*12</f>
        <v>27950</v>
      </c>
      <c r="D180" s="185">
        <f>MAX('TANF-VIEW'!L187,'TANF-VIEW'!T187)*12</f>
        <v>0</v>
      </c>
      <c r="E180" s="193">
        <f>SNAP!V184*12</f>
        <v>0</v>
      </c>
      <c r="F180" s="184">
        <f>WIC!F186*12</f>
        <v>0</v>
      </c>
      <c r="G180" s="185">
        <f>'Housing Voucher'!Q184*12</f>
        <v>0</v>
      </c>
      <c r="H180" s="197">
        <f>EITC!E183</f>
        <v>0</v>
      </c>
      <c r="I180" s="205">
        <f>Medicaid!N187*12</f>
        <v>11466</v>
      </c>
      <c r="K180" s="185">
        <f t="shared" si="10"/>
        <v>39416</v>
      </c>
      <c r="L180" s="185">
        <f t="shared" si="11"/>
        <v>128416</v>
      </c>
      <c r="M180" s="36">
        <f t="shared" si="9"/>
        <v>10701.333333333334</v>
      </c>
    </row>
    <row r="181" spans="1:13" x14ac:dyDescent="0.25">
      <c r="A181" s="186">
        <v>89500</v>
      </c>
      <c r="B181" s="33">
        <f t="shared" si="12"/>
        <v>7458.333333333333</v>
      </c>
      <c r="C181" s="185">
        <f>'Child care subsidy'!S184*12</f>
        <v>27925</v>
      </c>
      <c r="D181" s="185">
        <f>MAX('TANF-VIEW'!L188,'TANF-VIEW'!T188)*12</f>
        <v>0</v>
      </c>
      <c r="E181" s="193">
        <f>SNAP!V185*12</f>
        <v>0</v>
      </c>
      <c r="F181" s="184">
        <f>WIC!F187*12</f>
        <v>0</v>
      </c>
      <c r="G181" s="185">
        <f>'Housing Voucher'!Q185*12</f>
        <v>0</v>
      </c>
      <c r="H181" s="197">
        <f>EITC!E184</f>
        <v>0</v>
      </c>
      <c r="I181" s="205">
        <f>Medicaid!N188*12</f>
        <v>11466</v>
      </c>
      <c r="K181" s="185">
        <f t="shared" si="10"/>
        <v>39391</v>
      </c>
      <c r="L181" s="185">
        <f t="shared" si="11"/>
        <v>128891</v>
      </c>
      <c r="M181" s="36">
        <f t="shared" si="9"/>
        <v>10740.916666666666</v>
      </c>
    </row>
    <row r="182" spans="1:13" x14ac:dyDescent="0.25">
      <c r="A182" s="186">
        <v>90000</v>
      </c>
      <c r="B182" s="33">
        <f t="shared" si="12"/>
        <v>7500</v>
      </c>
      <c r="C182" s="185">
        <f>'Child care subsidy'!S185*12</f>
        <v>27900</v>
      </c>
      <c r="D182" s="185">
        <f>MAX('TANF-VIEW'!L189,'TANF-VIEW'!T189)*12</f>
        <v>0</v>
      </c>
      <c r="E182" s="193">
        <f>SNAP!V186*12</f>
        <v>0</v>
      </c>
      <c r="F182" s="184">
        <f>WIC!F188*12</f>
        <v>0</v>
      </c>
      <c r="G182" s="185">
        <f>'Housing Voucher'!Q186*12</f>
        <v>0</v>
      </c>
      <c r="H182" s="197">
        <f>EITC!E185</f>
        <v>0</v>
      </c>
      <c r="I182" s="205">
        <f>Medicaid!N189*12</f>
        <v>11466</v>
      </c>
      <c r="K182" s="185">
        <f t="shared" si="10"/>
        <v>39366</v>
      </c>
      <c r="L182" s="185">
        <f t="shared" si="11"/>
        <v>129366</v>
      </c>
      <c r="M182" s="36">
        <f t="shared" si="9"/>
        <v>10780.5</v>
      </c>
    </row>
    <row r="183" spans="1:13" x14ac:dyDescent="0.25">
      <c r="A183" s="186">
        <v>90500</v>
      </c>
      <c r="B183" s="33">
        <f t="shared" si="12"/>
        <v>7541.666666666667</v>
      </c>
      <c r="C183" s="185">
        <f>'Child care subsidy'!S186*12</f>
        <v>27875</v>
      </c>
      <c r="D183" s="185">
        <f>MAX('TANF-VIEW'!L190,'TANF-VIEW'!T190)*12</f>
        <v>0</v>
      </c>
      <c r="E183" s="193">
        <f>SNAP!V187*12</f>
        <v>0</v>
      </c>
      <c r="F183" s="184">
        <f>WIC!F189*12</f>
        <v>0</v>
      </c>
      <c r="G183" s="185">
        <f>'Housing Voucher'!Q187*12</f>
        <v>0</v>
      </c>
      <c r="H183" s="197">
        <f>EITC!E186</f>
        <v>0</v>
      </c>
      <c r="I183" s="205">
        <f>Medicaid!N190*12</f>
        <v>11466</v>
      </c>
      <c r="K183" s="185">
        <f t="shared" si="10"/>
        <v>39341</v>
      </c>
      <c r="L183" s="185">
        <f t="shared" si="11"/>
        <v>129841</v>
      </c>
      <c r="M183" s="36">
        <f t="shared" si="9"/>
        <v>10820.083333333334</v>
      </c>
    </row>
    <row r="184" spans="1:13" x14ac:dyDescent="0.25">
      <c r="A184" s="186">
        <v>91000</v>
      </c>
      <c r="B184" s="33">
        <f t="shared" si="12"/>
        <v>7583.333333333333</v>
      </c>
      <c r="C184" s="185">
        <f>'Child care subsidy'!S187*12</f>
        <v>27850</v>
      </c>
      <c r="D184" s="185">
        <f>MAX('TANF-VIEW'!L191,'TANF-VIEW'!T191)*12</f>
        <v>0</v>
      </c>
      <c r="E184" s="193">
        <f>SNAP!V188*12</f>
        <v>0</v>
      </c>
      <c r="F184" s="184">
        <f>WIC!F190*12</f>
        <v>0</v>
      </c>
      <c r="G184" s="185">
        <f>'Housing Voucher'!Q188*12</f>
        <v>0</v>
      </c>
      <c r="H184" s="197">
        <f>EITC!E187</f>
        <v>0</v>
      </c>
      <c r="I184" s="205">
        <f>Medicaid!N191*12</f>
        <v>11466</v>
      </c>
      <c r="K184" s="185">
        <f t="shared" si="10"/>
        <v>39316</v>
      </c>
      <c r="L184" s="185">
        <f t="shared" si="11"/>
        <v>130316</v>
      </c>
      <c r="M184" s="36">
        <f t="shared" si="9"/>
        <v>10859.666666666666</v>
      </c>
    </row>
    <row r="185" spans="1:13" x14ac:dyDescent="0.25">
      <c r="A185" s="186">
        <v>91500</v>
      </c>
      <c r="B185" s="33">
        <f t="shared" si="12"/>
        <v>7625</v>
      </c>
      <c r="C185" s="185">
        <f>'Child care subsidy'!S188*12</f>
        <v>27825</v>
      </c>
      <c r="D185" s="185">
        <f>MAX('TANF-VIEW'!L192,'TANF-VIEW'!T192)*12</f>
        <v>0</v>
      </c>
      <c r="E185" s="193">
        <f>SNAP!V189*12</f>
        <v>0</v>
      </c>
      <c r="F185" s="184">
        <f>WIC!F191*12</f>
        <v>0</v>
      </c>
      <c r="G185" s="185">
        <f>'Housing Voucher'!Q189*12</f>
        <v>0</v>
      </c>
      <c r="H185" s="197">
        <f>EITC!E188</f>
        <v>0</v>
      </c>
      <c r="I185" s="205">
        <f>Medicaid!N192*12</f>
        <v>11466</v>
      </c>
      <c r="K185" s="185">
        <f t="shared" si="10"/>
        <v>39291</v>
      </c>
      <c r="L185" s="185">
        <f t="shared" si="11"/>
        <v>130791</v>
      </c>
      <c r="M185" s="36">
        <f t="shared" si="9"/>
        <v>10899.25</v>
      </c>
    </row>
    <row r="186" spans="1:13" x14ac:dyDescent="0.25">
      <c r="A186" s="186">
        <v>92000</v>
      </c>
      <c r="B186" s="33">
        <f t="shared" si="12"/>
        <v>7666.666666666667</v>
      </c>
      <c r="C186" s="185">
        <f>'Child care subsidy'!S189*12</f>
        <v>27800</v>
      </c>
      <c r="D186" s="185">
        <f>MAX('TANF-VIEW'!L193,'TANF-VIEW'!T193)*12</f>
        <v>0</v>
      </c>
      <c r="E186" s="193">
        <f>SNAP!V190*12</f>
        <v>0</v>
      </c>
      <c r="F186" s="184">
        <f>WIC!F192*12</f>
        <v>0</v>
      </c>
      <c r="G186" s="185">
        <f>'Housing Voucher'!Q190*12</f>
        <v>0</v>
      </c>
      <c r="H186" s="197">
        <f>EITC!E189</f>
        <v>0</v>
      </c>
      <c r="I186" s="205">
        <f>Medicaid!N193*12</f>
        <v>11466</v>
      </c>
      <c r="K186" s="185">
        <f t="shared" si="10"/>
        <v>39266</v>
      </c>
      <c r="L186" s="185">
        <f t="shared" si="11"/>
        <v>131266</v>
      </c>
      <c r="M186" s="36">
        <f t="shared" si="9"/>
        <v>10938.833333333334</v>
      </c>
    </row>
    <row r="187" spans="1:13" x14ac:dyDescent="0.25">
      <c r="A187" s="186">
        <v>92500</v>
      </c>
      <c r="B187" s="33">
        <f t="shared" si="12"/>
        <v>7708.333333333333</v>
      </c>
      <c r="C187" s="185">
        <f>'Child care subsidy'!S190*12</f>
        <v>27775</v>
      </c>
      <c r="D187" s="185">
        <f>MAX('TANF-VIEW'!L194,'TANF-VIEW'!T194)*12</f>
        <v>0</v>
      </c>
      <c r="E187" s="193">
        <f>SNAP!V191*12</f>
        <v>0</v>
      </c>
      <c r="F187" s="184">
        <f>WIC!F193*12</f>
        <v>0</v>
      </c>
      <c r="G187" s="185">
        <f>'Housing Voucher'!Q191*12</f>
        <v>0</v>
      </c>
      <c r="H187" s="197">
        <f>EITC!E190</f>
        <v>0</v>
      </c>
      <c r="I187" s="205">
        <f>Medicaid!N194*12</f>
        <v>11466</v>
      </c>
      <c r="K187" s="185">
        <f t="shared" si="10"/>
        <v>39241</v>
      </c>
      <c r="L187" s="185">
        <f t="shared" si="11"/>
        <v>131741</v>
      </c>
      <c r="M187" s="36">
        <f t="shared" si="9"/>
        <v>10978.416666666666</v>
      </c>
    </row>
    <row r="188" spans="1:13" x14ac:dyDescent="0.25">
      <c r="A188" s="186">
        <v>93000</v>
      </c>
      <c r="B188" s="33">
        <f t="shared" si="12"/>
        <v>7750</v>
      </c>
      <c r="C188" s="185">
        <f>'Child care subsidy'!S191*12</f>
        <v>27750</v>
      </c>
      <c r="D188" s="185">
        <f>MAX('TANF-VIEW'!L195,'TANF-VIEW'!T195)*12</f>
        <v>0</v>
      </c>
      <c r="E188" s="193">
        <f>SNAP!V192*12</f>
        <v>0</v>
      </c>
      <c r="F188" s="184">
        <f>WIC!F194*12</f>
        <v>0</v>
      </c>
      <c r="G188" s="185">
        <f>'Housing Voucher'!Q192*12</f>
        <v>0</v>
      </c>
      <c r="H188" s="197">
        <f>EITC!E191</f>
        <v>0</v>
      </c>
      <c r="I188" s="205">
        <f>Medicaid!N195*12</f>
        <v>11466</v>
      </c>
      <c r="K188" s="185">
        <f t="shared" si="10"/>
        <v>39216</v>
      </c>
      <c r="L188" s="185">
        <f t="shared" si="11"/>
        <v>132216</v>
      </c>
      <c r="M188" s="36">
        <f t="shared" si="9"/>
        <v>11018</v>
      </c>
    </row>
    <row r="189" spans="1:13" x14ac:dyDescent="0.25">
      <c r="A189" s="186">
        <v>93500</v>
      </c>
      <c r="B189" s="33">
        <f t="shared" si="12"/>
        <v>7791.666666666667</v>
      </c>
      <c r="C189" s="185">
        <f>'Child care subsidy'!S192*12</f>
        <v>27725</v>
      </c>
      <c r="D189" s="185">
        <f>MAX('TANF-VIEW'!L196,'TANF-VIEW'!T196)*12</f>
        <v>0</v>
      </c>
      <c r="E189" s="193">
        <f>SNAP!V193*12</f>
        <v>0</v>
      </c>
      <c r="F189" s="184">
        <f>WIC!F195*12</f>
        <v>0</v>
      </c>
      <c r="G189" s="185">
        <f>'Housing Voucher'!Q193*12</f>
        <v>0</v>
      </c>
      <c r="H189" s="197">
        <f>EITC!E192</f>
        <v>0</v>
      </c>
      <c r="I189" s="205">
        <f>Medicaid!N196*12</f>
        <v>11466</v>
      </c>
      <c r="K189" s="185">
        <f t="shared" si="10"/>
        <v>39191</v>
      </c>
      <c r="L189" s="185">
        <f t="shared" si="11"/>
        <v>132691</v>
      </c>
      <c r="M189" s="36">
        <f t="shared" si="9"/>
        <v>11057.583333333334</v>
      </c>
    </row>
    <row r="190" spans="1:13" x14ac:dyDescent="0.25">
      <c r="A190" s="186">
        <v>94000</v>
      </c>
      <c r="B190" s="33">
        <f t="shared" si="12"/>
        <v>7833.333333333333</v>
      </c>
      <c r="C190" s="185">
        <f>'Child care subsidy'!S193*12</f>
        <v>27700</v>
      </c>
      <c r="D190" s="185">
        <f>MAX('TANF-VIEW'!L197,'TANF-VIEW'!T197)*12</f>
        <v>0</v>
      </c>
      <c r="E190" s="193">
        <f>SNAP!V194*12</f>
        <v>0</v>
      </c>
      <c r="F190" s="184">
        <f>WIC!F196*12</f>
        <v>0</v>
      </c>
      <c r="G190" s="185">
        <f>'Housing Voucher'!Q194*12</f>
        <v>0</v>
      </c>
      <c r="H190" s="197">
        <f>EITC!E193</f>
        <v>0</v>
      </c>
      <c r="I190" s="205">
        <f>Medicaid!N197*12</f>
        <v>11466</v>
      </c>
      <c r="K190" s="185">
        <f t="shared" si="10"/>
        <v>39166</v>
      </c>
      <c r="L190" s="185">
        <f t="shared" si="11"/>
        <v>133166</v>
      </c>
      <c r="M190" s="36">
        <f t="shared" si="9"/>
        <v>11097.166666666666</v>
      </c>
    </row>
    <row r="191" spans="1:13" x14ac:dyDescent="0.25">
      <c r="A191" s="186">
        <v>94500</v>
      </c>
      <c r="B191" s="33">
        <f t="shared" si="12"/>
        <v>7875</v>
      </c>
      <c r="C191" s="185">
        <f>'Child care subsidy'!S194*12</f>
        <v>27675</v>
      </c>
      <c r="D191" s="185">
        <f>MAX('TANF-VIEW'!L198,'TANF-VIEW'!T198)*12</f>
        <v>0</v>
      </c>
      <c r="E191" s="193">
        <f>SNAP!V195*12</f>
        <v>0</v>
      </c>
      <c r="F191" s="184">
        <f>WIC!F197*12</f>
        <v>0</v>
      </c>
      <c r="G191" s="185">
        <f>'Housing Voucher'!Q195*12</f>
        <v>0</v>
      </c>
      <c r="H191" s="197">
        <f>EITC!E194</f>
        <v>0</v>
      </c>
      <c r="I191" s="205">
        <f>Medicaid!N198*12</f>
        <v>11466</v>
      </c>
      <c r="K191" s="185">
        <f t="shared" si="10"/>
        <v>39141</v>
      </c>
      <c r="L191" s="185">
        <f t="shared" si="11"/>
        <v>133641</v>
      </c>
      <c r="M191" s="36">
        <f t="shared" si="9"/>
        <v>11136.75</v>
      </c>
    </row>
    <row r="192" spans="1:13" x14ac:dyDescent="0.25">
      <c r="A192" s="186">
        <v>95000</v>
      </c>
      <c r="B192" s="33">
        <f t="shared" si="12"/>
        <v>7916.666666666667</v>
      </c>
      <c r="C192" s="185">
        <f>'Child care subsidy'!S195*12</f>
        <v>27650</v>
      </c>
      <c r="D192" s="185">
        <f>MAX('TANF-VIEW'!L199,'TANF-VIEW'!T199)*12</f>
        <v>0</v>
      </c>
      <c r="E192" s="193">
        <f>SNAP!V196*12</f>
        <v>0</v>
      </c>
      <c r="F192" s="184">
        <f>WIC!F198*12</f>
        <v>0</v>
      </c>
      <c r="G192" s="185">
        <f>'Housing Voucher'!Q196*12</f>
        <v>0</v>
      </c>
      <c r="H192" s="197">
        <f>EITC!E195</f>
        <v>0</v>
      </c>
      <c r="I192" s="205">
        <f>Medicaid!N199*12</f>
        <v>11466</v>
      </c>
      <c r="K192" s="185">
        <f t="shared" si="10"/>
        <v>39116</v>
      </c>
      <c r="L192" s="185">
        <f t="shared" si="11"/>
        <v>134116</v>
      </c>
      <c r="M192" s="36">
        <f t="shared" si="9"/>
        <v>11176.333333333334</v>
      </c>
    </row>
    <row r="193" spans="1:13" s="214" customFormat="1" x14ac:dyDescent="0.25">
      <c r="A193" s="206">
        <v>95500</v>
      </c>
      <c r="B193" s="207">
        <f t="shared" si="12"/>
        <v>7958.333333333333</v>
      </c>
      <c r="C193" s="208">
        <f>'Child care subsidy'!S196*12</f>
        <v>27625</v>
      </c>
      <c r="D193" s="208">
        <f>MAX('TANF-VIEW'!L200,'TANF-VIEW'!T200)*12</f>
        <v>0</v>
      </c>
      <c r="E193" s="209">
        <f>SNAP!V197*12</f>
        <v>0</v>
      </c>
      <c r="F193" s="210">
        <f>WIC!F199*12</f>
        <v>0</v>
      </c>
      <c r="G193" s="208">
        <f>'Housing Voucher'!Q197*12</f>
        <v>0</v>
      </c>
      <c r="H193" s="211">
        <f>EITC!E196</f>
        <v>0</v>
      </c>
      <c r="I193" s="212">
        <f>Medicaid!N200*12</f>
        <v>11466</v>
      </c>
      <c r="J193" s="213"/>
      <c r="K193" s="208">
        <f t="shared" si="10"/>
        <v>39091</v>
      </c>
      <c r="L193" s="208">
        <f t="shared" si="11"/>
        <v>134591</v>
      </c>
      <c r="M193" s="36">
        <f t="shared" si="9"/>
        <v>11215.916666666666</v>
      </c>
    </row>
    <row r="194" spans="1:13" s="214" customFormat="1" x14ac:dyDescent="0.25">
      <c r="A194" s="206">
        <v>96000</v>
      </c>
      <c r="B194" s="207">
        <f t="shared" si="12"/>
        <v>8000</v>
      </c>
      <c r="C194" s="208">
        <f>'Child care subsidy'!S197*12</f>
        <v>27600</v>
      </c>
      <c r="D194" s="208">
        <f>MAX('TANF-VIEW'!L201,'TANF-VIEW'!T201)*12</f>
        <v>0</v>
      </c>
      <c r="E194" s="209">
        <f>SNAP!V198*12</f>
        <v>0</v>
      </c>
      <c r="F194" s="210">
        <f>WIC!F200*12</f>
        <v>0</v>
      </c>
      <c r="G194" s="208">
        <f>'Housing Voucher'!Q198*12</f>
        <v>0</v>
      </c>
      <c r="H194" s="211">
        <f>EITC!E197</f>
        <v>0</v>
      </c>
      <c r="I194" s="212">
        <f>Medicaid!N201*12</f>
        <v>11466</v>
      </c>
      <c r="J194" s="213"/>
      <c r="K194" s="208">
        <f t="shared" si="10"/>
        <v>39066</v>
      </c>
      <c r="L194" s="208">
        <f t="shared" si="11"/>
        <v>135066</v>
      </c>
      <c r="M194" s="36">
        <f t="shared" si="9"/>
        <v>11255.5</v>
      </c>
    </row>
    <row r="195" spans="1:13" x14ac:dyDescent="0.25">
      <c r="A195" s="186">
        <v>96500</v>
      </c>
      <c r="B195" s="33">
        <f t="shared" si="12"/>
        <v>8041.666666666667</v>
      </c>
      <c r="C195" s="185">
        <f>'Child care subsidy'!S198*12</f>
        <v>27575</v>
      </c>
      <c r="D195" s="185">
        <f>MAX('TANF-VIEW'!L202,'TANF-VIEW'!T202)*12</f>
        <v>0</v>
      </c>
      <c r="E195" s="193">
        <f>SNAP!V199*12</f>
        <v>0</v>
      </c>
      <c r="F195" s="184">
        <f>WIC!F201*12</f>
        <v>0</v>
      </c>
      <c r="G195" s="185">
        <f>'Housing Voucher'!Q199*12</f>
        <v>0</v>
      </c>
      <c r="H195" s="197">
        <f>EITC!E198</f>
        <v>0</v>
      </c>
      <c r="I195" s="205">
        <f>Medicaid!N202*12</f>
        <v>11466</v>
      </c>
      <c r="K195" s="185">
        <f t="shared" si="10"/>
        <v>39041</v>
      </c>
      <c r="L195" s="185">
        <f t="shared" si="11"/>
        <v>135541</v>
      </c>
      <c r="M195" s="36">
        <f t="shared" ref="M195:M202" si="13">L195/12</f>
        <v>11295.083333333334</v>
      </c>
    </row>
    <row r="196" spans="1:13" x14ac:dyDescent="0.25">
      <c r="A196" s="186">
        <v>97000</v>
      </c>
      <c r="B196" s="33">
        <f t="shared" si="12"/>
        <v>8083.333333333333</v>
      </c>
      <c r="C196" s="185">
        <f>'Child care subsidy'!S199*12</f>
        <v>27550</v>
      </c>
      <c r="D196" s="185">
        <f>MAX('TANF-VIEW'!L203,'TANF-VIEW'!T203)*12</f>
        <v>0</v>
      </c>
      <c r="E196" s="193">
        <f>SNAP!V200*12</f>
        <v>0</v>
      </c>
      <c r="F196" s="184">
        <f>WIC!F202*12</f>
        <v>0</v>
      </c>
      <c r="G196" s="185">
        <f>'Housing Voucher'!Q200*12</f>
        <v>0</v>
      </c>
      <c r="H196" s="197">
        <f>EITC!E199</f>
        <v>0</v>
      </c>
      <c r="I196" s="205">
        <f>Medicaid!N203*12</f>
        <v>11466</v>
      </c>
      <c r="K196" s="185">
        <f t="shared" ref="K196:K202" si="14">SUM(C196:I196)</f>
        <v>39016</v>
      </c>
      <c r="L196" s="185">
        <f t="shared" ref="L196:L202" si="15">A196+K196</f>
        <v>136016</v>
      </c>
      <c r="M196" s="36">
        <f t="shared" si="13"/>
        <v>11334.666666666666</v>
      </c>
    </row>
    <row r="197" spans="1:13" x14ac:dyDescent="0.25">
      <c r="A197" s="186">
        <v>97500</v>
      </c>
      <c r="B197" s="33">
        <f t="shared" si="12"/>
        <v>8125</v>
      </c>
      <c r="C197" s="185">
        <f>'Child care subsidy'!S200*12</f>
        <v>27525</v>
      </c>
      <c r="D197" s="185">
        <f>MAX('TANF-VIEW'!L204,'TANF-VIEW'!T204)*12</f>
        <v>0</v>
      </c>
      <c r="E197" s="193">
        <f>SNAP!V201*12</f>
        <v>0</v>
      </c>
      <c r="F197" s="184">
        <f>WIC!F203*12</f>
        <v>0</v>
      </c>
      <c r="G197" s="185">
        <f>'Housing Voucher'!Q201*12</f>
        <v>0</v>
      </c>
      <c r="H197" s="197">
        <f>EITC!E200</f>
        <v>0</v>
      </c>
      <c r="I197" s="205">
        <f>Medicaid!N204*12</f>
        <v>11466</v>
      </c>
      <c r="K197" s="185">
        <f t="shared" si="14"/>
        <v>38991</v>
      </c>
      <c r="L197" s="185">
        <f t="shared" si="15"/>
        <v>136491</v>
      </c>
      <c r="M197" s="36">
        <f t="shared" si="13"/>
        <v>11374.25</v>
      </c>
    </row>
    <row r="198" spans="1:13" x14ac:dyDescent="0.25">
      <c r="A198" s="186">
        <v>98000</v>
      </c>
      <c r="B198" s="33">
        <f t="shared" si="12"/>
        <v>8166.666666666667</v>
      </c>
      <c r="C198" s="185">
        <f>'Child care subsidy'!S201*12</f>
        <v>27500</v>
      </c>
      <c r="D198" s="185">
        <f>MAX('TANF-VIEW'!L205,'TANF-VIEW'!T205)*12</f>
        <v>0</v>
      </c>
      <c r="E198" s="193">
        <f>SNAP!V202*12</f>
        <v>0</v>
      </c>
      <c r="F198" s="184">
        <f>WIC!F204*12</f>
        <v>0</v>
      </c>
      <c r="G198" s="185">
        <f>'Housing Voucher'!Q202*12</f>
        <v>0</v>
      </c>
      <c r="H198" s="197">
        <f>EITC!E201</f>
        <v>0</v>
      </c>
      <c r="I198" s="205">
        <f>Medicaid!N205*12</f>
        <v>11466</v>
      </c>
      <c r="K198" s="185">
        <f t="shared" si="14"/>
        <v>38966</v>
      </c>
      <c r="L198" s="185">
        <f t="shared" si="15"/>
        <v>136966</v>
      </c>
      <c r="M198" s="36">
        <f t="shared" si="13"/>
        <v>11413.833333333334</v>
      </c>
    </row>
    <row r="199" spans="1:13" x14ac:dyDescent="0.25">
      <c r="A199" s="186">
        <v>98500</v>
      </c>
      <c r="B199" s="33">
        <f t="shared" si="12"/>
        <v>8208.3333333333339</v>
      </c>
      <c r="C199" s="185">
        <f>'Child care subsidy'!S202*12</f>
        <v>27474.999999999996</v>
      </c>
      <c r="D199" s="185">
        <f>MAX('TANF-VIEW'!L206,'TANF-VIEW'!T206)*12</f>
        <v>0</v>
      </c>
      <c r="E199" s="193">
        <f>SNAP!V203*12</f>
        <v>0</v>
      </c>
      <c r="F199" s="184">
        <f>WIC!F205*12</f>
        <v>0</v>
      </c>
      <c r="G199" s="185">
        <f>'Housing Voucher'!Q203*12</f>
        <v>0</v>
      </c>
      <c r="H199" s="197">
        <f>EITC!E202</f>
        <v>0</v>
      </c>
      <c r="I199" s="205">
        <f>Medicaid!N206*12</f>
        <v>11466</v>
      </c>
      <c r="K199" s="185">
        <f t="shared" si="14"/>
        <v>38941</v>
      </c>
      <c r="L199" s="185">
        <f t="shared" si="15"/>
        <v>137441</v>
      </c>
      <c r="M199" s="36">
        <f t="shared" si="13"/>
        <v>11453.416666666666</v>
      </c>
    </row>
    <row r="200" spans="1:13" x14ac:dyDescent="0.25">
      <c r="A200" s="186">
        <v>99000</v>
      </c>
      <c r="B200" s="33">
        <f t="shared" si="12"/>
        <v>8250</v>
      </c>
      <c r="C200" s="185">
        <f>'Child care subsidy'!S203*12</f>
        <v>27450</v>
      </c>
      <c r="D200" s="185">
        <f>MAX('TANF-VIEW'!L207,'TANF-VIEW'!T207)*12</f>
        <v>0</v>
      </c>
      <c r="E200" s="193">
        <f>SNAP!V204*12</f>
        <v>0</v>
      </c>
      <c r="F200" s="184">
        <f>WIC!F206*12</f>
        <v>0</v>
      </c>
      <c r="G200" s="185">
        <f>'Housing Voucher'!Q204*12</f>
        <v>0</v>
      </c>
      <c r="H200" s="197">
        <f>EITC!E203</f>
        <v>0</v>
      </c>
      <c r="I200" s="205">
        <f>Medicaid!N207*12</f>
        <v>11466</v>
      </c>
      <c r="K200" s="185">
        <f t="shared" si="14"/>
        <v>38916</v>
      </c>
      <c r="L200" s="185">
        <f t="shared" si="15"/>
        <v>137916</v>
      </c>
      <c r="M200" s="36">
        <f t="shared" si="13"/>
        <v>11493</v>
      </c>
    </row>
    <row r="201" spans="1:13" x14ac:dyDescent="0.25">
      <c r="A201" s="186">
        <v>99500</v>
      </c>
      <c r="B201" s="33">
        <f t="shared" si="12"/>
        <v>8291.6666666666661</v>
      </c>
      <c r="C201" s="185">
        <f>'Child care subsidy'!S204*12</f>
        <v>27425</v>
      </c>
      <c r="D201" s="185">
        <f>MAX('TANF-VIEW'!L208,'TANF-VIEW'!T208)*12</f>
        <v>0</v>
      </c>
      <c r="E201" s="193">
        <f>SNAP!V205*12</f>
        <v>0</v>
      </c>
      <c r="F201" s="184">
        <f>WIC!F207*12</f>
        <v>0</v>
      </c>
      <c r="G201" s="185">
        <f>'Housing Voucher'!Q205*12</f>
        <v>0</v>
      </c>
      <c r="H201" s="197">
        <f>EITC!E204</f>
        <v>0</v>
      </c>
      <c r="I201" s="205">
        <f>Medicaid!N208*12</f>
        <v>11466</v>
      </c>
      <c r="K201" s="185">
        <f t="shared" si="14"/>
        <v>38891</v>
      </c>
      <c r="L201" s="185">
        <f t="shared" si="15"/>
        <v>138391</v>
      </c>
      <c r="M201" s="36">
        <f t="shared" si="13"/>
        <v>11532.583333333334</v>
      </c>
    </row>
    <row r="202" spans="1:13" x14ac:dyDescent="0.25">
      <c r="A202" s="186">
        <v>100000</v>
      </c>
      <c r="B202" s="33">
        <f t="shared" si="12"/>
        <v>8333.3333333333339</v>
      </c>
      <c r="C202" s="185">
        <f>'Child care subsidy'!S205*12</f>
        <v>25400</v>
      </c>
      <c r="D202" s="185">
        <f>MAX('TANF-VIEW'!L209,'TANF-VIEW'!T209)*12</f>
        <v>0</v>
      </c>
      <c r="E202" s="193">
        <f>SNAP!V206*12</f>
        <v>0</v>
      </c>
      <c r="F202" s="184">
        <f>WIC!F208*12</f>
        <v>0</v>
      </c>
      <c r="G202" s="185">
        <f>'Housing Voucher'!Q206*12</f>
        <v>0</v>
      </c>
      <c r="H202" s="197">
        <f>EITC!E205</f>
        <v>0</v>
      </c>
      <c r="I202" s="205">
        <f>Medicaid!N209*12</f>
        <v>0</v>
      </c>
      <c r="K202" s="185">
        <f t="shared" si="14"/>
        <v>25400</v>
      </c>
      <c r="L202" s="185">
        <f t="shared" si="15"/>
        <v>125400</v>
      </c>
      <c r="M202" s="36">
        <f t="shared" si="13"/>
        <v>10450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7</v>
      </c>
      <c r="C2" s="77">
        <f>COUNTIF('Total income package'!$B$48:$B$54,"Infant")</f>
        <v>1</v>
      </c>
      <c r="D2" s="77">
        <f>COUNTIF('Total income package'!$B$48:$B$54,"Toddler")</f>
        <v>0</v>
      </c>
      <c r="E2" s="77">
        <f>COUNTIF('Total income package'!$B$48:$B$54,"Two year old")</f>
        <v>1</v>
      </c>
      <c r="F2" s="77">
        <f>COUNTIF('Total income package'!$B$48:$B$54,"Preschool")</f>
        <v>0</v>
      </c>
      <c r="G2" s="77">
        <f>COUNTIF('Total income package'!$B$48:$B$54,"School age")</f>
        <v>1</v>
      </c>
      <c r="H2" s="77">
        <f>COUNTIF('Total income package'!$B$48:$B$54,"13-18 years old")</f>
        <v>0</v>
      </c>
      <c r="J2" s="100">
        <f>VLOOKUP(B2,'Program specific data'!A5:C13,2)</f>
        <v>50040</v>
      </c>
      <c r="K2" s="442">
        <f>VLOOKUP(B2,'Program specific data'!A5:C13,3)</f>
        <v>4170</v>
      </c>
      <c r="L2" s="442"/>
      <c r="M2" s="78">
        <f>IF(A3=1,VLOOKUP(B2,'Program specific data'!A20:F27,3,FALSE),IF(A3=2,VLOOKUP(B2,'Program specific data'!A20:F27,4,FALSE),IF(A3=3,VLOOKUP(B2,'Program specific data'!A20:F27,5),IF(A3=4,VLOOKUP(B2,'Program specific data'!A20:F27,6,FALSE)))))</f>
        <v>6255</v>
      </c>
      <c r="N2" s="311">
        <f>VLOOKUP(B2,'Program specific data'!A20:B27,2)</f>
        <v>12814</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860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2700</v>
      </c>
    </row>
    <row r="6" spans="1:19" s="14" customFormat="1" x14ac:dyDescent="0.25">
      <c r="A6" s="63">
        <v>500</v>
      </c>
      <c r="B6" s="7">
        <f t="shared" ref="B6:B69" si="5">A6/12</f>
        <v>41.666666666666664</v>
      </c>
      <c r="C6" s="7">
        <f>'Total income package'!$D$80</f>
        <v>0</v>
      </c>
      <c r="D6" s="7">
        <f t="shared" ref="D6:D69" si="6">B6+C6</f>
        <v>41.666666666666664</v>
      </c>
      <c r="E6" s="65">
        <f t="shared" ref="E6:E69" si="7">D6/$K$2</f>
        <v>9.9920063948840919E-3</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15</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860</v>
      </c>
      <c r="M6" s="6">
        <f>IF(B6&gt;$N$2,0,VLOOKUP('Total income package'!$B$3,'Location specific data'!$A$3:$AO$135,36,FALSE))*$F$2*20</f>
        <v>0</v>
      </c>
      <c r="N6" s="6">
        <f>IF(B6&gt;$N$2,0,VLOOKUP('Total income package'!$B$3,'Location specific data'!$A$3:$AO$135,37,FALSE))*($G$2+$H$2)*20</f>
        <v>560</v>
      </c>
      <c r="O6" s="6">
        <f t="shared" si="2"/>
        <v>45</v>
      </c>
      <c r="P6" s="312">
        <f t="shared" si="3"/>
        <v>2.0833333333333335</v>
      </c>
      <c r="Q6" s="312">
        <f t="shared" si="4"/>
        <v>45</v>
      </c>
      <c r="R6" s="312">
        <f t="shared" ref="R6:R69" si="9">IF(MIN(O6,P6)&lt;Q6,MIN(O6,P6),Q6)</f>
        <v>2.0833333333333335</v>
      </c>
      <c r="S6" s="160">
        <f>IF(AND('Total income package'!$A$8=TRUE,OR(F6="Yes",G6="Yes",H6="Yes")),SUM(J6:N6)-R6,0)</f>
        <v>2697.9166666666665</v>
      </c>
    </row>
    <row r="7" spans="1:19" s="5" customFormat="1" x14ac:dyDescent="0.25">
      <c r="A7" s="6">
        <v>1000</v>
      </c>
      <c r="B7" s="7">
        <f t="shared" si="5"/>
        <v>83.333333333333329</v>
      </c>
      <c r="C7" s="7">
        <f>'Total income package'!$D$80</f>
        <v>0</v>
      </c>
      <c r="D7" s="7">
        <f t="shared" si="6"/>
        <v>83.333333333333329</v>
      </c>
      <c r="E7" s="65">
        <f t="shared" si="7"/>
        <v>1.9984012789768184E-2</v>
      </c>
      <c r="F7" s="65" t="str">
        <f t="shared" si="0"/>
        <v>Yes</v>
      </c>
      <c r="G7" s="65" t="str">
        <f t="shared" si="1"/>
        <v>Yes</v>
      </c>
      <c r="H7" s="301" t="str">
        <f>IF(OR('TANF-VIEW'!L11&gt;0,'TANF-VIEW'!T11&gt;0),"Yes","No")</f>
        <v>Yes</v>
      </c>
      <c r="I7" s="63">
        <f t="shared" si="8"/>
        <v>15</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860</v>
      </c>
      <c r="M7" s="6">
        <f>IF(B7&gt;$N$2,0,VLOOKUP('Total income package'!$B$3,'Location specific data'!$A$3:$AO$135,36,FALSE))*$F$2*20</f>
        <v>0</v>
      </c>
      <c r="N7" s="6">
        <f>IF(B7&gt;$N$2,0,VLOOKUP('Total income package'!$B$3,'Location specific data'!$A$3:$AO$135,37,FALSE))*($G$2+$H$2)*20</f>
        <v>560</v>
      </c>
      <c r="O7" s="6">
        <f t="shared" si="2"/>
        <v>45</v>
      </c>
      <c r="P7" s="312">
        <f t="shared" si="3"/>
        <v>4.166666666666667</v>
      </c>
      <c r="Q7" s="312">
        <f t="shared" si="4"/>
        <v>45</v>
      </c>
      <c r="R7" s="312">
        <f t="shared" si="9"/>
        <v>4.166666666666667</v>
      </c>
      <c r="S7" s="160">
        <f>IF(AND('Total income package'!$A$8=TRUE,OR(F7="Yes",G7="Yes",H7="Yes")),SUM(J7:N7)-R7,0)</f>
        <v>2695.8333333333335</v>
      </c>
    </row>
    <row r="8" spans="1:19" s="5" customFormat="1" x14ac:dyDescent="0.25">
      <c r="A8" s="6">
        <v>1500</v>
      </c>
      <c r="B8" s="7">
        <f t="shared" si="5"/>
        <v>125</v>
      </c>
      <c r="C8" s="7">
        <f>'Total income package'!$D$80</f>
        <v>0</v>
      </c>
      <c r="D8" s="7">
        <f t="shared" si="6"/>
        <v>125</v>
      </c>
      <c r="E8" s="65">
        <f t="shared" si="7"/>
        <v>2.9976019184652279E-2</v>
      </c>
      <c r="F8" s="65" t="str">
        <f t="shared" si="0"/>
        <v>Yes</v>
      </c>
      <c r="G8" s="65" t="str">
        <f t="shared" si="1"/>
        <v>Yes</v>
      </c>
      <c r="H8" s="301" t="str">
        <f>IF(OR('TANF-VIEW'!L12&gt;0,'TANF-VIEW'!T12&gt;0),"Yes","No")</f>
        <v>Yes</v>
      </c>
      <c r="I8" s="63">
        <f t="shared" si="8"/>
        <v>15</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860</v>
      </c>
      <c r="M8" s="6">
        <f>IF(B8&gt;$N$2,0,VLOOKUP('Total income package'!$B$3,'Location specific data'!$A$3:$AO$135,36,FALSE))*$F$2*20</f>
        <v>0</v>
      </c>
      <c r="N8" s="6">
        <f>IF(B8&gt;$N$2,0,VLOOKUP('Total income package'!$B$3,'Location specific data'!$A$3:$AO$135,37,FALSE))*($G$2+$H$2)*20</f>
        <v>560</v>
      </c>
      <c r="O8" s="6">
        <f t="shared" si="2"/>
        <v>45</v>
      </c>
      <c r="P8" s="312">
        <f t="shared" si="3"/>
        <v>6.25</v>
      </c>
      <c r="Q8" s="312">
        <f t="shared" si="4"/>
        <v>45</v>
      </c>
      <c r="R8" s="312">
        <f t="shared" si="9"/>
        <v>6.25</v>
      </c>
      <c r="S8" s="160">
        <f>IF(AND('Total income package'!$A$8=TRUE,OR(F8="Yes",G8="Yes",H8="Yes")),SUM(J8:N8)-R8,0)</f>
        <v>2693.75</v>
      </c>
    </row>
    <row r="9" spans="1:19" s="5" customFormat="1" x14ac:dyDescent="0.25">
      <c r="A9" s="6">
        <v>2000</v>
      </c>
      <c r="B9" s="7">
        <f t="shared" si="5"/>
        <v>166.66666666666666</v>
      </c>
      <c r="C9" s="7">
        <f>'Total income package'!$D$80</f>
        <v>0</v>
      </c>
      <c r="D9" s="7">
        <f t="shared" si="6"/>
        <v>166.66666666666666</v>
      </c>
      <c r="E9" s="65">
        <f t="shared" si="7"/>
        <v>3.9968025579536368E-2</v>
      </c>
      <c r="F9" s="65" t="str">
        <f t="shared" si="0"/>
        <v>Yes</v>
      </c>
      <c r="G9" s="65" t="str">
        <f t="shared" si="1"/>
        <v>Yes</v>
      </c>
      <c r="H9" s="301" t="str">
        <f>IF(OR('TANF-VIEW'!L13&gt;0,'TANF-VIEW'!T13&gt;0),"Yes","No")</f>
        <v>Yes</v>
      </c>
      <c r="I9" s="63">
        <f t="shared" si="8"/>
        <v>15</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860</v>
      </c>
      <c r="M9" s="6">
        <f>IF(B9&gt;$N$2,0,VLOOKUP('Total income package'!$B$3,'Location specific data'!$A$3:$AO$135,36,FALSE))*$F$2*20</f>
        <v>0</v>
      </c>
      <c r="N9" s="6">
        <f>IF(B9&gt;$N$2,0,VLOOKUP('Total income package'!$B$3,'Location specific data'!$A$3:$AO$135,37,FALSE))*($G$2+$H$2)*20</f>
        <v>560</v>
      </c>
      <c r="O9" s="6">
        <f t="shared" si="2"/>
        <v>45</v>
      </c>
      <c r="P9" s="312">
        <f t="shared" si="3"/>
        <v>8.3333333333333339</v>
      </c>
      <c r="Q9" s="312">
        <f t="shared" si="4"/>
        <v>45</v>
      </c>
      <c r="R9" s="312">
        <f t="shared" si="9"/>
        <v>8.3333333333333339</v>
      </c>
      <c r="S9" s="160">
        <f>IF(AND('Total income package'!$A$8=TRUE,OR(F9="Yes",G9="Yes",H9="Yes")),SUM(J9:N9)-R9,0)</f>
        <v>2691.6666666666665</v>
      </c>
    </row>
    <row r="10" spans="1:19" s="5" customFormat="1" x14ac:dyDescent="0.25">
      <c r="A10" s="6">
        <v>2500</v>
      </c>
      <c r="B10" s="7">
        <f t="shared" si="5"/>
        <v>208.33333333333334</v>
      </c>
      <c r="C10" s="7">
        <f>'Total income package'!$D$80</f>
        <v>0</v>
      </c>
      <c r="D10" s="7">
        <f t="shared" si="6"/>
        <v>208.33333333333334</v>
      </c>
      <c r="E10" s="65">
        <f t="shared" si="7"/>
        <v>4.9960031974420463E-2</v>
      </c>
      <c r="F10" s="65" t="str">
        <f t="shared" si="0"/>
        <v>Yes</v>
      </c>
      <c r="G10" s="65" t="str">
        <f t="shared" si="1"/>
        <v>Yes</v>
      </c>
      <c r="H10" s="301" t="str">
        <f>IF(OR('TANF-VIEW'!L14&gt;0,'TANF-VIEW'!T14&gt;0),"Yes","No")</f>
        <v>Yes</v>
      </c>
      <c r="I10" s="63">
        <f t="shared" si="8"/>
        <v>15</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860</v>
      </c>
      <c r="M10" s="6">
        <f>IF(B10&gt;$N$2,0,VLOOKUP('Total income package'!$B$3,'Location specific data'!$A$3:$AO$135,36,FALSE))*$F$2*20</f>
        <v>0</v>
      </c>
      <c r="N10" s="6">
        <f>IF(B10&gt;$N$2,0,VLOOKUP('Total income package'!$B$3,'Location specific data'!$A$3:$AO$135,37,FALSE))*($G$2+$H$2)*20</f>
        <v>560</v>
      </c>
      <c r="O10" s="6">
        <f t="shared" si="2"/>
        <v>45</v>
      </c>
      <c r="P10" s="312">
        <f t="shared" si="3"/>
        <v>10.416666666666668</v>
      </c>
      <c r="Q10" s="312">
        <f t="shared" si="4"/>
        <v>45</v>
      </c>
      <c r="R10" s="312">
        <f t="shared" si="9"/>
        <v>10.416666666666668</v>
      </c>
      <c r="S10" s="160">
        <f>IF(AND('Total income package'!$A$8=TRUE,OR(F10="Yes",G10="Yes",H10="Yes")),SUM(J10:N10)-R10,0)</f>
        <v>2689.5833333333335</v>
      </c>
    </row>
    <row r="11" spans="1:19" s="5" customFormat="1" x14ac:dyDescent="0.25">
      <c r="A11" s="6">
        <v>3000</v>
      </c>
      <c r="B11" s="7">
        <f t="shared" si="5"/>
        <v>250</v>
      </c>
      <c r="C11" s="7">
        <f>'Total income package'!$D$80</f>
        <v>0</v>
      </c>
      <c r="D11" s="7">
        <f t="shared" si="6"/>
        <v>250</v>
      </c>
      <c r="E11" s="65">
        <f t="shared" si="7"/>
        <v>5.9952038369304558E-2</v>
      </c>
      <c r="F11" s="65" t="str">
        <f t="shared" si="0"/>
        <v>Yes</v>
      </c>
      <c r="G11" s="65" t="str">
        <f t="shared" si="1"/>
        <v>Yes</v>
      </c>
      <c r="H11" s="301" t="str">
        <f>IF(OR('TANF-VIEW'!L15&gt;0,'TANF-VIEW'!T15&gt;0),"Yes","No")</f>
        <v>Yes</v>
      </c>
      <c r="I11" s="63">
        <f t="shared" si="8"/>
        <v>15</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860</v>
      </c>
      <c r="M11" s="6">
        <f>IF(B11&gt;$N$2,0,VLOOKUP('Total income package'!$B$3,'Location specific data'!$A$3:$AO$135,36,FALSE))*$F$2*20</f>
        <v>0</v>
      </c>
      <c r="N11" s="6">
        <f>IF(B11&gt;$N$2,0,VLOOKUP('Total income package'!$B$3,'Location specific data'!$A$3:$AO$135,37,FALSE))*($G$2+$H$2)*20</f>
        <v>560</v>
      </c>
      <c r="O11" s="6">
        <f t="shared" si="2"/>
        <v>45</v>
      </c>
      <c r="P11" s="312">
        <f t="shared" si="3"/>
        <v>12.5</v>
      </c>
      <c r="Q11" s="312">
        <f t="shared" si="4"/>
        <v>45</v>
      </c>
      <c r="R11" s="312">
        <f t="shared" si="9"/>
        <v>12.5</v>
      </c>
      <c r="S11" s="160">
        <f>IF(AND('Total income package'!$A$8=TRUE,OR(F11="Yes",G11="Yes",H11="Yes")),SUM(J11:N11)-R11,0)</f>
        <v>2687.5</v>
      </c>
    </row>
    <row r="12" spans="1:19" s="5" customFormat="1" x14ac:dyDescent="0.25">
      <c r="A12" s="6">
        <v>3500</v>
      </c>
      <c r="B12" s="7">
        <f t="shared" si="5"/>
        <v>291.66666666666669</v>
      </c>
      <c r="C12" s="7">
        <f>'Total income package'!$D$80</f>
        <v>0</v>
      </c>
      <c r="D12" s="7">
        <f t="shared" si="6"/>
        <v>291.66666666666669</v>
      </c>
      <c r="E12" s="65">
        <f t="shared" si="7"/>
        <v>6.9944044764188654E-2</v>
      </c>
      <c r="F12" s="65" t="str">
        <f t="shared" si="0"/>
        <v>Yes</v>
      </c>
      <c r="G12" s="65" t="str">
        <f t="shared" si="1"/>
        <v>Yes</v>
      </c>
      <c r="H12" s="301" t="str">
        <f>IF(OR('TANF-VIEW'!L16&gt;0,'TANF-VIEW'!T16&gt;0),"Yes","No")</f>
        <v>Yes</v>
      </c>
      <c r="I12" s="63">
        <f t="shared" si="8"/>
        <v>15</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860</v>
      </c>
      <c r="M12" s="6">
        <f>IF(B12&gt;$N$2,0,VLOOKUP('Total income package'!$B$3,'Location specific data'!$A$3:$AO$135,36,FALSE))*$F$2*20</f>
        <v>0</v>
      </c>
      <c r="N12" s="6">
        <f>IF(B12&gt;$N$2,0,VLOOKUP('Total income package'!$B$3,'Location specific data'!$A$3:$AO$135,37,FALSE))*($G$2+$H$2)*20</f>
        <v>560</v>
      </c>
      <c r="O12" s="6">
        <f t="shared" si="2"/>
        <v>45</v>
      </c>
      <c r="P12" s="312">
        <f t="shared" si="3"/>
        <v>14.583333333333336</v>
      </c>
      <c r="Q12" s="312">
        <f t="shared" si="4"/>
        <v>45</v>
      </c>
      <c r="R12" s="312">
        <f t="shared" si="9"/>
        <v>14.583333333333336</v>
      </c>
      <c r="S12" s="160">
        <f>IF(AND('Total income package'!$A$8=TRUE,OR(F12="Yes",G12="Yes",H12="Yes")),SUM(J12:N12)-R12,0)</f>
        <v>2685.4166666666665</v>
      </c>
    </row>
    <row r="13" spans="1:19" s="5" customFormat="1" x14ac:dyDescent="0.25">
      <c r="A13" s="6">
        <v>4000</v>
      </c>
      <c r="B13" s="7">
        <f t="shared" si="5"/>
        <v>333.33333333333331</v>
      </c>
      <c r="C13" s="7">
        <f>'Total income package'!$D$80</f>
        <v>0</v>
      </c>
      <c r="D13" s="7">
        <f t="shared" si="6"/>
        <v>333.33333333333331</v>
      </c>
      <c r="E13" s="65">
        <f t="shared" si="7"/>
        <v>7.9936051159072735E-2</v>
      </c>
      <c r="F13" s="65" t="str">
        <f t="shared" si="0"/>
        <v>Yes</v>
      </c>
      <c r="G13" s="65" t="str">
        <f t="shared" si="1"/>
        <v>Yes</v>
      </c>
      <c r="H13" s="301" t="str">
        <f>IF(OR('TANF-VIEW'!L17&gt;0,'TANF-VIEW'!T17&gt;0),"Yes","No")</f>
        <v>Yes</v>
      </c>
      <c r="I13" s="63">
        <f t="shared" si="8"/>
        <v>15</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860</v>
      </c>
      <c r="M13" s="6">
        <f>IF(B13&gt;$N$2,0,VLOOKUP('Total income package'!$B$3,'Location specific data'!$A$3:$AO$135,36,FALSE))*$F$2*20</f>
        <v>0</v>
      </c>
      <c r="N13" s="6">
        <f>IF(B13&gt;$N$2,0,VLOOKUP('Total income package'!$B$3,'Location specific data'!$A$3:$AO$135,37,FALSE))*($G$2+$H$2)*20</f>
        <v>560</v>
      </c>
      <c r="O13" s="6">
        <f t="shared" si="2"/>
        <v>45</v>
      </c>
      <c r="P13" s="312">
        <f t="shared" si="3"/>
        <v>16.666666666666668</v>
      </c>
      <c r="Q13" s="312">
        <f t="shared" si="4"/>
        <v>45</v>
      </c>
      <c r="R13" s="312">
        <f t="shared" si="9"/>
        <v>16.666666666666668</v>
      </c>
      <c r="S13" s="160">
        <f>IF(AND('Total income package'!$A$8=TRUE,OR(F13="Yes",G13="Yes",H13="Yes")),SUM(J13:N13)-R13,0)</f>
        <v>2683.3333333333335</v>
      </c>
    </row>
    <row r="14" spans="1:19" s="5" customFormat="1" x14ac:dyDescent="0.25">
      <c r="A14" s="6">
        <v>4500</v>
      </c>
      <c r="B14" s="7">
        <f t="shared" si="5"/>
        <v>375</v>
      </c>
      <c r="C14" s="7">
        <f>'Total income package'!$D$80</f>
        <v>0</v>
      </c>
      <c r="D14" s="7">
        <f t="shared" si="6"/>
        <v>375</v>
      </c>
      <c r="E14" s="65">
        <f t="shared" si="7"/>
        <v>8.9928057553956831E-2</v>
      </c>
      <c r="F14" s="65" t="str">
        <f t="shared" si="0"/>
        <v>Yes</v>
      </c>
      <c r="G14" s="65" t="str">
        <f t="shared" si="1"/>
        <v>Yes</v>
      </c>
      <c r="H14" s="301" t="str">
        <f>IF(OR('TANF-VIEW'!L18&gt;0,'TANF-VIEW'!T18&gt;0),"Yes","No")</f>
        <v>Yes</v>
      </c>
      <c r="I14" s="63">
        <f t="shared" si="8"/>
        <v>15</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860</v>
      </c>
      <c r="M14" s="6">
        <f>IF(B14&gt;$N$2,0,VLOOKUP('Total income package'!$B$3,'Location specific data'!$A$3:$AO$135,36,FALSE))*$F$2*20</f>
        <v>0</v>
      </c>
      <c r="N14" s="6">
        <f>IF(B14&gt;$N$2,0,VLOOKUP('Total income package'!$B$3,'Location specific data'!$A$3:$AO$135,37,FALSE))*($G$2+$H$2)*20</f>
        <v>560</v>
      </c>
      <c r="O14" s="6">
        <f t="shared" si="2"/>
        <v>45</v>
      </c>
      <c r="P14" s="312">
        <f t="shared" si="3"/>
        <v>18.75</v>
      </c>
      <c r="Q14" s="312">
        <f t="shared" si="4"/>
        <v>45</v>
      </c>
      <c r="R14" s="312">
        <f t="shared" si="9"/>
        <v>18.75</v>
      </c>
      <c r="S14" s="160">
        <f>IF(AND('Total income package'!$A$8=TRUE,OR(F14="Yes",G14="Yes",H14="Yes")),SUM(J14:N14)-R14,0)</f>
        <v>2681.25</v>
      </c>
    </row>
    <row r="15" spans="1:19" s="5" customFormat="1" x14ac:dyDescent="0.25">
      <c r="A15" s="6">
        <v>5000</v>
      </c>
      <c r="B15" s="7">
        <f t="shared" si="5"/>
        <v>416.66666666666669</v>
      </c>
      <c r="C15" s="7">
        <f>'Total income package'!$D$80</f>
        <v>0</v>
      </c>
      <c r="D15" s="7">
        <f t="shared" si="6"/>
        <v>416.66666666666669</v>
      </c>
      <c r="E15" s="65">
        <f t="shared" si="7"/>
        <v>9.9920063948840926E-2</v>
      </c>
      <c r="F15" s="65" t="str">
        <f t="shared" si="0"/>
        <v>Yes</v>
      </c>
      <c r="G15" s="65" t="str">
        <f t="shared" si="1"/>
        <v>Yes</v>
      </c>
      <c r="H15" s="301" t="str">
        <f>IF(OR('TANF-VIEW'!L19&gt;0,'TANF-VIEW'!T19&gt;0),"Yes","No")</f>
        <v>Yes</v>
      </c>
      <c r="I15" s="63">
        <f t="shared" si="8"/>
        <v>15</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860</v>
      </c>
      <c r="M15" s="6">
        <f>IF(B15&gt;$N$2,0,VLOOKUP('Total income package'!$B$3,'Location specific data'!$A$3:$AO$135,36,FALSE))*$F$2*20</f>
        <v>0</v>
      </c>
      <c r="N15" s="6">
        <f>IF(B15&gt;$N$2,0,VLOOKUP('Total income package'!$B$3,'Location specific data'!$A$3:$AO$135,37,FALSE))*($G$2+$H$2)*20</f>
        <v>560</v>
      </c>
      <c r="O15" s="6">
        <f t="shared" si="2"/>
        <v>45</v>
      </c>
      <c r="P15" s="312">
        <f t="shared" si="3"/>
        <v>20.833333333333336</v>
      </c>
      <c r="Q15" s="312">
        <f t="shared" si="4"/>
        <v>45</v>
      </c>
      <c r="R15" s="312">
        <f t="shared" si="9"/>
        <v>20.833333333333336</v>
      </c>
      <c r="S15" s="160">
        <f>IF(AND('Total income package'!$A$8=TRUE,OR(F15="Yes",G15="Yes",H15="Yes")),SUM(J15:N15)-R15,0)</f>
        <v>2679.1666666666665</v>
      </c>
    </row>
    <row r="16" spans="1:19" s="5" customFormat="1" x14ac:dyDescent="0.25">
      <c r="A16" s="6">
        <v>5500</v>
      </c>
      <c r="B16" s="7">
        <f t="shared" si="5"/>
        <v>458.33333333333331</v>
      </c>
      <c r="C16" s="7">
        <f>'Total income package'!$D$80</f>
        <v>0</v>
      </c>
      <c r="D16" s="7">
        <f t="shared" si="6"/>
        <v>458.33333333333331</v>
      </c>
      <c r="E16" s="65">
        <f t="shared" si="7"/>
        <v>0.10991207034372502</v>
      </c>
      <c r="F16" s="65" t="str">
        <f t="shared" si="0"/>
        <v>Yes</v>
      </c>
      <c r="G16" s="65" t="str">
        <f t="shared" si="1"/>
        <v>Yes</v>
      </c>
      <c r="H16" s="301" t="str">
        <f>IF(OR('TANF-VIEW'!L20&gt;0,'TANF-VIEW'!T20&gt;0),"Yes","No")</f>
        <v>Yes</v>
      </c>
      <c r="I16" s="63">
        <f t="shared" si="8"/>
        <v>15</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860</v>
      </c>
      <c r="M16" s="6">
        <f>IF(B16&gt;$N$2,0,VLOOKUP('Total income package'!$B$3,'Location specific data'!$A$3:$AO$135,36,FALSE))*$F$2*20</f>
        <v>0</v>
      </c>
      <c r="N16" s="6">
        <f>IF(B16&gt;$N$2,0,VLOOKUP('Total income package'!$B$3,'Location specific data'!$A$3:$AO$135,37,FALSE))*($G$2+$H$2)*20</f>
        <v>560</v>
      </c>
      <c r="O16" s="6">
        <f t="shared" si="2"/>
        <v>45</v>
      </c>
      <c r="P16" s="312">
        <f t="shared" si="3"/>
        <v>22.916666666666668</v>
      </c>
      <c r="Q16" s="312">
        <f t="shared" si="4"/>
        <v>45</v>
      </c>
      <c r="R16" s="312">
        <f t="shared" si="9"/>
        <v>22.916666666666668</v>
      </c>
      <c r="S16" s="160">
        <f>IF(AND('Total income package'!$A$8=TRUE,OR(F16="Yes",G16="Yes",H16="Yes")),SUM(J16:N16)-R16,0)</f>
        <v>2677.0833333333335</v>
      </c>
    </row>
    <row r="17" spans="1:19" s="5" customFormat="1" x14ac:dyDescent="0.25">
      <c r="A17" s="6">
        <v>6000</v>
      </c>
      <c r="B17" s="7">
        <f t="shared" si="5"/>
        <v>500</v>
      </c>
      <c r="C17" s="7">
        <f>'Total income package'!$D$80</f>
        <v>0</v>
      </c>
      <c r="D17" s="7">
        <f t="shared" si="6"/>
        <v>500</v>
      </c>
      <c r="E17" s="65">
        <f t="shared" si="7"/>
        <v>0.11990407673860912</v>
      </c>
      <c r="F17" s="65" t="str">
        <f t="shared" si="0"/>
        <v>Yes</v>
      </c>
      <c r="G17" s="65" t="str">
        <f t="shared" si="1"/>
        <v>Yes</v>
      </c>
      <c r="H17" s="301" t="str">
        <f>IF(OR('TANF-VIEW'!L21&gt;0,'TANF-VIEW'!T21&gt;0),"Yes","No")</f>
        <v>Yes</v>
      </c>
      <c r="I17" s="63">
        <f t="shared" si="8"/>
        <v>15</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860</v>
      </c>
      <c r="M17" s="6">
        <f>IF(B17&gt;$N$2,0,VLOOKUP('Total income package'!$B$3,'Location specific data'!$A$3:$AO$135,36,FALSE))*$F$2*20</f>
        <v>0</v>
      </c>
      <c r="N17" s="6">
        <f>IF(B17&gt;$N$2,0,VLOOKUP('Total income package'!$B$3,'Location specific data'!$A$3:$AO$135,37,FALSE))*($G$2+$H$2)*20</f>
        <v>560</v>
      </c>
      <c r="O17" s="6">
        <f t="shared" si="2"/>
        <v>45</v>
      </c>
      <c r="P17" s="312">
        <f t="shared" si="3"/>
        <v>25</v>
      </c>
      <c r="Q17" s="312">
        <f t="shared" si="4"/>
        <v>45</v>
      </c>
      <c r="R17" s="312">
        <f t="shared" si="9"/>
        <v>25</v>
      </c>
      <c r="S17" s="160">
        <f>IF(AND('Total income package'!$A$8=TRUE,OR(F17="Yes",G17="Yes",H17="Yes")),SUM(J17:N17)-R17,0)</f>
        <v>2675</v>
      </c>
    </row>
    <row r="18" spans="1:19" s="5" customFormat="1" x14ac:dyDescent="0.25">
      <c r="A18" s="6">
        <v>6500</v>
      </c>
      <c r="B18" s="7">
        <f t="shared" si="5"/>
        <v>541.66666666666663</v>
      </c>
      <c r="C18" s="7">
        <f>'Total income package'!$D$80</f>
        <v>0</v>
      </c>
      <c r="D18" s="7">
        <f t="shared" si="6"/>
        <v>541.66666666666663</v>
      </c>
      <c r="E18" s="65">
        <f t="shared" si="7"/>
        <v>0.12989608313349318</v>
      </c>
      <c r="F18" s="65" t="str">
        <f t="shared" si="0"/>
        <v>Yes</v>
      </c>
      <c r="G18" s="65" t="str">
        <f t="shared" si="1"/>
        <v>Yes</v>
      </c>
      <c r="H18" s="301" t="str">
        <f>IF(OR('TANF-VIEW'!L22&gt;0,'TANF-VIEW'!T22&gt;0),"Yes","No")</f>
        <v>Yes</v>
      </c>
      <c r="I18" s="63">
        <f t="shared" si="8"/>
        <v>15</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860</v>
      </c>
      <c r="M18" s="6">
        <f>IF(B18&gt;$N$2,0,VLOOKUP('Total income package'!$B$3,'Location specific data'!$A$3:$AO$135,36,FALSE))*$F$2*20</f>
        <v>0</v>
      </c>
      <c r="N18" s="6">
        <f>IF(B18&gt;$N$2,0,VLOOKUP('Total income package'!$B$3,'Location specific data'!$A$3:$AO$135,37,FALSE))*($G$2+$H$2)*20</f>
        <v>560</v>
      </c>
      <c r="O18" s="6">
        <f t="shared" si="2"/>
        <v>45</v>
      </c>
      <c r="P18" s="312">
        <f t="shared" si="3"/>
        <v>27.083333333333332</v>
      </c>
      <c r="Q18" s="312">
        <f t="shared" si="4"/>
        <v>45</v>
      </c>
      <c r="R18" s="312">
        <f t="shared" si="9"/>
        <v>27.083333333333332</v>
      </c>
      <c r="S18" s="160">
        <f>IF(AND('Total income package'!$A$8=TRUE,OR(F18="Yes",G18="Yes",H18="Yes")),SUM(J18:N18)-R18,0)</f>
        <v>2672.9166666666665</v>
      </c>
    </row>
    <row r="19" spans="1:19" s="5" customFormat="1" x14ac:dyDescent="0.25">
      <c r="A19" s="6">
        <v>7000</v>
      </c>
      <c r="B19" s="7">
        <f t="shared" si="5"/>
        <v>583.33333333333337</v>
      </c>
      <c r="C19" s="7">
        <f>'Total income package'!$D$80</f>
        <v>0</v>
      </c>
      <c r="D19" s="7">
        <f t="shared" si="6"/>
        <v>583.33333333333337</v>
      </c>
      <c r="E19" s="65">
        <f t="shared" si="7"/>
        <v>0.13988808952837731</v>
      </c>
      <c r="F19" s="65" t="str">
        <f t="shared" si="0"/>
        <v>Yes</v>
      </c>
      <c r="G19" s="65" t="str">
        <f t="shared" si="1"/>
        <v>Yes</v>
      </c>
      <c r="H19" s="301" t="str">
        <f>IF(OR('TANF-VIEW'!L23&gt;0,'TANF-VIEW'!T23&gt;0),"Yes","No")</f>
        <v>Yes</v>
      </c>
      <c r="I19" s="63">
        <f t="shared" si="8"/>
        <v>15</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860</v>
      </c>
      <c r="M19" s="6">
        <f>IF(B19&gt;$N$2,0,VLOOKUP('Total income package'!$B$3,'Location specific data'!$A$3:$AO$135,36,FALSE))*$F$2*20</f>
        <v>0</v>
      </c>
      <c r="N19" s="6">
        <f>IF(B19&gt;$N$2,0,VLOOKUP('Total income package'!$B$3,'Location specific data'!$A$3:$AO$135,37,FALSE))*($G$2+$H$2)*20</f>
        <v>560</v>
      </c>
      <c r="O19" s="6">
        <f t="shared" si="2"/>
        <v>45</v>
      </c>
      <c r="P19" s="312">
        <f t="shared" si="3"/>
        <v>29.166666666666671</v>
      </c>
      <c r="Q19" s="312">
        <f t="shared" si="4"/>
        <v>45</v>
      </c>
      <c r="R19" s="312">
        <f t="shared" si="9"/>
        <v>29.166666666666671</v>
      </c>
      <c r="S19" s="160">
        <f>IF(AND('Total income package'!$A$8=TRUE,OR(F19="Yes",G19="Yes",H19="Yes")),SUM(J19:N19)-R19,0)</f>
        <v>2670.8333333333335</v>
      </c>
    </row>
    <row r="20" spans="1:19" s="5" customFormat="1" x14ac:dyDescent="0.25">
      <c r="A20" s="6">
        <v>7500</v>
      </c>
      <c r="B20" s="7">
        <f>A20/12</f>
        <v>625</v>
      </c>
      <c r="C20" s="7">
        <f>'Total income package'!$D$80</f>
        <v>0</v>
      </c>
      <c r="D20" s="7">
        <f t="shared" si="6"/>
        <v>625</v>
      </c>
      <c r="E20" s="65">
        <f t="shared" si="7"/>
        <v>0.1498800959232614</v>
      </c>
      <c r="F20" s="65" t="str">
        <f t="shared" si="0"/>
        <v>Yes</v>
      </c>
      <c r="G20" s="65" t="str">
        <f t="shared" si="1"/>
        <v>Yes</v>
      </c>
      <c r="H20" s="301" t="str">
        <f>IF(OR('TANF-VIEW'!L24&gt;0,'TANF-VIEW'!T24&gt;0),"Yes","No")</f>
        <v>Yes</v>
      </c>
      <c r="I20" s="63">
        <f t="shared" si="8"/>
        <v>15</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860</v>
      </c>
      <c r="M20" s="6">
        <f>IF(B20&gt;$N$2,0,VLOOKUP('Total income package'!$B$3,'Location specific data'!$A$3:$AO$135,36,FALSE))*$F$2*20</f>
        <v>0</v>
      </c>
      <c r="N20" s="6">
        <f>IF(B20&gt;$N$2,0,VLOOKUP('Total income package'!$B$3,'Location specific data'!$A$3:$AO$135,37,FALSE))*($G$2+$H$2)*20</f>
        <v>560</v>
      </c>
      <c r="O20" s="6">
        <f t="shared" si="2"/>
        <v>45</v>
      </c>
      <c r="P20" s="312">
        <f t="shared" si="3"/>
        <v>31.25</v>
      </c>
      <c r="Q20" s="312">
        <f t="shared" si="4"/>
        <v>45</v>
      </c>
      <c r="R20" s="312">
        <f t="shared" si="9"/>
        <v>31.25</v>
      </c>
      <c r="S20" s="160">
        <f>IF(AND('Total income package'!$A$8=TRUE,OR(F20="Yes",G20="Yes",H20="Yes")),SUM(J20:N20)-R20,0)</f>
        <v>2668.75</v>
      </c>
    </row>
    <row r="21" spans="1:19" s="5" customFormat="1" x14ac:dyDescent="0.25">
      <c r="A21" s="6">
        <v>8000</v>
      </c>
      <c r="B21" s="7">
        <f t="shared" si="5"/>
        <v>666.66666666666663</v>
      </c>
      <c r="C21" s="7">
        <f>'Total income package'!$D$80</f>
        <v>0</v>
      </c>
      <c r="D21" s="7">
        <f t="shared" si="6"/>
        <v>666.66666666666663</v>
      </c>
      <c r="E21" s="65">
        <f t="shared" si="7"/>
        <v>0.15987210231814547</v>
      </c>
      <c r="F21" s="65" t="str">
        <f t="shared" si="0"/>
        <v>Yes</v>
      </c>
      <c r="G21" s="65" t="str">
        <f t="shared" si="1"/>
        <v>Yes</v>
      </c>
      <c r="H21" s="301" t="str">
        <f>IF(OR('TANF-VIEW'!L25&gt;0,'TANF-VIEW'!T25&gt;0),"Yes","No")</f>
        <v>Yes</v>
      </c>
      <c r="I21" s="63">
        <f t="shared" si="8"/>
        <v>15</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860</v>
      </c>
      <c r="M21" s="6">
        <f>IF(B21&gt;$N$2,0,VLOOKUP('Total income package'!$B$3,'Location specific data'!$A$3:$AO$135,36,FALSE))*$F$2*20</f>
        <v>0</v>
      </c>
      <c r="N21" s="6">
        <f>IF(B21&gt;$N$2,0,VLOOKUP('Total income package'!$B$3,'Location specific data'!$A$3:$AO$135,37,FALSE))*($G$2+$H$2)*20</f>
        <v>560</v>
      </c>
      <c r="O21" s="6">
        <f t="shared" si="2"/>
        <v>45</v>
      </c>
      <c r="P21" s="312">
        <f t="shared" si="3"/>
        <v>33.333333333333336</v>
      </c>
      <c r="Q21" s="312">
        <f t="shared" si="4"/>
        <v>45</v>
      </c>
      <c r="R21" s="312">
        <f t="shared" si="9"/>
        <v>33.333333333333336</v>
      </c>
      <c r="S21" s="160">
        <f>IF(AND('Total income package'!$A$8=TRUE,OR(F21="Yes",G21="Yes",H21="Yes")),SUM(J21:N21)-R21,0)</f>
        <v>2666.6666666666665</v>
      </c>
    </row>
    <row r="22" spans="1:19" s="5" customFormat="1" x14ac:dyDescent="0.25">
      <c r="A22" s="6">
        <v>8500</v>
      </c>
      <c r="B22" s="7">
        <f t="shared" si="5"/>
        <v>708.33333333333337</v>
      </c>
      <c r="C22" s="7">
        <f>'Total income package'!$D$80</f>
        <v>0</v>
      </c>
      <c r="D22" s="7">
        <f t="shared" si="6"/>
        <v>708.33333333333337</v>
      </c>
      <c r="E22" s="65">
        <f t="shared" si="7"/>
        <v>0.16986410871302959</v>
      </c>
      <c r="F22" s="65" t="str">
        <f t="shared" si="0"/>
        <v>Yes</v>
      </c>
      <c r="G22" s="65" t="str">
        <f t="shared" si="1"/>
        <v>Yes</v>
      </c>
      <c r="H22" s="301" t="str">
        <f>IF(OR('TANF-VIEW'!L26&gt;0,'TANF-VIEW'!T26&gt;0),"Yes","No")</f>
        <v>Yes</v>
      </c>
      <c r="I22" s="63">
        <f t="shared" si="8"/>
        <v>15</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860</v>
      </c>
      <c r="M22" s="6">
        <f>IF(B22&gt;$N$2,0,VLOOKUP('Total income package'!$B$3,'Location specific data'!$A$3:$AO$135,36,FALSE))*$F$2*20</f>
        <v>0</v>
      </c>
      <c r="N22" s="6">
        <f>IF(B22&gt;$N$2,0,VLOOKUP('Total income package'!$B$3,'Location specific data'!$A$3:$AO$135,37,FALSE))*($G$2+$H$2)*20</f>
        <v>560</v>
      </c>
      <c r="O22" s="6">
        <f t="shared" si="2"/>
        <v>45</v>
      </c>
      <c r="P22" s="312">
        <f t="shared" si="3"/>
        <v>35.416666666666671</v>
      </c>
      <c r="Q22" s="312">
        <f t="shared" si="4"/>
        <v>45</v>
      </c>
      <c r="R22" s="312">
        <f t="shared" si="9"/>
        <v>35.416666666666671</v>
      </c>
      <c r="S22" s="160">
        <f>IF(AND('Total income package'!$A$8=TRUE,OR(F22="Yes",G22="Yes",H22="Yes")),SUM(J22:N22)-R22,0)</f>
        <v>2664.5833333333335</v>
      </c>
    </row>
    <row r="23" spans="1:19" s="5" customFormat="1" x14ac:dyDescent="0.25">
      <c r="A23" s="6">
        <v>9000</v>
      </c>
      <c r="B23" s="7">
        <f t="shared" si="5"/>
        <v>750</v>
      </c>
      <c r="C23" s="7">
        <f>'Total income package'!$D$80</f>
        <v>0</v>
      </c>
      <c r="D23" s="7">
        <f t="shared" si="6"/>
        <v>750</v>
      </c>
      <c r="E23" s="65">
        <f t="shared" si="7"/>
        <v>0.17985611510791366</v>
      </c>
      <c r="F23" s="65" t="str">
        <f t="shared" si="0"/>
        <v>Yes</v>
      </c>
      <c r="G23" s="65" t="str">
        <f t="shared" si="1"/>
        <v>Yes</v>
      </c>
      <c r="H23" s="301" t="str">
        <f>IF(OR('TANF-VIEW'!L27&gt;0,'TANF-VIEW'!T27&gt;0),"Yes","No")</f>
        <v>Yes</v>
      </c>
      <c r="I23" s="63">
        <f t="shared" si="8"/>
        <v>15</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860</v>
      </c>
      <c r="M23" s="6">
        <f>IF(B23&gt;$N$2,0,VLOOKUP('Total income package'!$B$3,'Location specific data'!$A$3:$AO$135,36,FALSE))*$F$2*20</f>
        <v>0</v>
      </c>
      <c r="N23" s="6">
        <f>IF(B23&gt;$N$2,0,VLOOKUP('Total income package'!$B$3,'Location specific data'!$A$3:$AO$135,37,FALSE))*($G$2+$H$2)*20</f>
        <v>560</v>
      </c>
      <c r="O23" s="6">
        <f t="shared" si="2"/>
        <v>45</v>
      </c>
      <c r="P23" s="312">
        <f t="shared" si="3"/>
        <v>37.5</v>
      </c>
      <c r="Q23" s="312">
        <f t="shared" si="4"/>
        <v>45</v>
      </c>
      <c r="R23" s="312">
        <f t="shared" si="9"/>
        <v>37.5</v>
      </c>
      <c r="S23" s="160">
        <f>IF(AND('Total income package'!$A$8=TRUE,OR(F23="Yes",G23="Yes",H23="Yes")),SUM(J23:N23)-R23,0)</f>
        <v>2662.5</v>
      </c>
    </row>
    <row r="24" spans="1:19" s="5" customFormat="1" x14ac:dyDescent="0.25">
      <c r="A24" s="6">
        <v>9500</v>
      </c>
      <c r="B24" s="7">
        <f t="shared" si="5"/>
        <v>791.66666666666663</v>
      </c>
      <c r="C24" s="7">
        <f>'Total income package'!$D$80</f>
        <v>0</v>
      </c>
      <c r="D24" s="7">
        <f t="shared" si="6"/>
        <v>791.66666666666663</v>
      </c>
      <c r="E24" s="65">
        <f t="shared" si="7"/>
        <v>0.18984812150279776</v>
      </c>
      <c r="F24" s="65" t="str">
        <f t="shared" si="0"/>
        <v>Yes</v>
      </c>
      <c r="G24" s="65" t="str">
        <f t="shared" si="1"/>
        <v>Yes</v>
      </c>
      <c r="H24" s="301" t="str">
        <f>IF(OR('TANF-VIEW'!L28&gt;0,'TANF-VIEW'!T28&gt;0),"Yes","No")</f>
        <v>Yes</v>
      </c>
      <c r="I24" s="63">
        <f t="shared" si="8"/>
        <v>15</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860</v>
      </c>
      <c r="M24" s="6">
        <f>IF(B24&gt;$N$2,0,VLOOKUP('Total income package'!$B$3,'Location specific data'!$A$3:$AO$135,36,FALSE))*$F$2*20</f>
        <v>0</v>
      </c>
      <c r="N24" s="6">
        <f>IF(B24&gt;$N$2,0,VLOOKUP('Total income package'!$B$3,'Location specific data'!$A$3:$AO$135,37,FALSE))*($G$2+$H$2)*20</f>
        <v>560</v>
      </c>
      <c r="O24" s="6">
        <f t="shared" si="2"/>
        <v>45</v>
      </c>
      <c r="P24" s="312">
        <f t="shared" si="3"/>
        <v>39.583333333333336</v>
      </c>
      <c r="Q24" s="312">
        <f t="shared" si="4"/>
        <v>45</v>
      </c>
      <c r="R24" s="312">
        <f t="shared" si="9"/>
        <v>39.583333333333336</v>
      </c>
      <c r="S24" s="160">
        <f>IF(AND('Total income package'!$A$8=TRUE,OR(F24="Yes",G24="Yes",H24="Yes")),SUM(J24:N24)-R24,0)</f>
        <v>2660.4166666666665</v>
      </c>
    </row>
    <row r="25" spans="1:19" s="5" customFormat="1" x14ac:dyDescent="0.25">
      <c r="A25" s="6">
        <v>10000</v>
      </c>
      <c r="B25" s="7">
        <f t="shared" si="5"/>
        <v>833.33333333333337</v>
      </c>
      <c r="C25" s="7">
        <f>'Total income package'!$D$80</f>
        <v>0</v>
      </c>
      <c r="D25" s="7">
        <f t="shared" si="6"/>
        <v>833.33333333333337</v>
      </c>
      <c r="E25" s="65">
        <f t="shared" si="7"/>
        <v>0.19984012789768185</v>
      </c>
      <c r="F25" s="65" t="str">
        <f t="shared" si="0"/>
        <v>Yes</v>
      </c>
      <c r="G25" s="65" t="str">
        <f t="shared" si="1"/>
        <v>Yes</v>
      </c>
      <c r="H25" s="301" t="str">
        <f>IF(OR('TANF-VIEW'!L29&gt;0,'TANF-VIEW'!T29&gt;0),"Yes","No")</f>
        <v>Yes</v>
      </c>
      <c r="I25" s="63">
        <f t="shared" si="8"/>
        <v>15</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860</v>
      </c>
      <c r="M25" s="6">
        <f>IF(B25&gt;$N$2,0,VLOOKUP('Total income package'!$B$3,'Location specific data'!$A$3:$AO$135,36,FALSE))*$F$2*20</f>
        <v>0</v>
      </c>
      <c r="N25" s="6">
        <f>IF(B25&gt;$N$2,0,VLOOKUP('Total income package'!$B$3,'Location specific data'!$A$3:$AO$135,37,FALSE))*($G$2+$H$2)*20</f>
        <v>560</v>
      </c>
      <c r="O25" s="6">
        <f t="shared" si="2"/>
        <v>45</v>
      </c>
      <c r="P25" s="312">
        <f t="shared" si="3"/>
        <v>41.666666666666671</v>
      </c>
      <c r="Q25" s="312">
        <f t="shared" si="4"/>
        <v>45</v>
      </c>
      <c r="R25" s="312">
        <f t="shared" si="9"/>
        <v>41.666666666666671</v>
      </c>
      <c r="S25" s="160">
        <f>IF(AND('Total income package'!$A$8=TRUE,OR(F25="Yes",G25="Yes",H25="Yes")),SUM(J25:N25)-R25,0)</f>
        <v>2658.3333333333335</v>
      </c>
    </row>
    <row r="26" spans="1:19" s="5" customFormat="1" x14ac:dyDescent="0.25">
      <c r="A26" s="6">
        <v>10500</v>
      </c>
      <c r="B26" s="7">
        <f t="shared" si="5"/>
        <v>875</v>
      </c>
      <c r="C26" s="7">
        <f>'Total income package'!$D$80</f>
        <v>0</v>
      </c>
      <c r="D26" s="7">
        <f t="shared" si="6"/>
        <v>875</v>
      </c>
      <c r="E26" s="65">
        <f t="shared" si="7"/>
        <v>0.20983213429256595</v>
      </c>
      <c r="F26" s="65" t="str">
        <f t="shared" si="0"/>
        <v>Yes</v>
      </c>
      <c r="G26" s="65" t="str">
        <f t="shared" si="1"/>
        <v>Yes</v>
      </c>
      <c r="H26" s="301" t="str">
        <f>IF(OR('TANF-VIEW'!L30&gt;0,'TANF-VIEW'!T30&gt;0),"Yes","No")</f>
        <v>Yes</v>
      </c>
      <c r="I26" s="63">
        <f t="shared" si="8"/>
        <v>15</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860</v>
      </c>
      <c r="M26" s="6">
        <f>IF(B26&gt;$N$2,0,VLOOKUP('Total income package'!$B$3,'Location specific data'!$A$3:$AO$135,36,FALSE))*$F$2*20</f>
        <v>0</v>
      </c>
      <c r="N26" s="6">
        <f>IF(B26&gt;$N$2,0,VLOOKUP('Total income package'!$B$3,'Location specific data'!$A$3:$AO$135,37,FALSE))*($G$2+$H$2)*20</f>
        <v>560</v>
      </c>
      <c r="O26" s="6">
        <f t="shared" si="2"/>
        <v>45</v>
      </c>
      <c r="P26" s="312">
        <f t="shared" si="3"/>
        <v>43.75</v>
      </c>
      <c r="Q26" s="312">
        <f t="shared" si="4"/>
        <v>45</v>
      </c>
      <c r="R26" s="312">
        <f t="shared" si="9"/>
        <v>43.75</v>
      </c>
      <c r="S26" s="160">
        <f>IF(AND('Total income package'!$A$8=TRUE,OR(F26="Yes",G26="Yes",H26="Yes")),SUM(J26:N26)-R26,0)</f>
        <v>2656.25</v>
      </c>
    </row>
    <row r="27" spans="1:19" s="5" customFormat="1" x14ac:dyDescent="0.25">
      <c r="A27" s="6">
        <v>11000</v>
      </c>
      <c r="B27" s="7">
        <f t="shared" si="5"/>
        <v>916.66666666666663</v>
      </c>
      <c r="C27" s="7">
        <f>'Total income package'!$D$80</f>
        <v>0</v>
      </c>
      <c r="D27" s="7">
        <f t="shared" si="6"/>
        <v>916.66666666666663</v>
      </c>
      <c r="E27" s="65">
        <f t="shared" si="7"/>
        <v>0.21982414068745004</v>
      </c>
      <c r="F27" s="65" t="str">
        <f t="shared" si="0"/>
        <v>Yes</v>
      </c>
      <c r="G27" s="65" t="str">
        <f t="shared" si="1"/>
        <v>Yes</v>
      </c>
      <c r="H27" s="301" t="str">
        <f>IF(OR('TANF-VIEW'!L31&gt;0,'TANF-VIEW'!T31&gt;0),"Yes","No")</f>
        <v>Yes</v>
      </c>
      <c r="I27" s="63">
        <f t="shared" si="8"/>
        <v>15</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860</v>
      </c>
      <c r="M27" s="6">
        <f>IF(B27&gt;$N$2,0,VLOOKUP('Total income package'!$B$3,'Location specific data'!$A$3:$AO$135,36,FALSE))*$F$2*20</f>
        <v>0</v>
      </c>
      <c r="N27" s="6">
        <f>IF(B27&gt;$N$2,0,VLOOKUP('Total income package'!$B$3,'Location specific data'!$A$3:$AO$135,37,FALSE))*($G$2+$H$2)*20</f>
        <v>560</v>
      </c>
      <c r="O27" s="6">
        <f t="shared" si="2"/>
        <v>45</v>
      </c>
      <c r="P27" s="312">
        <f t="shared" si="3"/>
        <v>45.833333333333336</v>
      </c>
      <c r="Q27" s="312">
        <f t="shared" si="4"/>
        <v>45</v>
      </c>
      <c r="R27" s="312">
        <f t="shared" si="9"/>
        <v>45</v>
      </c>
      <c r="S27" s="160">
        <f>IF(AND('Total income package'!$A$8=TRUE,OR(F27="Yes",G27="Yes",H27="Yes")),SUM(J27:N27)-R27,0)</f>
        <v>2655</v>
      </c>
    </row>
    <row r="28" spans="1:19" s="5" customFormat="1" x14ac:dyDescent="0.25">
      <c r="A28" s="6">
        <v>11500</v>
      </c>
      <c r="B28" s="7">
        <f t="shared" si="5"/>
        <v>958.33333333333337</v>
      </c>
      <c r="C28" s="7">
        <f>'Total income package'!$D$80</f>
        <v>0</v>
      </c>
      <c r="D28" s="7">
        <f t="shared" si="6"/>
        <v>958.33333333333337</v>
      </c>
      <c r="E28" s="65">
        <f t="shared" si="7"/>
        <v>0.22981614708233414</v>
      </c>
      <c r="F28" s="65" t="str">
        <f t="shared" si="0"/>
        <v>Yes</v>
      </c>
      <c r="G28" s="65" t="str">
        <f t="shared" si="1"/>
        <v>Yes</v>
      </c>
      <c r="H28" s="301" t="str">
        <f>IF(OR('TANF-VIEW'!L32&gt;0,'TANF-VIEW'!T32&gt;0),"Yes","No")</f>
        <v>No</v>
      </c>
      <c r="I28" s="63">
        <f t="shared" si="8"/>
        <v>15</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860</v>
      </c>
      <c r="M28" s="6">
        <f>IF(B28&gt;$N$2,0,VLOOKUP('Total income package'!$B$3,'Location specific data'!$A$3:$AO$135,36,FALSE))*$F$2*20</f>
        <v>0</v>
      </c>
      <c r="N28" s="6">
        <f>IF(B28&gt;$N$2,0,VLOOKUP('Total income package'!$B$3,'Location specific data'!$A$3:$AO$135,37,FALSE))*($G$2+$H$2)*20</f>
        <v>560</v>
      </c>
      <c r="O28" s="6">
        <f t="shared" si="2"/>
        <v>45</v>
      </c>
      <c r="P28" s="312">
        <f t="shared" si="3"/>
        <v>47.916666666666671</v>
      </c>
      <c r="Q28" s="312">
        <f t="shared" si="4"/>
        <v>45</v>
      </c>
      <c r="R28" s="312">
        <f t="shared" si="9"/>
        <v>45</v>
      </c>
      <c r="S28" s="160">
        <f>IF(AND('Total income package'!$A$8=TRUE,OR(F28="Yes",G28="Yes",H28="Yes")),SUM(J28:N28)-R28,0)</f>
        <v>2655</v>
      </c>
    </row>
    <row r="29" spans="1:19" s="5" customFormat="1" x14ac:dyDescent="0.25">
      <c r="A29" s="6">
        <v>12000</v>
      </c>
      <c r="B29" s="7">
        <f t="shared" si="5"/>
        <v>1000</v>
      </c>
      <c r="C29" s="7">
        <f>'Total income package'!$D$80</f>
        <v>0</v>
      </c>
      <c r="D29" s="7">
        <f t="shared" si="6"/>
        <v>1000</v>
      </c>
      <c r="E29" s="65">
        <f>D29/$K$2</f>
        <v>0.23980815347721823</v>
      </c>
      <c r="F29" s="65" t="str">
        <f t="shared" si="0"/>
        <v>Yes</v>
      </c>
      <c r="G29" s="65" t="str">
        <f t="shared" si="1"/>
        <v>Yes</v>
      </c>
      <c r="H29" s="301" t="str">
        <f>IF(OR('TANF-VIEW'!L33&gt;0,'TANF-VIEW'!T33&gt;0),"Yes","No")</f>
        <v>No</v>
      </c>
      <c r="I29" s="63">
        <f t="shared" si="8"/>
        <v>15</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860</v>
      </c>
      <c r="M29" s="6">
        <f>IF(B29&gt;$N$2,0,VLOOKUP('Total income package'!$B$3,'Location specific data'!$A$3:$AO$135,36,FALSE))*$F$2*20</f>
        <v>0</v>
      </c>
      <c r="N29" s="6">
        <f>IF(B29&gt;$N$2,0,VLOOKUP('Total income package'!$B$3,'Location specific data'!$A$3:$AO$135,37,FALSE))*($G$2+$H$2)*20</f>
        <v>560</v>
      </c>
      <c r="O29" s="6">
        <f t="shared" si="2"/>
        <v>45</v>
      </c>
      <c r="P29" s="312">
        <f t="shared" si="3"/>
        <v>50</v>
      </c>
      <c r="Q29" s="312">
        <f t="shared" si="4"/>
        <v>45</v>
      </c>
      <c r="R29" s="312">
        <f t="shared" si="9"/>
        <v>45</v>
      </c>
      <c r="S29" s="160">
        <f>IF(AND('Total income package'!$A$8=TRUE,OR(F29="Yes",G29="Yes",H29="Yes")),SUM(J29:N29)-R29,0)</f>
        <v>2655</v>
      </c>
    </row>
    <row r="30" spans="1:19" s="5" customFormat="1" x14ac:dyDescent="0.25">
      <c r="A30" s="6">
        <v>12500</v>
      </c>
      <c r="B30" s="7">
        <f t="shared" si="5"/>
        <v>1041.6666666666667</v>
      </c>
      <c r="C30" s="7">
        <f>'Total income package'!$D$80</f>
        <v>0</v>
      </c>
      <c r="D30" s="7">
        <f t="shared" si="6"/>
        <v>1041.6666666666667</v>
      </c>
      <c r="E30" s="65">
        <f t="shared" si="7"/>
        <v>0.24980015987210233</v>
      </c>
      <c r="F30" s="65" t="str">
        <f t="shared" si="0"/>
        <v>Yes</v>
      </c>
      <c r="G30" s="65" t="str">
        <f t="shared" si="1"/>
        <v>Yes</v>
      </c>
      <c r="H30" s="301" t="str">
        <f>IF(OR('TANF-VIEW'!L34&gt;0,'TANF-VIEW'!T34&gt;0),"Yes","No")</f>
        <v>No</v>
      </c>
      <c r="I30" s="63">
        <f t="shared" si="8"/>
        <v>15</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860</v>
      </c>
      <c r="M30" s="6">
        <f>IF(B30&gt;$N$2,0,VLOOKUP('Total income package'!$B$3,'Location specific data'!$A$3:$AO$135,36,FALSE))*$F$2*20</f>
        <v>0</v>
      </c>
      <c r="N30" s="6">
        <f>IF(B30&gt;$N$2,0,VLOOKUP('Total income package'!$B$3,'Location specific data'!$A$3:$AO$135,37,FALSE))*($G$2+$H$2)*20</f>
        <v>560</v>
      </c>
      <c r="O30" s="6">
        <f t="shared" si="2"/>
        <v>45</v>
      </c>
      <c r="P30" s="312">
        <f t="shared" si="3"/>
        <v>52.083333333333343</v>
      </c>
      <c r="Q30" s="312">
        <f t="shared" si="4"/>
        <v>45</v>
      </c>
      <c r="R30" s="312">
        <f t="shared" si="9"/>
        <v>45</v>
      </c>
      <c r="S30" s="160">
        <f>IF(AND('Total income package'!$A$8=TRUE,OR(F30="Yes",G30="Yes",H30="Yes")),SUM(J30:N30)-R30,0)</f>
        <v>2655</v>
      </c>
    </row>
    <row r="31" spans="1:19" s="5" customFormat="1" x14ac:dyDescent="0.25">
      <c r="A31" s="6">
        <v>13000</v>
      </c>
      <c r="B31" s="7">
        <f t="shared" si="5"/>
        <v>1083.3333333333333</v>
      </c>
      <c r="C31" s="7">
        <f>'Total income package'!$D$80</f>
        <v>0</v>
      </c>
      <c r="D31" s="7">
        <f t="shared" si="6"/>
        <v>1083.3333333333333</v>
      </c>
      <c r="E31" s="65">
        <f t="shared" si="7"/>
        <v>0.25979216626698637</v>
      </c>
      <c r="F31" s="65" t="str">
        <f t="shared" si="0"/>
        <v>Yes</v>
      </c>
      <c r="G31" s="65" t="str">
        <f t="shared" si="1"/>
        <v>Yes</v>
      </c>
      <c r="H31" s="301" t="str">
        <f>IF(OR('TANF-VIEW'!L35&gt;0,'TANF-VIEW'!T35&gt;0),"Yes","No")</f>
        <v>No</v>
      </c>
      <c r="I31" s="63">
        <f t="shared" si="8"/>
        <v>15</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860</v>
      </c>
      <c r="M31" s="6">
        <f>IF(B31&gt;$N$2,0,VLOOKUP('Total income package'!$B$3,'Location specific data'!$A$3:$AO$135,36,FALSE))*$F$2*20</f>
        <v>0</v>
      </c>
      <c r="N31" s="6">
        <f>IF(B31&gt;$N$2,0,VLOOKUP('Total income package'!$B$3,'Location specific data'!$A$3:$AO$135,37,FALSE))*($G$2+$H$2)*20</f>
        <v>560</v>
      </c>
      <c r="O31" s="6">
        <f t="shared" si="2"/>
        <v>45</v>
      </c>
      <c r="P31" s="312">
        <f t="shared" si="3"/>
        <v>54.166666666666664</v>
      </c>
      <c r="Q31" s="312">
        <f t="shared" si="4"/>
        <v>45</v>
      </c>
      <c r="R31" s="312">
        <f t="shared" si="9"/>
        <v>45</v>
      </c>
      <c r="S31" s="160">
        <f>IF(AND('Total income package'!$A$8=TRUE,OR(F31="Yes",G31="Yes",H31="Yes")),SUM(J31:N31)-R31,0)</f>
        <v>2655</v>
      </c>
    </row>
    <row r="32" spans="1:19" s="5" customFormat="1" x14ac:dyDescent="0.25">
      <c r="A32" s="6">
        <v>13500</v>
      </c>
      <c r="B32" s="7">
        <f t="shared" si="5"/>
        <v>1125</v>
      </c>
      <c r="C32" s="7">
        <f>'Total income package'!$D$80</f>
        <v>0</v>
      </c>
      <c r="D32" s="7">
        <f t="shared" si="6"/>
        <v>1125</v>
      </c>
      <c r="E32" s="65">
        <f t="shared" si="7"/>
        <v>0.26978417266187049</v>
      </c>
      <c r="F32" s="65" t="str">
        <f t="shared" si="0"/>
        <v>Yes</v>
      </c>
      <c r="G32" s="65" t="str">
        <f t="shared" si="1"/>
        <v>Yes</v>
      </c>
      <c r="H32" s="301" t="str">
        <f>IF(OR('TANF-VIEW'!L36&gt;0,'TANF-VIEW'!T36&gt;0),"Yes","No")</f>
        <v>No</v>
      </c>
      <c r="I32" s="63">
        <f t="shared" si="8"/>
        <v>15</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860</v>
      </c>
      <c r="M32" s="6">
        <f>IF(B32&gt;$N$2,0,VLOOKUP('Total income package'!$B$3,'Location specific data'!$A$3:$AO$135,36,FALSE))*$F$2*20</f>
        <v>0</v>
      </c>
      <c r="N32" s="6">
        <f>IF(B32&gt;$N$2,0,VLOOKUP('Total income package'!$B$3,'Location specific data'!$A$3:$AO$135,37,FALSE))*($G$2+$H$2)*20</f>
        <v>560</v>
      </c>
      <c r="O32" s="6">
        <f t="shared" si="2"/>
        <v>45</v>
      </c>
      <c r="P32" s="312">
        <f t="shared" si="3"/>
        <v>56.25</v>
      </c>
      <c r="Q32" s="312">
        <f t="shared" si="4"/>
        <v>45</v>
      </c>
      <c r="R32" s="312">
        <f t="shared" si="9"/>
        <v>45</v>
      </c>
      <c r="S32" s="160">
        <f>IF(AND('Total income package'!$A$8=TRUE,OR(F32="Yes",G32="Yes",H32="Yes")),SUM(J32:N32)-R32,0)</f>
        <v>2655</v>
      </c>
    </row>
    <row r="33" spans="1:19" s="5" customFormat="1" x14ac:dyDescent="0.25">
      <c r="A33" s="6">
        <v>14000</v>
      </c>
      <c r="B33" s="7">
        <f t="shared" si="5"/>
        <v>1166.6666666666667</v>
      </c>
      <c r="C33" s="7">
        <f>'Total income package'!$D$80</f>
        <v>0</v>
      </c>
      <c r="D33" s="7">
        <f t="shared" si="6"/>
        <v>1166.6666666666667</v>
      </c>
      <c r="E33" s="65">
        <f t="shared" si="7"/>
        <v>0.27977617905675461</v>
      </c>
      <c r="F33" s="65" t="str">
        <f t="shared" si="0"/>
        <v>Yes</v>
      </c>
      <c r="G33" s="65" t="str">
        <f t="shared" si="1"/>
        <v>Yes</v>
      </c>
      <c r="H33" s="301" t="str">
        <f>IF(OR('TANF-VIEW'!L37&gt;0,'TANF-VIEW'!T37&gt;0),"Yes","No")</f>
        <v>No</v>
      </c>
      <c r="I33" s="63">
        <f t="shared" si="8"/>
        <v>15</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860</v>
      </c>
      <c r="M33" s="6">
        <f>IF(B33&gt;$N$2,0,VLOOKUP('Total income package'!$B$3,'Location specific data'!$A$3:$AO$135,36,FALSE))*$F$2*20</f>
        <v>0</v>
      </c>
      <c r="N33" s="6">
        <f>IF(B33&gt;$N$2,0,VLOOKUP('Total income package'!$B$3,'Location specific data'!$A$3:$AO$135,37,FALSE))*($G$2+$H$2)*20</f>
        <v>560</v>
      </c>
      <c r="O33" s="6">
        <f t="shared" si="2"/>
        <v>45</v>
      </c>
      <c r="P33" s="312">
        <f t="shared" si="3"/>
        <v>58.333333333333343</v>
      </c>
      <c r="Q33" s="312">
        <f t="shared" si="4"/>
        <v>45</v>
      </c>
      <c r="R33" s="312">
        <f t="shared" si="9"/>
        <v>45</v>
      </c>
      <c r="S33" s="160">
        <f>IF(AND('Total income package'!$A$8=TRUE,OR(F33="Yes",G33="Yes",H33="Yes")),SUM(J33:N33)-R33,0)</f>
        <v>2655</v>
      </c>
    </row>
    <row r="34" spans="1:19" s="5" customFormat="1" x14ac:dyDescent="0.25">
      <c r="A34" s="6">
        <v>14500</v>
      </c>
      <c r="B34" s="7">
        <f t="shared" si="5"/>
        <v>1208.3333333333333</v>
      </c>
      <c r="C34" s="7">
        <f>'Total income package'!$D$80</f>
        <v>0</v>
      </c>
      <c r="D34" s="7">
        <f t="shared" si="6"/>
        <v>1208.3333333333333</v>
      </c>
      <c r="E34" s="65">
        <f t="shared" si="7"/>
        <v>0.28976818545163868</v>
      </c>
      <c r="F34" s="65" t="str">
        <f t="shared" si="0"/>
        <v>Yes</v>
      </c>
      <c r="G34" s="65" t="str">
        <f t="shared" si="1"/>
        <v>Yes</v>
      </c>
      <c r="H34" s="301" t="str">
        <f>IF(OR('TANF-VIEW'!L38&gt;0,'TANF-VIEW'!T38&gt;0),"Yes","No")</f>
        <v>No</v>
      </c>
      <c r="I34" s="63">
        <f t="shared" si="8"/>
        <v>15</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860</v>
      </c>
      <c r="M34" s="6">
        <f>IF(B34&gt;$N$2,0,VLOOKUP('Total income package'!$B$3,'Location specific data'!$A$3:$AO$135,36,FALSE))*$F$2*20</f>
        <v>0</v>
      </c>
      <c r="N34" s="6">
        <f>IF(B34&gt;$N$2,0,VLOOKUP('Total income package'!$B$3,'Location specific data'!$A$3:$AO$135,37,FALSE))*($G$2+$H$2)*20</f>
        <v>560</v>
      </c>
      <c r="O34" s="6">
        <f t="shared" si="2"/>
        <v>45</v>
      </c>
      <c r="P34" s="312">
        <f t="shared" si="3"/>
        <v>60.416666666666664</v>
      </c>
      <c r="Q34" s="312">
        <f t="shared" si="4"/>
        <v>45</v>
      </c>
      <c r="R34" s="312">
        <f t="shared" si="9"/>
        <v>45</v>
      </c>
      <c r="S34" s="160">
        <f>IF(AND('Total income package'!$A$8=TRUE,OR(F34="Yes",G34="Yes",H34="Yes")),SUM(J34:N34)-R34,0)</f>
        <v>2655</v>
      </c>
    </row>
    <row r="35" spans="1:19" s="5" customFormat="1" x14ac:dyDescent="0.25">
      <c r="A35" s="6">
        <v>15000</v>
      </c>
      <c r="B35" s="7">
        <f t="shared" si="5"/>
        <v>1250</v>
      </c>
      <c r="C35" s="7">
        <f>'Total income package'!$D$80</f>
        <v>0</v>
      </c>
      <c r="D35" s="7">
        <f t="shared" si="6"/>
        <v>1250</v>
      </c>
      <c r="E35" s="65">
        <f t="shared" si="7"/>
        <v>0.29976019184652281</v>
      </c>
      <c r="F35" s="65" t="str">
        <f t="shared" si="0"/>
        <v>Yes</v>
      </c>
      <c r="G35" s="65" t="str">
        <f t="shared" si="1"/>
        <v>Yes</v>
      </c>
      <c r="H35" s="301" t="str">
        <f>IF(OR('TANF-VIEW'!L39&gt;0,'TANF-VIEW'!T39&gt;0),"Yes","No")</f>
        <v>No</v>
      </c>
      <c r="I35" s="63">
        <f t="shared" si="8"/>
        <v>15</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860</v>
      </c>
      <c r="M35" s="6">
        <f>IF(B35&gt;$N$2,0,VLOOKUP('Total income package'!$B$3,'Location specific data'!$A$3:$AO$135,36,FALSE))*$F$2*20</f>
        <v>0</v>
      </c>
      <c r="N35" s="6">
        <f>IF(B35&gt;$N$2,0,VLOOKUP('Total income package'!$B$3,'Location specific data'!$A$3:$AO$135,37,FALSE))*($G$2+$H$2)*20</f>
        <v>560</v>
      </c>
      <c r="O35" s="6">
        <f t="shared" si="2"/>
        <v>45</v>
      </c>
      <c r="P35" s="312">
        <f t="shared" si="3"/>
        <v>62.5</v>
      </c>
      <c r="Q35" s="312">
        <f t="shared" si="4"/>
        <v>45</v>
      </c>
      <c r="R35" s="312">
        <f t="shared" si="9"/>
        <v>45</v>
      </c>
      <c r="S35" s="160">
        <f>IF(AND('Total income package'!$A$8=TRUE,OR(F35="Yes",G35="Yes",H35="Yes")),SUM(J35:N35)-R35,0)</f>
        <v>2655</v>
      </c>
    </row>
    <row r="36" spans="1:19" s="5" customFormat="1" x14ac:dyDescent="0.25">
      <c r="A36" s="6">
        <v>15500</v>
      </c>
      <c r="B36" s="7">
        <f t="shared" si="5"/>
        <v>1291.6666666666667</v>
      </c>
      <c r="C36" s="7">
        <f>'Total income package'!$D$80</f>
        <v>0</v>
      </c>
      <c r="D36" s="7">
        <f t="shared" si="6"/>
        <v>1291.6666666666667</v>
      </c>
      <c r="E36" s="65">
        <f t="shared" si="7"/>
        <v>0.30975219824140687</v>
      </c>
      <c r="F36" s="65" t="str">
        <f t="shared" si="0"/>
        <v>Yes</v>
      </c>
      <c r="G36" s="65" t="str">
        <f t="shared" si="1"/>
        <v>Yes</v>
      </c>
      <c r="H36" s="301" t="str">
        <f>IF(OR('TANF-VIEW'!L40&gt;0,'TANF-VIEW'!T40&gt;0),"Yes","No")</f>
        <v>No</v>
      </c>
      <c r="I36" s="63">
        <f t="shared" si="8"/>
        <v>15</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860</v>
      </c>
      <c r="M36" s="6">
        <f>IF(B36&gt;$N$2,0,VLOOKUP('Total income package'!$B$3,'Location specific data'!$A$3:$AO$135,36,FALSE))*$F$2*20</f>
        <v>0</v>
      </c>
      <c r="N36" s="6">
        <f>IF(B36&gt;$N$2,0,VLOOKUP('Total income package'!$B$3,'Location specific data'!$A$3:$AO$135,37,FALSE))*($G$2+$H$2)*20</f>
        <v>560</v>
      </c>
      <c r="O36" s="6">
        <f t="shared" si="2"/>
        <v>45</v>
      </c>
      <c r="P36" s="312">
        <f t="shared" si="3"/>
        <v>64.583333333333343</v>
      </c>
      <c r="Q36" s="312">
        <f t="shared" si="4"/>
        <v>45</v>
      </c>
      <c r="R36" s="312">
        <f t="shared" si="9"/>
        <v>45</v>
      </c>
      <c r="S36" s="160">
        <f>IF(AND('Total income package'!$A$8=TRUE,OR(F36="Yes",G36="Yes",H36="Yes")),SUM(J36:N36)-R36,0)</f>
        <v>2655</v>
      </c>
    </row>
    <row r="37" spans="1:19" s="5" customFormat="1" x14ac:dyDescent="0.25">
      <c r="A37" s="6">
        <v>16000</v>
      </c>
      <c r="B37" s="7">
        <f t="shared" si="5"/>
        <v>1333.3333333333333</v>
      </c>
      <c r="C37" s="7">
        <f>'Total income package'!$D$80</f>
        <v>0</v>
      </c>
      <c r="D37" s="7">
        <f t="shared" si="6"/>
        <v>1333.3333333333333</v>
      </c>
      <c r="E37" s="65">
        <f t="shared" si="7"/>
        <v>0.31974420463629094</v>
      </c>
      <c r="F37" s="65" t="str">
        <f t="shared" si="0"/>
        <v>Yes</v>
      </c>
      <c r="G37" s="65" t="str">
        <f t="shared" si="1"/>
        <v>Yes</v>
      </c>
      <c r="H37" s="301" t="str">
        <f>IF(OR('TANF-VIEW'!L41&gt;0,'TANF-VIEW'!T41&gt;0),"Yes","No")</f>
        <v>No</v>
      </c>
      <c r="I37" s="63">
        <f t="shared" si="8"/>
        <v>15</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860</v>
      </c>
      <c r="M37" s="6">
        <f>IF(B37&gt;$N$2,0,VLOOKUP('Total income package'!$B$3,'Location specific data'!$A$3:$AO$135,36,FALSE))*$F$2*20</f>
        <v>0</v>
      </c>
      <c r="N37" s="6">
        <f>IF(B37&gt;$N$2,0,VLOOKUP('Total income package'!$B$3,'Location specific data'!$A$3:$AO$135,37,FALSE))*($G$2+$H$2)*20</f>
        <v>560</v>
      </c>
      <c r="O37" s="6">
        <f t="shared" si="2"/>
        <v>45</v>
      </c>
      <c r="P37" s="312">
        <f t="shared" ref="P37:P68" si="10">B37*0.05</f>
        <v>66.666666666666671</v>
      </c>
      <c r="Q37" s="312">
        <f t="shared" si="4"/>
        <v>45</v>
      </c>
      <c r="R37" s="312">
        <f t="shared" si="9"/>
        <v>45</v>
      </c>
      <c r="S37" s="160">
        <f>IF(AND('Total income package'!$A$8=TRUE,OR(F37="Yes",G37="Yes",H37="Yes")),SUM(J37:N37)-R37,0)</f>
        <v>2655</v>
      </c>
    </row>
    <row r="38" spans="1:19" s="5" customFormat="1" x14ac:dyDescent="0.25">
      <c r="A38" s="6">
        <v>16500</v>
      </c>
      <c r="B38" s="7">
        <f t="shared" si="5"/>
        <v>1375</v>
      </c>
      <c r="C38" s="7">
        <f>'Total income package'!$D$80</f>
        <v>0</v>
      </c>
      <c r="D38" s="7">
        <f t="shared" si="6"/>
        <v>1375</v>
      </c>
      <c r="E38" s="65">
        <f t="shared" si="7"/>
        <v>0.32973621103117506</v>
      </c>
      <c r="F38" s="65" t="str">
        <f t="shared" si="0"/>
        <v>Yes</v>
      </c>
      <c r="G38" s="65" t="str">
        <f t="shared" si="1"/>
        <v>Yes</v>
      </c>
      <c r="H38" s="301" t="str">
        <f>IF(OR('TANF-VIEW'!L42&gt;0,'TANF-VIEW'!T42&gt;0),"Yes","No")</f>
        <v>No</v>
      </c>
      <c r="I38" s="63">
        <f t="shared" si="8"/>
        <v>15</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860</v>
      </c>
      <c r="M38" s="6">
        <f>IF(B38&gt;$N$2,0,VLOOKUP('Total income package'!$B$3,'Location specific data'!$A$3:$AO$135,36,FALSE))*$F$2*20</f>
        <v>0</v>
      </c>
      <c r="N38" s="6">
        <f>IF(B38&gt;$N$2,0,VLOOKUP('Total income package'!$B$3,'Location specific data'!$A$3:$AO$135,37,FALSE))*($G$2+$H$2)*20</f>
        <v>560</v>
      </c>
      <c r="O38" s="6">
        <f t="shared" si="2"/>
        <v>45</v>
      </c>
      <c r="P38" s="312">
        <f t="shared" si="10"/>
        <v>68.75</v>
      </c>
      <c r="Q38" s="312">
        <f t="shared" si="4"/>
        <v>45</v>
      </c>
      <c r="R38" s="312">
        <f t="shared" si="9"/>
        <v>45</v>
      </c>
      <c r="S38" s="160">
        <f>IF(AND('Total income package'!$A$8=TRUE,OR(F38="Yes",G38="Yes",H38="Yes")),SUM(J38:N38)-R38,0)</f>
        <v>2655</v>
      </c>
    </row>
    <row r="39" spans="1:19" s="5" customFormat="1" x14ac:dyDescent="0.25">
      <c r="A39" s="6">
        <v>17000</v>
      </c>
      <c r="B39" s="7">
        <f t="shared" si="5"/>
        <v>1416.6666666666667</v>
      </c>
      <c r="C39" s="7">
        <f>'Total income package'!$D$80</f>
        <v>0</v>
      </c>
      <c r="D39" s="7">
        <f t="shared" si="6"/>
        <v>1416.6666666666667</v>
      </c>
      <c r="E39" s="65">
        <f t="shared" si="7"/>
        <v>0.33972821742605919</v>
      </c>
      <c r="F39" s="65" t="str">
        <f t="shared" si="0"/>
        <v>Yes</v>
      </c>
      <c r="G39" s="65" t="str">
        <f t="shared" si="1"/>
        <v>Yes</v>
      </c>
      <c r="H39" s="301" t="str">
        <f>IF(OR('TANF-VIEW'!L43&gt;0,'TANF-VIEW'!T43&gt;0),"Yes","No")</f>
        <v>No</v>
      </c>
      <c r="I39" s="63">
        <f t="shared" si="8"/>
        <v>15</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860</v>
      </c>
      <c r="M39" s="6">
        <f>IF(B39&gt;$N$2,0,VLOOKUP('Total income package'!$B$3,'Location specific data'!$A$3:$AO$135,36,FALSE))*$F$2*20</f>
        <v>0</v>
      </c>
      <c r="N39" s="6">
        <f>IF(B39&gt;$N$2,0,VLOOKUP('Total income package'!$B$3,'Location specific data'!$A$3:$AO$135,37,FALSE))*($G$2+$H$2)*20</f>
        <v>560</v>
      </c>
      <c r="O39" s="6">
        <f t="shared" si="2"/>
        <v>45</v>
      </c>
      <c r="P39" s="312">
        <f t="shared" si="10"/>
        <v>70.833333333333343</v>
      </c>
      <c r="Q39" s="312">
        <f t="shared" si="4"/>
        <v>45</v>
      </c>
      <c r="R39" s="312">
        <f t="shared" si="9"/>
        <v>45</v>
      </c>
      <c r="S39" s="160">
        <f>IF(AND('Total income package'!$A$8=TRUE,OR(F39="Yes",G39="Yes",H39="Yes")),SUM(J39:N39)-R39,0)</f>
        <v>2655</v>
      </c>
    </row>
    <row r="40" spans="1:19" s="5" customFormat="1" x14ac:dyDescent="0.25">
      <c r="A40" s="6">
        <v>17500</v>
      </c>
      <c r="B40" s="7">
        <f t="shared" si="5"/>
        <v>1458.3333333333333</v>
      </c>
      <c r="C40" s="7">
        <f>'Total income package'!$D$80</f>
        <v>0</v>
      </c>
      <c r="D40" s="7">
        <f t="shared" si="6"/>
        <v>1458.3333333333333</v>
      </c>
      <c r="E40" s="65">
        <f t="shared" si="7"/>
        <v>0.34972022382094325</v>
      </c>
      <c r="F40" s="65" t="str">
        <f t="shared" si="0"/>
        <v>Yes</v>
      </c>
      <c r="G40" s="65" t="str">
        <f t="shared" si="1"/>
        <v>Yes</v>
      </c>
      <c r="H40" s="301" t="str">
        <f>IF(OR('TANF-VIEW'!L44&gt;0,'TANF-VIEW'!T44&gt;0),"Yes","No")</f>
        <v>No</v>
      </c>
      <c r="I40" s="63">
        <f t="shared" si="8"/>
        <v>15</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860</v>
      </c>
      <c r="M40" s="6">
        <f>IF(B40&gt;$N$2,0,VLOOKUP('Total income package'!$B$3,'Location specific data'!$A$3:$AO$135,36,FALSE))*$F$2*20</f>
        <v>0</v>
      </c>
      <c r="N40" s="6">
        <f>IF(B40&gt;$N$2,0,VLOOKUP('Total income package'!$B$3,'Location specific data'!$A$3:$AO$135,37,FALSE))*($G$2+$H$2)*20</f>
        <v>560</v>
      </c>
      <c r="O40" s="6">
        <f t="shared" si="2"/>
        <v>45</v>
      </c>
      <c r="P40" s="312">
        <f t="shared" si="10"/>
        <v>72.916666666666671</v>
      </c>
      <c r="Q40" s="312">
        <f t="shared" si="4"/>
        <v>45</v>
      </c>
      <c r="R40" s="312">
        <f t="shared" si="9"/>
        <v>45</v>
      </c>
      <c r="S40" s="160">
        <f>IF(AND('Total income package'!$A$8=TRUE,OR(F40="Yes",G40="Yes",H40="Yes")),SUM(J40:N40)-R40,0)</f>
        <v>2655</v>
      </c>
    </row>
    <row r="41" spans="1:19" s="5" customFormat="1" x14ac:dyDescent="0.25">
      <c r="A41" s="6">
        <v>18000</v>
      </c>
      <c r="B41" s="7">
        <f t="shared" si="5"/>
        <v>1500</v>
      </c>
      <c r="C41" s="7">
        <f>'Total income package'!$D$80</f>
        <v>0</v>
      </c>
      <c r="D41" s="7">
        <f t="shared" si="6"/>
        <v>1500</v>
      </c>
      <c r="E41" s="65">
        <f t="shared" si="7"/>
        <v>0.35971223021582732</v>
      </c>
      <c r="F41" s="65" t="str">
        <f t="shared" si="0"/>
        <v>Yes</v>
      </c>
      <c r="G41" s="65" t="str">
        <f t="shared" si="1"/>
        <v>Yes</v>
      </c>
      <c r="H41" s="301" t="str">
        <f>IF(OR('TANF-VIEW'!L45&gt;0,'TANF-VIEW'!T45&gt;0),"Yes","No")</f>
        <v>No</v>
      </c>
      <c r="I41" s="63">
        <f t="shared" si="8"/>
        <v>15</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860</v>
      </c>
      <c r="M41" s="6">
        <f>IF(B41&gt;$N$2,0,VLOOKUP('Total income package'!$B$3,'Location specific data'!$A$3:$AO$135,36,FALSE))*$F$2*20</f>
        <v>0</v>
      </c>
      <c r="N41" s="6">
        <f>IF(B41&gt;$N$2,0,VLOOKUP('Total income package'!$B$3,'Location specific data'!$A$3:$AO$135,37,FALSE))*($G$2+$H$2)*20</f>
        <v>560</v>
      </c>
      <c r="O41" s="6">
        <f t="shared" si="2"/>
        <v>45</v>
      </c>
      <c r="P41" s="312">
        <f t="shared" si="10"/>
        <v>75</v>
      </c>
      <c r="Q41" s="312">
        <f t="shared" si="4"/>
        <v>45</v>
      </c>
      <c r="R41" s="312">
        <f t="shared" si="9"/>
        <v>45</v>
      </c>
      <c r="S41" s="160">
        <f>IF(AND('Total income package'!$A$8=TRUE,OR(F41="Yes",G41="Yes",H41="Yes")),SUM(J41:N41)-R41,0)</f>
        <v>2655</v>
      </c>
    </row>
    <row r="42" spans="1:19" s="5" customFormat="1" x14ac:dyDescent="0.25">
      <c r="A42" s="6">
        <v>18500</v>
      </c>
      <c r="B42" s="7">
        <f t="shared" si="5"/>
        <v>1541.6666666666667</v>
      </c>
      <c r="C42" s="7">
        <f>'Total income package'!$D$80</f>
        <v>0</v>
      </c>
      <c r="D42" s="7">
        <f t="shared" si="6"/>
        <v>1541.6666666666667</v>
      </c>
      <c r="E42" s="65">
        <f t="shared" si="7"/>
        <v>0.36970423661071145</v>
      </c>
      <c r="F42" s="65" t="str">
        <f t="shared" si="0"/>
        <v>Yes</v>
      </c>
      <c r="G42" s="65" t="str">
        <f t="shared" si="1"/>
        <v>Yes</v>
      </c>
      <c r="H42" s="301" t="str">
        <f>IF(OR('TANF-VIEW'!L46&gt;0,'TANF-VIEW'!T46&gt;0),"Yes","No")</f>
        <v>No</v>
      </c>
      <c r="I42" s="63">
        <f t="shared" si="8"/>
        <v>15</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860</v>
      </c>
      <c r="M42" s="6">
        <f>IF(B42&gt;$N$2,0,VLOOKUP('Total income package'!$B$3,'Location specific data'!$A$3:$AO$135,36,FALSE))*$F$2*20</f>
        <v>0</v>
      </c>
      <c r="N42" s="6">
        <f>IF(B42&gt;$N$2,0,VLOOKUP('Total income package'!$B$3,'Location specific data'!$A$3:$AO$135,37,FALSE))*($G$2+$H$2)*20</f>
        <v>560</v>
      </c>
      <c r="O42" s="6">
        <f t="shared" si="2"/>
        <v>45</v>
      </c>
      <c r="P42" s="312">
        <f t="shared" si="10"/>
        <v>77.083333333333343</v>
      </c>
      <c r="Q42" s="312">
        <f t="shared" si="4"/>
        <v>45</v>
      </c>
      <c r="R42" s="312">
        <f t="shared" si="9"/>
        <v>45</v>
      </c>
      <c r="S42" s="160">
        <f>IF(AND('Total income package'!$A$8=TRUE,OR(F42="Yes",G42="Yes",H42="Yes")),SUM(J42:N42)-R42,0)</f>
        <v>2655</v>
      </c>
    </row>
    <row r="43" spans="1:19" s="5" customFormat="1" x14ac:dyDescent="0.25">
      <c r="A43" s="6">
        <v>19000</v>
      </c>
      <c r="B43" s="7">
        <f t="shared" si="5"/>
        <v>1583.3333333333333</v>
      </c>
      <c r="C43" s="7">
        <f>'Total income package'!$D$80</f>
        <v>0</v>
      </c>
      <c r="D43" s="7">
        <f t="shared" si="6"/>
        <v>1583.3333333333333</v>
      </c>
      <c r="E43" s="65">
        <f t="shared" si="7"/>
        <v>0.37969624300559551</v>
      </c>
      <c r="F43" s="65" t="str">
        <f t="shared" si="0"/>
        <v>Yes</v>
      </c>
      <c r="G43" s="65" t="str">
        <f t="shared" si="1"/>
        <v>Yes</v>
      </c>
      <c r="H43" s="301" t="str">
        <f>IF(OR('TANF-VIEW'!L47&gt;0,'TANF-VIEW'!T47&gt;0),"Yes","No")</f>
        <v>No</v>
      </c>
      <c r="I43" s="63">
        <f t="shared" si="8"/>
        <v>15</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860</v>
      </c>
      <c r="M43" s="6">
        <f>IF(B43&gt;$N$2,0,VLOOKUP('Total income package'!$B$3,'Location specific data'!$A$3:$AO$135,36,FALSE))*$F$2*20</f>
        <v>0</v>
      </c>
      <c r="N43" s="6">
        <f>IF(B43&gt;$N$2,0,VLOOKUP('Total income package'!$B$3,'Location specific data'!$A$3:$AO$135,37,FALSE))*($G$2+$H$2)*20</f>
        <v>560</v>
      </c>
      <c r="O43" s="6">
        <f t="shared" si="2"/>
        <v>45</v>
      </c>
      <c r="P43" s="312">
        <f t="shared" si="10"/>
        <v>79.166666666666671</v>
      </c>
      <c r="Q43" s="312">
        <f t="shared" si="4"/>
        <v>45</v>
      </c>
      <c r="R43" s="312">
        <f t="shared" si="9"/>
        <v>45</v>
      </c>
      <c r="S43" s="160">
        <f>IF(AND('Total income package'!$A$8=TRUE,OR(F43="Yes",G43="Yes",H43="Yes")),SUM(J43:N43)-R43,0)</f>
        <v>2655</v>
      </c>
    </row>
    <row r="44" spans="1:19" s="5" customFormat="1" x14ac:dyDescent="0.25">
      <c r="A44" s="6">
        <v>19500</v>
      </c>
      <c r="B44" s="7">
        <f t="shared" si="5"/>
        <v>1625</v>
      </c>
      <c r="C44" s="7">
        <f>'Total income package'!$D$80</f>
        <v>0</v>
      </c>
      <c r="D44" s="7">
        <f t="shared" si="6"/>
        <v>1625</v>
      </c>
      <c r="E44" s="65">
        <f t="shared" si="7"/>
        <v>0.38968824940047964</v>
      </c>
      <c r="F44" s="65" t="str">
        <f t="shared" si="0"/>
        <v>Yes</v>
      </c>
      <c r="G44" s="65" t="str">
        <f t="shared" si="1"/>
        <v>Yes</v>
      </c>
      <c r="H44" s="301" t="str">
        <f>IF(OR('TANF-VIEW'!L48&gt;0,'TANF-VIEW'!T48&gt;0),"Yes","No")</f>
        <v>No</v>
      </c>
      <c r="I44" s="63">
        <f t="shared" si="8"/>
        <v>15</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860</v>
      </c>
      <c r="M44" s="6">
        <f>IF(B44&gt;$N$2,0,VLOOKUP('Total income package'!$B$3,'Location specific data'!$A$3:$AO$135,36,FALSE))*$F$2*20</f>
        <v>0</v>
      </c>
      <c r="N44" s="6">
        <f>IF(B44&gt;$N$2,0,VLOOKUP('Total income package'!$B$3,'Location specific data'!$A$3:$AO$135,37,FALSE))*($G$2+$H$2)*20</f>
        <v>560</v>
      </c>
      <c r="O44" s="6">
        <f t="shared" si="2"/>
        <v>45</v>
      </c>
      <c r="P44" s="312">
        <f t="shared" si="10"/>
        <v>81.25</v>
      </c>
      <c r="Q44" s="312">
        <f t="shared" si="4"/>
        <v>45</v>
      </c>
      <c r="R44" s="312">
        <f t="shared" si="9"/>
        <v>45</v>
      </c>
      <c r="S44" s="160">
        <f>IF(AND('Total income package'!$A$8=TRUE,OR(F44="Yes",G44="Yes",H44="Yes")),SUM(J44:N44)-R44,0)</f>
        <v>2655</v>
      </c>
    </row>
    <row r="45" spans="1:19" s="5" customFormat="1" x14ac:dyDescent="0.25">
      <c r="A45" s="6">
        <v>20000</v>
      </c>
      <c r="B45" s="7">
        <f t="shared" si="5"/>
        <v>1666.6666666666667</v>
      </c>
      <c r="C45" s="7">
        <f>'Total income package'!$D$80</f>
        <v>0</v>
      </c>
      <c r="D45" s="7">
        <f t="shared" si="6"/>
        <v>1666.6666666666667</v>
      </c>
      <c r="E45" s="65">
        <f t="shared" si="7"/>
        <v>0.3996802557953637</v>
      </c>
      <c r="F45" s="65" t="str">
        <f t="shared" si="0"/>
        <v>Yes</v>
      </c>
      <c r="G45" s="65" t="str">
        <f t="shared" si="1"/>
        <v>Yes</v>
      </c>
      <c r="H45" s="301" t="str">
        <f>IF(OR('TANF-VIEW'!L49&gt;0,'TANF-VIEW'!T49&gt;0),"Yes","No")</f>
        <v>No</v>
      </c>
      <c r="I45" s="63">
        <f t="shared" si="8"/>
        <v>15</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860</v>
      </c>
      <c r="M45" s="6">
        <f>IF(B45&gt;$N$2,0,VLOOKUP('Total income package'!$B$3,'Location specific data'!$A$3:$AO$135,36,FALSE))*$F$2*20</f>
        <v>0</v>
      </c>
      <c r="N45" s="6">
        <f>IF(B45&gt;$N$2,0,VLOOKUP('Total income package'!$B$3,'Location specific data'!$A$3:$AO$135,37,FALSE))*($G$2+$H$2)*20</f>
        <v>560</v>
      </c>
      <c r="O45" s="6">
        <f t="shared" si="2"/>
        <v>45</v>
      </c>
      <c r="P45" s="312">
        <f t="shared" si="10"/>
        <v>83.333333333333343</v>
      </c>
      <c r="Q45" s="312">
        <f t="shared" si="4"/>
        <v>45</v>
      </c>
      <c r="R45" s="312">
        <f t="shared" si="9"/>
        <v>45</v>
      </c>
      <c r="S45" s="160">
        <f>IF(AND('Total income package'!$A$8=TRUE,OR(F45="Yes",G45="Yes",H45="Yes")),SUM(J45:N45)-R45,0)</f>
        <v>2655</v>
      </c>
    </row>
    <row r="46" spans="1:19" s="5" customFormat="1" x14ac:dyDescent="0.25">
      <c r="A46" s="6">
        <v>20500</v>
      </c>
      <c r="B46" s="7">
        <f t="shared" si="5"/>
        <v>1708.3333333333333</v>
      </c>
      <c r="C46" s="7">
        <f>'Total income package'!$D$80</f>
        <v>0</v>
      </c>
      <c r="D46" s="7">
        <f t="shared" si="6"/>
        <v>1708.3333333333333</v>
      </c>
      <c r="E46" s="65">
        <f t="shared" si="7"/>
        <v>0.40967226219024777</v>
      </c>
      <c r="F46" s="65" t="str">
        <f t="shared" si="0"/>
        <v>Yes</v>
      </c>
      <c r="G46" s="65" t="str">
        <f t="shared" si="1"/>
        <v>Yes</v>
      </c>
      <c r="H46" s="301" t="str">
        <f>IF(OR('TANF-VIEW'!L50&gt;0,'TANF-VIEW'!T50&gt;0),"Yes","No")</f>
        <v>No</v>
      </c>
      <c r="I46" s="63">
        <f t="shared" si="8"/>
        <v>15</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860</v>
      </c>
      <c r="M46" s="6">
        <f>IF(B46&gt;$N$2,0,VLOOKUP('Total income package'!$B$3,'Location specific data'!$A$3:$AO$135,36,FALSE))*$F$2*20</f>
        <v>0</v>
      </c>
      <c r="N46" s="6">
        <f>IF(B46&gt;$N$2,0,VLOOKUP('Total income package'!$B$3,'Location specific data'!$A$3:$AO$135,37,FALSE))*($G$2+$H$2)*20</f>
        <v>560</v>
      </c>
      <c r="O46" s="6">
        <f t="shared" si="2"/>
        <v>45</v>
      </c>
      <c r="P46" s="312">
        <f t="shared" si="10"/>
        <v>85.416666666666671</v>
      </c>
      <c r="Q46" s="312">
        <f t="shared" si="4"/>
        <v>45</v>
      </c>
      <c r="R46" s="312">
        <f t="shared" si="9"/>
        <v>45</v>
      </c>
      <c r="S46" s="160">
        <f>IF(AND('Total income package'!$A$8=TRUE,OR(F46="Yes",G46="Yes",H46="Yes")),SUM(J46:N46)-R46,0)</f>
        <v>2655</v>
      </c>
    </row>
    <row r="47" spans="1:19" s="5" customFormat="1" x14ac:dyDescent="0.25">
      <c r="A47" s="6">
        <v>21000</v>
      </c>
      <c r="B47" s="7">
        <f t="shared" si="5"/>
        <v>1750</v>
      </c>
      <c r="C47" s="7">
        <f>'Total income package'!$D$80</f>
        <v>0</v>
      </c>
      <c r="D47" s="7">
        <f t="shared" si="6"/>
        <v>1750</v>
      </c>
      <c r="E47" s="65">
        <f t="shared" si="7"/>
        <v>0.41966426858513189</v>
      </c>
      <c r="F47" s="65" t="str">
        <f t="shared" si="0"/>
        <v>Yes</v>
      </c>
      <c r="G47" s="65" t="str">
        <f t="shared" si="1"/>
        <v>Yes</v>
      </c>
      <c r="H47" s="301" t="str">
        <f>IF(OR('TANF-VIEW'!L51&gt;0,'TANF-VIEW'!T51&gt;0),"Yes","No")</f>
        <v>No</v>
      </c>
      <c r="I47" s="63">
        <f t="shared" si="8"/>
        <v>15</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860</v>
      </c>
      <c r="M47" s="6">
        <f>IF(B47&gt;$N$2,0,VLOOKUP('Total income package'!$B$3,'Location specific data'!$A$3:$AO$135,36,FALSE))*$F$2*20</f>
        <v>0</v>
      </c>
      <c r="N47" s="6">
        <f>IF(B47&gt;$N$2,0,VLOOKUP('Total income package'!$B$3,'Location specific data'!$A$3:$AO$135,37,FALSE))*($G$2+$H$2)*20</f>
        <v>560</v>
      </c>
      <c r="O47" s="6">
        <f t="shared" si="2"/>
        <v>45</v>
      </c>
      <c r="P47" s="312">
        <f t="shared" si="10"/>
        <v>87.5</v>
      </c>
      <c r="Q47" s="312">
        <f t="shared" si="4"/>
        <v>45</v>
      </c>
      <c r="R47" s="312">
        <f t="shared" si="9"/>
        <v>45</v>
      </c>
      <c r="S47" s="160">
        <f>IF(AND('Total income package'!$A$8=TRUE,OR(F47="Yes",G47="Yes",H47="Yes")),SUM(J47:N47)-R47,0)</f>
        <v>2655</v>
      </c>
    </row>
    <row r="48" spans="1:19" s="5" customFormat="1" x14ac:dyDescent="0.25">
      <c r="A48" s="6">
        <v>21500</v>
      </c>
      <c r="B48" s="7">
        <f t="shared" si="5"/>
        <v>1791.6666666666667</v>
      </c>
      <c r="C48" s="7">
        <f>'Total income package'!$D$80</f>
        <v>0</v>
      </c>
      <c r="D48" s="7">
        <f t="shared" si="6"/>
        <v>1791.6666666666667</v>
      </c>
      <c r="E48" s="65">
        <f t="shared" si="7"/>
        <v>0.42965627498001602</v>
      </c>
      <c r="F48" s="65" t="str">
        <f t="shared" si="0"/>
        <v>Yes</v>
      </c>
      <c r="G48" s="65" t="str">
        <f t="shared" si="1"/>
        <v>Yes</v>
      </c>
      <c r="H48" s="301" t="str">
        <f>IF(OR('TANF-VIEW'!L52&gt;0,'TANF-VIEW'!T52&gt;0),"Yes","No")</f>
        <v>No</v>
      </c>
      <c r="I48" s="63">
        <f t="shared" si="8"/>
        <v>15</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860</v>
      </c>
      <c r="M48" s="6">
        <f>IF(B48&gt;$N$2,0,VLOOKUP('Total income package'!$B$3,'Location specific data'!$A$3:$AO$135,36,FALSE))*$F$2*20</f>
        <v>0</v>
      </c>
      <c r="N48" s="6">
        <f>IF(B48&gt;$N$2,0,VLOOKUP('Total income package'!$B$3,'Location specific data'!$A$3:$AO$135,37,FALSE))*($G$2+$H$2)*20</f>
        <v>560</v>
      </c>
      <c r="O48" s="6">
        <f t="shared" si="2"/>
        <v>45</v>
      </c>
      <c r="P48" s="312">
        <f t="shared" si="10"/>
        <v>89.583333333333343</v>
      </c>
      <c r="Q48" s="312">
        <f t="shared" si="4"/>
        <v>45</v>
      </c>
      <c r="R48" s="312">
        <f t="shared" si="9"/>
        <v>45</v>
      </c>
      <c r="S48" s="160">
        <f>IF(AND('Total income package'!$A$8=TRUE,OR(F48="Yes",G48="Yes",H48="Yes")),SUM(J48:N48)-R48,0)</f>
        <v>2655</v>
      </c>
    </row>
    <row r="49" spans="1:19" s="5" customFormat="1" x14ac:dyDescent="0.25">
      <c r="A49" s="6">
        <v>22000</v>
      </c>
      <c r="B49" s="7">
        <f t="shared" si="5"/>
        <v>1833.3333333333333</v>
      </c>
      <c r="C49" s="7">
        <f>'Total income package'!$D$80</f>
        <v>0</v>
      </c>
      <c r="D49" s="7">
        <f t="shared" si="6"/>
        <v>1833.3333333333333</v>
      </c>
      <c r="E49" s="65">
        <f t="shared" si="7"/>
        <v>0.43964828137490009</v>
      </c>
      <c r="F49" s="65" t="str">
        <f t="shared" si="0"/>
        <v>Yes</v>
      </c>
      <c r="G49" s="65" t="str">
        <f t="shared" si="1"/>
        <v>Yes</v>
      </c>
      <c r="H49" s="301" t="str">
        <f>IF(OR('TANF-VIEW'!L53&gt;0,'TANF-VIEW'!T53&gt;0),"Yes","No")</f>
        <v>No</v>
      </c>
      <c r="I49" s="63">
        <f t="shared" si="8"/>
        <v>15</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860</v>
      </c>
      <c r="M49" s="6">
        <f>IF(B49&gt;$N$2,0,VLOOKUP('Total income package'!$B$3,'Location specific data'!$A$3:$AO$135,36,FALSE))*$F$2*20</f>
        <v>0</v>
      </c>
      <c r="N49" s="6">
        <f>IF(B49&gt;$N$2,0,VLOOKUP('Total income package'!$B$3,'Location specific data'!$A$3:$AO$135,37,FALSE))*($G$2+$H$2)*20</f>
        <v>560</v>
      </c>
      <c r="O49" s="6">
        <f t="shared" si="2"/>
        <v>45</v>
      </c>
      <c r="P49" s="312">
        <f t="shared" si="10"/>
        <v>91.666666666666671</v>
      </c>
      <c r="Q49" s="312">
        <f t="shared" si="4"/>
        <v>45</v>
      </c>
      <c r="R49" s="312">
        <f t="shared" si="9"/>
        <v>45</v>
      </c>
      <c r="S49" s="160">
        <f>IF(AND('Total income package'!$A$8=TRUE,OR(F49="Yes",G49="Yes",H49="Yes")),SUM(J49:N49)-R49,0)</f>
        <v>2655</v>
      </c>
    </row>
    <row r="50" spans="1:19" s="5" customFormat="1" x14ac:dyDescent="0.25">
      <c r="A50" s="6">
        <v>22500</v>
      </c>
      <c r="B50" s="7">
        <f t="shared" si="5"/>
        <v>1875</v>
      </c>
      <c r="C50" s="7">
        <f>'Total income package'!$D$80</f>
        <v>0</v>
      </c>
      <c r="D50" s="7">
        <f t="shared" si="6"/>
        <v>1875</v>
      </c>
      <c r="E50" s="65">
        <f t="shared" si="7"/>
        <v>0.44964028776978415</v>
      </c>
      <c r="F50" s="65" t="str">
        <f t="shared" si="0"/>
        <v>Yes</v>
      </c>
      <c r="G50" s="65" t="str">
        <f t="shared" si="1"/>
        <v>Yes</v>
      </c>
      <c r="H50" s="301" t="str">
        <f>IF(OR('TANF-VIEW'!L54&gt;0,'TANF-VIEW'!T54&gt;0),"Yes","No")</f>
        <v>No</v>
      </c>
      <c r="I50" s="63">
        <f t="shared" si="8"/>
        <v>15</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860</v>
      </c>
      <c r="M50" s="6">
        <f>IF(B50&gt;$N$2,0,VLOOKUP('Total income package'!$B$3,'Location specific data'!$A$3:$AO$135,36,FALSE))*$F$2*20</f>
        <v>0</v>
      </c>
      <c r="N50" s="6">
        <f>IF(B50&gt;$N$2,0,VLOOKUP('Total income package'!$B$3,'Location specific data'!$A$3:$AO$135,37,FALSE))*($G$2+$H$2)*20</f>
        <v>560</v>
      </c>
      <c r="O50" s="6">
        <f t="shared" si="2"/>
        <v>45</v>
      </c>
      <c r="P50" s="312">
        <f t="shared" si="10"/>
        <v>93.75</v>
      </c>
      <c r="Q50" s="312">
        <f t="shared" si="4"/>
        <v>45</v>
      </c>
      <c r="R50" s="312">
        <f t="shared" si="9"/>
        <v>45</v>
      </c>
      <c r="S50" s="160">
        <f>IF(AND('Total income package'!$A$8=TRUE,OR(F50="Yes",G50="Yes",H50="Yes")),SUM(J50:N50)-R50,0)</f>
        <v>2655</v>
      </c>
    </row>
    <row r="51" spans="1:19" s="5" customFormat="1" x14ac:dyDescent="0.25">
      <c r="A51" s="6">
        <v>23000</v>
      </c>
      <c r="B51" s="7">
        <f t="shared" si="5"/>
        <v>1916.6666666666667</v>
      </c>
      <c r="C51" s="7">
        <f>'Total income package'!$D$80</f>
        <v>0</v>
      </c>
      <c r="D51" s="7">
        <f t="shared" si="6"/>
        <v>1916.6666666666667</v>
      </c>
      <c r="E51" s="65">
        <f t="shared" si="7"/>
        <v>0.45963229416466828</v>
      </c>
      <c r="F51" s="65" t="str">
        <f t="shared" si="0"/>
        <v>Yes</v>
      </c>
      <c r="G51" s="65" t="str">
        <f t="shared" si="1"/>
        <v>Yes</v>
      </c>
      <c r="H51" s="301" t="str">
        <f>IF(OR('TANF-VIEW'!L55&gt;0,'TANF-VIEW'!T55&gt;0),"Yes","No")</f>
        <v>No</v>
      </c>
      <c r="I51" s="63">
        <f t="shared" si="8"/>
        <v>15</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860</v>
      </c>
      <c r="M51" s="6">
        <f>IF(B51&gt;$N$2,0,VLOOKUP('Total income package'!$B$3,'Location specific data'!$A$3:$AO$135,36,FALSE))*$F$2*20</f>
        <v>0</v>
      </c>
      <c r="N51" s="6">
        <f>IF(B51&gt;$N$2,0,VLOOKUP('Total income package'!$B$3,'Location specific data'!$A$3:$AO$135,37,FALSE))*($G$2+$H$2)*20</f>
        <v>560</v>
      </c>
      <c r="O51" s="6">
        <f t="shared" si="2"/>
        <v>45</v>
      </c>
      <c r="P51" s="312">
        <f t="shared" si="10"/>
        <v>95.833333333333343</v>
      </c>
      <c r="Q51" s="312">
        <f t="shared" si="4"/>
        <v>45</v>
      </c>
      <c r="R51" s="312">
        <f t="shared" si="9"/>
        <v>45</v>
      </c>
      <c r="S51" s="160">
        <f>IF(AND('Total income package'!$A$8=TRUE,OR(F51="Yes",G51="Yes",H51="Yes")),SUM(J51:N51)-R51,0)</f>
        <v>2655</v>
      </c>
    </row>
    <row r="52" spans="1:19" s="5" customFormat="1" x14ac:dyDescent="0.25">
      <c r="A52" s="6">
        <v>23500</v>
      </c>
      <c r="B52" s="7">
        <f t="shared" si="5"/>
        <v>1958.3333333333333</v>
      </c>
      <c r="C52" s="7">
        <f>'Total income package'!$D$80</f>
        <v>0</v>
      </c>
      <c r="D52" s="7">
        <f t="shared" si="6"/>
        <v>1958.3333333333333</v>
      </c>
      <c r="E52" s="65">
        <f t="shared" si="7"/>
        <v>0.46962430055955234</v>
      </c>
      <c r="F52" s="65" t="str">
        <f t="shared" si="0"/>
        <v>Yes</v>
      </c>
      <c r="G52" s="65" t="str">
        <f t="shared" si="1"/>
        <v>Yes</v>
      </c>
      <c r="H52" s="301" t="str">
        <f>IF(OR('TANF-VIEW'!L56&gt;0,'TANF-VIEW'!T56&gt;0),"Yes","No")</f>
        <v>No</v>
      </c>
      <c r="I52" s="63">
        <f t="shared" si="8"/>
        <v>15</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860</v>
      </c>
      <c r="M52" s="6">
        <f>IF(B52&gt;$N$2,0,VLOOKUP('Total income package'!$B$3,'Location specific data'!$A$3:$AO$135,36,FALSE))*$F$2*20</f>
        <v>0</v>
      </c>
      <c r="N52" s="6">
        <f>IF(B52&gt;$N$2,0,VLOOKUP('Total income package'!$B$3,'Location specific data'!$A$3:$AO$135,37,FALSE))*($G$2+$H$2)*20</f>
        <v>560</v>
      </c>
      <c r="O52" s="6">
        <f t="shared" si="2"/>
        <v>45</v>
      </c>
      <c r="P52" s="312">
        <f t="shared" si="10"/>
        <v>97.916666666666671</v>
      </c>
      <c r="Q52" s="312">
        <f t="shared" si="4"/>
        <v>45</v>
      </c>
      <c r="R52" s="312">
        <f t="shared" si="9"/>
        <v>45</v>
      </c>
      <c r="S52" s="160">
        <f>IF(AND('Total income package'!$A$8=TRUE,OR(F52="Yes",G52="Yes",H52="Yes")),SUM(J52:N52)-R52,0)</f>
        <v>2655</v>
      </c>
    </row>
    <row r="53" spans="1:19" s="5" customFormat="1" x14ac:dyDescent="0.25">
      <c r="A53" s="6">
        <v>24000</v>
      </c>
      <c r="B53" s="7">
        <f t="shared" si="5"/>
        <v>2000</v>
      </c>
      <c r="C53" s="7">
        <f>'Total income package'!$D$80</f>
        <v>0</v>
      </c>
      <c r="D53" s="7">
        <f t="shared" si="6"/>
        <v>2000</v>
      </c>
      <c r="E53" s="65">
        <f t="shared" si="7"/>
        <v>0.47961630695443647</v>
      </c>
      <c r="F53" s="65" t="str">
        <f t="shared" si="0"/>
        <v>Yes</v>
      </c>
      <c r="G53" s="65" t="str">
        <f t="shared" si="1"/>
        <v>Yes</v>
      </c>
      <c r="H53" s="301" t="str">
        <f>IF(OR('TANF-VIEW'!L57&gt;0,'TANF-VIEW'!T57&gt;0),"Yes","No")</f>
        <v>No</v>
      </c>
      <c r="I53" s="63">
        <f t="shared" si="8"/>
        <v>15</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860</v>
      </c>
      <c r="M53" s="6">
        <f>IF(B53&gt;$N$2,0,VLOOKUP('Total income package'!$B$3,'Location specific data'!$A$3:$AO$135,36,FALSE))*$F$2*20</f>
        <v>0</v>
      </c>
      <c r="N53" s="6">
        <f>IF(B53&gt;$N$2,0,VLOOKUP('Total income package'!$B$3,'Location specific data'!$A$3:$AO$135,37,FALSE))*($G$2+$H$2)*20</f>
        <v>560</v>
      </c>
      <c r="O53" s="6">
        <f t="shared" si="2"/>
        <v>45</v>
      </c>
      <c r="P53" s="312">
        <f t="shared" si="10"/>
        <v>100</v>
      </c>
      <c r="Q53" s="312">
        <f t="shared" si="4"/>
        <v>45</v>
      </c>
      <c r="R53" s="312">
        <f t="shared" si="9"/>
        <v>45</v>
      </c>
      <c r="S53" s="160">
        <f>IF(AND('Total income package'!$A$8=TRUE,OR(F53="Yes",G53="Yes",H53="Yes")),SUM(J53:N53)-R53,0)</f>
        <v>2655</v>
      </c>
    </row>
    <row r="54" spans="1:19" s="5" customFormat="1" x14ac:dyDescent="0.25">
      <c r="A54" s="6">
        <v>24500</v>
      </c>
      <c r="B54" s="7">
        <f t="shared" si="5"/>
        <v>2041.6666666666667</v>
      </c>
      <c r="C54" s="7">
        <f>'Total income package'!$D$80</f>
        <v>0</v>
      </c>
      <c r="D54" s="7">
        <f t="shared" si="6"/>
        <v>2041.6666666666667</v>
      </c>
      <c r="E54" s="65">
        <f t="shared" si="7"/>
        <v>0.48960831334932053</v>
      </c>
      <c r="F54" s="65" t="str">
        <f t="shared" si="0"/>
        <v>Yes</v>
      </c>
      <c r="G54" s="65" t="str">
        <f t="shared" si="1"/>
        <v>Yes</v>
      </c>
      <c r="H54" s="301" t="str">
        <f>IF(OR('TANF-VIEW'!L58&gt;0,'TANF-VIEW'!T58&gt;0),"Yes","No")</f>
        <v>No</v>
      </c>
      <c r="I54" s="63">
        <f t="shared" si="8"/>
        <v>15</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860</v>
      </c>
      <c r="M54" s="6">
        <f>IF(B54&gt;$N$2,0,VLOOKUP('Total income package'!$B$3,'Location specific data'!$A$3:$AO$135,36,FALSE))*$F$2*20</f>
        <v>0</v>
      </c>
      <c r="N54" s="6">
        <f>IF(B54&gt;$N$2,0,VLOOKUP('Total income package'!$B$3,'Location specific data'!$A$3:$AO$135,37,FALSE))*($G$2+$H$2)*20</f>
        <v>560</v>
      </c>
      <c r="O54" s="6">
        <f t="shared" si="2"/>
        <v>45</v>
      </c>
      <c r="P54" s="312">
        <f t="shared" si="10"/>
        <v>102.08333333333334</v>
      </c>
      <c r="Q54" s="312">
        <f t="shared" si="4"/>
        <v>45</v>
      </c>
      <c r="R54" s="312">
        <f t="shared" si="9"/>
        <v>45</v>
      </c>
      <c r="S54" s="160">
        <f>IF(AND('Total income package'!$A$8=TRUE,OR(F54="Yes",G54="Yes",H54="Yes")),SUM(J54:N54)-R54,0)</f>
        <v>2655</v>
      </c>
    </row>
    <row r="55" spans="1:19" s="5" customFormat="1" x14ac:dyDescent="0.25">
      <c r="A55" s="6">
        <v>25000</v>
      </c>
      <c r="B55" s="7">
        <f t="shared" si="5"/>
        <v>2083.3333333333335</v>
      </c>
      <c r="C55" s="7">
        <f>'Total income package'!$D$80</f>
        <v>0</v>
      </c>
      <c r="D55" s="7">
        <f t="shared" si="6"/>
        <v>2083.3333333333335</v>
      </c>
      <c r="E55" s="65">
        <f t="shared" si="7"/>
        <v>0.49960031974420466</v>
      </c>
      <c r="F55" s="65" t="str">
        <f t="shared" si="0"/>
        <v>Yes</v>
      </c>
      <c r="G55" s="65" t="str">
        <f t="shared" si="1"/>
        <v>Yes</v>
      </c>
      <c r="H55" s="301" t="str">
        <f>IF(OR('TANF-VIEW'!L59&gt;0,'TANF-VIEW'!T59&gt;0),"Yes","No")</f>
        <v>No</v>
      </c>
      <c r="I55" s="63">
        <f t="shared" si="8"/>
        <v>15</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860</v>
      </c>
      <c r="M55" s="6">
        <f>IF(B55&gt;$N$2,0,VLOOKUP('Total income package'!$B$3,'Location specific data'!$A$3:$AO$135,36,FALSE))*$F$2*20</f>
        <v>0</v>
      </c>
      <c r="N55" s="6">
        <f>IF(B55&gt;$N$2,0,VLOOKUP('Total income package'!$B$3,'Location specific data'!$A$3:$AO$135,37,FALSE))*($G$2+$H$2)*20</f>
        <v>560</v>
      </c>
      <c r="O55" s="6">
        <f t="shared" si="2"/>
        <v>45</v>
      </c>
      <c r="P55" s="312">
        <f t="shared" si="10"/>
        <v>104.16666666666669</v>
      </c>
      <c r="Q55" s="312">
        <f t="shared" si="4"/>
        <v>45</v>
      </c>
      <c r="R55" s="312">
        <f t="shared" si="9"/>
        <v>45</v>
      </c>
      <c r="S55" s="160">
        <f>IF(AND('Total income package'!$A$8=TRUE,OR(F55="Yes",G55="Yes",H55="Yes")),SUM(J55:N55)-R55,0)</f>
        <v>2655</v>
      </c>
    </row>
    <row r="56" spans="1:19" s="5" customFormat="1" x14ac:dyDescent="0.25">
      <c r="A56" s="6">
        <v>25500</v>
      </c>
      <c r="B56" s="7">
        <f t="shared" si="5"/>
        <v>2125</v>
      </c>
      <c r="C56" s="7">
        <f>'Total income package'!$D$80</f>
        <v>0</v>
      </c>
      <c r="D56" s="7">
        <f t="shared" si="6"/>
        <v>2125</v>
      </c>
      <c r="E56" s="65">
        <f t="shared" si="7"/>
        <v>0.50959232613908878</v>
      </c>
      <c r="F56" s="65" t="str">
        <f t="shared" si="0"/>
        <v>Yes</v>
      </c>
      <c r="G56" s="65" t="str">
        <f t="shared" si="1"/>
        <v>Yes</v>
      </c>
      <c r="H56" s="301" t="str">
        <f>IF(OR('TANF-VIEW'!L60&gt;0,'TANF-VIEW'!T60&gt;0),"Yes","No")</f>
        <v>No</v>
      </c>
      <c r="I56" s="63">
        <f t="shared" si="8"/>
        <v>15</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860</v>
      </c>
      <c r="M56" s="6">
        <f>IF(B56&gt;$N$2,0,VLOOKUP('Total income package'!$B$3,'Location specific data'!$A$3:$AO$135,36,FALSE))*$F$2*20</f>
        <v>0</v>
      </c>
      <c r="N56" s="6">
        <f>IF(B56&gt;$N$2,0,VLOOKUP('Total income package'!$B$3,'Location specific data'!$A$3:$AO$135,37,FALSE))*($G$2+$H$2)*20</f>
        <v>560</v>
      </c>
      <c r="O56" s="6">
        <f t="shared" si="2"/>
        <v>45</v>
      </c>
      <c r="P56" s="312">
        <f t="shared" si="10"/>
        <v>106.25</v>
      </c>
      <c r="Q56" s="312">
        <f t="shared" si="4"/>
        <v>45</v>
      </c>
      <c r="R56" s="312">
        <f t="shared" si="9"/>
        <v>45</v>
      </c>
      <c r="S56" s="160">
        <f>IF(AND('Total income package'!$A$8=TRUE,OR(F56="Yes",G56="Yes",H56="Yes")),SUM(J56:N56)-R56,0)</f>
        <v>2655</v>
      </c>
    </row>
    <row r="57" spans="1:19" s="5" customFormat="1" x14ac:dyDescent="0.25">
      <c r="A57" s="6">
        <v>26000</v>
      </c>
      <c r="B57" s="7">
        <f t="shared" si="5"/>
        <v>2166.6666666666665</v>
      </c>
      <c r="C57" s="7">
        <f>'Total income package'!$D$80</f>
        <v>0</v>
      </c>
      <c r="D57" s="7">
        <f t="shared" si="6"/>
        <v>2166.6666666666665</v>
      </c>
      <c r="E57" s="65">
        <f t="shared" si="7"/>
        <v>0.51958433253397274</v>
      </c>
      <c r="F57" s="65" t="str">
        <f t="shared" si="0"/>
        <v>Yes</v>
      </c>
      <c r="G57" s="65" t="str">
        <f t="shared" si="1"/>
        <v>Yes</v>
      </c>
      <c r="H57" s="301" t="str">
        <f>IF(OR('TANF-VIEW'!L61&gt;0,'TANF-VIEW'!T61&gt;0),"Yes","No")</f>
        <v>No</v>
      </c>
      <c r="I57" s="63">
        <f t="shared" si="8"/>
        <v>15</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860</v>
      </c>
      <c r="M57" s="6">
        <f>IF(B57&gt;$N$2,0,VLOOKUP('Total income package'!$B$3,'Location specific data'!$A$3:$AO$135,36,FALSE))*$F$2*20</f>
        <v>0</v>
      </c>
      <c r="N57" s="6">
        <f>IF(B57&gt;$N$2,0,VLOOKUP('Total income package'!$B$3,'Location specific data'!$A$3:$AO$135,37,FALSE))*($G$2+$H$2)*20</f>
        <v>560</v>
      </c>
      <c r="O57" s="6">
        <f t="shared" si="2"/>
        <v>45</v>
      </c>
      <c r="P57" s="312">
        <f t="shared" si="10"/>
        <v>108.33333333333333</v>
      </c>
      <c r="Q57" s="312">
        <f t="shared" si="4"/>
        <v>45</v>
      </c>
      <c r="R57" s="312">
        <f t="shared" si="9"/>
        <v>45</v>
      </c>
      <c r="S57" s="160">
        <f>IF(AND('Total income package'!$A$8=TRUE,OR(F57="Yes",G57="Yes",H57="Yes")),SUM(J57:N57)-R57,0)</f>
        <v>2655</v>
      </c>
    </row>
    <row r="58" spans="1:19" s="5" customFormat="1" x14ac:dyDescent="0.25">
      <c r="A58" s="6">
        <v>26500</v>
      </c>
      <c r="B58" s="7">
        <f t="shared" si="5"/>
        <v>2208.3333333333335</v>
      </c>
      <c r="C58" s="7">
        <f>'Total income package'!$D$80</f>
        <v>0</v>
      </c>
      <c r="D58" s="7">
        <f t="shared" si="6"/>
        <v>2208.3333333333335</v>
      </c>
      <c r="E58" s="65">
        <f t="shared" si="7"/>
        <v>0.52957633892885692</v>
      </c>
      <c r="F58" s="65" t="str">
        <f t="shared" si="0"/>
        <v>Yes</v>
      </c>
      <c r="G58" s="65" t="str">
        <f t="shared" si="1"/>
        <v>Yes</v>
      </c>
      <c r="H58" s="301" t="str">
        <f>IF(OR('TANF-VIEW'!L62&gt;0,'TANF-VIEW'!T62&gt;0),"Yes","No")</f>
        <v>No</v>
      </c>
      <c r="I58" s="63">
        <f t="shared" si="8"/>
        <v>15</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860</v>
      </c>
      <c r="M58" s="6">
        <f>IF(B58&gt;$N$2,0,VLOOKUP('Total income package'!$B$3,'Location specific data'!$A$3:$AO$135,36,FALSE))*$F$2*20</f>
        <v>0</v>
      </c>
      <c r="N58" s="6">
        <f>IF(B58&gt;$N$2,0,VLOOKUP('Total income package'!$B$3,'Location specific data'!$A$3:$AO$135,37,FALSE))*($G$2+$H$2)*20</f>
        <v>560</v>
      </c>
      <c r="O58" s="6">
        <f t="shared" si="2"/>
        <v>45</v>
      </c>
      <c r="P58" s="312">
        <f t="shared" si="10"/>
        <v>110.41666666666669</v>
      </c>
      <c r="Q58" s="312">
        <f t="shared" si="4"/>
        <v>45</v>
      </c>
      <c r="R58" s="312">
        <f t="shared" si="9"/>
        <v>45</v>
      </c>
      <c r="S58" s="160">
        <f>IF(AND('Total income package'!$A$8=TRUE,OR(F58="Yes",G58="Yes",H58="Yes")),SUM(J58:N58)-R58,0)</f>
        <v>2655</v>
      </c>
    </row>
    <row r="59" spans="1:19" s="5" customFormat="1" x14ac:dyDescent="0.25">
      <c r="A59" s="6">
        <v>27000</v>
      </c>
      <c r="B59" s="7">
        <f t="shared" si="5"/>
        <v>2250</v>
      </c>
      <c r="C59" s="7">
        <f>'Total income package'!$D$80</f>
        <v>0</v>
      </c>
      <c r="D59" s="7">
        <f t="shared" si="6"/>
        <v>2250</v>
      </c>
      <c r="E59" s="65">
        <f t="shared" si="7"/>
        <v>0.53956834532374098</v>
      </c>
      <c r="F59" s="65" t="str">
        <f t="shared" si="0"/>
        <v>Yes</v>
      </c>
      <c r="G59" s="65" t="str">
        <f t="shared" si="1"/>
        <v>Yes</v>
      </c>
      <c r="H59" s="301" t="str">
        <f>IF(OR('TANF-VIEW'!L63&gt;0,'TANF-VIEW'!T63&gt;0),"Yes","No")</f>
        <v>No</v>
      </c>
      <c r="I59" s="63">
        <f t="shared" si="8"/>
        <v>15</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860</v>
      </c>
      <c r="M59" s="6">
        <f>IF(B59&gt;$N$2,0,VLOOKUP('Total income package'!$B$3,'Location specific data'!$A$3:$AO$135,36,FALSE))*$F$2*20</f>
        <v>0</v>
      </c>
      <c r="N59" s="6">
        <f>IF(B59&gt;$N$2,0,VLOOKUP('Total income package'!$B$3,'Location specific data'!$A$3:$AO$135,37,FALSE))*($G$2+$H$2)*20</f>
        <v>560</v>
      </c>
      <c r="O59" s="6">
        <f t="shared" si="2"/>
        <v>45</v>
      </c>
      <c r="P59" s="312">
        <f t="shared" si="10"/>
        <v>112.5</v>
      </c>
      <c r="Q59" s="312">
        <f t="shared" si="4"/>
        <v>45</v>
      </c>
      <c r="R59" s="312">
        <f t="shared" si="9"/>
        <v>45</v>
      </c>
      <c r="S59" s="160">
        <f>IF(AND('Total income package'!$A$8=TRUE,OR(F59="Yes",G59="Yes",H59="Yes")),SUM(J59:N59)-R59,0)</f>
        <v>2655</v>
      </c>
    </row>
    <row r="60" spans="1:19" s="5" customFormat="1" x14ac:dyDescent="0.25">
      <c r="A60" s="6">
        <v>27500</v>
      </c>
      <c r="B60" s="7">
        <f t="shared" si="5"/>
        <v>2291.6666666666665</v>
      </c>
      <c r="C60" s="7">
        <f>'Total income package'!$D$80</f>
        <v>0</v>
      </c>
      <c r="D60" s="7">
        <f t="shared" si="6"/>
        <v>2291.6666666666665</v>
      </c>
      <c r="E60" s="65">
        <f t="shared" si="7"/>
        <v>0.54956035171862505</v>
      </c>
      <c r="F60" s="65" t="str">
        <f t="shared" si="0"/>
        <v>Yes</v>
      </c>
      <c r="G60" s="65" t="str">
        <f t="shared" si="1"/>
        <v>Yes</v>
      </c>
      <c r="H60" s="301" t="str">
        <f>IF(OR('TANF-VIEW'!L64&gt;0,'TANF-VIEW'!T64&gt;0),"Yes","No")</f>
        <v>No</v>
      </c>
      <c r="I60" s="63">
        <f t="shared" si="8"/>
        <v>15</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860</v>
      </c>
      <c r="M60" s="6">
        <f>IF(B60&gt;$N$2,0,VLOOKUP('Total income package'!$B$3,'Location specific data'!$A$3:$AO$135,36,FALSE))*$F$2*20</f>
        <v>0</v>
      </c>
      <c r="N60" s="6">
        <f>IF(B60&gt;$N$2,0,VLOOKUP('Total income package'!$B$3,'Location specific data'!$A$3:$AO$135,37,FALSE))*($G$2+$H$2)*20</f>
        <v>560</v>
      </c>
      <c r="O60" s="6">
        <f t="shared" si="2"/>
        <v>45</v>
      </c>
      <c r="P60" s="312">
        <f t="shared" si="10"/>
        <v>114.58333333333333</v>
      </c>
      <c r="Q60" s="312">
        <f t="shared" si="4"/>
        <v>45</v>
      </c>
      <c r="R60" s="312">
        <f t="shared" si="9"/>
        <v>45</v>
      </c>
      <c r="S60" s="160">
        <f>IF(AND('Total income package'!$A$8=TRUE,OR(F60="Yes",G60="Yes",H60="Yes")),SUM(J60:N60)-R60,0)</f>
        <v>2655</v>
      </c>
    </row>
    <row r="61" spans="1:19" s="5" customFormat="1" x14ac:dyDescent="0.25">
      <c r="A61" s="6">
        <v>28000</v>
      </c>
      <c r="B61" s="7">
        <f t="shared" si="5"/>
        <v>2333.3333333333335</v>
      </c>
      <c r="C61" s="7">
        <f>'Total income package'!$D$80</f>
        <v>0</v>
      </c>
      <c r="D61" s="7">
        <f t="shared" si="6"/>
        <v>2333.3333333333335</v>
      </c>
      <c r="E61" s="65">
        <f t="shared" si="7"/>
        <v>0.55955235811350923</v>
      </c>
      <c r="F61" s="65" t="str">
        <f t="shared" si="0"/>
        <v>Yes</v>
      </c>
      <c r="G61" s="65" t="str">
        <f t="shared" si="1"/>
        <v>Yes</v>
      </c>
      <c r="H61" s="301" t="str">
        <f>IF(OR('TANF-VIEW'!L65&gt;0,'TANF-VIEW'!T65&gt;0),"Yes","No")</f>
        <v>No</v>
      </c>
      <c r="I61" s="63">
        <f t="shared" si="8"/>
        <v>15</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860</v>
      </c>
      <c r="M61" s="6">
        <f>IF(B61&gt;$N$2,0,VLOOKUP('Total income package'!$B$3,'Location specific data'!$A$3:$AO$135,36,FALSE))*$F$2*20</f>
        <v>0</v>
      </c>
      <c r="N61" s="6">
        <f>IF(B61&gt;$N$2,0,VLOOKUP('Total income package'!$B$3,'Location specific data'!$A$3:$AO$135,37,FALSE))*($G$2+$H$2)*20</f>
        <v>560</v>
      </c>
      <c r="O61" s="6">
        <f t="shared" si="2"/>
        <v>45</v>
      </c>
      <c r="P61" s="312">
        <f t="shared" si="10"/>
        <v>116.66666666666669</v>
      </c>
      <c r="Q61" s="312">
        <f t="shared" si="4"/>
        <v>45</v>
      </c>
      <c r="R61" s="312">
        <f t="shared" si="9"/>
        <v>45</v>
      </c>
      <c r="S61" s="160">
        <f>IF(AND('Total income package'!$A$8=TRUE,OR(F61="Yes",G61="Yes",H61="Yes")),SUM(J61:N61)-R61,0)</f>
        <v>2655</v>
      </c>
    </row>
    <row r="62" spans="1:19" s="5" customFormat="1" x14ac:dyDescent="0.25">
      <c r="A62" s="6">
        <v>28500</v>
      </c>
      <c r="B62" s="7">
        <f t="shared" si="5"/>
        <v>2375</v>
      </c>
      <c r="C62" s="7">
        <f>'Total income package'!$D$80</f>
        <v>0</v>
      </c>
      <c r="D62" s="7">
        <f t="shared" si="6"/>
        <v>2375</v>
      </c>
      <c r="E62" s="65">
        <f t="shared" si="7"/>
        <v>0.5695443645083933</v>
      </c>
      <c r="F62" s="65" t="str">
        <f t="shared" si="0"/>
        <v>Yes</v>
      </c>
      <c r="G62" s="65" t="str">
        <f t="shared" si="1"/>
        <v>Yes</v>
      </c>
      <c r="H62" s="301" t="str">
        <f>IF(OR('TANF-VIEW'!L66&gt;0,'TANF-VIEW'!T66&gt;0),"Yes","No")</f>
        <v>No</v>
      </c>
      <c r="I62" s="63">
        <f t="shared" si="8"/>
        <v>15</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860</v>
      </c>
      <c r="M62" s="6">
        <f>IF(B62&gt;$N$2,0,VLOOKUP('Total income package'!$B$3,'Location specific data'!$A$3:$AO$135,36,FALSE))*$F$2*20</f>
        <v>0</v>
      </c>
      <c r="N62" s="6">
        <f>IF(B62&gt;$N$2,0,VLOOKUP('Total income package'!$B$3,'Location specific data'!$A$3:$AO$135,37,FALSE))*($G$2+$H$2)*20</f>
        <v>560</v>
      </c>
      <c r="O62" s="6">
        <f t="shared" si="2"/>
        <v>45</v>
      </c>
      <c r="P62" s="312">
        <f t="shared" si="10"/>
        <v>118.75</v>
      </c>
      <c r="Q62" s="312">
        <f t="shared" si="4"/>
        <v>45</v>
      </c>
      <c r="R62" s="312">
        <f t="shared" si="9"/>
        <v>45</v>
      </c>
      <c r="S62" s="160">
        <f>IF(AND('Total income package'!$A$8=TRUE,OR(F62="Yes",G62="Yes",H62="Yes")),SUM(J62:N62)-R62,0)</f>
        <v>2655</v>
      </c>
    </row>
    <row r="63" spans="1:19" s="5" customFormat="1" x14ac:dyDescent="0.25">
      <c r="A63" s="6">
        <v>29000</v>
      </c>
      <c r="B63" s="7">
        <f t="shared" si="5"/>
        <v>2416.6666666666665</v>
      </c>
      <c r="C63" s="7">
        <f>'Total income package'!$D$80</f>
        <v>0</v>
      </c>
      <c r="D63" s="7">
        <f t="shared" si="6"/>
        <v>2416.6666666666665</v>
      </c>
      <c r="E63" s="65">
        <f t="shared" si="7"/>
        <v>0.57953637090327736</v>
      </c>
      <c r="F63" s="65" t="str">
        <f t="shared" si="0"/>
        <v>Yes</v>
      </c>
      <c r="G63" s="65" t="str">
        <f t="shared" si="1"/>
        <v>Yes</v>
      </c>
      <c r="H63" s="301" t="str">
        <f>IF(OR('TANF-VIEW'!L67&gt;0,'TANF-VIEW'!T67&gt;0),"Yes","No")</f>
        <v>No</v>
      </c>
      <c r="I63" s="63">
        <f t="shared" si="8"/>
        <v>15</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860</v>
      </c>
      <c r="M63" s="6">
        <f>IF(B63&gt;$N$2,0,VLOOKUP('Total income package'!$B$3,'Location specific data'!$A$3:$AO$135,36,FALSE))*$F$2*20</f>
        <v>0</v>
      </c>
      <c r="N63" s="6">
        <f>IF(B63&gt;$N$2,0,VLOOKUP('Total income package'!$B$3,'Location specific data'!$A$3:$AO$135,37,FALSE))*($G$2+$H$2)*20</f>
        <v>560</v>
      </c>
      <c r="O63" s="6">
        <f t="shared" si="2"/>
        <v>45</v>
      </c>
      <c r="P63" s="312">
        <f t="shared" si="10"/>
        <v>120.83333333333333</v>
      </c>
      <c r="Q63" s="312">
        <f t="shared" si="4"/>
        <v>45</v>
      </c>
      <c r="R63" s="312">
        <f t="shared" si="9"/>
        <v>45</v>
      </c>
      <c r="S63" s="160">
        <f>IF(AND('Total income package'!$A$8=TRUE,OR(F63="Yes",G63="Yes",H63="Yes")),SUM(J63:N63)-R63,0)</f>
        <v>2655</v>
      </c>
    </row>
    <row r="64" spans="1:19" s="5" customFormat="1" x14ac:dyDescent="0.25">
      <c r="A64" s="6">
        <v>29500</v>
      </c>
      <c r="B64" s="7">
        <f t="shared" si="5"/>
        <v>2458.3333333333335</v>
      </c>
      <c r="C64" s="7">
        <f>'Total income package'!$D$80</f>
        <v>0</v>
      </c>
      <c r="D64" s="7">
        <f t="shared" si="6"/>
        <v>2458.3333333333335</v>
      </c>
      <c r="E64" s="65">
        <f t="shared" si="7"/>
        <v>0.58952837729816154</v>
      </c>
      <c r="F64" s="65" t="str">
        <f t="shared" si="0"/>
        <v>Yes</v>
      </c>
      <c r="G64" s="65" t="str">
        <f t="shared" si="1"/>
        <v>Yes</v>
      </c>
      <c r="H64" s="301" t="str">
        <f>IF(OR('TANF-VIEW'!L68&gt;0,'TANF-VIEW'!T68&gt;0),"Yes","No")</f>
        <v>No</v>
      </c>
      <c r="I64" s="63">
        <f t="shared" si="8"/>
        <v>15</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860</v>
      </c>
      <c r="M64" s="6">
        <f>IF(B64&gt;$N$2,0,VLOOKUP('Total income package'!$B$3,'Location specific data'!$A$3:$AO$135,36,FALSE))*$F$2*20</f>
        <v>0</v>
      </c>
      <c r="N64" s="6">
        <f>IF(B64&gt;$N$2,0,VLOOKUP('Total income package'!$B$3,'Location specific data'!$A$3:$AO$135,37,FALSE))*($G$2+$H$2)*20</f>
        <v>560</v>
      </c>
      <c r="O64" s="6">
        <f t="shared" si="2"/>
        <v>45</v>
      </c>
      <c r="P64" s="312">
        <f t="shared" si="10"/>
        <v>122.91666666666669</v>
      </c>
      <c r="Q64" s="312">
        <f t="shared" si="4"/>
        <v>45</v>
      </c>
      <c r="R64" s="312">
        <f t="shared" si="9"/>
        <v>45</v>
      </c>
      <c r="S64" s="160">
        <f>IF(AND('Total income package'!$A$8=TRUE,OR(F64="Yes",G64="Yes",H64="Yes")),SUM(J64:N64)-R64,0)</f>
        <v>2655</v>
      </c>
    </row>
    <row r="65" spans="1:19" s="5" customFormat="1" x14ac:dyDescent="0.25">
      <c r="A65" s="6">
        <v>30000</v>
      </c>
      <c r="B65" s="7">
        <f t="shared" si="5"/>
        <v>2500</v>
      </c>
      <c r="C65" s="7">
        <f>'Total income package'!$D$80</f>
        <v>0</v>
      </c>
      <c r="D65" s="7">
        <f t="shared" si="6"/>
        <v>2500</v>
      </c>
      <c r="E65" s="65">
        <f t="shared" si="7"/>
        <v>0.59952038369304561</v>
      </c>
      <c r="F65" s="65" t="str">
        <f t="shared" si="0"/>
        <v>Yes</v>
      </c>
      <c r="G65" s="65" t="str">
        <f t="shared" si="1"/>
        <v>Yes</v>
      </c>
      <c r="H65" s="301" t="str">
        <f>IF(OR('TANF-VIEW'!L69&gt;0,'TANF-VIEW'!T69&gt;0),"Yes","No")</f>
        <v>No</v>
      </c>
      <c r="I65" s="63">
        <f t="shared" si="8"/>
        <v>15</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860</v>
      </c>
      <c r="M65" s="6">
        <f>IF(B65&gt;$N$2,0,VLOOKUP('Total income package'!$B$3,'Location specific data'!$A$3:$AO$135,36,FALSE))*$F$2*20</f>
        <v>0</v>
      </c>
      <c r="N65" s="6">
        <f>IF(B65&gt;$N$2,0,VLOOKUP('Total income package'!$B$3,'Location specific data'!$A$3:$AO$135,37,FALSE))*($G$2+$H$2)*20</f>
        <v>560</v>
      </c>
      <c r="O65" s="6">
        <f t="shared" si="2"/>
        <v>45</v>
      </c>
      <c r="P65" s="312">
        <f t="shared" si="10"/>
        <v>125</v>
      </c>
      <c r="Q65" s="312">
        <f t="shared" si="4"/>
        <v>45</v>
      </c>
      <c r="R65" s="312">
        <f t="shared" si="9"/>
        <v>45</v>
      </c>
      <c r="S65" s="160">
        <f>IF(AND('Total income package'!$A$8=TRUE,OR(F65="Yes",G65="Yes",H65="Yes")),SUM(J65:N65)-R65,0)</f>
        <v>2655</v>
      </c>
    </row>
    <row r="66" spans="1:19" s="5" customFormat="1" x14ac:dyDescent="0.25">
      <c r="A66" s="6">
        <v>30500</v>
      </c>
      <c r="B66" s="7">
        <f t="shared" si="5"/>
        <v>2541.6666666666665</v>
      </c>
      <c r="C66" s="7">
        <f>'Total income package'!$D$80</f>
        <v>0</v>
      </c>
      <c r="D66" s="7">
        <f t="shared" si="6"/>
        <v>2541.6666666666665</v>
      </c>
      <c r="E66" s="65">
        <f t="shared" si="7"/>
        <v>0.60951239008792957</v>
      </c>
      <c r="F66" s="65" t="str">
        <f t="shared" si="0"/>
        <v>Yes</v>
      </c>
      <c r="G66" s="65" t="str">
        <f t="shared" si="1"/>
        <v>Yes</v>
      </c>
      <c r="H66" s="301" t="str">
        <f>IF(OR('TANF-VIEW'!L70&gt;0,'TANF-VIEW'!T70&gt;0),"Yes","No")</f>
        <v>No</v>
      </c>
      <c r="I66" s="63">
        <f t="shared" si="8"/>
        <v>15</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860</v>
      </c>
      <c r="M66" s="6">
        <f>IF(B66&gt;$N$2,0,VLOOKUP('Total income package'!$B$3,'Location specific data'!$A$3:$AO$135,36,FALSE))*$F$2*20</f>
        <v>0</v>
      </c>
      <c r="N66" s="6">
        <f>IF(B66&gt;$N$2,0,VLOOKUP('Total income package'!$B$3,'Location specific data'!$A$3:$AO$135,37,FALSE))*($G$2+$H$2)*20</f>
        <v>560</v>
      </c>
      <c r="O66" s="6">
        <f t="shared" si="2"/>
        <v>45</v>
      </c>
      <c r="P66" s="312">
        <f t="shared" si="10"/>
        <v>127.08333333333333</v>
      </c>
      <c r="Q66" s="312">
        <f t="shared" si="4"/>
        <v>45</v>
      </c>
      <c r="R66" s="312">
        <f t="shared" si="9"/>
        <v>45</v>
      </c>
      <c r="S66" s="160">
        <f>IF(AND('Total income package'!$A$8=TRUE,OR(F66="Yes",G66="Yes",H66="Yes")),SUM(J66:N66)-R66,0)</f>
        <v>2655</v>
      </c>
    </row>
    <row r="67" spans="1:19" s="5" customFormat="1" x14ac:dyDescent="0.25">
      <c r="A67" s="6">
        <v>31000</v>
      </c>
      <c r="B67" s="7">
        <f t="shared" si="5"/>
        <v>2583.3333333333335</v>
      </c>
      <c r="C67" s="7">
        <f>'Total income package'!$D$80</f>
        <v>0</v>
      </c>
      <c r="D67" s="7">
        <f t="shared" si="6"/>
        <v>2583.3333333333335</v>
      </c>
      <c r="E67" s="65">
        <f t="shared" si="7"/>
        <v>0.61950439648281375</v>
      </c>
      <c r="F67" s="65" t="str">
        <f t="shared" si="0"/>
        <v>Yes</v>
      </c>
      <c r="G67" s="65" t="str">
        <f t="shared" si="1"/>
        <v>Yes</v>
      </c>
      <c r="H67" s="301" t="str">
        <f>IF(OR('TANF-VIEW'!L71&gt;0,'TANF-VIEW'!T71&gt;0),"Yes","No")</f>
        <v>No</v>
      </c>
      <c r="I67" s="63">
        <f t="shared" si="8"/>
        <v>15</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860</v>
      </c>
      <c r="M67" s="6">
        <f>IF(B67&gt;$N$2,0,VLOOKUP('Total income package'!$B$3,'Location specific data'!$A$3:$AO$135,36,FALSE))*$F$2*20</f>
        <v>0</v>
      </c>
      <c r="N67" s="6">
        <f>IF(B67&gt;$N$2,0,VLOOKUP('Total income package'!$B$3,'Location specific data'!$A$3:$AO$135,37,FALSE))*($G$2+$H$2)*20</f>
        <v>560</v>
      </c>
      <c r="O67" s="6">
        <f t="shared" si="2"/>
        <v>45</v>
      </c>
      <c r="P67" s="312">
        <f t="shared" si="10"/>
        <v>129.16666666666669</v>
      </c>
      <c r="Q67" s="312">
        <f t="shared" si="4"/>
        <v>45</v>
      </c>
      <c r="R67" s="312">
        <f t="shared" si="9"/>
        <v>45</v>
      </c>
      <c r="S67" s="160">
        <f>IF(AND('Total income package'!$A$8=TRUE,OR(F67="Yes",G67="Yes",H67="Yes")),SUM(J67:N67)-R67,0)</f>
        <v>2655</v>
      </c>
    </row>
    <row r="68" spans="1:19" s="5" customFormat="1" x14ac:dyDescent="0.25">
      <c r="A68" s="6">
        <v>31500</v>
      </c>
      <c r="B68" s="7">
        <f t="shared" si="5"/>
        <v>2625</v>
      </c>
      <c r="C68" s="7">
        <f>'Total income package'!$D$80</f>
        <v>0</v>
      </c>
      <c r="D68" s="7">
        <f t="shared" si="6"/>
        <v>2625</v>
      </c>
      <c r="E68" s="65">
        <f t="shared" si="7"/>
        <v>0.62949640287769781</v>
      </c>
      <c r="F68" s="65" t="str">
        <f t="shared" si="0"/>
        <v>Yes</v>
      </c>
      <c r="G68" s="65" t="str">
        <f t="shared" si="1"/>
        <v>Yes</v>
      </c>
      <c r="H68" s="301" t="str">
        <f>IF(OR('TANF-VIEW'!L72&gt;0,'TANF-VIEW'!T72&gt;0),"Yes","No")</f>
        <v>No</v>
      </c>
      <c r="I68" s="63">
        <f t="shared" si="8"/>
        <v>15</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860</v>
      </c>
      <c r="M68" s="6">
        <f>IF(B68&gt;$N$2,0,VLOOKUP('Total income package'!$B$3,'Location specific data'!$A$3:$AO$135,36,FALSE))*$F$2*20</f>
        <v>0</v>
      </c>
      <c r="N68" s="6">
        <f>IF(B68&gt;$N$2,0,VLOOKUP('Total income package'!$B$3,'Location specific data'!$A$3:$AO$135,37,FALSE))*($G$2+$H$2)*20</f>
        <v>560</v>
      </c>
      <c r="O68" s="6">
        <f t="shared" si="2"/>
        <v>45</v>
      </c>
      <c r="P68" s="312">
        <f t="shared" si="10"/>
        <v>131.25</v>
      </c>
      <c r="Q68" s="312">
        <f t="shared" si="4"/>
        <v>45</v>
      </c>
      <c r="R68" s="312">
        <f t="shared" si="9"/>
        <v>45</v>
      </c>
      <c r="S68" s="160">
        <f>IF(AND('Total income package'!$A$8=TRUE,OR(F68="Yes",G68="Yes",H68="Yes")),SUM(J68:N68)-R68,0)</f>
        <v>2655</v>
      </c>
    </row>
    <row r="69" spans="1:19" s="5" customFormat="1" x14ac:dyDescent="0.25">
      <c r="A69" s="6">
        <v>32000</v>
      </c>
      <c r="B69" s="7">
        <f t="shared" si="5"/>
        <v>2666.6666666666665</v>
      </c>
      <c r="C69" s="7">
        <f>'Total income package'!$D$80</f>
        <v>0</v>
      </c>
      <c r="D69" s="7">
        <f t="shared" si="6"/>
        <v>2666.6666666666665</v>
      </c>
      <c r="E69" s="65">
        <f t="shared" si="7"/>
        <v>0.63948840927258188</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15</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860</v>
      </c>
      <c r="M69" s="6">
        <f>IF(B69&gt;$N$2,0,VLOOKUP('Total income package'!$B$3,'Location specific data'!$A$3:$AO$135,36,FALSE))*$F$2*20</f>
        <v>0</v>
      </c>
      <c r="N69" s="6">
        <f>IF(B69&gt;$N$2,0,VLOOKUP('Total income package'!$B$3,'Location specific data'!$A$3:$AO$135,37,FALSE))*($G$2+$H$2)*20</f>
        <v>560</v>
      </c>
      <c r="O69" s="6">
        <f t="shared" ref="O69:O132" si="14">I69*SUM($C$2:$H$2)</f>
        <v>45</v>
      </c>
      <c r="P69" s="312">
        <f t="shared" ref="P69:P100" si="15">B69*0.05</f>
        <v>133.33333333333334</v>
      </c>
      <c r="Q69" s="312">
        <f t="shared" ref="Q69:Q132" si="16">I69*3</f>
        <v>45</v>
      </c>
      <c r="R69" s="312">
        <f t="shared" si="9"/>
        <v>45</v>
      </c>
      <c r="S69" s="160">
        <f>IF(AND('Total income package'!$A$8=TRUE,OR(F69="Yes",G69="Yes",H69="Yes")),SUM(J69:N69)-R69,0)</f>
        <v>2655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0.64948041566746606</v>
      </c>
      <c r="F70" s="65" t="str">
        <f t="shared" si="11"/>
        <v>Yes</v>
      </c>
      <c r="G70" s="65" t="str">
        <f t="shared" si="12"/>
        <v>Yes</v>
      </c>
      <c r="H70" s="301" t="str">
        <f>IF(OR('TANF-VIEW'!L74&gt;0,'TANF-VIEW'!T74&gt;0),"Yes","No")</f>
        <v>No</v>
      </c>
      <c r="I70" s="63">
        <f t="shared" si="13"/>
        <v>15</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860</v>
      </c>
      <c r="M70" s="6">
        <f>IF(B70&gt;$N$2,0,VLOOKUP('Total income package'!$B$3,'Location specific data'!$A$3:$AO$135,36,FALSE))*$F$2*20</f>
        <v>0</v>
      </c>
      <c r="N70" s="6">
        <f>IF(B70&gt;$N$2,0,VLOOKUP('Total income package'!$B$3,'Location specific data'!$A$3:$AO$135,37,FALSE))*($G$2+$H$2)*20</f>
        <v>560</v>
      </c>
      <c r="O70" s="6">
        <f t="shared" si="14"/>
        <v>45</v>
      </c>
      <c r="P70" s="312">
        <f t="shared" si="15"/>
        <v>135.41666666666669</v>
      </c>
      <c r="Q70" s="312">
        <f t="shared" si="16"/>
        <v>45</v>
      </c>
      <c r="R70" s="312">
        <f t="shared" ref="R70:R133" si="20">IF(MIN(O70,P70)&lt;Q70,MIN(O70,P70),Q70)</f>
        <v>45</v>
      </c>
      <c r="S70" s="160">
        <f>IF(AND('Total income package'!$A$8=TRUE,OR(F70="Yes",G70="Yes",H70="Yes")),SUM(J70:N70)-R70,0)</f>
        <v>2655</v>
      </c>
    </row>
    <row r="71" spans="1:19" s="5" customFormat="1" x14ac:dyDescent="0.25">
      <c r="A71" s="6">
        <v>33000</v>
      </c>
      <c r="B71" s="7">
        <f t="shared" si="17"/>
        <v>2750</v>
      </c>
      <c r="C71" s="7">
        <f>'Total income package'!$D$80</f>
        <v>0</v>
      </c>
      <c r="D71" s="7">
        <f t="shared" si="18"/>
        <v>2750</v>
      </c>
      <c r="E71" s="65">
        <f t="shared" si="19"/>
        <v>0.65947242206235013</v>
      </c>
      <c r="F71" s="65" t="str">
        <f t="shared" si="11"/>
        <v>Yes</v>
      </c>
      <c r="G71" s="65" t="str">
        <f t="shared" si="12"/>
        <v>Yes</v>
      </c>
      <c r="H71" s="301" t="str">
        <f>IF(OR('TANF-VIEW'!L75&gt;0,'TANF-VIEW'!T75&gt;0),"Yes","No")</f>
        <v>No</v>
      </c>
      <c r="I71" s="63">
        <f t="shared" si="13"/>
        <v>15</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860</v>
      </c>
      <c r="M71" s="6">
        <f>IF(B71&gt;$N$2,0,VLOOKUP('Total income package'!$B$3,'Location specific data'!$A$3:$AO$135,36,FALSE))*$F$2*20</f>
        <v>0</v>
      </c>
      <c r="N71" s="6">
        <f>IF(B71&gt;$N$2,0,VLOOKUP('Total income package'!$B$3,'Location specific data'!$A$3:$AO$135,37,FALSE))*($G$2+$H$2)*20</f>
        <v>560</v>
      </c>
      <c r="O71" s="6">
        <f t="shared" si="14"/>
        <v>45</v>
      </c>
      <c r="P71" s="312">
        <f t="shared" si="15"/>
        <v>137.5</v>
      </c>
      <c r="Q71" s="312">
        <f t="shared" si="16"/>
        <v>45</v>
      </c>
      <c r="R71" s="312">
        <f t="shared" si="20"/>
        <v>45</v>
      </c>
      <c r="S71" s="160">
        <f>IF(AND('Total income package'!$A$8=TRUE,OR(F71="Yes",G71="Yes",H71="Yes")),SUM(J71:N71)-R71,0)</f>
        <v>2655</v>
      </c>
    </row>
    <row r="72" spans="1:19" s="5" customFormat="1" x14ac:dyDescent="0.25">
      <c r="A72" s="6">
        <v>33500</v>
      </c>
      <c r="B72" s="7">
        <f t="shared" si="17"/>
        <v>2791.6666666666665</v>
      </c>
      <c r="C72" s="7">
        <f>'Total income package'!$D$80</f>
        <v>0</v>
      </c>
      <c r="D72" s="7">
        <f t="shared" si="18"/>
        <v>2791.6666666666665</v>
      </c>
      <c r="E72" s="65">
        <f t="shared" si="19"/>
        <v>0.6694644284572342</v>
      </c>
      <c r="F72" s="65" t="str">
        <f t="shared" si="11"/>
        <v>Yes</v>
      </c>
      <c r="G72" s="65" t="str">
        <f t="shared" si="12"/>
        <v>Yes</v>
      </c>
      <c r="H72" s="301" t="str">
        <f>IF(OR('TANF-VIEW'!L76&gt;0,'TANF-VIEW'!T76&gt;0),"Yes","No")</f>
        <v>No</v>
      </c>
      <c r="I72" s="63">
        <f t="shared" si="13"/>
        <v>15</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860</v>
      </c>
      <c r="M72" s="6">
        <f>IF(B72&gt;$N$2,0,VLOOKUP('Total income package'!$B$3,'Location specific data'!$A$3:$AO$135,36,FALSE))*$F$2*20</f>
        <v>0</v>
      </c>
      <c r="N72" s="6">
        <f>IF(B72&gt;$N$2,0,VLOOKUP('Total income package'!$B$3,'Location specific data'!$A$3:$AO$135,37,FALSE))*($G$2+$H$2)*20</f>
        <v>560</v>
      </c>
      <c r="O72" s="6">
        <f t="shared" si="14"/>
        <v>45</v>
      </c>
      <c r="P72" s="312">
        <f t="shared" si="15"/>
        <v>139.58333333333334</v>
      </c>
      <c r="Q72" s="312">
        <f t="shared" si="16"/>
        <v>45</v>
      </c>
      <c r="R72" s="312">
        <f t="shared" si="20"/>
        <v>45</v>
      </c>
      <c r="S72" s="160">
        <f>IF(AND('Total income package'!$A$8=TRUE,OR(F72="Yes",G72="Yes",H72="Yes")),SUM(J72:N72)-R72,0)</f>
        <v>2655</v>
      </c>
    </row>
    <row r="73" spans="1:19" s="5" customFormat="1" x14ac:dyDescent="0.25">
      <c r="A73" s="6">
        <v>34000</v>
      </c>
      <c r="B73" s="7">
        <f t="shared" si="17"/>
        <v>2833.3333333333335</v>
      </c>
      <c r="C73" s="7">
        <f>'Total income package'!$D$80</f>
        <v>0</v>
      </c>
      <c r="D73" s="7">
        <f t="shared" si="18"/>
        <v>2833.3333333333335</v>
      </c>
      <c r="E73" s="65">
        <f t="shared" si="19"/>
        <v>0.67945643485211837</v>
      </c>
      <c r="F73" s="65" t="str">
        <f t="shared" si="11"/>
        <v>Yes</v>
      </c>
      <c r="G73" s="65" t="str">
        <f t="shared" si="12"/>
        <v>Yes</v>
      </c>
      <c r="H73" s="301" t="str">
        <f>IF(OR('TANF-VIEW'!L77&gt;0,'TANF-VIEW'!T77&gt;0),"Yes","No")</f>
        <v>No</v>
      </c>
      <c r="I73" s="63">
        <f t="shared" si="13"/>
        <v>15</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860</v>
      </c>
      <c r="M73" s="6">
        <f>IF(B73&gt;$N$2,0,VLOOKUP('Total income package'!$B$3,'Location specific data'!$A$3:$AO$135,36,FALSE))*$F$2*20</f>
        <v>0</v>
      </c>
      <c r="N73" s="6">
        <f>IF(B73&gt;$N$2,0,VLOOKUP('Total income package'!$B$3,'Location specific data'!$A$3:$AO$135,37,FALSE))*($G$2+$H$2)*20</f>
        <v>560</v>
      </c>
      <c r="O73" s="6">
        <f t="shared" si="14"/>
        <v>45</v>
      </c>
      <c r="P73" s="312">
        <f t="shared" si="15"/>
        <v>141.66666666666669</v>
      </c>
      <c r="Q73" s="312">
        <f t="shared" si="16"/>
        <v>45</v>
      </c>
      <c r="R73" s="312">
        <f t="shared" si="20"/>
        <v>45</v>
      </c>
      <c r="S73" s="160">
        <f>IF(AND('Total income package'!$A$8=TRUE,OR(F73="Yes",G73="Yes",H73="Yes")),SUM(J73:N73)-R73,0)</f>
        <v>2655</v>
      </c>
    </row>
    <row r="74" spans="1:19" s="5" customFormat="1" x14ac:dyDescent="0.25">
      <c r="A74" s="6">
        <v>34500</v>
      </c>
      <c r="B74" s="7">
        <f t="shared" si="17"/>
        <v>2875</v>
      </c>
      <c r="C74" s="7">
        <f>'Total income package'!$D$80</f>
        <v>0</v>
      </c>
      <c r="D74" s="7">
        <f t="shared" si="18"/>
        <v>2875</v>
      </c>
      <c r="E74" s="65">
        <f t="shared" si="19"/>
        <v>0.68944844124700244</v>
      </c>
      <c r="F74" s="65" t="str">
        <f t="shared" si="11"/>
        <v>Yes</v>
      </c>
      <c r="G74" s="65" t="str">
        <f t="shared" si="12"/>
        <v>Yes</v>
      </c>
      <c r="H74" s="301" t="str">
        <f>IF(OR('TANF-VIEW'!L78&gt;0,'TANF-VIEW'!T78&gt;0),"Yes","No")</f>
        <v>No</v>
      </c>
      <c r="I74" s="63">
        <f t="shared" si="13"/>
        <v>15</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860</v>
      </c>
      <c r="M74" s="6">
        <f>IF(B74&gt;$N$2,0,VLOOKUP('Total income package'!$B$3,'Location specific data'!$A$3:$AO$135,36,FALSE))*$F$2*20</f>
        <v>0</v>
      </c>
      <c r="N74" s="6">
        <f>IF(B74&gt;$N$2,0,VLOOKUP('Total income package'!$B$3,'Location specific data'!$A$3:$AO$135,37,FALSE))*($G$2+$H$2)*20</f>
        <v>560</v>
      </c>
      <c r="O74" s="6">
        <f t="shared" si="14"/>
        <v>45</v>
      </c>
      <c r="P74" s="312">
        <f t="shared" si="15"/>
        <v>143.75</v>
      </c>
      <c r="Q74" s="312">
        <f t="shared" si="16"/>
        <v>45</v>
      </c>
      <c r="R74" s="312">
        <f t="shared" si="20"/>
        <v>45</v>
      </c>
      <c r="S74" s="160">
        <f>IF(AND('Total income package'!$A$8=TRUE,OR(F74="Yes",G74="Yes",H74="Yes")),SUM(J74:N74)-R74,0)</f>
        <v>2655</v>
      </c>
    </row>
    <row r="75" spans="1:19" s="5" customFormat="1" x14ac:dyDescent="0.25">
      <c r="A75" s="6">
        <v>35000</v>
      </c>
      <c r="B75" s="7">
        <f t="shared" si="17"/>
        <v>2916.6666666666665</v>
      </c>
      <c r="C75" s="7">
        <f>'Total income package'!$D$80</f>
        <v>0</v>
      </c>
      <c r="D75" s="7">
        <f t="shared" si="18"/>
        <v>2916.6666666666665</v>
      </c>
      <c r="E75" s="65">
        <f t="shared" si="19"/>
        <v>0.69944044764188651</v>
      </c>
      <c r="F75" s="65" t="str">
        <f t="shared" si="11"/>
        <v>Yes</v>
      </c>
      <c r="G75" s="65" t="str">
        <f t="shared" si="12"/>
        <v>Yes</v>
      </c>
      <c r="H75" s="301" t="str">
        <f>IF(OR('TANF-VIEW'!L79&gt;0,'TANF-VIEW'!T79&gt;0),"Yes","No")</f>
        <v>No</v>
      </c>
      <c r="I75" s="63">
        <f t="shared" si="13"/>
        <v>15</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860</v>
      </c>
      <c r="M75" s="6">
        <f>IF(B75&gt;$N$2,0,VLOOKUP('Total income package'!$B$3,'Location specific data'!$A$3:$AO$135,36,FALSE))*$F$2*20</f>
        <v>0</v>
      </c>
      <c r="N75" s="6">
        <f>IF(B75&gt;$N$2,0,VLOOKUP('Total income package'!$B$3,'Location specific data'!$A$3:$AO$135,37,FALSE))*($G$2+$H$2)*20</f>
        <v>560</v>
      </c>
      <c r="O75" s="6">
        <f t="shared" si="14"/>
        <v>45</v>
      </c>
      <c r="P75" s="312">
        <f t="shared" si="15"/>
        <v>145.83333333333334</v>
      </c>
      <c r="Q75" s="312">
        <f t="shared" si="16"/>
        <v>45</v>
      </c>
      <c r="R75" s="312">
        <f t="shared" si="20"/>
        <v>45</v>
      </c>
      <c r="S75" s="160">
        <f>IF(AND('Total income package'!$A$8=TRUE,OR(F75="Yes",G75="Yes",H75="Yes")),SUM(J75:N75)-R75,0)</f>
        <v>2655</v>
      </c>
    </row>
    <row r="76" spans="1:19" s="5" customFormat="1" x14ac:dyDescent="0.25">
      <c r="A76" s="6">
        <v>35500</v>
      </c>
      <c r="B76" s="7">
        <f t="shared" si="17"/>
        <v>2958.3333333333335</v>
      </c>
      <c r="C76" s="7">
        <f>'Total income package'!$D$80</f>
        <v>0</v>
      </c>
      <c r="D76" s="7">
        <f t="shared" si="18"/>
        <v>2958.3333333333335</v>
      </c>
      <c r="E76" s="65">
        <f t="shared" si="19"/>
        <v>0.70943245403677058</v>
      </c>
      <c r="F76" s="65" t="str">
        <f t="shared" si="11"/>
        <v>Yes</v>
      </c>
      <c r="G76" s="65" t="str">
        <f t="shared" si="12"/>
        <v>Yes</v>
      </c>
      <c r="H76" s="301" t="str">
        <f>IF(OR('TANF-VIEW'!L80&gt;0,'TANF-VIEW'!T80&gt;0),"Yes","No")</f>
        <v>No</v>
      </c>
      <c r="I76" s="63">
        <f t="shared" si="13"/>
        <v>15</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860</v>
      </c>
      <c r="M76" s="6">
        <f>IF(B76&gt;$N$2,0,VLOOKUP('Total income package'!$B$3,'Location specific data'!$A$3:$AO$135,36,FALSE))*$F$2*20</f>
        <v>0</v>
      </c>
      <c r="N76" s="6">
        <f>IF(B76&gt;$N$2,0,VLOOKUP('Total income package'!$B$3,'Location specific data'!$A$3:$AO$135,37,FALSE))*($G$2+$H$2)*20</f>
        <v>560</v>
      </c>
      <c r="O76" s="6">
        <f t="shared" si="14"/>
        <v>45</v>
      </c>
      <c r="P76" s="312">
        <f t="shared" si="15"/>
        <v>147.91666666666669</v>
      </c>
      <c r="Q76" s="312">
        <f t="shared" si="16"/>
        <v>45</v>
      </c>
      <c r="R76" s="312">
        <f t="shared" si="20"/>
        <v>45</v>
      </c>
      <c r="S76" s="160">
        <f>IF(AND('Total income package'!$A$8=TRUE,OR(F76="Yes",G76="Yes",H76="Yes")),SUM(J76:N76)-R76,0)</f>
        <v>2655</v>
      </c>
    </row>
    <row r="77" spans="1:19" s="5" customFormat="1" x14ac:dyDescent="0.25">
      <c r="A77" s="6">
        <v>36000</v>
      </c>
      <c r="B77" s="7">
        <f t="shared" si="17"/>
        <v>3000</v>
      </c>
      <c r="C77" s="7">
        <f>'Total income package'!$D$80</f>
        <v>0</v>
      </c>
      <c r="D77" s="7">
        <f t="shared" si="18"/>
        <v>3000</v>
      </c>
      <c r="E77" s="65">
        <f t="shared" si="19"/>
        <v>0.71942446043165464</v>
      </c>
      <c r="F77" s="65" t="str">
        <f t="shared" si="11"/>
        <v>Yes</v>
      </c>
      <c r="G77" s="65" t="str">
        <f t="shared" si="12"/>
        <v>Yes</v>
      </c>
      <c r="H77" s="301" t="str">
        <f>IF(OR('TANF-VIEW'!L81&gt;0,'TANF-VIEW'!T81&gt;0),"Yes","No")</f>
        <v>No</v>
      </c>
      <c r="I77" s="63">
        <f t="shared" si="13"/>
        <v>15</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860</v>
      </c>
      <c r="M77" s="6">
        <f>IF(B77&gt;$N$2,0,VLOOKUP('Total income package'!$B$3,'Location specific data'!$A$3:$AO$135,36,FALSE))*$F$2*20</f>
        <v>0</v>
      </c>
      <c r="N77" s="6">
        <f>IF(B77&gt;$N$2,0,VLOOKUP('Total income package'!$B$3,'Location specific data'!$A$3:$AO$135,37,FALSE))*($G$2+$H$2)*20</f>
        <v>560</v>
      </c>
      <c r="O77" s="6">
        <f t="shared" si="14"/>
        <v>45</v>
      </c>
      <c r="P77" s="312">
        <f t="shared" si="15"/>
        <v>150</v>
      </c>
      <c r="Q77" s="312">
        <f t="shared" si="16"/>
        <v>45</v>
      </c>
      <c r="R77" s="312">
        <f t="shared" si="20"/>
        <v>45</v>
      </c>
      <c r="S77" s="160">
        <f>IF(AND('Total income package'!$A$8=TRUE,OR(F77="Yes",G77="Yes",H77="Yes")),SUM(J77:N77)-R77,0)</f>
        <v>2655</v>
      </c>
    </row>
    <row r="78" spans="1:19" s="5" customFormat="1" x14ac:dyDescent="0.25">
      <c r="A78" s="6">
        <v>36500</v>
      </c>
      <c r="B78" s="7">
        <f t="shared" si="17"/>
        <v>3041.6666666666665</v>
      </c>
      <c r="C78" s="7">
        <f>'Total income package'!$D$80</f>
        <v>0</v>
      </c>
      <c r="D78" s="7">
        <f t="shared" si="18"/>
        <v>3041.6666666666665</v>
      </c>
      <c r="E78" s="65">
        <f t="shared" si="19"/>
        <v>0.72941646682653871</v>
      </c>
      <c r="F78" s="65" t="str">
        <f t="shared" si="11"/>
        <v>Yes</v>
      </c>
      <c r="G78" s="65" t="str">
        <f t="shared" si="12"/>
        <v>Yes</v>
      </c>
      <c r="H78" s="301" t="str">
        <f>IF(OR('TANF-VIEW'!L82&gt;0,'TANF-VIEW'!T82&gt;0),"Yes","No")</f>
        <v>No</v>
      </c>
      <c r="I78" s="63">
        <f t="shared" si="13"/>
        <v>15</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860</v>
      </c>
      <c r="M78" s="6">
        <f>IF(B78&gt;$N$2,0,VLOOKUP('Total income package'!$B$3,'Location specific data'!$A$3:$AO$135,36,FALSE))*$F$2*20</f>
        <v>0</v>
      </c>
      <c r="N78" s="6">
        <f>IF(B78&gt;$N$2,0,VLOOKUP('Total income package'!$B$3,'Location specific data'!$A$3:$AO$135,37,FALSE))*($G$2+$H$2)*20</f>
        <v>560</v>
      </c>
      <c r="O78" s="6">
        <f t="shared" si="14"/>
        <v>45</v>
      </c>
      <c r="P78" s="312">
        <f t="shared" si="15"/>
        <v>152.08333333333334</v>
      </c>
      <c r="Q78" s="312">
        <f t="shared" si="16"/>
        <v>45</v>
      </c>
      <c r="R78" s="312">
        <f t="shared" si="20"/>
        <v>45</v>
      </c>
      <c r="S78" s="160">
        <f>IF(AND('Total income package'!$A$8=TRUE,OR(F78="Yes",G78="Yes",H78="Yes")),SUM(J78:N78)-R78,0)</f>
        <v>2655</v>
      </c>
    </row>
    <row r="79" spans="1:19" s="5" customFormat="1" x14ac:dyDescent="0.25">
      <c r="A79" s="6">
        <v>37000</v>
      </c>
      <c r="B79" s="7">
        <f t="shared" si="17"/>
        <v>3083.3333333333335</v>
      </c>
      <c r="C79" s="7">
        <f>'Total income package'!$D$80</f>
        <v>0</v>
      </c>
      <c r="D79" s="7">
        <f t="shared" si="18"/>
        <v>3083.3333333333335</v>
      </c>
      <c r="E79" s="65">
        <f t="shared" si="19"/>
        <v>0.73940847322142289</v>
      </c>
      <c r="F79" s="65" t="str">
        <f t="shared" si="11"/>
        <v>Yes</v>
      </c>
      <c r="G79" s="65" t="str">
        <f t="shared" si="12"/>
        <v>Yes</v>
      </c>
      <c r="H79" s="301" t="str">
        <f>IF(OR('TANF-VIEW'!L83&gt;0,'TANF-VIEW'!T83&gt;0),"Yes","No")</f>
        <v>No</v>
      </c>
      <c r="I79" s="63">
        <f t="shared" si="13"/>
        <v>15</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860</v>
      </c>
      <c r="M79" s="6">
        <f>IF(B79&gt;$N$2,0,VLOOKUP('Total income package'!$B$3,'Location specific data'!$A$3:$AO$135,36,FALSE))*$F$2*20</f>
        <v>0</v>
      </c>
      <c r="N79" s="6">
        <f>IF(B79&gt;$N$2,0,VLOOKUP('Total income package'!$B$3,'Location specific data'!$A$3:$AO$135,37,FALSE))*($G$2+$H$2)*20</f>
        <v>560</v>
      </c>
      <c r="O79" s="6">
        <f t="shared" si="14"/>
        <v>45</v>
      </c>
      <c r="P79" s="312">
        <f t="shared" si="15"/>
        <v>154.16666666666669</v>
      </c>
      <c r="Q79" s="312">
        <f t="shared" si="16"/>
        <v>45</v>
      </c>
      <c r="R79" s="312">
        <f t="shared" si="20"/>
        <v>45</v>
      </c>
      <c r="S79" s="160">
        <f>IF(AND('Total income package'!$A$8=TRUE,OR(F79="Yes",G79="Yes",H79="Yes")),SUM(J79:N79)-R79,0)</f>
        <v>2655</v>
      </c>
    </row>
    <row r="80" spans="1:19" s="5" customFormat="1" x14ac:dyDescent="0.25">
      <c r="A80" s="6">
        <v>37500</v>
      </c>
      <c r="B80" s="7">
        <f t="shared" si="17"/>
        <v>3125</v>
      </c>
      <c r="C80" s="7">
        <f>'Total income package'!$D$80</f>
        <v>0</v>
      </c>
      <c r="D80" s="7">
        <f t="shared" si="18"/>
        <v>3125</v>
      </c>
      <c r="E80" s="65">
        <f t="shared" si="19"/>
        <v>0.74940047961630696</v>
      </c>
      <c r="F80" s="65" t="str">
        <f t="shared" si="11"/>
        <v>Yes</v>
      </c>
      <c r="G80" s="65" t="str">
        <f t="shared" si="12"/>
        <v>Yes</v>
      </c>
      <c r="H80" s="301" t="str">
        <f>IF(OR('TANF-VIEW'!L84&gt;0,'TANF-VIEW'!T84&gt;0),"Yes","No")</f>
        <v>No</v>
      </c>
      <c r="I80" s="63">
        <f t="shared" si="13"/>
        <v>15</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860</v>
      </c>
      <c r="M80" s="6">
        <f>IF(B80&gt;$N$2,0,VLOOKUP('Total income package'!$B$3,'Location specific data'!$A$3:$AO$135,36,FALSE))*$F$2*20</f>
        <v>0</v>
      </c>
      <c r="N80" s="6">
        <f>IF(B80&gt;$N$2,0,VLOOKUP('Total income package'!$B$3,'Location specific data'!$A$3:$AO$135,37,FALSE))*($G$2+$H$2)*20</f>
        <v>560</v>
      </c>
      <c r="O80" s="6">
        <f t="shared" si="14"/>
        <v>45</v>
      </c>
      <c r="P80" s="312">
        <f t="shared" si="15"/>
        <v>156.25</v>
      </c>
      <c r="Q80" s="312">
        <f t="shared" si="16"/>
        <v>45</v>
      </c>
      <c r="R80" s="312">
        <f t="shared" si="20"/>
        <v>45</v>
      </c>
      <c r="S80" s="160">
        <f>IF(AND('Total income package'!$A$8=TRUE,OR(F80="Yes",G80="Yes",H80="Yes")),SUM(J80:N80)-R80,0)</f>
        <v>2655</v>
      </c>
    </row>
    <row r="81" spans="1:19" s="5" customFormat="1" x14ac:dyDescent="0.25">
      <c r="A81" s="6">
        <v>38000</v>
      </c>
      <c r="B81" s="7">
        <f t="shared" si="17"/>
        <v>3166.6666666666665</v>
      </c>
      <c r="C81" s="7">
        <f>'Total income package'!$D$80</f>
        <v>0</v>
      </c>
      <c r="D81" s="7">
        <f t="shared" si="18"/>
        <v>3166.6666666666665</v>
      </c>
      <c r="E81" s="65">
        <f t="shared" si="19"/>
        <v>0.75939248601119103</v>
      </c>
      <c r="F81" s="65" t="str">
        <f t="shared" si="11"/>
        <v>Yes</v>
      </c>
      <c r="G81" s="65" t="str">
        <f t="shared" si="12"/>
        <v>Yes</v>
      </c>
      <c r="H81" s="301" t="str">
        <f>IF(OR('TANF-VIEW'!L85&gt;0,'TANF-VIEW'!T85&gt;0),"Yes","No")</f>
        <v>No</v>
      </c>
      <c r="I81" s="63">
        <f t="shared" si="13"/>
        <v>15</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860</v>
      </c>
      <c r="M81" s="6">
        <f>IF(B81&gt;$N$2,0,VLOOKUP('Total income package'!$B$3,'Location specific data'!$A$3:$AO$135,36,FALSE))*$F$2*20</f>
        <v>0</v>
      </c>
      <c r="N81" s="6">
        <f>IF(B81&gt;$N$2,0,VLOOKUP('Total income package'!$B$3,'Location specific data'!$A$3:$AO$135,37,FALSE))*($G$2+$H$2)*20</f>
        <v>560</v>
      </c>
      <c r="O81" s="6">
        <f t="shared" si="14"/>
        <v>45</v>
      </c>
      <c r="P81" s="312">
        <f t="shared" si="15"/>
        <v>158.33333333333334</v>
      </c>
      <c r="Q81" s="312">
        <f t="shared" si="16"/>
        <v>45</v>
      </c>
      <c r="R81" s="312">
        <f t="shared" si="20"/>
        <v>45</v>
      </c>
      <c r="S81" s="160">
        <f>IF(AND('Total income package'!$A$8=TRUE,OR(F81="Yes",G81="Yes",H81="Yes")),SUM(J81:N81)-R81,0)</f>
        <v>2655</v>
      </c>
    </row>
    <row r="82" spans="1:19" s="5" customFormat="1" x14ac:dyDescent="0.25">
      <c r="A82" s="6">
        <v>38500</v>
      </c>
      <c r="B82" s="7">
        <f t="shared" si="17"/>
        <v>3208.3333333333335</v>
      </c>
      <c r="C82" s="7">
        <f>'Total income package'!$D$80</f>
        <v>0</v>
      </c>
      <c r="D82" s="7">
        <f t="shared" si="18"/>
        <v>3208.3333333333335</v>
      </c>
      <c r="E82" s="65">
        <f t="shared" si="19"/>
        <v>0.7693844924060752</v>
      </c>
      <c r="F82" s="65" t="str">
        <f t="shared" si="11"/>
        <v>Yes</v>
      </c>
      <c r="G82" s="65" t="str">
        <f t="shared" si="12"/>
        <v>Yes</v>
      </c>
      <c r="H82" s="301" t="str">
        <f>IF(OR('TANF-VIEW'!L86&gt;0,'TANF-VIEW'!T86&gt;0),"Yes","No")</f>
        <v>No</v>
      </c>
      <c r="I82" s="63">
        <f t="shared" si="13"/>
        <v>15</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860</v>
      </c>
      <c r="M82" s="6">
        <f>IF(B82&gt;$N$2,0,VLOOKUP('Total income package'!$B$3,'Location specific data'!$A$3:$AO$135,36,FALSE))*$F$2*20</f>
        <v>0</v>
      </c>
      <c r="N82" s="6">
        <f>IF(B82&gt;$N$2,0,VLOOKUP('Total income package'!$B$3,'Location specific data'!$A$3:$AO$135,37,FALSE))*($G$2+$H$2)*20</f>
        <v>560</v>
      </c>
      <c r="O82" s="6">
        <f t="shared" si="14"/>
        <v>45</v>
      </c>
      <c r="P82" s="312">
        <f t="shared" si="15"/>
        <v>160.41666666666669</v>
      </c>
      <c r="Q82" s="312">
        <f t="shared" si="16"/>
        <v>45</v>
      </c>
      <c r="R82" s="312">
        <f t="shared" si="20"/>
        <v>45</v>
      </c>
      <c r="S82" s="160">
        <f>IF(AND('Total income package'!$A$8=TRUE,OR(F82="Yes",G82="Yes",H82="Yes")),SUM(J82:N82)-R82,0)</f>
        <v>2655</v>
      </c>
    </row>
    <row r="83" spans="1:19" s="5" customFormat="1" x14ac:dyDescent="0.25">
      <c r="A83" s="6">
        <v>39000</v>
      </c>
      <c r="B83" s="7">
        <f t="shared" si="17"/>
        <v>3250</v>
      </c>
      <c r="C83" s="7">
        <f>'Total income package'!$D$80</f>
        <v>0</v>
      </c>
      <c r="D83" s="7">
        <f t="shared" si="18"/>
        <v>3250</v>
      </c>
      <c r="E83" s="65">
        <f t="shared" si="19"/>
        <v>0.77937649880095927</v>
      </c>
      <c r="F83" s="65" t="str">
        <f t="shared" si="11"/>
        <v>Yes</v>
      </c>
      <c r="G83" s="65" t="str">
        <f t="shared" si="12"/>
        <v>Yes</v>
      </c>
      <c r="H83" s="301" t="str">
        <f>IF(OR('TANF-VIEW'!L87&gt;0,'TANF-VIEW'!T87&gt;0),"Yes","No")</f>
        <v>No</v>
      </c>
      <c r="I83" s="63">
        <f t="shared" si="13"/>
        <v>15</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860</v>
      </c>
      <c r="M83" s="6">
        <f>IF(B83&gt;$N$2,0,VLOOKUP('Total income package'!$B$3,'Location specific data'!$A$3:$AO$135,36,FALSE))*$F$2*20</f>
        <v>0</v>
      </c>
      <c r="N83" s="6">
        <f>IF(B83&gt;$N$2,0,VLOOKUP('Total income package'!$B$3,'Location specific data'!$A$3:$AO$135,37,FALSE))*($G$2+$H$2)*20</f>
        <v>560</v>
      </c>
      <c r="O83" s="6">
        <f t="shared" si="14"/>
        <v>45</v>
      </c>
      <c r="P83" s="312">
        <f t="shared" si="15"/>
        <v>162.5</v>
      </c>
      <c r="Q83" s="312">
        <f t="shared" si="16"/>
        <v>45</v>
      </c>
      <c r="R83" s="312">
        <f t="shared" si="20"/>
        <v>45</v>
      </c>
      <c r="S83" s="160">
        <f>IF(AND('Total income package'!$A$8=TRUE,OR(F83="Yes",G83="Yes",H83="Yes")),SUM(J83:N83)-R83,0)</f>
        <v>2655</v>
      </c>
    </row>
    <row r="84" spans="1:19" s="5" customFormat="1" x14ac:dyDescent="0.25">
      <c r="A84" s="6">
        <v>39500</v>
      </c>
      <c r="B84" s="7">
        <f t="shared" si="17"/>
        <v>3291.6666666666665</v>
      </c>
      <c r="C84" s="7">
        <f>'Total income package'!$D$80</f>
        <v>0</v>
      </c>
      <c r="D84" s="7">
        <f t="shared" si="18"/>
        <v>3291.6666666666665</v>
      </c>
      <c r="E84" s="65">
        <f t="shared" si="19"/>
        <v>0.78936850519584334</v>
      </c>
      <c r="F84" s="65" t="str">
        <f t="shared" si="11"/>
        <v>Yes</v>
      </c>
      <c r="G84" s="65" t="str">
        <f t="shared" si="12"/>
        <v>Yes</v>
      </c>
      <c r="H84" s="301" t="str">
        <f>IF(OR('TANF-VIEW'!L88&gt;0,'TANF-VIEW'!T88&gt;0),"Yes","No")</f>
        <v>No</v>
      </c>
      <c r="I84" s="63">
        <f t="shared" si="13"/>
        <v>15</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860</v>
      </c>
      <c r="M84" s="6">
        <f>IF(B84&gt;$N$2,0,VLOOKUP('Total income package'!$B$3,'Location specific data'!$A$3:$AO$135,36,FALSE))*$F$2*20</f>
        <v>0</v>
      </c>
      <c r="N84" s="6">
        <f>IF(B84&gt;$N$2,0,VLOOKUP('Total income package'!$B$3,'Location specific data'!$A$3:$AO$135,37,FALSE))*($G$2+$H$2)*20</f>
        <v>560</v>
      </c>
      <c r="O84" s="6">
        <f t="shared" si="14"/>
        <v>45</v>
      </c>
      <c r="P84" s="312">
        <f t="shared" si="15"/>
        <v>164.58333333333334</v>
      </c>
      <c r="Q84" s="312">
        <f t="shared" si="16"/>
        <v>45</v>
      </c>
      <c r="R84" s="312">
        <f t="shared" si="20"/>
        <v>45</v>
      </c>
      <c r="S84" s="160">
        <f>IF(AND('Total income package'!$A$8=TRUE,OR(F84="Yes",G84="Yes",H84="Yes")),SUM(J84:N84)-R84,0)</f>
        <v>2655</v>
      </c>
    </row>
    <row r="85" spans="1:19" s="5" customFormat="1" x14ac:dyDescent="0.25">
      <c r="A85" s="6">
        <v>40000</v>
      </c>
      <c r="B85" s="7">
        <f>A85/12</f>
        <v>3333.3333333333335</v>
      </c>
      <c r="C85" s="7">
        <f>'Total income package'!$D$80</f>
        <v>0</v>
      </c>
      <c r="D85" s="7">
        <f t="shared" si="18"/>
        <v>3333.3333333333335</v>
      </c>
      <c r="E85" s="65">
        <f t="shared" si="19"/>
        <v>0.79936051159072741</v>
      </c>
      <c r="F85" s="65" t="str">
        <f t="shared" si="11"/>
        <v>Yes</v>
      </c>
      <c r="G85" s="65" t="str">
        <f t="shared" si="12"/>
        <v>Yes</v>
      </c>
      <c r="H85" s="301" t="str">
        <f>IF(OR('TANF-VIEW'!L89&gt;0,'TANF-VIEW'!T89&gt;0),"Yes","No")</f>
        <v>No</v>
      </c>
      <c r="I85" s="63">
        <f t="shared" si="13"/>
        <v>15</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860</v>
      </c>
      <c r="M85" s="6">
        <f>IF(B85&gt;$N$2,0,VLOOKUP('Total income package'!$B$3,'Location specific data'!$A$3:$AO$135,36,FALSE))*$F$2*20</f>
        <v>0</v>
      </c>
      <c r="N85" s="6">
        <f>IF(B85&gt;$N$2,0,VLOOKUP('Total income package'!$B$3,'Location specific data'!$A$3:$AO$135,37,FALSE))*($G$2+$H$2)*20</f>
        <v>560</v>
      </c>
      <c r="O85" s="6">
        <f t="shared" si="14"/>
        <v>45</v>
      </c>
      <c r="P85" s="312">
        <f t="shared" si="15"/>
        <v>166.66666666666669</v>
      </c>
      <c r="Q85" s="312">
        <f t="shared" si="16"/>
        <v>45</v>
      </c>
      <c r="R85" s="312">
        <f t="shared" si="20"/>
        <v>45</v>
      </c>
      <c r="S85" s="160">
        <f>IF(AND('Total income package'!$A$8=TRUE,OR(F85="Yes",G85="Yes",H85="Yes")),SUM(J85:N85)-R85,0)</f>
        <v>2655</v>
      </c>
    </row>
    <row r="86" spans="1:19" s="5" customFormat="1" x14ac:dyDescent="0.25">
      <c r="A86" s="6">
        <v>40500</v>
      </c>
      <c r="B86" s="7">
        <f t="shared" si="17"/>
        <v>3375</v>
      </c>
      <c r="C86" s="7">
        <f>'Total income package'!$D$80</f>
        <v>0</v>
      </c>
      <c r="D86" s="7">
        <f t="shared" si="18"/>
        <v>3375</v>
      </c>
      <c r="E86" s="65">
        <f t="shared" si="19"/>
        <v>0.80935251798561147</v>
      </c>
      <c r="F86" s="65" t="str">
        <f t="shared" si="11"/>
        <v>Yes</v>
      </c>
      <c r="G86" s="65" t="str">
        <f t="shared" si="12"/>
        <v>Yes</v>
      </c>
      <c r="H86" s="301" t="str">
        <f>IF(OR('TANF-VIEW'!L90&gt;0,'TANF-VIEW'!T90&gt;0),"Yes","No")</f>
        <v>No</v>
      </c>
      <c r="I86" s="63">
        <f t="shared" si="13"/>
        <v>15</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860</v>
      </c>
      <c r="M86" s="6">
        <f>IF(B86&gt;$N$2,0,VLOOKUP('Total income package'!$B$3,'Location specific data'!$A$3:$AO$135,36,FALSE))*$F$2*20</f>
        <v>0</v>
      </c>
      <c r="N86" s="6">
        <f>IF(B86&gt;$N$2,0,VLOOKUP('Total income package'!$B$3,'Location specific data'!$A$3:$AO$135,37,FALSE))*($G$2+$H$2)*20</f>
        <v>560</v>
      </c>
      <c r="O86" s="6">
        <f t="shared" si="14"/>
        <v>45</v>
      </c>
      <c r="P86" s="312">
        <f t="shared" si="15"/>
        <v>168.75</v>
      </c>
      <c r="Q86" s="312">
        <f t="shared" si="16"/>
        <v>45</v>
      </c>
      <c r="R86" s="312">
        <f t="shared" si="20"/>
        <v>45</v>
      </c>
      <c r="S86" s="160">
        <f>IF(AND('Total income package'!$A$8=TRUE,OR(F86="Yes",G86="Yes",H86="Yes")),SUM(J86:N86)-R86,0)</f>
        <v>2655</v>
      </c>
    </row>
    <row r="87" spans="1:19" s="5" customFormat="1" x14ac:dyDescent="0.25">
      <c r="A87" s="6">
        <v>41000</v>
      </c>
      <c r="B87" s="7">
        <f t="shared" si="17"/>
        <v>3416.6666666666665</v>
      </c>
      <c r="C87" s="7">
        <f>'Total income package'!$D$80</f>
        <v>0</v>
      </c>
      <c r="D87" s="7">
        <f t="shared" si="18"/>
        <v>3416.6666666666665</v>
      </c>
      <c r="E87" s="65">
        <f t="shared" si="19"/>
        <v>0.81934452438049554</v>
      </c>
      <c r="F87" s="65" t="str">
        <f t="shared" si="11"/>
        <v>Yes</v>
      </c>
      <c r="G87" s="65" t="str">
        <f t="shared" si="12"/>
        <v>Yes</v>
      </c>
      <c r="H87" s="301" t="str">
        <f>IF(OR('TANF-VIEW'!L91&gt;0,'TANF-VIEW'!T91&gt;0),"Yes","No")</f>
        <v>No</v>
      </c>
      <c r="I87" s="63">
        <f t="shared" si="13"/>
        <v>15</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860</v>
      </c>
      <c r="M87" s="6">
        <f>IF(B87&gt;$N$2,0,VLOOKUP('Total income package'!$B$3,'Location specific data'!$A$3:$AO$135,36,FALSE))*$F$2*20</f>
        <v>0</v>
      </c>
      <c r="N87" s="6">
        <f>IF(B87&gt;$N$2,0,VLOOKUP('Total income package'!$B$3,'Location specific data'!$A$3:$AO$135,37,FALSE))*($G$2+$H$2)*20</f>
        <v>560</v>
      </c>
      <c r="O87" s="6">
        <f t="shared" si="14"/>
        <v>45</v>
      </c>
      <c r="P87" s="312">
        <f t="shared" si="15"/>
        <v>170.83333333333334</v>
      </c>
      <c r="Q87" s="312">
        <f t="shared" si="16"/>
        <v>45</v>
      </c>
      <c r="R87" s="312">
        <f t="shared" si="20"/>
        <v>45</v>
      </c>
      <c r="S87" s="160">
        <f>IF(AND('Total income package'!$A$8=TRUE,OR(F87="Yes",G87="Yes",H87="Yes")),SUM(J87:N87)-R87,0)</f>
        <v>2655</v>
      </c>
    </row>
    <row r="88" spans="1:19" s="5" customFormat="1" x14ac:dyDescent="0.25">
      <c r="A88" s="6">
        <v>41500</v>
      </c>
      <c r="B88" s="7">
        <f t="shared" si="17"/>
        <v>3458.3333333333335</v>
      </c>
      <c r="C88" s="7">
        <f>'Total income package'!$D$80</f>
        <v>0</v>
      </c>
      <c r="D88" s="7">
        <f t="shared" si="18"/>
        <v>3458.3333333333335</v>
      </c>
      <c r="E88" s="65">
        <f t="shared" si="19"/>
        <v>0.82933653077537972</v>
      </c>
      <c r="F88" s="65" t="str">
        <f t="shared" si="11"/>
        <v>Yes</v>
      </c>
      <c r="G88" s="65" t="str">
        <f t="shared" si="12"/>
        <v>Yes</v>
      </c>
      <c r="H88" s="301" t="str">
        <f>IF(OR('TANF-VIEW'!L92&gt;0,'TANF-VIEW'!T92&gt;0),"Yes","No")</f>
        <v>No</v>
      </c>
      <c r="I88" s="63">
        <f t="shared" si="13"/>
        <v>15</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860</v>
      </c>
      <c r="M88" s="6">
        <f>IF(B88&gt;$N$2,0,VLOOKUP('Total income package'!$B$3,'Location specific data'!$A$3:$AO$135,36,FALSE))*$F$2*20</f>
        <v>0</v>
      </c>
      <c r="N88" s="6">
        <f>IF(B88&gt;$N$2,0,VLOOKUP('Total income package'!$B$3,'Location specific data'!$A$3:$AO$135,37,FALSE))*($G$2+$H$2)*20</f>
        <v>560</v>
      </c>
      <c r="O88" s="6">
        <f t="shared" si="14"/>
        <v>45</v>
      </c>
      <c r="P88" s="312">
        <f t="shared" si="15"/>
        <v>172.91666666666669</v>
      </c>
      <c r="Q88" s="312">
        <f t="shared" si="16"/>
        <v>45</v>
      </c>
      <c r="R88" s="312">
        <f t="shared" si="20"/>
        <v>45</v>
      </c>
      <c r="S88" s="160">
        <f>IF(AND('Total income package'!$A$8=TRUE,OR(F88="Yes",G88="Yes",H88="Yes")),SUM(J88:N88)-R88,0)</f>
        <v>2655</v>
      </c>
    </row>
    <row r="89" spans="1:19" s="5" customFormat="1" x14ac:dyDescent="0.25">
      <c r="A89" s="6">
        <v>42000</v>
      </c>
      <c r="B89" s="7">
        <f t="shared" si="17"/>
        <v>3500</v>
      </c>
      <c r="C89" s="7">
        <f>'Total income package'!$D$80</f>
        <v>0</v>
      </c>
      <c r="D89" s="7">
        <f t="shared" si="18"/>
        <v>3500</v>
      </c>
      <c r="E89" s="65">
        <f t="shared" si="19"/>
        <v>0.83932853717026379</v>
      </c>
      <c r="F89" s="65" t="str">
        <f t="shared" si="11"/>
        <v>Yes</v>
      </c>
      <c r="G89" s="65" t="str">
        <f t="shared" si="12"/>
        <v>Yes</v>
      </c>
      <c r="H89" s="301" t="str">
        <f>IF(OR('TANF-VIEW'!L93&gt;0,'TANF-VIEW'!T93&gt;0),"Yes","No")</f>
        <v>No</v>
      </c>
      <c r="I89" s="63">
        <f t="shared" si="13"/>
        <v>15</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860</v>
      </c>
      <c r="M89" s="6">
        <f>IF(B89&gt;$N$2,0,VLOOKUP('Total income package'!$B$3,'Location specific data'!$A$3:$AO$135,36,FALSE))*$F$2*20</f>
        <v>0</v>
      </c>
      <c r="N89" s="6">
        <f>IF(B89&gt;$N$2,0,VLOOKUP('Total income package'!$B$3,'Location specific data'!$A$3:$AO$135,37,FALSE))*($G$2+$H$2)*20</f>
        <v>560</v>
      </c>
      <c r="O89" s="6">
        <f t="shared" si="14"/>
        <v>45</v>
      </c>
      <c r="P89" s="312">
        <f t="shared" si="15"/>
        <v>175</v>
      </c>
      <c r="Q89" s="312">
        <f t="shared" si="16"/>
        <v>45</v>
      </c>
      <c r="R89" s="312">
        <f t="shared" si="20"/>
        <v>45</v>
      </c>
      <c r="S89" s="160">
        <f>IF(AND('Total income package'!$A$8=TRUE,OR(F89="Yes",G89="Yes",H89="Yes")),SUM(J89:N89)-R89,0)</f>
        <v>2655</v>
      </c>
    </row>
    <row r="90" spans="1:19" s="5" customFormat="1" x14ac:dyDescent="0.25">
      <c r="A90" s="6">
        <v>42500</v>
      </c>
      <c r="B90" s="7">
        <f t="shared" si="17"/>
        <v>3541.6666666666665</v>
      </c>
      <c r="C90" s="7">
        <f>'Total income package'!$D$80</f>
        <v>0</v>
      </c>
      <c r="D90" s="7">
        <f t="shared" si="18"/>
        <v>3541.6666666666665</v>
      </c>
      <c r="E90" s="65">
        <f t="shared" si="19"/>
        <v>0.84932054356514786</v>
      </c>
      <c r="F90" s="65" t="str">
        <f t="shared" si="11"/>
        <v>Yes</v>
      </c>
      <c r="G90" s="65" t="str">
        <f t="shared" si="12"/>
        <v>Yes</v>
      </c>
      <c r="H90" s="301" t="str">
        <f>IF(OR('TANF-VIEW'!L94&gt;0,'TANF-VIEW'!T94&gt;0),"Yes","No")</f>
        <v>No</v>
      </c>
      <c r="I90" s="63">
        <f t="shared" si="13"/>
        <v>15</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860</v>
      </c>
      <c r="M90" s="6">
        <f>IF(B90&gt;$N$2,0,VLOOKUP('Total income package'!$B$3,'Location specific data'!$A$3:$AO$135,36,FALSE))*$F$2*20</f>
        <v>0</v>
      </c>
      <c r="N90" s="6">
        <f>IF(B90&gt;$N$2,0,VLOOKUP('Total income package'!$B$3,'Location specific data'!$A$3:$AO$135,37,FALSE))*($G$2+$H$2)*20</f>
        <v>560</v>
      </c>
      <c r="O90" s="6">
        <f t="shared" si="14"/>
        <v>45</v>
      </c>
      <c r="P90" s="312">
        <f t="shared" si="15"/>
        <v>177.08333333333334</v>
      </c>
      <c r="Q90" s="312">
        <f t="shared" si="16"/>
        <v>45</v>
      </c>
      <c r="R90" s="312">
        <f t="shared" si="20"/>
        <v>45</v>
      </c>
      <c r="S90" s="160">
        <f>IF(AND('Total income package'!$A$8=TRUE,OR(F90="Yes",G90="Yes",H90="Yes")),SUM(J90:N90)-R90,0)</f>
        <v>2655</v>
      </c>
    </row>
    <row r="91" spans="1:19" s="5" customFormat="1" x14ac:dyDescent="0.25">
      <c r="A91" s="6">
        <v>43000</v>
      </c>
      <c r="B91" s="7">
        <f t="shared" si="17"/>
        <v>3583.3333333333335</v>
      </c>
      <c r="C91" s="7">
        <f>'Total income package'!$D$80</f>
        <v>0</v>
      </c>
      <c r="D91" s="7">
        <f t="shared" si="18"/>
        <v>3583.3333333333335</v>
      </c>
      <c r="E91" s="65">
        <f t="shared" si="19"/>
        <v>0.85931254996003203</v>
      </c>
      <c r="F91" s="65" t="str">
        <f t="shared" si="11"/>
        <v>Yes</v>
      </c>
      <c r="G91" s="65" t="str">
        <f t="shared" si="12"/>
        <v>Yes</v>
      </c>
      <c r="H91" s="301" t="str">
        <f>IF(OR('TANF-VIEW'!L95&gt;0,'TANF-VIEW'!T95&gt;0),"Yes","No")</f>
        <v>No</v>
      </c>
      <c r="I91" s="63">
        <f t="shared" si="13"/>
        <v>15</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860</v>
      </c>
      <c r="M91" s="6">
        <f>IF(B91&gt;$N$2,0,VLOOKUP('Total income package'!$B$3,'Location specific data'!$A$3:$AO$135,36,FALSE))*$F$2*20</f>
        <v>0</v>
      </c>
      <c r="N91" s="6">
        <f>IF(B91&gt;$N$2,0,VLOOKUP('Total income package'!$B$3,'Location specific data'!$A$3:$AO$135,37,FALSE))*($G$2+$H$2)*20</f>
        <v>560</v>
      </c>
      <c r="O91" s="6">
        <f t="shared" si="14"/>
        <v>45</v>
      </c>
      <c r="P91" s="312">
        <f t="shared" si="15"/>
        <v>179.16666666666669</v>
      </c>
      <c r="Q91" s="312">
        <f t="shared" si="16"/>
        <v>45</v>
      </c>
      <c r="R91" s="312">
        <f t="shared" si="20"/>
        <v>45</v>
      </c>
      <c r="S91" s="160">
        <f>IF(AND('Total income package'!$A$8=TRUE,OR(F91="Yes",G91="Yes",H91="Yes")),SUM(J91:N91)-R91,0)</f>
        <v>2655</v>
      </c>
    </row>
    <row r="92" spans="1:19" s="5" customFormat="1" x14ac:dyDescent="0.25">
      <c r="A92" s="6">
        <v>43500</v>
      </c>
      <c r="B92" s="7">
        <f t="shared" si="17"/>
        <v>3625</v>
      </c>
      <c r="C92" s="7">
        <f>'Total income package'!$D$80</f>
        <v>0</v>
      </c>
      <c r="D92" s="7">
        <f t="shared" si="18"/>
        <v>3625</v>
      </c>
      <c r="E92" s="65">
        <f t="shared" si="19"/>
        <v>0.8693045563549161</v>
      </c>
      <c r="F92" s="65" t="str">
        <f t="shared" si="11"/>
        <v>Yes</v>
      </c>
      <c r="G92" s="65" t="str">
        <f t="shared" si="12"/>
        <v>Yes</v>
      </c>
      <c r="H92" s="301" t="str">
        <f>IF(OR('TANF-VIEW'!L96&gt;0,'TANF-VIEW'!T96&gt;0),"Yes","No")</f>
        <v>No</v>
      </c>
      <c r="I92" s="63">
        <f t="shared" si="13"/>
        <v>15</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860</v>
      </c>
      <c r="M92" s="6">
        <f>IF(B92&gt;$N$2,0,VLOOKUP('Total income package'!$B$3,'Location specific data'!$A$3:$AO$135,36,FALSE))*$F$2*20</f>
        <v>0</v>
      </c>
      <c r="N92" s="6">
        <f>IF(B92&gt;$N$2,0,VLOOKUP('Total income package'!$B$3,'Location specific data'!$A$3:$AO$135,37,FALSE))*($G$2+$H$2)*20</f>
        <v>560</v>
      </c>
      <c r="O92" s="6">
        <f t="shared" si="14"/>
        <v>45</v>
      </c>
      <c r="P92" s="312">
        <f t="shared" si="15"/>
        <v>181.25</v>
      </c>
      <c r="Q92" s="312">
        <f t="shared" si="16"/>
        <v>45</v>
      </c>
      <c r="R92" s="312">
        <f t="shared" si="20"/>
        <v>45</v>
      </c>
      <c r="S92" s="160">
        <f>IF(AND('Total income package'!$A$8=TRUE,OR(F92="Yes",G92="Yes",H92="Yes")),SUM(J92:N92)-R92,0)</f>
        <v>2655</v>
      </c>
    </row>
    <row r="93" spans="1:19" s="5" customFormat="1" x14ac:dyDescent="0.25">
      <c r="A93" s="6">
        <v>44000</v>
      </c>
      <c r="B93" s="7">
        <f t="shared" si="17"/>
        <v>3666.6666666666665</v>
      </c>
      <c r="C93" s="7">
        <f>'Total income package'!$D$80</f>
        <v>0</v>
      </c>
      <c r="D93" s="7">
        <f t="shared" si="18"/>
        <v>3666.6666666666665</v>
      </c>
      <c r="E93" s="65">
        <f t="shared" si="19"/>
        <v>0.87929656274980017</v>
      </c>
      <c r="F93" s="65" t="str">
        <f t="shared" si="11"/>
        <v>Yes</v>
      </c>
      <c r="G93" s="65" t="str">
        <f t="shared" si="12"/>
        <v>Yes</v>
      </c>
      <c r="H93" s="301" t="str">
        <f>IF(OR('TANF-VIEW'!L97&gt;0,'TANF-VIEW'!T97&gt;0),"Yes","No")</f>
        <v>No</v>
      </c>
      <c r="I93" s="63">
        <f t="shared" si="13"/>
        <v>15</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860</v>
      </c>
      <c r="M93" s="6">
        <f>IF(B93&gt;$N$2,0,VLOOKUP('Total income package'!$B$3,'Location specific data'!$A$3:$AO$135,36,FALSE))*$F$2*20</f>
        <v>0</v>
      </c>
      <c r="N93" s="6">
        <f>IF(B93&gt;$N$2,0,VLOOKUP('Total income package'!$B$3,'Location specific data'!$A$3:$AO$135,37,FALSE))*($G$2+$H$2)*20</f>
        <v>560</v>
      </c>
      <c r="O93" s="6">
        <f t="shared" si="14"/>
        <v>45</v>
      </c>
      <c r="P93" s="312">
        <f t="shared" si="15"/>
        <v>183.33333333333334</v>
      </c>
      <c r="Q93" s="312">
        <f t="shared" si="16"/>
        <v>45</v>
      </c>
      <c r="R93" s="312">
        <f t="shared" si="20"/>
        <v>45</v>
      </c>
      <c r="S93" s="160">
        <f>IF(AND('Total income package'!$A$8=TRUE,OR(F93="Yes",G93="Yes",H93="Yes")),SUM(J93:N93)-R93,0)</f>
        <v>2655</v>
      </c>
    </row>
    <row r="94" spans="1:19" s="5" customFormat="1" x14ac:dyDescent="0.25">
      <c r="A94" s="6">
        <v>44500</v>
      </c>
      <c r="B94" s="7">
        <f t="shared" si="17"/>
        <v>3708.3333333333335</v>
      </c>
      <c r="C94" s="7">
        <f>'Total income package'!$D$80</f>
        <v>0</v>
      </c>
      <c r="D94" s="7">
        <f t="shared" si="18"/>
        <v>3708.3333333333335</v>
      </c>
      <c r="E94" s="65">
        <f t="shared" si="19"/>
        <v>0.88928856914468424</v>
      </c>
      <c r="F94" s="65" t="str">
        <f t="shared" si="11"/>
        <v>Yes</v>
      </c>
      <c r="G94" s="65" t="str">
        <f t="shared" si="12"/>
        <v>Yes</v>
      </c>
      <c r="H94" s="301" t="str">
        <f>IF(OR('TANF-VIEW'!L98&gt;0,'TANF-VIEW'!T98&gt;0),"Yes","No")</f>
        <v>No</v>
      </c>
      <c r="I94" s="63">
        <f t="shared" si="13"/>
        <v>15</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860</v>
      </c>
      <c r="M94" s="6">
        <f>IF(B94&gt;$N$2,0,VLOOKUP('Total income package'!$B$3,'Location specific data'!$A$3:$AO$135,36,FALSE))*$F$2*20</f>
        <v>0</v>
      </c>
      <c r="N94" s="6">
        <f>IF(B94&gt;$N$2,0,VLOOKUP('Total income package'!$B$3,'Location specific data'!$A$3:$AO$135,37,FALSE))*($G$2+$H$2)*20</f>
        <v>560</v>
      </c>
      <c r="O94" s="6">
        <f t="shared" si="14"/>
        <v>45</v>
      </c>
      <c r="P94" s="312">
        <f t="shared" si="15"/>
        <v>185.41666666666669</v>
      </c>
      <c r="Q94" s="312">
        <f t="shared" si="16"/>
        <v>45</v>
      </c>
      <c r="R94" s="312">
        <f t="shared" si="20"/>
        <v>45</v>
      </c>
      <c r="S94" s="160">
        <f>IF(AND('Total income package'!$A$8=TRUE,OR(F94="Yes",G94="Yes",H94="Yes")),SUM(J94:N94)-R94,0)</f>
        <v>2655</v>
      </c>
    </row>
    <row r="95" spans="1:19" s="5" customFormat="1" x14ac:dyDescent="0.25">
      <c r="A95" s="6">
        <v>45000</v>
      </c>
      <c r="B95" s="7">
        <f t="shared" si="17"/>
        <v>3750</v>
      </c>
      <c r="C95" s="7">
        <f>'Total income package'!$D$80</f>
        <v>0</v>
      </c>
      <c r="D95" s="7">
        <f t="shared" si="18"/>
        <v>3750</v>
      </c>
      <c r="E95" s="65">
        <f t="shared" si="19"/>
        <v>0.89928057553956831</v>
      </c>
      <c r="F95" s="65" t="str">
        <f t="shared" si="11"/>
        <v>Yes</v>
      </c>
      <c r="G95" s="65" t="str">
        <f t="shared" si="12"/>
        <v>Yes</v>
      </c>
      <c r="H95" s="301" t="str">
        <f>IF(OR('TANF-VIEW'!L99&gt;0,'TANF-VIEW'!T99&gt;0),"Yes","No")</f>
        <v>No</v>
      </c>
      <c r="I95" s="63">
        <f t="shared" si="13"/>
        <v>15</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860</v>
      </c>
      <c r="M95" s="6">
        <f>IF(B95&gt;$N$2,0,VLOOKUP('Total income package'!$B$3,'Location specific data'!$A$3:$AO$135,36,FALSE))*$F$2*20</f>
        <v>0</v>
      </c>
      <c r="N95" s="6">
        <f>IF(B95&gt;$N$2,0,VLOOKUP('Total income package'!$B$3,'Location specific data'!$A$3:$AO$135,37,FALSE))*($G$2+$H$2)*20</f>
        <v>560</v>
      </c>
      <c r="O95" s="6">
        <f t="shared" si="14"/>
        <v>45</v>
      </c>
      <c r="P95" s="312">
        <f t="shared" si="15"/>
        <v>187.5</v>
      </c>
      <c r="Q95" s="312">
        <f t="shared" si="16"/>
        <v>45</v>
      </c>
      <c r="R95" s="312">
        <f t="shared" si="20"/>
        <v>45</v>
      </c>
      <c r="S95" s="160">
        <f>IF(AND('Total income package'!$A$8=TRUE,OR(F95="Yes",G95="Yes",H95="Yes")),SUM(J95:N95)-R95,0)</f>
        <v>2655</v>
      </c>
    </row>
    <row r="96" spans="1:19" s="5" customFormat="1" x14ac:dyDescent="0.25">
      <c r="A96" s="6">
        <v>45500</v>
      </c>
      <c r="B96" s="7">
        <f t="shared" si="17"/>
        <v>3791.6666666666665</v>
      </c>
      <c r="C96" s="7">
        <f>'Total income package'!$D$80</f>
        <v>0</v>
      </c>
      <c r="D96" s="7">
        <f t="shared" si="18"/>
        <v>3791.6666666666665</v>
      </c>
      <c r="E96" s="65">
        <f t="shared" si="19"/>
        <v>0.90927258193445237</v>
      </c>
      <c r="F96" s="65" t="str">
        <f t="shared" si="11"/>
        <v>Yes</v>
      </c>
      <c r="G96" s="65" t="str">
        <f t="shared" si="12"/>
        <v>Yes</v>
      </c>
      <c r="H96" s="301" t="str">
        <f>IF(OR('TANF-VIEW'!L100&gt;0,'TANF-VIEW'!T100&gt;0),"Yes","No")</f>
        <v>No</v>
      </c>
      <c r="I96" s="63">
        <f t="shared" si="13"/>
        <v>15</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860</v>
      </c>
      <c r="M96" s="6">
        <f>IF(B96&gt;$N$2,0,VLOOKUP('Total income package'!$B$3,'Location specific data'!$A$3:$AO$135,36,FALSE))*$F$2*20</f>
        <v>0</v>
      </c>
      <c r="N96" s="6">
        <f>IF(B96&gt;$N$2,0,VLOOKUP('Total income package'!$B$3,'Location specific data'!$A$3:$AO$135,37,FALSE))*($G$2+$H$2)*20</f>
        <v>560</v>
      </c>
      <c r="O96" s="6">
        <f t="shared" si="14"/>
        <v>45</v>
      </c>
      <c r="P96" s="312">
        <f t="shared" si="15"/>
        <v>189.58333333333334</v>
      </c>
      <c r="Q96" s="312">
        <f t="shared" si="16"/>
        <v>45</v>
      </c>
      <c r="R96" s="312">
        <f t="shared" si="20"/>
        <v>45</v>
      </c>
      <c r="S96" s="160">
        <f>IF(AND('Total income package'!$A$8=TRUE,OR(F96="Yes",G96="Yes",H96="Yes")),SUM(J96:N96)-R96,0)</f>
        <v>2655</v>
      </c>
    </row>
    <row r="97" spans="1:19" s="5" customFormat="1" x14ac:dyDescent="0.25">
      <c r="A97" s="6">
        <v>46000</v>
      </c>
      <c r="B97" s="7">
        <f t="shared" si="17"/>
        <v>3833.3333333333335</v>
      </c>
      <c r="C97" s="7">
        <f>'Total income package'!$D$80</f>
        <v>0</v>
      </c>
      <c r="D97" s="7">
        <f t="shared" si="18"/>
        <v>3833.3333333333335</v>
      </c>
      <c r="E97" s="65">
        <f t="shared" si="19"/>
        <v>0.91926458832933655</v>
      </c>
      <c r="F97" s="65" t="str">
        <f t="shared" si="11"/>
        <v>Yes</v>
      </c>
      <c r="G97" s="65" t="str">
        <f t="shared" si="12"/>
        <v>Yes</v>
      </c>
      <c r="H97" s="301" t="str">
        <f>IF(OR('TANF-VIEW'!L101&gt;0,'TANF-VIEW'!T101&gt;0),"Yes","No")</f>
        <v>No</v>
      </c>
      <c r="I97" s="63">
        <f t="shared" si="13"/>
        <v>15</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860</v>
      </c>
      <c r="M97" s="6">
        <f>IF(B97&gt;$N$2,0,VLOOKUP('Total income package'!$B$3,'Location specific data'!$A$3:$AO$135,36,FALSE))*$F$2*20</f>
        <v>0</v>
      </c>
      <c r="N97" s="6">
        <f>IF(B97&gt;$N$2,0,VLOOKUP('Total income package'!$B$3,'Location specific data'!$A$3:$AO$135,37,FALSE))*($G$2+$H$2)*20</f>
        <v>560</v>
      </c>
      <c r="O97" s="6">
        <f t="shared" si="14"/>
        <v>45</v>
      </c>
      <c r="P97" s="312">
        <f t="shared" si="15"/>
        <v>191.66666666666669</v>
      </c>
      <c r="Q97" s="312">
        <f t="shared" si="16"/>
        <v>45</v>
      </c>
      <c r="R97" s="312">
        <f t="shared" si="20"/>
        <v>45</v>
      </c>
      <c r="S97" s="160">
        <f>IF(AND('Total income package'!$A$8=TRUE,OR(F97="Yes",G97="Yes",H97="Yes")),SUM(J97:N97)-R97,0)</f>
        <v>2655</v>
      </c>
    </row>
    <row r="98" spans="1:19" s="5" customFormat="1" x14ac:dyDescent="0.25">
      <c r="A98" s="6">
        <v>46500</v>
      </c>
      <c r="B98" s="7">
        <f t="shared" si="17"/>
        <v>3875</v>
      </c>
      <c r="C98" s="7">
        <f>'Total income package'!$D$80</f>
        <v>0</v>
      </c>
      <c r="D98" s="7">
        <f t="shared" si="18"/>
        <v>3875</v>
      </c>
      <c r="E98" s="65">
        <f t="shared" si="19"/>
        <v>0.92925659472422062</v>
      </c>
      <c r="F98" s="65" t="str">
        <f t="shared" si="11"/>
        <v>Yes</v>
      </c>
      <c r="G98" s="65" t="str">
        <f t="shared" si="12"/>
        <v>Yes</v>
      </c>
      <c r="H98" s="301" t="str">
        <f>IF(OR('TANF-VIEW'!L102&gt;0,'TANF-VIEW'!T102&gt;0),"Yes","No")</f>
        <v>No</v>
      </c>
      <c r="I98" s="63">
        <f t="shared" si="13"/>
        <v>15</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860</v>
      </c>
      <c r="M98" s="6">
        <f>IF(B98&gt;$N$2,0,VLOOKUP('Total income package'!$B$3,'Location specific data'!$A$3:$AO$135,36,FALSE))*$F$2*20</f>
        <v>0</v>
      </c>
      <c r="N98" s="6">
        <f>IF(B98&gt;$N$2,0,VLOOKUP('Total income package'!$B$3,'Location specific data'!$A$3:$AO$135,37,FALSE))*($G$2+$H$2)*20</f>
        <v>560</v>
      </c>
      <c r="O98" s="6">
        <f t="shared" si="14"/>
        <v>45</v>
      </c>
      <c r="P98" s="312">
        <f t="shared" si="15"/>
        <v>193.75</v>
      </c>
      <c r="Q98" s="312">
        <f t="shared" si="16"/>
        <v>45</v>
      </c>
      <c r="R98" s="312">
        <f t="shared" si="20"/>
        <v>45</v>
      </c>
      <c r="S98" s="160">
        <f>IF(AND('Total income package'!$A$8=TRUE,OR(F98="Yes",G98="Yes",H98="Yes")),SUM(J98:N98)-R98,0)</f>
        <v>2655</v>
      </c>
    </row>
    <row r="99" spans="1:19" s="5" customFormat="1" x14ac:dyDescent="0.25">
      <c r="A99" s="6">
        <v>47000</v>
      </c>
      <c r="B99" s="7">
        <f t="shared" si="17"/>
        <v>3916.6666666666665</v>
      </c>
      <c r="C99" s="7">
        <f>'Total income package'!$D$80</f>
        <v>0</v>
      </c>
      <c r="D99" s="7">
        <f t="shared" si="18"/>
        <v>3916.6666666666665</v>
      </c>
      <c r="E99" s="65">
        <f t="shared" si="19"/>
        <v>0.93924860111910469</v>
      </c>
      <c r="F99" s="65" t="str">
        <f t="shared" si="11"/>
        <v>Yes</v>
      </c>
      <c r="G99" s="65" t="str">
        <f t="shared" si="12"/>
        <v>Yes</v>
      </c>
      <c r="H99" s="301" t="str">
        <f>IF(OR('TANF-VIEW'!L103&gt;0,'TANF-VIEW'!T103&gt;0),"Yes","No")</f>
        <v>No</v>
      </c>
      <c r="I99" s="63">
        <f t="shared" si="13"/>
        <v>15</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860</v>
      </c>
      <c r="M99" s="6">
        <f>IF(B99&gt;$N$2,0,VLOOKUP('Total income package'!$B$3,'Location specific data'!$A$3:$AO$135,36,FALSE))*$F$2*20</f>
        <v>0</v>
      </c>
      <c r="N99" s="6">
        <f>IF(B99&gt;$N$2,0,VLOOKUP('Total income package'!$B$3,'Location specific data'!$A$3:$AO$135,37,FALSE))*($G$2+$H$2)*20</f>
        <v>560</v>
      </c>
      <c r="O99" s="6">
        <f t="shared" si="14"/>
        <v>45</v>
      </c>
      <c r="P99" s="312">
        <f t="shared" si="15"/>
        <v>195.83333333333334</v>
      </c>
      <c r="Q99" s="312">
        <f t="shared" si="16"/>
        <v>45</v>
      </c>
      <c r="R99" s="312">
        <f t="shared" si="20"/>
        <v>45</v>
      </c>
      <c r="S99" s="160">
        <f>IF(AND('Total income package'!$A$8=TRUE,OR(F99="Yes",G99="Yes",H99="Yes")),SUM(J99:N99)-R99,0)</f>
        <v>2655</v>
      </c>
    </row>
    <row r="100" spans="1:19" s="5" customFormat="1" x14ac:dyDescent="0.25">
      <c r="A100" s="6">
        <v>47500</v>
      </c>
      <c r="B100" s="7">
        <f t="shared" si="17"/>
        <v>3958.3333333333335</v>
      </c>
      <c r="C100" s="7">
        <f>'Total income package'!$D$80</f>
        <v>0</v>
      </c>
      <c r="D100" s="7">
        <f t="shared" si="18"/>
        <v>3958.3333333333335</v>
      </c>
      <c r="E100" s="65">
        <f t="shared" si="19"/>
        <v>0.94924060751398887</v>
      </c>
      <c r="F100" s="65" t="str">
        <f t="shared" si="11"/>
        <v>Yes</v>
      </c>
      <c r="G100" s="65" t="str">
        <f t="shared" si="12"/>
        <v>Yes</v>
      </c>
      <c r="H100" s="301" t="str">
        <f>IF(OR('TANF-VIEW'!L104&gt;0,'TANF-VIEW'!T104&gt;0),"Yes","No")</f>
        <v>No</v>
      </c>
      <c r="I100" s="63">
        <f t="shared" si="13"/>
        <v>15</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860</v>
      </c>
      <c r="M100" s="6">
        <f>IF(B100&gt;$N$2,0,VLOOKUP('Total income package'!$B$3,'Location specific data'!$A$3:$AO$135,36,FALSE))*$F$2*20</f>
        <v>0</v>
      </c>
      <c r="N100" s="6">
        <f>IF(B100&gt;$N$2,0,VLOOKUP('Total income package'!$B$3,'Location specific data'!$A$3:$AO$135,37,FALSE))*($G$2+$H$2)*20</f>
        <v>560</v>
      </c>
      <c r="O100" s="6">
        <f t="shared" si="14"/>
        <v>45</v>
      </c>
      <c r="P100" s="312">
        <f t="shared" si="15"/>
        <v>197.91666666666669</v>
      </c>
      <c r="Q100" s="312">
        <f t="shared" si="16"/>
        <v>45</v>
      </c>
      <c r="R100" s="312">
        <f t="shared" si="20"/>
        <v>45</v>
      </c>
      <c r="S100" s="160">
        <f>IF(AND('Total income package'!$A$8=TRUE,OR(F100="Yes",G100="Yes",H100="Yes")),SUM(J100:N100)-R100,0)</f>
        <v>2655</v>
      </c>
    </row>
    <row r="101" spans="1:19" s="5" customFormat="1" x14ac:dyDescent="0.25">
      <c r="A101" s="6">
        <v>48000</v>
      </c>
      <c r="B101" s="7">
        <f t="shared" si="17"/>
        <v>4000</v>
      </c>
      <c r="C101" s="7">
        <f>'Total income package'!$D$80</f>
        <v>0</v>
      </c>
      <c r="D101" s="7">
        <f t="shared" si="18"/>
        <v>4000</v>
      </c>
      <c r="E101" s="65">
        <f t="shared" si="19"/>
        <v>0.95923261390887293</v>
      </c>
      <c r="F101" s="65" t="str">
        <f t="shared" si="11"/>
        <v>Yes</v>
      </c>
      <c r="G101" s="65" t="str">
        <f t="shared" si="12"/>
        <v>Yes</v>
      </c>
      <c r="H101" s="301" t="str">
        <f>IF(OR('TANF-VIEW'!L105&gt;0,'TANF-VIEW'!T105&gt;0),"Yes","No")</f>
        <v>No</v>
      </c>
      <c r="I101" s="63">
        <f t="shared" si="13"/>
        <v>15</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860</v>
      </c>
      <c r="M101" s="6">
        <f>IF(B101&gt;$N$2,0,VLOOKUP('Total income package'!$B$3,'Location specific data'!$A$3:$AO$135,36,FALSE))*$F$2*20</f>
        <v>0</v>
      </c>
      <c r="N101" s="6">
        <f>IF(B101&gt;$N$2,0,VLOOKUP('Total income package'!$B$3,'Location specific data'!$A$3:$AO$135,37,FALSE))*($G$2+$H$2)*20</f>
        <v>560</v>
      </c>
      <c r="O101" s="6">
        <f t="shared" si="14"/>
        <v>45</v>
      </c>
      <c r="P101" s="312">
        <f t="shared" ref="P101:P132" si="21">B101*0.05</f>
        <v>200</v>
      </c>
      <c r="Q101" s="312">
        <f t="shared" si="16"/>
        <v>45</v>
      </c>
      <c r="R101" s="312">
        <f t="shared" si="20"/>
        <v>45</v>
      </c>
      <c r="S101" s="160">
        <f>IF(AND('Total income package'!$A$8=TRUE,OR(F101="Yes",G101="Yes",H101="Yes")),SUM(J101:N101)-R101,0)</f>
        <v>2655</v>
      </c>
    </row>
    <row r="102" spans="1:19" s="5" customFormat="1" x14ac:dyDescent="0.25">
      <c r="A102" s="6">
        <v>48500</v>
      </c>
      <c r="B102" s="7">
        <f t="shared" si="17"/>
        <v>4041.6666666666665</v>
      </c>
      <c r="C102" s="7">
        <f>'Total income package'!$D$80</f>
        <v>0</v>
      </c>
      <c r="D102" s="7">
        <f t="shared" si="18"/>
        <v>4041.6666666666665</v>
      </c>
      <c r="E102" s="65">
        <f t="shared" si="19"/>
        <v>0.969224620303757</v>
      </c>
      <c r="F102" s="65" t="str">
        <f t="shared" si="11"/>
        <v>Yes</v>
      </c>
      <c r="G102" s="65" t="str">
        <f t="shared" si="12"/>
        <v>Yes</v>
      </c>
      <c r="H102" s="301" t="str">
        <f>IF(OR('TANF-VIEW'!L106&gt;0,'TANF-VIEW'!T106&gt;0),"Yes","No")</f>
        <v>No</v>
      </c>
      <c r="I102" s="63">
        <f t="shared" si="13"/>
        <v>15</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860</v>
      </c>
      <c r="M102" s="6">
        <f>IF(B102&gt;$N$2,0,VLOOKUP('Total income package'!$B$3,'Location specific data'!$A$3:$AO$135,36,FALSE))*$F$2*20</f>
        <v>0</v>
      </c>
      <c r="N102" s="6">
        <f>IF(B102&gt;$N$2,0,VLOOKUP('Total income package'!$B$3,'Location specific data'!$A$3:$AO$135,37,FALSE))*($G$2+$H$2)*20</f>
        <v>560</v>
      </c>
      <c r="O102" s="6">
        <f t="shared" si="14"/>
        <v>45</v>
      </c>
      <c r="P102" s="312">
        <f t="shared" si="21"/>
        <v>202.08333333333334</v>
      </c>
      <c r="Q102" s="312">
        <f t="shared" si="16"/>
        <v>45</v>
      </c>
      <c r="R102" s="312">
        <f t="shared" si="20"/>
        <v>45</v>
      </c>
      <c r="S102" s="160">
        <f>IF(AND('Total income package'!$A$8=TRUE,OR(F102="Yes",G102="Yes",H102="Yes")),SUM(J102:N102)-R102,0)</f>
        <v>2655</v>
      </c>
    </row>
    <row r="103" spans="1:19" s="5" customFormat="1" x14ac:dyDescent="0.25">
      <c r="A103" s="6">
        <v>49000</v>
      </c>
      <c r="B103" s="7">
        <f t="shared" si="17"/>
        <v>4083.3333333333335</v>
      </c>
      <c r="C103" s="7">
        <f>'Total income package'!$D$80</f>
        <v>0</v>
      </c>
      <c r="D103" s="7">
        <f t="shared" si="18"/>
        <v>4083.3333333333335</v>
      </c>
      <c r="E103" s="65">
        <f t="shared" si="19"/>
        <v>0.97921662669864107</v>
      </c>
      <c r="F103" s="65" t="str">
        <f t="shared" si="11"/>
        <v>Yes</v>
      </c>
      <c r="G103" s="65" t="str">
        <f t="shared" si="12"/>
        <v>Yes</v>
      </c>
      <c r="H103" s="301" t="str">
        <f>IF(OR('TANF-VIEW'!L107&gt;0,'TANF-VIEW'!T107&gt;0),"Yes","No")</f>
        <v>No</v>
      </c>
      <c r="I103" s="63">
        <f t="shared" si="13"/>
        <v>15</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860</v>
      </c>
      <c r="M103" s="6">
        <f>IF(B103&gt;$N$2,0,VLOOKUP('Total income package'!$B$3,'Location specific data'!$A$3:$AO$135,36,FALSE))*$F$2*20</f>
        <v>0</v>
      </c>
      <c r="N103" s="6">
        <f>IF(B103&gt;$N$2,0,VLOOKUP('Total income package'!$B$3,'Location specific data'!$A$3:$AO$135,37,FALSE))*($G$2+$H$2)*20</f>
        <v>560</v>
      </c>
      <c r="O103" s="6">
        <f t="shared" si="14"/>
        <v>45</v>
      </c>
      <c r="P103" s="312">
        <f t="shared" si="21"/>
        <v>204.16666666666669</v>
      </c>
      <c r="Q103" s="312">
        <f t="shared" si="16"/>
        <v>45</v>
      </c>
      <c r="R103" s="312">
        <f t="shared" si="20"/>
        <v>45</v>
      </c>
      <c r="S103" s="160">
        <f>IF(AND('Total income package'!$A$8=TRUE,OR(F103="Yes",G103="Yes",H103="Yes")),SUM(J103:N103)-R103,0)</f>
        <v>2655</v>
      </c>
    </row>
    <row r="104" spans="1:19" s="5" customFormat="1" x14ac:dyDescent="0.25">
      <c r="A104" s="6">
        <v>49500</v>
      </c>
      <c r="B104" s="7">
        <f t="shared" si="17"/>
        <v>4125</v>
      </c>
      <c r="C104" s="7">
        <f>'Total income package'!$D$80</f>
        <v>0</v>
      </c>
      <c r="D104" s="7">
        <f t="shared" si="18"/>
        <v>4125</v>
      </c>
      <c r="E104" s="65">
        <f t="shared" si="19"/>
        <v>0.98920863309352514</v>
      </c>
      <c r="F104" s="65" t="str">
        <f t="shared" si="11"/>
        <v>Yes</v>
      </c>
      <c r="G104" s="65" t="str">
        <f t="shared" si="12"/>
        <v>Yes</v>
      </c>
      <c r="H104" s="301" t="str">
        <f>IF(OR('TANF-VIEW'!L108&gt;0,'TANF-VIEW'!T108&gt;0),"Yes","No")</f>
        <v>No</v>
      </c>
      <c r="I104" s="63">
        <f t="shared" si="13"/>
        <v>15</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860</v>
      </c>
      <c r="M104" s="6">
        <f>IF(B104&gt;$N$2,0,VLOOKUP('Total income package'!$B$3,'Location specific data'!$A$3:$AO$135,36,FALSE))*$F$2*20</f>
        <v>0</v>
      </c>
      <c r="N104" s="6">
        <f>IF(B104&gt;$N$2,0,VLOOKUP('Total income package'!$B$3,'Location specific data'!$A$3:$AO$135,37,FALSE))*($G$2+$H$2)*20</f>
        <v>560</v>
      </c>
      <c r="O104" s="6">
        <f t="shared" si="14"/>
        <v>45</v>
      </c>
      <c r="P104" s="312">
        <f t="shared" si="21"/>
        <v>206.25</v>
      </c>
      <c r="Q104" s="312">
        <f t="shared" si="16"/>
        <v>45</v>
      </c>
      <c r="R104" s="312">
        <f t="shared" si="20"/>
        <v>45</v>
      </c>
      <c r="S104" s="160">
        <f>IF(AND('Total income package'!$A$8=TRUE,OR(F104="Yes",G104="Yes",H104="Yes")),SUM(J104:N104)-R104,0)</f>
        <v>2655</v>
      </c>
    </row>
    <row r="105" spans="1:19" s="5" customFormat="1" x14ac:dyDescent="0.25">
      <c r="A105" s="6">
        <v>50000</v>
      </c>
      <c r="B105" s="7">
        <f t="shared" si="17"/>
        <v>4166.666666666667</v>
      </c>
      <c r="C105" s="7">
        <f>'Total income package'!$D$80</f>
        <v>0</v>
      </c>
      <c r="D105" s="7">
        <f t="shared" si="18"/>
        <v>4166.666666666667</v>
      </c>
      <c r="E105" s="65">
        <f t="shared" si="19"/>
        <v>0.99920063948840931</v>
      </c>
      <c r="F105" s="65" t="str">
        <f t="shared" si="11"/>
        <v>Yes</v>
      </c>
      <c r="G105" s="65" t="str">
        <f t="shared" si="12"/>
        <v>Yes</v>
      </c>
      <c r="H105" s="301" t="str">
        <f>IF(OR('TANF-VIEW'!L109&gt;0,'TANF-VIEW'!T109&gt;0),"Yes","No")</f>
        <v>No</v>
      </c>
      <c r="I105" s="63">
        <f t="shared" si="13"/>
        <v>15</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860</v>
      </c>
      <c r="M105" s="6">
        <f>IF(B105&gt;$N$2,0,VLOOKUP('Total income package'!$B$3,'Location specific data'!$A$3:$AO$135,36,FALSE))*$F$2*20</f>
        <v>0</v>
      </c>
      <c r="N105" s="6">
        <f>IF(B105&gt;$N$2,0,VLOOKUP('Total income package'!$B$3,'Location specific data'!$A$3:$AO$135,37,FALSE))*($G$2+$H$2)*20</f>
        <v>560</v>
      </c>
      <c r="O105" s="6">
        <f t="shared" si="14"/>
        <v>45</v>
      </c>
      <c r="P105" s="312">
        <f t="shared" si="21"/>
        <v>208.33333333333337</v>
      </c>
      <c r="Q105" s="312">
        <f t="shared" si="16"/>
        <v>45</v>
      </c>
      <c r="R105" s="312">
        <f t="shared" si="20"/>
        <v>45</v>
      </c>
      <c r="S105" s="160">
        <f>IF(AND('Total income package'!$A$8=TRUE,OR(F105="Yes",G105="Yes",H105="Yes")),SUM(J105:N105)-R105,0)</f>
        <v>2655</v>
      </c>
    </row>
    <row r="106" spans="1:19" s="5" customFormat="1" x14ac:dyDescent="0.25">
      <c r="A106" s="6">
        <v>50500</v>
      </c>
      <c r="B106" s="7">
        <f t="shared" si="17"/>
        <v>4208.333333333333</v>
      </c>
      <c r="C106" s="7">
        <f>'Total income package'!$D$80</f>
        <v>0</v>
      </c>
      <c r="D106" s="7">
        <f t="shared" si="18"/>
        <v>4208.333333333333</v>
      </c>
      <c r="E106" s="65">
        <f t="shared" si="19"/>
        <v>1.0091926458832934</v>
      </c>
      <c r="F106" s="65" t="str">
        <f t="shared" si="11"/>
        <v>Yes</v>
      </c>
      <c r="G106" s="65" t="str">
        <f t="shared" si="12"/>
        <v>Yes</v>
      </c>
      <c r="H106" s="301" t="str">
        <f>IF(OR('TANF-VIEW'!L110&gt;0,'TANF-VIEW'!T110&gt;0),"Yes","No")</f>
        <v>No</v>
      </c>
      <c r="I106" s="63">
        <f t="shared" si="13"/>
        <v>375</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860</v>
      </c>
      <c r="M106" s="6">
        <f>IF(B106&gt;$N$2,0,VLOOKUP('Total income package'!$B$3,'Location specific data'!$A$3:$AO$135,36,FALSE))*$F$2*20</f>
        <v>0</v>
      </c>
      <c r="N106" s="6">
        <f>IF(B106&gt;$N$2,0,VLOOKUP('Total income package'!$B$3,'Location specific data'!$A$3:$AO$135,37,FALSE))*($G$2+$H$2)*20</f>
        <v>560</v>
      </c>
      <c r="O106" s="6">
        <f t="shared" si="14"/>
        <v>1125</v>
      </c>
      <c r="P106" s="312">
        <f t="shared" si="21"/>
        <v>210.41666666666666</v>
      </c>
      <c r="Q106" s="312">
        <f t="shared" si="16"/>
        <v>1125</v>
      </c>
      <c r="R106" s="312">
        <f t="shared" si="20"/>
        <v>210.41666666666666</v>
      </c>
      <c r="S106" s="160">
        <f>IF(AND('Total income package'!$A$8=TRUE,OR(F106="Yes",G106="Yes",H106="Yes")),SUM(J106:N106)-R106,0)</f>
        <v>2489.5833333333335</v>
      </c>
    </row>
    <row r="107" spans="1:19" s="5" customFormat="1" x14ac:dyDescent="0.25">
      <c r="A107" s="6">
        <v>51000</v>
      </c>
      <c r="B107" s="7">
        <f t="shared" si="17"/>
        <v>4250</v>
      </c>
      <c r="C107" s="7">
        <f>'Total income package'!$D$80</f>
        <v>0</v>
      </c>
      <c r="D107" s="7">
        <f t="shared" si="18"/>
        <v>4250</v>
      </c>
      <c r="E107" s="65">
        <f t="shared" si="19"/>
        <v>1.0191846522781776</v>
      </c>
      <c r="F107" s="65" t="str">
        <f t="shared" si="11"/>
        <v>Yes</v>
      </c>
      <c r="G107" s="65" t="str">
        <f t="shared" si="12"/>
        <v>Yes</v>
      </c>
      <c r="H107" s="301" t="str">
        <f>IF(OR('TANF-VIEW'!L111&gt;0,'TANF-VIEW'!T111&gt;0),"Yes","No")</f>
        <v>No</v>
      </c>
      <c r="I107" s="63">
        <f t="shared" si="13"/>
        <v>375</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860</v>
      </c>
      <c r="M107" s="6">
        <f>IF(B107&gt;$N$2,0,VLOOKUP('Total income package'!$B$3,'Location specific data'!$A$3:$AO$135,36,FALSE))*$F$2*20</f>
        <v>0</v>
      </c>
      <c r="N107" s="6">
        <f>IF(B107&gt;$N$2,0,VLOOKUP('Total income package'!$B$3,'Location specific data'!$A$3:$AO$135,37,FALSE))*($G$2+$H$2)*20</f>
        <v>560</v>
      </c>
      <c r="O107" s="6">
        <f t="shared" si="14"/>
        <v>1125</v>
      </c>
      <c r="P107" s="312">
        <f t="shared" si="21"/>
        <v>212.5</v>
      </c>
      <c r="Q107" s="312">
        <f t="shared" si="16"/>
        <v>1125</v>
      </c>
      <c r="R107" s="312">
        <f t="shared" si="20"/>
        <v>212.5</v>
      </c>
      <c r="S107" s="160">
        <f>IF(AND('Total income package'!$A$8=TRUE,OR(F107="Yes",G107="Yes",H107="Yes")),SUM(J107:N107)-R107,0)</f>
        <v>2487.5</v>
      </c>
    </row>
    <row r="108" spans="1:19" s="5" customFormat="1" x14ac:dyDescent="0.25">
      <c r="A108" s="6">
        <v>51500</v>
      </c>
      <c r="B108" s="7">
        <f>A108/12</f>
        <v>4291.666666666667</v>
      </c>
      <c r="C108" s="7">
        <f>'Total income package'!$D$80</f>
        <v>0</v>
      </c>
      <c r="D108" s="7">
        <f t="shared" si="18"/>
        <v>4291.666666666667</v>
      </c>
      <c r="E108" s="65">
        <f t="shared" si="19"/>
        <v>1.0291766586730615</v>
      </c>
      <c r="F108" s="65" t="str">
        <f t="shared" si="11"/>
        <v>Yes</v>
      </c>
      <c r="G108" s="65" t="str">
        <f t="shared" si="12"/>
        <v>Yes</v>
      </c>
      <c r="H108" s="301" t="str">
        <f>IF(OR('TANF-VIEW'!L112&gt;0,'TANF-VIEW'!T112&gt;0),"Yes","No")</f>
        <v>No</v>
      </c>
      <c r="I108" s="63">
        <f t="shared" si="13"/>
        <v>375</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860</v>
      </c>
      <c r="M108" s="6">
        <f>IF(B108&gt;$N$2,0,VLOOKUP('Total income package'!$B$3,'Location specific data'!$A$3:$AO$135,36,FALSE))*$F$2*20</f>
        <v>0</v>
      </c>
      <c r="N108" s="6">
        <f>IF(B108&gt;$N$2,0,VLOOKUP('Total income package'!$B$3,'Location specific data'!$A$3:$AO$135,37,FALSE))*($G$2+$H$2)*20</f>
        <v>560</v>
      </c>
      <c r="O108" s="6">
        <f t="shared" si="14"/>
        <v>1125</v>
      </c>
      <c r="P108" s="312">
        <f t="shared" si="21"/>
        <v>214.58333333333337</v>
      </c>
      <c r="Q108" s="312">
        <f t="shared" si="16"/>
        <v>1125</v>
      </c>
      <c r="R108" s="312">
        <f t="shared" si="20"/>
        <v>214.58333333333337</v>
      </c>
      <c r="S108" s="160">
        <f>IF(AND('Total income package'!$A$8=TRUE,OR(F108="Yes",G108="Yes",H108="Yes")),SUM(J108:N108)-R108,0)</f>
        <v>2485.4166666666665</v>
      </c>
    </row>
    <row r="109" spans="1:19" x14ac:dyDescent="0.25">
      <c r="A109" s="6">
        <v>52000</v>
      </c>
      <c r="B109" s="7">
        <f t="shared" ref="B109:B172" si="22">A109/12</f>
        <v>4333.333333333333</v>
      </c>
      <c r="C109" s="7">
        <f>'Total income package'!$D$80</f>
        <v>0</v>
      </c>
      <c r="D109" s="7">
        <f t="shared" si="18"/>
        <v>4333.333333333333</v>
      </c>
      <c r="E109" s="65">
        <f t="shared" si="19"/>
        <v>1.0391686650679455</v>
      </c>
      <c r="F109" s="65" t="str">
        <f t="shared" si="11"/>
        <v>Yes</v>
      </c>
      <c r="G109" s="65" t="str">
        <f t="shared" si="12"/>
        <v>Yes</v>
      </c>
      <c r="H109" s="301" t="str">
        <f>IF(OR('TANF-VIEW'!L113&gt;0,'TANF-VIEW'!T113&gt;0),"Yes","No")</f>
        <v>No</v>
      </c>
      <c r="I109" s="63">
        <f t="shared" si="13"/>
        <v>375</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860</v>
      </c>
      <c r="M109" s="6">
        <f>IF(B109&gt;$N$2,0,VLOOKUP('Total income package'!$B$3,'Location specific data'!$A$3:$AO$135,36,FALSE))*$F$2*20</f>
        <v>0</v>
      </c>
      <c r="N109" s="6">
        <f>IF(B109&gt;$N$2,0,VLOOKUP('Total income package'!$B$3,'Location specific data'!$A$3:$AO$135,37,FALSE))*($G$2+$H$2)*20</f>
        <v>560</v>
      </c>
      <c r="O109" s="6">
        <f t="shared" si="14"/>
        <v>1125</v>
      </c>
      <c r="P109" s="312">
        <f t="shared" si="21"/>
        <v>216.66666666666666</v>
      </c>
      <c r="Q109" s="312">
        <f t="shared" si="16"/>
        <v>1125</v>
      </c>
      <c r="R109" s="312">
        <f t="shared" si="20"/>
        <v>216.66666666666666</v>
      </c>
      <c r="S109" s="160">
        <f>IF(AND('Total income package'!$A$8=TRUE,OR(F109="Yes",G109="Yes",H109="Yes")),SUM(J109:N109)-R109,0)</f>
        <v>2483.3333333333335</v>
      </c>
    </row>
    <row r="110" spans="1:19" x14ac:dyDescent="0.25">
      <c r="A110" s="6">
        <v>52500</v>
      </c>
      <c r="B110" s="7">
        <f t="shared" si="22"/>
        <v>4375</v>
      </c>
      <c r="C110" s="7">
        <f>'Total income package'!$D$80</f>
        <v>0</v>
      </c>
      <c r="D110" s="7">
        <f t="shared" si="18"/>
        <v>4375</v>
      </c>
      <c r="E110" s="65">
        <f t="shared" si="19"/>
        <v>1.0491606714628297</v>
      </c>
      <c r="F110" s="65" t="str">
        <f t="shared" si="11"/>
        <v>Yes</v>
      </c>
      <c r="G110" s="65" t="str">
        <f t="shared" si="12"/>
        <v>Yes</v>
      </c>
      <c r="H110" s="301" t="str">
        <f>IF(OR('TANF-VIEW'!L114&gt;0,'TANF-VIEW'!T114&gt;0),"Yes","No")</f>
        <v>No</v>
      </c>
      <c r="I110" s="63">
        <f t="shared" si="13"/>
        <v>375</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860</v>
      </c>
      <c r="M110" s="6">
        <f>IF(B110&gt;$N$2,0,VLOOKUP('Total income package'!$B$3,'Location specific data'!$A$3:$AO$135,36,FALSE))*$F$2*20</f>
        <v>0</v>
      </c>
      <c r="N110" s="6">
        <f>IF(B110&gt;$N$2,0,VLOOKUP('Total income package'!$B$3,'Location specific data'!$A$3:$AO$135,37,FALSE))*($G$2+$H$2)*20</f>
        <v>560</v>
      </c>
      <c r="O110" s="6">
        <f t="shared" si="14"/>
        <v>1125</v>
      </c>
      <c r="P110" s="312">
        <f t="shared" si="21"/>
        <v>218.75</v>
      </c>
      <c r="Q110" s="312">
        <f t="shared" si="16"/>
        <v>1125</v>
      </c>
      <c r="R110" s="312">
        <f t="shared" si="20"/>
        <v>218.75</v>
      </c>
      <c r="S110" s="160">
        <f>IF(AND('Total income package'!$A$8=TRUE,OR(F110="Yes",G110="Yes",H110="Yes")),SUM(J110:N110)-R110,0)</f>
        <v>2481.25</v>
      </c>
    </row>
    <row r="111" spans="1:19" x14ac:dyDescent="0.25">
      <c r="A111" s="6">
        <v>53000</v>
      </c>
      <c r="B111" s="7">
        <f t="shared" si="22"/>
        <v>4416.666666666667</v>
      </c>
      <c r="C111" s="7">
        <f>'Total income package'!$D$80</f>
        <v>0</v>
      </c>
      <c r="D111" s="7">
        <f t="shared" si="18"/>
        <v>4416.666666666667</v>
      </c>
      <c r="E111" s="65">
        <f t="shared" si="19"/>
        <v>1.0591526778577138</v>
      </c>
      <c r="F111" s="65" t="str">
        <f t="shared" si="11"/>
        <v>Yes</v>
      </c>
      <c r="G111" s="65" t="str">
        <f t="shared" si="12"/>
        <v>Yes</v>
      </c>
      <c r="H111" s="301" t="str">
        <f>IF(OR('TANF-VIEW'!L115&gt;0,'TANF-VIEW'!T115&gt;0),"Yes","No")</f>
        <v>No</v>
      </c>
      <c r="I111" s="63">
        <f t="shared" si="13"/>
        <v>375</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860</v>
      </c>
      <c r="M111" s="6">
        <f>IF(B111&gt;$N$2,0,VLOOKUP('Total income package'!$B$3,'Location specific data'!$A$3:$AO$135,36,FALSE))*$F$2*20</f>
        <v>0</v>
      </c>
      <c r="N111" s="6">
        <f>IF(B111&gt;$N$2,0,VLOOKUP('Total income package'!$B$3,'Location specific data'!$A$3:$AO$135,37,FALSE))*($G$2+$H$2)*20</f>
        <v>560</v>
      </c>
      <c r="O111" s="6">
        <f t="shared" si="14"/>
        <v>1125</v>
      </c>
      <c r="P111" s="312">
        <f t="shared" si="21"/>
        <v>220.83333333333337</v>
      </c>
      <c r="Q111" s="312">
        <f t="shared" si="16"/>
        <v>1125</v>
      </c>
      <c r="R111" s="312">
        <f t="shared" si="20"/>
        <v>220.83333333333337</v>
      </c>
      <c r="S111" s="160">
        <f>IF(AND('Total income package'!$A$8=TRUE,OR(F111="Yes",G111="Yes",H111="Yes")),SUM(J111:N111)-R111,0)</f>
        <v>2479.1666666666665</v>
      </c>
    </row>
    <row r="112" spans="1:19" x14ac:dyDescent="0.25">
      <c r="A112" s="6">
        <v>53500</v>
      </c>
      <c r="B112" s="7">
        <f t="shared" si="22"/>
        <v>4458.333333333333</v>
      </c>
      <c r="C112" s="7">
        <f>'Total income package'!$D$80</f>
        <v>0</v>
      </c>
      <c r="D112" s="7">
        <f t="shared" si="18"/>
        <v>4458.333333333333</v>
      </c>
      <c r="E112" s="65">
        <f t="shared" si="19"/>
        <v>1.0691446842525978</v>
      </c>
      <c r="F112" s="65" t="str">
        <f t="shared" si="11"/>
        <v>Yes</v>
      </c>
      <c r="G112" s="65" t="str">
        <f t="shared" si="12"/>
        <v>Yes</v>
      </c>
      <c r="H112" s="301" t="str">
        <f>IF(OR('TANF-VIEW'!L116&gt;0,'TANF-VIEW'!T116&gt;0),"Yes","No")</f>
        <v>No</v>
      </c>
      <c r="I112" s="63">
        <f t="shared" si="13"/>
        <v>375</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860</v>
      </c>
      <c r="M112" s="6">
        <f>IF(B112&gt;$N$2,0,VLOOKUP('Total income package'!$B$3,'Location specific data'!$A$3:$AO$135,36,FALSE))*$F$2*20</f>
        <v>0</v>
      </c>
      <c r="N112" s="6">
        <f>IF(B112&gt;$N$2,0,VLOOKUP('Total income package'!$B$3,'Location specific data'!$A$3:$AO$135,37,FALSE))*($G$2+$H$2)*20</f>
        <v>560</v>
      </c>
      <c r="O112" s="6">
        <f t="shared" si="14"/>
        <v>1125</v>
      </c>
      <c r="P112" s="312">
        <f t="shared" si="21"/>
        <v>222.91666666666666</v>
      </c>
      <c r="Q112" s="312">
        <f t="shared" si="16"/>
        <v>1125</v>
      </c>
      <c r="R112" s="312">
        <f t="shared" si="20"/>
        <v>222.91666666666666</v>
      </c>
      <c r="S112" s="160">
        <f>IF(AND('Total income package'!$A$8=TRUE,OR(F112="Yes",G112="Yes",H112="Yes")),SUM(J112:N112)-R112,0)</f>
        <v>2477.0833333333335</v>
      </c>
    </row>
    <row r="113" spans="1:19" x14ac:dyDescent="0.25">
      <c r="A113" s="6">
        <v>54000</v>
      </c>
      <c r="B113" s="7">
        <f t="shared" si="22"/>
        <v>4500</v>
      </c>
      <c r="C113" s="7">
        <f>'Total income package'!$D$80</f>
        <v>0</v>
      </c>
      <c r="D113" s="7">
        <f t="shared" si="18"/>
        <v>4500</v>
      </c>
      <c r="E113" s="65">
        <f t="shared" si="19"/>
        <v>1.079136690647482</v>
      </c>
      <c r="F113" s="65" t="str">
        <f t="shared" si="11"/>
        <v>Yes</v>
      </c>
      <c r="G113" s="65" t="str">
        <f t="shared" si="12"/>
        <v>Yes</v>
      </c>
      <c r="H113" s="301" t="str">
        <f>IF(OR('TANF-VIEW'!L117&gt;0,'TANF-VIEW'!T117&gt;0),"Yes","No")</f>
        <v>No</v>
      </c>
      <c r="I113" s="63">
        <f t="shared" si="13"/>
        <v>375</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860</v>
      </c>
      <c r="M113" s="6">
        <f>IF(B113&gt;$N$2,0,VLOOKUP('Total income package'!$B$3,'Location specific data'!$A$3:$AO$135,36,FALSE))*$F$2*20</f>
        <v>0</v>
      </c>
      <c r="N113" s="6">
        <f>IF(B113&gt;$N$2,0,VLOOKUP('Total income package'!$B$3,'Location specific data'!$A$3:$AO$135,37,FALSE))*($G$2+$H$2)*20</f>
        <v>560</v>
      </c>
      <c r="O113" s="6">
        <f t="shared" si="14"/>
        <v>1125</v>
      </c>
      <c r="P113" s="312">
        <f t="shared" si="21"/>
        <v>225</v>
      </c>
      <c r="Q113" s="312">
        <f t="shared" si="16"/>
        <v>1125</v>
      </c>
      <c r="R113" s="312">
        <f t="shared" si="20"/>
        <v>225</v>
      </c>
      <c r="S113" s="160">
        <f>IF(AND('Total income package'!$A$8=TRUE,OR(F113="Yes",G113="Yes",H113="Yes")),SUM(J113:N113)-R113,0)</f>
        <v>2475</v>
      </c>
    </row>
    <row r="114" spans="1:19" x14ac:dyDescent="0.25">
      <c r="A114" s="6">
        <v>54500</v>
      </c>
      <c r="B114" s="7">
        <f t="shared" si="22"/>
        <v>4541.666666666667</v>
      </c>
      <c r="C114" s="7">
        <f>'Total income package'!$D$80</f>
        <v>0</v>
      </c>
      <c r="D114" s="7">
        <f t="shared" si="18"/>
        <v>4541.666666666667</v>
      </c>
      <c r="E114" s="65">
        <f t="shared" si="19"/>
        <v>1.0891286970423661</v>
      </c>
      <c r="F114" s="65" t="str">
        <f t="shared" si="11"/>
        <v>Yes</v>
      </c>
      <c r="G114" s="65" t="str">
        <f t="shared" si="12"/>
        <v>Yes</v>
      </c>
      <c r="H114" s="301" t="str">
        <f>IF(OR('TANF-VIEW'!L118&gt;0,'TANF-VIEW'!T118&gt;0),"Yes","No")</f>
        <v>No</v>
      </c>
      <c r="I114" s="63">
        <f t="shared" si="13"/>
        <v>375</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860</v>
      </c>
      <c r="M114" s="6">
        <f>IF(B114&gt;$N$2,0,VLOOKUP('Total income package'!$B$3,'Location specific data'!$A$3:$AO$135,36,FALSE))*$F$2*20</f>
        <v>0</v>
      </c>
      <c r="N114" s="6">
        <f>IF(B114&gt;$N$2,0,VLOOKUP('Total income package'!$B$3,'Location specific data'!$A$3:$AO$135,37,FALSE))*($G$2+$H$2)*20</f>
        <v>560</v>
      </c>
      <c r="O114" s="6">
        <f t="shared" si="14"/>
        <v>1125</v>
      </c>
      <c r="P114" s="312">
        <f t="shared" si="21"/>
        <v>227.08333333333337</v>
      </c>
      <c r="Q114" s="312">
        <f t="shared" si="16"/>
        <v>1125</v>
      </c>
      <c r="R114" s="312">
        <f t="shared" si="20"/>
        <v>227.08333333333337</v>
      </c>
      <c r="S114" s="160">
        <f>IF(AND('Total income package'!$A$8=TRUE,OR(F114="Yes",G114="Yes",H114="Yes")),SUM(J114:N114)-R114,0)</f>
        <v>2472.9166666666665</v>
      </c>
    </row>
    <row r="115" spans="1:19" x14ac:dyDescent="0.25">
      <c r="A115" s="6">
        <v>55000</v>
      </c>
      <c r="B115" s="7">
        <f t="shared" si="22"/>
        <v>4583.333333333333</v>
      </c>
      <c r="C115" s="7">
        <f>'Total income package'!$D$80</f>
        <v>0</v>
      </c>
      <c r="D115" s="7">
        <f t="shared" si="18"/>
        <v>4583.333333333333</v>
      </c>
      <c r="E115" s="65">
        <f t="shared" si="19"/>
        <v>1.0991207034372501</v>
      </c>
      <c r="F115" s="65" t="str">
        <f t="shared" si="11"/>
        <v>Yes</v>
      </c>
      <c r="G115" s="65" t="str">
        <f t="shared" si="12"/>
        <v>Yes</v>
      </c>
      <c r="H115" s="301" t="str">
        <f>IF(OR('TANF-VIEW'!L119&gt;0,'TANF-VIEW'!T119&gt;0),"Yes","No")</f>
        <v>No</v>
      </c>
      <c r="I115" s="63">
        <f t="shared" si="13"/>
        <v>375</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860</v>
      </c>
      <c r="M115" s="6">
        <f>IF(B115&gt;$N$2,0,VLOOKUP('Total income package'!$B$3,'Location specific data'!$A$3:$AO$135,36,FALSE))*$F$2*20</f>
        <v>0</v>
      </c>
      <c r="N115" s="6">
        <f>IF(B115&gt;$N$2,0,VLOOKUP('Total income package'!$B$3,'Location specific data'!$A$3:$AO$135,37,FALSE))*($G$2+$H$2)*20</f>
        <v>560</v>
      </c>
      <c r="O115" s="6">
        <f t="shared" si="14"/>
        <v>1125</v>
      </c>
      <c r="P115" s="312">
        <f t="shared" si="21"/>
        <v>229.16666666666666</v>
      </c>
      <c r="Q115" s="312">
        <f t="shared" si="16"/>
        <v>1125</v>
      </c>
      <c r="R115" s="312">
        <f t="shared" si="20"/>
        <v>229.16666666666666</v>
      </c>
      <c r="S115" s="160">
        <f>IF(AND('Total income package'!$A$8=TRUE,OR(F115="Yes",G115="Yes",H115="Yes")),SUM(J115:N115)-R115,0)</f>
        <v>2470.8333333333335</v>
      </c>
    </row>
    <row r="116" spans="1:19" x14ac:dyDescent="0.25">
      <c r="A116" s="6">
        <v>55500</v>
      </c>
      <c r="B116" s="7">
        <f t="shared" si="22"/>
        <v>4625</v>
      </c>
      <c r="C116" s="7">
        <f>'Total income package'!$D$80</f>
        <v>0</v>
      </c>
      <c r="D116" s="7">
        <f t="shared" si="18"/>
        <v>4625</v>
      </c>
      <c r="E116" s="65">
        <f t="shared" si="19"/>
        <v>1.1091127098321343</v>
      </c>
      <c r="F116" s="65" t="str">
        <f t="shared" si="11"/>
        <v>Yes</v>
      </c>
      <c r="G116" s="65" t="str">
        <f t="shared" si="12"/>
        <v>Yes</v>
      </c>
      <c r="H116" s="301" t="str">
        <f>IF(OR('TANF-VIEW'!L120&gt;0,'TANF-VIEW'!T120&gt;0),"Yes","No")</f>
        <v>No</v>
      </c>
      <c r="I116" s="63">
        <f t="shared" si="13"/>
        <v>375</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860</v>
      </c>
      <c r="M116" s="6">
        <f>IF(B116&gt;$N$2,0,VLOOKUP('Total income package'!$B$3,'Location specific data'!$A$3:$AO$135,36,FALSE))*$F$2*20</f>
        <v>0</v>
      </c>
      <c r="N116" s="6">
        <f>IF(B116&gt;$N$2,0,VLOOKUP('Total income package'!$B$3,'Location specific data'!$A$3:$AO$135,37,FALSE))*($G$2+$H$2)*20</f>
        <v>560</v>
      </c>
      <c r="O116" s="6">
        <f t="shared" si="14"/>
        <v>1125</v>
      </c>
      <c r="P116" s="312">
        <f t="shared" si="21"/>
        <v>231.25</v>
      </c>
      <c r="Q116" s="312">
        <f t="shared" si="16"/>
        <v>1125</v>
      </c>
      <c r="R116" s="312">
        <f t="shared" si="20"/>
        <v>231.25</v>
      </c>
      <c r="S116" s="160">
        <f>IF(AND('Total income package'!$A$8=TRUE,OR(F116="Yes",G116="Yes",H116="Yes")),SUM(J116:N116)-R116,0)</f>
        <v>2468.75</v>
      </c>
    </row>
    <row r="117" spans="1:19" x14ac:dyDescent="0.25">
      <c r="A117" s="6">
        <v>56000</v>
      </c>
      <c r="B117" s="7">
        <f t="shared" si="22"/>
        <v>4666.666666666667</v>
      </c>
      <c r="C117" s="7">
        <f>'Total income package'!$D$80</f>
        <v>0</v>
      </c>
      <c r="D117" s="7">
        <f t="shared" si="18"/>
        <v>4666.666666666667</v>
      </c>
      <c r="E117" s="65">
        <f t="shared" si="19"/>
        <v>1.1191047162270185</v>
      </c>
      <c r="F117" s="65" t="str">
        <f t="shared" si="11"/>
        <v>Yes</v>
      </c>
      <c r="G117" s="65" t="str">
        <f t="shared" si="12"/>
        <v>Yes</v>
      </c>
      <c r="H117" s="301" t="str">
        <f>IF(OR('TANF-VIEW'!L121&gt;0,'TANF-VIEW'!T121&gt;0),"Yes","No")</f>
        <v>No</v>
      </c>
      <c r="I117" s="63">
        <f t="shared" si="13"/>
        <v>375</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860</v>
      </c>
      <c r="M117" s="6">
        <f>IF(B117&gt;$N$2,0,VLOOKUP('Total income package'!$B$3,'Location specific data'!$A$3:$AO$135,36,FALSE))*$F$2*20</f>
        <v>0</v>
      </c>
      <c r="N117" s="6">
        <f>IF(B117&gt;$N$2,0,VLOOKUP('Total income package'!$B$3,'Location specific data'!$A$3:$AO$135,37,FALSE))*($G$2+$H$2)*20</f>
        <v>560</v>
      </c>
      <c r="O117" s="6">
        <f t="shared" si="14"/>
        <v>1125</v>
      </c>
      <c r="P117" s="312">
        <f t="shared" si="21"/>
        <v>233.33333333333337</v>
      </c>
      <c r="Q117" s="312">
        <f t="shared" si="16"/>
        <v>1125</v>
      </c>
      <c r="R117" s="312">
        <f t="shared" si="20"/>
        <v>233.33333333333337</v>
      </c>
      <c r="S117" s="160">
        <f>IF(AND('Total income package'!$A$8=TRUE,OR(F117="Yes",G117="Yes",H117="Yes")),SUM(J117:N117)-R117,0)</f>
        <v>2466.6666666666665</v>
      </c>
    </row>
    <row r="118" spans="1:19" x14ac:dyDescent="0.25">
      <c r="A118" s="6">
        <v>56500</v>
      </c>
      <c r="B118" s="7">
        <f t="shared" si="22"/>
        <v>4708.333333333333</v>
      </c>
      <c r="C118" s="7">
        <f>'Total income package'!$D$80</f>
        <v>0</v>
      </c>
      <c r="D118" s="7">
        <f t="shared" si="18"/>
        <v>4708.333333333333</v>
      </c>
      <c r="E118" s="65">
        <f t="shared" si="19"/>
        <v>1.1290967226219024</v>
      </c>
      <c r="F118" s="65" t="str">
        <f t="shared" si="11"/>
        <v>Yes</v>
      </c>
      <c r="G118" s="65" t="str">
        <f t="shared" si="12"/>
        <v>Yes</v>
      </c>
      <c r="H118" s="301" t="str">
        <f>IF(OR('TANF-VIEW'!L122&gt;0,'TANF-VIEW'!T122&gt;0),"Yes","No")</f>
        <v>No</v>
      </c>
      <c r="I118" s="63">
        <f t="shared" si="13"/>
        <v>375</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860</v>
      </c>
      <c r="M118" s="6">
        <f>IF(B118&gt;$N$2,0,VLOOKUP('Total income package'!$B$3,'Location specific data'!$A$3:$AO$135,36,FALSE))*$F$2*20</f>
        <v>0</v>
      </c>
      <c r="N118" s="6">
        <f>IF(B118&gt;$N$2,0,VLOOKUP('Total income package'!$B$3,'Location specific data'!$A$3:$AO$135,37,FALSE))*($G$2+$H$2)*20</f>
        <v>560</v>
      </c>
      <c r="O118" s="6">
        <f t="shared" si="14"/>
        <v>1125</v>
      </c>
      <c r="P118" s="312">
        <f t="shared" si="21"/>
        <v>235.41666666666666</v>
      </c>
      <c r="Q118" s="312">
        <f t="shared" si="16"/>
        <v>1125</v>
      </c>
      <c r="R118" s="312">
        <f t="shared" si="20"/>
        <v>235.41666666666666</v>
      </c>
      <c r="S118" s="160">
        <f>IF(AND('Total income package'!$A$8=TRUE,OR(F118="Yes",G118="Yes",H118="Yes")),SUM(J118:N118)-R118,0)</f>
        <v>2464.5833333333335</v>
      </c>
    </row>
    <row r="119" spans="1:19" x14ac:dyDescent="0.25">
      <c r="A119" s="6">
        <v>57000</v>
      </c>
      <c r="B119" s="7">
        <f t="shared" si="22"/>
        <v>4750</v>
      </c>
      <c r="C119" s="7">
        <f>'Total income package'!$D$80</f>
        <v>0</v>
      </c>
      <c r="D119" s="7">
        <f t="shared" si="18"/>
        <v>4750</v>
      </c>
      <c r="E119" s="65">
        <f t="shared" si="19"/>
        <v>1.1390887290167866</v>
      </c>
      <c r="F119" s="65" t="str">
        <f t="shared" si="11"/>
        <v>Yes</v>
      </c>
      <c r="G119" s="65" t="str">
        <f t="shared" si="12"/>
        <v>Yes</v>
      </c>
      <c r="H119" s="301" t="str">
        <f>IF(OR('TANF-VIEW'!L123&gt;0,'TANF-VIEW'!T123&gt;0),"Yes","No")</f>
        <v>No</v>
      </c>
      <c r="I119" s="63">
        <f t="shared" si="13"/>
        <v>375</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860</v>
      </c>
      <c r="M119" s="6">
        <f>IF(B119&gt;$N$2,0,VLOOKUP('Total income package'!$B$3,'Location specific data'!$A$3:$AO$135,36,FALSE))*$F$2*20</f>
        <v>0</v>
      </c>
      <c r="N119" s="6">
        <f>IF(B119&gt;$N$2,0,VLOOKUP('Total income package'!$B$3,'Location specific data'!$A$3:$AO$135,37,FALSE))*($G$2+$H$2)*20</f>
        <v>560</v>
      </c>
      <c r="O119" s="6">
        <f t="shared" si="14"/>
        <v>1125</v>
      </c>
      <c r="P119" s="312">
        <f t="shared" si="21"/>
        <v>237.5</v>
      </c>
      <c r="Q119" s="312">
        <f t="shared" si="16"/>
        <v>1125</v>
      </c>
      <c r="R119" s="312">
        <f t="shared" si="20"/>
        <v>237.5</v>
      </c>
      <c r="S119" s="160">
        <f>IF(AND('Total income package'!$A$8=TRUE,OR(F119="Yes",G119="Yes",H119="Yes")),SUM(J119:N119)-R119,0)</f>
        <v>2462.5</v>
      </c>
    </row>
    <row r="120" spans="1:19" x14ac:dyDescent="0.25">
      <c r="A120" s="6">
        <v>57500</v>
      </c>
      <c r="B120" s="7">
        <f t="shared" si="22"/>
        <v>4791.666666666667</v>
      </c>
      <c r="C120" s="7">
        <f>'Total income package'!$D$80</f>
        <v>0</v>
      </c>
      <c r="D120" s="7">
        <f t="shared" si="18"/>
        <v>4791.666666666667</v>
      </c>
      <c r="E120" s="65">
        <f t="shared" si="19"/>
        <v>1.1490807354116708</v>
      </c>
      <c r="F120" s="65" t="str">
        <f t="shared" si="11"/>
        <v>Yes</v>
      </c>
      <c r="G120" s="65" t="str">
        <f t="shared" si="12"/>
        <v>Yes</v>
      </c>
      <c r="H120" s="301" t="str">
        <f>IF(OR('TANF-VIEW'!L124&gt;0,'TANF-VIEW'!T124&gt;0),"Yes","No")</f>
        <v>No</v>
      </c>
      <c r="I120" s="63">
        <f t="shared" si="13"/>
        <v>375</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860</v>
      </c>
      <c r="M120" s="6">
        <f>IF(B120&gt;$N$2,0,VLOOKUP('Total income package'!$B$3,'Location specific data'!$A$3:$AO$135,36,FALSE))*$F$2*20</f>
        <v>0</v>
      </c>
      <c r="N120" s="6">
        <f>IF(B120&gt;$N$2,0,VLOOKUP('Total income package'!$B$3,'Location specific data'!$A$3:$AO$135,37,FALSE))*($G$2+$H$2)*20</f>
        <v>560</v>
      </c>
      <c r="O120" s="6">
        <f t="shared" si="14"/>
        <v>1125</v>
      </c>
      <c r="P120" s="312">
        <f t="shared" si="21"/>
        <v>239.58333333333337</v>
      </c>
      <c r="Q120" s="312">
        <f t="shared" si="16"/>
        <v>1125</v>
      </c>
      <c r="R120" s="312">
        <f t="shared" si="20"/>
        <v>239.58333333333337</v>
      </c>
      <c r="S120" s="160">
        <f>IF(AND('Total income package'!$A$8=TRUE,OR(F120="Yes",G120="Yes",H120="Yes")),SUM(J120:N120)-R120,0)</f>
        <v>2460.4166666666665</v>
      </c>
    </row>
    <row r="121" spans="1:19" x14ac:dyDescent="0.25">
      <c r="A121" s="6">
        <v>58000</v>
      </c>
      <c r="B121" s="7">
        <f t="shared" si="22"/>
        <v>4833.333333333333</v>
      </c>
      <c r="C121" s="7">
        <f>'Total income package'!$D$80</f>
        <v>0</v>
      </c>
      <c r="D121" s="7">
        <f t="shared" si="18"/>
        <v>4833.333333333333</v>
      </c>
      <c r="E121" s="65">
        <f t="shared" si="19"/>
        <v>1.1590727418065547</v>
      </c>
      <c r="F121" s="65" t="str">
        <f t="shared" si="11"/>
        <v>Yes</v>
      </c>
      <c r="G121" s="65" t="str">
        <f t="shared" si="12"/>
        <v>Yes</v>
      </c>
      <c r="H121" s="301" t="str">
        <f>IF(OR('TANF-VIEW'!L125&gt;0,'TANF-VIEW'!T125&gt;0),"Yes","No")</f>
        <v>No</v>
      </c>
      <c r="I121" s="63">
        <f t="shared" si="13"/>
        <v>375</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860</v>
      </c>
      <c r="M121" s="6">
        <f>IF(B121&gt;$N$2,0,VLOOKUP('Total income package'!$B$3,'Location specific data'!$A$3:$AO$135,36,FALSE))*$F$2*20</f>
        <v>0</v>
      </c>
      <c r="N121" s="6">
        <f>IF(B121&gt;$N$2,0,VLOOKUP('Total income package'!$B$3,'Location specific data'!$A$3:$AO$135,37,FALSE))*($G$2+$H$2)*20</f>
        <v>560</v>
      </c>
      <c r="O121" s="6">
        <f t="shared" si="14"/>
        <v>1125</v>
      </c>
      <c r="P121" s="312">
        <f t="shared" si="21"/>
        <v>241.66666666666666</v>
      </c>
      <c r="Q121" s="312">
        <f t="shared" si="16"/>
        <v>1125</v>
      </c>
      <c r="R121" s="312">
        <f t="shared" si="20"/>
        <v>241.66666666666666</v>
      </c>
      <c r="S121" s="160">
        <f>IF(AND('Total income package'!$A$8=TRUE,OR(F121="Yes",G121="Yes",H121="Yes")),SUM(J121:N121)-R121,0)</f>
        <v>2458.3333333333335</v>
      </c>
    </row>
    <row r="122" spans="1:19" x14ac:dyDescent="0.25">
      <c r="A122" s="6">
        <v>58500</v>
      </c>
      <c r="B122" s="7">
        <f t="shared" si="22"/>
        <v>4875</v>
      </c>
      <c r="C122" s="7">
        <f>'Total income package'!$D$80</f>
        <v>0</v>
      </c>
      <c r="D122" s="7">
        <f t="shared" si="18"/>
        <v>4875</v>
      </c>
      <c r="E122" s="65">
        <f t="shared" si="19"/>
        <v>1.1690647482014389</v>
      </c>
      <c r="F122" s="65" t="str">
        <f t="shared" si="11"/>
        <v>Yes</v>
      </c>
      <c r="G122" s="65" t="str">
        <f t="shared" si="12"/>
        <v>Yes</v>
      </c>
      <c r="H122" s="301" t="str">
        <f>IF(OR('TANF-VIEW'!L126&gt;0,'TANF-VIEW'!T126&gt;0),"Yes","No")</f>
        <v>No</v>
      </c>
      <c r="I122" s="63">
        <f t="shared" si="13"/>
        <v>375</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860</v>
      </c>
      <c r="M122" s="6">
        <f>IF(B122&gt;$N$2,0,VLOOKUP('Total income package'!$B$3,'Location specific data'!$A$3:$AO$135,36,FALSE))*$F$2*20</f>
        <v>0</v>
      </c>
      <c r="N122" s="6">
        <f>IF(B122&gt;$N$2,0,VLOOKUP('Total income package'!$B$3,'Location specific data'!$A$3:$AO$135,37,FALSE))*($G$2+$H$2)*20</f>
        <v>560</v>
      </c>
      <c r="O122" s="6">
        <f t="shared" si="14"/>
        <v>1125</v>
      </c>
      <c r="P122" s="312">
        <f t="shared" si="21"/>
        <v>243.75</v>
      </c>
      <c r="Q122" s="312">
        <f t="shared" si="16"/>
        <v>1125</v>
      </c>
      <c r="R122" s="312">
        <f t="shared" si="20"/>
        <v>243.75</v>
      </c>
      <c r="S122" s="160">
        <f>IF(AND('Total income package'!$A$8=TRUE,OR(F122="Yes",G122="Yes",H122="Yes")),SUM(J122:N122)-R122,0)</f>
        <v>2456.25</v>
      </c>
    </row>
    <row r="123" spans="1:19" x14ac:dyDescent="0.25">
      <c r="A123" s="6">
        <v>59000</v>
      </c>
      <c r="B123" s="7">
        <f t="shared" si="22"/>
        <v>4916.666666666667</v>
      </c>
      <c r="C123" s="7">
        <f>'Total income package'!$D$80</f>
        <v>0</v>
      </c>
      <c r="D123" s="7">
        <f t="shared" si="18"/>
        <v>4916.666666666667</v>
      </c>
      <c r="E123" s="65">
        <f t="shared" si="19"/>
        <v>1.1790567545963231</v>
      </c>
      <c r="F123" s="65" t="str">
        <f t="shared" si="11"/>
        <v>Yes</v>
      </c>
      <c r="G123" s="65" t="str">
        <f t="shared" si="12"/>
        <v>Yes</v>
      </c>
      <c r="H123" s="301" t="str">
        <f>IF(OR('TANF-VIEW'!L127&gt;0,'TANF-VIEW'!T127&gt;0),"Yes","No")</f>
        <v>No</v>
      </c>
      <c r="I123" s="63">
        <f t="shared" si="13"/>
        <v>375</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860</v>
      </c>
      <c r="M123" s="6">
        <f>IF(B123&gt;$N$2,0,VLOOKUP('Total income package'!$B$3,'Location specific data'!$A$3:$AO$135,36,FALSE))*$F$2*20</f>
        <v>0</v>
      </c>
      <c r="N123" s="6">
        <f>IF(B123&gt;$N$2,0,VLOOKUP('Total income package'!$B$3,'Location specific data'!$A$3:$AO$135,37,FALSE))*($G$2+$H$2)*20</f>
        <v>560</v>
      </c>
      <c r="O123" s="6">
        <f t="shared" si="14"/>
        <v>1125</v>
      </c>
      <c r="P123" s="312">
        <f t="shared" si="21"/>
        <v>245.83333333333337</v>
      </c>
      <c r="Q123" s="312">
        <f t="shared" si="16"/>
        <v>1125</v>
      </c>
      <c r="R123" s="312">
        <f t="shared" si="20"/>
        <v>245.83333333333337</v>
      </c>
      <c r="S123" s="160">
        <f>IF(AND('Total income package'!$A$8=TRUE,OR(F123="Yes",G123="Yes",H123="Yes")),SUM(J123:N123)-R123,0)</f>
        <v>2454.1666666666665</v>
      </c>
    </row>
    <row r="124" spans="1:19" x14ac:dyDescent="0.25">
      <c r="A124" s="6">
        <v>59500</v>
      </c>
      <c r="B124" s="7">
        <f t="shared" si="22"/>
        <v>4958.333333333333</v>
      </c>
      <c r="C124" s="7">
        <f>'Total income package'!$D$80</f>
        <v>0</v>
      </c>
      <c r="D124" s="7">
        <f t="shared" si="18"/>
        <v>4958.333333333333</v>
      </c>
      <c r="E124" s="65">
        <f t="shared" si="19"/>
        <v>1.189048760991207</v>
      </c>
      <c r="F124" s="65" t="str">
        <f t="shared" si="11"/>
        <v>Yes</v>
      </c>
      <c r="G124" s="65" t="str">
        <f t="shared" si="12"/>
        <v>Yes</v>
      </c>
      <c r="H124" s="301" t="str">
        <f>IF(OR('TANF-VIEW'!L128&gt;0,'TANF-VIEW'!T128&gt;0),"Yes","No")</f>
        <v>No</v>
      </c>
      <c r="I124" s="63">
        <f t="shared" si="13"/>
        <v>375</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860</v>
      </c>
      <c r="M124" s="6">
        <f>IF(B124&gt;$N$2,0,VLOOKUP('Total income package'!$B$3,'Location specific data'!$A$3:$AO$135,36,FALSE))*$F$2*20</f>
        <v>0</v>
      </c>
      <c r="N124" s="6">
        <f>IF(B124&gt;$N$2,0,VLOOKUP('Total income package'!$B$3,'Location specific data'!$A$3:$AO$135,37,FALSE))*($G$2+$H$2)*20</f>
        <v>560</v>
      </c>
      <c r="O124" s="6">
        <f t="shared" si="14"/>
        <v>1125</v>
      </c>
      <c r="P124" s="312">
        <f t="shared" si="21"/>
        <v>247.91666666666666</v>
      </c>
      <c r="Q124" s="312">
        <f t="shared" si="16"/>
        <v>1125</v>
      </c>
      <c r="R124" s="312">
        <f t="shared" si="20"/>
        <v>247.91666666666666</v>
      </c>
      <c r="S124" s="160">
        <f>IF(AND('Total income package'!$A$8=TRUE,OR(F124="Yes",G124="Yes",H124="Yes")),SUM(J124:N124)-R124,0)</f>
        <v>2452.0833333333335</v>
      </c>
    </row>
    <row r="125" spans="1:19" x14ac:dyDescent="0.25">
      <c r="A125" s="6">
        <v>60000</v>
      </c>
      <c r="B125" s="7">
        <f t="shared" si="22"/>
        <v>5000</v>
      </c>
      <c r="C125" s="7">
        <f>'Total income package'!$D$80</f>
        <v>0</v>
      </c>
      <c r="D125" s="7">
        <f t="shared" si="18"/>
        <v>5000</v>
      </c>
      <c r="E125" s="65">
        <f t="shared" si="19"/>
        <v>1.1990407673860912</v>
      </c>
      <c r="F125" s="65" t="str">
        <f t="shared" si="11"/>
        <v>Yes</v>
      </c>
      <c r="G125" s="65" t="str">
        <f t="shared" si="12"/>
        <v>Yes</v>
      </c>
      <c r="H125" s="301" t="str">
        <f>IF(OR('TANF-VIEW'!L129&gt;0,'TANF-VIEW'!T129&gt;0),"Yes","No")</f>
        <v>No</v>
      </c>
      <c r="I125" s="63">
        <f t="shared" si="13"/>
        <v>375</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860</v>
      </c>
      <c r="M125" s="6">
        <f>IF(B125&gt;$N$2,0,VLOOKUP('Total income package'!$B$3,'Location specific data'!$A$3:$AO$135,36,FALSE))*$F$2*20</f>
        <v>0</v>
      </c>
      <c r="N125" s="6">
        <f>IF(B125&gt;$N$2,0,VLOOKUP('Total income package'!$B$3,'Location specific data'!$A$3:$AO$135,37,FALSE))*($G$2+$H$2)*20</f>
        <v>560</v>
      </c>
      <c r="O125" s="6">
        <f t="shared" si="14"/>
        <v>1125</v>
      </c>
      <c r="P125" s="312">
        <f t="shared" si="21"/>
        <v>250</v>
      </c>
      <c r="Q125" s="312">
        <f t="shared" si="16"/>
        <v>1125</v>
      </c>
      <c r="R125" s="312">
        <f t="shared" si="20"/>
        <v>250</v>
      </c>
      <c r="S125" s="160">
        <f>IF(AND('Total income package'!$A$8=TRUE,OR(F125="Yes",G125="Yes",H125="Yes")),SUM(J125:N125)-R125,0)</f>
        <v>2450</v>
      </c>
    </row>
    <row r="126" spans="1:19" x14ac:dyDescent="0.25">
      <c r="A126" s="6">
        <v>60500</v>
      </c>
      <c r="B126" s="7">
        <f t="shared" si="22"/>
        <v>5041.666666666667</v>
      </c>
      <c r="C126" s="7">
        <f>'Total income package'!$D$80</f>
        <v>0</v>
      </c>
      <c r="D126" s="7">
        <f t="shared" si="18"/>
        <v>5041.666666666667</v>
      </c>
      <c r="E126" s="65">
        <f t="shared" si="19"/>
        <v>1.2090327737809754</v>
      </c>
      <c r="F126" s="65" t="str">
        <f t="shared" si="11"/>
        <v>Yes</v>
      </c>
      <c r="G126" s="65" t="str">
        <f t="shared" si="12"/>
        <v>Yes</v>
      </c>
      <c r="H126" s="301" t="str">
        <f>IF(OR('TANF-VIEW'!L130&gt;0,'TANF-VIEW'!T130&gt;0),"Yes","No")</f>
        <v>No</v>
      </c>
      <c r="I126" s="63">
        <f t="shared" si="13"/>
        <v>375</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860</v>
      </c>
      <c r="M126" s="6">
        <f>IF(B126&gt;$N$2,0,VLOOKUP('Total income package'!$B$3,'Location specific data'!$A$3:$AO$135,36,FALSE))*$F$2*20</f>
        <v>0</v>
      </c>
      <c r="N126" s="6">
        <f>IF(B126&gt;$N$2,0,VLOOKUP('Total income package'!$B$3,'Location specific data'!$A$3:$AO$135,37,FALSE))*($G$2+$H$2)*20</f>
        <v>560</v>
      </c>
      <c r="O126" s="6">
        <f t="shared" si="14"/>
        <v>1125</v>
      </c>
      <c r="P126" s="312">
        <f t="shared" si="21"/>
        <v>252.08333333333337</v>
      </c>
      <c r="Q126" s="312">
        <f t="shared" si="16"/>
        <v>1125</v>
      </c>
      <c r="R126" s="312">
        <f t="shared" si="20"/>
        <v>252.08333333333337</v>
      </c>
      <c r="S126" s="160">
        <f>IF(AND('Total income package'!$A$8=TRUE,OR(F126="Yes",G126="Yes",H126="Yes")),SUM(J126:N126)-R126,0)</f>
        <v>2447.9166666666665</v>
      </c>
    </row>
    <row r="127" spans="1:19" x14ac:dyDescent="0.25">
      <c r="A127" s="6">
        <v>61000</v>
      </c>
      <c r="B127" s="7">
        <f t="shared" si="22"/>
        <v>5083.333333333333</v>
      </c>
      <c r="C127" s="7">
        <f>'Total income package'!$D$80</f>
        <v>0</v>
      </c>
      <c r="D127" s="7">
        <f t="shared" si="18"/>
        <v>5083.333333333333</v>
      </c>
      <c r="E127" s="65">
        <f t="shared" si="19"/>
        <v>1.2190247801758591</v>
      </c>
      <c r="F127" s="65" t="str">
        <f t="shared" si="11"/>
        <v>Yes</v>
      </c>
      <c r="G127" s="65" t="str">
        <f t="shared" si="12"/>
        <v>Yes</v>
      </c>
      <c r="H127" s="301" t="str">
        <f>IF(OR('TANF-VIEW'!L131&gt;0,'TANF-VIEW'!T131&gt;0),"Yes","No")</f>
        <v>No</v>
      </c>
      <c r="I127" s="63">
        <f t="shared" si="13"/>
        <v>375</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860</v>
      </c>
      <c r="M127" s="6">
        <f>IF(B127&gt;$N$2,0,VLOOKUP('Total income package'!$B$3,'Location specific data'!$A$3:$AO$135,36,FALSE))*$F$2*20</f>
        <v>0</v>
      </c>
      <c r="N127" s="6">
        <f>IF(B127&gt;$N$2,0,VLOOKUP('Total income package'!$B$3,'Location specific data'!$A$3:$AO$135,37,FALSE))*($G$2+$H$2)*20</f>
        <v>560</v>
      </c>
      <c r="O127" s="6">
        <f t="shared" si="14"/>
        <v>1125</v>
      </c>
      <c r="P127" s="312">
        <f t="shared" si="21"/>
        <v>254.16666666666666</v>
      </c>
      <c r="Q127" s="312">
        <f t="shared" si="16"/>
        <v>1125</v>
      </c>
      <c r="R127" s="312">
        <f t="shared" si="20"/>
        <v>254.16666666666666</v>
      </c>
      <c r="S127" s="160">
        <f>IF(AND('Total income package'!$A$8=TRUE,OR(F127="Yes",G127="Yes",H127="Yes")),SUM(J127:N127)-R127,0)</f>
        <v>2445.8333333333335</v>
      </c>
    </row>
    <row r="128" spans="1:19" x14ac:dyDescent="0.25">
      <c r="A128" s="6">
        <v>61500</v>
      </c>
      <c r="B128" s="7">
        <f t="shared" si="22"/>
        <v>5125</v>
      </c>
      <c r="C128" s="7">
        <f>'Total income package'!$D$80</f>
        <v>0</v>
      </c>
      <c r="D128" s="7">
        <f t="shared" si="18"/>
        <v>5125</v>
      </c>
      <c r="E128" s="65">
        <f t="shared" si="19"/>
        <v>1.2290167865707433</v>
      </c>
      <c r="F128" s="65" t="str">
        <f t="shared" si="11"/>
        <v>Yes</v>
      </c>
      <c r="G128" s="65" t="str">
        <f t="shared" si="12"/>
        <v>Yes</v>
      </c>
      <c r="H128" s="301" t="str">
        <f>IF(OR('TANF-VIEW'!L132&gt;0,'TANF-VIEW'!T132&gt;0),"Yes","No")</f>
        <v>No</v>
      </c>
      <c r="I128" s="63">
        <f t="shared" si="13"/>
        <v>375</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860</v>
      </c>
      <c r="M128" s="6">
        <f>IF(B128&gt;$N$2,0,VLOOKUP('Total income package'!$B$3,'Location specific data'!$A$3:$AO$135,36,FALSE))*$F$2*20</f>
        <v>0</v>
      </c>
      <c r="N128" s="6">
        <f>IF(B128&gt;$N$2,0,VLOOKUP('Total income package'!$B$3,'Location specific data'!$A$3:$AO$135,37,FALSE))*($G$2+$H$2)*20</f>
        <v>560</v>
      </c>
      <c r="O128" s="6">
        <f t="shared" si="14"/>
        <v>1125</v>
      </c>
      <c r="P128" s="312">
        <f t="shared" si="21"/>
        <v>256.25</v>
      </c>
      <c r="Q128" s="312">
        <f t="shared" si="16"/>
        <v>1125</v>
      </c>
      <c r="R128" s="312">
        <f t="shared" si="20"/>
        <v>256.25</v>
      </c>
      <c r="S128" s="160">
        <f>IF(AND('Total income package'!$A$8=TRUE,OR(F128="Yes",G128="Yes",H128="Yes")),SUM(J128:N128)-R128,0)</f>
        <v>2443.75</v>
      </c>
    </row>
    <row r="129" spans="1:19" x14ac:dyDescent="0.25">
      <c r="A129" s="6">
        <v>62000</v>
      </c>
      <c r="B129" s="7">
        <f t="shared" si="22"/>
        <v>5166.666666666667</v>
      </c>
      <c r="C129" s="7">
        <f>'Total income package'!$D$80</f>
        <v>0</v>
      </c>
      <c r="D129" s="7">
        <f t="shared" si="18"/>
        <v>5166.666666666667</v>
      </c>
      <c r="E129" s="65">
        <f t="shared" si="19"/>
        <v>1.2390087929656275</v>
      </c>
      <c r="F129" s="65" t="str">
        <f t="shared" si="11"/>
        <v>Yes</v>
      </c>
      <c r="G129" s="65" t="str">
        <f t="shared" si="12"/>
        <v>Yes</v>
      </c>
      <c r="H129" s="301" t="str">
        <f>IF(OR('TANF-VIEW'!L133&gt;0,'TANF-VIEW'!T133&gt;0),"Yes","No")</f>
        <v>No</v>
      </c>
      <c r="I129" s="63">
        <f t="shared" si="13"/>
        <v>375</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860</v>
      </c>
      <c r="M129" s="6">
        <f>IF(B129&gt;$N$2,0,VLOOKUP('Total income package'!$B$3,'Location specific data'!$A$3:$AO$135,36,FALSE))*$F$2*20</f>
        <v>0</v>
      </c>
      <c r="N129" s="6">
        <f>IF(B129&gt;$N$2,0,VLOOKUP('Total income package'!$B$3,'Location specific data'!$A$3:$AO$135,37,FALSE))*($G$2+$H$2)*20</f>
        <v>560</v>
      </c>
      <c r="O129" s="6">
        <f t="shared" si="14"/>
        <v>1125</v>
      </c>
      <c r="P129" s="312">
        <f t="shared" si="21"/>
        <v>258.33333333333337</v>
      </c>
      <c r="Q129" s="312">
        <f t="shared" si="16"/>
        <v>1125</v>
      </c>
      <c r="R129" s="312">
        <f t="shared" si="20"/>
        <v>258.33333333333337</v>
      </c>
      <c r="S129" s="160">
        <f>IF(AND('Total income package'!$A$8=TRUE,OR(F129="Yes",G129="Yes",H129="Yes")),SUM(J129:N129)-R129,0)</f>
        <v>2441.6666666666665</v>
      </c>
    </row>
    <row r="130" spans="1:19" x14ac:dyDescent="0.25">
      <c r="A130" s="6">
        <v>62500</v>
      </c>
      <c r="B130" s="7">
        <f t="shared" si="22"/>
        <v>5208.333333333333</v>
      </c>
      <c r="C130" s="7">
        <f>'Total income package'!$D$80</f>
        <v>0</v>
      </c>
      <c r="D130" s="7">
        <f t="shared" si="18"/>
        <v>5208.333333333333</v>
      </c>
      <c r="E130" s="65">
        <f t="shared" si="19"/>
        <v>1.2490007993605114</v>
      </c>
      <c r="F130" s="65" t="str">
        <f t="shared" si="11"/>
        <v>Yes</v>
      </c>
      <c r="G130" s="65" t="str">
        <f t="shared" si="12"/>
        <v>Yes</v>
      </c>
      <c r="H130" s="301" t="str">
        <f>IF(OR('TANF-VIEW'!L134&gt;0,'TANF-VIEW'!T134&gt;0),"Yes","No")</f>
        <v>No</v>
      </c>
      <c r="I130" s="63">
        <f t="shared" si="13"/>
        <v>375</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860</v>
      </c>
      <c r="M130" s="6">
        <f>IF(B130&gt;$N$2,0,VLOOKUP('Total income package'!$B$3,'Location specific data'!$A$3:$AO$135,36,FALSE))*$F$2*20</f>
        <v>0</v>
      </c>
      <c r="N130" s="6">
        <f>IF(B130&gt;$N$2,0,VLOOKUP('Total income package'!$B$3,'Location specific data'!$A$3:$AO$135,37,FALSE))*($G$2+$H$2)*20</f>
        <v>560</v>
      </c>
      <c r="O130" s="6">
        <f t="shared" si="14"/>
        <v>1125</v>
      </c>
      <c r="P130" s="312">
        <f t="shared" si="21"/>
        <v>260.41666666666669</v>
      </c>
      <c r="Q130" s="312">
        <f t="shared" si="16"/>
        <v>1125</v>
      </c>
      <c r="R130" s="312">
        <f t="shared" si="20"/>
        <v>260.41666666666669</v>
      </c>
      <c r="S130" s="160">
        <f>IF(AND('Total income package'!$A$8=TRUE,OR(F130="Yes",G130="Yes",H130="Yes")),SUM(J130:N130)-R130,0)</f>
        <v>2439.5833333333335</v>
      </c>
    </row>
    <row r="131" spans="1:19" x14ac:dyDescent="0.25">
      <c r="A131" s="6">
        <v>63000</v>
      </c>
      <c r="B131" s="7">
        <f t="shared" si="22"/>
        <v>5250</v>
      </c>
      <c r="C131" s="7">
        <f>'Total income package'!$D$80</f>
        <v>0</v>
      </c>
      <c r="D131" s="7">
        <f t="shared" si="18"/>
        <v>5250</v>
      </c>
      <c r="E131" s="65">
        <f t="shared" si="19"/>
        <v>1.2589928057553956</v>
      </c>
      <c r="F131" s="65" t="str">
        <f t="shared" si="11"/>
        <v>Yes</v>
      </c>
      <c r="G131" s="65" t="str">
        <f t="shared" si="12"/>
        <v>Yes</v>
      </c>
      <c r="H131" s="301" t="str">
        <f>IF(OR('TANF-VIEW'!L135&gt;0,'TANF-VIEW'!T135&gt;0),"Yes","No")</f>
        <v>No</v>
      </c>
      <c r="I131" s="63">
        <f t="shared" si="13"/>
        <v>375</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860</v>
      </c>
      <c r="M131" s="6">
        <f>IF(B131&gt;$N$2,0,VLOOKUP('Total income package'!$B$3,'Location specific data'!$A$3:$AO$135,36,FALSE))*$F$2*20</f>
        <v>0</v>
      </c>
      <c r="N131" s="6">
        <f>IF(B131&gt;$N$2,0,VLOOKUP('Total income package'!$B$3,'Location specific data'!$A$3:$AO$135,37,FALSE))*($G$2+$H$2)*20</f>
        <v>560</v>
      </c>
      <c r="O131" s="6">
        <f t="shared" si="14"/>
        <v>1125</v>
      </c>
      <c r="P131" s="312">
        <f t="shared" si="21"/>
        <v>262.5</v>
      </c>
      <c r="Q131" s="312">
        <f t="shared" si="16"/>
        <v>1125</v>
      </c>
      <c r="R131" s="312">
        <f t="shared" si="20"/>
        <v>262.5</v>
      </c>
      <c r="S131" s="160">
        <f>IF(AND('Total income package'!$A$8=TRUE,OR(F131="Yes",G131="Yes",H131="Yes")),SUM(J131:N131)-R131,0)</f>
        <v>2437.5</v>
      </c>
    </row>
    <row r="132" spans="1:19" x14ac:dyDescent="0.25">
      <c r="A132" s="6">
        <v>63500</v>
      </c>
      <c r="B132" s="7">
        <f t="shared" si="22"/>
        <v>5291.666666666667</v>
      </c>
      <c r="C132" s="7">
        <f>'Total income package'!$D$80</f>
        <v>0</v>
      </c>
      <c r="D132" s="7">
        <f t="shared" si="18"/>
        <v>5291.666666666667</v>
      </c>
      <c r="E132" s="65">
        <f t="shared" si="19"/>
        <v>1.2689848121502798</v>
      </c>
      <c r="F132" s="65" t="str">
        <f t="shared" si="11"/>
        <v>Yes</v>
      </c>
      <c r="G132" s="65" t="str">
        <f t="shared" si="12"/>
        <v>Yes</v>
      </c>
      <c r="H132" s="301" t="str">
        <f>IF(OR('TANF-VIEW'!L136&gt;0,'TANF-VIEW'!T136&gt;0),"Yes","No")</f>
        <v>No</v>
      </c>
      <c r="I132" s="63">
        <f t="shared" si="13"/>
        <v>375</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860</v>
      </c>
      <c r="M132" s="6">
        <f>IF(B132&gt;$N$2,0,VLOOKUP('Total income package'!$B$3,'Location specific data'!$A$3:$AO$135,36,FALSE))*$F$2*20</f>
        <v>0</v>
      </c>
      <c r="N132" s="6">
        <f>IF(B132&gt;$N$2,0,VLOOKUP('Total income package'!$B$3,'Location specific data'!$A$3:$AO$135,37,FALSE))*($G$2+$H$2)*20</f>
        <v>560</v>
      </c>
      <c r="O132" s="6">
        <f t="shared" si="14"/>
        <v>1125</v>
      </c>
      <c r="P132" s="312">
        <f t="shared" si="21"/>
        <v>264.58333333333337</v>
      </c>
      <c r="Q132" s="312">
        <f t="shared" si="16"/>
        <v>1125</v>
      </c>
      <c r="R132" s="312">
        <f t="shared" si="20"/>
        <v>264.58333333333337</v>
      </c>
      <c r="S132" s="160">
        <f>IF(AND('Total income package'!$A$8=TRUE,OR(F132="Yes",G132="Yes",H132="Yes")),SUM(J132:N132)-R132,0)</f>
        <v>2435.4166666666665</v>
      </c>
    </row>
    <row r="133" spans="1:19" x14ac:dyDescent="0.25">
      <c r="A133" s="6">
        <v>64000</v>
      </c>
      <c r="B133" s="7">
        <f t="shared" si="22"/>
        <v>5333.333333333333</v>
      </c>
      <c r="C133" s="7">
        <f>'Total income package'!$D$80</f>
        <v>0</v>
      </c>
      <c r="D133" s="7">
        <f t="shared" si="18"/>
        <v>5333.333333333333</v>
      </c>
      <c r="E133" s="65">
        <f t="shared" si="19"/>
        <v>1.2789768185451638</v>
      </c>
      <c r="F133" s="65" t="str">
        <f t="shared" ref="F133:F196" si="23">IF(AND(B133&lt;$N$2,SUM($C$2:$F$2)&gt;0),"Yes","No")</f>
        <v>Yes</v>
      </c>
      <c r="G133" s="65" t="str">
        <f t="shared" ref="G133:G196" si="24">IF(B133&lt;$M$2,"Yes","No")</f>
        <v>Yes</v>
      </c>
      <c r="H133" s="301" t="str">
        <f>IF(OR('TANF-VIEW'!L137&gt;0,'TANF-VIEW'!T137&gt;0),"Yes","No")</f>
        <v>No</v>
      </c>
      <c r="I133" s="63">
        <f t="shared" ref="I133:I196" si="25">IF(B133&gt;=$N$2,0,IF(E133&gt;3.5,375*SUM($C$2:$H$2),IF(E133&gt;3,325*SUM($C$2:$H$2),IF(E133&gt;2.5,275*SUM($C$2:$H$2),IF(E133&gt;2,225*SUM($C$2:$H$2),IF(E133&gt;1.5,175*SUM($C$2:$H$2),IF(E133&gt;1,125*SUM($C$2:$H$2),IF(E133&gt;0,5*SUM($C$2:$H$2),0))))))))</f>
        <v>375</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860</v>
      </c>
      <c r="M133" s="6">
        <f>IF(B133&gt;$N$2,0,VLOOKUP('Total income package'!$B$3,'Location specific data'!$A$3:$AO$135,36,FALSE))*$F$2*20</f>
        <v>0</v>
      </c>
      <c r="N133" s="6">
        <f>IF(B133&gt;$N$2,0,VLOOKUP('Total income package'!$B$3,'Location specific data'!$A$3:$AO$135,37,FALSE))*($G$2+$H$2)*20</f>
        <v>560</v>
      </c>
      <c r="O133" s="6">
        <f t="shared" ref="O133:O196" si="26">I133*SUM($C$2:$H$2)</f>
        <v>1125</v>
      </c>
      <c r="P133" s="312">
        <f t="shared" ref="P133:P164" si="27">B133*0.05</f>
        <v>266.66666666666669</v>
      </c>
      <c r="Q133" s="312">
        <f t="shared" ref="Q133:Q196" si="28">I133*3</f>
        <v>1125</v>
      </c>
      <c r="R133" s="312">
        <f t="shared" si="20"/>
        <v>266.66666666666669</v>
      </c>
      <c r="S133" s="160">
        <f>IF(AND('Total income package'!$A$8=TRUE,OR(F133="Yes",G133="Yes",H133="Yes")),SUM(J133:N133)-R133,0)</f>
        <v>2433.3333333333335</v>
      </c>
    </row>
    <row r="134" spans="1:19" x14ac:dyDescent="0.25">
      <c r="A134" s="6">
        <v>64500</v>
      </c>
      <c r="B134" s="7">
        <f t="shared" si="22"/>
        <v>5375</v>
      </c>
      <c r="C134" s="7">
        <f>'Total income package'!$D$80</f>
        <v>0</v>
      </c>
      <c r="D134" s="7">
        <f t="shared" ref="D134:D197" si="29">B134+C134</f>
        <v>5375</v>
      </c>
      <c r="E134" s="65">
        <f t="shared" ref="E134:E197" si="30">D134/$K$2</f>
        <v>1.2889688249400479</v>
      </c>
      <c r="F134" s="65" t="str">
        <f t="shared" si="23"/>
        <v>Yes</v>
      </c>
      <c r="G134" s="65" t="str">
        <f t="shared" si="24"/>
        <v>Yes</v>
      </c>
      <c r="H134" s="301" t="str">
        <f>IF(OR('TANF-VIEW'!L138&gt;0,'TANF-VIEW'!T138&gt;0),"Yes","No")</f>
        <v>No</v>
      </c>
      <c r="I134" s="63">
        <f t="shared" si="25"/>
        <v>375</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860</v>
      </c>
      <c r="M134" s="6">
        <f>IF(B134&gt;$N$2,0,VLOOKUP('Total income package'!$B$3,'Location specific data'!$A$3:$AO$135,36,FALSE))*$F$2*20</f>
        <v>0</v>
      </c>
      <c r="N134" s="6">
        <f>IF(B134&gt;$N$2,0,VLOOKUP('Total income package'!$B$3,'Location specific data'!$A$3:$AO$135,37,FALSE))*($G$2+$H$2)*20</f>
        <v>560</v>
      </c>
      <c r="O134" s="6">
        <f t="shared" si="26"/>
        <v>1125</v>
      </c>
      <c r="P134" s="312">
        <f t="shared" si="27"/>
        <v>268.75</v>
      </c>
      <c r="Q134" s="312">
        <f t="shared" si="28"/>
        <v>1125</v>
      </c>
      <c r="R134" s="312">
        <f t="shared" ref="R134:R197" si="31">IF(MIN(O134,P134)&lt;Q134,MIN(O134,P134),Q134)</f>
        <v>268.75</v>
      </c>
      <c r="S134" s="160">
        <f>IF(AND('Total income package'!$A$8=TRUE,OR(F134="Yes",G134="Yes",H134="Yes")),SUM(J134:N134)-R134,0)</f>
        <v>2431.25</v>
      </c>
    </row>
    <row r="135" spans="1:19" x14ac:dyDescent="0.25">
      <c r="A135" s="6">
        <v>65000</v>
      </c>
      <c r="B135" s="7">
        <f t="shared" si="22"/>
        <v>5416.666666666667</v>
      </c>
      <c r="C135" s="7">
        <f>'Total income package'!$D$80</f>
        <v>0</v>
      </c>
      <c r="D135" s="7">
        <f t="shared" si="29"/>
        <v>5416.666666666667</v>
      </c>
      <c r="E135" s="65">
        <f t="shared" si="30"/>
        <v>1.2989608313349321</v>
      </c>
      <c r="F135" s="65" t="str">
        <f t="shared" si="23"/>
        <v>Yes</v>
      </c>
      <c r="G135" s="65" t="str">
        <f t="shared" si="24"/>
        <v>Yes</v>
      </c>
      <c r="H135" s="301" t="str">
        <f>IF(OR('TANF-VIEW'!L139&gt;0,'TANF-VIEW'!T139&gt;0),"Yes","No")</f>
        <v>No</v>
      </c>
      <c r="I135" s="63">
        <f t="shared" si="25"/>
        <v>375</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860</v>
      </c>
      <c r="M135" s="6">
        <f>IF(B135&gt;$N$2,0,VLOOKUP('Total income package'!$B$3,'Location specific data'!$A$3:$AO$135,36,FALSE))*$F$2*20</f>
        <v>0</v>
      </c>
      <c r="N135" s="6">
        <f>IF(B135&gt;$N$2,0,VLOOKUP('Total income package'!$B$3,'Location specific data'!$A$3:$AO$135,37,FALSE))*($G$2+$H$2)*20</f>
        <v>560</v>
      </c>
      <c r="O135" s="6">
        <f t="shared" si="26"/>
        <v>1125</v>
      </c>
      <c r="P135" s="312">
        <f t="shared" si="27"/>
        <v>270.83333333333337</v>
      </c>
      <c r="Q135" s="312">
        <f t="shared" si="28"/>
        <v>1125</v>
      </c>
      <c r="R135" s="312">
        <f t="shared" si="31"/>
        <v>270.83333333333337</v>
      </c>
      <c r="S135" s="160">
        <f>IF(AND('Total income package'!$A$8=TRUE,OR(F135="Yes",G135="Yes",H135="Yes")),SUM(J135:N135)-R135,0)</f>
        <v>2429.1666666666665</v>
      </c>
    </row>
    <row r="136" spans="1:19" x14ac:dyDescent="0.25">
      <c r="A136" s="6">
        <v>65500</v>
      </c>
      <c r="B136" s="7">
        <f t="shared" si="22"/>
        <v>5458.333333333333</v>
      </c>
      <c r="C136" s="7">
        <f>'Total income package'!$D$80</f>
        <v>0</v>
      </c>
      <c r="D136" s="7">
        <f t="shared" si="29"/>
        <v>5458.333333333333</v>
      </c>
      <c r="E136" s="65">
        <f t="shared" si="30"/>
        <v>1.3089528377298161</v>
      </c>
      <c r="F136" s="65" t="str">
        <f t="shared" si="23"/>
        <v>Yes</v>
      </c>
      <c r="G136" s="65" t="str">
        <f t="shared" si="24"/>
        <v>Yes</v>
      </c>
      <c r="H136" s="301" t="str">
        <f>IF(OR('TANF-VIEW'!L140&gt;0,'TANF-VIEW'!T140&gt;0),"Yes","No")</f>
        <v>No</v>
      </c>
      <c r="I136" s="63">
        <f t="shared" si="25"/>
        <v>375</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860</v>
      </c>
      <c r="M136" s="6">
        <f>IF(B136&gt;$N$2,0,VLOOKUP('Total income package'!$B$3,'Location specific data'!$A$3:$AO$135,36,FALSE))*$F$2*20</f>
        <v>0</v>
      </c>
      <c r="N136" s="6">
        <f>IF(B136&gt;$N$2,0,VLOOKUP('Total income package'!$B$3,'Location specific data'!$A$3:$AO$135,37,FALSE))*($G$2+$H$2)*20</f>
        <v>560</v>
      </c>
      <c r="O136" s="6">
        <f t="shared" si="26"/>
        <v>1125</v>
      </c>
      <c r="P136" s="312">
        <f t="shared" si="27"/>
        <v>272.91666666666669</v>
      </c>
      <c r="Q136" s="312">
        <f t="shared" si="28"/>
        <v>1125</v>
      </c>
      <c r="R136" s="312">
        <f t="shared" si="31"/>
        <v>272.91666666666669</v>
      </c>
      <c r="S136" s="160">
        <f>IF(AND('Total income package'!$A$8=TRUE,OR(F136="Yes",G136="Yes",H136="Yes")),SUM(J136:N136)-R136,0)</f>
        <v>2427.0833333333335</v>
      </c>
    </row>
    <row r="137" spans="1:19" x14ac:dyDescent="0.25">
      <c r="A137" s="6">
        <v>66000</v>
      </c>
      <c r="B137" s="7">
        <f t="shared" si="22"/>
        <v>5500</v>
      </c>
      <c r="C137" s="7">
        <f>'Total income package'!$D$80</f>
        <v>0</v>
      </c>
      <c r="D137" s="7">
        <f t="shared" si="29"/>
        <v>5500</v>
      </c>
      <c r="E137" s="65">
        <f t="shared" si="30"/>
        <v>1.3189448441247003</v>
      </c>
      <c r="F137" s="65" t="str">
        <f t="shared" si="23"/>
        <v>Yes</v>
      </c>
      <c r="G137" s="65" t="str">
        <f t="shared" si="24"/>
        <v>Yes</v>
      </c>
      <c r="H137" s="301" t="str">
        <f>IF(OR('TANF-VIEW'!L141&gt;0,'TANF-VIEW'!T141&gt;0),"Yes","No")</f>
        <v>No</v>
      </c>
      <c r="I137" s="63">
        <f t="shared" si="25"/>
        <v>375</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860</v>
      </c>
      <c r="M137" s="6">
        <f>IF(B137&gt;$N$2,0,VLOOKUP('Total income package'!$B$3,'Location specific data'!$A$3:$AO$135,36,FALSE))*$F$2*20</f>
        <v>0</v>
      </c>
      <c r="N137" s="6">
        <f>IF(B137&gt;$N$2,0,VLOOKUP('Total income package'!$B$3,'Location specific data'!$A$3:$AO$135,37,FALSE))*($G$2+$H$2)*20</f>
        <v>560</v>
      </c>
      <c r="O137" s="6">
        <f t="shared" si="26"/>
        <v>1125</v>
      </c>
      <c r="P137" s="312">
        <f t="shared" si="27"/>
        <v>275</v>
      </c>
      <c r="Q137" s="312">
        <f t="shared" si="28"/>
        <v>1125</v>
      </c>
      <c r="R137" s="312">
        <f t="shared" si="31"/>
        <v>275</v>
      </c>
      <c r="S137" s="160">
        <f>IF(AND('Total income package'!$A$8=TRUE,OR(F137="Yes",G137="Yes",H137="Yes")),SUM(J137:N137)-R137,0)</f>
        <v>2425</v>
      </c>
    </row>
    <row r="138" spans="1:19" x14ac:dyDescent="0.25">
      <c r="A138" s="6">
        <v>66500</v>
      </c>
      <c r="B138" s="7">
        <f t="shared" si="22"/>
        <v>5541.666666666667</v>
      </c>
      <c r="C138" s="7">
        <f>'Total income package'!$D$80</f>
        <v>0</v>
      </c>
      <c r="D138" s="7">
        <f t="shared" si="29"/>
        <v>5541.666666666667</v>
      </c>
      <c r="E138" s="65">
        <f t="shared" si="30"/>
        <v>1.3289368505195844</v>
      </c>
      <c r="F138" s="65" t="str">
        <f t="shared" si="23"/>
        <v>Yes</v>
      </c>
      <c r="G138" s="65" t="str">
        <f t="shared" si="24"/>
        <v>Yes</v>
      </c>
      <c r="H138" s="301" t="str">
        <f>IF(OR('TANF-VIEW'!L142&gt;0,'TANF-VIEW'!T142&gt;0),"Yes","No")</f>
        <v>No</v>
      </c>
      <c r="I138" s="63">
        <f t="shared" si="25"/>
        <v>375</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860</v>
      </c>
      <c r="M138" s="6">
        <f>IF(B138&gt;$N$2,0,VLOOKUP('Total income package'!$B$3,'Location specific data'!$A$3:$AO$135,36,FALSE))*$F$2*20</f>
        <v>0</v>
      </c>
      <c r="N138" s="6">
        <f>IF(B138&gt;$N$2,0,VLOOKUP('Total income package'!$B$3,'Location specific data'!$A$3:$AO$135,37,FALSE))*($G$2+$H$2)*20</f>
        <v>560</v>
      </c>
      <c r="O138" s="6">
        <f t="shared" si="26"/>
        <v>1125</v>
      </c>
      <c r="P138" s="312">
        <f t="shared" si="27"/>
        <v>277.08333333333337</v>
      </c>
      <c r="Q138" s="312">
        <f t="shared" si="28"/>
        <v>1125</v>
      </c>
      <c r="R138" s="312">
        <f t="shared" si="31"/>
        <v>277.08333333333337</v>
      </c>
      <c r="S138" s="160">
        <f>IF(AND('Total income package'!$A$8=TRUE,OR(F138="Yes",G138="Yes",H138="Yes")),SUM(J138:N138)-R138,0)</f>
        <v>2422.9166666666665</v>
      </c>
    </row>
    <row r="139" spans="1:19" x14ac:dyDescent="0.25">
      <c r="A139" s="6">
        <v>67000</v>
      </c>
      <c r="B139" s="7">
        <f t="shared" si="22"/>
        <v>5583.333333333333</v>
      </c>
      <c r="C139" s="7">
        <f>'Total income package'!$D$80</f>
        <v>0</v>
      </c>
      <c r="D139" s="7">
        <f t="shared" si="29"/>
        <v>5583.333333333333</v>
      </c>
      <c r="E139" s="65">
        <f t="shared" si="30"/>
        <v>1.3389288569144684</v>
      </c>
      <c r="F139" s="65" t="str">
        <f t="shared" si="23"/>
        <v>Yes</v>
      </c>
      <c r="G139" s="65" t="str">
        <f t="shared" si="24"/>
        <v>Yes</v>
      </c>
      <c r="H139" s="301" t="str">
        <f>IF(OR('TANF-VIEW'!L143&gt;0,'TANF-VIEW'!T143&gt;0),"Yes","No")</f>
        <v>No</v>
      </c>
      <c r="I139" s="63">
        <f t="shared" si="25"/>
        <v>375</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860</v>
      </c>
      <c r="M139" s="6">
        <f>IF(B139&gt;$N$2,0,VLOOKUP('Total income package'!$B$3,'Location specific data'!$A$3:$AO$135,36,FALSE))*$F$2*20</f>
        <v>0</v>
      </c>
      <c r="N139" s="6">
        <f>IF(B139&gt;$N$2,0,VLOOKUP('Total income package'!$B$3,'Location specific data'!$A$3:$AO$135,37,FALSE))*($G$2+$H$2)*20</f>
        <v>560</v>
      </c>
      <c r="O139" s="6">
        <f t="shared" si="26"/>
        <v>1125</v>
      </c>
      <c r="P139" s="312">
        <f t="shared" si="27"/>
        <v>279.16666666666669</v>
      </c>
      <c r="Q139" s="312">
        <f t="shared" si="28"/>
        <v>1125</v>
      </c>
      <c r="R139" s="312">
        <f t="shared" si="31"/>
        <v>279.16666666666669</v>
      </c>
      <c r="S139" s="160">
        <f>IF(AND('Total income package'!$A$8=TRUE,OR(F139="Yes",G139="Yes",H139="Yes")),SUM(J139:N139)-R139,0)</f>
        <v>2420.8333333333335</v>
      </c>
    </row>
    <row r="140" spans="1:19" x14ac:dyDescent="0.25">
      <c r="A140" s="6">
        <v>67500</v>
      </c>
      <c r="B140" s="7">
        <f t="shared" si="22"/>
        <v>5625</v>
      </c>
      <c r="C140" s="7">
        <f>'Total income package'!$D$80</f>
        <v>0</v>
      </c>
      <c r="D140" s="7">
        <f t="shared" si="29"/>
        <v>5625</v>
      </c>
      <c r="E140" s="65">
        <f t="shared" si="30"/>
        <v>1.3489208633093526</v>
      </c>
      <c r="F140" s="65" t="str">
        <f t="shared" si="23"/>
        <v>Yes</v>
      </c>
      <c r="G140" s="65" t="str">
        <f t="shared" si="24"/>
        <v>Yes</v>
      </c>
      <c r="H140" s="301" t="str">
        <f>IF(OR('TANF-VIEW'!L144&gt;0,'TANF-VIEW'!T144&gt;0),"Yes","No")</f>
        <v>No</v>
      </c>
      <c r="I140" s="63">
        <f t="shared" si="25"/>
        <v>375</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860</v>
      </c>
      <c r="M140" s="6">
        <f>IF(B140&gt;$N$2,0,VLOOKUP('Total income package'!$B$3,'Location specific data'!$A$3:$AO$135,36,FALSE))*$F$2*20</f>
        <v>0</v>
      </c>
      <c r="N140" s="6">
        <f>IF(B140&gt;$N$2,0,VLOOKUP('Total income package'!$B$3,'Location specific data'!$A$3:$AO$135,37,FALSE))*($G$2+$H$2)*20</f>
        <v>560</v>
      </c>
      <c r="O140" s="6">
        <f t="shared" si="26"/>
        <v>1125</v>
      </c>
      <c r="P140" s="312">
        <f t="shared" si="27"/>
        <v>281.25</v>
      </c>
      <c r="Q140" s="312">
        <f t="shared" si="28"/>
        <v>1125</v>
      </c>
      <c r="R140" s="312">
        <f t="shared" si="31"/>
        <v>281.25</v>
      </c>
      <c r="S140" s="160">
        <f>IF(AND('Total income package'!$A$8=TRUE,OR(F140="Yes",G140="Yes",H140="Yes")),SUM(J140:N140)-R140,0)</f>
        <v>2418.75</v>
      </c>
    </row>
    <row r="141" spans="1:19" x14ac:dyDescent="0.25">
      <c r="A141" s="6">
        <v>68000</v>
      </c>
      <c r="B141" s="7">
        <f t="shared" si="22"/>
        <v>5666.666666666667</v>
      </c>
      <c r="C141" s="7">
        <f>'Total income package'!$D$80</f>
        <v>0</v>
      </c>
      <c r="D141" s="7">
        <f t="shared" si="29"/>
        <v>5666.666666666667</v>
      </c>
      <c r="E141" s="65">
        <f t="shared" si="30"/>
        <v>1.3589128697042367</v>
      </c>
      <c r="F141" s="65" t="str">
        <f t="shared" si="23"/>
        <v>Yes</v>
      </c>
      <c r="G141" s="65" t="str">
        <f t="shared" si="24"/>
        <v>Yes</v>
      </c>
      <c r="H141" s="301" t="str">
        <f>IF(OR('TANF-VIEW'!L145&gt;0,'TANF-VIEW'!T145&gt;0),"Yes","No")</f>
        <v>No</v>
      </c>
      <c r="I141" s="63">
        <f t="shared" si="25"/>
        <v>375</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860</v>
      </c>
      <c r="M141" s="6">
        <f>IF(B141&gt;$N$2,0,VLOOKUP('Total income package'!$B$3,'Location specific data'!$A$3:$AO$135,36,FALSE))*$F$2*20</f>
        <v>0</v>
      </c>
      <c r="N141" s="6">
        <f>IF(B141&gt;$N$2,0,VLOOKUP('Total income package'!$B$3,'Location specific data'!$A$3:$AO$135,37,FALSE))*($G$2+$H$2)*20</f>
        <v>560</v>
      </c>
      <c r="O141" s="6">
        <f t="shared" si="26"/>
        <v>1125</v>
      </c>
      <c r="P141" s="312">
        <f t="shared" si="27"/>
        <v>283.33333333333337</v>
      </c>
      <c r="Q141" s="312">
        <f t="shared" si="28"/>
        <v>1125</v>
      </c>
      <c r="R141" s="312">
        <f t="shared" si="31"/>
        <v>283.33333333333337</v>
      </c>
      <c r="S141" s="160">
        <f>IF(AND('Total income package'!$A$8=TRUE,OR(F141="Yes",G141="Yes",H141="Yes")),SUM(J141:N141)-R141,0)</f>
        <v>2416.6666666666665</v>
      </c>
    </row>
    <row r="142" spans="1:19" x14ac:dyDescent="0.25">
      <c r="A142" s="6">
        <v>68500</v>
      </c>
      <c r="B142" s="7">
        <f t="shared" si="22"/>
        <v>5708.333333333333</v>
      </c>
      <c r="C142" s="7">
        <f>'Total income package'!$D$80</f>
        <v>0</v>
      </c>
      <c r="D142" s="7">
        <f t="shared" si="29"/>
        <v>5708.333333333333</v>
      </c>
      <c r="E142" s="65">
        <f t="shared" si="30"/>
        <v>1.3689048760991207</v>
      </c>
      <c r="F142" s="65" t="str">
        <f t="shared" si="23"/>
        <v>Yes</v>
      </c>
      <c r="G142" s="65" t="str">
        <f t="shared" si="24"/>
        <v>Yes</v>
      </c>
      <c r="H142" s="301" t="str">
        <f>IF(OR('TANF-VIEW'!L146&gt;0,'TANF-VIEW'!T146&gt;0),"Yes","No")</f>
        <v>No</v>
      </c>
      <c r="I142" s="63">
        <f t="shared" si="25"/>
        <v>375</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860</v>
      </c>
      <c r="M142" s="6">
        <f>IF(B142&gt;$N$2,0,VLOOKUP('Total income package'!$B$3,'Location specific data'!$A$3:$AO$135,36,FALSE))*$F$2*20</f>
        <v>0</v>
      </c>
      <c r="N142" s="6">
        <f>IF(B142&gt;$N$2,0,VLOOKUP('Total income package'!$B$3,'Location specific data'!$A$3:$AO$135,37,FALSE))*($G$2+$H$2)*20</f>
        <v>560</v>
      </c>
      <c r="O142" s="6">
        <f t="shared" si="26"/>
        <v>1125</v>
      </c>
      <c r="P142" s="312">
        <f t="shared" si="27"/>
        <v>285.41666666666669</v>
      </c>
      <c r="Q142" s="312">
        <f t="shared" si="28"/>
        <v>1125</v>
      </c>
      <c r="R142" s="312">
        <f t="shared" si="31"/>
        <v>285.41666666666669</v>
      </c>
      <c r="S142" s="160">
        <f>IF(AND('Total income package'!$A$8=TRUE,OR(F142="Yes",G142="Yes",H142="Yes")),SUM(J142:N142)-R142,0)</f>
        <v>2414.5833333333335</v>
      </c>
    </row>
    <row r="143" spans="1:19" x14ac:dyDescent="0.25">
      <c r="A143" s="6">
        <v>69000</v>
      </c>
      <c r="B143" s="7">
        <f t="shared" si="22"/>
        <v>5750</v>
      </c>
      <c r="C143" s="7">
        <f>'Total income package'!$D$80</f>
        <v>0</v>
      </c>
      <c r="D143" s="7">
        <f t="shared" si="29"/>
        <v>5750</v>
      </c>
      <c r="E143" s="65">
        <f t="shared" si="30"/>
        <v>1.3788968824940049</v>
      </c>
      <c r="F143" s="65" t="str">
        <f t="shared" si="23"/>
        <v>Yes</v>
      </c>
      <c r="G143" s="65" t="str">
        <f t="shared" si="24"/>
        <v>Yes</v>
      </c>
      <c r="H143" s="301" t="str">
        <f>IF(OR('TANF-VIEW'!L147&gt;0,'TANF-VIEW'!T147&gt;0),"Yes","No")</f>
        <v>No</v>
      </c>
      <c r="I143" s="63">
        <f t="shared" si="25"/>
        <v>375</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860</v>
      </c>
      <c r="M143" s="6">
        <f>IF(B143&gt;$N$2,0,VLOOKUP('Total income package'!$B$3,'Location specific data'!$A$3:$AO$135,36,FALSE))*$F$2*20</f>
        <v>0</v>
      </c>
      <c r="N143" s="6">
        <f>IF(B143&gt;$N$2,0,VLOOKUP('Total income package'!$B$3,'Location specific data'!$A$3:$AO$135,37,FALSE))*($G$2+$H$2)*20</f>
        <v>560</v>
      </c>
      <c r="O143" s="6">
        <f t="shared" si="26"/>
        <v>1125</v>
      </c>
      <c r="P143" s="312">
        <f t="shared" si="27"/>
        <v>287.5</v>
      </c>
      <c r="Q143" s="312">
        <f t="shared" si="28"/>
        <v>1125</v>
      </c>
      <c r="R143" s="312">
        <f t="shared" si="31"/>
        <v>287.5</v>
      </c>
      <c r="S143" s="160">
        <f>IF(AND('Total income package'!$A$8=TRUE,OR(F143="Yes",G143="Yes",H143="Yes")),SUM(J143:N143)-R143,0)</f>
        <v>2412.5</v>
      </c>
    </row>
    <row r="144" spans="1:19" x14ac:dyDescent="0.25">
      <c r="A144" s="6">
        <v>69500</v>
      </c>
      <c r="B144" s="7">
        <f t="shared" si="22"/>
        <v>5791.666666666667</v>
      </c>
      <c r="C144" s="7">
        <f>'Total income package'!$D$80</f>
        <v>0</v>
      </c>
      <c r="D144" s="7">
        <f t="shared" si="29"/>
        <v>5791.666666666667</v>
      </c>
      <c r="E144" s="65">
        <f t="shared" si="30"/>
        <v>1.3888888888888891</v>
      </c>
      <c r="F144" s="65" t="str">
        <f t="shared" si="23"/>
        <v>Yes</v>
      </c>
      <c r="G144" s="65" t="str">
        <f t="shared" si="24"/>
        <v>Yes</v>
      </c>
      <c r="H144" s="301" t="str">
        <f>IF(OR('TANF-VIEW'!L148&gt;0,'TANF-VIEW'!T148&gt;0),"Yes","No")</f>
        <v>No</v>
      </c>
      <c r="I144" s="63">
        <f t="shared" si="25"/>
        <v>375</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860</v>
      </c>
      <c r="M144" s="6">
        <f>IF(B144&gt;$N$2,0,VLOOKUP('Total income package'!$B$3,'Location specific data'!$A$3:$AO$135,36,FALSE))*$F$2*20</f>
        <v>0</v>
      </c>
      <c r="N144" s="6">
        <f>IF(B144&gt;$N$2,0,VLOOKUP('Total income package'!$B$3,'Location specific data'!$A$3:$AO$135,37,FALSE))*($G$2+$H$2)*20</f>
        <v>560</v>
      </c>
      <c r="O144" s="6">
        <f t="shared" si="26"/>
        <v>1125</v>
      </c>
      <c r="P144" s="312">
        <f t="shared" si="27"/>
        <v>289.58333333333337</v>
      </c>
      <c r="Q144" s="312">
        <f t="shared" si="28"/>
        <v>1125</v>
      </c>
      <c r="R144" s="312">
        <f t="shared" si="31"/>
        <v>289.58333333333337</v>
      </c>
      <c r="S144" s="160">
        <f>IF(AND('Total income package'!$A$8=TRUE,OR(F144="Yes",G144="Yes",H144="Yes")),SUM(J144:N144)-R144,0)</f>
        <v>2410.4166666666665</v>
      </c>
    </row>
    <row r="145" spans="1:19" x14ac:dyDescent="0.25">
      <c r="A145" s="6">
        <v>70000</v>
      </c>
      <c r="B145" s="7">
        <f t="shared" si="22"/>
        <v>5833.333333333333</v>
      </c>
      <c r="C145" s="7">
        <f>'Total income package'!$D$80</f>
        <v>0</v>
      </c>
      <c r="D145" s="7">
        <f t="shared" si="29"/>
        <v>5833.333333333333</v>
      </c>
      <c r="E145" s="65">
        <f t="shared" si="30"/>
        <v>1.398880895283773</v>
      </c>
      <c r="F145" s="65" t="str">
        <f t="shared" si="23"/>
        <v>Yes</v>
      </c>
      <c r="G145" s="65" t="str">
        <f t="shared" si="24"/>
        <v>Yes</v>
      </c>
      <c r="H145" s="301" t="str">
        <f>IF(OR('TANF-VIEW'!L149&gt;0,'TANF-VIEW'!T149&gt;0),"Yes","No")</f>
        <v>No</v>
      </c>
      <c r="I145" s="63">
        <f t="shared" si="25"/>
        <v>375</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860</v>
      </c>
      <c r="M145" s="6">
        <f>IF(B145&gt;$N$2,0,VLOOKUP('Total income package'!$B$3,'Location specific data'!$A$3:$AO$135,36,FALSE))*$F$2*20</f>
        <v>0</v>
      </c>
      <c r="N145" s="6">
        <f>IF(B145&gt;$N$2,0,VLOOKUP('Total income package'!$B$3,'Location specific data'!$A$3:$AO$135,37,FALSE))*($G$2+$H$2)*20</f>
        <v>560</v>
      </c>
      <c r="O145" s="6">
        <f t="shared" si="26"/>
        <v>1125</v>
      </c>
      <c r="P145" s="312">
        <f t="shared" si="27"/>
        <v>291.66666666666669</v>
      </c>
      <c r="Q145" s="312">
        <f t="shared" si="28"/>
        <v>1125</v>
      </c>
      <c r="R145" s="312">
        <f t="shared" si="31"/>
        <v>291.66666666666669</v>
      </c>
      <c r="S145" s="160">
        <f>IF(AND('Total income package'!$A$8=TRUE,OR(F145="Yes",G145="Yes",H145="Yes")),SUM(J145:N145)-R145,0)</f>
        <v>2408.3333333333335</v>
      </c>
    </row>
    <row r="146" spans="1:19" x14ac:dyDescent="0.25">
      <c r="A146" s="6">
        <v>70500</v>
      </c>
      <c r="B146" s="7">
        <f t="shared" si="22"/>
        <v>5875</v>
      </c>
      <c r="C146" s="7">
        <f>'Total income package'!$D$80</f>
        <v>0</v>
      </c>
      <c r="D146" s="7">
        <f t="shared" si="29"/>
        <v>5875</v>
      </c>
      <c r="E146" s="65">
        <f t="shared" si="30"/>
        <v>1.408872901678657</v>
      </c>
      <c r="F146" s="65" t="str">
        <f t="shared" si="23"/>
        <v>Yes</v>
      </c>
      <c r="G146" s="65" t="str">
        <f t="shared" si="24"/>
        <v>Yes</v>
      </c>
      <c r="H146" s="301" t="str">
        <f>IF(OR('TANF-VIEW'!L150&gt;0,'TANF-VIEW'!T150&gt;0),"Yes","No")</f>
        <v>No</v>
      </c>
      <c r="I146" s="63">
        <f t="shared" si="25"/>
        <v>375</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860</v>
      </c>
      <c r="M146" s="6">
        <f>IF(B146&gt;$N$2,0,VLOOKUP('Total income package'!$B$3,'Location specific data'!$A$3:$AO$135,36,FALSE))*$F$2*20</f>
        <v>0</v>
      </c>
      <c r="N146" s="6">
        <f>IF(B146&gt;$N$2,0,VLOOKUP('Total income package'!$B$3,'Location specific data'!$A$3:$AO$135,37,FALSE))*($G$2+$H$2)*20</f>
        <v>560</v>
      </c>
      <c r="O146" s="6">
        <f t="shared" si="26"/>
        <v>1125</v>
      </c>
      <c r="P146" s="312">
        <f t="shared" si="27"/>
        <v>293.75</v>
      </c>
      <c r="Q146" s="312">
        <f t="shared" si="28"/>
        <v>1125</v>
      </c>
      <c r="R146" s="312">
        <f t="shared" si="31"/>
        <v>293.75</v>
      </c>
      <c r="S146" s="160">
        <f>IF(AND('Total income package'!$A$8=TRUE,OR(F146="Yes",G146="Yes",H146="Yes")),SUM(J146:N146)-R146,0)</f>
        <v>2406.25</v>
      </c>
    </row>
    <row r="147" spans="1:19" x14ac:dyDescent="0.25">
      <c r="A147" s="6">
        <v>71000</v>
      </c>
      <c r="B147" s="7">
        <f t="shared" si="22"/>
        <v>5916.666666666667</v>
      </c>
      <c r="C147" s="7">
        <f>'Total income package'!$D$80</f>
        <v>0</v>
      </c>
      <c r="D147" s="7">
        <f t="shared" si="29"/>
        <v>5916.666666666667</v>
      </c>
      <c r="E147" s="65">
        <f t="shared" si="30"/>
        <v>1.4188649080735412</v>
      </c>
      <c r="F147" s="65" t="str">
        <f t="shared" si="23"/>
        <v>Yes</v>
      </c>
      <c r="G147" s="65" t="str">
        <f t="shared" si="24"/>
        <v>Yes</v>
      </c>
      <c r="H147" s="301" t="str">
        <f>IF(OR('TANF-VIEW'!L151&gt;0,'TANF-VIEW'!T151&gt;0),"Yes","No")</f>
        <v>No</v>
      </c>
      <c r="I147" s="63">
        <f t="shared" si="25"/>
        <v>375</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860</v>
      </c>
      <c r="M147" s="6">
        <f>IF(B147&gt;$N$2,0,VLOOKUP('Total income package'!$B$3,'Location specific data'!$A$3:$AO$135,36,FALSE))*$F$2*20</f>
        <v>0</v>
      </c>
      <c r="N147" s="6">
        <f>IF(B147&gt;$N$2,0,VLOOKUP('Total income package'!$B$3,'Location specific data'!$A$3:$AO$135,37,FALSE))*($G$2+$H$2)*20</f>
        <v>560</v>
      </c>
      <c r="O147" s="6">
        <f t="shared" si="26"/>
        <v>1125</v>
      </c>
      <c r="P147" s="312">
        <f t="shared" si="27"/>
        <v>295.83333333333337</v>
      </c>
      <c r="Q147" s="312">
        <f t="shared" si="28"/>
        <v>1125</v>
      </c>
      <c r="R147" s="312">
        <f t="shared" si="31"/>
        <v>295.83333333333337</v>
      </c>
      <c r="S147" s="160">
        <f>IF(AND('Total income package'!$A$8=TRUE,OR(F147="Yes",G147="Yes",H147="Yes")),SUM(J147:N147)-R147,0)</f>
        <v>2404.1666666666665</v>
      </c>
    </row>
    <row r="148" spans="1:19" x14ac:dyDescent="0.25">
      <c r="A148" s="6">
        <v>71500</v>
      </c>
      <c r="B148" s="7">
        <f t="shared" si="22"/>
        <v>5958.333333333333</v>
      </c>
      <c r="C148" s="7">
        <f>'Total income package'!$D$80</f>
        <v>0</v>
      </c>
      <c r="D148" s="7">
        <f t="shared" si="29"/>
        <v>5958.333333333333</v>
      </c>
      <c r="E148" s="65">
        <f t="shared" si="30"/>
        <v>1.4288569144684251</v>
      </c>
      <c r="F148" s="65" t="str">
        <f t="shared" si="23"/>
        <v>Yes</v>
      </c>
      <c r="G148" s="65" t="str">
        <f t="shared" si="24"/>
        <v>Yes</v>
      </c>
      <c r="H148" s="301" t="str">
        <f>IF(OR('TANF-VIEW'!L152&gt;0,'TANF-VIEW'!T152&gt;0),"Yes","No")</f>
        <v>No</v>
      </c>
      <c r="I148" s="63">
        <f t="shared" si="25"/>
        <v>375</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860</v>
      </c>
      <c r="M148" s="6">
        <f>IF(B148&gt;$N$2,0,VLOOKUP('Total income package'!$B$3,'Location specific data'!$A$3:$AO$135,36,FALSE))*$F$2*20</f>
        <v>0</v>
      </c>
      <c r="N148" s="6">
        <f>IF(B148&gt;$N$2,0,VLOOKUP('Total income package'!$B$3,'Location specific data'!$A$3:$AO$135,37,FALSE))*($G$2+$H$2)*20</f>
        <v>560</v>
      </c>
      <c r="O148" s="6">
        <f t="shared" si="26"/>
        <v>1125</v>
      </c>
      <c r="P148" s="312">
        <f t="shared" si="27"/>
        <v>297.91666666666669</v>
      </c>
      <c r="Q148" s="312">
        <f t="shared" si="28"/>
        <v>1125</v>
      </c>
      <c r="R148" s="312">
        <f t="shared" si="31"/>
        <v>297.91666666666669</v>
      </c>
      <c r="S148" s="160">
        <f>IF(AND('Total income package'!$A$8=TRUE,OR(F148="Yes",G148="Yes",H148="Yes")),SUM(J148:N148)-R148,0)</f>
        <v>2402.0833333333335</v>
      </c>
    </row>
    <row r="149" spans="1:19" x14ac:dyDescent="0.25">
      <c r="A149" s="6">
        <v>72000</v>
      </c>
      <c r="B149" s="7">
        <f t="shared" si="22"/>
        <v>6000</v>
      </c>
      <c r="C149" s="7">
        <f>'Total income package'!$D$80</f>
        <v>0</v>
      </c>
      <c r="D149" s="7">
        <f t="shared" si="29"/>
        <v>6000</v>
      </c>
      <c r="E149" s="65">
        <f t="shared" si="30"/>
        <v>1.4388489208633093</v>
      </c>
      <c r="F149" s="65" t="str">
        <f t="shared" si="23"/>
        <v>Yes</v>
      </c>
      <c r="G149" s="65" t="str">
        <f t="shared" si="24"/>
        <v>Yes</v>
      </c>
      <c r="H149" s="301" t="str">
        <f>IF(OR('TANF-VIEW'!L153&gt;0,'TANF-VIEW'!T153&gt;0),"Yes","No")</f>
        <v>No</v>
      </c>
      <c r="I149" s="63">
        <f t="shared" si="25"/>
        <v>375</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860</v>
      </c>
      <c r="M149" s="6">
        <f>IF(B149&gt;$N$2,0,VLOOKUP('Total income package'!$B$3,'Location specific data'!$A$3:$AO$135,36,FALSE))*$F$2*20</f>
        <v>0</v>
      </c>
      <c r="N149" s="6">
        <f>IF(B149&gt;$N$2,0,VLOOKUP('Total income package'!$B$3,'Location specific data'!$A$3:$AO$135,37,FALSE))*($G$2+$H$2)*20</f>
        <v>560</v>
      </c>
      <c r="O149" s="6">
        <f t="shared" si="26"/>
        <v>1125</v>
      </c>
      <c r="P149" s="312">
        <f t="shared" si="27"/>
        <v>300</v>
      </c>
      <c r="Q149" s="312">
        <f t="shared" si="28"/>
        <v>1125</v>
      </c>
      <c r="R149" s="312">
        <f t="shared" si="31"/>
        <v>300</v>
      </c>
      <c r="S149" s="160">
        <f>IF(AND('Total income package'!$A$8=TRUE,OR(F149="Yes",G149="Yes",H149="Yes")),SUM(J149:N149)-R149,0)</f>
        <v>2400</v>
      </c>
    </row>
    <row r="150" spans="1:19" x14ac:dyDescent="0.25">
      <c r="A150" s="6">
        <v>72500</v>
      </c>
      <c r="B150" s="7">
        <f t="shared" si="22"/>
        <v>6041.666666666667</v>
      </c>
      <c r="C150" s="7">
        <f>'Total income package'!$D$80</f>
        <v>0</v>
      </c>
      <c r="D150" s="7">
        <f t="shared" si="29"/>
        <v>6041.666666666667</v>
      </c>
      <c r="E150" s="65">
        <f t="shared" si="30"/>
        <v>1.4488409272581935</v>
      </c>
      <c r="F150" s="65" t="str">
        <f t="shared" si="23"/>
        <v>Yes</v>
      </c>
      <c r="G150" s="65" t="str">
        <f t="shared" si="24"/>
        <v>Yes</v>
      </c>
      <c r="H150" s="301" t="str">
        <f>IF(OR('TANF-VIEW'!L154&gt;0,'TANF-VIEW'!T154&gt;0),"Yes","No")</f>
        <v>No</v>
      </c>
      <c r="I150" s="63">
        <f t="shared" si="25"/>
        <v>375</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860</v>
      </c>
      <c r="M150" s="6">
        <f>IF(B150&gt;$N$2,0,VLOOKUP('Total income package'!$B$3,'Location specific data'!$A$3:$AO$135,36,FALSE))*$F$2*20</f>
        <v>0</v>
      </c>
      <c r="N150" s="6">
        <f>IF(B150&gt;$N$2,0,VLOOKUP('Total income package'!$B$3,'Location specific data'!$A$3:$AO$135,37,FALSE))*($G$2+$H$2)*20</f>
        <v>560</v>
      </c>
      <c r="O150" s="6">
        <f t="shared" si="26"/>
        <v>1125</v>
      </c>
      <c r="P150" s="312">
        <f t="shared" si="27"/>
        <v>302.08333333333337</v>
      </c>
      <c r="Q150" s="312">
        <f t="shared" si="28"/>
        <v>1125</v>
      </c>
      <c r="R150" s="312">
        <f t="shared" si="31"/>
        <v>302.08333333333337</v>
      </c>
      <c r="S150" s="160">
        <f>IF(AND('Total income package'!$A$8=TRUE,OR(F150="Yes",G150="Yes",H150="Yes")),SUM(J150:N150)-R150,0)</f>
        <v>2397.9166666666665</v>
      </c>
    </row>
    <row r="151" spans="1:19" x14ac:dyDescent="0.25">
      <c r="A151" s="6">
        <v>73000</v>
      </c>
      <c r="B151" s="7">
        <f t="shared" si="22"/>
        <v>6083.333333333333</v>
      </c>
      <c r="C151" s="7">
        <f>'Total income package'!$D$80</f>
        <v>0</v>
      </c>
      <c r="D151" s="7">
        <f t="shared" si="29"/>
        <v>6083.333333333333</v>
      </c>
      <c r="E151" s="65">
        <f t="shared" si="30"/>
        <v>1.4588329336530774</v>
      </c>
      <c r="F151" s="65" t="str">
        <f t="shared" si="23"/>
        <v>Yes</v>
      </c>
      <c r="G151" s="65" t="str">
        <f t="shared" si="24"/>
        <v>Yes</v>
      </c>
      <c r="H151" s="301" t="str">
        <f>IF(OR('TANF-VIEW'!L155&gt;0,'TANF-VIEW'!T155&gt;0),"Yes","No")</f>
        <v>No</v>
      </c>
      <c r="I151" s="63">
        <f t="shared" si="25"/>
        <v>375</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860</v>
      </c>
      <c r="M151" s="6">
        <f>IF(B151&gt;$N$2,0,VLOOKUP('Total income package'!$B$3,'Location specific data'!$A$3:$AO$135,36,FALSE))*$F$2*20</f>
        <v>0</v>
      </c>
      <c r="N151" s="6">
        <f>IF(B151&gt;$N$2,0,VLOOKUP('Total income package'!$B$3,'Location specific data'!$A$3:$AO$135,37,FALSE))*($G$2+$H$2)*20</f>
        <v>560</v>
      </c>
      <c r="O151" s="6">
        <f t="shared" si="26"/>
        <v>1125</v>
      </c>
      <c r="P151" s="312">
        <f t="shared" si="27"/>
        <v>304.16666666666669</v>
      </c>
      <c r="Q151" s="312">
        <f t="shared" si="28"/>
        <v>1125</v>
      </c>
      <c r="R151" s="312">
        <f t="shared" si="31"/>
        <v>304.16666666666669</v>
      </c>
      <c r="S151" s="160">
        <f>IF(AND('Total income package'!$A$8=TRUE,OR(F151="Yes",G151="Yes",H151="Yes")),SUM(J151:N151)-R151,0)</f>
        <v>2395.8333333333335</v>
      </c>
    </row>
    <row r="152" spans="1:19" x14ac:dyDescent="0.25">
      <c r="A152" s="6">
        <v>73500</v>
      </c>
      <c r="B152" s="7">
        <f t="shared" si="22"/>
        <v>6125</v>
      </c>
      <c r="C152" s="7">
        <f>'Total income package'!$D$80</f>
        <v>0</v>
      </c>
      <c r="D152" s="7">
        <f t="shared" si="29"/>
        <v>6125</v>
      </c>
      <c r="E152" s="65">
        <f t="shared" si="30"/>
        <v>1.4688249400479616</v>
      </c>
      <c r="F152" s="65" t="str">
        <f t="shared" si="23"/>
        <v>Yes</v>
      </c>
      <c r="G152" s="65" t="str">
        <f t="shared" si="24"/>
        <v>Yes</v>
      </c>
      <c r="H152" s="301" t="str">
        <f>IF(OR('TANF-VIEW'!L156&gt;0,'TANF-VIEW'!T156&gt;0),"Yes","No")</f>
        <v>No</v>
      </c>
      <c r="I152" s="63">
        <f t="shared" si="25"/>
        <v>375</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860</v>
      </c>
      <c r="M152" s="6">
        <f>IF(B152&gt;$N$2,0,VLOOKUP('Total income package'!$B$3,'Location specific data'!$A$3:$AO$135,36,FALSE))*$F$2*20</f>
        <v>0</v>
      </c>
      <c r="N152" s="6">
        <f>IF(B152&gt;$N$2,0,VLOOKUP('Total income package'!$B$3,'Location specific data'!$A$3:$AO$135,37,FALSE))*($G$2+$H$2)*20</f>
        <v>560</v>
      </c>
      <c r="O152" s="6">
        <f t="shared" si="26"/>
        <v>1125</v>
      </c>
      <c r="P152" s="312">
        <f t="shared" si="27"/>
        <v>306.25</v>
      </c>
      <c r="Q152" s="312">
        <f t="shared" si="28"/>
        <v>1125</v>
      </c>
      <c r="R152" s="312">
        <f t="shared" si="31"/>
        <v>306.25</v>
      </c>
      <c r="S152" s="160">
        <f>IF(AND('Total income package'!$A$8=TRUE,OR(F152="Yes",G152="Yes",H152="Yes")),SUM(J152:N152)-R152,0)</f>
        <v>2393.75</v>
      </c>
    </row>
    <row r="153" spans="1:19" x14ac:dyDescent="0.25">
      <c r="A153" s="6">
        <v>74000</v>
      </c>
      <c r="B153" s="7">
        <f t="shared" si="22"/>
        <v>6166.666666666667</v>
      </c>
      <c r="C153" s="7">
        <f>'Total income package'!$D$80</f>
        <v>0</v>
      </c>
      <c r="D153" s="7">
        <f t="shared" si="29"/>
        <v>6166.666666666667</v>
      </c>
      <c r="E153" s="65">
        <f t="shared" si="30"/>
        <v>1.4788169464428458</v>
      </c>
      <c r="F153" s="65" t="str">
        <f t="shared" si="23"/>
        <v>Yes</v>
      </c>
      <c r="G153" s="65" t="str">
        <f t="shared" si="24"/>
        <v>Yes</v>
      </c>
      <c r="H153" s="301" t="str">
        <f>IF(OR('TANF-VIEW'!L157&gt;0,'TANF-VIEW'!T157&gt;0),"Yes","No")</f>
        <v>No</v>
      </c>
      <c r="I153" s="63">
        <f t="shared" si="25"/>
        <v>375</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860</v>
      </c>
      <c r="M153" s="6">
        <f>IF(B153&gt;$N$2,0,VLOOKUP('Total income package'!$B$3,'Location specific data'!$A$3:$AO$135,36,FALSE))*$F$2*20</f>
        <v>0</v>
      </c>
      <c r="N153" s="6">
        <f>IF(B153&gt;$N$2,0,VLOOKUP('Total income package'!$B$3,'Location specific data'!$A$3:$AO$135,37,FALSE))*($G$2+$H$2)*20</f>
        <v>560</v>
      </c>
      <c r="O153" s="6">
        <f t="shared" si="26"/>
        <v>1125</v>
      </c>
      <c r="P153" s="312">
        <f t="shared" si="27"/>
        <v>308.33333333333337</v>
      </c>
      <c r="Q153" s="312">
        <f t="shared" si="28"/>
        <v>1125</v>
      </c>
      <c r="R153" s="312">
        <f t="shared" si="31"/>
        <v>308.33333333333337</v>
      </c>
      <c r="S153" s="160">
        <f>IF(AND('Total income package'!$A$8=TRUE,OR(F153="Yes",G153="Yes",H153="Yes")),SUM(J153:N153)-R153,0)</f>
        <v>2391.6666666666665</v>
      </c>
    </row>
    <row r="154" spans="1:19" x14ac:dyDescent="0.25">
      <c r="A154" s="6">
        <v>74500</v>
      </c>
      <c r="B154" s="7">
        <f t="shared" si="22"/>
        <v>6208.333333333333</v>
      </c>
      <c r="C154" s="7">
        <f>'Total income package'!$D$80</f>
        <v>0</v>
      </c>
      <c r="D154" s="7">
        <f t="shared" si="29"/>
        <v>6208.333333333333</v>
      </c>
      <c r="E154" s="65">
        <f t="shared" si="30"/>
        <v>1.4888089528377297</v>
      </c>
      <c r="F154" s="65" t="str">
        <f t="shared" si="23"/>
        <v>Yes</v>
      </c>
      <c r="G154" s="65" t="str">
        <f t="shared" si="24"/>
        <v>Yes</v>
      </c>
      <c r="H154" s="301" t="str">
        <f>IF(OR('TANF-VIEW'!L158&gt;0,'TANF-VIEW'!T158&gt;0),"Yes","No")</f>
        <v>No</v>
      </c>
      <c r="I154" s="63">
        <f t="shared" si="25"/>
        <v>375</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860</v>
      </c>
      <c r="M154" s="6">
        <f>IF(B154&gt;$N$2,0,VLOOKUP('Total income package'!$B$3,'Location specific data'!$A$3:$AO$135,36,FALSE))*$F$2*20</f>
        <v>0</v>
      </c>
      <c r="N154" s="6">
        <f>IF(B154&gt;$N$2,0,VLOOKUP('Total income package'!$B$3,'Location specific data'!$A$3:$AO$135,37,FALSE))*($G$2+$H$2)*20</f>
        <v>560</v>
      </c>
      <c r="O154" s="6">
        <f t="shared" si="26"/>
        <v>1125</v>
      </c>
      <c r="P154" s="312">
        <f t="shared" si="27"/>
        <v>310.41666666666669</v>
      </c>
      <c r="Q154" s="312">
        <f t="shared" si="28"/>
        <v>1125</v>
      </c>
      <c r="R154" s="312">
        <f t="shared" si="31"/>
        <v>310.41666666666669</v>
      </c>
      <c r="S154" s="160">
        <f>IF(AND('Total income package'!$A$8=TRUE,OR(F154="Yes",G154="Yes",H154="Yes")),SUM(J154:N154)-R154,0)</f>
        <v>2389.5833333333335</v>
      </c>
    </row>
    <row r="155" spans="1:19" x14ac:dyDescent="0.25">
      <c r="A155" s="6">
        <v>75000</v>
      </c>
      <c r="B155" s="7">
        <f t="shared" si="22"/>
        <v>6250</v>
      </c>
      <c r="C155" s="7">
        <f>'Total income package'!$D$80</f>
        <v>0</v>
      </c>
      <c r="D155" s="7">
        <f t="shared" si="29"/>
        <v>6250</v>
      </c>
      <c r="E155" s="65">
        <f t="shared" si="30"/>
        <v>1.4988009592326139</v>
      </c>
      <c r="F155" s="65" t="str">
        <f t="shared" si="23"/>
        <v>Yes</v>
      </c>
      <c r="G155" s="65" t="str">
        <f t="shared" si="24"/>
        <v>Yes</v>
      </c>
      <c r="H155" s="301" t="str">
        <f>IF(OR('TANF-VIEW'!L159&gt;0,'TANF-VIEW'!T159&gt;0),"Yes","No")</f>
        <v>No</v>
      </c>
      <c r="I155" s="63">
        <f t="shared" si="25"/>
        <v>375</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860</v>
      </c>
      <c r="M155" s="6">
        <f>IF(B155&gt;$N$2,0,VLOOKUP('Total income package'!$B$3,'Location specific data'!$A$3:$AO$135,36,FALSE))*$F$2*20</f>
        <v>0</v>
      </c>
      <c r="N155" s="6">
        <f>IF(B155&gt;$N$2,0,VLOOKUP('Total income package'!$B$3,'Location specific data'!$A$3:$AO$135,37,FALSE))*($G$2+$H$2)*20</f>
        <v>560</v>
      </c>
      <c r="O155" s="6">
        <f t="shared" si="26"/>
        <v>1125</v>
      </c>
      <c r="P155" s="312">
        <f t="shared" si="27"/>
        <v>312.5</v>
      </c>
      <c r="Q155" s="312">
        <f t="shared" si="28"/>
        <v>1125</v>
      </c>
      <c r="R155" s="312">
        <f t="shared" si="31"/>
        <v>312.5</v>
      </c>
      <c r="S155" s="160">
        <f>IF(AND('Total income package'!$A$8=TRUE,OR(F155="Yes",G155="Yes",H155="Yes")),SUM(J155:N155)-R155,0)</f>
        <v>2387.5</v>
      </c>
    </row>
    <row r="156" spans="1:19" x14ac:dyDescent="0.25">
      <c r="A156" s="6">
        <v>75500</v>
      </c>
      <c r="B156" s="7">
        <f t="shared" si="22"/>
        <v>6291.666666666667</v>
      </c>
      <c r="C156" s="7">
        <f>'Total income package'!$D$80</f>
        <v>0</v>
      </c>
      <c r="D156" s="7">
        <f t="shared" si="29"/>
        <v>6291.666666666667</v>
      </c>
      <c r="E156" s="65">
        <f t="shared" si="30"/>
        <v>1.5087929656274981</v>
      </c>
      <c r="F156" s="65" t="str">
        <f t="shared" si="23"/>
        <v>Yes</v>
      </c>
      <c r="G156" s="65" t="str">
        <f t="shared" si="24"/>
        <v>No</v>
      </c>
      <c r="H156" s="301" t="str">
        <f>IF(OR('TANF-VIEW'!L160&gt;0,'TANF-VIEW'!T160&gt;0),"Yes","No")</f>
        <v>No</v>
      </c>
      <c r="I156" s="63">
        <f t="shared" si="25"/>
        <v>525</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860</v>
      </c>
      <c r="M156" s="6">
        <f>IF(B156&gt;$N$2,0,VLOOKUP('Total income package'!$B$3,'Location specific data'!$A$3:$AO$135,36,FALSE))*$F$2*20</f>
        <v>0</v>
      </c>
      <c r="N156" s="6">
        <f>IF(B156&gt;$N$2,0,VLOOKUP('Total income package'!$B$3,'Location specific data'!$A$3:$AO$135,37,FALSE))*($G$2+$H$2)*20</f>
        <v>560</v>
      </c>
      <c r="O156" s="6">
        <f t="shared" si="26"/>
        <v>1575</v>
      </c>
      <c r="P156" s="312">
        <f t="shared" si="27"/>
        <v>314.58333333333337</v>
      </c>
      <c r="Q156" s="312">
        <f t="shared" si="28"/>
        <v>1575</v>
      </c>
      <c r="R156" s="312">
        <f t="shared" si="31"/>
        <v>314.58333333333337</v>
      </c>
      <c r="S156" s="160">
        <f>IF(AND('Total income package'!$A$8=TRUE,OR(F156="Yes",G156="Yes",H156="Yes")),SUM(J156:N156)-R156,0)</f>
        <v>2385.4166666666665</v>
      </c>
    </row>
    <row r="157" spans="1:19" x14ac:dyDescent="0.25">
      <c r="A157" s="6">
        <v>76000</v>
      </c>
      <c r="B157" s="7">
        <f t="shared" si="22"/>
        <v>6333.333333333333</v>
      </c>
      <c r="C157" s="7">
        <f>'Total income package'!$D$80</f>
        <v>0</v>
      </c>
      <c r="D157" s="7">
        <f t="shared" si="29"/>
        <v>6333.333333333333</v>
      </c>
      <c r="E157" s="65">
        <f t="shared" si="30"/>
        <v>1.5187849720223821</v>
      </c>
      <c r="F157" s="65" t="str">
        <f t="shared" si="23"/>
        <v>Yes</v>
      </c>
      <c r="G157" s="65" t="str">
        <f t="shared" si="24"/>
        <v>No</v>
      </c>
      <c r="H157" s="301" t="str">
        <f>IF(OR('TANF-VIEW'!L161&gt;0,'TANF-VIEW'!T161&gt;0),"Yes","No")</f>
        <v>No</v>
      </c>
      <c r="I157" s="63">
        <f t="shared" si="25"/>
        <v>525</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860</v>
      </c>
      <c r="M157" s="6">
        <f>IF(B157&gt;$N$2,0,VLOOKUP('Total income package'!$B$3,'Location specific data'!$A$3:$AO$135,36,FALSE))*$F$2*20</f>
        <v>0</v>
      </c>
      <c r="N157" s="6">
        <f>IF(B157&gt;$N$2,0,VLOOKUP('Total income package'!$B$3,'Location specific data'!$A$3:$AO$135,37,FALSE))*($G$2+$H$2)*20</f>
        <v>560</v>
      </c>
      <c r="O157" s="6">
        <f t="shared" si="26"/>
        <v>1575</v>
      </c>
      <c r="P157" s="312">
        <f t="shared" si="27"/>
        <v>316.66666666666669</v>
      </c>
      <c r="Q157" s="312">
        <f t="shared" si="28"/>
        <v>1575</v>
      </c>
      <c r="R157" s="312">
        <f t="shared" si="31"/>
        <v>316.66666666666669</v>
      </c>
      <c r="S157" s="160">
        <f>IF(AND('Total income package'!$A$8=TRUE,OR(F157="Yes",G157="Yes",H157="Yes")),SUM(J157:N157)-R157,0)</f>
        <v>2383.3333333333335</v>
      </c>
    </row>
    <row r="158" spans="1:19" x14ac:dyDescent="0.25">
      <c r="A158" s="6">
        <v>76500</v>
      </c>
      <c r="B158" s="7">
        <f t="shared" si="22"/>
        <v>6375</v>
      </c>
      <c r="C158" s="7">
        <f>'Total income package'!$D$80</f>
        <v>0</v>
      </c>
      <c r="D158" s="7">
        <f t="shared" si="29"/>
        <v>6375</v>
      </c>
      <c r="E158" s="65">
        <f t="shared" si="30"/>
        <v>1.5287769784172662</v>
      </c>
      <c r="F158" s="65" t="str">
        <f t="shared" si="23"/>
        <v>Yes</v>
      </c>
      <c r="G158" s="65" t="str">
        <f t="shared" si="24"/>
        <v>No</v>
      </c>
      <c r="H158" s="301" t="str">
        <f>IF(OR('TANF-VIEW'!L162&gt;0,'TANF-VIEW'!T162&gt;0),"Yes","No")</f>
        <v>No</v>
      </c>
      <c r="I158" s="63">
        <f t="shared" si="25"/>
        <v>525</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860</v>
      </c>
      <c r="M158" s="6">
        <f>IF(B158&gt;$N$2,0,VLOOKUP('Total income package'!$B$3,'Location specific data'!$A$3:$AO$135,36,FALSE))*$F$2*20</f>
        <v>0</v>
      </c>
      <c r="N158" s="6">
        <f>IF(B158&gt;$N$2,0,VLOOKUP('Total income package'!$B$3,'Location specific data'!$A$3:$AO$135,37,FALSE))*($G$2+$H$2)*20</f>
        <v>560</v>
      </c>
      <c r="O158" s="6">
        <f t="shared" si="26"/>
        <v>1575</v>
      </c>
      <c r="P158" s="312">
        <f t="shared" si="27"/>
        <v>318.75</v>
      </c>
      <c r="Q158" s="312">
        <f t="shared" si="28"/>
        <v>1575</v>
      </c>
      <c r="R158" s="312">
        <f t="shared" si="31"/>
        <v>318.75</v>
      </c>
      <c r="S158" s="160">
        <f>IF(AND('Total income package'!$A$8=TRUE,OR(F158="Yes",G158="Yes",H158="Yes")),SUM(J158:N158)-R158,0)</f>
        <v>2381.25</v>
      </c>
    </row>
    <row r="159" spans="1:19" x14ac:dyDescent="0.25">
      <c r="A159" s="6">
        <v>77000</v>
      </c>
      <c r="B159" s="7">
        <f t="shared" si="22"/>
        <v>6416.666666666667</v>
      </c>
      <c r="C159" s="7">
        <f>'Total income package'!$D$80</f>
        <v>0</v>
      </c>
      <c r="D159" s="7">
        <f t="shared" si="29"/>
        <v>6416.666666666667</v>
      </c>
      <c r="E159" s="65">
        <f t="shared" si="30"/>
        <v>1.5387689848121504</v>
      </c>
      <c r="F159" s="65" t="str">
        <f t="shared" si="23"/>
        <v>Yes</v>
      </c>
      <c r="G159" s="65" t="str">
        <f t="shared" si="24"/>
        <v>No</v>
      </c>
      <c r="H159" s="301" t="str">
        <f>IF(OR('TANF-VIEW'!L163&gt;0,'TANF-VIEW'!T163&gt;0),"Yes","No")</f>
        <v>No</v>
      </c>
      <c r="I159" s="63">
        <f t="shared" si="25"/>
        <v>525</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860</v>
      </c>
      <c r="M159" s="6">
        <f>IF(B159&gt;$N$2,0,VLOOKUP('Total income package'!$B$3,'Location specific data'!$A$3:$AO$135,36,FALSE))*$F$2*20</f>
        <v>0</v>
      </c>
      <c r="N159" s="6">
        <f>IF(B159&gt;$N$2,0,VLOOKUP('Total income package'!$B$3,'Location specific data'!$A$3:$AO$135,37,FALSE))*($G$2+$H$2)*20</f>
        <v>560</v>
      </c>
      <c r="O159" s="6">
        <f t="shared" si="26"/>
        <v>1575</v>
      </c>
      <c r="P159" s="312">
        <f t="shared" si="27"/>
        <v>320.83333333333337</v>
      </c>
      <c r="Q159" s="312">
        <f t="shared" si="28"/>
        <v>1575</v>
      </c>
      <c r="R159" s="312">
        <f t="shared" si="31"/>
        <v>320.83333333333337</v>
      </c>
      <c r="S159" s="160">
        <f>IF(AND('Total income package'!$A$8=TRUE,OR(F159="Yes",G159="Yes",H159="Yes")),SUM(J159:N159)-R159,0)</f>
        <v>2379.1666666666665</v>
      </c>
    </row>
    <row r="160" spans="1:19" x14ac:dyDescent="0.25">
      <c r="A160" s="6">
        <v>77500</v>
      </c>
      <c r="B160" s="7">
        <f t="shared" si="22"/>
        <v>6458.333333333333</v>
      </c>
      <c r="C160" s="7">
        <f>'Total income package'!$D$80</f>
        <v>0</v>
      </c>
      <c r="D160" s="7">
        <f t="shared" si="29"/>
        <v>6458.333333333333</v>
      </c>
      <c r="E160" s="65">
        <f t="shared" si="30"/>
        <v>1.5487609912070344</v>
      </c>
      <c r="F160" s="65" t="str">
        <f t="shared" si="23"/>
        <v>Yes</v>
      </c>
      <c r="G160" s="65" t="str">
        <f t="shared" si="24"/>
        <v>No</v>
      </c>
      <c r="H160" s="301" t="str">
        <f>IF(OR('TANF-VIEW'!L164&gt;0,'TANF-VIEW'!T164&gt;0),"Yes","No")</f>
        <v>No</v>
      </c>
      <c r="I160" s="63">
        <f t="shared" si="25"/>
        <v>525</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860</v>
      </c>
      <c r="M160" s="6">
        <f>IF(B160&gt;$N$2,0,VLOOKUP('Total income package'!$B$3,'Location specific data'!$A$3:$AO$135,36,FALSE))*$F$2*20</f>
        <v>0</v>
      </c>
      <c r="N160" s="6">
        <f>IF(B160&gt;$N$2,0,VLOOKUP('Total income package'!$B$3,'Location specific data'!$A$3:$AO$135,37,FALSE))*($G$2+$H$2)*20</f>
        <v>560</v>
      </c>
      <c r="O160" s="6">
        <f t="shared" si="26"/>
        <v>1575</v>
      </c>
      <c r="P160" s="312">
        <f t="shared" si="27"/>
        <v>322.91666666666669</v>
      </c>
      <c r="Q160" s="312">
        <f t="shared" si="28"/>
        <v>1575</v>
      </c>
      <c r="R160" s="312">
        <f t="shared" si="31"/>
        <v>322.91666666666669</v>
      </c>
      <c r="S160" s="160">
        <f>IF(AND('Total income package'!$A$8=TRUE,OR(F160="Yes",G160="Yes",H160="Yes")),SUM(J160:N160)-R160,0)</f>
        <v>2377.0833333333335</v>
      </c>
    </row>
    <row r="161" spans="1:19" x14ac:dyDescent="0.25">
      <c r="A161" s="6">
        <v>78000</v>
      </c>
      <c r="B161" s="7">
        <f t="shared" si="22"/>
        <v>6500</v>
      </c>
      <c r="C161" s="7">
        <f>'Total income package'!$D$80</f>
        <v>0</v>
      </c>
      <c r="D161" s="7">
        <f t="shared" si="29"/>
        <v>6500</v>
      </c>
      <c r="E161" s="65">
        <f t="shared" si="30"/>
        <v>1.5587529976019185</v>
      </c>
      <c r="F161" s="65" t="str">
        <f t="shared" si="23"/>
        <v>Yes</v>
      </c>
      <c r="G161" s="65" t="str">
        <f t="shared" si="24"/>
        <v>No</v>
      </c>
      <c r="H161" s="301" t="str">
        <f>IF(OR('TANF-VIEW'!L165&gt;0,'TANF-VIEW'!T165&gt;0),"Yes","No")</f>
        <v>No</v>
      </c>
      <c r="I161" s="63">
        <f t="shared" si="25"/>
        <v>525</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860</v>
      </c>
      <c r="M161" s="6">
        <f>IF(B161&gt;$N$2,0,VLOOKUP('Total income package'!$B$3,'Location specific data'!$A$3:$AO$135,36,FALSE))*$F$2*20</f>
        <v>0</v>
      </c>
      <c r="N161" s="6">
        <f>IF(B161&gt;$N$2,0,VLOOKUP('Total income package'!$B$3,'Location specific data'!$A$3:$AO$135,37,FALSE))*($G$2+$H$2)*20</f>
        <v>560</v>
      </c>
      <c r="O161" s="6">
        <f t="shared" si="26"/>
        <v>1575</v>
      </c>
      <c r="P161" s="312">
        <f t="shared" si="27"/>
        <v>325</v>
      </c>
      <c r="Q161" s="312">
        <f t="shared" si="28"/>
        <v>1575</v>
      </c>
      <c r="R161" s="312">
        <f t="shared" si="31"/>
        <v>325</v>
      </c>
      <c r="S161" s="160">
        <f>IF(AND('Total income package'!$A$8=TRUE,OR(F161="Yes",G161="Yes",H161="Yes")),SUM(J161:N161)-R161,0)</f>
        <v>2375</v>
      </c>
    </row>
    <row r="162" spans="1:19" x14ac:dyDescent="0.25">
      <c r="A162" s="6">
        <v>78500</v>
      </c>
      <c r="B162" s="7">
        <f t="shared" si="22"/>
        <v>6541.666666666667</v>
      </c>
      <c r="C162" s="7">
        <f>'Total income package'!$D$80</f>
        <v>0</v>
      </c>
      <c r="D162" s="7">
        <f t="shared" si="29"/>
        <v>6541.666666666667</v>
      </c>
      <c r="E162" s="65">
        <f t="shared" si="30"/>
        <v>1.5687450039968027</v>
      </c>
      <c r="F162" s="65" t="str">
        <f t="shared" si="23"/>
        <v>Yes</v>
      </c>
      <c r="G162" s="65" t="str">
        <f t="shared" si="24"/>
        <v>No</v>
      </c>
      <c r="H162" s="301" t="str">
        <f>IF(OR('TANF-VIEW'!L166&gt;0,'TANF-VIEW'!T166&gt;0),"Yes","No")</f>
        <v>No</v>
      </c>
      <c r="I162" s="63">
        <f t="shared" si="25"/>
        <v>525</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860</v>
      </c>
      <c r="M162" s="6">
        <f>IF(B162&gt;$N$2,0,VLOOKUP('Total income package'!$B$3,'Location specific data'!$A$3:$AO$135,36,FALSE))*$F$2*20</f>
        <v>0</v>
      </c>
      <c r="N162" s="6">
        <f>IF(B162&gt;$N$2,0,VLOOKUP('Total income package'!$B$3,'Location specific data'!$A$3:$AO$135,37,FALSE))*($G$2+$H$2)*20</f>
        <v>560</v>
      </c>
      <c r="O162" s="6">
        <f t="shared" si="26"/>
        <v>1575</v>
      </c>
      <c r="P162" s="312">
        <f t="shared" si="27"/>
        <v>327.08333333333337</v>
      </c>
      <c r="Q162" s="312">
        <f t="shared" si="28"/>
        <v>1575</v>
      </c>
      <c r="R162" s="312">
        <f t="shared" si="31"/>
        <v>327.08333333333337</v>
      </c>
      <c r="S162" s="160">
        <f>IF(AND('Total income package'!$A$8=TRUE,OR(F162="Yes",G162="Yes",H162="Yes")),SUM(J162:N162)-R162,0)</f>
        <v>2372.9166666666665</v>
      </c>
    </row>
    <row r="163" spans="1:19" x14ac:dyDescent="0.25">
      <c r="A163" s="6">
        <v>79000</v>
      </c>
      <c r="B163" s="7">
        <f t="shared" si="22"/>
        <v>6583.333333333333</v>
      </c>
      <c r="C163" s="7">
        <f>'Total income package'!$D$80</f>
        <v>0</v>
      </c>
      <c r="D163" s="7">
        <f t="shared" si="29"/>
        <v>6583.333333333333</v>
      </c>
      <c r="E163" s="65">
        <f t="shared" si="30"/>
        <v>1.5787370103916867</v>
      </c>
      <c r="F163" s="65" t="str">
        <f t="shared" si="23"/>
        <v>Yes</v>
      </c>
      <c r="G163" s="65" t="str">
        <f t="shared" si="24"/>
        <v>No</v>
      </c>
      <c r="H163" s="301" t="str">
        <f>IF(OR('TANF-VIEW'!L167&gt;0,'TANF-VIEW'!T167&gt;0),"Yes","No")</f>
        <v>No</v>
      </c>
      <c r="I163" s="63">
        <f t="shared" si="25"/>
        <v>525</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860</v>
      </c>
      <c r="M163" s="6">
        <f>IF(B163&gt;$N$2,0,VLOOKUP('Total income package'!$B$3,'Location specific data'!$A$3:$AO$135,36,FALSE))*$F$2*20</f>
        <v>0</v>
      </c>
      <c r="N163" s="6">
        <f>IF(B163&gt;$N$2,0,VLOOKUP('Total income package'!$B$3,'Location specific data'!$A$3:$AO$135,37,FALSE))*($G$2+$H$2)*20</f>
        <v>560</v>
      </c>
      <c r="O163" s="6">
        <f t="shared" si="26"/>
        <v>1575</v>
      </c>
      <c r="P163" s="312">
        <f t="shared" si="27"/>
        <v>329.16666666666669</v>
      </c>
      <c r="Q163" s="312">
        <f t="shared" si="28"/>
        <v>1575</v>
      </c>
      <c r="R163" s="312">
        <f t="shared" si="31"/>
        <v>329.16666666666669</v>
      </c>
      <c r="S163" s="160">
        <f>IF(AND('Total income package'!$A$8=TRUE,OR(F163="Yes",G163="Yes",H163="Yes")),SUM(J163:N163)-R163,0)</f>
        <v>2370.8333333333335</v>
      </c>
    </row>
    <row r="164" spans="1:19" x14ac:dyDescent="0.25">
      <c r="A164" s="6">
        <v>79500</v>
      </c>
      <c r="B164" s="7">
        <f t="shared" si="22"/>
        <v>6625</v>
      </c>
      <c r="C164" s="7">
        <f>'Total income package'!$D$80</f>
        <v>0</v>
      </c>
      <c r="D164" s="7">
        <f t="shared" si="29"/>
        <v>6625</v>
      </c>
      <c r="E164" s="65">
        <f t="shared" si="30"/>
        <v>1.5887290167865706</v>
      </c>
      <c r="F164" s="65" t="str">
        <f t="shared" si="23"/>
        <v>Yes</v>
      </c>
      <c r="G164" s="65" t="str">
        <f t="shared" si="24"/>
        <v>No</v>
      </c>
      <c r="H164" s="301" t="str">
        <f>IF(OR('TANF-VIEW'!L168&gt;0,'TANF-VIEW'!T168&gt;0),"Yes","No")</f>
        <v>No</v>
      </c>
      <c r="I164" s="63">
        <f t="shared" si="25"/>
        <v>525</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860</v>
      </c>
      <c r="M164" s="6">
        <f>IF(B164&gt;$N$2,0,VLOOKUP('Total income package'!$B$3,'Location specific data'!$A$3:$AO$135,36,FALSE))*$F$2*20</f>
        <v>0</v>
      </c>
      <c r="N164" s="6">
        <f>IF(B164&gt;$N$2,0,VLOOKUP('Total income package'!$B$3,'Location specific data'!$A$3:$AO$135,37,FALSE))*($G$2+$H$2)*20</f>
        <v>560</v>
      </c>
      <c r="O164" s="6">
        <f t="shared" si="26"/>
        <v>1575</v>
      </c>
      <c r="P164" s="312">
        <f t="shared" si="27"/>
        <v>331.25</v>
      </c>
      <c r="Q164" s="312">
        <f t="shared" si="28"/>
        <v>1575</v>
      </c>
      <c r="R164" s="312">
        <f t="shared" si="31"/>
        <v>331.25</v>
      </c>
      <c r="S164" s="160">
        <f>IF(AND('Total income package'!$A$8=TRUE,OR(F164="Yes",G164="Yes",H164="Yes")),SUM(J164:N164)-R164,0)</f>
        <v>2368.75</v>
      </c>
    </row>
    <row r="165" spans="1:19" x14ac:dyDescent="0.25">
      <c r="A165" s="6">
        <v>80000</v>
      </c>
      <c r="B165" s="7">
        <f t="shared" si="22"/>
        <v>6666.666666666667</v>
      </c>
      <c r="C165" s="7">
        <f>'Total income package'!$D$80</f>
        <v>0</v>
      </c>
      <c r="D165" s="7">
        <f t="shared" si="29"/>
        <v>6666.666666666667</v>
      </c>
      <c r="E165" s="65">
        <f t="shared" si="30"/>
        <v>1.5987210231814548</v>
      </c>
      <c r="F165" s="65" t="str">
        <f t="shared" si="23"/>
        <v>Yes</v>
      </c>
      <c r="G165" s="65" t="str">
        <f t="shared" si="24"/>
        <v>No</v>
      </c>
      <c r="H165" s="301" t="str">
        <f>IF(OR('TANF-VIEW'!L169&gt;0,'TANF-VIEW'!T169&gt;0),"Yes","No")</f>
        <v>No</v>
      </c>
      <c r="I165" s="63">
        <f t="shared" si="25"/>
        <v>525</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860</v>
      </c>
      <c r="M165" s="6">
        <f>IF(B165&gt;$N$2,0,VLOOKUP('Total income package'!$B$3,'Location specific data'!$A$3:$AO$135,36,FALSE))*$F$2*20</f>
        <v>0</v>
      </c>
      <c r="N165" s="6">
        <f>IF(B165&gt;$N$2,0,VLOOKUP('Total income package'!$B$3,'Location specific data'!$A$3:$AO$135,37,FALSE))*($G$2+$H$2)*20</f>
        <v>560</v>
      </c>
      <c r="O165" s="6">
        <f t="shared" si="26"/>
        <v>1575</v>
      </c>
      <c r="P165" s="312">
        <f t="shared" ref="P165:P196" si="32">B165*0.05</f>
        <v>333.33333333333337</v>
      </c>
      <c r="Q165" s="312">
        <f t="shared" si="28"/>
        <v>1575</v>
      </c>
      <c r="R165" s="312">
        <f t="shared" si="31"/>
        <v>333.33333333333337</v>
      </c>
      <c r="S165" s="160">
        <f>IF(AND('Total income package'!$A$8=TRUE,OR(F165="Yes",G165="Yes",H165="Yes")),SUM(J165:N165)-R165,0)</f>
        <v>2366.6666666666665</v>
      </c>
    </row>
    <row r="166" spans="1:19" x14ac:dyDescent="0.25">
      <c r="A166" s="6">
        <v>80500</v>
      </c>
      <c r="B166" s="7">
        <f t="shared" si="22"/>
        <v>6708.333333333333</v>
      </c>
      <c r="C166" s="7">
        <f>'Total income package'!$D$80</f>
        <v>0</v>
      </c>
      <c r="D166" s="7">
        <f t="shared" si="29"/>
        <v>6708.333333333333</v>
      </c>
      <c r="E166" s="65">
        <f t="shared" si="30"/>
        <v>1.6087130295763388</v>
      </c>
      <c r="F166" s="65" t="str">
        <f t="shared" si="23"/>
        <v>Yes</v>
      </c>
      <c r="G166" s="65" t="str">
        <f t="shared" si="24"/>
        <v>No</v>
      </c>
      <c r="H166" s="301" t="str">
        <f>IF(OR('TANF-VIEW'!L170&gt;0,'TANF-VIEW'!T170&gt;0),"Yes","No")</f>
        <v>No</v>
      </c>
      <c r="I166" s="63">
        <f t="shared" si="25"/>
        <v>525</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860</v>
      </c>
      <c r="M166" s="6">
        <f>IF(B166&gt;$N$2,0,VLOOKUP('Total income package'!$B$3,'Location specific data'!$A$3:$AO$135,36,FALSE))*$F$2*20</f>
        <v>0</v>
      </c>
      <c r="N166" s="6">
        <f>IF(B166&gt;$N$2,0,VLOOKUP('Total income package'!$B$3,'Location specific data'!$A$3:$AO$135,37,FALSE))*($G$2+$H$2)*20</f>
        <v>560</v>
      </c>
      <c r="O166" s="6">
        <f t="shared" si="26"/>
        <v>1575</v>
      </c>
      <c r="P166" s="312">
        <f t="shared" si="32"/>
        <v>335.41666666666669</v>
      </c>
      <c r="Q166" s="312">
        <f t="shared" si="28"/>
        <v>1575</v>
      </c>
      <c r="R166" s="312">
        <f t="shared" si="31"/>
        <v>335.41666666666669</v>
      </c>
      <c r="S166" s="160">
        <f>IF(AND('Total income package'!$A$8=TRUE,OR(F166="Yes",G166="Yes",H166="Yes")),SUM(J166:N166)-R166,0)</f>
        <v>2364.5833333333335</v>
      </c>
    </row>
    <row r="167" spans="1:19" x14ac:dyDescent="0.25">
      <c r="A167" s="6">
        <v>81000</v>
      </c>
      <c r="B167" s="7">
        <f t="shared" si="22"/>
        <v>6750</v>
      </c>
      <c r="C167" s="7">
        <f>'Total income package'!$D$80</f>
        <v>0</v>
      </c>
      <c r="D167" s="7">
        <f t="shared" si="29"/>
        <v>6750</v>
      </c>
      <c r="E167" s="65">
        <f t="shared" si="30"/>
        <v>1.6187050359712229</v>
      </c>
      <c r="F167" s="65" t="str">
        <f t="shared" si="23"/>
        <v>Yes</v>
      </c>
      <c r="G167" s="65" t="str">
        <f t="shared" si="24"/>
        <v>No</v>
      </c>
      <c r="H167" s="301" t="str">
        <f>IF(OR('TANF-VIEW'!L171&gt;0,'TANF-VIEW'!T171&gt;0),"Yes","No")</f>
        <v>No</v>
      </c>
      <c r="I167" s="63">
        <f t="shared" si="25"/>
        <v>525</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860</v>
      </c>
      <c r="M167" s="6">
        <f>IF(B167&gt;$N$2,0,VLOOKUP('Total income package'!$B$3,'Location specific data'!$A$3:$AO$135,36,FALSE))*$F$2*20</f>
        <v>0</v>
      </c>
      <c r="N167" s="6">
        <f>IF(B167&gt;$N$2,0,VLOOKUP('Total income package'!$B$3,'Location specific data'!$A$3:$AO$135,37,FALSE))*($G$2+$H$2)*20</f>
        <v>560</v>
      </c>
      <c r="O167" s="6">
        <f t="shared" si="26"/>
        <v>1575</v>
      </c>
      <c r="P167" s="312">
        <f t="shared" si="32"/>
        <v>337.5</v>
      </c>
      <c r="Q167" s="312">
        <f t="shared" si="28"/>
        <v>1575</v>
      </c>
      <c r="R167" s="312">
        <f t="shared" si="31"/>
        <v>337.5</v>
      </c>
      <c r="S167" s="160">
        <f>IF(AND('Total income package'!$A$8=TRUE,OR(F167="Yes",G167="Yes",H167="Yes")),SUM(J167:N167)-R167,0)</f>
        <v>2362.5</v>
      </c>
    </row>
    <row r="168" spans="1:19" x14ac:dyDescent="0.25">
      <c r="A168" s="6">
        <v>81500</v>
      </c>
      <c r="B168" s="7">
        <f t="shared" si="22"/>
        <v>6791.666666666667</v>
      </c>
      <c r="C168" s="7">
        <f>'Total income package'!$D$80</f>
        <v>0</v>
      </c>
      <c r="D168" s="7">
        <f t="shared" si="29"/>
        <v>6791.666666666667</v>
      </c>
      <c r="E168" s="65">
        <f t="shared" si="30"/>
        <v>1.6286970423661071</v>
      </c>
      <c r="F168" s="65" t="str">
        <f t="shared" si="23"/>
        <v>Yes</v>
      </c>
      <c r="G168" s="65" t="str">
        <f t="shared" si="24"/>
        <v>No</v>
      </c>
      <c r="H168" s="301" t="str">
        <f>IF(OR('TANF-VIEW'!L172&gt;0,'TANF-VIEW'!T172&gt;0),"Yes","No")</f>
        <v>No</v>
      </c>
      <c r="I168" s="63">
        <f t="shared" si="25"/>
        <v>525</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860</v>
      </c>
      <c r="M168" s="6">
        <f>IF(B168&gt;$N$2,0,VLOOKUP('Total income package'!$B$3,'Location specific data'!$A$3:$AO$135,36,FALSE))*$F$2*20</f>
        <v>0</v>
      </c>
      <c r="N168" s="6">
        <f>IF(B168&gt;$N$2,0,VLOOKUP('Total income package'!$B$3,'Location specific data'!$A$3:$AO$135,37,FALSE))*($G$2+$H$2)*20</f>
        <v>560</v>
      </c>
      <c r="O168" s="6">
        <f t="shared" si="26"/>
        <v>1575</v>
      </c>
      <c r="P168" s="312">
        <f t="shared" si="32"/>
        <v>339.58333333333337</v>
      </c>
      <c r="Q168" s="312">
        <f t="shared" si="28"/>
        <v>1575</v>
      </c>
      <c r="R168" s="312">
        <f t="shared" si="31"/>
        <v>339.58333333333337</v>
      </c>
      <c r="S168" s="160">
        <f>IF(AND('Total income package'!$A$8=TRUE,OR(F168="Yes",G168="Yes",H168="Yes")),SUM(J168:N168)-R168,0)</f>
        <v>2360.4166666666665</v>
      </c>
    </row>
    <row r="169" spans="1:19" x14ac:dyDescent="0.25">
      <c r="A169" s="6">
        <v>82000</v>
      </c>
      <c r="B169" s="7">
        <f t="shared" si="22"/>
        <v>6833.333333333333</v>
      </c>
      <c r="C169" s="7">
        <f>'Total income package'!$D$80</f>
        <v>0</v>
      </c>
      <c r="D169" s="7">
        <f t="shared" si="29"/>
        <v>6833.333333333333</v>
      </c>
      <c r="E169" s="65">
        <f t="shared" si="30"/>
        <v>1.6386890487609911</v>
      </c>
      <c r="F169" s="65" t="str">
        <f t="shared" si="23"/>
        <v>Yes</v>
      </c>
      <c r="G169" s="65" t="str">
        <f t="shared" si="24"/>
        <v>No</v>
      </c>
      <c r="H169" s="301" t="str">
        <f>IF(OR('TANF-VIEW'!L173&gt;0,'TANF-VIEW'!T173&gt;0),"Yes","No")</f>
        <v>No</v>
      </c>
      <c r="I169" s="63">
        <f t="shared" si="25"/>
        <v>525</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860</v>
      </c>
      <c r="M169" s="6">
        <f>IF(B169&gt;$N$2,0,VLOOKUP('Total income package'!$B$3,'Location specific data'!$A$3:$AO$135,36,FALSE))*$F$2*20</f>
        <v>0</v>
      </c>
      <c r="N169" s="6">
        <f>IF(B169&gt;$N$2,0,VLOOKUP('Total income package'!$B$3,'Location specific data'!$A$3:$AO$135,37,FALSE))*($G$2+$H$2)*20</f>
        <v>560</v>
      </c>
      <c r="O169" s="6">
        <f t="shared" si="26"/>
        <v>1575</v>
      </c>
      <c r="P169" s="312">
        <f t="shared" si="32"/>
        <v>341.66666666666669</v>
      </c>
      <c r="Q169" s="312">
        <f t="shared" si="28"/>
        <v>1575</v>
      </c>
      <c r="R169" s="312">
        <f t="shared" si="31"/>
        <v>341.66666666666669</v>
      </c>
      <c r="S169" s="160">
        <f>IF(AND('Total income package'!$A$8=TRUE,OR(F169="Yes",G169="Yes",H169="Yes")),SUM(J169:N169)-R169,0)</f>
        <v>2358.3333333333335</v>
      </c>
    </row>
    <row r="170" spans="1:19" x14ac:dyDescent="0.25">
      <c r="A170" s="6">
        <v>82500</v>
      </c>
      <c r="B170" s="7">
        <f t="shared" si="22"/>
        <v>6875</v>
      </c>
      <c r="C170" s="7">
        <f>'Total income package'!$D$80</f>
        <v>0</v>
      </c>
      <c r="D170" s="7">
        <f t="shared" si="29"/>
        <v>6875</v>
      </c>
      <c r="E170" s="65">
        <f t="shared" si="30"/>
        <v>1.6486810551558753</v>
      </c>
      <c r="F170" s="65" t="str">
        <f t="shared" si="23"/>
        <v>Yes</v>
      </c>
      <c r="G170" s="65" t="str">
        <f t="shared" si="24"/>
        <v>No</v>
      </c>
      <c r="H170" s="301" t="str">
        <f>IF(OR('TANF-VIEW'!L174&gt;0,'TANF-VIEW'!T174&gt;0),"Yes","No")</f>
        <v>No</v>
      </c>
      <c r="I170" s="63">
        <f t="shared" si="25"/>
        <v>525</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860</v>
      </c>
      <c r="M170" s="6">
        <f>IF(B170&gt;$N$2,0,VLOOKUP('Total income package'!$B$3,'Location specific data'!$A$3:$AO$135,36,FALSE))*$F$2*20</f>
        <v>0</v>
      </c>
      <c r="N170" s="6">
        <f>IF(B170&gt;$N$2,0,VLOOKUP('Total income package'!$B$3,'Location specific data'!$A$3:$AO$135,37,FALSE))*($G$2+$H$2)*20</f>
        <v>560</v>
      </c>
      <c r="O170" s="6">
        <f t="shared" si="26"/>
        <v>1575</v>
      </c>
      <c r="P170" s="312">
        <f t="shared" si="32"/>
        <v>343.75</v>
      </c>
      <c r="Q170" s="312">
        <f t="shared" si="28"/>
        <v>1575</v>
      </c>
      <c r="R170" s="312">
        <f t="shared" si="31"/>
        <v>343.75</v>
      </c>
      <c r="S170" s="160">
        <f>IF(AND('Total income package'!$A$8=TRUE,OR(F170="Yes",G170="Yes",H170="Yes")),SUM(J170:N170)-R170,0)</f>
        <v>2356.25</v>
      </c>
    </row>
    <row r="171" spans="1:19" x14ac:dyDescent="0.25">
      <c r="A171" s="6">
        <v>83000</v>
      </c>
      <c r="B171" s="7">
        <f t="shared" si="22"/>
        <v>6916.666666666667</v>
      </c>
      <c r="C171" s="7">
        <f>'Total income package'!$D$80</f>
        <v>0</v>
      </c>
      <c r="D171" s="7">
        <f t="shared" si="29"/>
        <v>6916.666666666667</v>
      </c>
      <c r="E171" s="65">
        <f t="shared" si="30"/>
        <v>1.6586730615507594</v>
      </c>
      <c r="F171" s="65" t="str">
        <f t="shared" si="23"/>
        <v>Yes</v>
      </c>
      <c r="G171" s="65" t="str">
        <f t="shared" si="24"/>
        <v>No</v>
      </c>
      <c r="H171" s="301" t="str">
        <f>IF(OR('TANF-VIEW'!L175&gt;0,'TANF-VIEW'!T175&gt;0),"Yes","No")</f>
        <v>No</v>
      </c>
      <c r="I171" s="63">
        <f t="shared" si="25"/>
        <v>525</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860</v>
      </c>
      <c r="M171" s="6">
        <f>IF(B171&gt;$N$2,0,VLOOKUP('Total income package'!$B$3,'Location specific data'!$A$3:$AO$135,36,FALSE))*$F$2*20</f>
        <v>0</v>
      </c>
      <c r="N171" s="6">
        <f>IF(B171&gt;$N$2,0,VLOOKUP('Total income package'!$B$3,'Location specific data'!$A$3:$AO$135,37,FALSE))*($G$2+$H$2)*20</f>
        <v>560</v>
      </c>
      <c r="O171" s="6">
        <f t="shared" si="26"/>
        <v>1575</v>
      </c>
      <c r="P171" s="312">
        <f t="shared" si="32"/>
        <v>345.83333333333337</v>
      </c>
      <c r="Q171" s="312">
        <f t="shared" si="28"/>
        <v>1575</v>
      </c>
      <c r="R171" s="312">
        <f t="shared" si="31"/>
        <v>345.83333333333337</v>
      </c>
      <c r="S171" s="160">
        <f>IF(AND('Total income package'!$A$8=TRUE,OR(F171="Yes",G171="Yes",H171="Yes")),SUM(J171:N171)-R171,0)</f>
        <v>2354.1666666666665</v>
      </c>
    </row>
    <row r="172" spans="1:19" x14ac:dyDescent="0.25">
      <c r="A172" s="6">
        <v>83500</v>
      </c>
      <c r="B172" s="7">
        <f t="shared" si="22"/>
        <v>6958.333333333333</v>
      </c>
      <c r="C172" s="7">
        <f>'Total income package'!$D$80</f>
        <v>0</v>
      </c>
      <c r="D172" s="7">
        <f t="shared" si="29"/>
        <v>6958.333333333333</v>
      </c>
      <c r="E172" s="65">
        <f t="shared" si="30"/>
        <v>1.6686650679456434</v>
      </c>
      <c r="F172" s="65" t="str">
        <f t="shared" si="23"/>
        <v>Yes</v>
      </c>
      <c r="G172" s="65" t="str">
        <f t="shared" si="24"/>
        <v>No</v>
      </c>
      <c r="H172" s="301" t="str">
        <f>IF(OR('TANF-VIEW'!L176&gt;0,'TANF-VIEW'!T176&gt;0),"Yes","No")</f>
        <v>No</v>
      </c>
      <c r="I172" s="63">
        <f t="shared" si="25"/>
        <v>525</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860</v>
      </c>
      <c r="M172" s="6">
        <f>IF(B172&gt;$N$2,0,VLOOKUP('Total income package'!$B$3,'Location specific data'!$A$3:$AO$135,36,FALSE))*$F$2*20</f>
        <v>0</v>
      </c>
      <c r="N172" s="6">
        <f>IF(B172&gt;$N$2,0,VLOOKUP('Total income package'!$B$3,'Location specific data'!$A$3:$AO$135,37,FALSE))*($G$2+$H$2)*20</f>
        <v>560</v>
      </c>
      <c r="O172" s="6">
        <f t="shared" si="26"/>
        <v>1575</v>
      </c>
      <c r="P172" s="312">
        <f t="shared" si="32"/>
        <v>347.91666666666669</v>
      </c>
      <c r="Q172" s="312">
        <f t="shared" si="28"/>
        <v>1575</v>
      </c>
      <c r="R172" s="312">
        <f t="shared" si="31"/>
        <v>347.91666666666669</v>
      </c>
      <c r="S172" s="160">
        <f>IF(AND('Total income package'!$A$8=TRUE,OR(F172="Yes",G172="Yes",H172="Yes")),SUM(J172:N172)-R172,0)</f>
        <v>2352.0833333333335</v>
      </c>
    </row>
    <row r="173" spans="1:19" x14ac:dyDescent="0.25">
      <c r="A173" s="6">
        <v>84000</v>
      </c>
      <c r="B173" s="7">
        <f t="shared" ref="B173:B204" si="33">A173/12</f>
        <v>7000</v>
      </c>
      <c r="C173" s="7">
        <f>'Total income package'!$D$80</f>
        <v>0</v>
      </c>
      <c r="D173" s="7">
        <f t="shared" si="29"/>
        <v>7000</v>
      </c>
      <c r="E173" s="65">
        <f t="shared" si="30"/>
        <v>1.6786570743405276</v>
      </c>
      <c r="F173" s="65" t="str">
        <f t="shared" si="23"/>
        <v>Yes</v>
      </c>
      <c r="G173" s="65" t="str">
        <f t="shared" si="24"/>
        <v>No</v>
      </c>
      <c r="H173" s="301" t="str">
        <f>IF(OR('TANF-VIEW'!L177&gt;0,'TANF-VIEW'!T177&gt;0),"Yes","No")</f>
        <v>No</v>
      </c>
      <c r="I173" s="63">
        <f t="shared" si="25"/>
        <v>525</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860</v>
      </c>
      <c r="M173" s="6">
        <f>IF(B173&gt;$N$2,0,VLOOKUP('Total income package'!$B$3,'Location specific data'!$A$3:$AO$135,36,FALSE))*$F$2*20</f>
        <v>0</v>
      </c>
      <c r="N173" s="6">
        <f>IF(B173&gt;$N$2,0,VLOOKUP('Total income package'!$B$3,'Location specific data'!$A$3:$AO$135,37,FALSE))*($G$2+$H$2)*20</f>
        <v>560</v>
      </c>
      <c r="O173" s="6">
        <f t="shared" si="26"/>
        <v>1575</v>
      </c>
      <c r="P173" s="312">
        <f t="shared" si="32"/>
        <v>350</v>
      </c>
      <c r="Q173" s="312">
        <f t="shared" si="28"/>
        <v>1575</v>
      </c>
      <c r="R173" s="312">
        <f t="shared" si="31"/>
        <v>350</v>
      </c>
      <c r="S173" s="160">
        <f>IF(AND('Total income package'!$A$8=TRUE,OR(F173="Yes",G173="Yes",H173="Yes")),SUM(J173:N173)-R173,0)</f>
        <v>2350</v>
      </c>
    </row>
    <row r="174" spans="1:19" x14ac:dyDescent="0.25">
      <c r="A174" s="6">
        <v>84500</v>
      </c>
      <c r="B174" s="7">
        <f t="shared" si="33"/>
        <v>7041.666666666667</v>
      </c>
      <c r="C174" s="7">
        <f>'Total income package'!$D$80</f>
        <v>0</v>
      </c>
      <c r="D174" s="7">
        <f t="shared" si="29"/>
        <v>7041.666666666667</v>
      </c>
      <c r="E174" s="65">
        <f t="shared" si="30"/>
        <v>1.6886490807354118</v>
      </c>
      <c r="F174" s="65" t="str">
        <f t="shared" si="23"/>
        <v>Yes</v>
      </c>
      <c r="G174" s="65" t="str">
        <f t="shared" si="24"/>
        <v>No</v>
      </c>
      <c r="H174" s="301" t="str">
        <f>IF(OR('TANF-VIEW'!L178&gt;0,'TANF-VIEW'!T178&gt;0),"Yes","No")</f>
        <v>No</v>
      </c>
      <c r="I174" s="63">
        <f t="shared" si="25"/>
        <v>525</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860</v>
      </c>
      <c r="M174" s="6">
        <f>IF(B174&gt;$N$2,0,VLOOKUP('Total income package'!$B$3,'Location specific data'!$A$3:$AO$135,36,FALSE))*$F$2*20</f>
        <v>0</v>
      </c>
      <c r="N174" s="6">
        <f>IF(B174&gt;$N$2,0,VLOOKUP('Total income package'!$B$3,'Location specific data'!$A$3:$AO$135,37,FALSE))*($G$2+$H$2)*20</f>
        <v>560</v>
      </c>
      <c r="O174" s="6">
        <f t="shared" si="26"/>
        <v>1575</v>
      </c>
      <c r="P174" s="312">
        <f t="shared" si="32"/>
        <v>352.08333333333337</v>
      </c>
      <c r="Q174" s="312">
        <f t="shared" si="28"/>
        <v>1575</v>
      </c>
      <c r="R174" s="312">
        <f t="shared" si="31"/>
        <v>352.08333333333337</v>
      </c>
      <c r="S174" s="160">
        <f>IF(AND('Total income package'!$A$8=TRUE,OR(F174="Yes",G174="Yes",H174="Yes")),SUM(J174:N174)-R174,0)</f>
        <v>2347.9166666666665</v>
      </c>
    </row>
    <row r="175" spans="1:19" x14ac:dyDescent="0.25">
      <c r="A175" s="6">
        <v>85000</v>
      </c>
      <c r="B175" s="7">
        <f t="shared" si="33"/>
        <v>7083.333333333333</v>
      </c>
      <c r="C175" s="7">
        <f>'Total income package'!$D$80</f>
        <v>0</v>
      </c>
      <c r="D175" s="7">
        <f t="shared" si="29"/>
        <v>7083.333333333333</v>
      </c>
      <c r="E175" s="65">
        <f t="shared" si="30"/>
        <v>1.6986410871302957</v>
      </c>
      <c r="F175" s="65" t="str">
        <f t="shared" si="23"/>
        <v>Yes</v>
      </c>
      <c r="G175" s="65" t="str">
        <f t="shared" si="24"/>
        <v>No</v>
      </c>
      <c r="H175" s="301" t="str">
        <f>IF(OR('TANF-VIEW'!L179&gt;0,'TANF-VIEW'!T179&gt;0),"Yes","No")</f>
        <v>No</v>
      </c>
      <c r="I175" s="63">
        <f t="shared" si="25"/>
        <v>525</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860</v>
      </c>
      <c r="M175" s="6">
        <f>IF(B175&gt;$N$2,0,VLOOKUP('Total income package'!$B$3,'Location specific data'!$A$3:$AO$135,36,FALSE))*$F$2*20</f>
        <v>0</v>
      </c>
      <c r="N175" s="6">
        <f>IF(B175&gt;$N$2,0,VLOOKUP('Total income package'!$B$3,'Location specific data'!$A$3:$AO$135,37,FALSE))*($G$2+$H$2)*20</f>
        <v>560</v>
      </c>
      <c r="O175" s="6">
        <f t="shared" si="26"/>
        <v>1575</v>
      </c>
      <c r="P175" s="312">
        <f t="shared" si="32"/>
        <v>354.16666666666669</v>
      </c>
      <c r="Q175" s="312">
        <f t="shared" si="28"/>
        <v>1575</v>
      </c>
      <c r="R175" s="312">
        <f t="shared" si="31"/>
        <v>354.16666666666669</v>
      </c>
      <c r="S175" s="160">
        <f>IF(AND('Total income package'!$A$8=TRUE,OR(F175="Yes",G175="Yes",H175="Yes")),SUM(J175:N175)-R175,0)</f>
        <v>2345.8333333333335</v>
      </c>
    </row>
    <row r="176" spans="1:19" x14ac:dyDescent="0.25">
      <c r="A176" s="6">
        <v>85500</v>
      </c>
      <c r="B176" s="7">
        <f t="shared" si="33"/>
        <v>7125</v>
      </c>
      <c r="C176" s="7">
        <f>'Total income package'!$D$80</f>
        <v>0</v>
      </c>
      <c r="D176" s="7">
        <f t="shared" si="29"/>
        <v>7125</v>
      </c>
      <c r="E176" s="65">
        <f t="shared" si="30"/>
        <v>1.7086330935251799</v>
      </c>
      <c r="F176" s="65" t="str">
        <f t="shared" si="23"/>
        <v>Yes</v>
      </c>
      <c r="G176" s="65" t="str">
        <f t="shared" si="24"/>
        <v>No</v>
      </c>
      <c r="H176" s="301" t="str">
        <f>IF(OR('TANF-VIEW'!L180&gt;0,'TANF-VIEW'!T180&gt;0),"Yes","No")</f>
        <v>No</v>
      </c>
      <c r="I176" s="63">
        <f t="shared" si="25"/>
        <v>525</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860</v>
      </c>
      <c r="M176" s="6">
        <f>IF(B176&gt;$N$2,0,VLOOKUP('Total income package'!$B$3,'Location specific data'!$A$3:$AO$135,36,FALSE))*$F$2*20</f>
        <v>0</v>
      </c>
      <c r="N176" s="6">
        <f>IF(B176&gt;$N$2,0,VLOOKUP('Total income package'!$B$3,'Location specific data'!$A$3:$AO$135,37,FALSE))*($G$2+$H$2)*20</f>
        <v>560</v>
      </c>
      <c r="O176" s="6">
        <f t="shared" si="26"/>
        <v>1575</v>
      </c>
      <c r="P176" s="312">
        <f t="shared" si="32"/>
        <v>356.25</v>
      </c>
      <c r="Q176" s="312">
        <f t="shared" si="28"/>
        <v>1575</v>
      </c>
      <c r="R176" s="312">
        <f t="shared" si="31"/>
        <v>356.25</v>
      </c>
      <c r="S176" s="160">
        <f>IF(AND('Total income package'!$A$8=TRUE,OR(F176="Yes",G176="Yes",H176="Yes")),SUM(J176:N176)-R176,0)</f>
        <v>2343.75</v>
      </c>
    </row>
    <row r="177" spans="1:19" x14ac:dyDescent="0.25">
      <c r="A177" s="6">
        <v>86000</v>
      </c>
      <c r="B177" s="7">
        <f t="shared" si="33"/>
        <v>7166.666666666667</v>
      </c>
      <c r="C177" s="7">
        <f>'Total income package'!$D$80</f>
        <v>0</v>
      </c>
      <c r="D177" s="7">
        <f t="shared" si="29"/>
        <v>7166.666666666667</v>
      </c>
      <c r="E177" s="65">
        <f t="shared" si="30"/>
        <v>1.7186250999200641</v>
      </c>
      <c r="F177" s="65" t="str">
        <f t="shared" si="23"/>
        <v>Yes</v>
      </c>
      <c r="G177" s="65" t="str">
        <f t="shared" si="24"/>
        <v>No</v>
      </c>
      <c r="H177" s="301" t="str">
        <f>IF(OR('TANF-VIEW'!L181&gt;0,'TANF-VIEW'!T181&gt;0),"Yes","No")</f>
        <v>No</v>
      </c>
      <c r="I177" s="63">
        <f t="shared" si="25"/>
        <v>525</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860</v>
      </c>
      <c r="M177" s="6">
        <f>IF(B177&gt;$N$2,0,VLOOKUP('Total income package'!$B$3,'Location specific data'!$A$3:$AO$135,36,FALSE))*$F$2*20</f>
        <v>0</v>
      </c>
      <c r="N177" s="6">
        <f>IF(B177&gt;$N$2,0,VLOOKUP('Total income package'!$B$3,'Location specific data'!$A$3:$AO$135,37,FALSE))*($G$2+$H$2)*20</f>
        <v>560</v>
      </c>
      <c r="O177" s="6">
        <f t="shared" si="26"/>
        <v>1575</v>
      </c>
      <c r="P177" s="312">
        <f t="shared" si="32"/>
        <v>358.33333333333337</v>
      </c>
      <c r="Q177" s="312">
        <f t="shared" si="28"/>
        <v>1575</v>
      </c>
      <c r="R177" s="312">
        <f t="shared" si="31"/>
        <v>358.33333333333337</v>
      </c>
      <c r="S177" s="160">
        <f>IF(AND('Total income package'!$A$8=TRUE,OR(F177="Yes",G177="Yes",H177="Yes")),SUM(J177:N177)-R177,0)</f>
        <v>2341.6666666666665</v>
      </c>
    </row>
    <row r="178" spans="1:19" x14ac:dyDescent="0.25">
      <c r="A178" s="6">
        <v>86500</v>
      </c>
      <c r="B178" s="7">
        <f t="shared" si="33"/>
        <v>7208.333333333333</v>
      </c>
      <c r="C178" s="7">
        <f>'Total income package'!$D$80</f>
        <v>0</v>
      </c>
      <c r="D178" s="7">
        <f t="shared" si="29"/>
        <v>7208.333333333333</v>
      </c>
      <c r="E178" s="65">
        <f t="shared" si="30"/>
        <v>1.728617106314948</v>
      </c>
      <c r="F178" s="65" t="str">
        <f t="shared" si="23"/>
        <v>Yes</v>
      </c>
      <c r="G178" s="65" t="str">
        <f t="shared" si="24"/>
        <v>No</v>
      </c>
      <c r="H178" s="301" t="str">
        <f>IF(OR('TANF-VIEW'!L182&gt;0,'TANF-VIEW'!T182&gt;0),"Yes","No")</f>
        <v>No</v>
      </c>
      <c r="I178" s="63">
        <f t="shared" si="25"/>
        <v>525</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860</v>
      </c>
      <c r="M178" s="6">
        <f>IF(B178&gt;$N$2,0,VLOOKUP('Total income package'!$B$3,'Location specific data'!$A$3:$AO$135,36,FALSE))*$F$2*20</f>
        <v>0</v>
      </c>
      <c r="N178" s="6">
        <f>IF(B178&gt;$N$2,0,VLOOKUP('Total income package'!$B$3,'Location specific data'!$A$3:$AO$135,37,FALSE))*($G$2+$H$2)*20</f>
        <v>560</v>
      </c>
      <c r="O178" s="6">
        <f t="shared" si="26"/>
        <v>1575</v>
      </c>
      <c r="P178" s="312">
        <f t="shared" si="32"/>
        <v>360.41666666666669</v>
      </c>
      <c r="Q178" s="312">
        <f t="shared" si="28"/>
        <v>1575</v>
      </c>
      <c r="R178" s="312">
        <f t="shared" si="31"/>
        <v>360.41666666666669</v>
      </c>
      <c r="S178" s="160">
        <f>IF(AND('Total income package'!$A$8=TRUE,OR(F178="Yes",G178="Yes",H178="Yes")),SUM(J178:N178)-R178,0)</f>
        <v>2339.5833333333335</v>
      </c>
    </row>
    <row r="179" spans="1:19" x14ac:dyDescent="0.25">
      <c r="A179" s="6">
        <v>87000</v>
      </c>
      <c r="B179" s="7">
        <f t="shared" si="33"/>
        <v>7250</v>
      </c>
      <c r="C179" s="7">
        <f>'Total income package'!$D$80</f>
        <v>0</v>
      </c>
      <c r="D179" s="7">
        <f t="shared" si="29"/>
        <v>7250</v>
      </c>
      <c r="E179" s="65">
        <f t="shared" si="30"/>
        <v>1.7386091127098322</v>
      </c>
      <c r="F179" s="65" t="str">
        <f t="shared" si="23"/>
        <v>Yes</v>
      </c>
      <c r="G179" s="65" t="str">
        <f t="shared" si="24"/>
        <v>No</v>
      </c>
      <c r="H179" s="301" t="str">
        <f>IF(OR('TANF-VIEW'!L183&gt;0,'TANF-VIEW'!T183&gt;0),"Yes","No")</f>
        <v>No</v>
      </c>
      <c r="I179" s="63">
        <f t="shared" si="25"/>
        <v>525</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860</v>
      </c>
      <c r="M179" s="6">
        <f>IF(B179&gt;$N$2,0,VLOOKUP('Total income package'!$B$3,'Location specific data'!$A$3:$AO$135,36,FALSE))*$F$2*20</f>
        <v>0</v>
      </c>
      <c r="N179" s="6">
        <f>IF(B179&gt;$N$2,0,VLOOKUP('Total income package'!$B$3,'Location specific data'!$A$3:$AO$135,37,FALSE))*($G$2+$H$2)*20</f>
        <v>560</v>
      </c>
      <c r="O179" s="6">
        <f t="shared" si="26"/>
        <v>1575</v>
      </c>
      <c r="P179" s="312">
        <f t="shared" si="32"/>
        <v>362.5</v>
      </c>
      <c r="Q179" s="312">
        <f t="shared" si="28"/>
        <v>1575</v>
      </c>
      <c r="R179" s="312">
        <f t="shared" si="31"/>
        <v>362.5</v>
      </c>
      <c r="S179" s="160">
        <f>IF(AND('Total income package'!$A$8=TRUE,OR(F179="Yes",G179="Yes",H179="Yes")),SUM(J179:N179)-R179,0)</f>
        <v>2337.5</v>
      </c>
    </row>
    <row r="180" spans="1:19" x14ac:dyDescent="0.25">
      <c r="A180" s="6">
        <v>87500</v>
      </c>
      <c r="B180" s="7">
        <f t="shared" si="33"/>
        <v>7291.666666666667</v>
      </c>
      <c r="C180" s="7">
        <f>'Total income package'!$D$80</f>
        <v>0</v>
      </c>
      <c r="D180" s="7">
        <f t="shared" si="29"/>
        <v>7291.666666666667</v>
      </c>
      <c r="E180" s="65">
        <f t="shared" si="30"/>
        <v>1.7486011191047164</v>
      </c>
      <c r="F180" s="65" t="str">
        <f t="shared" si="23"/>
        <v>Yes</v>
      </c>
      <c r="G180" s="65" t="str">
        <f t="shared" si="24"/>
        <v>No</v>
      </c>
      <c r="H180" s="301" t="str">
        <f>IF(OR('TANF-VIEW'!L184&gt;0,'TANF-VIEW'!T184&gt;0),"Yes","No")</f>
        <v>No</v>
      </c>
      <c r="I180" s="63">
        <f t="shared" si="25"/>
        <v>525</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860</v>
      </c>
      <c r="M180" s="6">
        <f>IF(B180&gt;$N$2,0,VLOOKUP('Total income package'!$B$3,'Location specific data'!$A$3:$AO$135,36,FALSE))*$F$2*20</f>
        <v>0</v>
      </c>
      <c r="N180" s="6">
        <f>IF(B180&gt;$N$2,0,VLOOKUP('Total income package'!$B$3,'Location specific data'!$A$3:$AO$135,37,FALSE))*($G$2+$H$2)*20</f>
        <v>560</v>
      </c>
      <c r="O180" s="6">
        <f t="shared" si="26"/>
        <v>1575</v>
      </c>
      <c r="P180" s="312">
        <f t="shared" si="32"/>
        <v>364.58333333333337</v>
      </c>
      <c r="Q180" s="312">
        <f t="shared" si="28"/>
        <v>1575</v>
      </c>
      <c r="R180" s="312">
        <f t="shared" si="31"/>
        <v>364.58333333333337</v>
      </c>
      <c r="S180" s="160">
        <f>IF(AND('Total income package'!$A$8=TRUE,OR(F180="Yes",G180="Yes",H180="Yes")),SUM(J180:N180)-R180,0)</f>
        <v>2335.4166666666665</v>
      </c>
    </row>
    <row r="181" spans="1:19" x14ac:dyDescent="0.25">
      <c r="A181" s="6">
        <v>88000</v>
      </c>
      <c r="B181" s="7">
        <f t="shared" si="33"/>
        <v>7333.333333333333</v>
      </c>
      <c r="C181" s="7">
        <f>'Total income package'!$D$80</f>
        <v>0</v>
      </c>
      <c r="D181" s="7">
        <f t="shared" si="29"/>
        <v>7333.333333333333</v>
      </c>
      <c r="E181" s="65">
        <f t="shared" si="30"/>
        <v>1.7585931254996003</v>
      </c>
      <c r="F181" s="65" t="str">
        <f t="shared" si="23"/>
        <v>Yes</v>
      </c>
      <c r="G181" s="65" t="str">
        <f t="shared" si="24"/>
        <v>No</v>
      </c>
      <c r="H181" s="301" t="str">
        <f>IF(OR('TANF-VIEW'!L185&gt;0,'TANF-VIEW'!T185&gt;0),"Yes","No")</f>
        <v>No</v>
      </c>
      <c r="I181" s="63">
        <f t="shared" si="25"/>
        <v>525</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860</v>
      </c>
      <c r="M181" s="6">
        <f>IF(B181&gt;$N$2,0,VLOOKUP('Total income package'!$B$3,'Location specific data'!$A$3:$AO$135,36,FALSE))*$F$2*20</f>
        <v>0</v>
      </c>
      <c r="N181" s="6">
        <f>IF(B181&gt;$N$2,0,VLOOKUP('Total income package'!$B$3,'Location specific data'!$A$3:$AO$135,37,FALSE))*($G$2+$H$2)*20</f>
        <v>560</v>
      </c>
      <c r="O181" s="6">
        <f t="shared" si="26"/>
        <v>1575</v>
      </c>
      <c r="P181" s="312">
        <f t="shared" si="32"/>
        <v>366.66666666666669</v>
      </c>
      <c r="Q181" s="312">
        <f t="shared" si="28"/>
        <v>1575</v>
      </c>
      <c r="R181" s="312">
        <f t="shared" si="31"/>
        <v>366.66666666666669</v>
      </c>
      <c r="S181" s="160">
        <f>IF(AND('Total income package'!$A$8=TRUE,OR(F181="Yes",G181="Yes",H181="Yes")),SUM(J181:N181)-R181,0)</f>
        <v>2333.3333333333335</v>
      </c>
    </row>
    <row r="182" spans="1:19" x14ac:dyDescent="0.25">
      <c r="A182" s="6">
        <v>88500</v>
      </c>
      <c r="B182" s="7">
        <f t="shared" si="33"/>
        <v>7375</v>
      </c>
      <c r="C182" s="7">
        <f>'Total income package'!$D$80</f>
        <v>0</v>
      </c>
      <c r="D182" s="7">
        <f t="shared" si="29"/>
        <v>7375</v>
      </c>
      <c r="E182" s="65">
        <f t="shared" si="30"/>
        <v>1.7685851318944845</v>
      </c>
      <c r="F182" s="65" t="str">
        <f t="shared" si="23"/>
        <v>Yes</v>
      </c>
      <c r="G182" s="65" t="str">
        <f t="shared" si="24"/>
        <v>No</v>
      </c>
      <c r="H182" s="301" t="str">
        <f>IF(OR('TANF-VIEW'!L186&gt;0,'TANF-VIEW'!T186&gt;0),"Yes","No")</f>
        <v>No</v>
      </c>
      <c r="I182" s="63">
        <f t="shared" si="25"/>
        <v>525</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860</v>
      </c>
      <c r="M182" s="6">
        <f>IF(B182&gt;$N$2,0,VLOOKUP('Total income package'!$B$3,'Location specific data'!$A$3:$AO$135,36,FALSE))*$F$2*20</f>
        <v>0</v>
      </c>
      <c r="N182" s="6">
        <f>IF(B182&gt;$N$2,0,VLOOKUP('Total income package'!$B$3,'Location specific data'!$A$3:$AO$135,37,FALSE))*($G$2+$H$2)*20</f>
        <v>560</v>
      </c>
      <c r="O182" s="6">
        <f t="shared" si="26"/>
        <v>1575</v>
      </c>
      <c r="P182" s="312">
        <f t="shared" si="32"/>
        <v>368.75</v>
      </c>
      <c r="Q182" s="312">
        <f t="shared" si="28"/>
        <v>1575</v>
      </c>
      <c r="R182" s="312">
        <f t="shared" si="31"/>
        <v>368.75</v>
      </c>
      <c r="S182" s="160">
        <f>IF(AND('Total income package'!$A$8=TRUE,OR(F182="Yes",G182="Yes",H182="Yes")),SUM(J182:N182)-R182,0)</f>
        <v>2331.25</v>
      </c>
    </row>
    <row r="183" spans="1:19" x14ac:dyDescent="0.25">
      <c r="A183" s="6">
        <v>89000</v>
      </c>
      <c r="B183" s="7">
        <f t="shared" si="33"/>
        <v>7416.666666666667</v>
      </c>
      <c r="C183" s="7">
        <f>'Total income package'!$D$80</f>
        <v>0</v>
      </c>
      <c r="D183" s="7">
        <f t="shared" si="29"/>
        <v>7416.666666666667</v>
      </c>
      <c r="E183" s="65">
        <f t="shared" si="30"/>
        <v>1.7785771382893685</v>
      </c>
      <c r="F183" s="65" t="str">
        <f t="shared" si="23"/>
        <v>Yes</v>
      </c>
      <c r="G183" s="65" t="str">
        <f t="shared" si="24"/>
        <v>No</v>
      </c>
      <c r="H183" s="301" t="str">
        <f>IF(OR('TANF-VIEW'!L187&gt;0,'TANF-VIEW'!T187&gt;0),"Yes","No")</f>
        <v>No</v>
      </c>
      <c r="I183" s="63">
        <f t="shared" si="25"/>
        <v>525</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860</v>
      </c>
      <c r="M183" s="6">
        <f>IF(B183&gt;$N$2,0,VLOOKUP('Total income package'!$B$3,'Location specific data'!$A$3:$AO$135,36,FALSE))*$F$2*20</f>
        <v>0</v>
      </c>
      <c r="N183" s="6">
        <f>IF(B183&gt;$N$2,0,VLOOKUP('Total income package'!$B$3,'Location specific data'!$A$3:$AO$135,37,FALSE))*($G$2+$H$2)*20</f>
        <v>560</v>
      </c>
      <c r="O183" s="6">
        <f t="shared" si="26"/>
        <v>1575</v>
      </c>
      <c r="P183" s="312">
        <f t="shared" si="32"/>
        <v>370.83333333333337</v>
      </c>
      <c r="Q183" s="312">
        <f t="shared" si="28"/>
        <v>1575</v>
      </c>
      <c r="R183" s="312">
        <f t="shared" si="31"/>
        <v>370.83333333333337</v>
      </c>
      <c r="S183" s="160">
        <f>IF(AND('Total income package'!$A$8=TRUE,OR(F183="Yes",G183="Yes",H183="Yes")),SUM(J183:N183)-R183,0)</f>
        <v>2329.1666666666665</v>
      </c>
    </row>
    <row r="184" spans="1:19" x14ac:dyDescent="0.25">
      <c r="A184" s="6">
        <v>89500</v>
      </c>
      <c r="B184" s="7">
        <f t="shared" si="33"/>
        <v>7458.333333333333</v>
      </c>
      <c r="C184" s="7">
        <f>'Total income package'!$D$80</f>
        <v>0</v>
      </c>
      <c r="D184" s="7">
        <f t="shared" si="29"/>
        <v>7458.333333333333</v>
      </c>
      <c r="E184" s="65">
        <f t="shared" si="30"/>
        <v>1.7885691446842524</v>
      </c>
      <c r="F184" s="65" t="str">
        <f t="shared" si="23"/>
        <v>Yes</v>
      </c>
      <c r="G184" s="65" t="str">
        <f t="shared" si="24"/>
        <v>No</v>
      </c>
      <c r="H184" s="301" t="str">
        <f>IF(OR('TANF-VIEW'!L188&gt;0,'TANF-VIEW'!T188&gt;0),"Yes","No")</f>
        <v>No</v>
      </c>
      <c r="I184" s="63">
        <f t="shared" si="25"/>
        <v>525</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860</v>
      </c>
      <c r="M184" s="6">
        <f>IF(B184&gt;$N$2,0,VLOOKUP('Total income package'!$B$3,'Location specific data'!$A$3:$AO$135,36,FALSE))*$F$2*20</f>
        <v>0</v>
      </c>
      <c r="N184" s="6">
        <f>IF(B184&gt;$N$2,0,VLOOKUP('Total income package'!$B$3,'Location specific data'!$A$3:$AO$135,37,FALSE))*($G$2+$H$2)*20</f>
        <v>560</v>
      </c>
      <c r="O184" s="6">
        <f t="shared" si="26"/>
        <v>1575</v>
      </c>
      <c r="P184" s="312">
        <f t="shared" si="32"/>
        <v>372.91666666666669</v>
      </c>
      <c r="Q184" s="312">
        <f t="shared" si="28"/>
        <v>1575</v>
      </c>
      <c r="R184" s="312">
        <f t="shared" si="31"/>
        <v>372.91666666666669</v>
      </c>
      <c r="S184" s="160">
        <f>IF(AND('Total income package'!$A$8=TRUE,OR(F184="Yes",G184="Yes",H184="Yes")),SUM(J184:N184)-R184,0)</f>
        <v>2327.0833333333335</v>
      </c>
    </row>
    <row r="185" spans="1:19" x14ac:dyDescent="0.25">
      <c r="A185" s="6">
        <v>90000</v>
      </c>
      <c r="B185" s="7">
        <f t="shared" si="33"/>
        <v>7500</v>
      </c>
      <c r="C185" s="7">
        <f>'Total income package'!$D$80</f>
        <v>0</v>
      </c>
      <c r="D185" s="7">
        <f t="shared" si="29"/>
        <v>7500</v>
      </c>
      <c r="E185" s="65">
        <f t="shared" si="30"/>
        <v>1.7985611510791366</v>
      </c>
      <c r="F185" s="65" t="str">
        <f t="shared" si="23"/>
        <v>Yes</v>
      </c>
      <c r="G185" s="65" t="str">
        <f t="shared" si="24"/>
        <v>No</v>
      </c>
      <c r="H185" s="301" t="str">
        <f>IF(OR('TANF-VIEW'!L189&gt;0,'TANF-VIEW'!T189&gt;0),"Yes","No")</f>
        <v>No</v>
      </c>
      <c r="I185" s="63">
        <f t="shared" si="25"/>
        <v>525</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860</v>
      </c>
      <c r="M185" s="6">
        <f>IF(B185&gt;$N$2,0,VLOOKUP('Total income package'!$B$3,'Location specific data'!$A$3:$AO$135,36,FALSE))*$F$2*20</f>
        <v>0</v>
      </c>
      <c r="N185" s="6">
        <f>IF(B185&gt;$N$2,0,VLOOKUP('Total income package'!$B$3,'Location specific data'!$A$3:$AO$135,37,FALSE))*($G$2+$H$2)*20</f>
        <v>560</v>
      </c>
      <c r="O185" s="6">
        <f t="shared" si="26"/>
        <v>1575</v>
      </c>
      <c r="P185" s="312">
        <f t="shared" si="32"/>
        <v>375</v>
      </c>
      <c r="Q185" s="312">
        <f t="shared" si="28"/>
        <v>1575</v>
      </c>
      <c r="R185" s="312">
        <f t="shared" si="31"/>
        <v>375</v>
      </c>
      <c r="S185" s="160">
        <f>IF(AND('Total income package'!$A$8=TRUE,OR(F185="Yes",G185="Yes",H185="Yes")),SUM(J185:N185)-R185,0)</f>
        <v>2325</v>
      </c>
    </row>
    <row r="186" spans="1:19" x14ac:dyDescent="0.25">
      <c r="A186" s="6">
        <v>90500</v>
      </c>
      <c r="B186" s="7">
        <f t="shared" si="33"/>
        <v>7541.666666666667</v>
      </c>
      <c r="C186" s="7">
        <f>'Total income package'!$D$80</f>
        <v>0</v>
      </c>
      <c r="D186" s="7">
        <f t="shared" si="29"/>
        <v>7541.666666666667</v>
      </c>
      <c r="E186" s="65">
        <f t="shared" si="30"/>
        <v>1.8085531574740208</v>
      </c>
      <c r="F186" s="65" t="str">
        <f t="shared" si="23"/>
        <v>Yes</v>
      </c>
      <c r="G186" s="65" t="str">
        <f t="shared" si="24"/>
        <v>No</v>
      </c>
      <c r="H186" s="301" t="str">
        <f>IF(OR('TANF-VIEW'!L190&gt;0,'TANF-VIEW'!T190&gt;0),"Yes","No")</f>
        <v>No</v>
      </c>
      <c r="I186" s="63">
        <f t="shared" si="25"/>
        <v>525</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860</v>
      </c>
      <c r="M186" s="6">
        <f>IF(B186&gt;$N$2,0,VLOOKUP('Total income package'!$B$3,'Location specific data'!$A$3:$AO$135,36,FALSE))*$F$2*20</f>
        <v>0</v>
      </c>
      <c r="N186" s="6">
        <f>IF(B186&gt;$N$2,0,VLOOKUP('Total income package'!$B$3,'Location specific data'!$A$3:$AO$135,37,FALSE))*($G$2+$H$2)*20</f>
        <v>560</v>
      </c>
      <c r="O186" s="6">
        <f t="shared" si="26"/>
        <v>1575</v>
      </c>
      <c r="P186" s="312">
        <f t="shared" si="32"/>
        <v>377.08333333333337</v>
      </c>
      <c r="Q186" s="312">
        <f t="shared" si="28"/>
        <v>1575</v>
      </c>
      <c r="R186" s="312">
        <f t="shared" si="31"/>
        <v>377.08333333333337</v>
      </c>
      <c r="S186" s="160">
        <f>IF(AND('Total income package'!$A$8=TRUE,OR(F186="Yes",G186="Yes",H186="Yes")),SUM(J186:N186)-R186,0)</f>
        <v>2322.9166666666665</v>
      </c>
    </row>
    <row r="187" spans="1:19" x14ac:dyDescent="0.25">
      <c r="A187" s="6">
        <v>91000</v>
      </c>
      <c r="B187" s="7">
        <f t="shared" si="33"/>
        <v>7583.333333333333</v>
      </c>
      <c r="C187" s="7">
        <f>'Total income package'!$D$80</f>
        <v>0</v>
      </c>
      <c r="D187" s="7">
        <f t="shared" si="29"/>
        <v>7583.333333333333</v>
      </c>
      <c r="E187" s="65">
        <f t="shared" si="30"/>
        <v>1.8185451638689047</v>
      </c>
      <c r="F187" s="65" t="str">
        <f t="shared" si="23"/>
        <v>Yes</v>
      </c>
      <c r="G187" s="65" t="str">
        <f t="shared" si="24"/>
        <v>No</v>
      </c>
      <c r="H187" s="301" t="str">
        <f>IF(OR('TANF-VIEW'!L191&gt;0,'TANF-VIEW'!T191&gt;0),"Yes","No")</f>
        <v>No</v>
      </c>
      <c r="I187" s="63">
        <f t="shared" si="25"/>
        <v>525</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860</v>
      </c>
      <c r="M187" s="6">
        <f>IF(B187&gt;$N$2,0,VLOOKUP('Total income package'!$B$3,'Location specific data'!$A$3:$AO$135,36,FALSE))*$F$2*20</f>
        <v>0</v>
      </c>
      <c r="N187" s="6">
        <f>IF(B187&gt;$N$2,0,VLOOKUP('Total income package'!$B$3,'Location specific data'!$A$3:$AO$135,37,FALSE))*($G$2+$H$2)*20</f>
        <v>560</v>
      </c>
      <c r="O187" s="6">
        <f t="shared" si="26"/>
        <v>1575</v>
      </c>
      <c r="P187" s="312">
        <f t="shared" si="32"/>
        <v>379.16666666666669</v>
      </c>
      <c r="Q187" s="312">
        <f t="shared" si="28"/>
        <v>1575</v>
      </c>
      <c r="R187" s="312">
        <f t="shared" si="31"/>
        <v>379.16666666666669</v>
      </c>
      <c r="S187" s="160">
        <f>IF(AND('Total income package'!$A$8=TRUE,OR(F187="Yes",G187="Yes",H187="Yes")),SUM(J187:N187)-R187,0)</f>
        <v>2320.8333333333335</v>
      </c>
    </row>
    <row r="188" spans="1:19" x14ac:dyDescent="0.25">
      <c r="A188" s="6">
        <v>91500</v>
      </c>
      <c r="B188" s="7">
        <f t="shared" si="33"/>
        <v>7625</v>
      </c>
      <c r="C188" s="7">
        <f>'Total income package'!$D$80</f>
        <v>0</v>
      </c>
      <c r="D188" s="7">
        <f t="shared" si="29"/>
        <v>7625</v>
      </c>
      <c r="E188" s="65">
        <f t="shared" si="30"/>
        <v>1.8285371702637889</v>
      </c>
      <c r="F188" s="65" t="str">
        <f t="shared" si="23"/>
        <v>Yes</v>
      </c>
      <c r="G188" s="65" t="str">
        <f t="shared" si="24"/>
        <v>No</v>
      </c>
      <c r="H188" s="301" t="str">
        <f>IF(OR('TANF-VIEW'!L192&gt;0,'TANF-VIEW'!T192&gt;0),"Yes","No")</f>
        <v>No</v>
      </c>
      <c r="I188" s="63">
        <f t="shared" si="25"/>
        <v>525</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860</v>
      </c>
      <c r="M188" s="6">
        <f>IF(B188&gt;$N$2,0,VLOOKUP('Total income package'!$B$3,'Location specific data'!$A$3:$AO$135,36,FALSE))*$F$2*20</f>
        <v>0</v>
      </c>
      <c r="N188" s="6">
        <f>IF(B188&gt;$N$2,0,VLOOKUP('Total income package'!$B$3,'Location specific data'!$A$3:$AO$135,37,FALSE))*($G$2+$H$2)*20</f>
        <v>560</v>
      </c>
      <c r="O188" s="6">
        <f t="shared" si="26"/>
        <v>1575</v>
      </c>
      <c r="P188" s="312">
        <f t="shared" si="32"/>
        <v>381.25</v>
      </c>
      <c r="Q188" s="312">
        <f t="shared" si="28"/>
        <v>1575</v>
      </c>
      <c r="R188" s="312">
        <f t="shared" si="31"/>
        <v>381.25</v>
      </c>
      <c r="S188" s="160">
        <f>IF(AND('Total income package'!$A$8=TRUE,OR(F188="Yes",G188="Yes",H188="Yes")),SUM(J188:N188)-R188,0)</f>
        <v>2318.75</v>
      </c>
    </row>
    <row r="189" spans="1:19" x14ac:dyDescent="0.25">
      <c r="A189" s="6">
        <v>92000</v>
      </c>
      <c r="B189" s="7">
        <f t="shared" si="33"/>
        <v>7666.666666666667</v>
      </c>
      <c r="C189" s="7">
        <f>'Total income package'!$D$80</f>
        <v>0</v>
      </c>
      <c r="D189" s="7">
        <f t="shared" si="29"/>
        <v>7666.666666666667</v>
      </c>
      <c r="E189" s="65">
        <f t="shared" si="30"/>
        <v>1.8385291766586731</v>
      </c>
      <c r="F189" s="65" t="str">
        <f t="shared" si="23"/>
        <v>Yes</v>
      </c>
      <c r="G189" s="65" t="str">
        <f t="shared" si="24"/>
        <v>No</v>
      </c>
      <c r="H189" s="301" t="str">
        <f>IF(OR('TANF-VIEW'!L193&gt;0,'TANF-VIEW'!T193&gt;0),"Yes","No")</f>
        <v>No</v>
      </c>
      <c r="I189" s="63">
        <f t="shared" si="25"/>
        <v>525</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860</v>
      </c>
      <c r="M189" s="6">
        <f>IF(B189&gt;$N$2,0,VLOOKUP('Total income package'!$B$3,'Location specific data'!$A$3:$AO$135,36,FALSE))*$F$2*20</f>
        <v>0</v>
      </c>
      <c r="N189" s="6">
        <f>IF(B189&gt;$N$2,0,VLOOKUP('Total income package'!$B$3,'Location specific data'!$A$3:$AO$135,37,FALSE))*($G$2+$H$2)*20</f>
        <v>560</v>
      </c>
      <c r="O189" s="6">
        <f t="shared" si="26"/>
        <v>1575</v>
      </c>
      <c r="P189" s="312">
        <f t="shared" si="32"/>
        <v>383.33333333333337</v>
      </c>
      <c r="Q189" s="312">
        <f t="shared" si="28"/>
        <v>1575</v>
      </c>
      <c r="R189" s="312">
        <f t="shared" si="31"/>
        <v>383.33333333333337</v>
      </c>
      <c r="S189" s="160">
        <f>IF(AND('Total income package'!$A$8=TRUE,OR(F189="Yes",G189="Yes",H189="Yes")),SUM(J189:N189)-R189,0)</f>
        <v>2316.6666666666665</v>
      </c>
    </row>
    <row r="190" spans="1:19" x14ac:dyDescent="0.25">
      <c r="A190" s="6">
        <v>92500</v>
      </c>
      <c r="B190" s="7">
        <f t="shared" si="33"/>
        <v>7708.333333333333</v>
      </c>
      <c r="C190" s="7">
        <f>'Total income package'!$D$80</f>
        <v>0</v>
      </c>
      <c r="D190" s="7">
        <f t="shared" si="29"/>
        <v>7708.333333333333</v>
      </c>
      <c r="E190" s="65">
        <f t="shared" si="30"/>
        <v>1.8485211830535571</v>
      </c>
      <c r="F190" s="65" t="str">
        <f t="shared" si="23"/>
        <v>Yes</v>
      </c>
      <c r="G190" s="65" t="str">
        <f t="shared" si="24"/>
        <v>No</v>
      </c>
      <c r="H190" s="301" t="str">
        <f>IF(OR('TANF-VIEW'!L194&gt;0,'TANF-VIEW'!T194&gt;0),"Yes","No")</f>
        <v>No</v>
      </c>
      <c r="I190" s="63">
        <f t="shared" si="25"/>
        <v>525</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860</v>
      </c>
      <c r="M190" s="6">
        <f>IF(B190&gt;$N$2,0,VLOOKUP('Total income package'!$B$3,'Location specific data'!$A$3:$AO$135,36,FALSE))*$F$2*20</f>
        <v>0</v>
      </c>
      <c r="N190" s="6">
        <f>IF(B190&gt;$N$2,0,VLOOKUP('Total income package'!$B$3,'Location specific data'!$A$3:$AO$135,37,FALSE))*($G$2+$H$2)*20</f>
        <v>560</v>
      </c>
      <c r="O190" s="6">
        <f t="shared" si="26"/>
        <v>1575</v>
      </c>
      <c r="P190" s="312">
        <f t="shared" si="32"/>
        <v>385.41666666666669</v>
      </c>
      <c r="Q190" s="312">
        <f t="shared" si="28"/>
        <v>1575</v>
      </c>
      <c r="R190" s="312">
        <f t="shared" si="31"/>
        <v>385.41666666666669</v>
      </c>
      <c r="S190" s="160">
        <f>IF(AND('Total income package'!$A$8=TRUE,OR(F190="Yes",G190="Yes",H190="Yes")),SUM(J190:N190)-R190,0)</f>
        <v>2314.5833333333335</v>
      </c>
    </row>
    <row r="191" spans="1:19" x14ac:dyDescent="0.25">
      <c r="A191" s="6">
        <v>93000</v>
      </c>
      <c r="B191" s="7">
        <f t="shared" si="33"/>
        <v>7750</v>
      </c>
      <c r="C191" s="7">
        <f>'Total income package'!$D$80</f>
        <v>0</v>
      </c>
      <c r="D191" s="7">
        <f t="shared" si="29"/>
        <v>7750</v>
      </c>
      <c r="E191" s="65">
        <f t="shared" si="30"/>
        <v>1.8585131894484412</v>
      </c>
      <c r="F191" s="65" t="str">
        <f t="shared" si="23"/>
        <v>Yes</v>
      </c>
      <c r="G191" s="65" t="str">
        <f t="shared" si="24"/>
        <v>No</v>
      </c>
      <c r="H191" s="301" t="str">
        <f>IF(OR('TANF-VIEW'!L195&gt;0,'TANF-VIEW'!T195&gt;0),"Yes","No")</f>
        <v>No</v>
      </c>
      <c r="I191" s="63">
        <f t="shared" si="25"/>
        <v>525</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860</v>
      </c>
      <c r="M191" s="6">
        <f>IF(B191&gt;$N$2,0,VLOOKUP('Total income package'!$B$3,'Location specific data'!$A$3:$AO$135,36,FALSE))*$F$2*20</f>
        <v>0</v>
      </c>
      <c r="N191" s="6">
        <f>IF(B191&gt;$N$2,0,VLOOKUP('Total income package'!$B$3,'Location specific data'!$A$3:$AO$135,37,FALSE))*($G$2+$H$2)*20</f>
        <v>560</v>
      </c>
      <c r="O191" s="6">
        <f t="shared" si="26"/>
        <v>1575</v>
      </c>
      <c r="P191" s="312">
        <f t="shared" si="32"/>
        <v>387.5</v>
      </c>
      <c r="Q191" s="312">
        <f t="shared" si="28"/>
        <v>1575</v>
      </c>
      <c r="R191" s="312">
        <f t="shared" si="31"/>
        <v>387.5</v>
      </c>
      <c r="S191" s="160">
        <f>IF(AND('Total income package'!$A$8=TRUE,OR(F191="Yes",G191="Yes",H191="Yes")),SUM(J191:N191)-R191,0)</f>
        <v>2312.5</v>
      </c>
    </row>
    <row r="192" spans="1:19" x14ac:dyDescent="0.25">
      <c r="A192" s="6">
        <v>93500</v>
      </c>
      <c r="B192" s="7">
        <f t="shared" si="33"/>
        <v>7791.666666666667</v>
      </c>
      <c r="C192" s="7">
        <f>'Total income package'!$D$80</f>
        <v>0</v>
      </c>
      <c r="D192" s="7">
        <f t="shared" si="29"/>
        <v>7791.666666666667</v>
      </c>
      <c r="E192" s="65">
        <f t="shared" si="30"/>
        <v>1.8685051958433254</v>
      </c>
      <c r="F192" s="65" t="str">
        <f t="shared" si="23"/>
        <v>Yes</v>
      </c>
      <c r="G192" s="65" t="str">
        <f t="shared" si="24"/>
        <v>No</v>
      </c>
      <c r="H192" s="301" t="str">
        <f>IF(OR('TANF-VIEW'!L196&gt;0,'TANF-VIEW'!T196&gt;0),"Yes","No")</f>
        <v>No</v>
      </c>
      <c r="I192" s="63">
        <f t="shared" si="25"/>
        <v>525</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860</v>
      </c>
      <c r="M192" s="6">
        <f>IF(B192&gt;$N$2,0,VLOOKUP('Total income package'!$B$3,'Location specific data'!$A$3:$AO$135,36,FALSE))*$F$2*20</f>
        <v>0</v>
      </c>
      <c r="N192" s="6">
        <f>IF(B192&gt;$N$2,0,VLOOKUP('Total income package'!$B$3,'Location specific data'!$A$3:$AO$135,37,FALSE))*($G$2+$H$2)*20</f>
        <v>560</v>
      </c>
      <c r="O192" s="6">
        <f t="shared" si="26"/>
        <v>1575</v>
      </c>
      <c r="P192" s="312">
        <f t="shared" si="32"/>
        <v>389.58333333333337</v>
      </c>
      <c r="Q192" s="312">
        <f t="shared" si="28"/>
        <v>1575</v>
      </c>
      <c r="R192" s="312">
        <f t="shared" si="31"/>
        <v>389.58333333333337</v>
      </c>
      <c r="S192" s="160">
        <f>IF(AND('Total income package'!$A$8=TRUE,OR(F192="Yes",G192="Yes",H192="Yes")),SUM(J192:N192)-R192,0)</f>
        <v>2310.4166666666665</v>
      </c>
    </row>
    <row r="193" spans="1:19" x14ac:dyDescent="0.25">
      <c r="A193" s="6">
        <v>94000</v>
      </c>
      <c r="B193" s="7">
        <f t="shared" si="33"/>
        <v>7833.333333333333</v>
      </c>
      <c r="C193" s="7">
        <f>'Total income package'!$D$80</f>
        <v>0</v>
      </c>
      <c r="D193" s="7">
        <f t="shared" si="29"/>
        <v>7833.333333333333</v>
      </c>
      <c r="E193" s="65">
        <f t="shared" si="30"/>
        <v>1.8784972022382094</v>
      </c>
      <c r="F193" s="65" t="str">
        <f t="shared" si="23"/>
        <v>Yes</v>
      </c>
      <c r="G193" s="65" t="str">
        <f t="shared" si="24"/>
        <v>No</v>
      </c>
      <c r="H193" s="301" t="str">
        <f>IF(OR('TANF-VIEW'!L197&gt;0,'TANF-VIEW'!T197&gt;0),"Yes","No")</f>
        <v>No</v>
      </c>
      <c r="I193" s="63">
        <f t="shared" si="25"/>
        <v>525</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860</v>
      </c>
      <c r="M193" s="6">
        <f>IF(B193&gt;$N$2,0,VLOOKUP('Total income package'!$B$3,'Location specific data'!$A$3:$AO$135,36,FALSE))*$F$2*20</f>
        <v>0</v>
      </c>
      <c r="N193" s="6">
        <f>IF(B193&gt;$N$2,0,VLOOKUP('Total income package'!$B$3,'Location specific data'!$A$3:$AO$135,37,FALSE))*($G$2+$H$2)*20</f>
        <v>560</v>
      </c>
      <c r="O193" s="6">
        <f t="shared" si="26"/>
        <v>1575</v>
      </c>
      <c r="P193" s="312">
        <f t="shared" si="32"/>
        <v>391.66666666666669</v>
      </c>
      <c r="Q193" s="312">
        <f t="shared" si="28"/>
        <v>1575</v>
      </c>
      <c r="R193" s="312">
        <f t="shared" si="31"/>
        <v>391.66666666666669</v>
      </c>
      <c r="S193" s="160">
        <f>IF(AND('Total income package'!$A$8=TRUE,OR(F193="Yes",G193="Yes",H193="Yes")),SUM(J193:N193)-R193,0)</f>
        <v>2308.3333333333335</v>
      </c>
    </row>
    <row r="194" spans="1:19" x14ac:dyDescent="0.25">
      <c r="A194" s="6">
        <v>94500</v>
      </c>
      <c r="B194" s="7">
        <f t="shared" si="33"/>
        <v>7875</v>
      </c>
      <c r="C194" s="7">
        <f>'Total income package'!$D$80</f>
        <v>0</v>
      </c>
      <c r="D194" s="7">
        <f t="shared" si="29"/>
        <v>7875</v>
      </c>
      <c r="E194" s="65">
        <f t="shared" si="30"/>
        <v>1.8884892086330936</v>
      </c>
      <c r="F194" s="65" t="str">
        <f t="shared" si="23"/>
        <v>Yes</v>
      </c>
      <c r="G194" s="65" t="str">
        <f t="shared" si="24"/>
        <v>No</v>
      </c>
      <c r="H194" s="301" t="str">
        <f>IF(OR('TANF-VIEW'!L198&gt;0,'TANF-VIEW'!T198&gt;0),"Yes","No")</f>
        <v>No</v>
      </c>
      <c r="I194" s="63">
        <f t="shared" si="25"/>
        <v>525</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860</v>
      </c>
      <c r="M194" s="6">
        <f>IF(B194&gt;$N$2,0,VLOOKUP('Total income package'!$B$3,'Location specific data'!$A$3:$AO$135,36,FALSE))*$F$2*20</f>
        <v>0</v>
      </c>
      <c r="N194" s="6">
        <f>IF(B194&gt;$N$2,0,VLOOKUP('Total income package'!$B$3,'Location specific data'!$A$3:$AO$135,37,FALSE))*($G$2+$H$2)*20</f>
        <v>560</v>
      </c>
      <c r="O194" s="6">
        <f t="shared" si="26"/>
        <v>1575</v>
      </c>
      <c r="P194" s="312">
        <f t="shared" si="32"/>
        <v>393.75</v>
      </c>
      <c r="Q194" s="312">
        <f t="shared" si="28"/>
        <v>1575</v>
      </c>
      <c r="R194" s="312">
        <f t="shared" si="31"/>
        <v>393.75</v>
      </c>
      <c r="S194" s="160">
        <f>IF(AND('Total income package'!$A$8=TRUE,OR(F194="Yes",G194="Yes",H194="Yes")),SUM(J194:N194)-R194,0)</f>
        <v>2306.25</v>
      </c>
    </row>
    <row r="195" spans="1:19" x14ac:dyDescent="0.25">
      <c r="A195" s="6">
        <v>95000</v>
      </c>
      <c r="B195" s="7">
        <f t="shared" si="33"/>
        <v>7916.666666666667</v>
      </c>
      <c r="C195" s="7">
        <f>'Total income package'!$D$80</f>
        <v>0</v>
      </c>
      <c r="D195" s="7">
        <f t="shared" si="29"/>
        <v>7916.666666666667</v>
      </c>
      <c r="E195" s="65">
        <f t="shared" si="30"/>
        <v>1.8984812150279777</v>
      </c>
      <c r="F195" s="65" t="str">
        <f t="shared" si="23"/>
        <v>Yes</v>
      </c>
      <c r="G195" s="65" t="str">
        <f t="shared" si="24"/>
        <v>No</v>
      </c>
      <c r="H195" s="301" t="str">
        <f>IF(OR('TANF-VIEW'!L199&gt;0,'TANF-VIEW'!T199&gt;0),"Yes","No")</f>
        <v>No</v>
      </c>
      <c r="I195" s="63">
        <f t="shared" si="25"/>
        <v>525</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860</v>
      </c>
      <c r="M195" s="6">
        <f>IF(B195&gt;$N$2,0,VLOOKUP('Total income package'!$B$3,'Location specific data'!$A$3:$AO$135,36,FALSE))*$F$2*20</f>
        <v>0</v>
      </c>
      <c r="N195" s="6">
        <f>IF(B195&gt;$N$2,0,VLOOKUP('Total income package'!$B$3,'Location specific data'!$A$3:$AO$135,37,FALSE))*($G$2+$H$2)*20</f>
        <v>560</v>
      </c>
      <c r="O195" s="6">
        <f t="shared" si="26"/>
        <v>1575</v>
      </c>
      <c r="P195" s="312">
        <f t="shared" si="32"/>
        <v>395.83333333333337</v>
      </c>
      <c r="Q195" s="312">
        <f t="shared" si="28"/>
        <v>1575</v>
      </c>
      <c r="R195" s="312">
        <f t="shared" si="31"/>
        <v>395.83333333333337</v>
      </c>
      <c r="S195" s="160">
        <f>IF(AND('Total income package'!$A$8=TRUE,OR(F195="Yes",G195="Yes",H195="Yes")),SUM(J195:N195)-R195,0)</f>
        <v>2304.1666666666665</v>
      </c>
    </row>
    <row r="196" spans="1:19" x14ac:dyDescent="0.25">
      <c r="A196" s="6">
        <v>95500</v>
      </c>
      <c r="B196" s="7">
        <f t="shared" si="33"/>
        <v>7958.333333333333</v>
      </c>
      <c r="C196" s="7">
        <f>'Total income package'!$D$80</f>
        <v>0</v>
      </c>
      <c r="D196" s="7">
        <f t="shared" si="29"/>
        <v>7958.333333333333</v>
      </c>
      <c r="E196" s="65">
        <f t="shared" si="30"/>
        <v>1.9084732214228617</v>
      </c>
      <c r="F196" s="65" t="str">
        <f t="shared" si="23"/>
        <v>Yes</v>
      </c>
      <c r="G196" s="65" t="str">
        <f t="shared" si="24"/>
        <v>No</v>
      </c>
      <c r="H196" s="301" t="str">
        <f>IF(OR('TANF-VIEW'!L200&gt;0,'TANF-VIEW'!T200&gt;0),"Yes","No")</f>
        <v>No</v>
      </c>
      <c r="I196" s="63">
        <f t="shared" si="25"/>
        <v>525</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860</v>
      </c>
      <c r="M196" s="6">
        <f>IF(B196&gt;$N$2,0,VLOOKUP('Total income package'!$B$3,'Location specific data'!$A$3:$AO$135,36,FALSE))*$F$2*20</f>
        <v>0</v>
      </c>
      <c r="N196" s="6">
        <f>IF(B196&gt;$N$2,0,VLOOKUP('Total income package'!$B$3,'Location specific data'!$A$3:$AO$135,37,FALSE))*($G$2+$H$2)*20</f>
        <v>560</v>
      </c>
      <c r="O196" s="6">
        <f t="shared" si="26"/>
        <v>1575</v>
      </c>
      <c r="P196" s="312">
        <f t="shared" si="32"/>
        <v>397.91666666666669</v>
      </c>
      <c r="Q196" s="312">
        <f t="shared" si="28"/>
        <v>1575</v>
      </c>
      <c r="R196" s="312">
        <f t="shared" si="31"/>
        <v>397.91666666666669</v>
      </c>
      <c r="S196" s="160">
        <f>IF(AND('Total income package'!$A$8=TRUE,OR(F196="Yes",G196="Yes",H196="Yes")),SUM(J196:N196)-R196,0)</f>
        <v>2302.0833333333335</v>
      </c>
    </row>
    <row r="197" spans="1:19" x14ac:dyDescent="0.25">
      <c r="A197" s="6">
        <v>96000</v>
      </c>
      <c r="B197" s="7">
        <f t="shared" si="33"/>
        <v>8000</v>
      </c>
      <c r="C197" s="7">
        <f>'Total income package'!$D$80</f>
        <v>0</v>
      </c>
      <c r="D197" s="7">
        <f t="shared" si="29"/>
        <v>8000</v>
      </c>
      <c r="E197" s="65">
        <f t="shared" si="30"/>
        <v>1.9184652278177459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525</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860</v>
      </c>
      <c r="M197" s="6">
        <f>IF(B197&gt;$N$2,0,VLOOKUP('Total income package'!$B$3,'Location specific data'!$A$3:$AO$135,36,FALSE))*$F$2*20</f>
        <v>0</v>
      </c>
      <c r="N197" s="6">
        <f>IF(B197&gt;$N$2,0,VLOOKUP('Total income package'!$B$3,'Location specific data'!$A$3:$AO$135,37,FALSE))*($G$2+$H$2)*20</f>
        <v>560</v>
      </c>
      <c r="O197" s="6">
        <f t="shared" ref="O197:O205" si="37">I197*SUM($C$2:$H$2)</f>
        <v>1575</v>
      </c>
      <c r="P197" s="312">
        <f t="shared" ref="P197:P204" si="38">B197*0.05</f>
        <v>400</v>
      </c>
      <c r="Q197" s="312">
        <f t="shared" ref="Q197:Q205" si="39">I197*3</f>
        <v>1575</v>
      </c>
      <c r="R197" s="312">
        <f t="shared" si="31"/>
        <v>400</v>
      </c>
      <c r="S197" s="160">
        <f>IF(AND('Total income package'!$A$8=TRUE,OR(F197="Yes",G197="Yes",H197="Yes")),SUM(J197:N197)-R197,0)</f>
        <v>2300</v>
      </c>
    </row>
    <row r="198" spans="1:19" x14ac:dyDescent="0.25">
      <c r="A198" s="6">
        <v>96500</v>
      </c>
      <c r="B198" s="7">
        <f t="shared" si="33"/>
        <v>8041.666666666667</v>
      </c>
      <c r="C198" s="7">
        <f>'Total income package'!$D$80</f>
        <v>0</v>
      </c>
      <c r="D198" s="7">
        <f t="shared" ref="D198:D204" si="40">B198+C198</f>
        <v>8041.666666666667</v>
      </c>
      <c r="E198" s="65">
        <f t="shared" ref="E198:E204" si="41">D198/$K$2</f>
        <v>1.92845723421263</v>
      </c>
      <c r="F198" s="65" t="str">
        <f t="shared" si="34"/>
        <v>Yes</v>
      </c>
      <c r="G198" s="65" t="str">
        <f t="shared" si="35"/>
        <v>No</v>
      </c>
      <c r="H198" s="301" t="str">
        <f>IF(OR('TANF-VIEW'!L202&gt;0,'TANF-VIEW'!T202&gt;0),"Yes","No")</f>
        <v>No</v>
      </c>
      <c r="I198" s="63">
        <f t="shared" si="36"/>
        <v>525</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860</v>
      </c>
      <c r="M198" s="6">
        <f>IF(B198&gt;$N$2,0,VLOOKUP('Total income package'!$B$3,'Location specific data'!$A$3:$AO$135,36,FALSE))*$F$2*20</f>
        <v>0</v>
      </c>
      <c r="N198" s="6">
        <f>IF(B198&gt;$N$2,0,VLOOKUP('Total income package'!$B$3,'Location specific data'!$A$3:$AO$135,37,FALSE))*($G$2+$H$2)*20</f>
        <v>560</v>
      </c>
      <c r="O198" s="6">
        <f t="shared" si="37"/>
        <v>1575</v>
      </c>
      <c r="P198" s="312">
        <f t="shared" si="38"/>
        <v>402.08333333333337</v>
      </c>
      <c r="Q198" s="312">
        <f t="shared" si="39"/>
        <v>1575</v>
      </c>
      <c r="R198" s="312">
        <f t="shared" ref="R198:R204" si="42">IF(MIN(O198,P198)&lt;Q198,MIN(O198,P198),Q198)</f>
        <v>402.08333333333337</v>
      </c>
      <c r="S198" s="160">
        <f>IF(AND('Total income package'!$A$8=TRUE,OR(F198="Yes",G198="Yes",H198="Yes")),SUM(J198:N198)-R198,0)</f>
        <v>2297.9166666666665</v>
      </c>
    </row>
    <row r="199" spans="1:19" x14ac:dyDescent="0.25">
      <c r="A199" s="6">
        <v>97000</v>
      </c>
      <c r="B199" s="7">
        <f t="shared" si="33"/>
        <v>8083.333333333333</v>
      </c>
      <c r="C199" s="7">
        <f>'Total income package'!$D$80</f>
        <v>0</v>
      </c>
      <c r="D199" s="7">
        <f t="shared" si="40"/>
        <v>8083.333333333333</v>
      </c>
      <c r="E199" s="65">
        <f t="shared" si="41"/>
        <v>1.938449240607514</v>
      </c>
      <c r="F199" s="65" t="str">
        <f t="shared" si="34"/>
        <v>Yes</v>
      </c>
      <c r="G199" s="65" t="str">
        <f t="shared" si="35"/>
        <v>No</v>
      </c>
      <c r="H199" s="301" t="str">
        <f>IF(OR('TANF-VIEW'!L203&gt;0,'TANF-VIEW'!T203&gt;0),"Yes","No")</f>
        <v>No</v>
      </c>
      <c r="I199" s="63">
        <f t="shared" si="36"/>
        <v>525</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860</v>
      </c>
      <c r="M199" s="6">
        <f>IF(B199&gt;$N$2,0,VLOOKUP('Total income package'!$B$3,'Location specific data'!$A$3:$AO$135,36,FALSE))*$F$2*20</f>
        <v>0</v>
      </c>
      <c r="N199" s="6">
        <f>IF(B199&gt;$N$2,0,VLOOKUP('Total income package'!$B$3,'Location specific data'!$A$3:$AO$135,37,FALSE))*($G$2+$H$2)*20</f>
        <v>560</v>
      </c>
      <c r="O199" s="6">
        <f t="shared" si="37"/>
        <v>1575</v>
      </c>
      <c r="P199" s="312">
        <f t="shared" si="38"/>
        <v>404.16666666666669</v>
      </c>
      <c r="Q199" s="312">
        <f t="shared" si="39"/>
        <v>1575</v>
      </c>
      <c r="R199" s="312">
        <f t="shared" si="42"/>
        <v>404.16666666666669</v>
      </c>
      <c r="S199" s="160">
        <f>IF(AND('Total income package'!$A$8=TRUE,OR(F199="Yes",G199="Yes",H199="Yes")),SUM(J199:N199)-R199,0)</f>
        <v>2295.8333333333335</v>
      </c>
    </row>
    <row r="200" spans="1:19" x14ac:dyDescent="0.25">
      <c r="A200" s="6">
        <v>97500</v>
      </c>
      <c r="B200" s="7">
        <f t="shared" si="33"/>
        <v>8125</v>
      </c>
      <c r="C200" s="7">
        <f>'Total income package'!$D$80</f>
        <v>0</v>
      </c>
      <c r="D200" s="7">
        <f t="shared" si="40"/>
        <v>8125</v>
      </c>
      <c r="E200" s="65">
        <f t="shared" si="41"/>
        <v>1.9484412470023982</v>
      </c>
      <c r="F200" s="65" t="str">
        <f t="shared" si="34"/>
        <v>Yes</v>
      </c>
      <c r="G200" s="65" t="str">
        <f t="shared" si="35"/>
        <v>No</v>
      </c>
      <c r="H200" s="301" t="str">
        <f>IF(OR('TANF-VIEW'!L204&gt;0,'TANF-VIEW'!T204&gt;0),"Yes","No")</f>
        <v>No</v>
      </c>
      <c r="I200" s="63">
        <f t="shared" si="36"/>
        <v>525</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860</v>
      </c>
      <c r="M200" s="6">
        <f>IF(B200&gt;$N$2,0,VLOOKUP('Total income package'!$B$3,'Location specific data'!$A$3:$AO$135,36,FALSE))*$F$2*20</f>
        <v>0</v>
      </c>
      <c r="N200" s="6">
        <f>IF(B200&gt;$N$2,0,VLOOKUP('Total income package'!$B$3,'Location specific data'!$A$3:$AO$135,37,FALSE))*($G$2+$H$2)*20</f>
        <v>560</v>
      </c>
      <c r="O200" s="6">
        <f t="shared" si="37"/>
        <v>1575</v>
      </c>
      <c r="P200" s="312">
        <f t="shared" si="38"/>
        <v>406.25</v>
      </c>
      <c r="Q200" s="312">
        <f t="shared" si="39"/>
        <v>1575</v>
      </c>
      <c r="R200" s="312">
        <f t="shared" si="42"/>
        <v>406.25</v>
      </c>
      <c r="S200" s="160">
        <f>IF(AND('Total income package'!$A$8=TRUE,OR(F200="Yes",G200="Yes",H200="Yes")),SUM(J200:N200)-R200,0)</f>
        <v>2293.75</v>
      </c>
    </row>
    <row r="201" spans="1:19" x14ac:dyDescent="0.25">
      <c r="A201" s="6">
        <v>98000</v>
      </c>
      <c r="B201" s="7">
        <f t="shared" si="33"/>
        <v>8166.666666666667</v>
      </c>
      <c r="C201" s="7">
        <f>'Total income package'!$D$80</f>
        <v>0</v>
      </c>
      <c r="D201" s="7">
        <f t="shared" si="40"/>
        <v>8166.666666666667</v>
      </c>
      <c r="E201" s="65">
        <f t="shared" si="41"/>
        <v>1.9584332533972821</v>
      </c>
      <c r="F201" s="65" t="str">
        <f t="shared" si="34"/>
        <v>Yes</v>
      </c>
      <c r="G201" s="65" t="str">
        <f t="shared" si="35"/>
        <v>No</v>
      </c>
      <c r="H201" s="301" t="str">
        <f>IF(OR('TANF-VIEW'!L205&gt;0,'TANF-VIEW'!T205&gt;0),"Yes","No")</f>
        <v>No</v>
      </c>
      <c r="I201" s="63">
        <f t="shared" si="36"/>
        <v>525</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860</v>
      </c>
      <c r="M201" s="6">
        <f>IF(B201&gt;$N$2,0,VLOOKUP('Total income package'!$B$3,'Location specific data'!$A$3:$AO$135,36,FALSE))*$F$2*20</f>
        <v>0</v>
      </c>
      <c r="N201" s="6">
        <f>IF(B201&gt;$N$2,0,VLOOKUP('Total income package'!$B$3,'Location specific data'!$A$3:$AO$135,37,FALSE))*($G$2+$H$2)*20</f>
        <v>560</v>
      </c>
      <c r="O201" s="6">
        <f t="shared" si="37"/>
        <v>1575</v>
      </c>
      <c r="P201" s="312">
        <f t="shared" si="38"/>
        <v>408.33333333333337</v>
      </c>
      <c r="Q201" s="312">
        <f t="shared" si="39"/>
        <v>1575</v>
      </c>
      <c r="R201" s="312">
        <f t="shared" si="42"/>
        <v>408.33333333333337</v>
      </c>
      <c r="S201" s="160">
        <f>IF(AND('Total income package'!$A$8=TRUE,OR(F201="Yes",G201="Yes",H201="Yes")),SUM(J201:N201)-R201,0)</f>
        <v>2291.6666666666665</v>
      </c>
    </row>
    <row r="202" spans="1:19" x14ac:dyDescent="0.25">
      <c r="A202" s="6">
        <v>98500</v>
      </c>
      <c r="B202" s="7">
        <f t="shared" si="33"/>
        <v>8208.3333333333339</v>
      </c>
      <c r="C202" s="7">
        <f>'Total income package'!$D$80</f>
        <v>0</v>
      </c>
      <c r="D202" s="7">
        <f t="shared" si="40"/>
        <v>8208.3333333333339</v>
      </c>
      <c r="E202" s="65">
        <f t="shared" si="41"/>
        <v>1.9684252597921663</v>
      </c>
      <c r="F202" s="65" t="str">
        <f t="shared" si="34"/>
        <v>Yes</v>
      </c>
      <c r="G202" s="65" t="str">
        <f t="shared" si="35"/>
        <v>No</v>
      </c>
      <c r="H202" s="301" t="str">
        <f>IF(OR('TANF-VIEW'!L206&gt;0,'TANF-VIEW'!T206&gt;0),"Yes","No")</f>
        <v>No</v>
      </c>
      <c r="I202" s="63">
        <f t="shared" si="36"/>
        <v>525</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860</v>
      </c>
      <c r="M202" s="6">
        <f>IF(B202&gt;$N$2,0,VLOOKUP('Total income package'!$B$3,'Location specific data'!$A$3:$AO$135,36,FALSE))*$F$2*20</f>
        <v>0</v>
      </c>
      <c r="N202" s="6">
        <f>IF(B202&gt;$N$2,0,VLOOKUP('Total income package'!$B$3,'Location specific data'!$A$3:$AO$135,37,FALSE))*($G$2+$H$2)*20</f>
        <v>560</v>
      </c>
      <c r="O202" s="6">
        <f t="shared" si="37"/>
        <v>1575</v>
      </c>
      <c r="P202" s="312">
        <f t="shared" si="38"/>
        <v>410.41666666666674</v>
      </c>
      <c r="Q202" s="312">
        <f t="shared" si="39"/>
        <v>1575</v>
      </c>
      <c r="R202" s="312">
        <f t="shared" si="42"/>
        <v>410.41666666666674</v>
      </c>
      <c r="S202" s="160">
        <f>IF(AND('Total income package'!$A$8=TRUE,OR(F202="Yes",G202="Yes",H202="Yes")),SUM(J202:N202)-R202,0)</f>
        <v>2289.583333333333</v>
      </c>
    </row>
    <row r="203" spans="1:19" x14ac:dyDescent="0.25">
      <c r="A203" s="6">
        <v>99000</v>
      </c>
      <c r="B203" s="7">
        <f t="shared" si="33"/>
        <v>8250</v>
      </c>
      <c r="C203" s="7">
        <f>'Total income package'!$D$80</f>
        <v>0</v>
      </c>
      <c r="D203" s="7">
        <f t="shared" si="40"/>
        <v>8250</v>
      </c>
      <c r="E203" s="65">
        <f t="shared" si="41"/>
        <v>1.9784172661870503</v>
      </c>
      <c r="F203" s="65" t="str">
        <f t="shared" si="34"/>
        <v>Yes</v>
      </c>
      <c r="G203" s="65" t="str">
        <f t="shared" si="35"/>
        <v>No</v>
      </c>
      <c r="H203" s="301" t="str">
        <f>IF(OR('TANF-VIEW'!L207&gt;0,'TANF-VIEW'!T207&gt;0),"Yes","No")</f>
        <v>No</v>
      </c>
      <c r="I203" s="63">
        <f t="shared" si="36"/>
        <v>525</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860</v>
      </c>
      <c r="M203" s="6">
        <f>IF(B203&gt;$N$2,0,VLOOKUP('Total income package'!$B$3,'Location specific data'!$A$3:$AO$135,36,FALSE))*$F$2*20</f>
        <v>0</v>
      </c>
      <c r="N203" s="6">
        <f>IF(B203&gt;$N$2,0,VLOOKUP('Total income package'!$B$3,'Location specific data'!$A$3:$AO$135,37,FALSE))*($G$2+$H$2)*20</f>
        <v>560</v>
      </c>
      <c r="O203" s="6">
        <f t="shared" si="37"/>
        <v>1575</v>
      </c>
      <c r="P203" s="312">
        <f t="shared" si="38"/>
        <v>412.5</v>
      </c>
      <c r="Q203" s="312">
        <f t="shared" si="39"/>
        <v>1575</v>
      </c>
      <c r="R203" s="312">
        <f t="shared" si="42"/>
        <v>412.5</v>
      </c>
      <c r="S203" s="160">
        <f>IF(AND('Total income package'!$A$8=TRUE,OR(F203="Yes",G203="Yes",H203="Yes")),SUM(J203:N203)-R203,0)</f>
        <v>2287.5</v>
      </c>
    </row>
    <row r="204" spans="1:19" x14ac:dyDescent="0.25">
      <c r="A204" s="6">
        <v>99500</v>
      </c>
      <c r="B204" s="7">
        <f t="shared" si="33"/>
        <v>8291.6666666666661</v>
      </c>
      <c r="C204" s="7">
        <f>'Total income package'!$D$80</f>
        <v>0</v>
      </c>
      <c r="D204" s="7">
        <f t="shared" si="40"/>
        <v>8291.6666666666661</v>
      </c>
      <c r="E204" s="65">
        <f t="shared" si="41"/>
        <v>1.9884092725819342</v>
      </c>
      <c r="F204" s="65" t="str">
        <f t="shared" si="34"/>
        <v>Yes</v>
      </c>
      <c r="G204" s="65" t="str">
        <f t="shared" si="35"/>
        <v>No</v>
      </c>
      <c r="H204" s="301" t="str">
        <f>IF(OR('TANF-VIEW'!L208&gt;0,'TANF-VIEW'!T208&gt;0),"Yes","No")</f>
        <v>No</v>
      </c>
      <c r="I204" s="63">
        <f t="shared" si="36"/>
        <v>525</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860</v>
      </c>
      <c r="M204" s="6">
        <f>IF(B204&gt;$N$2,0,VLOOKUP('Total income package'!$B$3,'Location specific data'!$A$3:$AO$135,36,FALSE))*$F$2*20</f>
        <v>0</v>
      </c>
      <c r="N204" s="6">
        <f>IF(B204&gt;$N$2,0,VLOOKUP('Total income package'!$B$3,'Location specific data'!$A$3:$AO$135,37,FALSE))*($G$2+$H$2)*20</f>
        <v>560</v>
      </c>
      <c r="O204" s="6">
        <f t="shared" si="37"/>
        <v>1575</v>
      </c>
      <c r="P204" s="312">
        <f t="shared" si="38"/>
        <v>414.58333333333331</v>
      </c>
      <c r="Q204" s="312">
        <f t="shared" si="39"/>
        <v>1575</v>
      </c>
      <c r="R204" s="312">
        <f t="shared" si="42"/>
        <v>414.58333333333331</v>
      </c>
      <c r="S204" s="160">
        <f>IF(AND('Total income package'!$A$8=TRUE,OR(F204="Yes",G204="Yes",H204="Yes")),SUM(J204:N204)-R204,0)</f>
        <v>2285.4166666666665</v>
      </c>
    </row>
    <row r="205" spans="1:19" x14ac:dyDescent="0.25">
      <c r="A205" s="6">
        <v>100000</v>
      </c>
      <c r="B205" s="7">
        <f>A205/12</f>
        <v>8333.3333333333339</v>
      </c>
      <c r="C205" s="7">
        <f>'Total income package'!$D$80</f>
        <v>0</v>
      </c>
      <c r="D205" s="7">
        <f>B205+C205</f>
        <v>8333.3333333333339</v>
      </c>
      <c r="E205" s="65">
        <f>D205/$K$2</f>
        <v>1.9984012789768186</v>
      </c>
      <c r="F205" s="65" t="str">
        <f t="shared" si="34"/>
        <v>Yes</v>
      </c>
      <c r="G205" s="65" t="str">
        <f t="shared" si="35"/>
        <v>No</v>
      </c>
      <c r="H205" s="301" t="str">
        <f>IF(OR('TANF-VIEW'!L209&gt;0,'TANF-VIEW'!T209&gt;0),"Yes","No")</f>
        <v>No</v>
      </c>
      <c r="I205" s="63">
        <f t="shared" si="36"/>
        <v>525</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860</v>
      </c>
      <c r="M205" s="6">
        <f>IF(B205&gt;$N$2,0,VLOOKUP('Total income package'!$B$3,'Location specific data'!$A$3:$AO$135,36,FALSE))*$F$2*20</f>
        <v>0</v>
      </c>
      <c r="N205" s="6">
        <f>IF(B205&gt;$N$2,0,VLOOKUP('Total income package'!$B$3,'Location specific data'!$A$3:$AO$135,37,FALSE))*($G$2+$H$2)*20</f>
        <v>560</v>
      </c>
      <c r="O205" s="6">
        <f t="shared" si="37"/>
        <v>1575</v>
      </c>
      <c r="P205" s="312">
        <f>B205*0.07</f>
        <v>583.33333333333348</v>
      </c>
      <c r="Q205" s="312">
        <f t="shared" si="39"/>
        <v>1575</v>
      </c>
      <c r="R205" s="312">
        <f>IF(MIN(O205,P205)&lt;Q205,MIN(O205,P205),Q205)</f>
        <v>583.33333333333348</v>
      </c>
      <c r="S205" s="160">
        <f>IF(AND('Total income package'!$A$8=TRUE,OR(F205="Yes",G205="Yes",H205="Yes")),SUM(J205:N205)-R205,0)</f>
        <v>2116.6666666666665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500</v>
      </c>
      <c r="C208" s="7">
        <f>'Total income package'!$D$80</f>
        <v>0</v>
      </c>
      <c r="D208" s="7">
        <f t="shared" ref="D208:D210" si="43">B208+C208</f>
        <v>500</v>
      </c>
      <c r="E208" s="65">
        <f t="shared" ref="E208:E210" si="44">D208/$K$2</f>
        <v>0.11990407673860912</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15</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860</v>
      </c>
      <c r="M208" s="6">
        <f>IF(B208&gt;$N$2,0,VLOOKUP('Total income package'!$B$3,'Location specific data'!$A$3:$AO$135,36,FALSE))*$F$2*20</f>
        <v>0</v>
      </c>
      <c r="N208" s="6">
        <f>IF(B208&gt;$N$2,0,VLOOKUP('Total income package'!$B$3,'Location specific data'!$A$3:$AO$135,37,FALSE))*($G$2+$H$2)*20</f>
        <v>560</v>
      </c>
      <c r="O208" s="6">
        <f>I208*SUM($C$2:$H$2)</f>
        <v>45</v>
      </c>
      <c r="P208" s="312">
        <f>B208*0.05</f>
        <v>25</v>
      </c>
      <c r="Q208" s="312">
        <f>I208*3</f>
        <v>45</v>
      </c>
      <c r="R208" s="312">
        <f>IF(MIN(O208,P208)&lt;Q208,MIN(O208,P208),Q208)</f>
        <v>25</v>
      </c>
      <c r="S208" s="160">
        <f>IF(AND('Total income package'!$A$8=TRUE,OR(F208="Yes",G208="Yes",H208="Yes")),SUM(J208:N208)-R208,0)</f>
        <v>2675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500</v>
      </c>
      <c r="C210" s="7">
        <f>'Total income package'!$D$80</f>
        <v>0</v>
      </c>
      <c r="D210" s="7">
        <f t="shared" si="43"/>
        <v>500</v>
      </c>
      <c r="E210" s="65">
        <f t="shared" si="44"/>
        <v>0.11990407673860912</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15</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860</v>
      </c>
      <c r="M210" s="6">
        <f>IF(B210&gt;$N$2,0,VLOOKUP('Total income package'!$B$3,'Location specific data'!$A$3:$AO$135,36,FALSE))*$F$2*20</f>
        <v>0</v>
      </c>
      <c r="N210" s="6">
        <f>IF(B210&gt;$N$2,0,VLOOKUP('Total income package'!$B$3,'Location specific data'!$A$3:$AO$135,37,FALSE))*($G$2+$H$2)*20</f>
        <v>560</v>
      </c>
      <c r="O210" s="6">
        <f>I210*SUM($C$2:$H$2)</f>
        <v>45</v>
      </c>
      <c r="P210" s="312">
        <f>B210*0.05</f>
        <v>25</v>
      </c>
      <c r="Q210" s="312">
        <f>I210*3</f>
        <v>45</v>
      </c>
      <c r="R210" s="312">
        <f>IF(MIN(O210,P210)&lt;Q210,MIN(O210,P210),Q210)</f>
        <v>25</v>
      </c>
      <c r="S210" s="160">
        <f>IF(AND('Total income package'!$A$8=TRUE,OR(F210="Yes",G210="Yes",H210="Yes")),SUM(J210:N210)-R210,0)</f>
        <v>2675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7</v>
      </c>
      <c r="C2" s="148">
        <f>'Total income package'!B30</f>
        <v>4</v>
      </c>
      <c r="D2" s="148">
        <f>'Total income package'!B31</f>
        <v>3</v>
      </c>
      <c r="E2" s="77" t="str">
        <f>'Total income package'!B72</f>
        <v>Married filing jointly</v>
      </c>
      <c r="F2" s="78">
        <f>IF($E$2="Married filing jointly",VLOOKUP($D$2,'EITC Rates'!$A$17:$G$24,2,FALSE),VLOOKUP($D$2,'EITC Rates'!$A$6:$G$13,2,FALSE))</f>
        <v>68675</v>
      </c>
      <c r="G2" s="78">
        <f>IF($E$2="Married filing jointly",VLOOKUP($D$2,'EITC Rates'!$A$17:$G$24,3,FALSE),VLOOKUP($D$2,'EITC Rates'!$A$6:$G$13,3,FALSE))</f>
        <v>8231</v>
      </c>
      <c r="H2" s="152">
        <f>IF($E$2="Married filing jointly",VLOOKUP($D$2,'EITC Rates'!$A$17:$G$24,4,FALSE),VLOOKUP($D$2,'EITC Rates'!$A$6:$G$13,4,FALSE))</f>
        <v>0.45</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225</v>
      </c>
      <c r="D6" s="158">
        <f t="shared" ref="D6:D69" si="0">C6*0.2</f>
        <v>45</v>
      </c>
      <c r="E6" s="164">
        <f>IF('Total income package'!$A$10=TRUE,SUM(EITC!C6:D6),0)</f>
        <v>270</v>
      </c>
      <c r="F6" s="6"/>
      <c r="G6" s="6"/>
      <c r="J6" s="73"/>
      <c r="K6" s="73"/>
      <c r="L6" s="73"/>
    </row>
    <row r="7" spans="1:28" x14ac:dyDescent="0.25">
      <c r="A7" s="3">
        <v>1000</v>
      </c>
      <c r="B7" s="4">
        <f>A7/12</f>
        <v>83.333333333333329</v>
      </c>
      <c r="C7" s="157">
        <f>MAX(0,IF(A7&gt;$F$2,0,IF(AND(A7&lt;$F$2,A7&gt;=$K$2),$G$2-((A7-$K$2-1)*$I$2),IF(AND(A7&lt;$K$2,A7&gt;=$J$2),$G$2,IF(A7&lt;$J$2,A7*$H$2,0)))))</f>
        <v>450</v>
      </c>
      <c r="D7" s="158">
        <f t="shared" si="0"/>
        <v>90</v>
      </c>
      <c r="E7" s="164">
        <f>IF('Total income package'!$A$10=TRUE,SUM(EITC!C7:D7),0)</f>
        <v>540</v>
      </c>
      <c r="F7" s="6"/>
      <c r="G7" s="6"/>
      <c r="H7" s="7"/>
      <c r="I7" s="47"/>
      <c r="M7" s="7"/>
    </row>
    <row r="8" spans="1:28" x14ac:dyDescent="0.25">
      <c r="A8" s="3">
        <v>1500</v>
      </c>
      <c r="B8" s="4">
        <f t="shared" ref="B8:B71" si="1">A8/12</f>
        <v>125</v>
      </c>
      <c r="C8" s="157">
        <f t="shared" ref="C8:C70" si="2">MAX(0,IF(A8&gt;$F$2,0,IF(AND(A8&lt;$F$2,A8&gt;=$K$2),$G$2-((A8-$K$2-1)*$I$2),IF(AND(A8&lt;$K$2,A8&gt;=$J$2),$G$2,IF(A8&lt;$J$2,A8*$H$2,0)))))</f>
        <v>675</v>
      </c>
      <c r="D8" s="158">
        <f t="shared" si="0"/>
        <v>135</v>
      </c>
      <c r="E8" s="164">
        <f>IF('Total income package'!$A$10=TRUE,SUM(EITC!C8:D8),0)</f>
        <v>810</v>
      </c>
      <c r="F8" s="6"/>
      <c r="G8" s="6"/>
      <c r="H8" s="7"/>
      <c r="I8" s="47"/>
      <c r="K8" s="7"/>
      <c r="M8" s="7"/>
      <c r="P8" s="41"/>
    </row>
    <row r="9" spans="1:28" x14ac:dyDescent="0.25">
      <c r="A9" s="3">
        <v>2000</v>
      </c>
      <c r="B9" s="4">
        <f t="shared" si="1"/>
        <v>166.66666666666666</v>
      </c>
      <c r="C9" s="157">
        <f>MAX(0,IF(A9&gt;$F$2,0,IF(AND(A9&lt;$F$2,A9&gt;=$K$2),$G$2-((A9-$K$2-1)*$I$2),IF(AND(A9&lt;$K$2,A9&gt;=$J$2),$G$2,IF(A9&lt;$J$2,A9*$H$2,0)))))</f>
        <v>900</v>
      </c>
      <c r="D9" s="158">
        <f t="shared" si="0"/>
        <v>180</v>
      </c>
      <c r="E9" s="164">
        <f>IF('Total income package'!$A$10=TRUE,SUM(EITC!C9:D9),0)</f>
        <v>1080</v>
      </c>
      <c r="F9" s="6"/>
      <c r="G9" s="6"/>
      <c r="H9" s="7"/>
      <c r="I9" s="47"/>
      <c r="K9" s="7"/>
      <c r="M9" s="7"/>
    </row>
    <row r="10" spans="1:28" x14ac:dyDescent="0.25">
      <c r="A10" s="3">
        <v>2500</v>
      </c>
      <c r="B10" s="4">
        <f t="shared" si="1"/>
        <v>208.33333333333334</v>
      </c>
      <c r="C10" s="157">
        <f t="shared" si="2"/>
        <v>1125</v>
      </c>
      <c r="D10" s="158">
        <f t="shared" si="0"/>
        <v>225</v>
      </c>
      <c r="E10" s="164">
        <f>IF('Total income package'!$A$10=TRUE,SUM(EITC!C10:D10),0)</f>
        <v>1350</v>
      </c>
      <c r="F10" s="6"/>
      <c r="G10" s="6"/>
      <c r="H10" s="7"/>
      <c r="I10" s="47"/>
      <c r="K10" s="7"/>
      <c r="M10" s="7"/>
    </row>
    <row r="11" spans="1:28" x14ac:dyDescent="0.25">
      <c r="A11" s="3">
        <v>3000</v>
      </c>
      <c r="B11" s="4">
        <f t="shared" si="1"/>
        <v>250</v>
      </c>
      <c r="C11" s="157">
        <f t="shared" si="2"/>
        <v>1350</v>
      </c>
      <c r="D11" s="158">
        <f t="shared" si="0"/>
        <v>270</v>
      </c>
      <c r="E11" s="164">
        <f>IF('Total income package'!$A$10=TRUE,SUM(EITC!C11:D11),0)</f>
        <v>1620</v>
      </c>
      <c r="F11" s="6"/>
      <c r="G11" s="6"/>
      <c r="H11" s="7"/>
      <c r="I11" s="47"/>
      <c r="K11" s="7"/>
      <c r="M11" s="7"/>
    </row>
    <row r="12" spans="1:28" x14ac:dyDescent="0.25">
      <c r="A12" s="3">
        <v>3500</v>
      </c>
      <c r="B12" s="4">
        <f t="shared" si="1"/>
        <v>291.66666666666669</v>
      </c>
      <c r="C12" s="157">
        <f t="shared" si="2"/>
        <v>1575</v>
      </c>
      <c r="D12" s="158">
        <f t="shared" si="0"/>
        <v>315</v>
      </c>
      <c r="E12" s="164">
        <f>IF('Total income package'!$A$10=TRUE,SUM(EITC!C12:D12),0)</f>
        <v>1890</v>
      </c>
      <c r="F12" s="6"/>
      <c r="G12" s="6"/>
      <c r="H12" s="7"/>
      <c r="I12" s="47"/>
      <c r="K12" s="7"/>
      <c r="M12" s="7"/>
    </row>
    <row r="13" spans="1:28" x14ac:dyDescent="0.25">
      <c r="A13" s="3">
        <v>4000</v>
      </c>
      <c r="B13" s="4">
        <f t="shared" si="1"/>
        <v>333.33333333333331</v>
      </c>
      <c r="C13" s="157">
        <f t="shared" si="2"/>
        <v>1800</v>
      </c>
      <c r="D13" s="158">
        <f t="shared" si="0"/>
        <v>360</v>
      </c>
      <c r="E13" s="164">
        <f>IF('Total income package'!$A$10=TRUE,SUM(EITC!C13:D13),0)</f>
        <v>2160</v>
      </c>
      <c r="F13" s="6"/>
      <c r="G13" s="6"/>
      <c r="H13" s="7"/>
      <c r="I13" s="47"/>
      <c r="K13" s="7"/>
      <c r="M13" s="7"/>
    </row>
    <row r="14" spans="1:28" x14ac:dyDescent="0.25">
      <c r="A14" s="3">
        <v>4500</v>
      </c>
      <c r="B14" s="4">
        <f t="shared" si="1"/>
        <v>375</v>
      </c>
      <c r="C14" s="157">
        <f t="shared" si="2"/>
        <v>2025</v>
      </c>
      <c r="D14" s="158">
        <f t="shared" si="0"/>
        <v>405</v>
      </c>
      <c r="E14" s="164">
        <f>IF('Total income package'!$A$10=TRUE,SUM(EITC!C14:D14),0)</f>
        <v>2430</v>
      </c>
      <c r="F14" s="156"/>
      <c r="G14" s="156"/>
      <c r="H14" s="7"/>
      <c r="I14" s="47"/>
      <c r="K14" s="7"/>
      <c r="M14" s="7"/>
    </row>
    <row r="15" spans="1:28" x14ac:dyDescent="0.25">
      <c r="A15" s="3">
        <v>5000</v>
      </c>
      <c r="B15" s="4">
        <f t="shared" si="1"/>
        <v>416.66666666666669</v>
      </c>
      <c r="C15" s="157">
        <f t="shared" si="2"/>
        <v>2250</v>
      </c>
      <c r="D15" s="158">
        <f t="shared" si="0"/>
        <v>450</v>
      </c>
      <c r="E15" s="164">
        <f>IF('Total income package'!$A$10=TRUE,SUM(EITC!C15:D15),0)</f>
        <v>2700</v>
      </c>
      <c r="F15" s="6"/>
      <c r="G15" s="6"/>
      <c r="H15" s="7"/>
      <c r="I15" s="47"/>
      <c r="K15" s="7"/>
      <c r="M15" s="7"/>
    </row>
    <row r="16" spans="1:28" x14ac:dyDescent="0.25">
      <c r="A16" s="3">
        <v>5500</v>
      </c>
      <c r="B16" s="4">
        <f t="shared" si="1"/>
        <v>458.33333333333331</v>
      </c>
      <c r="C16" s="157">
        <f t="shared" si="2"/>
        <v>2475</v>
      </c>
      <c r="D16" s="158">
        <f t="shared" si="0"/>
        <v>495</v>
      </c>
      <c r="E16" s="164">
        <f>IF('Total income package'!$A$10=TRUE,SUM(EITC!C16:D16),0)</f>
        <v>2970</v>
      </c>
      <c r="F16" s="6"/>
      <c r="G16" s="6"/>
      <c r="H16" s="7"/>
      <c r="I16" s="47"/>
      <c r="K16" s="7"/>
      <c r="M16" s="7"/>
    </row>
    <row r="17" spans="1:14" x14ac:dyDescent="0.25">
      <c r="A17" s="3">
        <v>6000</v>
      </c>
      <c r="B17" s="4">
        <f t="shared" si="1"/>
        <v>500</v>
      </c>
      <c r="C17" s="157">
        <f t="shared" si="2"/>
        <v>2700</v>
      </c>
      <c r="D17" s="158">
        <f t="shared" si="0"/>
        <v>540</v>
      </c>
      <c r="E17" s="164">
        <f>IF('Total income package'!$A$10=TRUE,SUM(EITC!C17:D17),0)</f>
        <v>3240</v>
      </c>
      <c r="F17" s="6"/>
      <c r="G17" s="6"/>
      <c r="H17" s="7"/>
      <c r="I17" s="47"/>
      <c r="K17" s="7"/>
      <c r="M17" s="7"/>
    </row>
    <row r="18" spans="1:14" x14ac:dyDescent="0.25">
      <c r="A18" s="3">
        <v>6500</v>
      </c>
      <c r="B18" s="4">
        <f t="shared" si="1"/>
        <v>541.66666666666663</v>
      </c>
      <c r="C18" s="157">
        <f t="shared" si="2"/>
        <v>2925</v>
      </c>
      <c r="D18" s="158">
        <f t="shared" si="0"/>
        <v>585</v>
      </c>
      <c r="E18" s="164">
        <f>IF('Total income package'!$A$10=TRUE,SUM(EITC!C18:D18),0)</f>
        <v>3510</v>
      </c>
      <c r="F18" s="6"/>
      <c r="G18" s="6"/>
      <c r="H18" s="7"/>
      <c r="I18" s="47"/>
      <c r="K18" s="7"/>
      <c r="M18" s="7"/>
    </row>
    <row r="19" spans="1:14" x14ac:dyDescent="0.25">
      <c r="A19" s="3">
        <v>7000</v>
      </c>
      <c r="B19" s="4">
        <f t="shared" si="1"/>
        <v>583.33333333333337</v>
      </c>
      <c r="C19" s="157">
        <f t="shared" si="2"/>
        <v>3150</v>
      </c>
      <c r="D19" s="158">
        <f t="shared" si="0"/>
        <v>630</v>
      </c>
      <c r="E19" s="164">
        <f>IF('Total income package'!$A$10=TRUE,SUM(EITC!C19:D19),0)</f>
        <v>3780</v>
      </c>
      <c r="F19" s="6"/>
      <c r="G19" s="6"/>
      <c r="H19" s="7"/>
      <c r="I19" s="47"/>
      <c r="K19" s="7"/>
      <c r="M19" s="7"/>
    </row>
    <row r="20" spans="1:14" x14ac:dyDescent="0.25">
      <c r="A20" s="3">
        <v>7500</v>
      </c>
      <c r="B20" s="4">
        <f t="shared" si="1"/>
        <v>625</v>
      </c>
      <c r="C20" s="157">
        <f t="shared" si="2"/>
        <v>3375</v>
      </c>
      <c r="D20" s="158">
        <f t="shared" si="0"/>
        <v>675</v>
      </c>
      <c r="E20" s="164">
        <f>IF('Total income package'!$A$10=TRUE,SUM(EITC!C20:D20),0)</f>
        <v>4050</v>
      </c>
      <c r="F20" s="6"/>
      <c r="G20" s="6"/>
      <c r="H20" s="7"/>
      <c r="I20" s="47"/>
      <c r="K20" s="7"/>
      <c r="M20" s="7"/>
    </row>
    <row r="21" spans="1:14" x14ac:dyDescent="0.25">
      <c r="A21" s="3">
        <v>8000</v>
      </c>
      <c r="B21" s="4">
        <f t="shared" si="1"/>
        <v>666.66666666666663</v>
      </c>
      <c r="C21" s="157">
        <f t="shared" si="2"/>
        <v>3600</v>
      </c>
      <c r="D21" s="158">
        <f t="shared" si="0"/>
        <v>720</v>
      </c>
      <c r="E21" s="164">
        <f>IF('Total income package'!$A$10=TRUE,SUM(EITC!C21:D21),0)</f>
        <v>4320</v>
      </c>
      <c r="F21" s="6"/>
      <c r="G21" s="6"/>
      <c r="H21" s="7"/>
      <c r="I21" s="47"/>
      <c r="K21" s="7"/>
      <c r="M21" s="7"/>
    </row>
    <row r="22" spans="1:14" x14ac:dyDescent="0.25">
      <c r="A22" s="3">
        <v>8500</v>
      </c>
      <c r="B22" s="4">
        <f t="shared" si="1"/>
        <v>708.33333333333337</v>
      </c>
      <c r="C22" s="157">
        <f t="shared" si="2"/>
        <v>3825</v>
      </c>
      <c r="D22" s="158">
        <f t="shared" si="0"/>
        <v>765</v>
      </c>
      <c r="E22" s="164">
        <f>IF('Total income package'!$A$10=TRUE,SUM(EITC!C22:D22),0)</f>
        <v>4590</v>
      </c>
      <c r="F22" s="6"/>
      <c r="G22" s="6"/>
      <c r="H22" s="7"/>
      <c r="I22" s="47"/>
      <c r="K22" s="7"/>
      <c r="M22" s="7"/>
    </row>
    <row r="23" spans="1:14" x14ac:dyDescent="0.25">
      <c r="A23" s="3">
        <v>9000</v>
      </c>
      <c r="B23" s="4">
        <f t="shared" si="1"/>
        <v>750</v>
      </c>
      <c r="C23" s="157">
        <f t="shared" si="2"/>
        <v>4050</v>
      </c>
      <c r="D23" s="158">
        <f t="shared" si="0"/>
        <v>810</v>
      </c>
      <c r="E23" s="164">
        <f>IF('Total income package'!$A$10=TRUE,SUM(EITC!C23:D23),0)</f>
        <v>4860</v>
      </c>
      <c r="F23" s="6"/>
      <c r="G23" s="6"/>
      <c r="H23" s="7"/>
      <c r="I23" s="47"/>
      <c r="K23" s="7"/>
      <c r="L23" s="4"/>
      <c r="M23" s="7"/>
      <c r="N23" s="7"/>
    </row>
    <row r="24" spans="1:14" x14ac:dyDescent="0.25">
      <c r="A24" s="3">
        <v>9500</v>
      </c>
      <c r="B24" s="4">
        <f t="shared" si="1"/>
        <v>791.66666666666663</v>
      </c>
      <c r="C24" s="157">
        <f t="shared" si="2"/>
        <v>4275</v>
      </c>
      <c r="D24" s="158">
        <f t="shared" si="0"/>
        <v>855</v>
      </c>
      <c r="E24" s="164">
        <f>IF('Total income package'!$A$10=TRUE,SUM(EITC!C24:D24),0)</f>
        <v>5130</v>
      </c>
      <c r="F24" s="6"/>
      <c r="G24" s="6"/>
      <c r="H24" s="7"/>
      <c r="I24" s="47"/>
      <c r="K24" s="7"/>
      <c r="L24" s="4"/>
      <c r="M24" s="7"/>
    </row>
    <row r="25" spans="1:14" x14ac:dyDescent="0.25">
      <c r="A25" s="3">
        <v>10000</v>
      </c>
      <c r="B25" s="4">
        <f t="shared" si="1"/>
        <v>833.33333333333337</v>
      </c>
      <c r="C25" s="157">
        <f t="shared" si="2"/>
        <v>4500</v>
      </c>
      <c r="D25" s="158">
        <f t="shared" si="0"/>
        <v>900</v>
      </c>
      <c r="E25" s="164">
        <f>IF('Total income package'!$A$10=TRUE,SUM(EITC!C25:D25),0)</f>
        <v>5400</v>
      </c>
      <c r="F25" s="6"/>
      <c r="G25" s="6"/>
      <c r="H25" s="7"/>
      <c r="I25" s="47"/>
      <c r="K25" s="7"/>
      <c r="M25" s="7"/>
    </row>
    <row r="26" spans="1:14" x14ac:dyDescent="0.25">
      <c r="A26" s="3">
        <v>10500</v>
      </c>
      <c r="B26" s="4">
        <f t="shared" si="1"/>
        <v>875</v>
      </c>
      <c r="C26" s="157">
        <f t="shared" si="2"/>
        <v>4725</v>
      </c>
      <c r="D26" s="158">
        <f t="shared" si="0"/>
        <v>945</v>
      </c>
      <c r="E26" s="164">
        <f>IF('Total income package'!$A$10=TRUE,SUM(EITC!C26:D26),0)</f>
        <v>5670</v>
      </c>
      <c r="F26" s="6"/>
      <c r="G26" s="6"/>
      <c r="H26" s="7"/>
      <c r="I26" s="47"/>
      <c r="K26" s="7"/>
      <c r="M26" s="7"/>
    </row>
    <row r="27" spans="1:14" x14ac:dyDescent="0.25">
      <c r="A27" s="3">
        <v>11000</v>
      </c>
      <c r="B27" s="4">
        <f t="shared" si="1"/>
        <v>916.66666666666663</v>
      </c>
      <c r="C27" s="157">
        <f t="shared" si="2"/>
        <v>4950</v>
      </c>
      <c r="D27" s="158">
        <f t="shared" si="0"/>
        <v>990</v>
      </c>
      <c r="E27" s="164">
        <f>IF('Total income package'!$A$10=TRUE,SUM(EITC!C27:D27),0)</f>
        <v>5940</v>
      </c>
      <c r="F27" s="6"/>
      <c r="G27" s="6"/>
      <c r="H27" s="7"/>
      <c r="I27" s="47"/>
      <c r="K27" s="7"/>
      <c r="M27" s="7"/>
    </row>
    <row r="28" spans="1:14" x14ac:dyDescent="0.25">
      <c r="A28" s="3">
        <v>11500</v>
      </c>
      <c r="B28" s="4">
        <f t="shared" si="1"/>
        <v>958.33333333333337</v>
      </c>
      <c r="C28" s="157">
        <f t="shared" si="2"/>
        <v>5175</v>
      </c>
      <c r="D28" s="158">
        <f t="shared" si="0"/>
        <v>1035</v>
      </c>
      <c r="E28" s="164">
        <f>IF('Total income package'!$A$10=TRUE,SUM(EITC!C28:D28),0)</f>
        <v>6210</v>
      </c>
      <c r="F28" s="6"/>
      <c r="G28" s="6"/>
      <c r="H28" s="7"/>
      <c r="I28" s="47"/>
      <c r="J28" s="7"/>
      <c r="K28" s="7"/>
      <c r="M28" s="7"/>
    </row>
    <row r="29" spans="1:14" x14ac:dyDescent="0.25">
      <c r="A29" s="3">
        <v>12000</v>
      </c>
      <c r="B29" s="4">
        <f t="shared" si="1"/>
        <v>1000</v>
      </c>
      <c r="C29" s="157">
        <f t="shared" si="2"/>
        <v>5400</v>
      </c>
      <c r="D29" s="158">
        <f t="shared" si="0"/>
        <v>1080</v>
      </c>
      <c r="E29" s="164">
        <f>IF('Total income package'!$A$10=TRUE,SUM(EITC!C29:D29),0)</f>
        <v>6480</v>
      </c>
      <c r="F29" s="6"/>
      <c r="G29" s="6"/>
      <c r="H29" s="7"/>
      <c r="I29" s="47"/>
      <c r="J29" s="3"/>
      <c r="K29" s="7"/>
      <c r="M29" s="7"/>
    </row>
    <row r="30" spans="1:14" x14ac:dyDescent="0.25">
      <c r="A30" s="3">
        <v>12500</v>
      </c>
      <c r="B30" s="4">
        <f t="shared" si="1"/>
        <v>1041.6666666666667</v>
      </c>
      <c r="C30" s="157">
        <f t="shared" si="2"/>
        <v>5625</v>
      </c>
      <c r="D30" s="158">
        <f t="shared" si="0"/>
        <v>1125</v>
      </c>
      <c r="E30" s="164">
        <f>IF('Total income package'!$A$10=TRUE,SUM(EITC!C30:D30),0)</f>
        <v>6750</v>
      </c>
      <c r="F30" s="6"/>
      <c r="G30" s="6"/>
      <c r="H30" s="7"/>
      <c r="I30" s="47"/>
      <c r="J30" s="3"/>
      <c r="K30" s="7"/>
      <c r="M30" s="7"/>
    </row>
    <row r="31" spans="1:14" x14ac:dyDescent="0.25">
      <c r="A31" s="3">
        <v>13000</v>
      </c>
      <c r="B31" s="4">
        <f t="shared" si="1"/>
        <v>1083.3333333333333</v>
      </c>
      <c r="C31" s="157">
        <f t="shared" si="2"/>
        <v>5850</v>
      </c>
      <c r="D31" s="158">
        <f t="shared" si="0"/>
        <v>1170</v>
      </c>
      <c r="E31" s="164">
        <f>IF('Total income package'!$A$10=TRUE,SUM(EITC!C31:D31),0)</f>
        <v>7020</v>
      </c>
      <c r="F31" s="6"/>
      <c r="G31" s="6"/>
      <c r="H31" s="7"/>
      <c r="I31" s="47"/>
      <c r="J31" s="3"/>
      <c r="K31" s="7"/>
      <c r="M31" s="7"/>
    </row>
    <row r="32" spans="1:14" x14ac:dyDescent="0.25">
      <c r="A32" s="3">
        <v>13500</v>
      </c>
      <c r="B32" s="4">
        <f t="shared" si="1"/>
        <v>1125</v>
      </c>
      <c r="C32" s="157">
        <f>MAX(0,IF(A32&gt;$F$2,0,IF(AND(A32&lt;$F$2,A32&gt;=$K$2),$G$2-((A32-$K$2-1)*$I$2),IF(AND(A32&lt;$K$2,A32&gt;=$J$2),$G$2,IF(A32&lt;$J$2,A32*$H$2,0)))))</f>
        <v>6075</v>
      </c>
      <c r="D32" s="158">
        <f t="shared" si="0"/>
        <v>1215</v>
      </c>
      <c r="E32" s="164">
        <f>IF('Total income package'!$A$10=TRUE,SUM(EITC!C32:D32),0)</f>
        <v>7290</v>
      </c>
      <c r="F32" s="6"/>
      <c r="G32" s="6"/>
      <c r="H32" s="7"/>
      <c r="I32" s="47"/>
      <c r="J32" s="3"/>
      <c r="K32" s="7"/>
      <c r="M32" s="7"/>
    </row>
    <row r="33" spans="1:13" x14ac:dyDescent="0.25">
      <c r="A33" s="3">
        <v>14000</v>
      </c>
      <c r="B33" s="4">
        <f t="shared" si="1"/>
        <v>1166.6666666666667</v>
      </c>
      <c r="C33" s="157">
        <f t="shared" si="2"/>
        <v>6300</v>
      </c>
      <c r="D33" s="158">
        <f t="shared" si="0"/>
        <v>1260</v>
      </c>
      <c r="E33" s="164">
        <f>IF('Total income package'!$A$10=TRUE,SUM(EITC!C33:D33),0)</f>
        <v>7560</v>
      </c>
      <c r="F33" s="6"/>
      <c r="G33" s="6"/>
      <c r="H33" s="7"/>
      <c r="I33" s="47"/>
      <c r="J33" s="3"/>
      <c r="K33" s="7"/>
      <c r="M33" s="7"/>
    </row>
    <row r="34" spans="1:13" x14ac:dyDescent="0.25">
      <c r="A34" s="3">
        <v>14500</v>
      </c>
      <c r="B34" s="4">
        <f t="shared" si="1"/>
        <v>1208.3333333333333</v>
      </c>
      <c r="C34" s="157">
        <f t="shared" si="2"/>
        <v>6525</v>
      </c>
      <c r="D34" s="158">
        <f t="shared" si="0"/>
        <v>1305</v>
      </c>
      <c r="E34" s="164">
        <f>IF('Total income package'!$A$10=TRUE,SUM(EITC!C34:D34),0)</f>
        <v>7830</v>
      </c>
      <c r="F34" s="6"/>
      <c r="G34" s="6"/>
      <c r="H34" s="7"/>
      <c r="I34" s="47"/>
      <c r="J34" s="3"/>
      <c r="K34" s="7"/>
      <c r="M34" s="7"/>
    </row>
    <row r="35" spans="1:13" x14ac:dyDescent="0.25">
      <c r="A35" s="3">
        <v>15000</v>
      </c>
      <c r="B35" s="4">
        <f t="shared" si="1"/>
        <v>1250</v>
      </c>
      <c r="C35" s="157">
        <f t="shared" si="2"/>
        <v>6750</v>
      </c>
      <c r="D35" s="158">
        <f t="shared" si="0"/>
        <v>1350</v>
      </c>
      <c r="E35" s="164">
        <f>IF('Total income package'!$A$10=TRUE,SUM(EITC!C35:D35),0)</f>
        <v>8100</v>
      </c>
      <c r="F35" s="6"/>
      <c r="G35" s="6"/>
      <c r="H35" s="7"/>
      <c r="I35" s="47"/>
      <c r="J35" s="3"/>
      <c r="K35" s="7"/>
      <c r="M35" s="7"/>
    </row>
    <row r="36" spans="1:13" x14ac:dyDescent="0.25">
      <c r="A36" s="3">
        <v>15500</v>
      </c>
      <c r="B36" s="4">
        <f t="shared" si="1"/>
        <v>1291.6666666666667</v>
      </c>
      <c r="C36" s="157">
        <f t="shared" si="2"/>
        <v>6975</v>
      </c>
      <c r="D36" s="158">
        <f t="shared" si="0"/>
        <v>1395</v>
      </c>
      <c r="E36" s="164">
        <f>IF('Total income package'!$A$10=TRUE,SUM(EITC!C36:D36),0)</f>
        <v>8370</v>
      </c>
      <c r="F36" s="6"/>
      <c r="G36" s="6"/>
      <c r="H36" s="7"/>
      <c r="I36" s="47"/>
      <c r="J36" s="3"/>
      <c r="K36" s="7"/>
      <c r="M36" s="7"/>
    </row>
    <row r="37" spans="1:13" x14ac:dyDescent="0.25">
      <c r="A37" s="3">
        <v>16000</v>
      </c>
      <c r="B37" s="4">
        <f t="shared" si="1"/>
        <v>1333.3333333333333</v>
      </c>
      <c r="C37" s="157">
        <f t="shared" si="2"/>
        <v>7200</v>
      </c>
      <c r="D37" s="158">
        <f t="shared" si="0"/>
        <v>1440</v>
      </c>
      <c r="E37" s="164">
        <f>IF('Total income package'!$A$10=TRUE,SUM(EITC!C37:D37),0)</f>
        <v>8640</v>
      </c>
      <c r="F37" s="6"/>
      <c r="G37" s="6"/>
      <c r="H37" s="7"/>
      <c r="I37" s="47"/>
      <c r="J37" s="3"/>
      <c r="K37" s="7"/>
      <c r="M37" s="7"/>
    </row>
    <row r="38" spans="1:13" x14ac:dyDescent="0.25">
      <c r="A38" s="3">
        <v>16500</v>
      </c>
      <c r="B38" s="4">
        <f t="shared" si="1"/>
        <v>1375</v>
      </c>
      <c r="C38" s="157">
        <f t="shared" si="2"/>
        <v>7425</v>
      </c>
      <c r="D38" s="158">
        <f t="shared" si="0"/>
        <v>1485</v>
      </c>
      <c r="E38" s="164">
        <f>IF('Total income package'!$A$10=TRUE,SUM(EITC!C38:D38),0)</f>
        <v>8910</v>
      </c>
      <c r="F38" s="6"/>
      <c r="G38" s="6"/>
      <c r="H38" s="7"/>
      <c r="I38" s="47"/>
      <c r="J38" s="3"/>
      <c r="K38" s="7"/>
      <c r="M38" s="7"/>
    </row>
    <row r="39" spans="1:13" x14ac:dyDescent="0.25">
      <c r="A39" s="3">
        <v>17000</v>
      </c>
      <c r="B39" s="4">
        <f t="shared" si="1"/>
        <v>1416.6666666666667</v>
      </c>
      <c r="C39" s="157">
        <f t="shared" si="2"/>
        <v>7650</v>
      </c>
      <c r="D39" s="158">
        <f t="shared" si="0"/>
        <v>1530</v>
      </c>
      <c r="E39" s="164">
        <f>IF('Total income package'!$A$10=TRUE,SUM(EITC!C39:D39),0)</f>
        <v>9180</v>
      </c>
      <c r="F39" s="6"/>
      <c r="G39" s="6"/>
      <c r="H39" s="7"/>
      <c r="I39" s="47"/>
      <c r="J39" s="3"/>
      <c r="K39" s="7"/>
      <c r="M39" s="7"/>
    </row>
    <row r="40" spans="1:13" x14ac:dyDescent="0.25">
      <c r="A40" s="3">
        <v>17500</v>
      </c>
      <c r="B40" s="4">
        <f t="shared" si="1"/>
        <v>1458.3333333333333</v>
      </c>
      <c r="C40" s="157">
        <f>MAX(0,IF(A40&gt;$F$2,0,IF(AND(A40&lt;$F$2,A40&gt;=$K$2),$G$2-((A40-$K$2-1)*$I$2),IF(AND(A40&lt;$K$2,A40&gt;=$J$2),$G$2,IF(A40&lt;$J$2,A40*$H$2,0)))))</f>
        <v>7875</v>
      </c>
      <c r="D40" s="158">
        <f t="shared" si="0"/>
        <v>1575</v>
      </c>
      <c r="E40" s="164">
        <f>IF('Total income package'!$A$10=TRUE,SUM(EITC!C40:D40),0)</f>
        <v>9450</v>
      </c>
      <c r="F40" s="6"/>
      <c r="G40" s="6"/>
      <c r="H40" s="7"/>
      <c r="I40" s="47"/>
      <c r="J40" s="3"/>
      <c r="K40" s="7"/>
      <c r="M40" s="7"/>
    </row>
    <row r="41" spans="1:13" x14ac:dyDescent="0.25">
      <c r="A41" s="3">
        <v>18000</v>
      </c>
      <c r="B41" s="4">
        <f t="shared" si="1"/>
        <v>1500</v>
      </c>
      <c r="C41" s="157">
        <f t="shared" si="2"/>
        <v>8100</v>
      </c>
      <c r="D41" s="158">
        <f t="shared" si="0"/>
        <v>1620</v>
      </c>
      <c r="E41" s="164">
        <f>IF('Total income package'!$A$10=TRUE,SUM(EITC!C41:D41),0)</f>
        <v>9720</v>
      </c>
      <c r="F41" s="6"/>
      <c r="G41" s="6"/>
      <c r="H41" s="7"/>
      <c r="I41" s="47"/>
      <c r="J41" s="3"/>
      <c r="K41" s="7"/>
      <c r="M41" s="7"/>
    </row>
    <row r="42" spans="1:13" x14ac:dyDescent="0.25">
      <c r="A42" s="3">
        <v>18500</v>
      </c>
      <c r="B42" s="4">
        <f t="shared" si="1"/>
        <v>1541.6666666666667</v>
      </c>
      <c r="C42" s="157">
        <f t="shared" si="2"/>
        <v>8231</v>
      </c>
      <c r="D42" s="158">
        <f t="shared" si="0"/>
        <v>1646.2</v>
      </c>
      <c r="E42" s="164">
        <f>IF('Total income package'!$A$10=TRUE,SUM(EITC!C42:D42),0)</f>
        <v>9877.2000000000007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8231</v>
      </c>
      <c r="D43" s="158">
        <f t="shared" si="0"/>
        <v>1646.2</v>
      </c>
      <c r="E43" s="164">
        <f>IF('Total income package'!$A$10=TRUE,SUM(EITC!C43:D43),0)</f>
        <v>9877.2000000000007</v>
      </c>
      <c r="F43" s="6"/>
      <c r="G43" s="6"/>
      <c r="H43" s="7"/>
      <c r="I43" s="47"/>
      <c r="J43" s="3"/>
      <c r="K43" s="7"/>
      <c r="M43" s="7"/>
    </row>
    <row r="44" spans="1:13" x14ac:dyDescent="0.25">
      <c r="A44" s="3">
        <v>19500</v>
      </c>
      <c r="B44" s="4">
        <f t="shared" si="1"/>
        <v>1625</v>
      </c>
      <c r="C44" s="157">
        <f t="shared" si="2"/>
        <v>8231</v>
      </c>
      <c r="D44" s="158">
        <f t="shared" si="0"/>
        <v>1646.2</v>
      </c>
      <c r="E44" s="164">
        <f>IF('Total income package'!$A$10=TRUE,SUM(EITC!C44:D44),0)</f>
        <v>9877.2000000000007</v>
      </c>
      <c r="F44" s="6"/>
      <c r="G44" s="6"/>
      <c r="H44" s="7"/>
      <c r="I44" s="47"/>
      <c r="J44" s="3"/>
      <c r="K44" s="7"/>
      <c r="M44" s="7"/>
    </row>
    <row r="45" spans="1:13" x14ac:dyDescent="0.25">
      <c r="A45" s="3">
        <v>20000</v>
      </c>
      <c r="B45" s="4">
        <f t="shared" si="1"/>
        <v>1666.6666666666667</v>
      </c>
      <c r="C45" s="157">
        <f t="shared" si="2"/>
        <v>8231</v>
      </c>
      <c r="D45" s="158">
        <f t="shared" si="0"/>
        <v>1646.2</v>
      </c>
      <c r="E45" s="164">
        <f>IF('Total income package'!$A$10=TRUE,SUM(EITC!C45:D45),0)</f>
        <v>9877.2000000000007</v>
      </c>
      <c r="F45" s="6"/>
      <c r="G45" s="6"/>
      <c r="H45" s="7"/>
      <c r="I45" s="47"/>
      <c r="J45" s="3"/>
      <c r="M45" s="7"/>
    </row>
    <row r="46" spans="1:13" x14ac:dyDescent="0.25">
      <c r="A46" s="3">
        <v>20500</v>
      </c>
      <c r="B46" s="4">
        <f t="shared" si="1"/>
        <v>1708.3333333333333</v>
      </c>
      <c r="C46" s="157">
        <f t="shared" si="2"/>
        <v>8231</v>
      </c>
      <c r="D46" s="158">
        <f t="shared" si="0"/>
        <v>1646.2</v>
      </c>
      <c r="E46" s="164">
        <f>IF('Total income package'!$A$10=TRUE,SUM(EITC!C46:D46),0)</f>
        <v>9877.2000000000007</v>
      </c>
      <c r="F46" s="6"/>
      <c r="G46" s="6"/>
      <c r="H46" s="7"/>
      <c r="I46" s="47"/>
      <c r="J46" s="3"/>
      <c r="M46" s="7"/>
    </row>
    <row r="47" spans="1:13" x14ac:dyDescent="0.25">
      <c r="A47" s="3">
        <v>21000</v>
      </c>
      <c r="B47" s="4">
        <f t="shared" si="1"/>
        <v>1750</v>
      </c>
      <c r="C47" s="157">
        <f t="shared" si="2"/>
        <v>8231</v>
      </c>
      <c r="D47" s="158">
        <f t="shared" si="0"/>
        <v>1646.2</v>
      </c>
      <c r="E47" s="164">
        <f>IF('Total income package'!$A$10=TRUE,SUM(EITC!C47:D47),0)</f>
        <v>9877.2000000000007</v>
      </c>
      <c r="F47" s="6"/>
      <c r="G47" s="6"/>
      <c r="H47" s="7"/>
      <c r="I47" s="47"/>
      <c r="J47" s="3"/>
      <c r="M47" s="7"/>
    </row>
    <row r="48" spans="1:13" x14ac:dyDescent="0.25">
      <c r="A48" s="3">
        <v>21500</v>
      </c>
      <c r="B48" s="4">
        <f t="shared" si="1"/>
        <v>1791.6666666666667</v>
      </c>
      <c r="C48" s="157">
        <f t="shared" si="2"/>
        <v>8231</v>
      </c>
      <c r="D48" s="158">
        <f t="shared" si="0"/>
        <v>1646.2</v>
      </c>
      <c r="E48" s="164">
        <f>IF('Total income package'!$A$10=TRUE,SUM(EITC!C48:D48),0)</f>
        <v>9877.2000000000007</v>
      </c>
      <c r="F48" s="6"/>
      <c r="G48" s="6"/>
      <c r="H48" s="7"/>
      <c r="I48" s="47"/>
      <c r="J48" s="3"/>
      <c r="M48" s="7"/>
    </row>
    <row r="49" spans="1:13" x14ac:dyDescent="0.25">
      <c r="A49" s="3">
        <v>22000</v>
      </c>
      <c r="B49" s="4">
        <f t="shared" si="1"/>
        <v>1833.3333333333333</v>
      </c>
      <c r="C49" s="157">
        <f t="shared" si="2"/>
        <v>8231</v>
      </c>
      <c r="D49" s="158">
        <f t="shared" si="0"/>
        <v>1646.2</v>
      </c>
      <c r="E49" s="164">
        <f>IF('Total income package'!$A$10=TRUE,SUM(EITC!C49:D49),0)</f>
        <v>9877.2000000000007</v>
      </c>
      <c r="F49" s="6"/>
      <c r="G49" s="6"/>
      <c r="H49" s="7"/>
      <c r="I49" s="47"/>
      <c r="J49" s="3"/>
      <c r="M49" s="7"/>
    </row>
    <row r="50" spans="1:13" x14ac:dyDescent="0.25">
      <c r="A50" s="3">
        <v>22500</v>
      </c>
      <c r="B50" s="4">
        <f t="shared" si="1"/>
        <v>1875</v>
      </c>
      <c r="C50" s="157">
        <f t="shared" si="2"/>
        <v>8231</v>
      </c>
      <c r="D50" s="158">
        <f t="shared" si="0"/>
        <v>1646.2</v>
      </c>
      <c r="E50" s="164">
        <f>IF('Total income package'!$A$10=TRUE,SUM(EITC!C50:D50),0)</f>
        <v>9877.2000000000007</v>
      </c>
      <c r="F50" s="6"/>
      <c r="G50" s="6"/>
      <c r="H50" s="7"/>
      <c r="I50" s="47"/>
      <c r="J50" s="3"/>
      <c r="M50" s="7"/>
    </row>
    <row r="51" spans="1:13" x14ac:dyDescent="0.25">
      <c r="A51" s="3">
        <v>23000</v>
      </c>
      <c r="B51" s="4">
        <f t="shared" si="1"/>
        <v>1916.6666666666667</v>
      </c>
      <c r="C51" s="157">
        <f t="shared" si="2"/>
        <v>8231</v>
      </c>
      <c r="D51" s="158">
        <f t="shared" si="0"/>
        <v>1646.2</v>
      </c>
      <c r="E51" s="164">
        <f>IF('Total income package'!$A$10=TRUE,SUM(EITC!C51:D51),0)</f>
        <v>9877.2000000000007</v>
      </c>
      <c r="F51" s="6"/>
      <c r="G51" s="6"/>
      <c r="H51" s="7"/>
      <c r="I51" s="47"/>
      <c r="J51" s="3"/>
      <c r="M51" s="7"/>
    </row>
    <row r="52" spans="1:13" x14ac:dyDescent="0.25">
      <c r="A52" s="3">
        <v>23500</v>
      </c>
      <c r="B52" s="4">
        <f t="shared" si="1"/>
        <v>1958.3333333333333</v>
      </c>
      <c r="C52" s="157">
        <f t="shared" si="2"/>
        <v>8231</v>
      </c>
      <c r="D52" s="158">
        <f t="shared" si="0"/>
        <v>1646.2</v>
      </c>
      <c r="E52" s="164">
        <f>IF('Total income package'!$A$10=TRUE,SUM(EITC!C52:D52),0)</f>
        <v>9877.2000000000007</v>
      </c>
      <c r="F52" s="6"/>
      <c r="G52" s="6"/>
      <c r="H52" s="7"/>
      <c r="I52" s="47"/>
      <c r="J52" s="3"/>
      <c r="M52" s="7"/>
    </row>
    <row r="53" spans="1:13" x14ac:dyDescent="0.25">
      <c r="A53" s="3">
        <v>24000</v>
      </c>
      <c r="B53" s="4">
        <f t="shared" si="1"/>
        <v>2000</v>
      </c>
      <c r="C53" s="157">
        <f t="shared" si="2"/>
        <v>8231</v>
      </c>
      <c r="D53" s="158">
        <f t="shared" si="0"/>
        <v>1646.2</v>
      </c>
      <c r="E53" s="164">
        <f>IF('Total income package'!$A$10=TRUE,SUM(EITC!C53:D53),0)</f>
        <v>9877.2000000000007</v>
      </c>
      <c r="F53" s="6"/>
      <c r="G53" s="6"/>
      <c r="H53" s="7"/>
      <c r="I53" s="47"/>
      <c r="J53" s="3"/>
      <c r="M53" s="7"/>
    </row>
    <row r="54" spans="1:13" x14ac:dyDescent="0.25">
      <c r="A54" s="3">
        <v>24500</v>
      </c>
      <c r="B54" s="4">
        <f t="shared" si="1"/>
        <v>2041.6666666666667</v>
      </c>
      <c r="C54" s="157">
        <f t="shared" si="2"/>
        <v>8231</v>
      </c>
      <c r="D54" s="158">
        <f t="shared" si="0"/>
        <v>1646.2</v>
      </c>
      <c r="E54" s="164">
        <f>IF('Total income package'!$A$10=TRUE,SUM(EITC!C54:D54),0)</f>
        <v>9877.2000000000007</v>
      </c>
      <c r="F54" s="6"/>
      <c r="G54" s="6"/>
      <c r="H54" s="7"/>
      <c r="I54" s="47"/>
      <c r="J54" s="3"/>
      <c r="M54" s="7"/>
    </row>
    <row r="55" spans="1:13" x14ac:dyDescent="0.25">
      <c r="A55" s="3">
        <v>25000</v>
      </c>
      <c r="B55" s="4">
        <f t="shared" si="1"/>
        <v>2083.3333333333335</v>
      </c>
      <c r="C55" s="157">
        <f>MAX(0,IF(A55&gt;$F$2,0,IF(AND(A55&lt;$F$2,A55&gt;=$K$2),$G$2-((A55-$K$2-1)*$I$2),IF(AND(A55&lt;$K$2,A55&gt;=$J$2),$G$2,IF(A55&lt;$J$2,A55*$H$2,0)))))</f>
        <v>8231</v>
      </c>
      <c r="D55" s="158">
        <f t="shared" si="0"/>
        <v>1646.2</v>
      </c>
      <c r="E55" s="164">
        <f>IF('Total income package'!$A$10=TRUE,SUM(EITC!C55:D55),0)</f>
        <v>9877.2000000000007</v>
      </c>
      <c r="F55" s="6"/>
      <c r="G55" s="6"/>
      <c r="H55" s="7"/>
      <c r="I55" s="47"/>
      <c r="J55" s="3"/>
      <c r="M55" s="7"/>
    </row>
    <row r="56" spans="1:13" x14ac:dyDescent="0.25">
      <c r="A56" s="3">
        <v>25500</v>
      </c>
      <c r="B56" s="4">
        <f t="shared" si="1"/>
        <v>2125</v>
      </c>
      <c r="C56" s="157">
        <f t="shared" si="2"/>
        <v>8231</v>
      </c>
      <c r="D56" s="158">
        <f t="shared" si="0"/>
        <v>1646.2</v>
      </c>
      <c r="E56" s="164">
        <f>IF('Total income package'!$A$10=TRUE,SUM(EITC!C56:D56),0)</f>
        <v>9877.2000000000007</v>
      </c>
      <c r="F56" s="6"/>
      <c r="G56" s="6"/>
      <c r="H56" s="7"/>
      <c r="I56" s="47"/>
      <c r="J56" s="3"/>
      <c r="M56" s="7"/>
    </row>
    <row r="57" spans="1:13" x14ac:dyDescent="0.25">
      <c r="A57" s="3">
        <v>26000</v>
      </c>
      <c r="B57" s="4">
        <f t="shared" si="1"/>
        <v>2166.6666666666665</v>
      </c>
      <c r="C57" s="157">
        <f t="shared" si="2"/>
        <v>8231</v>
      </c>
      <c r="D57" s="158">
        <f t="shared" si="0"/>
        <v>1646.2</v>
      </c>
      <c r="E57" s="164">
        <f>IF('Total income package'!$A$10=TRUE,SUM(EITC!C57:D57),0)</f>
        <v>9877.2000000000007</v>
      </c>
      <c r="F57" s="6"/>
      <c r="G57" s="6"/>
      <c r="H57" s="7"/>
      <c r="I57" s="47"/>
      <c r="J57" s="3"/>
      <c r="M57" s="7"/>
    </row>
    <row r="58" spans="1:13" x14ac:dyDescent="0.25">
      <c r="A58" s="3">
        <v>26500</v>
      </c>
      <c r="B58" s="4">
        <f t="shared" si="1"/>
        <v>2208.3333333333335</v>
      </c>
      <c r="C58" s="157">
        <f t="shared" si="2"/>
        <v>8231</v>
      </c>
      <c r="D58" s="158">
        <f t="shared" si="0"/>
        <v>1646.2</v>
      </c>
      <c r="E58" s="164">
        <f>IF('Total income package'!$A$10=TRUE,SUM(EITC!C58:D58),0)</f>
        <v>9877.2000000000007</v>
      </c>
      <c r="F58" s="6"/>
      <c r="G58" s="6"/>
      <c r="H58" s="7"/>
      <c r="I58" s="47"/>
      <c r="J58" s="3"/>
      <c r="M58" s="7"/>
    </row>
    <row r="59" spans="1:13" x14ac:dyDescent="0.25">
      <c r="A59" s="3">
        <v>27000</v>
      </c>
      <c r="B59" s="4">
        <f t="shared" si="1"/>
        <v>2250</v>
      </c>
      <c r="C59" s="157">
        <f t="shared" si="2"/>
        <v>8231</v>
      </c>
      <c r="D59" s="158">
        <f t="shared" si="0"/>
        <v>1646.2</v>
      </c>
      <c r="E59" s="164">
        <f>IF('Total income package'!$A$10=TRUE,SUM(EITC!C59:D59),0)</f>
        <v>9877.2000000000007</v>
      </c>
      <c r="F59" s="6"/>
      <c r="G59" s="6"/>
      <c r="H59" s="7"/>
      <c r="I59" s="47"/>
      <c r="J59" s="3"/>
      <c r="M59" s="7"/>
    </row>
    <row r="60" spans="1:13" x14ac:dyDescent="0.25">
      <c r="A60" s="3">
        <v>27500</v>
      </c>
      <c r="B60" s="4">
        <f t="shared" si="1"/>
        <v>2291.6666666666665</v>
      </c>
      <c r="C60" s="157">
        <f t="shared" si="2"/>
        <v>8231</v>
      </c>
      <c r="D60" s="158">
        <f t="shared" si="0"/>
        <v>1646.2</v>
      </c>
      <c r="E60" s="164">
        <f>IF('Total income package'!$A$10=TRUE,SUM(EITC!C60:D60),0)</f>
        <v>9877.2000000000007</v>
      </c>
      <c r="F60" s="6"/>
      <c r="G60" s="6"/>
      <c r="H60" s="7"/>
      <c r="I60" s="47"/>
      <c r="J60" s="3"/>
      <c r="M60" s="7"/>
    </row>
    <row r="61" spans="1:13" x14ac:dyDescent="0.25">
      <c r="A61" s="3">
        <v>28000</v>
      </c>
      <c r="B61" s="4">
        <f t="shared" si="1"/>
        <v>2333.3333333333335</v>
      </c>
      <c r="C61" s="157">
        <f t="shared" si="2"/>
        <v>8231</v>
      </c>
      <c r="D61" s="158">
        <f t="shared" si="0"/>
        <v>1646.2</v>
      </c>
      <c r="E61" s="164">
        <f>IF('Total income package'!$A$10=TRUE,SUM(EITC!C61:D61),0)</f>
        <v>9877.2000000000007</v>
      </c>
      <c r="F61" s="6"/>
      <c r="G61" s="6"/>
      <c r="H61" s="7"/>
      <c r="I61" s="47"/>
      <c r="J61" s="3"/>
      <c r="M61" s="7"/>
    </row>
    <row r="62" spans="1:13" x14ac:dyDescent="0.25">
      <c r="A62" s="3">
        <v>28500</v>
      </c>
      <c r="B62" s="4">
        <f t="shared" si="1"/>
        <v>2375</v>
      </c>
      <c r="C62" s="157">
        <f t="shared" si="2"/>
        <v>8231</v>
      </c>
      <c r="D62" s="158">
        <f t="shared" si="0"/>
        <v>1646.2</v>
      </c>
      <c r="E62" s="164">
        <f>IF('Total income package'!$A$10=TRUE,SUM(EITC!C62:D62),0)</f>
        <v>9877.2000000000007</v>
      </c>
      <c r="F62" s="6"/>
      <c r="G62" s="6"/>
      <c r="H62" s="7"/>
      <c r="I62" s="47"/>
      <c r="J62" s="3"/>
      <c r="M62" s="7"/>
    </row>
    <row r="63" spans="1:13" x14ac:dyDescent="0.25">
      <c r="A63" s="3">
        <v>29000</v>
      </c>
      <c r="B63" s="4">
        <f t="shared" si="1"/>
        <v>2416.6666666666665</v>
      </c>
      <c r="C63" s="157">
        <f t="shared" si="2"/>
        <v>8231</v>
      </c>
      <c r="D63" s="158">
        <f t="shared" si="0"/>
        <v>1646.2</v>
      </c>
      <c r="E63" s="164">
        <f>IF('Total income package'!$A$10=TRUE,SUM(EITC!C63:D63),0)</f>
        <v>9877.2000000000007</v>
      </c>
      <c r="F63" s="6"/>
      <c r="G63" s="6"/>
      <c r="H63" s="7"/>
      <c r="J63" s="3"/>
    </row>
    <row r="64" spans="1:13" x14ac:dyDescent="0.25">
      <c r="A64" s="3">
        <v>29500</v>
      </c>
      <c r="B64" s="4">
        <f t="shared" si="1"/>
        <v>2458.3333333333335</v>
      </c>
      <c r="C64" s="157">
        <f t="shared" si="2"/>
        <v>8231</v>
      </c>
      <c r="D64" s="158">
        <f t="shared" si="0"/>
        <v>1646.2</v>
      </c>
      <c r="E64" s="164">
        <f>IF('Total income package'!$A$10=TRUE,SUM(EITC!C64:D64),0)</f>
        <v>9877.2000000000007</v>
      </c>
      <c r="F64" s="6"/>
      <c r="G64" s="6"/>
      <c r="H64" s="7"/>
      <c r="J64" s="3"/>
    </row>
    <row r="65" spans="1:10" x14ac:dyDescent="0.25">
      <c r="A65" s="3">
        <v>30000</v>
      </c>
      <c r="B65" s="4">
        <f t="shared" si="1"/>
        <v>2500</v>
      </c>
      <c r="C65" s="157">
        <f t="shared" si="2"/>
        <v>8231</v>
      </c>
      <c r="D65" s="158">
        <f t="shared" si="0"/>
        <v>1646.2</v>
      </c>
      <c r="E65" s="164">
        <f>IF('Total income package'!$A$10=TRUE,SUM(EITC!C65:D65),0)</f>
        <v>9877.2000000000007</v>
      </c>
      <c r="F65" s="6"/>
      <c r="G65" s="6"/>
      <c r="H65" s="7"/>
      <c r="J65" s="3"/>
    </row>
    <row r="66" spans="1:10" x14ac:dyDescent="0.25">
      <c r="A66" s="3">
        <v>30500</v>
      </c>
      <c r="B66" s="4">
        <f t="shared" si="1"/>
        <v>2541.6666666666665</v>
      </c>
      <c r="C66" s="157">
        <f t="shared" si="2"/>
        <v>8231</v>
      </c>
      <c r="D66" s="158">
        <f t="shared" si="0"/>
        <v>1646.2</v>
      </c>
      <c r="E66" s="164">
        <f>IF('Total income package'!$A$10=TRUE,SUM(EITC!C66:D66),0)</f>
        <v>9877.2000000000007</v>
      </c>
      <c r="F66" s="6"/>
      <c r="G66" s="6"/>
      <c r="H66" s="7"/>
      <c r="J66" s="3"/>
    </row>
    <row r="67" spans="1:10" x14ac:dyDescent="0.25">
      <c r="A67" s="3">
        <v>31000</v>
      </c>
      <c r="B67" s="4">
        <f t="shared" si="1"/>
        <v>2583.3333333333335</v>
      </c>
      <c r="C67" s="157">
        <f t="shared" si="2"/>
        <v>8231</v>
      </c>
      <c r="D67" s="158">
        <f t="shared" si="0"/>
        <v>1646.2</v>
      </c>
      <c r="E67" s="164">
        <f>IF('Total income package'!$A$10=TRUE,SUM(EITC!C67:D67),0)</f>
        <v>9877.2000000000007</v>
      </c>
      <c r="F67" s="6"/>
      <c r="G67" s="6"/>
      <c r="H67" s="7"/>
      <c r="J67" s="3"/>
    </row>
    <row r="68" spans="1:10" x14ac:dyDescent="0.25">
      <c r="A68" s="3">
        <v>31500</v>
      </c>
      <c r="B68" s="4">
        <f t="shared" si="1"/>
        <v>2625</v>
      </c>
      <c r="C68" s="157">
        <f t="shared" si="2"/>
        <v>8159.6066000000001</v>
      </c>
      <c r="D68" s="158">
        <f t="shared" si="0"/>
        <v>1631.9213200000002</v>
      </c>
      <c r="E68" s="164">
        <f>IF('Total income package'!$A$10=TRUE,SUM(EITC!C68:D68),0)</f>
        <v>9791.5279200000004</v>
      </c>
      <c r="F68" s="6"/>
      <c r="G68" s="6"/>
      <c r="H68" s="7"/>
      <c r="J68" s="3"/>
    </row>
    <row r="69" spans="1:10" x14ac:dyDescent="0.25">
      <c r="A69" s="3">
        <v>32000</v>
      </c>
      <c r="B69" s="4">
        <f t="shared" si="1"/>
        <v>2666.6666666666665</v>
      </c>
      <c r="C69" s="157">
        <f t="shared" si="2"/>
        <v>8054.3065999999999</v>
      </c>
      <c r="D69" s="158">
        <f t="shared" si="0"/>
        <v>1610.86132</v>
      </c>
      <c r="E69" s="164">
        <f>IF('Total income package'!$A$10=TRUE,SUM(EITC!C69:D69),0)</f>
        <v>9665.1679199999999</v>
      </c>
      <c r="F69" s="6"/>
      <c r="G69" s="6"/>
      <c r="H69" s="7"/>
      <c r="J69" s="3"/>
    </row>
    <row r="70" spans="1:10" x14ac:dyDescent="0.25">
      <c r="A70" s="3">
        <v>32500</v>
      </c>
      <c r="B70" s="4">
        <f t="shared" si="1"/>
        <v>2708.3333333333335</v>
      </c>
      <c r="C70" s="157">
        <f t="shared" si="2"/>
        <v>7949.0065999999997</v>
      </c>
      <c r="D70" s="158">
        <f t="shared" ref="D70:D133" si="3">C70*0.2</f>
        <v>1589.80132</v>
      </c>
      <c r="E70" s="164">
        <f>IF('Total income package'!$A$10=TRUE,SUM(EITC!C70:D70),0)</f>
        <v>9538.8079199999993</v>
      </c>
      <c r="F70" s="6"/>
      <c r="G70" s="6"/>
      <c r="H70" s="7"/>
      <c r="J70" s="3"/>
    </row>
    <row r="71" spans="1:10" x14ac:dyDescent="0.25">
      <c r="A71" s="3">
        <v>33000</v>
      </c>
      <c r="B71" s="4">
        <f t="shared" si="1"/>
        <v>2750</v>
      </c>
      <c r="C71" s="157">
        <f>MAX(0,IF(A71&gt;$F$2,0,IF(AND(A71&lt;$F$2,A71&gt;=$K$2),$G$2-((A71-$K$2-1)*$I$2),IF(AND(A71&lt;$K$2,A71&gt;=$J$2),$G$2,IF(A71&lt;$J$2,A71*$H$2,0)))))</f>
        <v>7843.7065999999995</v>
      </c>
      <c r="D71" s="158">
        <f t="shared" si="3"/>
        <v>1568.7413200000001</v>
      </c>
      <c r="E71" s="164">
        <f>IF('Total income package'!$A$10=TRUE,SUM(EITC!C71:D71),0)</f>
        <v>9412.4479199999987</v>
      </c>
      <c r="F71" s="6"/>
      <c r="G71" s="6"/>
      <c r="H71" s="7"/>
      <c r="J71" s="3"/>
    </row>
    <row r="72" spans="1:10" x14ac:dyDescent="0.25">
      <c r="A72" s="3">
        <v>33500</v>
      </c>
      <c r="B72" s="4">
        <f t="shared" ref="B72:B135" si="4">A72/12</f>
        <v>2791.6666666666665</v>
      </c>
      <c r="C72" s="157">
        <f>MAX(0,IF(A72&gt;$F$2,0,IF(AND(A72&lt;$F$2,A72&gt;=$K$2),$G$2-((A72-$K$2-1)*$I$2),IF(AND(A72&lt;$K$2,A72&gt;=$J$2),$G$2,IF(A72&lt;$J$2,A72*$H$2,0)))))</f>
        <v>7738.4066000000003</v>
      </c>
      <c r="D72" s="158">
        <f t="shared" si="3"/>
        <v>1547.6813200000001</v>
      </c>
      <c r="E72" s="164">
        <f>IF('Total income package'!$A$10=TRUE,SUM(EITC!C72:D72),0)</f>
        <v>9286.0879199999999</v>
      </c>
      <c r="F72" s="6"/>
      <c r="G72" s="6"/>
      <c r="H72" s="7"/>
      <c r="J72" s="3"/>
    </row>
    <row r="73" spans="1:10" x14ac:dyDescent="0.25">
      <c r="A73" s="3">
        <v>34000</v>
      </c>
      <c r="B73" s="4">
        <f t="shared" si="4"/>
        <v>2833.3333333333335</v>
      </c>
      <c r="C73" s="157">
        <f>MAX(0,IF(A73&gt;$F$2,0,IF(AND(A73&lt;$F$2,A73&gt;=$K$2),$G$2-((A73-$K$2-1)*$I$2),IF(AND(A73&lt;$K$2,A73&gt;=$J$2),$G$2,IF(A73&lt;$J$2,A73*$H$2,0)))))</f>
        <v>7633.1066000000001</v>
      </c>
      <c r="D73" s="158">
        <f t="shared" si="3"/>
        <v>1526.6213200000002</v>
      </c>
      <c r="E73" s="164">
        <f>IF('Total income package'!$A$10=TRUE,SUM(EITC!C73:D73),0)</f>
        <v>9159.7279200000012</v>
      </c>
      <c r="F73" s="6"/>
      <c r="G73" s="6"/>
      <c r="H73" s="7"/>
      <c r="J73" s="3"/>
    </row>
    <row r="74" spans="1:10" x14ac:dyDescent="0.25">
      <c r="A74" s="3">
        <v>34500</v>
      </c>
      <c r="B74" s="4">
        <f t="shared" si="4"/>
        <v>2875</v>
      </c>
      <c r="C74" s="157">
        <f t="shared" ref="C74:C104" si="5">MAX(0,IF(A74&gt;$F$2,0,IF(AND(A74&lt;$F$2,A74&gt;=$K$2),$G$2-((A74-$K$2-1)*$I$2),IF(AND(A74&lt;$K$2,A74&gt;=$J$2),$G$2,IF(A74&lt;$J$2,A74*$H$2,0)))))</f>
        <v>7527.8065999999999</v>
      </c>
      <c r="D74" s="158">
        <f t="shared" si="3"/>
        <v>1505.56132</v>
      </c>
      <c r="E74" s="164">
        <f>IF('Total income package'!$A$10=TRUE,SUM(EITC!C74:D74),0)</f>
        <v>9033.3679200000006</v>
      </c>
      <c r="F74" s="6"/>
      <c r="G74" s="6"/>
      <c r="H74" s="7"/>
      <c r="J74" s="3"/>
    </row>
    <row r="75" spans="1:10" x14ac:dyDescent="0.25">
      <c r="A75" s="3">
        <v>35000</v>
      </c>
      <c r="B75" s="4">
        <f t="shared" si="4"/>
        <v>2916.6666666666665</v>
      </c>
      <c r="C75" s="157">
        <f t="shared" si="5"/>
        <v>7422.5065999999997</v>
      </c>
      <c r="D75" s="158">
        <f t="shared" si="3"/>
        <v>1484.5013200000001</v>
      </c>
      <c r="E75" s="164">
        <f>IF('Total income package'!$A$10=TRUE,SUM(EITC!C75:D75),0)</f>
        <v>8907.00792</v>
      </c>
      <c r="F75" s="6"/>
      <c r="G75" s="6"/>
      <c r="H75" s="7"/>
      <c r="J75" s="3"/>
    </row>
    <row r="76" spans="1:10" x14ac:dyDescent="0.25">
      <c r="A76" s="3">
        <v>35500</v>
      </c>
      <c r="B76" s="4">
        <f t="shared" si="4"/>
        <v>2958.3333333333335</v>
      </c>
      <c r="C76" s="157">
        <f t="shared" si="5"/>
        <v>7317.2065999999995</v>
      </c>
      <c r="D76" s="158">
        <f t="shared" si="3"/>
        <v>1463.4413199999999</v>
      </c>
      <c r="E76" s="164">
        <f>IF('Total income package'!$A$10=TRUE,SUM(EITC!C76:D76),0)</f>
        <v>8780.6479199999994</v>
      </c>
      <c r="F76" s="6"/>
      <c r="G76" s="6"/>
      <c r="H76" s="7"/>
      <c r="J76" s="3"/>
    </row>
    <row r="77" spans="1:10" x14ac:dyDescent="0.25">
      <c r="A77" s="3">
        <v>36000</v>
      </c>
      <c r="B77" s="4">
        <f t="shared" si="4"/>
        <v>3000</v>
      </c>
      <c r="C77" s="157">
        <f t="shared" si="5"/>
        <v>7211.9066000000003</v>
      </c>
      <c r="D77" s="158">
        <f t="shared" si="3"/>
        <v>1442.3813200000002</v>
      </c>
      <c r="E77" s="164">
        <f>IF('Total income package'!$A$10=TRUE,SUM(EITC!C77:D77),0)</f>
        <v>8654.2879200000007</v>
      </c>
      <c r="F77" s="6"/>
      <c r="G77" s="6"/>
      <c r="H77" s="7"/>
    </row>
    <row r="78" spans="1:10" x14ac:dyDescent="0.25">
      <c r="A78" s="3">
        <v>36500</v>
      </c>
      <c r="B78" s="4">
        <f t="shared" si="4"/>
        <v>3041.6666666666665</v>
      </c>
      <c r="C78" s="157">
        <f t="shared" si="5"/>
        <v>7106.6066000000001</v>
      </c>
      <c r="D78" s="158">
        <f t="shared" si="3"/>
        <v>1421.32132</v>
      </c>
      <c r="E78" s="164">
        <f>IF('Total income package'!$A$10=TRUE,SUM(EITC!C78:D78),0)</f>
        <v>8527.9279200000001</v>
      </c>
      <c r="F78" s="6"/>
      <c r="G78" s="6"/>
      <c r="H78" s="7"/>
    </row>
    <row r="79" spans="1:10" x14ac:dyDescent="0.25">
      <c r="A79" s="3">
        <v>37000</v>
      </c>
      <c r="B79" s="4">
        <f t="shared" si="4"/>
        <v>3083.3333333333335</v>
      </c>
      <c r="C79" s="157">
        <f t="shared" si="5"/>
        <v>7001.3065999999999</v>
      </c>
      <c r="D79" s="158">
        <f t="shared" si="3"/>
        <v>1400.2613200000001</v>
      </c>
      <c r="E79" s="164">
        <f>IF('Total income package'!$A$10=TRUE,SUM(EITC!C79:D79),0)</f>
        <v>8401.5679199999995</v>
      </c>
      <c r="F79" s="6"/>
      <c r="G79" s="6"/>
      <c r="H79" s="7"/>
    </row>
    <row r="80" spans="1:10" x14ac:dyDescent="0.25">
      <c r="A80" s="3">
        <v>37500</v>
      </c>
      <c r="B80" s="4">
        <f t="shared" si="4"/>
        <v>3125</v>
      </c>
      <c r="C80" s="157">
        <f t="shared" si="5"/>
        <v>6896.0065999999997</v>
      </c>
      <c r="D80" s="158">
        <f t="shared" si="3"/>
        <v>1379.2013200000001</v>
      </c>
      <c r="E80" s="164">
        <f>IF('Total income package'!$A$10=TRUE,SUM(EITC!C80:D80),0)</f>
        <v>8275.2079200000007</v>
      </c>
      <c r="F80" s="6"/>
      <c r="G80" s="6"/>
      <c r="H80" s="7"/>
    </row>
    <row r="81" spans="1:8" x14ac:dyDescent="0.25">
      <c r="A81" s="3">
        <v>38000</v>
      </c>
      <c r="B81" s="4">
        <f t="shared" si="4"/>
        <v>3166.6666666666665</v>
      </c>
      <c r="C81" s="157">
        <f t="shared" si="5"/>
        <v>6790.7065999999995</v>
      </c>
      <c r="D81" s="158">
        <f t="shared" si="3"/>
        <v>1358.14132</v>
      </c>
      <c r="E81" s="164">
        <f>IF('Total income package'!$A$10=TRUE,SUM(EITC!C81:D81),0)</f>
        <v>8148.8479199999992</v>
      </c>
      <c r="F81" s="6"/>
      <c r="G81" s="6"/>
      <c r="H81" s="7"/>
    </row>
    <row r="82" spans="1:8" x14ac:dyDescent="0.25">
      <c r="A82" s="3">
        <v>38500</v>
      </c>
      <c r="B82" s="4">
        <f t="shared" si="4"/>
        <v>3208.3333333333335</v>
      </c>
      <c r="C82" s="157">
        <f t="shared" si="5"/>
        <v>6685.4066000000003</v>
      </c>
      <c r="D82" s="158">
        <f t="shared" si="3"/>
        <v>1337.0813200000002</v>
      </c>
      <c r="E82" s="164">
        <f>IF('Total income package'!$A$10=TRUE,SUM(EITC!C82:D82),0)</f>
        <v>8022.4879200000005</v>
      </c>
      <c r="F82" s="6"/>
      <c r="G82" s="6"/>
      <c r="H82" s="7"/>
    </row>
    <row r="83" spans="1:8" x14ac:dyDescent="0.25">
      <c r="A83" s="3">
        <v>39000</v>
      </c>
      <c r="B83" s="4">
        <f t="shared" si="4"/>
        <v>3250</v>
      </c>
      <c r="C83" s="157">
        <f t="shared" si="5"/>
        <v>6580.1066000000001</v>
      </c>
      <c r="D83" s="158">
        <f t="shared" si="3"/>
        <v>1316.0213200000001</v>
      </c>
      <c r="E83" s="164">
        <f>IF('Total income package'!$A$10=TRUE,SUM(EITC!C83:D83),0)</f>
        <v>7896.1279199999999</v>
      </c>
      <c r="F83" s="6"/>
      <c r="G83" s="6"/>
      <c r="H83" s="7"/>
    </row>
    <row r="84" spans="1:8" x14ac:dyDescent="0.25">
      <c r="A84" s="3">
        <v>39500</v>
      </c>
      <c r="B84" s="4">
        <f t="shared" si="4"/>
        <v>3291.6666666666665</v>
      </c>
      <c r="C84" s="157">
        <f t="shared" si="5"/>
        <v>6474.8065999999999</v>
      </c>
      <c r="D84" s="158">
        <f t="shared" si="3"/>
        <v>1294.9613200000001</v>
      </c>
      <c r="E84" s="164">
        <f>IF('Total income package'!$A$10=TRUE,SUM(EITC!C84:D84),0)</f>
        <v>7769.7679200000002</v>
      </c>
      <c r="F84" s="6"/>
      <c r="G84" s="6"/>
      <c r="H84" s="7"/>
    </row>
    <row r="85" spans="1:8" x14ac:dyDescent="0.25">
      <c r="A85" s="3">
        <v>40000</v>
      </c>
      <c r="B85" s="4">
        <f t="shared" si="4"/>
        <v>3333.3333333333335</v>
      </c>
      <c r="C85" s="157">
        <f t="shared" si="5"/>
        <v>6369.5065999999997</v>
      </c>
      <c r="D85" s="158">
        <f t="shared" si="3"/>
        <v>1273.9013199999999</v>
      </c>
      <c r="E85" s="164">
        <f>IF('Total income package'!$A$10=TRUE,SUM(EITC!C85:D85),0)</f>
        <v>7643.4079199999996</v>
      </c>
      <c r="F85" s="6"/>
      <c r="G85" s="6"/>
      <c r="H85" s="7"/>
    </row>
    <row r="86" spans="1:8" x14ac:dyDescent="0.25">
      <c r="A86" s="3">
        <v>40500</v>
      </c>
      <c r="B86" s="4">
        <f t="shared" si="4"/>
        <v>3375</v>
      </c>
      <c r="C86" s="157">
        <f t="shared" si="5"/>
        <v>6264.2065999999995</v>
      </c>
      <c r="D86" s="158">
        <f t="shared" si="3"/>
        <v>1252.84132</v>
      </c>
      <c r="E86" s="164">
        <f>IF('Total income package'!$A$10=TRUE,SUM(EITC!C86:D86),0)</f>
        <v>7517.0479199999991</v>
      </c>
      <c r="F86" s="6"/>
      <c r="G86" s="6"/>
      <c r="H86" s="7"/>
    </row>
    <row r="87" spans="1:8" x14ac:dyDescent="0.25">
      <c r="A87" s="3">
        <v>41000</v>
      </c>
      <c r="B87" s="4">
        <f t="shared" si="4"/>
        <v>3416.6666666666665</v>
      </c>
      <c r="C87" s="157">
        <f t="shared" si="5"/>
        <v>6158.9066000000003</v>
      </c>
      <c r="D87" s="158">
        <f t="shared" si="3"/>
        <v>1231.7813200000001</v>
      </c>
      <c r="E87" s="164">
        <f>IF('Total income package'!$A$10=TRUE,SUM(EITC!C87:D87),0)</f>
        <v>7390.6879200000003</v>
      </c>
      <c r="F87" s="6"/>
      <c r="G87" s="6"/>
      <c r="H87" s="7"/>
    </row>
    <row r="88" spans="1:8" x14ac:dyDescent="0.25">
      <c r="A88" s="3">
        <v>41500</v>
      </c>
      <c r="B88" s="4">
        <f t="shared" si="4"/>
        <v>3458.3333333333335</v>
      </c>
      <c r="C88" s="157">
        <f t="shared" si="5"/>
        <v>6053.6066000000001</v>
      </c>
      <c r="D88" s="158">
        <f t="shared" si="3"/>
        <v>1210.7213200000001</v>
      </c>
      <c r="E88" s="164">
        <f>IF('Total income package'!$A$10=TRUE,SUM(EITC!C88:D88),0)</f>
        <v>7264.3279199999997</v>
      </c>
      <c r="F88" s="6"/>
      <c r="G88" s="6"/>
      <c r="H88" s="7"/>
    </row>
    <row r="89" spans="1:8" x14ac:dyDescent="0.25">
      <c r="A89" s="3">
        <v>42000</v>
      </c>
      <c r="B89" s="4">
        <f t="shared" si="4"/>
        <v>3500</v>
      </c>
      <c r="C89" s="157">
        <f t="shared" si="5"/>
        <v>5948.3065999999999</v>
      </c>
      <c r="D89" s="158">
        <f t="shared" si="3"/>
        <v>1189.6613199999999</v>
      </c>
      <c r="E89" s="164">
        <f>IF('Total income package'!$A$10=TRUE,SUM(EITC!C89:D89),0)</f>
        <v>7137.96792</v>
      </c>
      <c r="F89" s="6"/>
      <c r="G89" s="6"/>
      <c r="H89" s="7"/>
    </row>
    <row r="90" spans="1:8" x14ac:dyDescent="0.25">
      <c r="A90" s="3">
        <v>42500</v>
      </c>
      <c r="B90" s="4">
        <f t="shared" si="4"/>
        <v>3541.6666666666665</v>
      </c>
      <c r="C90" s="157">
        <f t="shared" si="5"/>
        <v>5843.0065999999997</v>
      </c>
      <c r="D90" s="158">
        <f t="shared" si="3"/>
        <v>1168.60132</v>
      </c>
      <c r="E90" s="164">
        <f>IF('Total income package'!$A$10=TRUE,SUM(EITC!C90:D90),0)</f>
        <v>7011.6079199999995</v>
      </c>
      <c r="F90" s="6"/>
      <c r="G90" s="6"/>
      <c r="H90" s="7"/>
    </row>
    <row r="91" spans="1:8" x14ac:dyDescent="0.25">
      <c r="A91" s="3">
        <v>43000</v>
      </c>
      <c r="B91" s="4">
        <f t="shared" si="4"/>
        <v>3583.3333333333335</v>
      </c>
      <c r="C91" s="157">
        <f t="shared" si="5"/>
        <v>5737.7065999999995</v>
      </c>
      <c r="D91" s="158">
        <f t="shared" si="3"/>
        <v>1147.54132</v>
      </c>
      <c r="E91" s="164">
        <f>IF('Total income package'!$A$10=TRUE,SUM(EITC!C91:D91),0)</f>
        <v>6885.2479199999998</v>
      </c>
      <c r="F91" s="6"/>
      <c r="G91" s="6"/>
      <c r="H91" s="7"/>
    </row>
    <row r="92" spans="1:8" x14ac:dyDescent="0.25">
      <c r="A92" s="3">
        <v>43500</v>
      </c>
      <c r="B92" s="4">
        <f t="shared" si="4"/>
        <v>3625</v>
      </c>
      <c r="C92" s="157">
        <f t="shared" si="5"/>
        <v>5632.4066000000003</v>
      </c>
      <c r="D92" s="158">
        <f t="shared" si="3"/>
        <v>1126.4813200000001</v>
      </c>
      <c r="E92" s="164">
        <f>IF('Total income package'!$A$10=TRUE,SUM(EITC!C92:D92),0)</f>
        <v>6758.8879200000001</v>
      </c>
      <c r="F92" s="6"/>
      <c r="G92" s="6"/>
      <c r="H92" s="7"/>
    </row>
    <row r="93" spans="1:8" x14ac:dyDescent="0.25">
      <c r="A93" s="3">
        <v>44000</v>
      </c>
      <c r="B93" s="4">
        <f t="shared" si="4"/>
        <v>3666.6666666666665</v>
      </c>
      <c r="C93" s="157">
        <f t="shared" si="5"/>
        <v>5527.1066000000001</v>
      </c>
      <c r="D93" s="158">
        <f t="shared" si="3"/>
        <v>1105.4213200000002</v>
      </c>
      <c r="E93" s="164">
        <f>IF('Total income package'!$A$10=TRUE,SUM(EITC!C93:D93),0)</f>
        <v>6632.5279200000004</v>
      </c>
      <c r="F93" s="6"/>
      <c r="G93" s="6"/>
      <c r="H93" s="7"/>
    </row>
    <row r="94" spans="1:8" x14ac:dyDescent="0.25">
      <c r="A94" s="3">
        <v>44500</v>
      </c>
      <c r="B94" s="4">
        <f t="shared" si="4"/>
        <v>3708.3333333333335</v>
      </c>
      <c r="C94" s="157">
        <f t="shared" si="5"/>
        <v>5421.8065999999999</v>
      </c>
      <c r="D94" s="158">
        <f t="shared" si="3"/>
        <v>1084.36132</v>
      </c>
      <c r="E94" s="164">
        <f>IF('Total income package'!$A$10=TRUE,SUM(EITC!C94:D94),0)</f>
        <v>6506.1679199999999</v>
      </c>
      <c r="F94" s="6"/>
      <c r="G94" s="6"/>
      <c r="H94" s="7"/>
    </row>
    <row r="95" spans="1:8" x14ac:dyDescent="0.25">
      <c r="A95" s="3">
        <v>45000</v>
      </c>
      <c r="B95" s="4">
        <f t="shared" si="4"/>
        <v>3750</v>
      </c>
      <c r="C95" s="157">
        <f t="shared" si="5"/>
        <v>5316.5065999999997</v>
      </c>
      <c r="D95" s="158">
        <f t="shared" si="3"/>
        <v>1063.30132</v>
      </c>
      <c r="E95" s="164">
        <f>IF('Total income package'!$A$10=TRUE,SUM(EITC!C95:D95),0)</f>
        <v>6379.8079199999993</v>
      </c>
      <c r="F95" s="6"/>
      <c r="G95" s="6"/>
      <c r="H95" s="7"/>
    </row>
    <row r="96" spans="1:8" x14ac:dyDescent="0.25">
      <c r="A96" s="3">
        <v>45500</v>
      </c>
      <c r="B96" s="4">
        <f t="shared" si="4"/>
        <v>3791.6666666666665</v>
      </c>
      <c r="C96" s="157">
        <f t="shared" si="5"/>
        <v>5211.2065999999995</v>
      </c>
      <c r="D96" s="158">
        <f t="shared" si="3"/>
        <v>1042.2413199999999</v>
      </c>
      <c r="E96" s="164">
        <f>IF('Total income package'!$A$10=TRUE,SUM(EITC!C96:D96),0)</f>
        <v>6253.4479199999996</v>
      </c>
      <c r="F96" s="6"/>
      <c r="G96" s="6"/>
      <c r="H96" s="7"/>
    </row>
    <row r="97" spans="1:8" x14ac:dyDescent="0.25">
      <c r="A97" s="3">
        <v>46000</v>
      </c>
      <c r="B97" s="4">
        <f t="shared" si="4"/>
        <v>3833.3333333333335</v>
      </c>
      <c r="C97" s="157">
        <f t="shared" si="5"/>
        <v>5105.9066000000003</v>
      </c>
      <c r="D97" s="158">
        <f t="shared" si="3"/>
        <v>1021.1813200000001</v>
      </c>
      <c r="E97" s="164">
        <f>IF('Total income package'!$A$10=TRUE,SUM(EITC!C97:D97),0)</f>
        <v>6127.0879199999999</v>
      </c>
      <c r="F97" s="6"/>
      <c r="G97" s="6"/>
      <c r="H97" s="7"/>
    </row>
    <row r="98" spans="1:8" x14ac:dyDescent="0.25">
      <c r="A98" s="3">
        <v>46500</v>
      </c>
      <c r="B98" s="4">
        <f t="shared" si="4"/>
        <v>3875</v>
      </c>
      <c r="C98" s="157">
        <f t="shared" si="5"/>
        <v>5000.6066000000001</v>
      </c>
      <c r="D98" s="158">
        <f t="shared" si="3"/>
        <v>1000.1213200000001</v>
      </c>
      <c r="E98" s="164">
        <f>IF('Total income package'!$A$10=TRUE,SUM(EITC!C98:D98),0)</f>
        <v>6000.7279200000003</v>
      </c>
      <c r="F98" s="6"/>
      <c r="G98" s="6"/>
      <c r="H98" s="7"/>
    </row>
    <row r="99" spans="1:8" x14ac:dyDescent="0.25">
      <c r="A99" s="3">
        <v>47000</v>
      </c>
      <c r="B99" s="4">
        <f t="shared" si="4"/>
        <v>3916.6666666666665</v>
      </c>
      <c r="C99" s="157">
        <f>MAX(0,IF(A99&gt;$F$2,0,IF(AND(A99&lt;$F$2,A99&gt;=$K$2),$G$2-((A99-$K$2-1)*$I$2),IF(AND(A99&lt;$K$2,A99&gt;=$J$2),$G$2,IF(A99&lt;$J$2,A99*$H$2,0)))))</f>
        <v>4895.3065999999999</v>
      </c>
      <c r="D99" s="158">
        <f t="shared" si="3"/>
        <v>979.06132000000002</v>
      </c>
      <c r="E99" s="164">
        <f>IF('Total income package'!$A$10=TRUE,SUM(EITC!C99:D99),0)</f>
        <v>5874.3679199999997</v>
      </c>
      <c r="F99" s="6"/>
      <c r="G99" s="6"/>
      <c r="H99" s="7"/>
    </row>
    <row r="100" spans="1:8" x14ac:dyDescent="0.25">
      <c r="A100" s="3">
        <v>47500</v>
      </c>
      <c r="B100" s="4">
        <f t="shared" si="4"/>
        <v>3958.3333333333335</v>
      </c>
      <c r="C100" s="157">
        <f t="shared" si="5"/>
        <v>4790.0065999999997</v>
      </c>
      <c r="D100" s="158">
        <f t="shared" si="3"/>
        <v>958.00131999999996</v>
      </c>
      <c r="E100" s="164">
        <f>IF('Total income package'!$A$10=TRUE,SUM(EITC!C100:D100),0)</f>
        <v>5748.00792</v>
      </c>
      <c r="F100" s="6"/>
      <c r="G100" s="6"/>
      <c r="H100" s="7"/>
    </row>
    <row r="101" spans="1:8" x14ac:dyDescent="0.25">
      <c r="A101" s="3">
        <v>48000</v>
      </c>
      <c r="B101" s="4">
        <f t="shared" si="4"/>
        <v>4000</v>
      </c>
      <c r="C101" s="157">
        <f t="shared" si="5"/>
        <v>4684.7065999999995</v>
      </c>
      <c r="D101" s="158">
        <f t="shared" si="3"/>
        <v>936.94131999999991</v>
      </c>
      <c r="E101" s="164">
        <f>IF('Total income package'!$A$10=TRUE,SUM(EITC!C101:D101),0)</f>
        <v>5621.6479199999994</v>
      </c>
      <c r="F101" s="6"/>
      <c r="G101" s="6"/>
      <c r="H101" s="7"/>
    </row>
    <row r="102" spans="1:8" x14ac:dyDescent="0.25">
      <c r="A102" s="3">
        <v>48500</v>
      </c>
      <c r="B102" s="4">
        <f t="shared" si="4"/>
        <v>4041.6666666666665</v>
      </c>
      <c r="C102" s="157">
        <f t="shared" si="5"/>
        <v>4579.4066000000003</v>
      </c>
      <c r="D102" s="158">
        <f t="shared" si="3"/>
        <v>915.88132000000007</v>
      </c>
      <c r="E102" s="164">
        <f>IF('Total income package'!$A$10=TRUE,SUM(EITC!C102:D102),0)</f>
        <v>5495.2879200000007</v>
      </c>
      <c r="F102" s="6"/>
      <c r="G102" s="6"/>
      <c r="H102" s="7"/>
    </row>
    <row r="103" spans="1:8" x14ac:dyDescent="0.25">
      <c r="A103" s="3">
        <v>49000</v>
      </c>
      <c r="B103" s="4">
        <f t="shared" si="4"/>
        <v>4083.3333333333335</v>
      </c>
      <c r="C103" s="157">
        <f t="shared" si="5"/>
        <v>4474.1065999999992</v>
      </c>
      <c r="D103" s="158">
        <f t="shared" si="3"/>
        <v>894.8213199999999</v>
      </c>
      <c r="E103" s="164">
        <f>IF('Total income package'!$A$10=TRUE,SUM(EITC!C103:D103),0)</f>
        <v>5368.9279199999992</v>
      </c>
      <c r="F103" s="6"/>
      <c r="G103" s="6"/>
      <c r="H103" s="7"/>
    </row>
    <row r="104" spans="1:8" x14ac:dyDescent="0.25">
      <c r="A104" s="3">
        <v>49500</v>
      </c>
      <c r="B104" s="4">
        <f t="shared" si="4"/>
        <v>4125</v>
      </c>
      <c r="C104" s="157">
        <f t="shared" si="5"/>
        <v>4368.8065999999999</v>
      </c>
      <c r="D104" s="158">
        <f t="shared" si="3"/>
        <v>873.76132000000007</v>
      </c>
      <c r="E104" s="164">
        <f>IF('Total income package'!$A$10=TRUE,SUM(EITC!C104:D104),0)</f>
        <v>5242.5679199999995</v>
      </c>
      <c r="F104" s="6"/>
      <c r="G104" s="6"/>
      <c r="H104" s="7"/>
    </row>
    <row r="105" spans="1:8" x14ac:dyDescent="0.25">
      <c r="A105" s="3">
        <v>50000</v>
      </c>
      <c r="B105" s="4">
        <f t="shared" si="4"/>
        <v>4166.666666666667</v>
      </c>
      <c r="C105" s="157">
        <f>MAX(0,IF(A105&gt;$F$2,0,IF(AND(A105&lt;$F$2,A105&gt;=$K$2),$G$2-((A105-$K$2-1)*$I$2),IF(AND(A105&lt;$K$2,A105&gt;=$J$2),$G$2,IF(A105&lt;$J$2,A105*$H$2,0)))))</f>
        <v>4263.5065999999997</v>
      </c>
      <c r="D105" s="158">
        <f t="shared" si="3"/>
        <v>852.70132000000001</v>
      </c>
      <c r="E105" s="164">
        <f>IF('Total income package'!$A$10=TRUE,SUM(EITC!C105:D105),0)</f>
        <v>5116.2079199999998</v>
      </c>
      <c r="F105" s="6"/>
    </row>
    <row r="106" spans="1:8" x14ac:dyDescent="0.25">
      <c r="A106" s="3">
        <v>50500</v>
      </c>
      <c r="B106" s="4">
        <f t="shared" si="4"/>
        <v>4208.333333333333</v>
      </c>
      <c r="C106" s="157">
        <f t="shared" ref="C106:C134" si="6">MAX(0,IF(A106&gt;$F$2,0,IF(AND(A106&lt;$F$2,A106&gt;=$K$2),$G$2-((A106-$K$2-1)*$I$2),IF(AND(A106&lt;$K$2,A106&gt;=$J$2),$G$2,IF(A106&lt;$J$2,A106*$H$2,0)))))</f>
        <v>4158.2065999999995</v>
      </c>
      <c r="D106" s="158">
        <f t="shared" si="3"/>
        <v>831.64131999999995</v>
      </c>
      <c r="E106" s="164">
        <f>IF('Total income package'!$A$10=TRUE,SUM(EITC!C106:D106),0)</f>
        <v>4989.8479199999992</v>
      </c>
      <c r="F106" s="6"/>
    </row>
    <row r="107" spans="1:8" x14ac:dyDescent="0.25">
      <c r="A107" s="3">
        <v>51000</v>
      </c>
      <c r="B107" s="4">
        <f t="shared" si="4"/>
        <v>4250</v>
      </c>
      <c r="C107" s="157">
        <f t="shared" si="6"/>
        <v>4052.9066000000003</v>
      </c>
      <c r="D107" s="158">
        <f t="shared" si="3"/>
        <v>810.58132000000012</v>
      </c>
      <c r="E107" s="164">
        <f>IF('Total income package'!$A$10=TRUE,SUM(EITC!C107:D107),0)</f>
        <v>4863.4879200000005</v>
      </c>
    </row>
    <row r="108" spans="1:8" x14ac:dyDescent="0.25">
      <c r="A108" s="3">
        <v>51500</v>
      </c>
      <c r="B108" s="4">
        <f t="shared" si="4"/>
        <v>4291.666666666667</v>
      </c>
      <c r="C108" s="157">
        <f t="shared" si="6"/>
        <v>3947.6066000000001</v>
      </c>
      <c r="D108" s="158">
        <f t="shared" si="3"/>
        <v>789.52132000000006</v>
      </c>
      <c r="E108" s="164">
        <f>IF('Total income package'!$A$10=TRUE,SUM(EITC!C108:D108),0)</f>
        <v>4737.1279199999999</v>
      </c>
    </row>
    <row r="109" spans="1:8" x14ac:dyDescent="0.25">
      <c r="A109" s="3">
        <v>52000</v>
      </c>
      <c r="B109" s="4">
        <f t="shared" si="4"/>
        <v>4333.333333333333</v>
      </c>
      <c r="C109" s="157">
        <f t="shared" si="6"/>
        <v>3842.3065999999999</v>
      </c>
      <c r="D109" s="158">
        <f t="shared" si="3"/>
        <v>768.46132</v>
      </c>
      <c r="E109" s="164">
        <f>IF('Total income package'!$A$10=TRUE,SUM(EITC!C109:D109),0)</f>
        <v>4610.7679200000002</v>
      </c>
    </row>
    <row r="110" spans="1:8" x14ac:dyDescent="0.25">
      <c r="A110" s="3">
        <v>52500</v>
      </c>
      <c r="B110" s="4">
        <f t="shared" si="4"/>
        <v>4375</v>
      </c>
      <c r="C110" s="157">
        <f t="shared" si="6"/>
        <v>3737.0065999999997</v>
      </c>
      <c r="D110" s="158">
        <f t="shared" si="3"/>
        <v>747.40131999999994</v>
      </c>
      <c r="E110" s="164">
        <f>IF('Total income package'!$A$10=TRUE,SUM(EITC!C110:D110),0)</f>
        <v>4484.4079199999996</v>
      </c>
    </row>
    <row r="111" spans="1:8" x14ac:dyDescent="0.25">
      <c r="A111" s="3">
        <v>53000</v>
      </c>
      <c r="B111" s="4">
        <f t="shared" si="4"/>
        <v>4416.666666666667</v>
      </c>
      <c r="C111" s="157">
        <f t="shared" si="6"/>
        <v>3631.7065999999995</v>
      </c>
      <c r="D111" s="158">
        <f t="shared" si="3"/>
        <v>726.34132</v>
      </c>
      <c r="E111" s="164">
        <f>IF('Total income package'!$A$10=TRUE,SUM(EITC!C111:D111),0)</f>
        <v>4358.0479199999991</v>
      </c>
    </row>
    <row r="112" spans="1:8" x14ac:dyDescent="0.25">
      <c r="A112" s="3">
        <v>53500</v>
      </c>
      <c r="B112" s="4">
        <f t="shared" si="4"/>
        <v>4458.333333333333</v>
      </c>
      <c r="C112" s="157">
        <f t="shared" si="6"/>
        <v>3526.4065999999993</v>
      </c>
      <c r="D112" s="158">
        <f t="shared" si="3"/>
        <v>705.28131999999994</v>
      </c>
      <c r="E112" s="164">
        <f>IF('Total income package'!$A$10=TRUE,SUM(EITC!C112:D112),0)</f>
        <v>4231.6879199999994</v>
      </c>
    </row>
    <row r="113" spans="1:5" x14ac:dyDescent="0.25">
      <c r="A113" s="3">
        <v>54000</v>
      </c>
      <c r="B113" s="4">
        <f t="shared" si="4"/>
        <v>4500</v>
      </c>
      <c r="C113" s="157">
        <f t="shared" si="6"/>
        <v>3421.1066000000001</v>
      </c>
      <c r="D113" s="158">
        <f t="shared" si="3"/>
        <v>684.22132000000011</v>
      </c>
      <c r="E113" s="164">
        <f>IF('Total income package'!$A$10=TRUE,SUM(EITC!C113:D113),0)</f>
        <v>4105.3279199999997</v>
      </c>
    </row>
    <row r="114" spans="1:5" x14ac:dyDescent="0.25">
      <c r="A114" s="3">
        <v>54500</v>
      </c>
      <c r="B114" s="4">
        <f t="shared" si="4"/>
        <v>4541.666666666667</v>
      </c>
      <c r="C114" s="157">
        <f t="shared" si="6"/>
        <v>3315.8065999999999</v>
      </c>
      <c r="D114" s="158">
        <f t="shared" si="3"/>
        <v>663.16132000000005</v>
      </c>
      <c r="E114" s="164">
        <f>IF('Total income package'!$A$10=TRUE,SUM(EITC!C114:D114),0)</f>
        <v>3978.96792</v>
      </c>
    </row>
    <row r="115" spans="1:5" x14ac:dyDescent="0.25">
      <c r="A115" s="3">
        <v>55000</v>
      </c>
      <c r="B115" s="4">
        <f t="shared" si="4"/>
        <v>4583.333333333333</v>
      </c>
      <c r="C115" s="157">
        <f t="shared" si="6"/>
        <v>3210.5065999999997</v>
      </c>
      <c r="D115" s="158">
        <f t="shared" si="3"/>
        <v>642.10131999999999</v>
      </c>
      <c r="E115" s="164">
        <f>IF('Total income package'!$A$10=TRUE,SUM(EITC!C115:D115),0)</f>
        <v>3852.6079199999995</v>
      </c>
    </row>
    <row r="116" spans="1:5" x14ac:dyDescent="0.25">
      <c r="A116" s="3">
        <v>55500</v>
      </c>
      <c r="B116" s="4">
        <f t="shared" si="4"/>
        <v>4625</v>
      </c>
      <c r="C116" s="157">
        <f t="shared" si="6"/>
        <v>3105.2065999999995</v>
      </c>
      <c r="D116" s="158">
        <f t="shared" si="3"/>
        <v>621.04131999999993</v>
      </c>
      <c r="E116" s="164">
        <f>IF('Total income package'!$A$10=TRUE,SUM(EITC!C116:D116),0)</f>
        <v>3726.2479199999993</v>
      </c>
    </row>
    <row r="117" spans="1:5" x14ac:dyDescent="0.25">
      <c r="A117" s="3">
        <v>56000</v>
      </c>
      <c r="B117" s="4">
        <f t="shared" si="4"/>
        <v>4666.666666666667</v>
      </c>
      <c r="C117" s="157">
        <f t="shared" si="6"/>
        <v>2999.9065999999993</v>
      </c>
      <c r="D117" s="158">
        <f t="shared" si="3"/>
        <v>599.98131999999987</v>
      </c>
      <c r="E117" s="164">
        <f>IF('Total income package'!$A$10=TRUE,SUM(EITC!C117:D117),0)</f>
        <v>3599.8879199999992</v>
      </c>
    </row>
    <row r="118" spans="1:5" x14ac:dyDescent="0.25">
      <c r="A118" s="3">
        <v>56500</v>
      </c>
      <c r="B118" s="4">
        <f t="shared" si="4"/>
        <v>4708.333333333333</v>
      </c>
      <c r="C118" s="157">
        <f t="shared" si="6"/>
        <v>2894.6066000000001</v>
      </c>
      <c r="D118" s="158">
        <f t="shared" si="3"/>
        <v>578.92132000000004</v>
      </c>
      <c r="E118" s="164">
        <f>IF('Total income package'!$A$10=TRUE,SUM(EITC!C118:D118),0)</f>
        <v>3473.52792</v>
      </c>
    </row>
    <row r="119" spans="1:5" x14ac:dyDescent="0.25">
      <c r="A119" s="3">
        <v>57000</v>
      </c>
      <c r="B119" s="4">
        <f t="shared" si="4"/>
        <v>4750</v>
      </c>
      <c r="C119" s="157">
        <f t="shared" si="6"/>
        <v>2789.3065999999999</v>
      </c>
      <c r="D119" s="158">
        <f t="shared" si="3"/>
        <v>557.86131999999998</v>
      </c>
      <c r="E119" s="164">
        <f>IF('Total income package'!$A$10=TRUE,SUM(EITC!C119:D119),0)</f>
        <v>3347.1679199999999</v>
      </c>
    </row>
    <row r="120" spans="1:5" x14ac:dyDescent="0.25">
      <c r="A120" s="3">
        <v>57500</v>
      </c>
      <c r="B120" s="4">
        <f t="shared" si="4"/>
        <v>4791.666666666667</v>
      </c>
      <c r="C120" s="157">
        <f t="shared" si="6"/>
        <v>2684.0065999999997</v>
      </c>
      <c r="D120" s="158">
        <f t="shared" si="3"/>
        <v>536.80131999999992</v>
      </c>
      <c r="E120" s="164">
        <f>IF('Total income package'!$A$10=TRUE,SUM(EITC!C120:D120),0)</f>
        <v>3220.8079199999997</v>
      </c>
    </row>
    <row r="121" spans="1:5" x14ac:dyDescent="0.25">
      <c r="A121" s="3">
        <v>58000</v>
      </c>
      <c r="B121" s="4">
        <f t="shared" si="4"/>
        <v>4833.333333333333</v>
      </c>
      <c r="C121" s="157">
        <f t="shared" si="6"/>
        <v>2578.7065999999995</v>
      </c>
      <c r="D121" s="158">
        <f t="shared" si="3"/>
        <v>515.74131999999997</v>
      </c>
      <c r="E121" s="164">
        <f>IF('Total income package'!$A$10=TRUE,SUM(EITC!C121:D121),0)</f>
        <v>3094.4479199999996</v>
      </c>
    </row>
    <row r="122" spans="1:5" x14ac:dyDescent="0.25">
      <c r="A122" s="3">
        <v>58500</v>
      </c>
      <c r="B122" s="4">
        <f t="shared" si="4"/>
        <v>4875</v>
      </c>
      <c r="C122" s="157">
        <f t="shared" si="6"/>
        <v>2473.4065999999993</v>
      </c>
      <c r="D122" s="158">
        <f t="shared" si="3"/>
        <v>494.68131999999991</v>
      </c>
      <c r="E122" s="164">
        <f>IF('Total income package'!$A$10=TRUE,SUM(EITC!C122:D122),0)</f>
        <v>2968.087919999999</v>
      </c>
    </row>
    <row r="123" spans="1:5" x14ac:dyDescent="0.25">
      <c r="A123" s="3">
        <v>59000</v>
      </c>
      <c r="B123" s="4">
        <f t="shared" si="4"/>
        <v>4916.666666666667</v>
      </c>
      <c r="C123" s="157">
        <f t="shared" si="6"/>
        <v>2368.1066000000001</v>
      </c>
      <c r="D123" s="158">
        <f t="shared" si="3"/>
        <v>473.62132000000003</v>
      </c>
      <c r="E123" s="164">
        <f>IF('Total income package'!$A$10=TRUE,SUM(EITC!C123:D123),0)</f>
        <v>2841.7279200000003</v>
      </c>
    </row>
    <row r="124" spans="1:5" x14ac:dyDescent="0.25">
      <c r="A124" s="3">
        <v>59500</v>
      </c>
      <c r="B124" s="4">
        <f t="shared" si="4"/>
        <v>4958.333333333333</v>
      </c>
      <c r="C124" s="157">
        <f t="shared" si="6"/>
        <v>2262.8065999999999</v>
      </c>
      <c r="D124" s="158">
        <f t="shared" si="3"/>
        <v>452.56132000000002</v>
      </c>
      <c r="E124" s="164">
        <f>IF('Total income package'!$A$10=TRUE,SUM(EITC!C124:D124),0)</f>
        <v>2715.3679199999997</v>
      </c>
    </row>
    <row r="125" spans="1:5" x14ac:dyDescent="0.25">
      <c r="A125" s="3">
        <v>60000</v>
      </c>
      <c r="B125" s="4">
        <f t="shared" si="4"/>
        <v>5000</v>
      </c>
      <c r="C125" s="157">
        <f t="shared" si="6"/>
        <v>2157.5065999999997</v>
      </c>
      <c r="D125" s="158">
        <f t="shared" si="3"/>
        <v>431.50131999999996</v>
      </c>
      <c r="E125" s="164">
        <f>IF('Total income package'!$A$10=TRUE,SUM(EITC!C125:D125),0)</f>
        <v>2589.0079199999996</v>
      </c>
    </row>
    <row r="126" spans="1:5" x14ac:dyDescent="0.25">
      <c r="A126" s="3">
        <v>60500</v>
      </c>
      <c r="B126" s="4">
        <f t="shared" si="4"/>
        <v>5041.666666666667</v>
      </c>
      <c r="C126" s="157">
        <f t="shared" si="6"/>
        <v>2052.2065999999995</v>
      </c>
      <c r="D126" s="158">
        <f t="shared" si="3"/>
        <v>410.44131999999991</v>
      </c>
      <c r="E126" s="164">
        <f>IF('Total income package'!$A$10=TRUE,SUM(EITC!C126:D126),0)</f>
        <v>2462.6479199999994</v>
      </c>
    </row>
    <row r="127" spans="1:5" x14ac:dyDescent="0.25">
      <c r="A127" s="3">
        <v>61000</v>
      </c>
      <c r="B127" s="4">
        <f t="shared" si="4"/>
        <v>5083.333333333333</v>
      </c>
      <c r="C127" s="157">
        <f t="shared" si="6"/>
        <v>1946.9065999999993</v>
      </c>
      <c r="D127" s="158">
        <f t="shared" si="3"/>
        <v>389.3813199999999</v>
      </c>
      <c r="E127" s="164">
        <f>IF('Total income package'!$A$10=TRUE,SUM(EITC!C127:D127),0)</f>
        <v>2336.2879199999993</v>
      </c>
    </row>
    <row r="128" spans="1:5" x14ac:dyDescent="0.25">
      <c r="A128" s="3">
        <v>61500</v>
      </c>
      <c r="B128" s="4">
        <f t="shared" si="4"/>
        <v>5125</v>
      </c>
      <c r="C128" s="157">
        <f t="shared" si="6"/>
        <v>1841.6066000000001</v>
      </c>
      <c r="D128" s="158">
        <f t="shared" si="3"/>
        <v>368.32132000000001</v>
      </c>
      <c r="E128" s="164">
        <f>IF('Total income package'!$A$10=TRUE,SUM(EITC!C128:D128),0)</f>
        <v>2209.9279200000001</v>
      </c>
    </row>
    <row r="129" spans="1:5" x14ac:dyDescent="0.25">
      <c r="A129" s="3">
        <v>62000</v>
      </c>
      <c r="B129" s="4">
        <f t="shared" si="4"/>
        <v>5166.666666666667</v>
      </c>
      <c r="C129" s="157">
        <f t="shared" si="6"/>
        <v>1736.3065999999999</v>
      </c>
      <c r="D129" s="158">
        <f t="shared" si="3"/>
        <v>347.26132000000001</v>
      </c>
      <c r="E129" s="164">
        <f>IF('Total income package'!$A$10=TRUE,SUM(EITC!C129:D129),0)</f>
        <v>2083.56792</v>
      </c>
    </row>
    <row r="130" spans="1:5" x14ac:dyDescent="0.25">
      <c r="A130" s="3">
        <v>62500</v>
      </c>
      <c r="B130" s="4">
        <f t="shared" si="4"/>
        <v>5208.333333333333</v>
      </c>
      <c r="C130" s="157">
        <f t="shared" si="6"/>
        <v>1631.0065999999997</v>
      </c>
      <c r="D130" s="158">
        <f t="shared" si="3"/>
        <v>326.20131999999995</v>
      </c>
      <c r="E130" s="164">
        <f>IF('Total income package'!$A$10=TRUE,SUM(EITC!C130:D130),0)</f>
        <v>1957.2079199999996</v>
      </c>
    </row>
    <row r="131" spans="1:5" x14ac:dyDescent="0.25">
      <c r="A131" s="3">
        <v>63000</v>
      </c>
      <c r="B131" s="4">
        <f t="shared" si="4"/>
        <v>5250</v>
      </c>
      <c r="C131" s="157">
        <f>MAX(0,IF(A131&gt;$F$2,0,IF(AND(A131&lt;$F$2,A131&gt;=$K$2),$G$2-((A131-$K$2-1)*$I$2),IF(AND(A131&lt;$K$2,A131&gt;=$J$2),$G$2,IF(A131&lt;$J$2,A131*$H$2,0)))))</f>
        <v>1525.7065999999995</v>
      </c>
      <c r="D131" s="158">
        <f t="shared" si="3"/>
        <v>305.14131999999989</v>
      </c>
      <c r="E131" s="164">
        <f>IF('Total income package'!$A$10=TRUE,SUM(EITC!C131:D131),0)</f>
        <v>1830.8479199999995</v>
      </c>
    </row>
    <row r="132" spans="1:5" x14ac:dyDescent="0.25">
      <c r="A132" s="3">
        <v>63500</v>
      </c>
      <c r="B132" s="4">
        <f t="shared" si="4"/>
        <v>5291.666666666667</v>
      </c>
      <c r="C132" s="157">
        <f t="shared" si="6"/>
        <v>1420.4065999999993</v>
      </c>
      <c r="D132" s="158">
        <f t="shared" si="3"/>
        <v>284.08131999999989</v>
      </c>
      <c r="E132" s="164">
        <f>IF('Total income package'!$A$10=TRUE,SUM(EITC!C132:D132),0)</f>
        <v>1704.4879199999991</v>
      </c>
    </row>
    <row r="133" spans="1:5" x14ac:dyDescent="0.25">
      <c r="A133" s="3">
        <v>64000</v>
      </c>
      <c r="B133" s="4">
        <f t="shared" si="4"/>
        <v>5333.333333333333</v>
      </c>
      <c r="C133" s="157">
        <f t="shared" si="6"/>
        <v>1315.1066000000001</v>
      </c>
      <c r="D133" s="158">
        <f t="shared" si="3"/>
        <v>263.02132</v>
      </c>
      <c r="E133" s="164">
        <f>IF('Total income package'!$A$10=TRUE,SUM(EITC!C133:D133),0)</f>
        <v>1578.1279200000001</v>
      </c>
    </row>
    <row r="134" spans="1:5" x14ac:dyDescent="0.25">
      <c r="A134" s="3">
        <v>64500</v>
      </c>
      <c r="B134" s="4">
        <f t="shared" si="4"/>
        <v>5375</v>
      </c>
      <c r="C134" s="157">
        <f t="shared" si="6"/>
        <v>1209.8065999999999</v>
      </c>
      <c r="D134" s="158">
        <f t="shared" ref="D134:D197" si="7">C134*0.2</f>
        <v>241.96132</v>
      </c>
      <c r="E134" s="164">
        <f>IF('Total income package'!$A$10=TRUE,SUM(EITC!C134:D134),0)</f>
        <v>1451.7679199999998</v>
      </c>
    </row>
    <row r="135" spans="1:5" x14ac:dyDescent="0.25">
      <c r="A135" s="3">
        <v>65000</v>
      </c>
      <c r="B135" s="4">
        <f t="shared" si="4"/>
        <v>5416.666666666667</v>
      </c>
      <c r="C135" s="157">
        <f>MAX(0,IF(A135&gt;$F$2,0,IF(AND(A135&lt;$F$2,A135&gt;=$K$2),$G$2-((A135-$K$2-1)*$I$2),IF(AND(A135&lt;$K$2,A135&gt;=$J$2),$G$2,IF(A135&lt;$J$2,A135*$H$2,0)))))</f>
        <v>1104.5065999999997</v>
      </c>
      <c r="D135" s="158">
        <f t="shared" si="7"/>
        <v>220.90131999999994</v>
      </c>
      <c r="E135" s="164">
        <f>IF('Total income package'!$A$10=TRUE,SUM(EITC!C135:D135),0)</f>
        <v>1325.4079199999996</v>
      </c>
    </row>
    <row r="136" spans="1:5" x14ac:dyDescent="0.25">
      <c r="A136" s="3">
        <v>65500</v>
      </c>
      <c r="B136" s="4">
        <f t="shared" ref="B136:B199" si="8">A136/12</f>
        <v>5458.333333333333</v>
      </c>
      <c r="C136" s="157">
        <f>MAX(0,IF(A136&gt;$F$2,0,IF(AND(A136&lt;$F$2,A136&gt;=$K$2),$G$2-((A136-$K$2-1)*$I$2),IF(AND(A136&lt;$K$2,A136&gt;=$J$2),$G$2,IF(A136&lt;$J$2,A136*$H$2,0)))))</f>
        <v>999.20659999999953</v>
      </c>
      <c r="D136" s="158">
        <f t="shared" si="7"/>
        <v>199.84131999999991</v>
      </c>
      <c r="E136" s="164">
        <f>IF('Total income package'!$A$10=TRUE,SUM(EITC!C136:D136),0)</f>
        <v>1199.0479199999995</v>
      </c>
    </row>
    <row r="137" spans="1:5" x14ac:dyDescent="0.25">
      <c r="A137" s="3">
        <v>66000</v>
      </c>
      <c r="B137" s="4">
        <f t="shared" si="8"/>
        <v>5500</v>
      </c>
      <c r="C137" s="157">
        <f>MAX(0,IF(A137&gt;$F$2,0,IF(AND(A137&lt;$F$2,A137&gt;=$K$2),$G$2-((A137-$K$2-1)*$I$2),IF(AND(A137&lt;$K$2,A137&gt;=$J$2),$G$2,IF(A137&lt;$J$2,A137*$H$2,0)))))</f>
        <v>893.90659999999934</v>
      </c>
      <c r="D137" s="158">
        <f t="shared" si="7"/>
        <v>178.78131999999988</v>
      </c>
      <c r="E137" s="164">
        <f>IF('Total income package'!$A$10=TRUE,SUM(EITC!C137:D137),0)</f>
        <v>1072.6879199999992</v>
      </c>
    </row>
    <row r="138" spans="1:5" x14ac:dyDescent="0.25">
      <c r="A138" s="3">
        <v>66500</v>
      </c>
      <c r="B138" s="4">
        <f t="shared" si="8"/>
        <v>5541.666666666667</v>
      </c>
      <c r="C138" s="157">
        <f>MAX(0,IF(A138&gt;$F$2,0,IF(AND(A138&lt;$F$2,A138&gt;=$K$2),$G$2-((A138-$K$2-1)*$I$2),IF(AND(A138&lt;$K$2,A138&gt;=$J$2),$G$2,IF(A138&lt;$J$2,A138*$H$2,0)))))</f>
        <v>788.60660000000007</v>
      </c>
      <c r="D138" s="158">
        <f t="shared" si="7"/>
        <v>157.72132000000002</v>
      </c>
      <c r="E138" s="164">
        <f>IF('Total income package'!$A$10=TRUE,SUM(EITC!C138:D138),0)</f>
        <v>946.32792000000006</v>
      </c>
    </row>
    <row r="139" spans="1:5" x14ac:dyDescent="0.25">
      <c r="A139" s="3">
        <v>67000</v>
      </c>
      <c r="B139" s="4">
        <f t="shared" si="8"/>
        <v>5583.333333333333</v>
      </c>
      <c r="C139" s="157">
        <f>MAX(0,IF(A139&gt;$F$2,0,IF(AND(A139&lt;$F$2,A139&gt;=$K$2),$G$2-((A139-$K$2-1)*$I$2),IF(AND(A139&lt;$K$2,A139&gt;=$J$2),$G$2,IF(A139&lt;$J$2,A139*$H$2,0)))))</f>
        <v>683.30659999999989</v>
      </c>
      <c r="D139" s="158">
        <f t="shared" si="7"/>
        <v>136.66131999999999</v>
      </c>
      <c r="E139" s="164">
        <f>IF('Total income package'!$A$10=TRUE,SUM(EITC!C139:D139),0)</f>
        <v>819.96791999999982</v>
      </c>
    </row>
    <row r="140" spans="1:5" x14ac:dyDescent="0.25">
      <c r="A140" s="3">
        <v>67500</v>
      </c>
      <c r="B140" s="4">
        <f t="shared" si="8"/>
        <v>5625</v>
      </c>
      <c r="C140" s="157">
        <f t="shared" ref="C140:C203" si="9">MAX(0,IF(A140&gt;$F$2,0,IF(AND(A140&lt;$F$2,A140&gt;=$K$2),$G$2-((A140-$K$2-1)*$I$2),IF(AND(A140&lt;$K$2,A140&gt;=$J$2),$G$2,IF(A140&lt;$J$2,A140*$H$2,0)))))</f>
        <v>578.00659999999971</v>
      </c>
      <c r="D140" s="158">
        <f t="shared" si="7"/>
        <v>115.60131999999994</v>
      </c>
      <c r="E140" s="164">
        <f>IF('Total income package'!$A$10=TRUE,SUM(EITC!C140:D140),0)</f>
        <v>693.60791999999969</v>
      </c>
    </row>
    <row r="141" spans="1:5" x14ac:dyDescent="0.25">
      <c r="A141" s="3">
        <v>68000</v>
      </c>
      <c r="B141" s="4">
        <f t="shared" si="8"/>
        <v>5666.666666666667</v>
      </c>
      <c r="C141" s="157">
        <f t="shared" si="9"/>
        <v>472.70659999999953</v>
      </c>
      <c r="D141" s="158">
        <f t="shared" si="7"/>
        <v>94.541319999999914</v>
      </c>
      <c r="E141" s="164">
        <f>IF('Total income package'!$A$10=TRUE,SUM(EITC!C141:D141),0)</f>
        <v>567.24791999999945</v>
      </c>
    </row>
    <row r="142" spans="1:5" x14ac:dyDescent="0.25">
      <c r="A142" s="3">
        <v>68500</v>
      </c>
      <c r="B142" s="4">
        <f t="shared" si="8"/>
        <v>5708.333333333333</v>
      </c>
      <c r="C142" s="157">
        <f t="shared" si="9"/>
        <v>367.40659999999934</v>
      </c>
      <c r="D142" s="158">
        <f t="shared" si="7"/>
        <v>73.481319999999869</v>
      </c>
      <c r="E142" s="164">
        <f>IF('Total income package'!$A$10=TRUE,SUM(EITC!C142:D142),0)</f>
        <v>440.88791999999921</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6000</v>
      </c>
      <c r="B208" s="29">
        <f>'Total income package'!$B$90</f>
        <v>500</v>
      </c>
      <c r="C208" s="157">
        <f>MAX(0,IF(A208&gt;$F$2,0,IF(AND(A208&lt;$F$2,A208&gt;=$K$2),$G$2-((A208-$K$2-1)*$I$2),IF(AND(A208&lt;$K$2,A208&gt;=$J$2),$G$2,IF(A208&lt;$J$2,A208*$H$2,0)))))</f>
        <v>2700</v>
      </c>
      <c r="D208" s="158">
        <f>C208*0.15</f>
        <v>405</v>
      </c>
      <c r="E208" s="161">
        <f>IF('Total income package'!$A$10=TRUE,C208+D208,0)</f>
        <v>3105</v>
      </c>
      <c r="G208" s="7">
        <f>C208/12</f>
        <v>225</v>
      </c>
      <c r="H208" s="7">
        <f>E208/12</f>
        <v>258.75</v>
      </c>
    </row>
    <row r="209" spans="1:5" x14ac:dyDescent="0.25">
      <c r="A209" s="159" t="s">
        <v>303</v>
      </c>
      <c r="B209" s="29"/>
    </row>
    <row r="210" spans="1:5" x14ac:dyDescent="0.25">
      <c r="A210" s="29">
        <f>B210*12</f>
        <v>6000</v>
      </c>
      <c r="B210" s="29">
        <f>'Total income package'!$B$91</f>
        <v>500</v>
      </c>
      <c r="C210" s="157">
        <f>MAX(0,IF(A210&gt;$F$2,0,IF(AND(A210&lt;$F$2,A210&gt;=$K$2),$G$2-((A210-$K$2-1)*$I$2),IF(AND(A210&lt;$K$2,A210&gt;=$J$2),$G$2,IF(A210&lt;$J$2,A210*$H$2,0)))))</f>
        <v>2700</v>
      </c>
      <c r="D210" s="158">
        <f>C210*0.15</f>
        <v>405</v>
      </c>
      <c r="E210" s="161">
        <f>IF('Total income package'!$A$10=TRUE,C210+D210,0)</f>
        <v>3105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5754.5999999999995</v>
      </c>
      <c r="J1"/>
      <c r="K1"/>
      <c r="L1"/>
      <c r="M1" s="81" t="s">
        <v>306</v>
      </c>
      <c r="N1" s="81" t="s">
        <v>307</v>
      </c>
      <c r="O1" s="81" t="s">
        <v>308</v>
      </c>
      <c r="P1" s="81" t="s">
        <v>309</v>
      </c>
    </row>
    <row r="2" spans="1:27" ht="11.25" customHeight="1" x14ac:dyDescent="0.25">
      <c r="A2" s="78" t="str">
        <f>'Total income package'!B3</f>
        <v>Pittsylvania</v>
      </c>
      <c r="B2" s="77">
        <f>'Total income package'!B32</f>
        <v>7</v>
      </c>
      <c r="C2" s="77">
        <f>'Total income package'!B30</f>
        <v>4</v>
      </c>
      <c r="D2" s="77">
        <f>'Total income package'!B31</f>
        <v>3</v>
      </c>
      <c r="E2" s="39"/>
      <c r="F2" s="39"/>
      <c r="G2" s="40"/>
      <c r="H2" s="40"/>
      <c r="I2" s="40"/>
      <c r="J2" s="119" t="s">
        <v>310</v>
      </c>
      <c r="K2" s="137">
        <f>VLOOKUP(B2,'Program specific data'!A6:D13,3,FALSE)</f>
        <v>4170</v>
      </c>
      <c r="L2" s="27" t="s">
        <v>311</v>
      </c>
      <c r="M2" s="138">
        <v>0</v>
      </c>
      <c r="N2" s="139">
        <f>K2*1.49</f>
        <v>6213.3</v>
      </c>
      <c r="O2" s="145">
        <v>0</v>
      </c>
      <c r="P2" s="145">
        <v>0</v>
      </c>
    </row>
    <row r="3" spans="1:27" ht="11.25" customHeight="1" x14ac:dyDescent="0.25">
      <c r="A3" s="198" t="s">
        <v>661</v>
      </c>
      <c r="B3" s="62"/>
      <c r="C3" s="198" t="s">
        <v>662</v>
      </c>
      <c r="D3" s="67"/>
      <c r="E3" s="42" t="s">
        <v>312</v>
      </c>
      <c r="F3" s="42"/>
      <c r="G3" s="43"/>
      <c r="H3" s="43"/>
      <c r="I3" s="43"/>
      <c r="K3" s="11"/>
      <c r="L3" s="135" t="s">
        <v>313</v>
      </c>
      <c r="M3" s="140">
        <f>K2*1.5</f>
        <v>6255</v>
      </c>
      <c r="N3" s="141">
        <f>K2*1.99</f>
        <v>8298.2999999999993</v>
      </c>
      <c r="O3" s="145">
        <v>0</v>
      </c>
      <c r="P3" s="145">
        <v>0.02</v>
      </c>
    </row>
    <row r="4" spans="1:27" ht="11.25" customHeight="1" x14ac:dyDescent="0.25">
      <c r="A4" s="198" t="s">
        <v>40</v>
      </c>
      <c r="B4" s="198">
        <f>'Total income package'!B37</f>
        <v>34</v>
      </c>
      <c r="C4" s="350">
        <f>IFERROR(VLOOKUP($A$2,'SLCSP premiums'!$A$4:$AV$137,HLOOKUP(B4,'SLCSP premiums'!$B$2:$AV$3,2,FALSE),FALSE),0)</f>
        <v>469</v>
      </c>
      <c r="D4" s="67"/>
      <c r="E4" s="44" t="s">
        <v>314</v>
      </c>
      <c r="I4" s="45"/>
      <c r="J4" s="21"/>
      <c r="K4" s="21"/>
      <c r="L4" s="135" t="s">
        <v>315</v>
      </c>
      <c r="M4" s="136">
        <f>K2*2</f>
        <v>8340</v>
      </c>
      <c r="N4" s="141">
        <f>K2*2.49</f>
        <v>10383.300000000001</v>
      </c>
      <c r="O4" s="145">
        <v>0.02</v>
      </c>
      <c r="P4" s="145">
        <v>0.04</v>
      </c>
    </row>
    <row r="5" spans="1:27" ht="11.25" customHeight="1" x14ac:dyDescent="0.25">
      <c r="A5" s="198" t="s">
        <v>41</v>
      </c>
      <c r="B5" s="198">
        <f>'Total income package'!B38</f>
        <v>28</v>
      </c>
      <c r="C5" s="350">
        <f>IFERROR(VLOOKUP($A$2,'SLCSP premiums'!$A$4:$AV$137,HLOOKUP(B5,'SLCSP premiums'!$B$2:$AV$3,2,FALSE),FALSE),0)</f>
        <v>420</v>
      </c>
      <c r="E5" s="46" t="s">
        <v>316</v>
      </c>
      <c r="F5" s="42"/>
      <c r="G5" s="43"/>
      <c r="I5" s="45"/>
      <c r="J5" s="21"/>
      <c r="K5" s="21"/>
      <c r="L5" s="135" t="s">
        <v>317</v>
      </c>
      <c r="M5" s="140">
        <f>K2*2.5</f>
        <v>10425</v>
      </c>
      <c r="N5" s="142">
        <f>K2*2.99</f>
        <v>12468.300000000001</v>
      </c>
      <c r="O5" s="145">
        <v>0.04</v>
      </c>
      <c r="P5" s="145">
        <v>0.06</v>
      </c>
    </row>
    <row r="6" spans="1:27" ht="11.25" customHeight="1" x14ac:dyDescent="0.25">
      <c r="A6" s="198" t="s">
        <v>42</v>
      </c>
      <c r="B6" s="198">
        <f>'Total income package'!B39</f>
        <v>67</v>
      </c>
      <c r="C6" s="350">
        <f>IFERROR(VLOOKUP($A$2,'SLCSP premiums'!$A$4:$AV$137,HLOOKUP(B6,'SLCSP premiums'!$B$2:$AV$3,2,FALSE),FALSE),0)</f>
        <v>0</v>
      </c>
      <c r="F6" s="42"/>
      <c r="G6" s="43"/>
      <c r="H6" s="45"/>
      <c r="I6" s="45"/>
      <c r="J6" s="21"/>
      <c r="K6" s="21"/>
      <c r="L6" s="135" t="s">
        <v>318</v>
      </c>
      <c r="M6" s="136">
        <f>K2*3</f>
        <v>12510</v>
      </c>
      <c r="N6" s="141">
        <f>K2*3.99</f>
        <v>16638.3</v>
      </c>
      <c r="O6" s="145">
        <v>0.06</v>
      </c>
      <c r="P6" s="145">
        <v>8.5000000000000006E-2</v>
      </c>
    </row>
    <row r="7" spans="1:27" ht="11.25" customHeight="1" x14ac:dyDescent="0.25">
      <c r="A7" s="198" t="s">
        <v>43</v>
      </c>
      <c r="B7" s="198">
        <f>'Total income package'!B40</f>
        <v>70</v>
      </c>
      <c r="C7" s="350">
        <f>IFERROR(VLOOKUP($A$2,'SLCSP premiums'!$A$4:$AV$137,HLOOKUP(B7,'SLCSP premiums'!$B$2:$AV$3,2,FALSE),FALSE),0)</f>
        <v>0</v>
      </c>
      <c r="L7" s="116" t="s">
        <v>320</v>
      </c>
      <c r="M7" s="143">
        <f>K2*4</f>
        <v>16680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889</v>
      </c>
      <c r="L12" s="116"/>
      <c r="M12" s="143"/>
      <c r="N12" s="144"/>
      <c r="O12" s="146"/>
      <c r="P12" s="146"/>
      <c r="V12" s="21"/>
      <c r="W12" s="3"/>
      <c r="X12" s="3"/>
      <c r="Z12" s="41"/>
      <c r="AA12" s="41"/>
    </row>
    <row r="13" spans="1:27" ht="11.25" customHeight="1" x14ac:dyDescent="0.25">
      <c r="A13" s="349" t="s">
        <v>664</v>
      </c>
      <c r="B13" s="351">
        <f>D2</f>
        <v>3</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6213.3</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9.9920063948840919E-3</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6213.3</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1.9984012789768184E-2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6213.3</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2.9976019184652279E-2</v>
      </c>
      <c r="E20" s="50">
        <f t="shared" si="4"/>
        <v>0</v>
      </c>
      <c r="F20" s="50">
        <f t="shared" si="5"/>
        <v>0</v>
      </c>
      <c r="G20" s="69">
        <f t="shared" si="6"/>
        <v>0</v>
      </c>
      <c r="H20" s="70">
        <f t="shared" si="7"/>
        <v>6213.3</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3.9968025579536368E-2</v>
      </c>
      <c r="E21" s="50">
        <f t="shared" si="4"/>
        <v>0</v>
      </c>
      <c r="F21" s="50">
        <f t="shared" si="5"/>
        <v>0</v>
      </c>
      <c r="G21" s="69">
        <f t="shared" si="6"/>
        <v>0</v>
      </c>
      <c r="H21" s="70">
        <f t="shared" si="7"/>
        <v>6213.3</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4.9960031974420463E-2</v>
      </c>
      <c r="E22" s="50">
        <f t="shared" si="4"/>
        <v>0</v>
      </c>
      <c r="F22" s="50">
        <f t="shared" si="5"/>
        <v>0</v>
      </c>
      <c r="G22" s="69">
        <f t="shared" si="6"/>
        <v>0</v>
      </c>
      <c r="H22" s="70">
        <f t="shared" si="7"/>
        <v>6213.3</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5.9952038369304558E-2</v>
      </c>
      <c r="E23" s="50">
        <f t="shared" si="4"/>
        <v>0</v>
      </c>
      <c r="F23" s="50">
        <f t="shared" si="5"/>
        <v>0</v>
      </c>
      <c r="G23" s="69">
        <f t="shared" si="6"/>
        <v>0</v>
      </c>
      <c r="H23" s="70">
        <f t="shared" si="7"/>
        <v>6213.3</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6.9944044764188654E-2</v>
      </c>
      <c r="E24" s="50">
        <f t="shared" si="4"/>
        <v>0</v>
      </c>
      <c r="F24" s="50">
        <f t="shared" si="5"/>
        <v>0</v>
      </c>
      <c r="G24" s="69">
        <f t="shared" si="6"/>
        <v>0</v>
      </c>
      <c r="H24" s="70">
        <f t="shared" si="7"/>
        <v>6213.3</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7.9936051159072735E-2</v>
      </c>
      <c r="E25" s="50">
        <f t="shared" si="4"/>
        <v>0</v>
      </c>
      <c r="F25" s="50">
        <f t="shared" si="5"/>
        <v>0</v>
      </c>
      <c r="G25" s="69">
        <f t="shared" si="6"/>
        <v>0</v>
      </c>
      <c r="H25" s="70">
        <f t="shared" si="7"/>
        <v>6213.3</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8.9928057553956831E-2</v>
      </c>
      <c r="E26" s="50">
        <f t="shared" si="4"/>
        <v>0</v>
      </c>
      <c r="F26" s="50">
        <f t="shared" si="5"/>
        <v>0</v>
      </c>
      <c r="G26" s="69">
        <f t="shared" si="6"/>
        <v>0</v>
      </c>
      <c r="H26" s="70">
        <f t="shared" si="7"/>
        <v>6213.3</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9.9920063948840926E-2</v>
      </c>
      <c r="E27" s="50">
        <f t="shared" si="4"/>
        <v>0</v>
      </c>
      <c r="F27" s="50">
        <f t="shared" si="5"/>
        <v>0</v>
      </c>
      <c r="G27" s="69">
        <f t="shared" si="6"/>
        <v>0</v>
      </c>
      <c r="H27" s="70">
        <f t="shared" si="7"/>
        <v>6213.3</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0.10991207034372502</v>
      </c>
      <c r="E28" s="50">
        <f t="shared" si="4"/>
        <v>0</v>
      </c>
      <c r="F28" s="50">
        <f t="shared" si="5"/>
        <v>0</v>
      </c>
      <c r="G28" s="69">
        <f t="shared" si="6"/>
        <v>0</v>
      </c>
      <c r="H28" s="70">
        <f t="shared" si="7"/>
        <v>6213.3</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0.11990407673860912</v>
      </c>
      <c r="E29" s="50">
        <f t="shared" si="4"/>
        <v>0</v>
      </c>
      <c r="F29" s="50">
        <f t="shared" si="5"/>
        <v>0</v>
      </c>
      <c r="G29" s="69">
        <f t="shared" si="6"/>
        <v>0</v>
      </c>
      <c r="H29" s="70">
        <f t="shared" si="7"/>
        <v>6213.3</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0.12989608313349318</v>
      </c>
      <c r="E30" s="50">
        <f t="shared" si="4"/>
        <v>0</v>
      </c>
      <c r="F30" s="50">
        <f t="shared" si="5"/>
        <v>0</v>
      </c>
      <c r="G30" s="69">
        <f t="shared" si="6"/>
        <v>0</v>
      </c>
      <c r="H30" s="70">
        <f t="shared" si="7"/>
        <v>6213.3</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0.13988808952837731</v>
      </c>
      <c r="E31" s="50">
        <f t="shared" si="4"/>
        <v>0</v>
      </c>
      <c r="F31" s="50">
        <f t="shared" si="5"/>
        <v>0</v>
      </c>
      <c r="G31" s="69">
        <f t="shared" si="6"/>
        <v>0</v>
      </c>
      <c r="H31" s="70">
        <f t="shared" si="7"/>
        <v>6213.3</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0.1498800959232614</v>
      </c>
      <c r="E32" s="50">
        <f t="shared" si="4"/>
        <v>0</v>
      </c>
      <c r="F32" s="50">
        <f t="shared" si="5"/>
        <v>0</v>
      </c>
      <c r="G32" s="69">
        <f t="shared" si="6"/>
        <v>0</v>
      </c>
      <c r="H32" s="70">
        <f t="shared" si="7"/>
        <v>6213.3</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0.15987210231814547</v>
      </c>
      <c r="E33" s="50">
        <f t="shared" si="4"/>
        <v>0</v>
      </c>
      <c r="F33" s="50">
        <f t="shared" si="5"/>
        <v>0</v>
      </c>
      <c r="G33" s="69">
        <f t="shared" si="6"/>
        <v>0</v>
      </c>
      <c r="H33" s="70">
        <f t="shared" si="7"/>
        <v>6213.3</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0.16986410871302959</v>
      </c>
      <c r="E34" s="50">
        <f t="shared" si="4"/>
        <v>0</v>
      </c>
      <c r="F34" s="50">
        <f t="shared" si="5"/>
        <v>0</v>
      </c>
      <c r="G34" s="69">
        <f t="shared" si="6"/>
        <v>0</v>
      </c>
      <c r="H34" s="70">
        <f t="shared" si="7"/>
        <v>6213.3</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0.17985611510791366</v>
      </c>
      <c r="E35" s="50">
        <f t="shared" si="4"/>
        <v>0</v>
      </c>
      <c r="F35" s="50">
        <f t="shared" si="5"/>
        <v>0</v>
      </c>
      <c r="G35" s="69">
        <f t="shared" si="6"/>
        <v>0</v>
      </c>
      <c r="H35" s="70">
        <f t="shared" si="7"/>
        <v>6213.3</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0.18984812150279776</v>
      </c>
      <c r="E36" s="50">
        <f t="shared" si="4"/>
        <v>0</v>
      </c>
      <c r="F36" s="50">
        <f t="shared" si="5"/>
        <v>0</v>
      </c>
      <c r="G36" s="69">
        <f t="shared" si="6"/>
        <v>0</v>
      </c>
      <c r="H36" s="70">
        <f t="shared" si="7"/>
        <v>6213.3</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0.19984012789768185</v>
      </c>
      <c r="E37" s="50">
        <f t="shared" si="4"/>
        <v>0</v>
      </c>
      <c r="F37" s="50">
        <f t="shared" si="5"/>
        <v>0</v>
      </c>
      <c r="G37" s="69">
        <f t="shared" si="6"/>
        <v>0</v>
      </c>
      <c r="H37" s="70">
        <f t="shared" si="7"/>
        <v>6213.3</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0.20983213429256595</v>
      </c>
      <c r="E38" s="50">
        <f t="shared" si="4"/>
        <v>0</v>
      </c>
      <c r="F38" s="50">
        <f t="shared" si="5"/>
        <v>0</v>
      </c>
      <c r="G38" s="69">
        <f t="shared" si="6"/>
        <v>0</v>
      </c>
      <c r="H38" s="70">
        <f t="shared" si="7"/>
        <v>6213.3</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0.21982414068745004</v>
      </c>
      <c r="E39" s="50">
        <f t="shared" si="4"/>
        <v>0</v>
      </c>
      <c r="F39" s="50">
        <f t="shared" si="5"/>
        <v>0</v>
      </c>
      <c r="G39" s="69">
        <f t="shared" si="6"/>
        <v>0</v>
      </c>
      <c r="H39" s="70">
        <f t="shared" si="7"/>
        <v>6213.3</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0.22981614708233414</v>
      </c>
      <c r="E40" s="50">
        <f t="shared" si="4"/>
        <v>0</v>
      </c>
      <c r="F40" s="50">
        <f t="shared" si="5"/>
        <v>0</v>
      </c>
      <c r="G40" s="69">
        <f t="shared" si="6"/>
        <v>0</v>
      </c>
      <c r="H40" s="70">
        <f t="shared" si="7"/>
        <v>6213.3</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0.23980815347721823</v>
      </c>
      <c r="E41" s="50">
        <f t="shared" si="4"/>
        <v>0</v>
      </c>
      <c r="F41" s="50">
        <f t="shared" si="5"/>
        <v>0</v>
      </c>
      <c r="G41" s="69">
        <f t="shared" si="6"/>
        <v>0</v>
      </c>
      <c r="H41" s="70">
        <f t="shared" si="7"/>
        <v>6213.3</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0.24980015987210233</v>
      </c>
      <c r="E42" s="50">
        <f t="shared" si="4"/>
        <v>0</v>
      </c>
      <c r="F42" s="50">
        <f t="shared" si="5"/>
        <v>0</v>
      </c>
      <c r="G42" s="69">
        <f t="shared" si="6"/>
        <v>0</v>
      </c>
      <c r="H42" s="70">
        <f t="shared" si="7"/>
        <v>6213.3</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0.25979216626698637</v>
      </c>
      <c r="E43" s="50">
        <f t="shared" si="4"/>
        <v>0</v>
      </c>
      <c r="F43" s="50">
        <f t="shared" si="5"/>
        <v>0</v>
      </c>
      <c r="G43" s="69">
        <f t="shared" si="6"/>
        <v>0</v>
      </c>
      <c r="H43" s="70">
        <f t="shared" si="7"/>
        <v>6213.3</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0.26978417266187049</v>
      </c>
      <c r="E44" s="50">
        <f t="shared" si="4"/>
        <v>0</v>
      </c>
      <c r="F44" s="50">
        <f t="shared" si="5"/>
        <v>0</v>
      </c>
      <c r="G44" s="69">
        <f t="shared" si="6"/>
        <v>0</v>
      </c>
      <c r="H44" s="70">
        <f t="shared" si="7"/>
        <v>6213.3</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0.27977617905675461</v>
      </c>
      <c r="E45" s="50">
        <f t="shared" si="4"/>
        <v>0</v>
      </c>
      <c r="F45" s="50">
        <f t="shared" si="5"/>
        <v>0</v>
      </c>
      <c r="G45" s="69">
        <f t="shared" si="6"/>
        <v>0</v>
      </c>
      <c r="H45" s="70">
        <f t="shared" si="7"/>
        <v>6213.3</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0.28976818545163868</v>
      </c>
      <c r="E46" s="50">
        <f t="shared" si="4"/>
        <v>0</v>
      </c>
      <c r="F46" s="50">
        <f t="shared" si="5"/>
        <v>0</v>
      </c>
      <c r="G46" s="69">
        <f t="shared" si="6"/>
        <v>0</v>
      </c>
      <c r="H46" s="70">
        <f t="shared" si="7"/>
        <v>6213.3</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0.29976019184652281</v>
      </c>
      <c r="E47" s="50">
        <f t="shared" si="4"/>
        <v>0</v>
      </c>
      <c r="F47" s="50">
        <f t="shared" si="5"/>
        <v>0</v>
      </c>
      <c r="G47" s="69">
        <f t="shared" si="6"/>
        <v>0</v>
      </c>
      <c r="H47" s="70">
        <f t="shared" si="7"/>
        <v>6213.3</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0.30975219824140687</v>
      </c>
      <c r="E48" s="50">
        <f t="shared" si="4"/>
        <v>0</v>
      </c>
      <c r="F48" s="50">
        <f t="shared" si="5"/>
        <v>0</v>
      </c>
      <c r="G48" s="69">
        <f t="shared" si="6"/>
        <v>0</v>
      </c>
      <c r="H48" s="70">
        <f t="shared" si="7"/>
        <v>6213.3</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0.31974420463629094</v>
      </c>
      <c r="E49" s="50">
        <f t="shared" si="4"/>
        <v>0</v>
      </c>
      <c r="F49" s="50">
        <f t="shared" si="5"/>
        <v>0</v>
      </c>
      <c r="G49" s="69">
        <f t="shared" si="6"/>
        <v>0</v>
      </c>
      <c r="H49" s="70">
        <f t="shared" si="7"/>
        <v>6213.3</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0.32973621103117506</v>
      </c>
      <c r="E50" s="50">
        <f t="shared" si="4"/>
        <v>0</v>
      </c>
      <c r="F50" s="50">
        <f t="shared" si="5"/>
        <v>0</v>
      </c>
      <c r="G50" s="69">
        <f t="shared" si="6"/>
        <v>0</v>
      </c>
      <c r="H50" s="70">
        <f t="shared" si="7"/>
        <v>6213.3</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0.33972821742605919</v>
      </c>
      <c r="E51" s="50">
        <f t="shared" si="4"/>
        <v>0</v>
      </c>
      <c r="F51" s="50">
        <f t="shared" si="5"/>
        <v>0</v>
      </c>
      <c r="G51" s="69">
        <f t="shared" si="6"/>
        <v>0</v>
      </c>
      <c r="H51" s="70">
        <f t="shared" si="7"/>
        <v>6213.3</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0.34972022382094325</v>
      </c>
      <c r="E52" s="50">
        <f t="shared" si="4"/>
        <v>0</v>
      </c>
      <c r="F52" s="50">
        <f t="shared" si="5"/>
        <v>0</v>
      </c>
      <c r="G52" s="69">
        <f t="shared" si="6"/>
        <v>0</v>
      </c>
      <c r="H52" s="70">
        <f t="shared" si="7"/>
        <v>6213.3</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0.35971223021582732</v>
      </c>
      <c r="E53" s="50">
        <f t="shared" si="4"/>
        <v>0</v>
      </c>
      <c r="F53" s="50">
        <f t="shared" si="5"/>
        <v>0</v>
      </c>
      <c r="G53" s="69">
        <f t="shared" si="6"/>
        <v>0</v>
      </c>
      <c r="H53" s="70">
        <f t="shared" si="7"/>
        <v>6213.3</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0.36970423661071145</v>
      </c>
      <c r="E54" s="50">
        <f t="shared" si="4"/>
        <v>0</v>
      </c>
      <c r="F54" s="50">
        <f t="shared" si="5"/>
        <v>0</v>
      </c>
      <c r="G54" s="69">
        <f t="shared" si="6"/>
        <v>0</v>
      </c>
      <c r="H54" s="70">
        <f t="shared" si="7"/>
        <v>6213.3</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0.37969624300559551</v>
      </c>
      <c r="E55" s="50">
        <f t="shared" si="4"/>
        <v>0</v>
      </c>
      <c r="F55" s="50">
        <f t="shared" si="5"/>
        <v>0</v>
      </c>
      <c r="G55" s="69">
        <f t="shared" si="6"/>
        <v>0</v>
      </c>
      <c r="H55" s="70">
        <f t="shared" si="7"/>
        <v>6213.3</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0.38968824940047964</v>
      </c>
      <c r="E56" s="50">
        <f t="shared" si="4"/>
        <v>0</v>
      </c>
      <c r="F56" s="50">
        <f t="shared" si="5"/>
        <v>0</v>
      </c>
      <c r="G56" s="69">
        <f t="shared" si="6"/>
        <v>0</v>
      </c>
      <c r="H56" s="70">
        <f t="shared" si="7"/>
        <v>6213.3</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0.3996802557953637</v>
      </c>
      <c r="E57" s="50">
        <f t="shared" si="4"/>
        <v>0</v>
      </c>
      <c r="F57" s="50">
        <f t="shared" si="5"/>
        <v>0</v>
      </c>
      <c r="G57" s="69">
        <f t="shared" si="6"/>
        <v>0</v>
      </c>
      <c r="H57" s="70">
        <f t="shared" si="7"/>
        <v>6213.3</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0.40967226219024777</v>
      </c>
      <c r="E58" s="50">
        <f>IF(D58&gt;3.99,0.085,IF(D58&gt;2.99,0.06,IF(D58&gt;1.99,0.02,IF(D58&gt;1.49,0,0))))</f>
        <v>0</v>
      </c>
      <c r="F58" s="50">
        <f t="shared" si="5"/>
        <v>0</v>
      </c>
      <c r="G58" s="69">
        <f t="shared" si="6"/>
        <v>0</v>
      </c>
      <c r="H58" s="70">
        <f t="shared" si="7"/>
        <v>6213.3</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0.41966426858513189</v>
      </c>
      <c r="E59" s="50">
        <f t="shared" si="4"/>
        <v>0</v>
      </c>
      <c r="F59" s="50">
        <f>IF(D59&gt;3.99,0.085,IF(D59&gt;2.99,0.085,IF(D59&gt;2.49,0.06,IF(D59&gt;1.99,0.04,IF(D59&gt;1.49,0.02,0)))))</f>
        <v>0</v>
      </c>
      <c r="G59" s="69">
        <f t="shared" si="6"/>
        <v>0</v>
      </c>
      <c r="H59" s="70">
        <f t="shared" si="7"/>
        <v>6213.3</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0.42965627498001602</v>
      </c>
      <c r="E60" s="50">
        <f t="shared" si="4"/>
        <v>0</v>
      </c>
      <c r="F60" s="50">
        <f t="shared" si="5"/>
        <v>0</v>
      </c>
      <c r="G60" s="69">
        <f t="shared" si="6"/>
        <v>0</v>
      </c>
      <c r="H60" s="70">
        <f t="shared" si="7"/>
        <v>6213.3</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0.43964828137490009</v>
      </c>
      <c r="E61" s="50">
        <f t="shared" si="4"/>
        <v>0</v>
      </c>
      <c r="F61" s="50">
        <f t="shared" si="5"/>
        <v>0</v>
      </c>
      <c r="G61" s="69">
        <f t="shared" si="6"/>
        <v>0</v>
      </c>
      <c r="H61" s="70">
        <f t="shared" si="7"/>
        <v>6213.3</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0.44964028776978415</v>
      </c>
      <c r="E62" s="50">
        <f t="shared" si="4"/>
        <v>0</v>
      </c>
      <c r="F62" s="50">
        <f t="shared" si="5"/>
        <v>0</v>
      </c>
      <c r="G62" s="69">
        <f t="shared" si="6"/>
        <v>0</v>
      </c>
      <c r="H62" s="70">
        <f t="shared" si="7"/>
        <v>6213.3</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0.45963229416466828</v>
      </c>
      <c r="E63" s="50">
        <f t="shared" si="4"/>
        <v>0</v>
      </c>
      <c r="F63" s="50">
        <f t="shared" si="5"/>
        <v>0</v>
      </c>
      <c r="G63" s="69">
        <f t="shared" si="6"/>
        <v>0</v>
      </c>
      <c r="H63" s="70">
        <f t="shared" si="7"/>
        <v>6213.3</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0.46962430055955234</v>
      </c>
      <c r="E64" s="50">
        <f t="shared" si="4"/>
        <v>0</v>
      </c>
      <c r="F64" s="50">
        <f t="shared" si="5"/>
        <v>0</v>
      </c>
      <c r="G64" s="69">
        <f t="shared" si="6"/>
        <v>0</v>
      </c>
      <c r="H64" s="70">
        <f t="shared" si="7"/>
        <v>6213.3</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0.47961630695443647</v>
      </c>
      <c r="E65" s="50">
        <f t="shared" si="4"/>
        <v>0</v>
      </c>
      <c r="F65" s="50">
        <f t="shared" si="5"/>
        <v>0</v>
      </c>
      <c r="G65" s="69">
        <f t="shared" si="6"/>
        <v>0</v>
      </c>
      <c r="H65" s="70">
        <f t="shared" si="7"/>
        <v>6213.3</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0.48960831334932053</v>
      </c>
      <c r="E66" s="50">
        <f t="shared" si="4"/>
        <v>0</v>
      </c>
      <c r="F66" s="50">
        <f t="shared" si="5"/>
        <v>0</v>
      </c>
      <c r="G66" s="69">
        <f t="shared" si="6"/>
        <v>0</v>
      </c>
      <c r="H66" s="70">
        <f t="shared" si="7"/>
        <v>6213.3</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0.49960031974420466</v>
      </c>
      <c r="E67" s="50">
        <f t="shared" si="4"/>
        <v>0</v>
      </c>
      <c r="F67" s="50">
        <f t="shared" si="5"/>
        <v>0</v>
      </c>
      <c r="G67" s="69">
        <f t="shared" si="6"/>
        <v>0</v>
      </c>
      <c r="H67" s="70">
        <f t="shared" si="7"/>
        <v>6213.3</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0.50959232613908878</v>
      </c>
      <c r="E68" s="50">
        <f t="shared" si="4"/>
        <v>0</v>
      </c>
      <c r="F68" s="50">
        <f t="shared" si="5"/>
        <v>0</v>
      </c>
      <c r="G68" s="69">
        <f t="shared" si="6"/>
        <v>0</v>
      </c>
      <c r="H68" s="70">
        <f t="shared" si="7"/>
        <v>6213.3</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0.51958433253397274</v>
      </c>
      <c r="E69" s="50">
        <f t="shared" si="4"/>
        <v>0</v>
      </c>
      <c r="F69" s="50">
        <f t="shared" si="5"/>
        <v>0</v>
      </c>
      <c r="G69" s="69">
        <f t="shared" si="6"/>
        <v>0</v>
      </c>
      <c r="H69" s="70">
        <f t="shared" si="7"/>
        <v>6213.3</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0.52957633892885692</v>
      </c>
      <c r="E70" s="50">
        <f t="shared" si="4"/>
        <v>0</v>
      </c>
      <c r="F70" s="50">
        <f t="shared" si="5"/>
        <v>0</v>
      </c>
      <c r="G70" s="69">
        <f t="shared" si="6"/>
        <v>0</v>
      </c>
      <c r="H70" s="70">
        <f t="shared" si="7"/>
        <v>6213.3</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0.53956834532374098</v>
      </c>
      <c r="E71" s="50">
        <f>IF(D71&gt;3.99,0.085,IF(D71&gt;2.99,0.06,IF(D71&gt;1.99,0.02,IF(D71&gt;1.49,0,0))))</f>
        <v>0</v>
      </c>
      <c r="F71" s="50">
        <f t="shared" si="5"/>
        <v>0</v>
      </c>
      <c r="G71" s="69">
        <f t="shared" si="6"/>
        <v>0</v>
      </c>
      <c r="H71" s="70">
        <f t="shared" si="7"/>
        <v>6213.3</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0.54956035171862505</v>
      </c>
      <c r="E72" s="50">
        <f t="shared" si="4"/>
        <v>0</v>
      </c>
      <c r="F72" s="50">
        <f>IF(D72&gt;3.99,0.085,IF(D72&gt;2.99,0.085,IF(D72&gt;2.49,0.06,IF(D72&gt;1.99,0.04,IF(D72&gt;1.49,0.02,0)))))</f>
        <v>0</v>
      </c>
      <c r="G72" s="69">
        <f t="shared" si="6"/>
        <v>0</v>
      </c>
      <c r="H72" s="70">
        <f t="shared" si="7"/>
        <v>6213.3</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0.55955235811350923</v>
      </c>
      <c r="E73" s="50">
        <f t="shared" si="4"/>
        <v>0</v>
      </c>
      <c r="F73" s="50">
        <f t="shared" si="5"/>
        <v>0</v>
      </c>
      <c r="G73" s="69">
        <f t="shared" si="6"/>
        <v>0</v>
      </c>
      <c r="H73" s="70">
        <f t="shared" si="7"/>
        <v>6213.3</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0.5695443645083933</v>
      </c>
      <c r="E74" s="50">
        <f t="shared" si="4"/>
        <v>0</v>
      </c>
      <c r="F74" s="50">
        <f t="shared" si="5"/>
        <v>0</v>
      </c>
      <c r="G74" s="69">
        <f t="shared" si="6"/>
        <v>0</v>
      </c>
      <c r="H74" s="70">
        <f t="shared" si="7"/>
        <v>6213.3</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0.57953637090327736</v>
      </c>
      <c r="E75" s="50">
        <f t="shared" si="4"/>
        <v>0</v>
      </c>
      <c r="F75" s="50">
        <f t="shared" si="5"/>
        <v>0</v>
      </c>
      <c r="G75" s="69">
        <f t="shared" si="6"/>
        <v>0</v>
      </c>
      <c r="H75" s="70">
        <f t="shared" si="7"/>
        <v>6213.3</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0.58952837729816154</v>
      </c>
      <c r="E76" s="50">
        <f t="shared" si="4"/>
        <v>0</v>
      </c>
      <c r="F76" s="50">
        <f t="shared" si="5"/>
        <v>0</v>
      </c>
      <c r="G76" s="69">
        <f t="shared" si="6"/>
        <v>0</v>
      </c>
      <c r="H76" s="70">
        <f t="shared" si="7"/>
        <v>6213.3</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0.59952038369304561</v>
      </c>
      <c r="E77" s="50">
        <f t="shared" si="4"/>
        <v>0</v>
      </c>
      <c r="F77" s="50">
        <f t="shared" si="5"/>
        <v>0</v>
      </c>
      <c r="G77" s="69">
        <f t="shared" si="6"/>
        <v>0</v>
      </c>
      <c r="H77" s="70">
        <f t="shared" si="7"/>
        <v>6213.3</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0.60951239008792957</v>
      </c>
      <c r="E78" s="50">
        <f t="shared" si="4"/>
        <v>0</v>
      </c>
      <c r="F78" s="50">
        <f t="shared" si="5"/>
        <v>0</v>
      </c>
      <c r="G78" s="69">
        <f t="shared" si="6"/>
        <v>0</v>
      </c>
      <c r="H78" s="70">
        <f t="shared" si="7"/>
        <v>6213.3</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0.61950439648281375</v>
      </c>
      <c r="E79" s="50">
        <f t="shared" si="4"/>
        <v>0</v>
      </c>
      <c r="F79" s="50">
        <f t="shared" si="5"/>
        <v>0</v>
      </c>
      <c r="G79" s="69">
        <f t="shared" si="6"/>
        <v>0</v>
      </c>
      <c r="H79" s="70">
        <f t="shared" si="7"/>
        <v>6213.3</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0.62949640287769781</v>
      </c>
      <c r="E80" s="50">
        <f t="shared" si="4"/>
        <v>0</v>
      </c>
      <c r="F80" s="50">
        <f t="shared" si="5"/>
        <v>0</v>
      </c>
      <c r="G80" s="69">
        <f t="shared" si="6"/>
        <v>0</v>
      </c>
      <c r="H80" s="70">
        <f t="shared" si="7"/>
        <v>6213.3</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0.63948840927258188</v>
      </c>
      <c r="E81" s="50">
        <f t="shared" si="4"/>
        <v>0</v>
      </c>
      <c r="F81" s="50">
        <f t="shared" si="5"/>
        <v>0</v>
      </c>
      <c r="G81" s="69">
        <f t="shared" si="6"/>
        <v>0</v>
      </c>
      <c r="H81" s="70">
        <f t="shared" si="7"/>
        <v>6213.3</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0.64948041566746606</v>
      </c>
      <c r="E82" s="50">
        <f t="shared" si="4"/>
        <v>0</v>
      </c>
      <c r="F82" s="50">
        <f t="shared" si="5"/>
        <v>0</v>
      </c>
      <c r="G82" s="69">
        <f t="shared" si="6"/>
        <v>0</v>
      </c>
      <c r="H82" s="70">
        <f t="shared" si="7"/>
        <v>6213.3</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0.65947242206235013</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6213.3</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0.6694644284572342</v>
      </c>
      <c r="E84" s="50">
        <f t="shared" si="18"/>
        <v>0</v>
      </c>
      <c r="F84" s="50">
        <f t="shared" si="19"/>
        <v>0</v>
      </c>
      <c r="G84" s="69">
        <f t="shared" si="20"/>
        <v>0</v>
      </c>
      <c r="H84" s="70">
        <f t="shared" si="21"/>
        <v>6213.3</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0.67945643485211837</v>
      </c>
      <c r="E85" s="50">
        <f t="shared" si="18"/>
        <v>0</v>
      </c>
      <c r="F85" s="50">
        <f t="shared" si="19"/>
        <v>0</v>
      </c>
      <c r="G85" s="69">
        <f t="shared" si="20"/>
        <v>0</v>
      </c>
      <c r="H85" s="70">
        <f t="shared" si="21"/>
        <v>6213.3</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0.68944844124700244</v>
      </c>
      <c r="E86" s="50">
        <f t="shared" si="18"/>
        <v>0</v>
      </c>
      <c r="F86" s="50">
        <f t="shared" si="19"/>
        <v>0</v>
      </c>
      <c r="G86" s="69">
        <f t="shared" si="20"/>
        <v>0</v>
      </c>
      <c r="H86" s="70">
        <f t="shared" si="21"/>
        <v>6213.3</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0.69944044764188651</v>
      </c>
      <c r="E87" s="50">
        <f t="shared" si="18"/>
        <v>0</v>
      </c>
      <c r="F87" s="50">
        <f t="shared" si="19"/>
        <v>0</v>
      </c>
      <c r="G87" s="69">
        <f t="shared" si="20"/>
        <v>0</v>
      </c>
      <c r="H87" s="70">
        <f t="shared" si="21"/>
        <v>6213.3</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0.70943245403677058</v>
      </c>
      <c r="E88" s="50">
        <f t="shared" si="18"/>
        <v>0</v>
      </c>
      <c r="F88" s="50">
        <f t="shared" si="19"/>
        <v>0</v>
      </c>
      <c r="G88" s="69">
        <f t="shared" si="20"/>
        <v>0</v>
      </c>
      <c r="H88" s="70">
        <f t="shared" si="21"/>
        <v>6213.3</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0.71942446043165464</v>
      </c>
      <c r="E89" s="50">
        <f t="shared" si="18"/>
        <v>0</v>
      </c>
      <c r="F89" s="50">
        <f t="shared" si="19"/>
        <v>0</v>
      </c>
      <c r="G89" s="69">
        <f t="shared" si="20"/>
        <v>0</v>
      </c>
      <c r="H89" s="70">
        <f t="shared" si="21"/>
        <v>6213.3</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0.72941646682653871</v>
      </c>
      <c r="E90" s="50">
        <f t="shared" si="18"/>
        <v>0</v>
      </c>
      <c r="F90" s="50">
        <f t="shared" si="19"/>
        <v>0</v>
      </c>
      <c r="G90" s="69">
        <f t="shared" si="20"/>
        <v>0</v>
      </c>
      <c r="H90" s="70">
        <f t="shared" si="21"/>
        <v>6213.3</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0.73940847322142289</v>
      </c>
      <c r="E91" s="50">
        <f t="shared" si="18"/>
        <v>0</v>
      </c>
      <c r="F91" s="50">
        <f t="shared" si="19"/>
        <v>0</v>
      </c>
      <c r="G91" s="69">
        <f t="shared" si="20"/>
        <v>0</v>
      </c>
      <c r="H91" s="70">
        <f t="shared" si="21"/>
        <v>6213.3</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0.74940047961630696</v>
      </c>
      <c r="E92" s="50">
        <f t="shared" si="18"/>
        <v>0</v>
      </c>
      <c r="F92" s="50">
        <f t="shared" si="19"/>
        <v>0</v>
      </c>
      <c r="G92" s="69">
        <f t="shared" si="20"/>
        <v>0</v>
      </c>
      <c r="H92" s="70">
        <f t="shared" si="21"/>
        <v>6213.3</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0.75939248601119103</v>
      </c>
      <c r="E93" s="50">
        <f t="shared" si="18"/>
        <v>0</v>
      </c>
      <c r="F93" s="50">
        <f t="shared" si="19"/>
        <v>0</v>
      </c>
      <c r="G93" s="69">
        <f t="shared" si="20"/>
        <v>0</v>
      </c>
      <c r="H93" s="70">
        <f t="shared" si="21"/>
        <v>6213.3</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0.7693844924060752</v>
      </c>
      <c r="E94" s="50">
        <f t="shared" si="18"/>
        <v>0</v>
      </c>
      <c r="F94" s="50">
        <f t="shared" si="19"/>
        <v>0</v>
      </c>
      <c r="G94" s="69">
        <f t="shared" si="20"/>
        <v>0</v>
      </c>
      <c r="H94" s="70">
        <f t="shared" si="21"/>
        <v>6213.3</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0.77937649880095927</v>
      </c>
      <c r="E95" s="50">
        <f t="shared" si="18"/>
        <v>0</v>
      </c>
      <c r="F95" s="50">
        <f t="shared" si="19"/>
        <v>0</v>
      </c>
      <c r="G95" s="69">
        <f t="shared" si="20"/>
        <v>0</v>
      </c>
      <c r="H95" s="70">
        <f t="shared" si="21"/>
        <v>6213.3</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0.78936850519584334</v>
      </c>
      <c r="E96" s="50">
        <f t="shared" si="18"/>
        <v>0</v>
      </c>
      <c r="F96" s="50">
        <f t="shared" si="19"/>
        <v>0</v>
      </c>
      <c r="G96" s="69">
        <f t="shared" si="20"/>
        <v>0</v>
      </c>
      <c r="H96" s="70">
        <f t="shared" si="21"/>
        <v>6213.3</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0.79936051159072741</v>
      </c>
      <c r="E97" s="50">
        <f>IF(D97&gt;3.99,0.085,IF(D97&gt;2.99,0.06,IF(D97&gt;1.99,0.02,IF(D97&gt;1.49,0,0))))</f>
        <v>0</v>
      </c>
      <c r="F97" s="50">
        <f t="shared" si="19"/>
        <v>0</v>
      </c>
      <c r="G97" s="69">
        <f t="shared" si="20"/>
        <v>0</v>
      </c>
      <c r="H97" s="70">
        <f t="shared" si="21"/>
        <v>6213.3</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0.80935251798561147</v>
      </c>
      <c r="E98" s="50">
        <f t="shared" ref="E98:E161" si="25">IF(D98&gt;3.99,0.085,IF(D98&gt;2.99,0.06,IF(D98&gt;1.99,0.02,IF(D98&gt;1.49,0,0))))</f>
        <v>0</v>
      </c>
      <c r="F98" s="50">
        <f t="shared" si="19"/>
        <v>0</v>
      </c>
      <c r="G98" s="69">
        <f t="shared" si="20"/>
        <v>0</v>
      </c>
      <c r="H98" s="70">
        <f t="shared" si="21"/>
        <v>6213.3</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0.81934452438049554</v>
      </c>
      <c r="E99" s="50">
        <f t="shared" si="25"/>
        <v>0</v>
      </c>
      <c r="F99" s="50">
        <f t="shared" si="19"/>
        <v>0</v>
      </c>
      <c r="G99" s="69">
        <f t="shared" si="20"/>
        <v>0</v>
      </c>
      <c r="H99" s="70">
        <f t="shared" si="21"/>
        <v>6213.3</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0.82933653077537972</v>
      </c>
      <c r="E100" s="50">
        <f t="shared" si="25"/>
        <v>0</v>
      </c>
      <c r="F100" s="50">
        <f t="shared" si="19"/>
        <v>0</v>
      </c>
      <c r="G100" s="69">
        <f t="shared" si="20"/>
        <v>0</v>
      </c>
      <c r="H100" s="70">
        <f t="shared" si="21"/>
        <v>6213.3</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0.83932853717026379</v>
      </c>
      <c r="E101" s="50">
        <f t="shared" si="25"/>
        <v>0</v>
      </c>
      <c r="F101" s="50">
        <f t="shared" si="19"/>
        <v>0</v>
      </c>
      <c r="G101" s="69">
        <f t="shared" si="20"/>
        <v>0</v>
      </c>
      <c r="H101" s="70">
        <f t="shared" si="21"/>
        <v>6213.3</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0.84932054356514786</v>
      </c>
      <c r="E102" s="50">
        <f t="shared" si="25"/>
        <v>0</v>
      </c>
      <c r="F102" s="50">
        <f t="shared" si="19"/>
        <v>0</v>
      </c>
      <c r="G102" s="69">
        <f t="shared" si="20"/>
        <v>0</v>
      </c>
      <c r="H102" s="70">
        <f t="shared" si="21"/>
        <v>6213.3</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0.85931254996003203</v>
      </c>
      <c r="E103" s="50">
        <f t="shared" si="25"/>
        <v>0</v>
      </c>
      <c r="F103" s="50">
        <f t="shared" si="19"/>
        <v>0</v>
      </c>
      <c r="G103" s="69">
        <f t="shared" si="20"/>
        <v>0</v>
      </c>
      <c r="H103" s="70">
        <f t="shared" si="21"/>
        <v>6213.3</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0.8693045563549161</v>
      </c>
      <c r="E104" s="50">
        <f t="shared" si="25"/>
        <v>0</v>
      </c>
      <c r="F104" s="50">
        <f t="shared" si="19"/>
        <v>0</v>
      </c>
      <c r="G104" s="69">
        <f t="shared" si="20"/>
        <v>0</v>
      </c>
      <c r="H104" s="70">
        <f t="shared" si="21"/>
        <v>6213.3</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0.87929656274980017</v>
      </c>
      <c r="E105" s="50">
        <f t="shared" si="25"/>
        <v>0</v>
      </c>
      <c r="F105" s="50">
        <f t="shared" si="19"/>
        <v>0</v>
      </c>
      <c r="G105" s="69">
        <f t="shared" si="20"/>
        <v>0</v>
      </c>
      <c r="H105" s="70">
        <f t="shared" si="21"/>
        <v>6213.3</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0.88928856914468424</v>
      </c>
      <c r="E106" s="50">
        <f t="shared" si="25"/>
        <v>0</v>
      </c>
      <c r="F106" s="50">
        <f t="shared" si="19"/>
        <v>0</v>
      </c>
      <c r="G106" s="69">
        <f t="shared" si="20"/>
        <v>0</v>
      </c>
      <c r="H106" s="70">
        <f t="shared" si="21"/>
        <v>6213.3</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0.89928057553956831</v>
      </c>
      <c r="E107" s="50">
        <f t="shared" si="25"/>
        <v>0</v>
      </c>
      <c r="F107" s="50">
        <f t="shared" si="19"/>
        <v>0</v>
      </c>
      <c r="G107" s="69">
        <f t="shared" si="20"/>
        <v>0</v>
      </c>
      <c r="H107" s="70">
        <f t="shared" si="21"/>
        <v>6213.3</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0.90927258193445237</v>
      </c>
      <c r="E108" s="50">
        <f t="shared" si="25"/>
        <v>0</v>
      </c>
      <c r="F108" s="50">
        <f t="shared" si="19"/>
        <v>0</v>
      </c>
      <c r="G108" s="69">
        <f t="shared" si="20"/>
        <v>0</v>
      </c>
      <c r="H108" s="70">
        <f t="shared" si="21"/>
        <v>6213.3</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0.91926458832933655</v>
      </c>
      <c r="E109" s="50">
        <f t="shared" si="25"/>
        <v>0</v>
      </c>
      <c r="F109" s="50">
        <f t="shared" si="19"/>
        <v>0</v>
      </c>
      <c r="G109" s="69">
        <f t="shared" si="20"/>
        <v>0</v>
      </c>
      <c r="H109" s="70">
        <f t="shared" si="21"/>
        <v>6213.3</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0.92925659472422062</v>
      </c>
      <c r="E110" s="50">
        <f t="shared" si="25"/>
        <v>0</v>
      </c>
      <c r="F110" s="50">
        <f t="shared" si="19"/>
        <v>0</v>
      </c>
      <c r="G110" s="69">
        <f t="shared" si="20"/>
        <v>0</v>
      </c>
      <c r="H110" s="70">
        <f t="shared" si="21"/>
        <v>6213.3</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0.93924860111910469</v>
      </c>
      <c r="E111" s="50">
        <f t="shared" si="25"/>
        <v>0</v>
      </c>
      <c r="F111" s="50">
        <f t="shared" si="19"/>
        <v>0</v>
      </c>
      <c r="G111" s="69">
        <f t="shared" si="20"/>
        <v>0</v>
      </c>
      <c r="H111" s="70">
        <f t="shared" si="21"/>
        <v>6213.3</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0.94924060751398887</v>
      </c>
      <c r="E112" s="50">
        <f t="shared" si="25"/>
        <v>0</v>
      </c>
      <c r="F112" s="50">
        <f t="shared" si="19"/>
        <v>0</v>
      </c>
      <c r="G112" s="69">
        <f t="shared" si="20"/>
        <v>0</v>
      </c>
      <c r="H112" s="70">
        <f t="shared" si="21"/>
        <v>6213.3</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0.95923261390887293</v>
      </c>
      <c r="E113" s="50">
        <f t="shared" si="25"/>
        <v>0</v>
      </c>
      <c r="F113" s="50">
        <f>IF(D113&gt;3.99,0.085,IF(D113&gt;2.99,0.085,IF(D113&gt;2.49,0.06,IF(D113&gt;1.99,0.04,IF(D113&gt;1.49,0.02,0)))))</f>
        <v>0</v>
      </c>
      <c r="G113" s="69">
        <f t="shared" si="20"/>
        <v>0</v>
      </c>
      <c r="H113" s="70">
        <f t="shared" si="21"/>
        <v>6213.3</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0.969224620303757</v>
      </c>
      <c r="E114" s="50">
        <f t="shared" si="25"/>
        <v>0</v>
      </c>
      <c r="F114" s="50">
        <f t="shared" si="19"/>
        <v>0</v>
      </c>
      <c r="G114" s="69">
        <f t="shared" si="20"/>
        <v>0</v>
      </c>
      <c r="H114" s="70">
        <f t="shared" si="21"/>
        <v>6213.3</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0.97921662669864107</v>
      </c>
      <c r="E115" s="50">
        <f t="shared" si="25"/>
        <v>0</v>
      </c>
      <c r="F115" s="50">
        <f t="shared" si="19"/>
        <v>0</v>
      </c>
      <c r="G115" s="69">
        <f t="shared" si="20"/>
        <v>0</v>
      </c>
      <c r="H115" s="70">
        <f t="shared" si="21"/>
        <v>6213.3</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0.98920863309352514</v>
      </c>
      <c r="E116" s="50">
        <f t="shared" si="25"/>
        <v>0</v>
      </c>
      <c r="F116" s="50">
        <f t="shared" si="19"/>
        <v>0</v>
      </c>
      <c r="G116" s="69">
        <f t="shared" si="20"/>
        <v>0</v>
      </c>
      <c r="H116" s="70">
        <f t="shared" si="21"/>
        <v>6213.3</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0.99920063948840931</v>
      </c>
      <c r="E117" s="50">
        <f t="shared" si="25"/>
        <v>0</v>
      </c>
      <c r="F117" s="50">
        <f t="shared" si="19"/>
        <v>0</v>
      </c>
      <c r="G117" s="69">
        <f t="shared" si="20"/>
        <v>0</v>
      </c>
      <c r="H117" s="70">
        <f t="shared" si="21"/>
        <v>6213.3</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1.0091926458832934</v>
      </c>
      <c r="E118" s="50">
        <f t="shared" si="25"/>
        <v>0</v>
      </c>
      <c r="F118" s="50">
        <f t="shared" si="19"/>
        <v>0</v>
      </c>
      <c r="G118" s="69">
        <f t="shared" si="20"/>
        <v>0</v>
      </c>
      <c r="H118" s="70">
        <f t="shared" si="21"/>
        <v>6213.3</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1.0191846522781776</v>
      </c>
      <c r="E119" s="50">
        <f t="shared" si="25"/>
        <v>0</v>
      </c>
      <c r="F119" s="50">
        <f t="shared" si="19"/>
        <v>0</v>
      </c>
      <c r="G119" s="69">
        <f t="shared" si="20"/>
        <v>0</v>
      </c>
      <c r="H119" s="70">
        <f t="shared" si="21"/>
        <v>6213.3</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1.0291766586730615</v>
      </c>
      <c r="E120" s="50">
        <f t="shared" si="25"/>
        <v>0</v>
      </c>
      <c r="F120" s="50">
        <f t="shared" si="19"/>
        <v>0</v>
      </c>
      <c r="G120" s="69">
        <f t="shared" si="20"/>
        <v>0</v>
      </c>
      <c r="H120" s="70">
        <f t="shared" si="21"/>
        <v>6213.3</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1.0391686650679455</v>
      </c>
      <c r="E121" s="50">
        <f t="shared" si="25"/>
        <v>0</v>
      </c>
      <c r="F121" s="50">
        <f t="shared" si="19"/>
        <v>0</v>
      </c>
      <c r="G121" s="69">
        <f t="shared" si="20"/>
        <v>0</v>
      </c>
      <c r="H121" s="70">
        <f t="shared" si="21"/>
        <v>6213.3</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1.0491606714628297</v>
      </c>
      <c r="E122" s="50">
        <f t="shared" si="25"/>
        <v>0</v>
      </c>
      <c r="F122" s="50">
        <f t="shared" si="19"/>
        <v>0</v>
      </c>
      <c r="G122" s="69">
        <f t="shared" si="20"/>
        <v>0</v>
      </c>
      <c r="H122" s="70">
        <f t="shared" si="21"/>
        <v>6213.3</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1.0591526778577138</v>
      </c>
      <c r="E123" s="50">
        <f t="shared" si="25"/>
        <v>0</v>
      </c>
      <c r="F123" s="50">
        <f t="shared" si="19"/>
        <v>0</v>
      </c>
      <c r="G123" s="69">
        <f t="shared" si="20"/>
        <v>0</v>
      </c>
      <c r="H123" s="70">
        <f t="shared" si="21"/>
        <v>6213.3</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1.0691446842525978</v>
      </c>
      <c r="E124" s="50">
        <f t="shared" si="25"/>
        <v>0</v>
      </c>
      <c r="F124" s="50">
        <f t="shared" si="19"/>
        <v>0</v>
      </c>
      <c r="G124" s="69">
        <f t="shared" si="20"/>
        <v>0</v>
      </c>
      <c r="H124" s="70">
        <f t="shared" si="21"/>
        <v>6213.3</v>
      </c>
      <c r="I124" s="70">
        <f t="shared" si="22"/>
        <v>0</v>
      </c>
      <c r="J124" s="53">
        <f t="shared" si="14"/>
        <v>0</v>
      </c>
      <c r="K124" s="53">
        <f t="shared" si="15"/>
        <v>0</v>
      </c>
      <c r="L124" s="289">
        <f t="shared" si="16"/>
        <v>0</v>
      </c>
      <c r="N124" s="7">
        <f t="shared" si="17"/>
        <v>0</v>
      </c>
      <c r="O124" t="str">
        <f>Medicaid!G116</f>
        <v>Yes</v>
      </c>
      <c r="P124" t="str">
        <f>Medicaid!K116</f>
        <v>Yes</v>
      </c>
    </row>
    <row r="125" spans="1:16" ht="15" customHeight="1" x14ac:dyDescent="0.25">
      <c r="A125" s="3">
        <v>54000</v>
      </c>
      <c r="B125" s="3">
        <f t="shared" si="23"/>
        <v>4500</v>
      </c>
      <c r="C125" s="3">
        <f t="shared" si="24"/>
        <v>377.55</v>
      </c>
      <c r="D125" s="64">
        <f t="shared" si="26"/>
        <v>1.079136690647482</v>
      </c>
      <c r="E125" s="50">
        <f t="shared" si="25"/>
        <v>0</v>
      </c>
      <c r="F125" s="50">
        <f t="shared" si="19"/>
        <v>0</v>
      </c>
      <c r="G125" s="69">
        <f t="shared" si="20"/>
        <v>0</v>
      </c>
      <c r="H125" s="70">
        <f t="shared" si="21"/>
        <v>6213.3</v>
      </c>
      <c r="I125" s="70">
        <f t="shared" si="22"/>
        <v>0</v>
      </c>
      <c r="J125" s="53">
        <f t="shared" si="14"/>
        <v>0</v>
      </c>
      <c r="K125" s="53">
        <f t="shared" si="15"/>
        <v>0</v>
      </c>
      <c r="L125" s="289">
        <f t="shared" si="16"/>
        <v>0</v>
      </c>
      <c r="N125" s="7">
        <f t="shared" si="17"/>
        <v>0</v>
      </c>
      <c r="O125" t="str">
        <f>Medicaid!G117</f>
        <v>Yes</v>
      </c>
      <c r="P125" t="str">
        <f>Medicaid!K117</f>
        <v>Yes</v>
      </c>
    </row>
    <row r="126" spans="1:16" ht="15" customHeight="1" x14ac:dyDescent="0.25">
      <c r="A126" s="3">
        <v>54500</v>
      </c>
      <c r="B126" s="3">
        <f t="shared" si="23"/>
        <v>4541.666666666667</v>
      </c>
      <c r="C126" s="3">
        <f t="shared" si="24"/>
        <v>381.04583333333335</v>
      </c>
      <c r="D126" s="64">
        <f t="shared" si="26"/>
        <v>1.0891286970423661</v>
      </c>
      <c r="E126" s="50">
        <f t="shared" si="25"/>
        <v>0</v>
      </c>
      <c r="F126" s="50">
        <f t="shared" si="19"/>
        <v>0</v>
      </c>
      <c r="G126" s="69">
        <f t="shared" si="20"/>
        <v>0</v>
      </c>
      <c r="H126" s="70">
        <f t="shared" si="21"/>
        <v>6213.3</v>
      </c>
      <c r="I126" s="70">
        <f t="shared" si="22"/>
        <v>0</v>
      </c>
      <c r="J126" s="53">
        <f t="shared" si="14"/>
        <v>0</v>
      </c>
      <c r="K126" s="53">
        <f t="shared" si="15"/>
        <v>0</v>
      </c>
      <c r="L126" s="289">
        <f t="shared" si="16"/>
        <v>0</v>
      </c>
      <c r="N126" s="7">
        <f t="shared" si="17"/>
        <v>0</v>
      </c>
      <c r="O126" t="str">
        <f>Medicaid!G118</f>
        <v>Yes</v>
      </c>
      <c r="P126" t="str">
        <f>Medicaid!K118</f>
        <v>Yes</v>
      </c>
    </row>
    <row r="127" spans="1:16" ht="15" customHeight="1" x14ac:dyDescent="0.25">
      <c r="A127" s="3">
        <v>55000</v>
      </c>
      <c r="B127" s="3">
        <f t="shared" si="23"/>
        <v>4583.333333333333</v>
      </c>
      <c r="C127" s="3">
        <f t="shared" si="24"/>
        <v>384.54166666666663</v>
      </c>
      <c r="D127" s="64">
        <f t="shared" si="26"/>
        <v>1.0991207034372501</v>
      </c>
      <c r="E127" s="50">
        <f t="shared" si="25"/>
        <v>0</v>
      </c>
      <c r="F127" s="50">
        <f t="shared" si="19"/>
        <v>0</v>
      </c>
      <c r="G127" s="69">
        <f t="shared" si="20"/>
        <v>0</v>
      </c>
      <c r="H127" s="70">
        <f t="shared" si="21"/>
        <v>6213.3</v>
      </c>
      <c r="I127" s="70">
        <f t="shared" si="22"/>
        <v>0</v>
      </c>
      <c r="J127" s="53">
        <f t="shared" si="14"/>
        <v>0</v>
      </c>
      <c r="K127" s="53">
        <f t="shared" si="15"/>
        <v>0</v>
      </c>
      <c r="L127" s="289">
        <f t="shared" si="16"/>
        <v>0</v>
      </c>
      <c r="N127" s="7">
        <f t="shared" si="17"/>
        <v>0</v>
      </c>
      <c r="O127" t="str">
        <f>Medicaid!G119</f>
        <v>Yes</v>
      </c>
      <c r="P127" t="str">
        <f>Medicaid!K119</f>
        <v>Yes</v>
      </c>
    </row>
    <row r="128" spans="1:16" ht="15" customHeight="1" x14ac:dyDescent="0.25">
      <c r="A128" s="3">
        <v>55500</v>
      </c>
      <c r="B128" s="3">
        <f t="shared" si="23"/>
        <v>4625</v>
      </c>
      <c r="C128" s="3">
        <f t="shared" si="24"/>
        <v>388.03750000000002</v>
      </c>
      <c r="D128" s="64">
        <f t="shared" si="26"/>
        <v>1.1091127098321343</v>
      </c>
      <c r="E128" s="50">
        <f t="shared" si="25"/>
        <v>0</v>
      </c>
      <c r="F128" s="50">
        <f t="shared" si="19"/>
        <v>0</v>
      </c>
      <c r="G128" s="69">
        <f t="shared" si="20"/>
        <v>0</v>
      </c>
      <c r="H128" s="70">
        <f t="shared" si="21"/>
        <v>6213.3</v>
      </c>
      <c r="I128" s="70">
        <f t="shared" si="22"/>
        <v>0</v>
      </c>
      <c r="J128" s="53">
        <f t="shared" si="14"/>
        <v>0</v>
      </c>
      <c r="K128" s="53">
        <f t="shared" si="15"/>
        <v>0</v>
      </c>
      <c r="L128" s="289">
        <f t="shared" si="16"/>
        <v>0</v>
      </c>
      <c r="N128" s="7">
        <f t="shared" si="17"/>
        <v>0</v>
      </c>
      <c r="O128" t="str">
        <f>Medicaid!G120</f>
        <v>Yes</v>
      </c>
      <c r="P128" t="str">
        <f>Medicaid!K120</f>
        <v>Yes</v>
      </c>
    </row>
    <row r="129" spans="1:16" ht="15" customHeight="1" x14ac:dyDescent="0.25">
      <c r="A129" s="3">
        <v>56000</v>
      </c>
      <c r="B129" s="3">
        <f t="shared" si="23"/>
        <v>4666.666666666667</v>
      </c>
      <c r="C129" s="3">
        <f t="shared" si="24"/>
        <v>391.53333333333336</v>
      </c>
      <c r="D129" s="64">
        <f t="shared" si="26"/>
        <v>1.1191047162270185</v>
      </c>
      <c r="E129" s="50">
        <f t="shared" si="25"/>
        <v>0</v>
      </c>
      <c r="F129" s="50">
        <f t="shared" si="19"/>
        <v>0</v>
      </c>
      <c r="G129" s="69">
        <f t="shared" si="20"/>
        <v>0</v>
      </c>
      <c r="H129" s="70">
        <f t="shared" si="21"/>
        <v>6213.3</v>
      </c>
      <c r="I129" s="70">
        <f t="shared" si="22"/>
        <v>0</v>
      </c>
      <c r="J129" s="53">
        <f t="shared" si="14"/>
        <v>0</v>
      </c>
      <c r="K129" s="53">
        <f t="shared" si="15"/>
        <v>0</v>
      </c>
      <c r="L129" s="289">
        <f t="shared" si="16"/>
        <v>0</v>
      </c>
      <c r="N129" s="7">
        <f t="shared" si="17"/>
        <v>0</v>
      </c>
      <c r="O129" t="str">
        <f>Medicaid!G121</f>
        <v>Yes</v>
      </c>
      <c r="P129" t="str">
        <f>Medicaid!K121</f>
        <v>Yes</v>
      </c>
    </row>
    <row r="130" spans="1:16" ht="15" customHeight="1" x14ac:dyDescent="0.25">
      <c r="A130" s="3">
        <v>56500</v>
      </c>
      <c r="B130" s="3">
        <f t="shared" si="23"/>
        <v>4708.333333333333</v>
      </c>
      <c r="C130" s="3">
        <f t="shared" si="24"/>
        <v>395.02916666666664</v>
      </c>
      <c r="D130" s="64">
        <f t="shared" si="26"/>
        <v>1.1290967226219024</v>
      </c>
      <c r="E130" s="50">
        <f t="shared" si="25"/>
        <v>0</v>
      </c>
      <c r="F130" s="50">
        <f t="shared" si="19"/>
        <v>0</v>
      </c>
      <c r="G130" s="69">
        <f t="shared" si="20"/>
        <v>0</v>
      </c>
      <c r="H130" s="70">
        <f t="shared" si="21"/>
        <v>6213.3</v>
      </c>
      <c r="I130" s="70">
        <f t="shared" si="22"/>
        <v>0</v>
      </c>
      <c r="J130" s="53">
        <f t="shared" si="14"/>
        <v>0</v>
      </c>
      <c r="K130" s="53">
        <f t="shared" si="15"/>
        <v>0</v>
      </c>
      <c r="L130" s="289">
        <f t="shared" si="16"/>
        <v>0</v>
      </c>
      <c r="N130" s="7">
        <f t="shared" si="17"/>
        <v>0</v>
      </c>
      <c r="O130" t="str">
        <f>Medicaid!G122</f>
        <v>Yes</v>
      </c>
      <c r="P130" t="str">
        <f>Medicaid!K122</f>
        <v>Yes</v>
      </c>
    </row>
    <row r="131" spans="1:16" ht="15" customHeight="1" x14ac:dyDescent="0.25">
      <c r="A131" s="3">
        <v>57000</v>
      </c>
      <c r="B131" s="3">
        <f t="shared" si="23"/>
        <v>4750</v>
      </c>
      <c r="C131" s="3">
        <f t="shared" si="24"/>
        <v>398.52500000000003</v>
      </c>
      <c r="D131" s="64">
        <f t="shared" si="26"/>
        <v>1.1390887290167866</v>
      </c>
      <c r="E131" s="50">
        <f t="shared" si="25"/>
        <v>0</v>
      </c>
      <c r="F131" s="50">
        <f t="shared" si="19"/>
        <v>0</v>
      </c>
      <c r="G131" s="69">
        <f t="shared" si="20"/>
        <v>0</v>
      </c>
      <c r="H131" s="70">
        <f t="shared" si="21"/>
        <v>6213.3</v>
      </c>
      <c r="I131" s="70">
        <f t="shared" si="22"/>
        <v>0</v>
      </c>
      <c r="J131" s="53">
        <f t="shared" si="14"/>
        <v>0</v>
      </c>
      <c r="K131" s="53">
        <f t="shared" si="15"/>
        <v>0</v>
      </c>
      <c r="L131" s="289">
        <f t="shared" si="16"/>
        <v>0</v>
      </c>
      <c r="N131" s="7">
        <f t="shared" si="17"/>
        <v>0</v>
      </c>
      <c r="O131" t="str">
        <f>Medicaid!G123</f>
        <v>Yes</v>
      </c>
      <c r="P131" t="str">
        <f>Medicaid!K123</f>
        <v>Yes</v>
      </c>
    </row>
    <row r="132" spans="1:16" ht="15" customHeight="1" x14ac:dyDescent="0.25">
      <c r="A132" s="3">
        <v>57500</v>
      </c>
      <c r="B132" s="3">
        <f t="shared" si="23"/>
        <v>4791.666666666667</v>
      </c>
      <c r="C132" s="3">
        <f t="shared" si="24"/>
        <v>402.02083333333337</v>
      </c>
      <c r="D132" s="64">
        <f t="shared" si="26"/>
        <v>1.1490807354116708</v>
      </c>
      <c r="E132" s="50">
        <f t="shared" si="25"/>
        <v>0</v>
      </c>
      <c r="F132" s="50">
        <f t="shared" si="19"/>
        <v>0</v>
      </c>
      <c r="G132" s="69">
        <f t="shared" si="20"/>
        <v>0</v>
      </c>
      <c r="H132" s="70">
        <f t="shared" si="21"/>
        <v>6213.3</v>
      </c>
      <c r="I132" s="70">
        <f t="shared" si="22"/>
        <v>0</v>
      </c>
      <c r="J132" s="53">
        <f t="shared" si="14"/>
        <v>0</v>
      </c>
      <c r="K132" s="53">
        <f t="shared" si="15"/>
        <v>0</v>
      </c>
      <c r="L132" s="289">
        <f t="shared" si="16"/>
        <v>0</v>
      </c>
      <c r="N132" s="7">
        <f t="shared" si="17"/>
        <v>0</v>
      </c>
      <c r="O132" t="str">
        <f>Medicaid!G124</f>
        <v>Yes</v>
      </c>
      <c r="P132" t="str">
        <f>Medicaid!K124</f>
        <v>Yes</v>
      </c>
    </row>
    <row r="133" spans="1:16" ht="15" customHeight="1" x14ac:dyDescent="0.25">
      <c r="A133" s="3">
        <v>58000</v>
      </c>
      <c r="B133" s="3">
        <f t="shared" si="23"/>
        <v>4833.333333333333</v>
      </c>
      <c r="C133" s="3">
        <f t="shared" si="24"/>
        <v>405.51666666666665</v>
      </c>
      <c r="D133" s="64">
        <f t="shared" si="26"/>
        <v>1.1590727418065547</v>
      </c>
      <c r="E133" s="50">
        <f t="shared" si="25"/>
        <v>0</v>
      </c>
      <c r="F133" s="50">
        <f t="shared" si="19"/>
        <v>0</v>
      </c>
      <c r="G133" s="69">
        <f t="shared" si="20"/>
        <v>0</v>
      </c>
      <c r="H133" s="70">
        <f t="shared" si="21"/>
        <v>6213.3</v>
      </c>
      <c r="I133" s="70">
        <f t="shared" si="22"/>
        <v>0</v>
      </c>
      <c r="J133" s="53">
        <f t="shared" si="14"/>
        <v>0</v>
      </c>
      <c r="K133" s="53">
        <f t="shared" si="15"/>
        <v>0</v>
      </c>
      <c r="L133" s="289">
        <f t="shared" si="16"/>
        <v>0</v>
      </c>
      <c r="N133" s="7">
        <f t="shared" si="17"/>
        <v>0</v>
      </c>
      <c r="O133" t="str">
        <f>Medicaid!G125</f>
        <v>Yes</v>
      </c>
      <c r="P133" t="str">
        <f>Medicaid!K125</f>
        <v>Yes</v>
      </c>
    </row>
    <row r="134" spans="1:16" ht="15" customHeight="1" x14ac:dyDescent="0.25">
      <c r="A134" s="3">
        <v>58500</v>
      </c>
      <c r="B134" s="3">
        <f t="shared" si="23"/>
        <v>4875</v>
      </c>
      <c r="C134" s="3">
        <f t="shared" si="24"/>
        <v>409.01249999999999</v>
      </c>
      <c r="D134" s="64">
        <f t="shared" si="26"/>
        <v>1.1690647482014389</v>
      </c>
      <c r="E134" s="50">
        <f t="shared" si="25"/>
        <v>0</v>
      </c>
      <c r="F134" s="50">
        <f t="shared" si="19"/>
        <v>0</v>
      </c>
      <c r="G134" s="69">
        <f t="shared" si="20"/>
        <v>0</v>
      </c>
      <c r="H134" s="70">
        <f t="shared" si="21"/>
        <v>6213.3</v>
      </c>
      <c r="I134" s="70">
        <f t="shared" si="22"/>
        <v>0</v>
      </c>
      <c r="J134" s="53">
        <f t="shared" si="14"/>
        <v>0</v>
      </c>
      <c r="K134" s="53">
        <f t="shared" si="15"/>
        <v>0</v>
      </c>
      <c r="L134" s="289">
        <f t="shared" si="16"/>
        <v>0</v>
      </c>
      <c r="N134" s="7">
        <f t="shared" si="17"/>
        <v>0</v>
      </c>
      <c r="O134" t="str">
        <f>Medicaid!G126</f>
        <v>Yes</v>
      </c>
      <c r="P134" t="str">
        <f>Medicaid!K126</f>
        <v>Yes</v>
      </c>
    </row>
    <row r="135" spans="1:16" ht="15" customHeight="1" x14ac:dyDescent="0.25">
      <c r="A135" s="3">
        <v>59000</v>
      </c>
      <c r="B135" s="3">
        <f t="shared" si="23"/>
        <v>4916.666666666667</v>
      </c>
      <c r="C135" s="3">
        <f t="shared" si="24"/>
        <v>412.50833333333338</v>
      </c>
      <c r="D135" s="64">
        <f t="shared" si="26"/>
        <v>1.1790567545963231</v>
      </c>
      <c r="E135" s="50">
        <f t="shared" si="25"/>
        <v>0</v>
      </c>
      <c r="F135" s="50">
        <f t="shared" si="19"/>
        <v>0</v>
      </c>
      <c r="G135" s="69">
        <f t="shared" si="20"/>
        <v>0</v>
      </c>
      <c r="H135" s="70">
        <f t="shared" si="21"/>
        <v>6213.3</v>
      </c>
      <c r="I135" s="70">
        <f t="shared" si="22"/>
        <v>0</v>
      </c>
      <c r="J135" s="53">
        <f t="shared" si="14"/>
        <v>0</v>
      </c>
      <c r="K135" s="53">
        <f t="shared" si="15"/>
        <v>0</v>
      </c>
      <c r="L135" s="289">
        <f t="shared" si="16"/>
        <v>0</v>
      </c>
      <c r="N135" s="7">
        <f t="shared" si="17"/>
        <v>0</v>
      </c>
      <c r="O135" t="str">
        <f>Medicaid!G127</f>
        <v>Yes</v>
      </c>
      <c r="P135" t="str">
        <f>Medicaid!K127</f>
        <v>Yes</v>
      </c>
    </row>
    <row r="136" spans="1:16" ht="15" customHeight="1" x14ac:dyDescent="0.25">
      <c r="A136" s="3">
        <v>59500</v>
      </c>
      <c r="B136" s="3">
        <f t="shared" si="23"/>
        <v>4958.333333333333</v>
      </c>
      <c r="C136" s="3">
        <f t="shared" si="24"/>
        <v>416.00416666666666</v>
      </c>
      <c r="D136" s="64">
        <f t="shared" si="26"/>
        <v>1.189048760991207</v>
      </c>
      <c r="E136" s="50">
        <f t="shared" si="25"/>
        <v>0</v>
      </c>
      <c r="F136" s="50">
        <f t="shared" si="19"/>
        <v>0</v>
      </c>
      <c r="G136" s="69">
        <f t="shared" si="20"/>
        <v>0</v>
      </c>
      <c r="H136" s="70">
        <f t="shared" si="21"/>
        <v>6213.3</v>
      </c>
      <c r="I136" s="70">
        <f t="shared" si="22"/>
        <v>0</v>
      </c>
      <c r="J136" s="53">
        <f t="shared" si="14"/>
        <v>0</v>
      </c>
      <c r="K136" s="53">
        <f t="shared" si="15"/>
        <v>0</v>
      </c>
      <c r="L136" s="289">
        <f t="shared" si="16"/>
        <v>0</v>
      </c>
      <c r="N136" s="7">
        <f t="shared" si="17"/>
        <v>0</v>
      </c>
      <c r="O136" t="str">
        <f>Medicaid!G128</f>
        <v>Yes</v>
      </c>
      <c r="P136" t="str">
        <f>Medicaid!K128</f>
        <v>Yes</v>
      </c>
    </row>
    <row r="137" spans="1:16" ht="15" customHeight="1" x14ac:dyDescent="0.25">
      <c r="A137" s="3">
        <v>60000</v>
      </c>
      <c r="B137" s="3">
        <f t="shared" si="23"/>
        <v>5000</v>
      </c>
      <c r="C137" s="3">
        <f t="shared" si="24"/>
        <v>419.5</v>
      </c>
      <c r="D137" s="64">
        <f t="shared" si="26"/>
        <v>1.1990407673860912</v>
      </c>
      <c r="E137" s="50">
        <f t="shared" si="25"/>
        <v>0</v>
      </c>
      <c r="F137" s="50">
        <f t="shared" si="19"/>
        <v>0</v>
      </c>
      <c r="G137" s="69">
        <f t="shared" si="20"/>
        <v>0</v>
      </c>
      <c r="H137" s="70">
        <f t="shared" si="21"/>
        <v>6213.3</v>
      </c>
      <c r="I137" s="70">
        <f t="shared" si="22"/>
        <v>0</v>
      </c>
      <c r="J137" s="53">
        <f t="shared" si="14"/>
        <v>0</v>
      </c>
      <c r="K137" s="53">
        <f t="shared" si="15"/>
        <v>0</v>
      </c>
      <c r="L137" s="289">
        <f t="shared" si="16"/>
        <v>0</v>
      </c>
      <c r="N137" s="7">
        <f t="shared" si="17"/>
        <v>0</v>
      </c>
      <c r="O137" t="str">
        <f>Medicaid!G129</f>
        <v>Yes</v>
      </c>
      <c r="P137" t="str">
        <f>Medicaid!K129</f>
        <v>Yes</v>
      </c>
    </row>
    <row r="138" spans="1:16" ht="15" customHeight="1" x14ac:dyDescent="0.25">
      <c r="A138" s="3">
        <v>60500</v>
      </c>
      <c r="B138" s="3">
        <f t="shared" si="23"/>
        <v>5041.666666666667</v>
      </c>
      <c r="C138" s="3">
        <f t="shared" si="24"/>
        <v>422.99583333333339</v>
      </c>
      <c r="D138" s="64">
        <f t="shared" si="26"/>
        <v>1.2090327737809754</v>
      </c>
      <c r="E138" s="50">
        <f t="shared" si="25"/>
        <v>0</v>
      </c>
      <c r="F138" s="50">
        <f t="shared" si="19"/>
        <v>0</v>
      </c>
      <c r="G138" s="69">
        <f t="shared" si="20"/>
        <v>0</v>
      </c>
      <c r="H138" s="70">
        <f t="shared" si="21"/>
        <v>6213.3</v>
      </c>
      <c r="I138" s="70">
        <f t="shared" si="22"/>
        <v>0</v>
      </c>
      <c r="J138" s="53">
        <f t="shared" si="14"/>
        <v>0</v>
      </c>
      <c r="K138" s="53">
        <f t="shared" si="15"/>
        <v>0</v>
      </c>
      <c r="L138" s="289">
        <f t="shared" si="16"/>
        <v>0</v>
      </c>
      <c r="N138" s="7">
        <f t="shared" si="17"/>
        <v>0</v>
      </c>
      <c r="O138" t="str">
        <f>Medicaid!G130</f>
        <v>Yes</v>
      </c>
      <c r="P138" t="str">
        <f>Medicaid!K130</f>
        <v>Yes</v>
      </c>
    </row>
    <row r="139" spans="1:16" ht="15" customHeight="1" x14ac:dyDescent="0.25">
      <c r="A139" s="3">
        <v>61000</v>
      </c>
      <c r="B139" s="3">
        <f t="shared" si="23"/>
        <v>5083.333333333333</v>
      </c>
      <c r="C139" s="3">
        <f t="shared" si="24"/>
        <v>426.49166666666667</v>
      </c>
      <c r="D139" s="64">
        <f t="shared" si="26"/>
        <v>1.2190247801758591</v>
      </c>
      <c r="E139" s="50">
        <f t="shared" si="25"/>
        <v>0</v>
      </c>
      <c r="F139" s="50">
        <f t="shared" si="19"/>
        <v>0</v>
      </c>
      <c r="G139" s="69">
        <f t="shared" si="20"/>
        <v>0</v>
      </c>
      <c r="H139" s="70">
        <f t="shared" si="21"/>
        <v>6213.3</v>
      </c>
      <c r="I139" s="70">
        <f t="shared" si="22"/>
        <v>0</v>
      </c>
      <c r="J139" s="53">
        <f t="shared" si="14"/>
        <v>0</v>
      </c>
      <c r="K139" s="53">
        <f t="shared" si="15"/>
        <v>0</v>
      </c>
      <c r="L139" s="289">
        <f t="shared" si="16"/>
        <v>0</v>
      </c>
      <c r="N139" s="7">
        <f t="shared" si="17"/>
        <v>0</v>
      </c>
      <c r="O139" t="str">
        <f>Medicaid!G131</f>
        <v>Yes</v>
      </c>
      <c r="P139" t="str">
        <f>Medicaid!K131</f>
        <v>Yes</v>
      </c>
    </row>
    <row r="140" spans="1:16" ht="15" customHeight="1" x14ac:dyDescent="0.25">
      <c r="A140" s="3">
        <v>61500</v>
      </c>
      <c r="B140" s="3">
        <f t="shared" si="23"/>
        <v>5125</v>
      </c>
      <c r="C140" s="3">
        <f t="shared" si="24"/>
        <v>429.98750000000001</v>
      </c>
      <c r="D140" s="64">
        <f t="shared" si="26"/>
        <v>1.2290167865707433</v>
      </c>
      <c r="E140" s="50">
        <f t="shared" si="25"/>
        <v>0</v>
      </c>
      <c r="F140" s="50">
        <f t="shared" si="19"/>
        <v>0</v>
      </c>
      <c r="G140" s="69">
        <f t="shared" si="20"/>
        <v>0</v>
      </c>
      <c r="H140" s="70">
        <f t="shared" si="21"/>
        <v>6213.3</v>
      </c>
      <c r="I140" s="70">
        <f t="shared" si="22"/>
        <v>0</v>
      </c>
      <c r="J140" s="53">
        <f t="shared" si="14"/>
        <v>0</v>
      </c>
      <c r="K140" s="53">
        <f t="shared" si="15"/>
        <v>0</v>
      </c>
      <c r="L140" s="289">
        <f t="shared" si="16"/>
        <v>0</v>
      </c>
      <c r="N140" s="7">
        <f t="shared" si="17"/>
        <v>0</v>
      </c>
      <c r="O140" t="str">
        <f>Medicaid!G132</f>
        <v>Yes</v>
      </c>
      <c r="P140" t="str">
        <f>Medicaid!K132</f>
        <v>Yes</v>
      </c>
    </row>
    <row r="141" spans="1:16" ht="15" customHeight="1" x14ac:dyDescent="0.25">
      <c r="A141" s="3">
        <v>62000</v>
      </c>
      <c r="B141" s="3">
        <f t="shared" si="23"/>
        <v>5166.666666666667</v>
      </c>
      <c r="C141" s="3">
        <f t="shared" si="24"/>
        <v>433.48333333333335</v>
      </c>
      <c r="D141" s="64">
        <f t="shared" si="26"/>
        <v>1.2390087929656275</v>
      </c>
      <c r="E141" s="50">
        <f t="shared" si="25"/>
        <v>0</v>
      </c>
      <c r="F141" s="50">
        <f t="shared" si="19"/>
        <v>0</v>
      </c>
      <c r="G141" s="69">
        <f t="shared" si="20"/>
        <v>0</v>
      </c>
      <c r="H141" s="70">
        <f t="shared" si="21"/>
        <v>6213.3</v>
      </c>
      <c r="I141" s="70">
        <f t="shared" si="22"/>
        <v>0</v>
      </c>
      <c r="J141" s="53">
        <f t="shared" si="14"/>
        <v>0</v>
      </c>
      <c r="K141" s="53">
        <f t="shared" si="15"/>
        <v>0</v>
      </c>
      <c r="L141" s="289">
        <f t="shared" si="16"/>
        <v>0</v>
      </c>
      <c r="N141" s="7">
        <f t="shared" si="17"/>
        <v>0</v>
      </c>
      <c r="O141" t="str">
        <f>Medicaid!G133</f>
        <v>Yes</v>
      </c>
      <c r="P141" t="str">
        <f>Medicaid!K133</f>
        <v>Yes</v>
      </c>
    </row>
    <row r="142" spans="1:16" ht="15" customHeight="1" x14ac:dyDescent="0.25">
      <c r="A142" s="3">
        <v>62500</v>
      </c>
      <c r="B142" s="3">
        <f t="shared" si="23"/>
        <v>5208.333333333333</v>
      </c>
      <c r="C142" s="3">
        <f t="shared" si="24"/>
        <v>436.97916666666663</v>
      </c>
      <c r="D142" s="64">
        <f t="shared" si="26"/>
        <v>1.2490007993605114</v>
      </c>
      <c r="E142" s="50">
        <f t="shared" si="25"/>
        <v>0</v>
      </c>
      <c r="F142" s="50">
        <f t="shared" si="19"/>
        <v>0</v>
      </c>
      <c r="G142" s="69">
        <f t="shared" si="20"/>
        <v>0</v>
      </c>
      <c r="H142" s="70">
        <f t="shared" si="21"/>
        <v>6213.3</v>
      </c>
      <c r="I142" s="70">
        <f t="shared" si="22"/>
        <v>0</v>
      </c>
      <c r="J142" s="53">
        <f t="shared" si="14"/>
        <v>0</v>
      </c>
      <c r="K142" s="53">
        <f t="shared" si="15"/>
        <v>0</v>
      </c>
      <c r="L142" s="289">
        <f t="shared" si="16"/>
        <v>0</v>
      </c>
      <c r="N142" s="7">
        <f t="shared" si="17"/>
        <v>0</v>
      </c>
      <c r="O142" t="str">
        <f>Medicaid!G134</f>
        <v>Yes</v>
      </c>
      <c r="P142" t="str">
        <f>Medicaid!K134</f>
        <v>Yes</v>
      </c>
    </row>
    <row r="143" spans="1:16" ht="15" customHeight="1" x14ac:dyDescent="0.25">
      <c r="A143" s="3">
        <v>63000</v>
      </c>
      <c r="B143" s="3">
        <f t="shared" si="23"/>
        <v>5250</v>
      </c>
      <c r="C143" s="3">
        <f t="shared" si="24"/>
        <v>440.47500000000002</v>
      </c>
      <c r="D143" s="64">
        <f t="shared" si="26"/>
        <v>1.2589928057553956</v>
      </c>
      <c r="E143" s="50">
        <f t="shared" si="25"/>
        <v>0</v>
      </c>
      <c r="F143" s="50">
        <f t="shared" si="19"/>
        <v>0</v>
      </c>
      <c r="G143" s="69">
        <f t="shared" si="20"/>
        <v>0</v>
      </c>
      <c r="H143" s="70">
        <f t="shared" si="21"/>
        <v>6213.3</v>
      </c>
      <c r="I143" s="70">
        <f t="shared" si="22"/>
        <v>0</v>
      </c>
      <c r="J143" s="53">
        <f t="shared" si="14"/>
        <v>0</v>
      </c>
      <c r="K143" s="53">
        <f t="shared" si="15"/>
        <v>0</v>
      </c>
      <c r="L143" s="289">
        <f t="shared" si="16"/>
        <v>0</v>
      </c>
      <c r="N143" s="7">
        <f t="shared" si="17"/>
        <v>0</v>
      </c>
      <c r="O143" t="str">
        <f>Medicaid!G135</f>
        <v>Yes</v>
      </c>
      <c r="P143" t="str">
        <f>Medicaid!K135</f>
        <v>Yes</v>
      </c>
    </row>
    <row r="144" spans="1:16" ht="15" customHeight="1" x14ac:dyDescent="0.25">
      <c r="A144" s="3">
        <v>63500</v>
      </c>
      <c r="B144" s="3">
        <f t="shared" si="23"/>
        <v>5291.666666666667</v>
      </c>
      <c r="C144" s="3">
        <f t="shared" si="24"/>
        <v>443.97083333333336</v>
      </c>
      <c r="D144" s="64">
        <f t="shared" si="26"/>
        <v>1.2689848121502798</v>
      </c>
      <c r="E144" s="50">
        <f t="shared" si="25"/>
        <v>0</v>
      </c>
      <c r="F144" s="50">
        <f t="shared" si="19"/>
        <v>0</v>
      </c>
      <c r="G144" s="69">
        <f t="shared" si="20"/>
        <v>0</v>
      </c>
      <c r="H144" s="70">
        <f t="shared" si="21"/>
        <v>6213.3</v>
      </c>
      <c r="I144" s="70">
        <f t="shared" si="22"/>
        <v>0</v>
      </c>
      <c r="J144" s="53">
        <f t="shared" si="14"/>
        <v>0</v>
      </c>
      <c r="K144" s="53">
        <f t="shared" si="15"/>
        <v>0</v>
      </c>
      <c r="L144" s="289">
        <f t="shared" si="16"/>
        <v>0</v>
      </c>
      <c r="N144" s="7">
        <f t="shared" si="17"/>
        <v>0</v>
      </c>
      <c r="O144" t="str">
        <f>Medicaid!G136</f>
        <v>Yes</v>
      </c>
      <c r="P144" t="str">
        <f>Medicaid!K136</f>
        <v>Yes</v>
      </c>
    </row>
    <row r="145" spans="1:16" ht="15" customHeight="1" x14ac:dyDescent="0.25">
      <c r="A145" s="3">
        <v>64000</v>
      </c>
      <c r="B145" s="3">
        <f t="shared" si="23"/>
        <v>5333.333333333333</v>
      </c>
      <c r="C145" s="3">
        <f t="shared" si="24"/>
        <v>447.46666666666664</v>
      </c>
      <c r="D145" s="64">
        <f t="shared" si="26"/>
        <v>1.2789768185451638</v>
      </c>
      <c r="E145" s="50">
        <f t="shared" si="25"/>
        <v>0</v>
      </c>
      <c r="F145" s="50">
        <f t="shared" si="19"/>
        <v>0</v>
      </c>
      <c r="G145" s="69">
        <f t="shared" si="20"/>
        <v>0</v>
      </c>
      <c r="H145" s="70">
        <f t="shared" si="21"/>
        <v>6213.3</v>
      </c>
      <c r="I145" s="70">
        <f t="shared" si="22"/>
        <v>0</v>
      </c>
      <c r="J145" s="53">
        <f t="shared" si="14"/>
        <v>0</v>
      </c>
      <c r="K145" s="53">
        <f t="shared" si="15"/>
        <v>0</v>
      </c>
      <c r="L145" s="289">
        <f t="shared" si="16"/>
        <v>0</v>
      </c>
      <c r="N145" s="7">
        <f t="shared" si="17"/>
        <v>0</v>
      </c>
      <c r="O145" t="str">
        <f>Medicaid!G137</f>
        <v>Yes</v>
      </c>
      <c r="P145" t="str">
        <f>Medicaid!K137</f>
        <v>Yes</v>
      </c>
    </row>
    <row r="146" spans="1:16" ht="15" customHeight="1" x14ac:dyDescent="0.25">
      <c r="A146" s="3">
        <v>64500</v>
      </c>
      <c r="B146" s="3">
        <f t="shared" si="23"/>
        <v>5375</v>
      </c>
      <c r="C146" s="3">
        <f t="shared" si="24"/>
        <v>450.96250000000003</v>
      </c>
      <c r="D146" s="64">
        <f t="shared" si="26"/>
        <v>1.2889688249400479</v>
      </c>
      <c r="E146" s="50">
        <f t="shared" si="25"/>
        <v>0</v>
      </c>
      <c r="F146" s="50">
        <f t="shared" si="19"/>
        <v>0</v>
      </c>
      <c r="G146" s="69">
        <f t="shared" si="20"/>
        <v>0</v>
      </c>
      <c r="H146" s="70">
        <f t="shared" si="21"/>
        <v>6213.3</v>
      </c>
      <c r="I146" s="70">
        <f t="shared" si="22"/>
        <v>0</v>
      </c>
      <c r="J146" s="53">
        <f t="shared" ref="J146:J209" si="27">B146*(E146+(B146-I146)*(F146-E146)/(H146-I146))</f>
        <v>0</v>
      </c>
      <c r="K146" s="53">
        <f t="shared" ref="K146:K209" si="28">SUM(IF(O146="Yes",0,$C$12),IF(P146="Yes",0,$C$13))</f>
        <v>0</v>
      </c>
      <c r="L146" s="289">
        <f t="shared" ref="L146:L209" si="29">MAX(0,K146-J146)</f>
        <v>0</v>
      </c>
      <c r="N146" s="7">
        <f t="shared" ref="N146:N209" si="30">MAX(0,L146*12)</f>
        <v>0</v>
      </c>
      <c r="O146" t="str">
        <f>Medicaid!G138</f>
        <v>Yes</v>
      </c>
      <c r="P146" t="str">
        <f>Medicaid!K138</f>
        <v>Yes</v>
      </c>
    </row>
    <row r="147" spans="1:16" ht="15" customHeight="1" x14ac:dyDescent="0.25">
      <c r="A147" s="3">
        <v>65000</v>
      </c>
      <c r="B147" s="3">
        <f t="shared" si="23"/>
        <v>5416.666666666667</v>
      </c>
      <c r="C147" s="3">
        <f t="shared" si="24"/>
        <v>454.45833333333337</v>
      </c>
      <c r="D147" s="64">
        <f t="shared" si="26"/>
        <v>1.2989608313349321</v>
      </c>
      <c r="E147" s="50">
        <f t="shared" si="25"/>
        <v>0</v>
      </c>
      <c r="F147" s="50">
        <f t="shared" ref="F147:F210" si="31">IF(D147&gt;3.99,0.085,IF(D147&gt;2.99,0.085,IF(D147&gt;2.49,0.06,IF(D147&gt;1.99,0.04,IF(D147&gt;1.49,0.02,0)))))</f>
        <v>0</v>
      </c>
      <c r="G147" s="69">
        <f t="shared" ref="G147:G210" si="32">IF(D147&gt;3.99,$M$7,IF(D147&gt;2.99,$M$6,IF(D147&gt;2.49,$M$5,IF(D147&gt;1.99,$M$4,IF(D147&gt;1.49,$M$3,0)))))</f>
        <v>0</v>
      </c>
      <c r="H147" s="70">
        <f t="shared" ref="H147:H210" si="33">IF(D147&gt;3.99,$N$7,IF(D147&gt;2.99,$N$6,IF(D147&gt;2.49,$N$5,IF(D147&gt;1.99,$N$4,IF(D147&gt;1.49,$N$3,IF(D147&gt;=0,$N$2,0))))))</f>
        <v>6213.3</v>
      </c>
      <c r="I147" s="70">
        <f t="shared" ref="I147:I210" si="34">IF(D147&gt;3.99,$N$6,IF(D147&gt;2.99,$N$5,IF(D147&gt;2.49,$N$4,IF(D147&gt;1.99,$N$3,IF(D147&gt;1.49,$N$2,IF(D147&gt;=0,0))))))</f>
        <v>0</v>
      </c>
      <c r="J147" s="53">
        <f t="shared" si="27"/>
        <v>0</v>
      </c>
      <c r="K147" s="53">
        <f t="shared" si="28"/>
        <v>0</v>
      </c>
      <c r="L147" s="289">
        <f t="shared" si="29"/>
        <v>0</v>
      </c>
      <c r="N147" s="7">
        <f t="shared" si="30"/>
        <v>0</v>
      </c>
      <c r="O147" t="str">
        <f>Medicaid!G139</f>
        <v>Yes</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1.3089528377298161</v>
      </c>
      <c r="E148" s="50">
        <f t="shared" si="25"/>
        <v>0</v>
      </c>
      <c r="F148" s="50">
        <f t="shared" si="31"/>
        <v>0</v>
      </c>
      <c r="G148" s="69">
        <f t="shared" si="32"/>
        <v>0</v>
      </c>
      <c r="H148" s="70">
        <f t="shared" si="33"/>
        <v>6213.3</v>
      </c>
      <c r="I148" s="70">
        <f t="shared" si="34"/>
        <v>0</v>
      </c>
      <c r="J148" s="53">
        <f t="shared" si="27"/>
        <v>0</v>
      </c>
      <c r="K148" s="53">
        <f t="shared" si="28"/>
        <v>0</v>
      </c>
      <c r="L148" s="289">
        <f t="shared" si="29"/>
        <v>0</v>
      </c>
      <c r="N148" s="7">
        <f t="shared" si="30"/>
        <v>0</v>
      </c>
      <c r="O148" t="str">
        <f>Medicaid!G140</f>
        <v>Yes</v>
      </c>
      <c r="P148" t="str">
        <f>Medicaid!K140</f>
        <v>Yes</v>
      </c>
    </row>
    <row r="149" spans="1:16" ht="15" customHeight="1" x14ac:dyDescent="0.25">
      <c r="A149" s="3">
        <v>66000</v>
      </c>
      <c r="B149" s="3">
        <f t="shared" si="35"/>
        <v>5500</v>
      </c>
      <c r="C149" s="3">
        <f t="shared" si="36"/>
        <v>461.45</v>
      </c>
      <c r="D149" s="64">
        <f t="shared" si="26"/>
        <v>1.3189448441247003</v>
      </c>
      <c r="E149" s="50">
        <f t="shared" si="25"/>
        <v>0</v>
      </c>
      <c r="F149" s="50">
        <f t="shared" si="31"/>
        <v>0</v>
      </c>
      <c r="G149" s="69">
        <f t="shared" si="32"/>
        <v>0</v>
      </c>
      <c r="H149" s="70">
        <f t="shared" si="33"/>
        <v>6213.3</v>
      </c>
      <c r="I149" s="70">
        <f t="shared" si="34"/>
        <v>0</v>
      </c>
      <c r="J149" s="53">
        <f t="shared" si="27"/>
        <v>0</v>
      </c>
      <c r="K149" s="53">
        <f t="shared" si="28"/>
        <v>0</v>
      </c>
      <c r="L149" s="289">
        <f t="shared" si="29"/>
        <v>0</v>
      </c>
      <c r="N149" s="7">
        <f t="shared" si="30"/>
        <v>0</v>
      </c>
      <c r="O149" t="str">
        <f>Medicaid!G141</f>
        <v>Yes</v>
      </c>
      <c r="P149" t="str">
        <f>Medicaid!K141</f>
        <v>Yes</v>
      </c>
    </row>
    <row r="150" spans="1:16" ht="15" customHeight="1" x14ac:dyDescent="0.25">
      <c r="A150" s="3">
        <v>66500</v>
      </c>
      <c r="B150" s="3">
        <f t="shared" si="35"/>
        <v>5541.666666666667</v>
      </c>
      <c r="C150" s="3">
        <f t="shared" si="36"/>
        <v>464.94583333333338</v>
      </c>
      <c r="D150" s="64">
        <f t="shared" si="26"/>
        <v>1.3289368505195844</v>
      </c>
      <c r="E150" s="50">
        <f t="shared" si="25"/>
        <v>0</v>
      </c>
      <c r="F150" s="50">
        <f t="shared" si="31"/>
        <v>0</v>
      </c>
      <c r="G150" s="69">
        <f t="shared" si="32"/>
        <v>0</v>
      </c>
      <c r="H150" s="70">
        <f t="shared" si="33"/>
        <v>6213.3</v>
      </c>
      <c r="I150" s="70">
        <f t="shared" si="34"/>
        <v>0</v>
      </c>
      <c r="J150" s="53">
        <f t="shared" si="27"/>
        <v>0</v>
      </c>
      <c r="K150" s="53">
        <f t="shared" si="28"/>
        <v>0</v>
      </c>
      <c r="L150" s="289">
        <f t="shared" si="29"/>
        <v>0</v>
      </c>
      <c r="N150" s="7">
        <f t="shared" si="30"/>
        <v>0</v>
      </c>
      <c r="O150" t="str">
        <f>Medicaid!G142</f>
        <v>Yes</v>
      </c>
      <c r="P150" t="str">
        <f>Medicaid!K142</f>
        <v>Yes</v>
      </c>
    </row>
    <row r="151" spans="1:16" ht="15" customHeight="1" x14ac:dyDescent="0.25">
      <c r="A151" s="3">
        <v>67000</v>
      </c>
      <c r="B151" s="3">
        <f t="shared" si="35"/>
        <v>5583.333333333333</v>
      </c>
      <c r="C151" s="3">
        <f t="shared" si="36"/>
        <v>468.44166666666666</v>
      </c>
      <c r="D151" s="64">
        <f t="shared" si="26"/>
        <v>1.3389288569144684</v>
      </c>
      <c r="E151" s="50">
        <f t="shared" si="25"/>
        <v>0</v>
      </c>
      <c r="F151" s="50">
        <f t="shared" si="31"/>
        <v>0</v>
      </c>
      <c r="G151" s="69">
        <f t="shared" si="32"/>
        <v>0</v>
      </c>
      <c r="H151" s="70">
        <f t="shared" si="33"/>
        <v>6213.3</v>
      </c>
      <c r="I151" s="70">
        <f t="shared" si="34"/>
        <v>0</v>
      </c>
      <c r="J151" s="53">
        <f t="shared" si="27"/>
        <v>0</v>
      </c>
      <c r="K151" s="53">
        <f t="shared" si="28"/>
        <v>0</v>
      </c>
      <c r="L151" s="289">
        <f t="shared" si="29"/>
        <v>0</v>
      </c>
      <c r="N151" s="7">
        <f t="shared" si="30"/>
        <v>0</v>
      </c>
      <c r="O151" t="str">
        <f>Medicaid!G143</f>
        <v>Yes</v>
      </c>
      <c r="P151" t="str">
        <f>Medicaid!K143</f>
        <v>Yes</v>
      </c>
    </row>
    <row r="152" spans="1:16" ht="15" customHeight="1" x14ac:dyDescent="0.25">
      <c r="A152" s="3">
        <v>67500</v>
      </c>
      <c r="B152" s="3">
        <f t="shared" si="35"/>
        <v>5625</v>
      </c>
      <c r="C152" s="3">
        <f t="shared" si="36"/>
        <v>471.9375</v>
      </c>
      <c r="D152" s="64">
        <f t="shared" si="26"/>
        <v>1.3489208633093526</v>
      </c>
      <c r="E152" s="50">
        <f t="shared" si="25"/>
        <v>0</v>
      </c>
      <c r="F152" s="50">
        <f t="shared" si="31"/>
        <v>0</v>
      </c>
      <c r="G152" s="69">
        <f t="shared" si="32"/>
        <v>0</v>
      </c>
      <c r="H152" s="70">
        <f t="shared" si="33"/>
        <v>6213.3</v>
      </c>
      <c r="I152" s="70">
        <f t="shared" si="34"/>
        <v>0</v>
      </c>
      <c r="J152" s="53">
        <f t="shared" si="27"/>
        <v>0</v>
      </c>
      <c r="K152" s="53">
        <f t="shared" si="28"/>
        <v>0</v>
      </c>
      <c r="L152" s="289">
        <f t="shared" si="29"/>
        <v>0</v>
      </c>
      <c r="N152" s="7">
        <f t="shared" si="30"/>
        <v>0</v>
      </c>
      <c r="O152" t="str">
        <f>Medicaid!G144</f>
        <v>Yes</v>
      </c>
      <c r="P152" t="str">
        <f>Medicaid!K144</f>
        <v>Yes</v>
      </c>
    </row>
    <row r="153" spans="1:16" ht="15" customHeight="1" x14ac:dyDescent="0.25">
      <c r="A153" s="3">
        <v>68000</v>
      </c>
      <c r="B153" s="3">
        <f t="shared" si="35"/>
        <v>5666.666666666667</v>
      </c>
      <c r="C153" s="3">
        <f t="shared" si="36"/>
        <v>475.43333333333339</v>
      </c>
      <c r="D153" s="64">
        <f t="shared" si="26"/>
        <v>1.3589128697042367</v>
      </c>
      <c r="E153" s="50">
        <f t="shared" si="25"/>
        <v>0</v>
      </c>
      <c r="F153" s="50">
        <f t="shared" si="31"/>
        <v>0</v>
      </c>
      <c r="G153" s="69">
        <f t="shared" si="32"/>
        <v>0</v>
      </c>
      <c r="H153" s="70">
        <f t="shared" si="33"/>
        <v>6213.3</v>
      </c>
      <c r="I153" s="70">
        <f t="shared" si="34"/>
        <v>0</v>
      </c>
      <c r="J153" s="53">
        <f t="shared" si="27"/>
        <v>0</v>
      </c>
      <c r="K153" s="53">
        <f t="shared" si="28"/>
        <v>0</v>
      </c>
      <c r="L153" s="289">
        <f t="shared" si="29"/>
        <v>0</v>
      </c>
      <c r="N153" s="7">
        <f t="shared" si="30"/>
        <v>0</v>
      </c>
      <c r="O153" t="str">
        <f>Medicaid!G145</f>
        <v>Yes</v>
      </c>
      <c r="P153" t="str">
        <f>Medicaid!K145</f>
        <v>Yes</v>
      </c>
    </row>
    <row r="154" spans="1:16" ht="15" customHeight="1" x14ac:dyDescent="0.25">
      <c r="A154" s="3">
        <v>68500</v>
      </c>
      <c r="B154" s="3">
        <f t="shared" si="35"/>
        <v>5708.333333333333</v>
      </c>
      <c r="C154" s="3">
        <f t="shared" si="36"/>
        <v>478.92916666666667</v>
      </c>
      <c r="D154" s="64">
        <f t="shared" si="26"/>
        <v>1.3689048760991207</v>
      </c>
      <c r="E154" s="50">
        <f t="shared" si="25"/>
        <v>0</v>
      </c>
      <c r="F154" s="50">
        <f t="shared" si="31"/>
        <v>0</v>
      </c>
      <c r="G154" s="69">
        <f t="shared" si="32"/>
        <v>0</v>
      </c>
      <c r="H154" s="70">
        <f t="shared" si="33"/>
        <v>6213.3</v>
      </c>
      <c r="I154" s="70">
        <f t="shared" si="34"/>
        <v>0</v>
      </c>
      <c r="J154" s="53">
        <f t="shared" si="27"/>
        <v>0</v>
      </c>
      <c r="K154" s="53">
        <f t="shared" si="28"/>
        <v>0</v>
      </c>
      <c r="L154" s="289">
        <f t="shared" si="29"/>
        <v>0</v>
      </c>
      <c r="N154" s="7">
        <f t="shared" si="30"/>
        <v>0</v>
      </c>
      <c r="O154" t="str">
        <f>Medicaid!G146</f>
        <v>Yes</v>
      </c>
      <c r="P154" t="str">
        <f>Medicaid!K146</f>
        <v>Yes</v>
      </c>
    </row>
    <row r="155" spans="1:16" ht="15" customHeight="1" x14ac:dyDescent="0.25">
      <c r="A155" s="3">
        <v>69000</v>
      </c>
      <c r="B155" s="3">
        <f t="shared" si="35"/>
        <v>5750</v>
      </c>
      <c r="C155" s="3">
        <f t="shared" si="36"/>
        <v>482.42500000000001</v>
      </c>
      <c r="D155" s="64">
        <f t="shared" si="26"/>
        <v>1.3788968824940049</v>
      </c>
      <c r="E155" s="50">
        <f t="shared" si="25"/>
        <v>0</v>
      </c>
      <c r="F155" s="50">
        <f t="shared" si="31"/>
        <v>0</v>
      </c>
      <c r="G155" s="69">
        <f t="shared" si="32"/>
        <v>0</v>
      </c>
      <c r="H155" s="70">
        <f t="shared" si="33"/>
        <v>6213.3</v>
      </c>
      <c r="I155" s="70">
        <f t="shared" si="34"/>
        <v>0</v>
      </c>
      <c r="J155" s="53">
        <f t="shared" si="27"/>
        <v>0</v>
      </c>
      <c r="K155" s="53">
        <f t="shared" si="28"/>
        <v>0</v>
      </c>
      <c r="L155" s="289">
        <f t="shared" si="29"/>
        <v>0</v>
      </c>
      <c r="N155" s="7">
        <f t="shared" si="30"/>
        <v>0</v>
      </c>
      <c r="O155" t="str">
        <f>Medicaid!G147</f>
        <v>Yes</v>
      </c>
      <c r="P155" t="str">
        <f>Medicaid!K147</f>
        <v>Yes</v>
      </c>
    </row>
    <row r="156" spans="1:16" ht="15" customHeight="1" x14ac:dyDescent="0.25">
      <c r="A156" s="3">
        <v>69500</v>
      </c>
      <c r="B156" s="3">
        <f t="shared" si="35"/>
        <v>5791.666666666667</v>
      </c>
      <c r="C156" s="3">
        <f t="shared" si="36"/>
        <v>485.92083333333335</v>
      </c>
      <c r="D156" s="64">
        <f t="shared" si="26"/>
        <v>1.3888888888888891</v>
      </c>
      <c r="E156" s="50">
        <f t="shared" si="25"/>
        <v>0</v>
      </c>
      <c r="F156" s="50">
        <f t="shared" si="31"/>
        <v>0</v>
      </c>
      <c r="G156" s="69">
        <f t="shared" si="32"/>
        <v>0</v>
      </c>
      <c r="H156" s="70">
        <f t="shared" si="33"/>
        <v>6213.3</v>
      </c>
      <c r="I156" s="70">
        <f t="shared" si="34"/>
        <v>0</v>
      </c>
      <c r="J156" s="53">
        <f t="shared" si="27"/>
        <v>0</v>
      </c>
      <c r="K156" s="53">
        <f t="shared" si="28"/>
        <v>889</v>
      </c>
      <c r="L156" s="289">
        <f t="shared" si="29"/>
        <v>889</v>
      </c>
      <c r="N156" s="7">
        <f t="shared" si="30"/>
        <v>10668</v>
      </c>
      <c r="O156" t="str">
        <f>Medicaid!G148</f>
        <v>No</v>
      </c>
      <c r="P156" t="str">
        <f>Medicaid!K148</f>
        <v>Yes</v>
      </c>
    </row>
    <row r="157" spans="1:16" ht="15" customHeight="1" x14ac:dyDescent="0.25">
      <c r="A157" s="3">
        <v>70000</v>
      </c>
      <c r="B157" s="3">
        <f t="shared" si="35"/>
        <v>5833.333333333333</v>
      </c>
      <c r="C157" s="3">
        <f t="shared" si="36"/>
        <v>489.41666666666663</v>
      </c>
      <c r="D157" s="64">
        <f t="shared" si="26"/>
        <v>1.398880895283773</v>
      </c>
      <c r="E157" s="50">
        <f t="shared" si="25"/>
        <v>0</v>
      </c>
      <c r="F157" s="50">
        <f t="shared" si="31"/>
        <v>0</v>
      </c>
      <c r="G157" s="69">
        <f t="shared" si="32"/>
        <v>0</v>
      </c>
      <c r="H157" s="70">
        <f t="shared" si="33"/>
        <v>6213.3</v>
      </c>
      <c r="I157" s="70">
        <f t="shared" si="34"/>
        <v>0</v>
      </c>
      <c r="J157" s="53">
        <f t="shared" si="27"/>
        <v>0</v>
      </c>
      <c r="K157" s="53">
        <f t="shared" si="28"/>
        <v>889</v>
      </c>
      <c r="L157" s="289">
        <f t="shared" si="29"/>
        <v>889</v>
      </c>
      <c r="N157" s="7">
        <f t="shared" si="30"/>
        <v>10668</v>
      </c>
      <c r="O157" t="str">
        <f>Medicaid!G149</f>
        <v>No</v>
      </c>
      <c r="P157" t="str">
        <f>Medicaid!K149</f>
        <v>Yes</v>
      </c>
    </row>
    <row r="158" spans="1:16" ht="15" customHeight="1" x14ac:dyDescent="0.25">
      <c r="A158" s="3">
        <v>70500</v>
      </c>
      <c r="B158" s="3">
        <f t="shared" si="35"/>
        <v>5875</v>
      </c>
      <c r="C158" s="3">
        <f t="shared" si="36"/>
        <v>492.91250000000002</v>
      </c>
      <c r="D158" s="64">
        <f t="shared" si="26"/>
        <v>1.408872901678657</v>
      </c>
      <c r="E158" s="50">
        <f t="shared" si="25"/>
        <v>0</v>
      </c>
      <c r="F158" s="50">
        <f t="shared" si="31"/>
        <v>0</v>
      </c>
      <c r="G158" s="69">
        <f t="shared" si="32"/>
        <v>0</v>
      </c>
      <c r="H158" s="70">
        <f t="shared" si="33"/>
        <v>6213.3</v>
      </c>
      <c r="I158" s="70">
        <f t="shared" si="34"/>
        <v>0</v>
      </c>
      <c r="J158" s="53">
        <f t="shared" si="27"/>
        <v>0</v>
      </c>
      <c r="K158" s="53">
        <f t="shared" si="28"/>
        <v>889</v>
      </c>
      <c r="L158" s="289">
        <f t="shared" si="29"/>
        <v>889</v>
      </c>
      <c r="N158" s="7">
        <f t="shared" si="30"/>
        <v>10668</v>
      </c>
      <c r="O158" t="str">
        <f>Medicaid!G150</f>
        <v>No</v>
      </c>
      <c r="P158" t="str">
        <f>Medicaid!K150</f>
        <v>Yes</v>
      </c>
    </row>
    <row r="159" spans="1:16" ht="15" customHeight="1" x14ac:dyDescent="0.25">
      <c r="A159" s="3">
        <v>71000</v>
      </c>
      <c r="B159" s="3">
        <f t="shared" si="35"/>
        <v>5916.666666666667</v>
      </c>
      <c r="C159" s="3">
        <f t="shared" si="36"/>
        <v>496.40833333333336</v>
      </c>
      <c r="D159" s="64">
        <f t="shared" si="26"/>
        <v>1.4188649080735412</v>
      </c>
      <c r="E159" s="50">
        <f t="shared" si="25"/>
        <v>0</v>
      </c>
      <c r="F159" s="50">
        <f t="shared" si="31"/>
        <v>0</v>
      </c>
      <c r="G159" s="69">
        <f t="shared" si="32"/>
        <v>0</v>
      </c>
      <c r="H159" s="70">
        <f t="shared" si="33"/>
        <v>6213.3</v>
      </c>
      <c r="I159" s="70">
        <f t="shared" si="34"/>
        <v>0</v>
      </c>
      <c r="J159" s="53">
        <f t="shared" si="27"/>
        <v>0</v>
      </c>
      <c r="K159" s="53">
        <f t="shared" si="28"/>
        <v>889</v>
      </c>
      <c r="L159" s="289">
        <f t="shared" si="29"/>
        <v>889</v>
      </c>
      <c r="N159" s="7">
        <f t="shared" si="30"/>
        <v>10668</v>
      </c>
      <c r="O159" t="str">
        <f>Medicaid!G151</f>
        <v>No</v>
      </c>
      <c r="P159" t="str">
        <f>Medicaid!K151</f>
        <v>Yes</v>
      </c>
    </row>
    <row r="160" spans="1:16" ht="15" customHeight="1" x14ac:dyDescent="0.25">
      <c r="A160" s="3">
        <v>71500</v>
      </c>
      <c r="B160" s="3">
        <f t="shared" si="35"/>
        <v>5958.333333333333</v>
      </c>
      <c r="C160" s="3">
        <f t="shared" si="36"/>
        <v>499.90416666666664</v>
      </c>
      <c r="D160" s="64">
        <f t="shared" si="26"/>
        <v>1.4288569144684251</v>
      </c>
      <c r="E160" s="50">
        <f t="shared" si="25"/>
        <v>0</v>
      </c>
      <c r="F160" s="50">
        <f t="shared" si="31"/>
        <v>0</v>
      </c>
      <c r="G160" s="69">
        <f t="shared" si="32"/>
        <v>0</v>
      </c>
      <c r="H160" s="70">
        <f t="shared" si="33"/>
        <v>6213.3</v>
      </c>
      <c r="I160" s="70">
        <f t="shared" si="34"/>
        <v>0</v>
      </c>
      <c r="J160" s="53">
        <f t="shared" si="27"/>
        <v>0</v>
      </c>
      <c r="K160" s="53">
        <f t="shared" si="28"/>
        <v>889</v>
      </c>
      <c r="L160" s="289">
        <f t="shared" si="29"/>
        <v>889</v>
      </c>
      <c r="N160" s="7">
        <f t="shared" si="30"/>
        <v>10668</v>
      </c>
      <c r="O160" t="str">
        <f>Medicaid!G152</f>
        <v>No</v>
      </c>
      <c r="P160" t="str">
        <f>Medicaid!K152</f>
        <v>Yes</v>
      </c>
    </row>
    <row r="161" spans="1:16" ht="15" customHeight="1" x14ac:dyDescent="0.25">
      <c r="A161" s="3">
        <v>72000</v>
      </c>
      <c r="B161" s="3">
        <f t="shared" si="35"/>
        <v>6000</v>
      </c>
      <c r="C161" s="3">
        <f t="shared" si="36"/>
        <v>503.40000000000003</v>
      </c>
      <c r="D161" s="64">
        <f t="shared" si="26"/>
        <v>1.4388489208633093</v>
      </c>
      <c r="E161" s="50">
        <f t="shared" si="25"/>
        <v>0</v>
      </c>
      <c r="F161" s="50">
        <f t="shared" si="31"/>
        <v>0</v>
      </c>
      <c r="G161" s="69">
        <f t="shared" si="32"/>
        <v>0</v>
      </c>
      <c r="H161" s="70">
        <f t="shared" si="33"/>
        <v>6213.3</v>
      </c>
      <c r="I161" s="70">
        <f t="shared" si="34"/>
        <v>0</v>
      </c>
      <c r="J161" s="53">
        <f t="shared" si="27"/>
        <v>0</v>
      </c>
      <c r="K161" s="53">
        <f t="shared" si="28"/>
        <v>889</v>
      </c>
      <c r="L161" s="289">
        <f t="shared" si="29"/>
        <v>889</v>
      </c>
      <c r="N161" s="7">
        <f t="shared" si="30"/>
        <v>10668</v>
      </c>
      <c r="O161" t="str">
        <f>Medicaid!G153</f>
        <v>No</v>
      </c>
      <c r="P161" t="str">
        <f>Medicaid!K153</f>
        <v>Yes</v>
      </c>
    </row>
    <row r="162" spans="1:16" ht="15" customHeight="1" x14ac:dyDescent="0.25">
      <c r="A162" s="3">
        <v>72500</v>
      </c>
      <c r="B162" s="3">
        <f t="shared" si="35"/>
        <v>6041.666666666667</v>
      </c>
      <c r="C162" s="3">
        <f t="shared" si="36"/>
        <v>506.89583333333337</v>
      </c>
      <c r="D162" s="64">
        <f t="shared" si="26"/>
        <v>1.4488409272581935</v>
      </c>
      <c r="E162" s="50">
        <f t="shared" ref="E162:E217" si="37">IF(D162&gt;3.99,0.085,IF(D162&gt;2.99,0.06,IF(D162&gt;1.99,0.02,IF(D162&gt;1.49,0,0))))</f>
        <v>0</v>
      </c>
      <c r="F162" s="50">
        <f t="shared" si="31"/>
        <v>0</v>
      </c>
      <c r="G162" s="69">
        <f t="shared" si="32"/>
        <v>0</v>
      </c>
      <c r="H162" s="70">
        <f t="shared" si="33"/>
        <v>6213.3</v>
      </c>
      <c r="I162" s="70">
        <f t="shared" si="34"/>
        <v>0</v>
      </c>
      <c r="J162" s="53">
        <f t="shared" si="27"/>
        <v>0</v>
      </c>
      <c r="K162" s="53">
        <f t="shared" si="28"/>
        <v>889</v>
      </c>
      <c r="L162" s="289">
        <f t="shared" si="29"/>
        <v>889</v>
      </c>
      <c r="N162" s="7">
        <f t="shared" si="30"/>
        <v>10668</v>
      </c>
      <c r="O162" t="str">
        <f>Medicaid!G154</f>
        <v>No</v>
      </c>
      <c r="P162" t="str">
        <f>Medicaid!K154</f>
        <v>Yes</v>
      </c>
    </row>
    <row r="163" spans="1:16" ht="15" customHeight="1" x14ac:dyDescent="0.25">
      <c r="A163" s="3">
        <v>73000</v>
      </c>
      <c r="B163" s="3">
        <f t="shared" si="35"/>
        <v>6083.333333333333</v>
      </c>
      <c r="C163" s="3">
        <f t="shared" si="36"/>
        <v>510.39166666666665</v>
      </c>
      <c r="D163" s="64">
        <f t="shared" si="26"/>
        <v>1.4588329336530774</v>
      </c>
      <c r="E163" s="50">
        <f t="shared" si="37"/>
        <v>0</v>
      </c>
      <c r="F163" s="50">
        <f t="shared" si="31"/>
        <v>0</v>
      </c>
      <c r="G163" s="69">
        <f t="shared" si="32"/>
        <v>0</v>
      </c>
      <c r="H163" s="70">
        <f t="shared" si="33"/>
        <v>6213.3</v>
      </c>
      <c r="I163" s="70">
        <f t="shared" si="34"/>
        <v>0</v>
      </c>
      <c r="J163" s="53">
        <f t="shared" si="27"/>
        <v>0</v>
      </c>
      <c r="K163" s="53">
        <f t="shared" si="28"/>
        <v>889</v>
      </c>
      <c r="L163" s="289">
        <f t="shared" si="29"/>
        <v>889</v>
      </c>
      <c r="N163" s="7">
        <f t="shared" si="30"/>
        <v>10668</v>
      </c>
      <c r="O163" t="str">
        <f>Medicaid!G155</f>
        <v>No</v>
      </c>
      <c r="P163" t="str">
        <f>Medicaid!K155</f>
        <v>Yes</v>
      </c>
    </row>
    <row r="164" spans="1:16" ht="15" customHeight="1" x14ac:dyDescent="0.25">
      <c r="A164" s="3">
        <v>73500</v>
      </c>
      <c r="B164" s="3">
        <f t="shared" si="35"/>
        <v>6125</v>
      </c>
      <c r="C164" s="3">
        <f t="shared" si="36"/>
        <v>513.88750000000005</v>
      </c>
      <c r="D164" s="64">
        <f t="shared" si="26"/>
        <v>1.4688249400479616</v>
      </c>
      <c r="E164" s="50">
        <f t="shared" si="37"/>
        <v>0</v>
      </c>
      <c r="F164" s="50">
        <f t="shared" si="31"/>
        <v>0</v>
      </c>
      <c r="G164" s="69">
        <f t="shared" si="32"/>
        <v>0</v>
      </c>
      <c r="H164" s="70">
        <f t="shared" si="33"/>
        <v>6213.3</v>
      </c>
      <c r="I164" s="70">
        <f t="shared" si="34"/>
        <v>0</v>
      </c>
      <c r="J164" s="53">
        <f t="shared" si="27"/>
        <v>0</v>
      </c>
      <c r="K164" s="53">
        <f t="shared" si="28"/>
        <v>889</v>
      </c>
      <c r="L164" s="289">
        <f t="shared" si="29"/>
        <v>889</v>
      </c>
      <c r="N164" s="7">
        <f t="shared" si="30"/>
        <v>10668</v>
      </c>
      <c r="O164" t="str">
        <f>Medicaid!G156</f>
        <v>No</v>
      </c>
      <c r="P164" t="str">
        <f>Medicaid!K156</f>
        <v>Yes</v>
      </c>
    </row>
    <row r="165" spans="1:16" ht="15" customHeight="1" x14ac:dyDescent="0.25">
      <c r="A165" s="3">
        <v>74000</v>
      </c>
      <c r="B165" s="3">
        <f t="shared" si="35"/>
        <v>6166.666666666667</v>
      </c>
      <c r="C165" s="3">
        <f t="shared" si="36"/>
        <v>517.38333333333333</v>
      </c>
      <c r="D165" s="64">
        <f t="shared" si="26"/>
        <v>1.4788169464428458</v>
      </c>
      <c r="E165" s="50">
        <f t="shared" si="37"/>
        <v>0</v>
      </c>
      <c r="F165" s="50">
        <f t="shared" si="31"/>
        <v>0</v>
      </c>
      <c r="G165" s="69">
        <f t="shared" si="32"/>
        <v>0</v>
      </c>
      <c r="H165" s="70">
        <f t="shared" si="33"/>
        <v>6213.3</v>
      </c>
      <c r="I165" s="70">
        <f t="shared" si="34"/>
        <v>0</v>
      </c>
      <c r="J165" s="53">
        <f t="shared" si="27"/>
        <v>0</v>
      </c>
      <c r="K165" s="53">
        <f t="shared" si="28"/>
        <v>889</v>
      </c>
      <c r="L165" s="289">
        <f t="shared" si="29"/>
        <v>889</v>
      </c>
      <c r="N165" s="7">
        <f t="shared" si="30"/>
        <v>10668</v>
      </c>
      <c r="O165" t="str">
        <f>Medicaid!G157</f>
        <v>No</v>
      </c>
      <c r="P165" t="str">
        <f>Medicaid!K157</f>
        <v>Yes</v>
      </c>
    </row>
    <row r="166" spans="1:16" ht="15" customHeight="1" x14ac:dyDescent="0.25">
      <c r="A166" s="3">
        <v>74500</v>
      </c>
      <c r="B166" s="3">
        <f t="shared" si="35"/>
        <v>6208.333333333333</v>
      </c>
      <c r="C166" s="3">
        <f t="shared" si="36"/>
        <v>520.87916666666661</v>
      </c>
      <c r="D166" s="64">
        <f t="shared" si="26"/>
        <v>1.4888089528377297</v>
      </c>
      <c r="E166" s="50">
        <f t="shared" si="37"/>
        <v>0</v>
      </c>
      <c r="F166" s="50">
        <f t="shared" si="31"/>
        <v>0</v>
      </c>
      <c r="G166" s="69">
        <f t="shared" si="32"/>
        <v>0</v>
      </c>
      <c r="H166" s="70">
        <f t="shared" si="33"/>
        <v>6213.3</v>
      </c>
      <c r="I166" s="70">
        <f t="shared" si="34"/>
        <v>0</v>
      </c>
      <c r="J166" s="53">
        <f t="shared" si="27"/>
        <v>0</v>
      </c>
      <c r="K166" s="53">
        <f t="shared" si="28"/>
        <v>889</v>
      </c>
      <c r="L166" s="289">
        <f t="shared" si="29"/>
        <v>889</v>
      </c>
      <c r="N166" s="7">
        <f t="shared" si="30"/>
        <v>10668</v>
      </c>
      <c r="O166" t="str">
        <f>Medicaid!G158</f>
        <v>No</v>
      </c>
      <c r="P166" t="str">
        <f>Medicaid!K158</f>
        <v>Yes</v>
      </c>
    </row>
    <row r="167" spans="1:16" ht="15" customHeight="1" x14ac:dyDescent="0.25">
      <c r="A167" s="3">
        <v>75000</v>
      </c>
      <c r="B167" s="3">
        <f t="shared" si="35"/>
        <v>6250</v>
      </c>
      <c r="C167" s="3">
        <f t="shared" si="36"/>
        <v>524.375</v>
      </c>
      <c r="D167" s="64">
        <f t="shared" si="26"/>
        <v>1.4988009592326139</v>
      </c>
      <c r="E167" s="50">
        <f t="shared" si="37"/>
        <v>0</v>
      </c>
      <c r="F167" s="50">
        <f t="shared" si="31"/>
        <v>0.02</v>
      </c>
      <c r="G167" s="69">
        <f t="shared" si="32"/>
        <v>6255</v>
      </c>
      <c r="H167" s="70">
        <f t="shared" si="33"/>
        <v>8298.2999999999993</v>
      </c>
      <c r="I167" s="70">
        <f t="shared" si="34"/>
        <v>6213.3</v>
      </c>
      <c r="J167" s="53">
        <f t="shared" si="27"/>
        <v>2.2002398081534671</v>
      </c>
      <c r="K167" s="53">
        <f t="shared" si="28"/>
        <v>889</v>
      </c>
      <c r="L167" s="289">
        <f t="shared" si="29"/>
        <v>886.79976019184653</v>
      </c>
      <c r="N167" s="7">
        <f t="shared" si="30"/>
        <v>10641.597122302159</v>
      </c>
      <c r="O167" t="str">
        <f>Medicaid!G159</f>
        <v>No</v>
      </c>
      <c r="P167" t="str">
        <f>Medicaid!K159</f>
        <v>Yes</v>
      </c>
    </row>
    <row r="168" spans="1:16" ht="15" customHeight="1" x14ac:dyDescent="0.25">
      <c r="A168" s="3">
        <v>75500</v>
      </c>
      <c r="B168" s="3">
        <f t="shared" si="35"/>
        <v>6291.666666666667</v>
      </c>
      <c r="C168" s="3">
        <f t="shared" si="36"/>
        <v>527.87083333333339</v>
      </c>
      <c r="D168" s="64">
        <f t="shared" si="26"/>
        <v>1.5087929656274981</v>
      </c>
      <c r="E168" s="50">
        <f t="shared" si="37"/>
        <v>0</v>
      </c>
      <c r="F168" s="50">
        <f t="shared" si="31"/>
        <v>0.02</v>
      </c>
      <c r="G168" s="69">
        <f t="shared" si="32"/>
        <v>6255</v>
      </c>
      <c r="H168" s="70">
        <f t="shared" si="33"/>
        <v>8298.2999999999993</v>
      </c>
      <c r="I168" s="70">
        <f t="shared" si="34"/>
        <v>6213.3</v>
      </c>
      <c r="J168" s="53">
        <f t="shared" si="27"/>
        <v>4.7295630162536737</v>
      </c>
      <c r="K168" s="53">
        <f t="shared" si="28"/>
        <v>889</v>
      </c>
      <c r="L168" s="289">
        <f t="shared" si="29"/>
        <v>884.27043698374632</v>
      </c>
      <c r="N168" s="7">
        <f t="shared" si="30"/>
        <v>10611.245243804955</v>
      </c>
      <c r="O168" t="str">
        <f>Medicaid!G160</f>
        <v>No</v>
      </c>
      <c r="P168" t="str">
        <f>Medicaid!K160</f>
        <v>Yes</v>
      </c>
    </row>
    <row r="169" spans="1:16" ht="15" customHeight="1" x14ac:dyDescent="0.25">
      <c r="A169" s="3">
        <v>76000</v>
      </c>
      <c r="B169" s="3">
        <f t="shared" si="35"/>
        <v>6333.333333333333</v>
      </c>
      <c r="C169" s="3">
        <f t="shared" si="36"/>
        <v>531.36666666666667</v>
      </c>
      <c r="D169" s="64">
        <f t="shared" si="26"/>
        <v>1.5187849720223821</v>
      </c>
      <c r="E169" s="50">
        <f t="shared" si="37"/>
        <v>0</v>
      </c>
      <c r="F169" s="50">
        <f t="shared" si="31"/>
        <v>0.02</v>
      </c>
      <c r="G169" s="69">
        <f t="shared" si="32"/>
        <v>6255</v>
      </c>
      <c r="H169" s="70">
        <f t="shared" si="33"/>
        <v>8298.2999999999993</v>
      </c>
      <c r="I169" s="70">
        <f t="shared" si="34"/>
        <v>6213.3</v>
      </c>
      <c r="J169" s="53">
        <f t="shared" si="27"/>
        <v>7.2921929123367715</v>
      </c>
      <c r="K169" s="53">
        <f t="shared" si="28"/>
        <v>889</v>
      </c>
      <c r="L169" s="289">
        <f t="shared" si="29"/>
        <v>881.70780708766324</v>
      </c>
      <c r="N169" s="7">
        <f t="shared" si="30"/>
        <v>10580.493685051959</v>
      </c>
      <c r="O169" t="str">
        <f>Medicaid!G161</f>
        <v>No</v>
      </c>
      <c r="P169" t="str">
        <f>Medicaid!K161</f>
        <v>Yes</v>
      </c>
    </row>
    <row r="170" spans="1:16" ht="15" customHeight="1" x14ac:dyDescent="0.25">
      <c r="A170" s="3">
        <v>76500</v>
      </c>
      <c r="B170" s="3">
        <f t="shared" si="35"/>
        <v>6375</v>
      </c>
      <c r="C170" s="3">
        <f t="shared" si="36"/>
        <v>534.86250000000007</v>
      </c>
      <c r="D170" s="64">
        <f t="shared" si="26"/>
        <v>1.5287769784172662</v>
      </c>
      <c r="E170" s="50">
        <f t="shared" si="37"/>
        <v>0</v>
      </c>
      <c r="F170" s="50">
        <f t="shared" si="31"/>
        <v>0.02</v>
      </c>
      <c r="G170" s="69">
        <f t="shared" si="32"/>
        <v>6255</v>
      </c>
      <c r="H170" s="70">
        <f t="shared" si="33"/>
        <v>8298.2999999999993</v>
      </c>
      <c r="I170" s="70">
        <f t="shared" si="34"/>
        <v>6213.3</v>
      </c>
      <c r="J170" s="53">
        <f t="shared" si="27"/>
        <v>9.8881294964028701</v>
      </c>
      <c r="K170" s="53">
        <f t="shared" si="28"/>
        <v>889</v>
      </c>
      <c r="L170" s="289">
        <f t="shared" si="29"/>
        <v>879.11187050359717</v>
      </c>
      <c r="N170" s="7">
        <f t="shared" si="30"/>
        <v>10549.342446043167</v>
      </c>
      <c r="O170" t="str">
        <f>Medicaid!G162</f>
        <v>No</v>
      </c>
      <c r="P170" t="str">
        <f>Medicaid!K162</f>
        <v>Yes</v>
      </c>
    </row>
    <row r="171" spans="1:16" ht="15" customHeight="1" x14ac:dyDescent="0.25">
      <c r="A171" s="3">
        <v>77000</v>
      </c>
      <c r="B171" s="3">
        <f t="shared" si="35"/>
        <v>6416.666666666667</v>
      </c>
      <c r="C171" s="3">
        <f t="shared" si="36"/>
        <v>538.35833333333335</v>
      </c>
      <c r="D171" s="64">
        <f t="shared" si="26"/>
        <v>1.5387689848121504</v>
      </c>
      <c r="E171" s="50">
        <f t="shared" si="37"/>
        <v>0</v>
      </c>
      <c r="F171" s="50">
        <f t="shared" si="31"/>
        <v>0.02</v>
      </c>
      <c r="G171" s="69">
        <f t="shared" si="32"/>
        <v>6255</v>
      </c>
      <c r="H171" s="70">
        <f t="shared" si="33"/>
        <v>8298.2999999999993</v>
      </c>
      <c r="I171" s="70">
        <f t="shared" si="34"/>
        <v>6213.3</v>
      </c>
      <c r="J171" s="53">
        <f t="shared" si="27"/>
        <v>12.517372768451919</v>
      </c>
      <c r="K171" s="53">
        <f t="shared" si="28"/>
        <v>889</v>
      </c>
      <c r="L171" s="289">
        <f t="shared" si="29"/>
        <v>876.48262723154812</v>
      </c>
      <c r="N171" s="7">
        <f t="shared" si="30"/>
        <v>10517.791526778577</v>
      </c>
      <c r="O171" t="str">
        <f>Medicaid!G163</f>
        <v>No</v>
      </c>
      <c r="P171" t="str">
        <f>Medicaid!K163</f>
        <v>Yes</v>
      </c>
    </row>
    <row r="172" spans="1:16" ht="15" customHeight="1" x14ac:dyDescent="0.25">
      <c r="A172" s="3">
        <v>77500</v>
      </c>
      <c r="B172" s="3">
        <f t="shared" si="35"/>
        <v>6458.333333333333</v>
      </c>
      <c r="C172" s="3">
        <f t="shared" si="36"/>
        <v>541.85416666666663</v>
      </c>
      <c r="D172" s="64">
        <f t="shared" si="26"/>
        <v>1.5487609912070344</v>
      </c>
      <c r="E172" s="50">
        <f t="shared" si="37"/>
        <v>0</v>
      </c>
      <c r="F172" s="50">
        <f t="shared" si="31"/>
        <v>0.02</v>
      </c>
      <c r="G172" s="69">
        <f t="shared" si="32"/>
        <v>6255</v>
      </c>
      <c r="H172" s="70">
        <f t="shared" si="33"/>
        <v>8298.2999999999993</v>
      </c>
      <c r="I172" s="70">
        <f t="shared" si="34"/>
        <v>6213.3</v>
      </c>
      <c r="J172" s="53">
        <f t="shared" si="27"/>
        <v>15.179922728483856</v>
      </c>
      <c r="K172" s="53">
        <f t="shared" si="28"/>
        <v>889</v>
      </c>
      <c r="L172" s="289">
        <f t="shared" si="29"/>
        <v>873.8200772715162</v>
      </c>
      <c r="N172" s="7">
        <f t="shared" si="30"/>
        <v>10485.840927258194</v>
      </c>
      <c r="O172" t="str">
        <f>Medicaid!G164</f>
        <v>No</v>
      </c>
      <c r="P172" t="str">
        <f>Medicaid!K164</f>
        <v>Yes</v>
      </c>
    </row>
    <row r="173" spans="1:16" ht="15" customHeight="1" x14ac:dyDescent="0.25">
      <c r="A173" s="3">
        <v>78000</v>
      </c>
      <c r="B173" s="3">
        <f t="shared" si="35"/>
        <v>6500</v>
      </c>
      <c r="C173" s="3">
        <f t="shared" si="36"/>
        <v>545.35</v>
      </c>
      <c r="D173" s="64">
        <f t="shared" si="26"/>
        <v>1.5587529976019185</v>
      </c>
      <c r="E173" s="50">
        <f t="shared" si="37"/>
        <v>0</v>
      </c>
      <c r="F173" s="50">
        <f t="shared" si="31"/>
        <v>0.02</v>
      </c>
      <c r="G173" s="69">
        <f t="shared" si="32"/>
        <v>6255</v>
      </c>
      <c r="H173" s="70">
        <f t="shared" si="33"/>
        <v>8298.2999999999993</v>
      </c>
      <c r="I173" s="70">
        <f t="shared" si="34"/>
        <v>6213.3</v>
      </c>
      <c r="J173" s="53">
        <f t="shared" si="27"/>
        <v>17.875779376498798</v>
      </c>
      <c r="K173" s="53">
        <f t="shared" si="28"/>
        <v>889</v>
      </c>
      <c r="L173" s="289">
        <f t="shared" si="29"/>
        <v>871.12422062350117</v>
      </c>
      <c r="N173" s="7">
        <f t="shared" si="30"/>
        <v>10453.490647482015</v>
      </c>
      <c r="O173" t="str">
        <f>Medicaid!G165</f>
        <v>No</v>
      </c>
      <c r="P173" t="str">
        <f>Medicaid!K165</f>
        <v>Yes</v>
      </c>
    </row>
    <row r="174" spans="1:16" ht="15" customHeight="1" x14ac:dyDescent="0.25">
      <c r="A174" s="3">
        <v>78500</v>
      </c>
      <c r="B174" s="3">
        <f t="shared" si="35"/>
        <v>6541.666666666667</v>
      </c>
      <c r="C174" s="3">
        <f t="shared" si="36"/>
        <v>548.84583333333342</v>
      </c>
      <c r="D174" s="64">
        <f t="shared" si="26"/>
        <v>1.5687450039968027</v>
      </c>
      <c r="E174" s="50">
        <f t="shared" si="37"/>
        <v>0</v>
      </c>
      <c r="F174" s="50">
        <f t="shared" si="31"/>
        <v>0.02</v>
      </c>
      <c r="G174" s="69">
        <f t="shared" si="32"/>
        <v>6255</v>
      </c>
      <c r="H174" s="70">
        <f t="shared" si="33"/>
        <v>8298.2999999999993</v>
      </c>
      <c r="I174" s="70">
        <f t="shared" si="34"/>
        <v>6213.3</v>
      </c>
      <c r="J174" s="53">
        <f t="shared" si="27"/>
        <v>20.604942712496687</v>
      </c>
      <c r="K174" s="53">
        <f t="shared" si="28"/>
        <v>889</v>
      </c>
      <c r="L174" s="289">
        <f t="shared" si="29"/>
        <v>868.39505728750328</v>
      </c>
      <c r="N174" s="7">
        <f t="shared" si="30"/>
        <v>10420.740687450039</v>
      </c>
      <c r="O174" t="str">
        <f>Medicaid!G166</f>
        <v>No</v>
      </c>
      <c r="P174" t="str">
        <f>Medicaid!K166</f>
        <v>Yes</v>
      </c>
    </row>
    <row r="175" spans="1:16" ht="15" customHeight="1" x14ac:dyDescent="0.25">
      <c r="A175" s="3">
        <v>79000</v>
      </c>
      <c r="B175" s="3">
        <f t="shared" si="35"/>
        <v>6583.333333333333</v>
      </c>
      <c r="C175" s="3">
        <f t="shared" si="36"/>
        <v>552.3416666666667</v>
      </c>
      <c r="D175" s="64">
        <f t="shared" si="26"/>
        <v>1.5787370103916867</v>
      </c>
      <c r="E175" s="50">
        <f t="shared" si="37"/>
        <v>0</v>
      </c>
      <c r="F175" s="50">
        <f t="shared" si="31"/>
        <v>0.02</v>
      </c>
      <c r="G175" s="69">
        <f t="shared" si="32"/>
        <v>6255</v>
      </c>
      <c r="H175" s="70">
        <f t="shared" si="33"/>
        <v>8298.2999999999993</v>
      </c>
      <c r="I175" s="70">
        <f t="shared" si="34"/>
        <v>6213.3</v>
      </c>
      <c r="J175" s="53">
        <f t="shared" si="27"/>
        <v>23.367412736477462</v>
      </c>
      <c r="K175" s="53">
        <f t="shared" si="28"/>
        <v>889</v>
      </c>
      <c r="L175" s="289">
        <f t="shared" si="29"/>
        <v>865.63258726352251</v>
      </c>
      <c r="N175" s="7">
        <f t="shared" si="30"/>
        <v>10387.59104716227</v>
      </c>
      <c r="O175" t="str">
        <f>Medicaid!G167</f>
        <v>No</v>
      </c>
      <c r="P175" t="str">
        <f>Medicaid!K167</f>
        <v>Yes</v>
      </c>
    </row>
    <row r="176" spans="1:16" ht="15" customHeight="1" x14ac:dyDescent="0.25">
      <c r="A176" s="3">
        <v>79500</v>
      </c>
      <c r="B176" s="3">
        <f t="shared" si="35"/>
        <v>6625</v>
      </c>
      <c r="C176" s="3">
        <f t="shared" si="36"/>
        <v>555.83749999999998</v>
      </c>
      <c r="D176" s="64">
        <f t="shared" si="26"/>
        <v>1.5887290167865706</v>
      </c>
      <c r="E176" s="50">
        <f t="shared" si="37"/>
        <v>0</v>
      </c>
      <c r="F176" s="50">
        <f t="shared" si="31"/>
        <v>0.02</v>
      </c>
      <c r="G176" s="69">
        <f t="shared" si="32"/>
        <v>6255</v>
      </c>
      <c r="H176" s="70">
        <f t="shared" si="33"/>
        <v>8298.2999999999993</v>
      </c>
      <c r="I176" s="70">
        <f t="shared" si="34"/>
        <v>6213.3</v>
      </c>
      <c r="J176" s="53">
        <f t="shared" si="27"/>
        <v>26.163189448441248</v>
      </c>
      <c r="K176" s="53">
        <f t="shared" si="28"/>
        <v>889</v>
      </c>
      <c r="L176" s="289">
        <f t="shared" si="29"/>
        <v>862.83681055155876</v>
      </c>
      <c r="N176" s="7">
        <f t="shared" si="30"/>
        <v>10354.041726618705</v>
      </c>
      <c r="O176" t="str">
        <f>Medicaid!G168</f>
        <v>No</v>
      </c>
      <c r="P176" t="str">
        <f>Medicaid!K168</f>
        <v>Yes</v>
      </c>
    </row>
    <row r="177" spans="1:16" ht="15" customHeight="1" x14ac:dyDescent="0.25">
      <c r="A177" s="3">
        <v>80000</v>
      </c>
      <c r="B177" s="3">
        <f t="shared" si="35"/>
        <v>6666.666666666667</v>
      </c>
      <c r="C177" s="3">
        <f t="shared" si="36"/>
        <v>559.33333333333337</v>
      </c>
      <c r="D177" s="64">
        <f t="shared" ref="D177:D217" si="38">B177/$K$2</f>
        <v>1.5987210231814548</v>
      </c>
      <c r="E177" s="50">
        <f t="shared" si="37"/>
        <v>0</v>
      </c>
      <c r="F177" s="50">
        <f t="shared" si="31"/>
        <v>0.02</v>
      </c>
      <c r="G177" s="69">
        <f t="shared" si="32"/>
        <v>6255</v>
      </c>
      <c r="H177" s="70">
        <f t="shared" si="33"/>
        <v>8298.2999999999993</v>
      </c>
      <c r="I177" s="70">
        <f t="shared" si="34"/>
        <v>6213.3</v>
      </c>
      <c r="J177" s="53">
        <f t="shared" si="27"/>
        <v>28.992272848387977</v>
      </c>
      <c r="K177" s="53">
        <f t="shared" si="28"/>
        <v>889</v>
      </c>
      <c r="L177" s="289">
        <f t="shared" si="29"/>
        <v>860.00772715161202</v>
      </c>
      <c r="N177" s="7">
        <f t="shared" si="30"/>
        <v>10320.092725819344</v>
      </c>
      <c r="O177" t="str">
        <f>Medicaid!G169</f>
        <v>No</v>
      </c>
      <c r="P177" t="str">
        <f>Medicaid!K169</f>
        <v>Yes</v>
      </c>
    </row>
    <row r="178" spans="1:16" ht="15" customHeight="1" x14ac:dyDescent="0.25">
      <c r="A178" s="3">
        <v>80500</v>
      </c>
      <c r="B178" s="3">
        <f t="shared" si="35"/>
        <v>6708.333333333333</v>
      </c>
      <c r="C178" s="3">
        <f t="shared" si="36"/>
        <v>562.82916666666665</v>
      </c>
      <c r="D178" s="64">
        <f t="shared" si="38"/>
        <v>1.6087130295763388</v>
      </c>
      <c r="E178" s="50">
        <f t="shared" si="37"/>
        <v>0</v>
      </c>
      <c r="F178" s="50">
        <f t="shared" si="31"/>
        <v>0.02</v>
      </c>
      <c r="G178" s="69">
        <f t="shared" si="32"/>
        <v>6255</v>
      </c>
      <c r="H178" s="70">
        <f t="shared" si="33"/>
        <v>8298.2999999999993</v>
      </c>
      <c r="I178" s="70">
        <f t="shared" si="34"/>
        <v>6213.3</v>
      </c>
      <c r="J178" s="53">
        <f t="shared" si="27"/>
        <v>31.854662936317592</v>
      </c>
      <c r="K178" s="53">
        <f t="shared" si="28"/>
        <v>889</v>
      </c>
      <c r="L178" s="289">
        <f t="shared" si="29"/>
        <v>857.1453370636824</v>
      </c>
      <c r="N178" s="7">
        <f t="shared" si="30"/>
        <v>10285.744044764189</v>
      </c>
      <c r="O178" t="str">
        <f>Medicaid!G170</f>
        <v>No</v>
      </c>
      <c r="P178" t="str">
        <f>Medicaid!K170</f>
        <v>Yes</v>
      </c>
    </row>
    <row r="179" spans="1:16" ht="15" customHeight="1" x14ac:dyDescent="0.25">
      <c r="A179" s="3">
        <v>81000</v>
      </c>
      <c r="B179" s="3">
        <f t="shared" si="35"/>
        <v>6750</v>
      </c>
      <c r="C179" s="3">
        <f t="shared" si="36"/>
        <v>566.32500000000005</v>
      </c>
      <c r="D179" s="64">
        <f t="shared" si="38"/>
        <v>1.6187050359712229</v>
      </c>
      <c r="E179" s="50">
        <f t="shared" si="37"/>
        <v>0</v>
      </c>
      <c r="F179" s="50">
        <f t="shared" si="31"/>
        <v>0.02</v>
      </c>
      <c r="G179" s="69">
        <f t="shared" si="32"/>
        <v>6255</v>
      </c>
      <c r="H179" s="70">
        <f t="shared" si="33"/>
        <v>8298.2999999999993</v>
      </c>
      <c r="I179" s="70">
        <f t="shared" si="34"/>
        <v>6213.3</v>
      </c>
      <c r="J179" s="53">
        <f t="shared" si="27"/>
        <v>34.750359712230221</v>
      </c>
      <c r="K179" s="53">
        <f t="shared" si="28"/>
        <v>889</v>
      </c>
      <c r="L179" s="289">
        <f t="shared" si="29"/>
        <v>854.24964028776981</v>
      </c>
      <c r="N179" s="7">
        <f t="shared" si="30"/>
        <v>10250.995683453239</v>
      </c>
      <c r="O179" t="str">
        <f>Medicaid!G171</f>
        <v>No</v>
      </c>
      <c r="P179" t="str">
        <f>Medicaid!K171</f>
        <v>Yes</v>
      </c>
    </row>
    <row r="180" spans="1:16" ht="15" customHeight="1" x14ac:dyDescent="0.25">
      <c r="A180" s="3">
        <v>81500</v>
      </c>
      <c r="B180" s="3">
        <f t="shared" si="35"/>
        <v>6791.666666666667</v>
      </c>
      <c r="C180" s="3">
        <f t="shared" si="36"/>
        <v>569.82083333333333</v>
      </c>
      <c r="D180" s="64">
        <f t="shared" si="38"/>
        <v>1.6286970423661071</v>
      </c>
      <c r="E180" s="50">
        <f t="shared" si="37"/>
        <v>0</v>
      </c>
      <c r="F180" s="50">
        <f t="shared" si="31"/>
        <v>0.02</v>
      </c>
      <c r="G180" s="69">
        <f t="shared" si="32"/>
        <v>6255</v>
      </c>
      <c r="H180" s="70">
        <f t="shared" si="33"/>
        <v>8298.2999999999993</v>
      </c>
      <c r="I180" s="70">
        <f t="shared" si="34"/>
        <v>6213.3</v>
      </c>
      <c r="J180" s="53">
        <f t="shared" si="27"/>
        <v>37.679363176125797</v>
      </c>
      <c r="K180" s="53">
        <f t="shared" si="28"/>
        <v>889</v>
      </c>
      <c r="L180" s="289">
        <f t="shared" si="29"/>
        <v>851.32063682387422</v>
      </c>
      <c r="N180" s="7">
        <f t="shared" si="30"/>
        <v>10215.84764188649</v>
      </c>
      <c r="O180" t="str">
        <f>Medicaid!G172</f>
        <v>No</v>
      </c>
      <c r="P180" t="str">
        <f>Medicaid!K172</f>
        <v>Yes</v>
      </c>
    </row>
    <row r="181" spans="1:16" ht="15" customHeight="1" x14ac:dyDescent="0.25">
      <c r="A181" s="3">
        <v>82000</v>
      </c>
      <c r="B181" s="3">
        <f t="shared" si="35"/>
        <v>6833.333333333333</v>
      </c>
      <c r="C181" s="3">
        <f t="shared" si="36"/>
        <v>573.31666666666661</v>
      </c>
      <c r="D181" s="64">
        <f t="shared" si="38"/>
        <v>1.6386890487609911</v>
      </c>
      <c r="E181" s="50">
        <f t="shared" si="37"/>
        <v>0</v>
      </c>
      <c r="F181" s="50">
        <f t="shared" si="31"/>
        <v>0.02</v>
      </c>
      <c r="G181" s="69">
        <f t="shared" si="32"/>
        <v>6255</v>
      </c>
      <c r="H181" s="70">
        <f t="shared" si="33"/>
        <v>8298.2999999999993</v>
      </c>
      <c r="I181" s="70">
        <f t="shared" si="34"/>
        <v>6213.3</v>
      </c>
      <c r="J181" s="53">
        <f t="shared" si="27"/>
        <v>40.641673328004245</v>
      </c>
      <c r="K181" s="53">
        <f t="shared" si="28"/>
        <v>889</v>
      </c>
      <c r="L181" s="289">
        <f t="shared" si="29"/>
        <v>848.35832667199577</v>
      </c>
      <c r="N181" s="7">
        <f t="shared" si="30"/>
        <v>10180.29992006395</v>
      </c>
      <c r="O181" t="str">
        <f>Medicaid!G173</f>
        <v>No</v>
      </c>
      <c r="P181" t="str">
        <f>Medicaid!K173</f>
        <v>Yes</v>
      </c>
    </row>
    <row r="182" spans="1:16" ht="15" customHeight="1" x14ac:dyDescent="0.25">
      <c r="A182" s="3">
        <v>82500</v>
      </c>
      <c r="B182" s="3">
        <f t="shared" si="35"/>
        <v>6875</v>
      </c>
      <c r="C182" s="3">
        <f t="shared" si="36"/>
        <v>576.8125</v>
      </c>
      <c r="D182" s="64">
        <f t="shared" si="38"/>
        <v>1.6486810551558753</v>
      </c>
      <c r="E182" s="50">
        <f t="shared" si="37"/>
        <v>0</v>
      </c>
      <c r="F182" s="50">
        <f t="shared" si="31"/>
        <v>0.02</v>
      </c>
      <c r="G182" s="69">
        <f t="shared" si="32"/>
        <v>6255</v>
      </c>
      <c r="H182" s="70">
        <f t="shared" si="33"/>
        <v>8298.2999999999993</v>
      </c>
      <c r="I182" s="70">
        <f t="shared" si="34"/>
        <v>6213.3</v>
      </c>
      <c r="J182" s="53">
        <f t="shared" si="27"/>
        <v>43.637290167865714</v>
      </c>
      <c r="K182" s="53">
        <f t="shared" si="28"/>
        <v>889</v>
      </c>
      <c r="L182" s="289">
        <f t="shared" si="29"/>
        <v>845.36270983213433</v>
      </c>
      <c r="N182" s="7">
        <f t="shared" si="30"/>
        <v>10144.352517985611</v>
      </c>
      <c r="O182" t="str">
        <f>Medicaid!G174</f>
        <v>No</v>
      </c>
      <c r="P182" t="str">
        <f>Medicaid!K174</f>
        <v>Yes</v>
      </c>
    </row>
    <row r="183" spans="1:16" ht="15" customHeight="1" x14ac:dyDescent="0.25">
      <c r="A183" s="3">
        <v>83000</v>
      </c>
      <c r="B183" s="3">
        <f t="shared" si="35"/>
        <v>6916.666666666667</v>
      </c>
      <c r="C183" s="3">
        <f t="shared" si="36"/>
        <v>580.30833333333339</v>
      </c>
      <c r="D183" s="64">
        <f t="shared" si="38"/>
        <v>1.6586730615507594</v>
      </c>
      <c r="E183" s="50">
        <f t="shared" si="37"/>
        <v>0</v>
      </c>
      <c r="F183" s="50">
        <f t="shared" si="31"/>
        <v>0.02</v>
      </c>
      <c r="G183" s="69">
        <f t="shared" si="32"/>
        <v>6255</v>
      </c>
      <c r="H183" s="70">
        <f t="shared" si="33"/>
        <v>8298.2999999999993</v>
      </c>
      <c r="I183" s="70">
        <f t="shared" si="34"/>
        <v>6213.3</v>
      </c>
      <c r="J183" s="53">
        <f t="shared" si="27"/>
        <v>46.666213695710127</v>
      </c>
      <c r="K183" s="53">
        <f t="shared" si="28"/>
        <v>889</v>
      </c>
      <c r="L183" s="289">
        <f t="shared" si="29"/>
        <v>842.3337863042899</v>
      </c>
      <c r="N183" s="7">
        <f t="shared" si="30"/>
        <v>10108.005435651479</v>
      </c>
      <c r="O183" t="str">
        <f>Medicaid!G175</f>
        <v>No</v>
      </c>
      <c r="P183" t="str">
        <f>Medicaid!K175</f>
        <v>Yes</v>
      </c>
    </row>
    <row r="184" spans="1:16" ht="15" customHeight="1" x14ac:dyDescent="0.25">
      <c r="A184" s="3">
        <v>83500</v>
      </c>
      <c r="B184" s="3">
        <f t="shared" si="35"/>
        <v>6958.333333333333</v>
      </c>
      <c r="C184" s="3">
        <f t="shared" si="36"/>
        <v>583.80416666666667</v>
      </c>
      <c r="D184" s="64">
        <f t="shared" si="38"/>
        <v>1.6686650679456434</v>
      </c>
      <c r="E184" s="50">
        <f t="shared" si="37"/>
        <v>0</v>
      </c>
      <c r="F184" s="50">
        <f t="shared" si="31"/>
        <v>0.02</v>
      </c>
      <c r="G184" s="69">
        <f t="shared" si="32"/>
        <v>6255</v>
      </c>
      <c r="H184" s="70">
        <f t="shared" si="33"/>
        <v>8298.2999999999993</v>
      </c>
      <c r="I184" s="70">
        <f t="shared" si="34"/>
        <v>6213.3</v>
      </c>
      <c r="J184" s="53">
        <f t="shared" si="27"/>
        <v>49.728443911537425</v>
      </c>
      <c r="K184" s="53">
        <f t="shared" si="28"/>
        <v>889</v>
      </c>
      <c r="L184" s="289">
        <f t="shared" si="29"/>
        <v>839.2715560884626</v>
      </c>
      <c r="N184" s="7">
        <f t="shared" si="30"/>
        <v>10071.258673061551</v>
      </c>
      <c r="O184" t="str">
        <f>Medicaid!G176</f>
        <v>No</v>
      </c>
      <c r="P184" t="str">
        <f>Medicaid!K176</f>
        <v>Yes</v>
      </c>
    </row>
    <row r="185" spans="1:16" ht="15" customHeight="1" x14ac:dyDescent="0.25">
      <c r="A185" s="3">
        <v>84000</v>
      </c>
      <c r="B185" s="3">
        <f t="shared" si="35"/>
        <v>7000</v>
      </c>
      <c r="C185" s="3">
        <f t="shared" si="36"/>
        <v>587.30000000000007</v>
      </c>
      <c r="D185" s="64">
        <f t="shared" si="38"/>
        <v>1.6786570743405276</v>
      </c>
      <c r="E185" s="50">
        <f t="shared" si="37"/>
        <v>0</v>
      </c>
      <c r="F185" s="50">
        <f t="shared" si="31"/>
        <v>0.02</v>
      </c>
      <c r="G185" s="69">
        <f t="shared" si="32"/>
        <v>6255</v>
      </c>
      <c r="H185" s="70">
        <f t="shared" si="33"/>
        <v>8298.2999999999993</v>
      </c>
      <c r="I185" s="70">
        <f t="shared" si="34"/>
        <v>6213.3</v>
      </c>
      <c r="J185" s="53">
        <f t="shared" si="27"/>
        <v>52.823980815347731</v>
      </c>
      <c r="K185" s="53">
        <f t="shared" si="28"/>
        <v>889</v>
      </c>
      <c r="L185" s="289">
        <f t="shared" si="29"/>
        <v>836.17601918465232</v>
      </c>
      <c r="N185" s="7">
        <f t="shared" si="30"/>
        <v>10034.112230215827</v>
      </c>
      <c r="O185" t="str">
        <f>Medicaid!G177</f>
        <v>No</v>
      </c>
      <c r="P185" t="str">
        <f>Medicaid!K177</f>
        <v>Yes</v>
      </c>
    </row>
    <row r="186" spans="1:16" ht="15" customHeight="1" x14ac:dyDescent="0.25">
      <c r="A186" s="3">
        <v>84500</v>
      </c>
      <c r="B186" s="3">
        <f t="shared" si="35"/>
        <v>7041.666666666667</v>
      </c>
      <c r="C186" s="3">
        <f t="shared" si="36"/>
        <v>590.79583333333335</v>
      </c>
      <c r="D186" s="64">
        <f t="shared" si="38"/>
        <v>1.6886490807354118</v>
      </c>
      <c r="E186" s="50">
        <f t="shared" si="37"/>
        <v>0</v>
      </c>
      <c r="F186" s="50">
        <f t="shared" si="31"/>
        <v>0.02</v>
      </c>
      <c r="G186" s="69">
        <f t="shared" si="32"/>
        <v>6255</v>
      </c>
      <c r="H186" s="70">
        <f t="shared" si="33"/>
        <v>8298.2999999999993</v>
      </c>
      <c r="I186" s="70">
        <f t="shared" si="34"/>
        <v>6213.3</v>
      </c>
      <c r="J186" s="53">
        <f t="shared" si="27"/>
        <v>55.952824407140994</v>
      </c>
      <c r="K186" s="53">
        <f t="shared" si="28"/>
        <v>889</v>
      </c>
      <c r="L186" s="289">
        <f t="shared" si="29"/>
        <v>833.04717559285905</v>
      </c>
      <c r="N186" s="7">
        <f t="shared" si="30"/>
        <v>9996.5661071143077</v>
      </c>
      <c r="O186" t="str">
        <f>Medicaid!G178</f>
        <v>No</v>
      </c>
      <c r="P186" t="str">
        <f>Medicaid!K178</f>
        <v>Yes</v>
      </c>
    </row>
    <row r="187" spans="1:16" ht="15" customHeight="1" x14ac:dyDescent="0.25">
      <c r="A187" s="3">
        <v>85000</v>
      </c>
      <c r="B187" s="3">
        <f t="shared" si="35"/>
        <v>7083.333333333333</v>
      </c>
      <c r="C187" s="3">
        <f t="shared" si="36"/>
        <v>594.29166666666663</v>
      </c>
      <c r="D187" s="64">
        <f t="shared" si="38"/>
        <v>1.6986410871302957</v>
      </c>
      <c r="E187" s="50">
        <f t="shared" si="37"/>
        <v>0</v>
      </c>
      <c r="F187" s="50">
        <f t="shared" si="31"/>
        <v>0.02</v>
      </c>
      <c r="G187" s="69">
        <f t="shared" si="32"/>
        <v>6255</v>
      </c>
      <c r="H187" s="70">
        <f t="shared" si="33"/>
        <v>8298.2999999999993</v>
      </c>
      <c r="I187" s="70">
        <f t="shared" si="34"/>
        <v>6213.3</v>
      </c>
      <c r="J187" s="53">
        <f t="shared" si="27"/>
        <v>59.11497468691713</v>
      </c>
      <c r="K187" s="53">
        <f t="shared" si="28"/>
        <v>889</v>
      </c>
      <c r="L187" s="289">
        <f t="shared" si="29"/>
        <v>829.88502531308291</v>
      </c>
      <c r="N187" s="7">
        <f t="shared" si="30"/>
        <v>9958.620303756994</v>
      </c>
      <c r="O187" t="str">
        <f>Medicaid!G179</f>
        <v>No</v>
      </c>
      <c r="P187" t="str">
        <f>Medicaid!K179</f>
        <v>Yes</v>
      </c>
    </row>
    <row r="188" spans="1:16" ht="15" customHeight="1" x14ac:dyDescent="0.25">
      <c r="A188" s="3">
        <v>85500</v>
      </c>
      <c r="B188" s="3">
        <f t="shared" si="35"/>
        <v>7125</v>
      </c>
      <c r="C188" s="3">
        <f t="shared" si="36"/>
        <v>597.78750000000002</v>
      </c>
      <c r="D188" s="64">
        <f t="shared" si="38"/>
        <v>1.7086330935251799</v>
      </c>
      <c r="E188" s="50">
        <f t="shared" si="37"/>
        <v>0</v>
      </c>
      <c r="F188" s="50">
        <f t="shared" si="31"/>
        <v>0.02</v>
      </c>
      <c r="G188" s="69">
        <f t="shared" si="32"/>
        <v>6255</v>
      </c>
      <c r="H188" s="70">
        <f t="shared" si="33"/>
        <v>8298.2999999999993</v>
      </c>
      <c r="I188" s="70">
        <f t="shared" si="34"/>
        <v>6213.3</v>
      </c>
      <c r="J188" s="53">
        <f t="shared" si="27"/>
        <v>62.310431654676286</v>
      </c>
      <c r="K188" s="53">
        <f t="shared" si="28"/>
        <v>889</v>
      </c>
      <c r="L188" s="289">
        <f t="shared" si="29"/>
        <v>826.68956834532366</v>
      </c>
      <c r="N188" s="7">
        <f t="shared" si="30"/>
        <v>9920.2748201438844</v>
      </c>
      <c r="O188" t="str">
        <f>Medicaid!G180</f>
        <v>No</v>
      </c>
      <c r="P188" t="str">
        <f>Medicaid!K180</f>
        <v>Yes</v>
      </c>
    </row>
    <row r="189" spans="1:16" ht="15" customHeight="1" x14ac:dyDescent="0.25">
      <c r="A189" s="3">
        <v>86000</v>
      </c>
      <c r="B189" s="3">
        <f t="shared" si="35"/>
        <v>7166.666666666667</v>
      </c>
      <c r="C189" s="3">
        <f t="shared" si="36"/>
        <v>601.28333333333342</v>
      </c>
      <c r="D189" s="64">
        <f t="shared" si="38"/>
        <v>1.7186250999200641</v>
      </c>
      <c r="E189" s="50">
        <f t="shared" si="37"/>
        <v>0</v>
      </c>
      <c r="F189" s="50">
        <f t="shared" si="31"/>
        <v>0.02</v>
      </c>
      <c r="G189" s="69">
        <f t="shared" si="32"/>
        <v>6255</v>
      </c>
      <c r="H189" s="70">
        <f t="shared" si="33"/>
        <v>8298.2999999999993</v>
      </c>
      <c r="I189" s="70">
        <f t="shared" si="34"/>
        <v>6213.3</v>
      </c>
      <c r="J189" s="53">
        <f t="shared" si="27"/>
        <v>65.539195310418378</v>
      </c>
      <c r="K189" s="53">
        <f t="shared" si="28"/>
        <v>889</v>
      </c>
      <c r="L189" s="289">
        <f t="shared" si="29"/>
        <v>823.46080468958166</v>
      </c>
      <c r="N189" s="7">
        <f t="shared" si="30"/>
        <v>9881.5296562749791</v>
      </c>
      <c r="O189" t="str">
        <f>Medicaid!G181</f>
        <v>No</v>
      </c>
      <c r="P189" t="str">
        <f>Medicaid!K181</f>
        <v>Yes</v>
      </c>
    </row>
    <row r="190" spans="1:16" ht="15" customHeight="1" x14ac:dyDescent="0.25">
      <c r="A190" s="3">
        <v>86500</v>
      </c>
      <c r="B190" s="3">
        <f t="shared" si="35"/>
        <v>7208.333333333333</v>
      </c>
      <c r="C190" s="3">
        <f t="shared" si="36"/>
        <v>604.7791666666667</v>
      </c>
      <c r="D190" s="64">
        <f t="shared" si="38"/>
        <v>1.728617106314948</v>
      </c>
      <c r="E190" s="50">
        <f t="shared" si="37"/>
        <v>0</v>
      </c>
      <c r="F190" s="50">
        <f t="shared" si="31"/>
        <v>0.02</v>
      </c>
      <c r="G190" s="69">
        <f t="shared" si="32"/>
        <v>6255</v>
      </c>
      <c r="H190" s="70">
        <f t="shared" si="33"/>
        <v>8298.2999999999993</v>
      </c>
      <c r="I190" s="70">
        <f t="shared" si="34"/>
        <v>6213.3</v>
      </c>
      <c r="J190" s="53">
        <f t="shared" si="27"/>
        <v>68.801265654143364</v>
      </c>
      <c r="K190" s="53">
        <f t="shared" si="28"/>
        <v>889</v>
      </c>
      <c r="L190" s="289">
        <f t="shared" si="29"/>
        <v>820.19873434585668</v>
      </c>
      <c r="N190" s="7">
        <f t="shared" si="30"/>
        <v>9842.3848121502797</v>
      </c>
      <c r="O190" t="str">
        <f>Medicaid!G182</f>
        <v>No</v>
      </c>
      <c r="P190" t="str">
        <f>Medicaid!K182</f>
        <v>Yes</v>
      </c>
    </row>
    <row r="191" spans="1:16" ht="15" customHeight="1" x14ac:dyDescent="0.25">
      <c r="A191" s="3">
        <v>87000</v>
      </c>
      <c r="B191" s="3">
        <f t="shared" si="35"/>
        <v>7250</v>
      </c>
      <c r="C191" s="3">
        <f t="shared" si="36"/>
        <v>608.27499999999998</v>
      </c>
      <c r="D191" s="64">
        <f t="shared" si="38"/>
        <v>1.7386091127098322</v>
      </c>
      <c r="E191" s="50">
        <f t="shared" si="37"/>
        <v>0</v>
      </c>
      <c r="F191" s="50">
        <f t="shared" si="31"/>
        <v>0.02</v>
      </c>
      <c r="G191" s="69">
        <f t="shared" si="32"/>
        <v>6255</v>
      </c>
      <c r="H191" s="70">
        <f t="shared" si="33"/>
        <v>8298.2999999999993</v>
      </c>
      <c r="I191" s="70">
        <f t="shared" si="34"/>
        <v>6213.3</v>
      </c>
      <c r="J191" s="53">
        <f t="shared" si="27"/>
        <v>72.096642685851336</v>
      </c>
      <c r="K191" s="53">
        <f t="shared" si="28"/>
        <v>889</v>
      </c>
      <c r="L191" s="289">
        <f t="shared" si="29"/>
        <v>816.90335731414871</v>
      </c>
      <c r="N191" s="7">
        <f t="shared" si="30"/>
        <v>9802.8402877697845</v>
      </c>
      <c r="O191" t="str">
        <f>Medicaid!G183</f>
        <v>No</v>
      </c>
      <c r="P191" t="str">
        <f>Medicaid!K183</f>
        <v>Yes</v>
      </c>
    </row>
    <row r="192" spans="1:16" ht="15" customHeight="1" x14ac:dyDescent="0.25">
      <c r="A192" s="3">
        <v>87500</v>
      </c>
      <c r="B192" s="3">
        <f t="shared" si="35"/>
        <v>7291.666666666667</v>
      </c>
      <c r="C192" s="3">
        <f t="shared" si="36"/>
        <v>611.77083333333337</v>
      </c>
      <c r="D192" s="64">
        <f t="shared" si="38"/>
        <v>1.7486011191047164</v>
      </c>
      <c r="E192" s="50">
        <f t="shared" si="37"/>
        <v>0</v>
      </c>
      <c r="F192" s="50">
        <f t="shared" si="31"/>
        <v>0.02</v>
      </c>
      <c r="G192" s="69">
        <f t="shared" si="32"/>
        <v>6255</v>
      </c>
      <c r="H192" s="70">
        <f t="shared" si="33"/>
        <v>8298.2999999999993</v>
      </c>
      <c r="I192" s="70">
        <f t="shared" si="34"/>
        <v>6213.3</v>
      </c>
      <c r="J192" s="53">
        <f t="shared" si="27"/>
        <v>75.425326405542279</v>
      </c>
      <c r="K192" s="53">
        <f t="shared" si="28"/>
        <v>889</v>
      </c>
      <c r="L192" s="289">
        <f t="shared" si="29"/>
        <v>813.57467359445775</v>
      </c>
      <c r="N192" s="7">
        <f t="shared" si="30"/>
        <v>9762.8960831334934</v>
      </c>
      <c r="O192" t="str">
        <f>Medicaid!G184</f>
        <v>No</v>
      </c>
      <c r="P192" t="str">
        <f>Medicaid!K184</f>
        <v>Yes</v>
      </c>
    </row>
    <row r="193" spans="1:16" ht="15" customHeight="1" x14ac:dyDescent="0.25">
      <c r="A193" s="3">
        <v>88000</v>
      </c>
      <c r="B193" s="3">
        <f t="shared" si="35"/>
        <v>7333.333333333333</v>
      </c>
      <c r="C193" s="3">
        <f t="shared" si="36"/>
        <v>615.26666666666665</v>
      </c>
      <c r="D193" s="64">
        <f t="shared" si="38"/>
        <v>1.7585931254996003</v>
      </c>
      <c r="E193" s="50">
        <f t="shared" si="37"/>
        <v>0</v>
      </c>
      <c r="F193" s="50">
        <f t="shared" si="31"/>
        <v>0.02</v>
      </c>
      <c r="G193" s="69">
        <f t="shared" si="32"/>
        <v>6255</v>
      </c>
      <c r="H193" s="70">
        <f t="shared" si="33"/>
        <v>8298.2999999999993</v>
      </c>
      <c r="I193" s="70">
        <f t="shared" si="34"/>
        <v>6213.3</v>
      </c>
      <c r="J193" s="53">
        <f t="shared" si="27"/>
        <v>78.787316813216094</v>
      </c>
      <c r="K193" s="53">
        <f t="shared" si="28"/>
        <v>889</v>
      </c>
      <c r="L193" s="289">
        <f t="shared" si="29"/>
        <v>810.21268318678392</v>
      </c>
      <c r="N193" s="7">
        <f t="shared" si="30"/>
        <v>9722.5521982414066</v>
      </c>
      <c r="O193" t="str">
        <f>Medicaid!G185</f>
        <v>No</v>
      </c>
      <c r="P193" t="str">
        <f>Medicaid!K185</f>
        <v>Yes</v>
      </c>
    </row>
    <row r="194" spans="1:16" ht="15" customHeight="1" x14ac:dyDescent="0.25">
      <c r="A194" s="3">
        <v>88500</v>
      </c>
      <c r="B194" s="3">
        <f t="shared" si="35"/>
        <v>7375</v>
      </c>
      <c r="C194" s="3">
        <f t="shared" si="36"/>
        <v>618.76250000000005</v>
      </c>
      <c r="D194" s="64">
        <f t="shared" si="38"/>
        <v>1.7685851318944845</v>
      </c>
      <c r="E194" s="50">
        <f t="shared" si="37"/>
        <v>0</v>
      </c>
      <c r="F194" s="50">
        <f t="shared" si="31"/>
        <v>0.02</v>
      </c>
      <c r="G194" s="69">
        <f t="shared" si="32"/>
        <v>6255</v>
      </c>
      <c r="H194" s="70">
        <f t="shared" si="33"/>
        <v>8298.2999999999993</v>
      </c>
      <c r="I194" s="70">
        <f t="shared" si="34"/>
        <v>6213.3</v>
      </c>
      <c r="J194" s="53">
        <f t="shared" si="27"/>
        <v>82.182613908872938</v>
      </c>
      <c r="K194" s="53">
        <f t="shared" si="28"/>
        <v>889</v>
      </c>
      <c r="L194" s="289">
        <f t="shared" si="29"/>
        <v>806.8173860911271</v>
      </c>
      <c r="N194" s="7">
        <f t="shared" si="30"/>
        <v>9681.8086330935257</v>
      </c>
      <c r="O194" t="str">
        <f>Medicaid!G186</f>
        <v>No</v>
      </c>
      <c r="P194" t="str">
        <f>Medicaid!K186</f>
        <v>Yes</v>
      </c>
    </row>
    <row r="195" spans="1:16" ht="15" customHeight="1" x14ac:dyDescent="0.25">
      <c r="A195" s="3">
        <v>89000</v>
      </c>
      <c r="B195" s="3">
        <f t="shared" si="35"/>
        <v>7416.666666666667</v>
      </c>
      <c r="C195" s="3">
        <f t="shared" si="36"/>
        <v>622.25833333333333</v>
      </c>
      <c r="D195" s="64">
        <f t="shared" si="38"/>
        <v>1.7785771382893685</v>
      </c>
      <c r="E195" s="50">
        <f t="shared" si="37"/>
        <v>0</v>
      </c>
      <c r="F195" s="50">
        <f t="shared" si="31"/>
        <v>0.02</v>
      </c>
      <c r="G195" s="69">
        <f t="shared" si="32"/>
        <v>6255</v>
      </c>
      <c r="H195" s="70">
        <f t="shared" si="33"/>
        <v>8298.2999999999993</v>
      </c>
      <c r="I195" s="70">
        <f t="shared" si="34"/>
        <v>6213.3</v>
      </c>
      <c r="J195" s="53">
        <f t="shared" si="27"/>
        <v>85.61121769251271</v>
      </c>
      <c r="K195" s="53">
        <f t="shared" si="28"/>
        <v>889</v>
      </c>
      <c r="L195" s="289">
        <f t="shared" si="29"/>
        <v>803.3887823074873</v>
      </c>
      <c r="N195" s="7">
        <f t="shared" si="30"/>
        <v>9640.6653876898472</v>
      </c>
      <c r="O195" t="str">
        <f>Medicaid!G187</f>
        <v>No</v>
      </c>
      <c r="P195" t="str">
        <f>Medicaid!K187</f>
        <v>Yes</v>
      </c>
    </row>
    <row r="196" spans="1:16" ht="15" customHeight="1" x14ac:dyDescent="0.25">
      <c r="A196" s="3">
        <v>89500</v>
      </c>
      <c r="B196" s="3">
        <f t="shared" si="35"/>
        <v>7458.333333333333</v>
      </c>
      <c r="C196" s="3">
        <f t="shared" si="36"/>
        <v>625.75416666666661</v>
      </c>
      <c r="D196" s="64">
        <f t="shared" si="38"/>
        <v>1.7885691446842524</v>
      </c>
      <c r="E196" s="50">
        <f t="shared" si="37"/>
        <v>0</v>
      </c>
      <c r="F196" s="50">
        <f t="shared" si="31"/>
        <v>0.02</v>
      </c>
      <c r="G196" s="69">
        <f t="shared" si="32"/>
        <v>6255</v>
      </c>
      <c r="H196" s="70">
        <f t="shared" si="33"/>
        <v>8298.2999999999993</v>
      </c>
      <c r="I196" s="70">
        <f t="shared" si="34"/>
        <v>6213.3</v>
      </c>
      <c r="J196" s="53">
        <f t="shared" si="27"/>
        <v>89.073128164135369</v>
      </c>
      <c r="K196" s="53">
        <f t="shared" si="28"/>
        <v>889</v>
      </c>
      <c r="L196" s="289">
        <f t="shared" si="29"/>
        <v>799.92687183586463</v>
      </c>
      <c r="N196" s="7">
        <f t="shared" si="30"/>
        <v>9599.1224620303765</v>
      </c>
      <c r="O196" t="str">
        <f>Medicaid!G188</f>
        <v>No</v>
      </c>
      <c r="P196" t="str">
        <f>Medicaid!K188</f>
        <v>Yes</v>
      </c>
    </row>
    <row r="197" spans="1:16" ht="15" customHeight="1" x14ac:dyDescent="0.25">
      <c r="A197" s="3">
        <v>90000</v>
      </c>
      <c r="B197" s="3">
        <f t="shared" si="35"/>
        <v>7500</v>
      </c>
      <c r="C197" s="3">
        <f t="shared" si="36"/>
        <v>629.25</v>
      </c>
      <c r="D197" s="64">
        <f t="shared" si="38"/>
        <v>1.7985611510791366</v>
      </c>
      <c r="E197" s="50">
        <f t="shared" si="37"/>
        <v>0</v>
      </c>
      <c r="F197" s="50">
        <f t="shared" si="31"/>
        <v>0.02</v>
      </c>
      <c r="G197" s="69">
        <f t="shared" si="32"/>
        <v>6255</v>
      </c>
      <c r="H197" s="70">
        <f t="shared" si="33"/>
        <v>8298.2999999999993</v>
      </c>
      <c r="I197" s="70">
        <f t="shared" si="34"/>
        <v>6213.3</v>
      </c>
      <c r="J197" s="53">
        <f t="shared" si="27"/>
        <v>92.568345323741042</v>
      </c>
      <c r="K197" s="53">
        <f t="shared" si="28"/>
        <v>889</v>
      </c>
      <c r="L197" s="289">
        <f t="shared" si="29"/>
        <v>796.43165467625897</v>
      </c>
      <c r="N197" s="7">
        <f t="shared" si="30"/>
        <v>9557.1798561151081</v>
      </c>
      <c r="O197" t="str">
        <f>Medicaid!G189</f>
        <v>No</v>
      </c>
      <c r="P197" t="str">
        <f>Medicaid!K189</f>
        <v>Yes</v>
      </c>
    </row>
    <row r="198" spans="1:16" ht="15" customHeight="1" x14ac:dyDescent="0.25">
      <c r="A198" s="3">
        <v>90500</v>
      </c>
      <c r="B198" s="3">
        <f t="shared" si="35"/>
        <v>7541.666666666667</v>
      </c>
      <c r="C198" s="3">
        <f t="shared" si="36"/>
        <v>632.74583333333339</v>
      </c>
      <c r="D198" s="64">
        <f t="shared" si="38"/>
        <v>1.8085531574740208</v>
      </c>
      <c r="E198" s="50">
        <f t="shared" si="37"/>
        <v>0</v>
      </c>
      <c r="F198" s="50">
        <f t="shared" si="31"/>
        <v>0.02</v>
      </c>
      <c r="G198" s="69">
        <f t="shared" si="32"/>
        <v>6255</v>
      </c>
      <c r="H198" s="70">
        <f t="shared" si="33"/>
        <v>8298.2999999999993</v>
      </c>
      <c r="I198" s="70">
        <f t="shared" si="34"/>
        <v>6213.3</v>
      </c>
      <c r="J198" s="53">
        <f t="shared" si="27"/>
        <v>96.096869171329658</v>
      </c>
      <c r="K198" s="53">
        <f t="shared" si="28"/>
        <v>889</v>
      </c>
      <c r="L198" s="289">
        <f t="shared" si="29"/>
        <v>792.90313082867033</v>
      </c>
      <c r="N198" s="7">
        <f t="shared" si="30"/>
        <v>9514.8375699440439</v>
      </c>
      <c r="O198" t="str">
        <f>Medicaid!G190</f>
        <v>No</v>
      </c>
      <c r="P198" t="str">
        <f>Medicaid!K190</f>
        <v>Yes</v>
      </c>
    </row>
    <row r="199" spans="1:16" ht="15" customHeight="1" x14ac:dyDescent="0.25">
      <c r="A199" s="3">
        <v>91000</v>
      </c>
      <c r="B199" s="3">
        <f t="shared" si="35"/>
        <v>7583.333333333333</v>
      </c>
      <c r="C199" s="3">
        <f t="shared" si="36"/>
        <v>636.24166666666667</v>
      </c>
      <c r="D199" s="64">
        <f t="shared" si="38"/>
        <v>1.8185451638689047</v>
      </c>
      <c r="E199" s="50">
        <f t="shared" si="37"/>
        <v>0</v>
      </c>
      <c r="F199" s="50">
        <f t="shared" si="31"/>
        <v>0.02</v>
      </c>
      <c r="G199" s="69">
        <f t="shared" si="32"/>
        <v>6255</v>
      </c>
      <c r="H199" s="70">
        <f t="shared" si="33"/>
        <v>8298.2999999999993</v>
      </c>
      <c r="I199" s="70">
        <f t="shared" si="34"/>
        <v>6213.3</v>
      </c>
      <c r="J199" s="53">
        <f t="shared" si="27"/>
        <v>99.658699706901146</v>
      </c>
      <c r="K199" s="53">
        <f t="shared" si="28"/>
        <v>889</v>
      </c>
      <c r="L199" s="289">
        <f t="shared" si="29"/>
        <v>789.34130029309881</v>
      </c>
      <c r="N199" s="7">
        <f t="shared" si="30"/>
        <v>9472.0956035171857</v>
      </c>
      <c r="O199" t="str">
        <f>Medicaid!G191</f>
        <v>No</v>
      </c>
      <c r="P199" t="str">
        <f>Medicaid!K191</f>
        <v>Yes</v>
      </c>
    </row>
    <row r="200" spans="1:16" ht="15" customHeight="1" x14ac:dyDescent="0.25">
      <c r="A200" s="3">
        <v>91500</v>
      </c>
      <c r="B200" s="3">
        <f t="shared" si="35"/>
        <v>7625</v>
      </c>
      <c r="C200" s="3">
        <f t="shared" si="36"/>
        <v>639.73750000000007</v>
      </c>
      <c r="D200" s="64">
        <f t="shared" si="38"/>
        <v>1.8285371702637889</v>
      </c>
      <c r="E200" s="50">
        <f t="shared" si="37"/>
        <v>0</v>
      </c>
      <c r="F200" s="50">
        <f t="shared" si="31"/>
        <v>0.02</v>
      </c>
      <c r="G200" s="69">
        <f t="shared" si="32"/>
        <v>6255</v>
      </c>
      <c r="H200" s="70">
        <f t="shared" si="33"/>
        <v>8298.2999999999993</v>
      </c>
      <c r="I200" s="70">
        <f t="shared" si="34"/>
        <v>6213.3</v>
      </c>
      <c r="J200" s="53">
        <f t="shared" si="27"/>
        <v>103.25383693045568</v>
      </c>
      <c r="K200" s="53">
        <f t="shared" si="28"/>
        <v>889</v>
      </c>
      <c r="L200" s="289">
        <f t="shared" si="29"/>
        <v>785.74616306954431</v>
      </c>
      <c r="N200" s="7">
        <f t="shared" si="30"/>
        <v>9428.9539568345317</v>
      </c>
      <c r="O200" t="str">
        <f>Medicaid!G192</f>
        <v>No</v>
      </c>
      <c r="P200" t="str">
        <f>Medicaid!K192</f>
        <v>Yes</v>
      </c>
    </row>
    <row r="201" spans="1:16" ht="15" customHeight="1" x14ac:dyDescent="0.25">
      <c r="A201" s="3">
        <v>92000</v>
      </c>
      <c r="B201" s="3">
        <f t="shared" si="35"/>
        <v>7666.666666666667</v>
      </c>
      <c r="C201" s="3">
        <f t="shared" si="36"/>
        <v>643.23333333333335</v>
      </c>
      <c r="D201" s="64">
        <f t="shared" si="38"/>
        <v>1.8385291766586731</v>
      </c>
      <c r="E201" s="50">
        <f t="shared" si="37"/>
        <v>0</v>
      </c>
      <c r="F201" s="50">
        <f t="shared" si="31"/>
        <v>0.02</v>
      </c>
      <c r="G201" s="69">
        <f t="shared" si="32"/>
        <v>6255</v>
      </c>
      <c r="H201" s="70">
        <f t="shared" si="33"/>
        <v>8298.2999999999993</v>
      </c>
      <c r="I201" s="70">
        <f t="shared" si="34"/>
        <v>6213.3</v>
      </c>
      <c r="J201" s="53">
        <f t="shared" si="27"/>
        <v>106.88228084199314</v>
      </c>
      <c r="K201" s="53">
        <f t="shared" si="28"/>
        <v>889</v>
      </c>
      <c r="L201" s="289">
        <f t="shared" si="29"/>
        <v>782.11771915800682</v>
      </c>
      <c r="N201" s="7">
        <f t="shared" si="30"/>
        <v>9385.4126298960819</v>
      </c>
      <c r="O201" t="str">
        <f>Medicaid!G193</f>
        <v>No</v>
      </c>
      <c r="P201" t="str">
        <f>Medicaid!K193</f>
        <v>Yes</v>
      </c>
    </row>
    <row r="202" spans="1:16" ht="15" customHeight="1" x14ac:dyDescent="0.25">
      <c r="A202" s="3">
        <v>92500</v>
      </c>
      <c r="B202" s="3">
        <f t="shared" si="35"/>
        <v>7708.333333333333</v>
      </c>
      <c r="C202" s="3">
        <f t="shared" si="36"/>
        <v>646.72916666666663</v>
      </c>
      <c r="D202" s="64">
        <f t="shared" si="38"/>
        <v>1.8485211830535571</v>
      </c>
      <c r="E202" s="50">
        <f t="shared" si="37"/>
        <v>0</v>
      </c>
      <c r="F202" s="50">
        <f t="shared" si="31"/>
        <v>0.02</v>
      </c>
      <c r="G202" s="69">
        <f t="shared" si="32"/>
        <v>6255</v>
      </c>
      <c r="H202" s="70">
        <f t="shared" si="33"/>
        <v>8298.2999999999993</v>
      </c>
      <c r="I202" s="70">
        <f t="shared" si="34"/>
        <v>6213.3</v>
      </c>
      <c r="J202" s="53">
        <f t="shared" si="27"/>
        <v>110.54403144151347</v>
      </c>
      <c r="K202" s="53">
        <f t="shared" si="28"/>
        <v>889</v>
      </c>
      <c r="L202" s="289">
        <f t="shared" si="29"/>
        <v>778.45596855848657</v>
      </c>
      <c r="N202" s="7">
        <f t="shared" si="30"/>
        <v>9341.4716227018398</v>
      </c>
      <c r="O202" t="str">
        <f>Medicaid!G194</f>
        <v>No</v>
      </c>
      <c r="P202" t="str">
        <f>Medicaid!K194</f>
        <v>Yes</v>
      </c>
    </row>
    <row r="203" spans="1:16" ht="15" customHeight="1" x14ac:dyDescent="0.25">
      <c r="A203" s="3">
        <v>93000</v>
      </c>
      <c r="B203" s="3">
        <f t="shared" si="35"/>
        <v>7750</v>
      </c>
      <c r="C203" s="3">
        <f t="shared" si="36"/>
        <v>650.22500000000002</v>
      </c>
      <c r="D203" s="64">
        <f t="shared" si="38"/>
        <v>1.8585131894484412</v>
      </c>
      <c r="E203" s="50">
        <f t="shared" si="37"/>
        <v>0</v>
      </c>
      <c r="F203" s="50">
        <f t="shared" si="31"/>
        <v>0.02</v>
      </c>
      <c r="G203" s="69">
        <f t="shared" si="32"/>
        <v>6255</v>
      </c>
      <c r="H203" s="70">
        <f t="shared" si="33"/>
        <v>8298.2999999999993</v>
      </c>
      <c r="I203" s="70">
        <f t="shared" si="34"/>
        <v>6213.3</v>
      </c>
      <c r="J203" s="53">
        <f t="shared" si="27"/>
        <v>114.23908872901683</v>
      </c>
      <c r="K203" s="53">
        <f t="shared" si="28"/>
        <v>889</v>
      </c>
      <c r="L203" s="289">
        <f t="shared" si="29"/>
        <v>774.76091127098312</v>
      </c>
      <c r="N203" s="7">
        <f t="shared" si="30"/>
        <v>9297.1309352517965</v>
      </c>
      <c r="O203" t="str">
        <f>Medicaid!G195</f>
        <v>No</v>
      </c>
      <c r="P203" t="str">
        <f>Medicaid!K195</f>
        <v>Yes</v>
      </c>
    </row>
    <row r="204" spans="1:16" ht="15" customHeight="1" x14ac:dyDescent="0.25">
      <c r="A204" s="3">
        <v>93500</v>
      </c>
      <c r="B204" s="3">
        <f t="shared" si="35"/>
        <v>7791.666666666667</v>
      </c>
      <c r="C204" s="3">
        <f t="shared" si="36"/>
        <v>653.72083333333342</v>
      </c>
      <c r="D204" s="64">
        <f t="shared" si="38"/>
        <v>1.8685051958433254</v>
      </c>
      <c r="E204" s="50">
        <f t="shared" si="37"/>
        <v>0</v>
      </c>
      <c r="F204" s="50">
        <f t="shared" si="31"/>
        <v>0.02</v>
      </c>
      <c r="G204" s="69">
        <f t="shared" si="32"/>
        <v>6255</v>
      </c>
      <c r="H204" s="70">
        <f t="shared" si="33"/>
        <v>8298.2999999999993</v>
      </c>
      <c r="I204" s="70">
        <f t="shared" si="34"/>
        <v>6213.3</v>
      </c>
      <c r="J204" s="53">
        <f t="shared" si="27"/>
        <v>117.96745270450315</v>
      </c>
      <c r="K204" s="53">
        <f t="shared" si="28"/>
        <v>889</v>
      </c>
      <c r="L204" s="289">
        <f t="shared" si="29"/>
        <v>771.0325472954969</v>
      </c>
      <c r="N204" s="7">
        <f t="shared" si="30"/>
        <v>9252.3905675459628</v>
      </c>
      <c r="O204" t="str">
        <f>Medicaid!G196</f>
        <v>No</v>
      </c>
      <c r="P204" t="str">
        <f>Medicaid!K196</f>
        <v>Yes</v>
      </c>
    </row>
    <row r="205" spans="1:16" ht="15" customHeight="1" x14ac:dyDescent="0.25">
      <c r="A205" s="3">
        <v>94000</v>
      </c>
      <c r="B205" s="3">
        <f t="shared" si="35"/>
        <v>7833.333333333333</v>
      </c>
      <c r="C205" s="3">
        <f t="shared" si="36"/>
        <v>657.2166666666667</v>
      </c>
      <c r="D205" s="64">
        <f t="shared" si="38"/>
        <v>1.8784972022382094</v>
      </c>
      <c r="E205" s="50">
        <f t="shared" si="37"/>
        <v>0</v>
      </c>
      <c r="F205" s="50">
        <f t="shared" si="31"/>
        <v>0.02</v>
      </c>
      <c r="G205" s="69">
        <f t="shared" si="32"/>
        <v>6255</v>
      </c>
      <c r="H205" s="70">
        <f t="shared" si="33"/>
        <v>8298.2999999999993</v>
      </c>
      <c r="I205" s="70">
        <f t="shared" si="34"/>
        <v>6213.3</v>
      </c>
      <c r="J205" s="53">
        <f t="shared" si="27"/>
        <v>121.72912336797232</v>
      </c>
      <c r="K205" s="53">
        <f t="shared" si="28"/>
        <v>889</v>
      </c>
      <c r="L205" s="289">
        <f t="shared" si="29"/>
        <v>767.27087663202769</v>
      </c>
      <c r="N205" s="7">
        <f t="shared" si="30"/>
        <v>9207.2505195843332</v>
      </c>
      <c r="O205" t="str">
        <f>Medicaid!G197</f>
        <v>No</v>
      </c>
      <c r="P205" t="str">
        <f>Medicaid!K197</f>
        <v>Yes</v>
      </c>
    </row>
    <row r="206" spans="1:16" ht="15" customHeight="1" x14ac:dyDescent="0.25">
      <c r="A206" s="3">
        <v>94500</v>
      </c>
      <c r="B206" s="3">
        <f t="shared" si="35"/>
        <v>7875</v>
      </c>
      <c r="C206" s="3">
        <f t="shared" si="36"/>
        <v>660.71249999999998</v>
      </c>
      <c r="D206" s="64">
        <f t="shared" si="38"/>
        <v>1.8884892086330936</v>
      </c>
      <c r="E206" s="50">
        <f t="shared" si="37"/>
        <v>0</v>
      </c>
      <c r="F206" s="50">
        <f t="shared" si="31"/>
        <v>0.02</v>
      </c>
      <c r="G206" s="69">
        <f t="shared" si="32"/>
        <v>6255</v>
      </c>
      <c r="H206" s="70">
        <f t="shared" si="33"/>
        <v>8298.2999999999993</v>
      </c>
      <c r="I206" s="70">
        <f t="shared" si="34"/>
        <v>6213.3</v>
      </c>
      <c r="J206" s="53">
        <f t="shared" si="27"/>
        <v>125.52410071942451</v>
      </c>
      <c r="K206" s="53">
        <f t="shared" si="28"/>
        <v>889</v>
      </c>
      <c r="L206" s="289">
        <f t="shared" si="29"/>
        <v>763.4758992805755</v>
      </c>
      <c r="N206" s="7">
        <f t="shared" si="30"/>
        <v>9161.7107913669061</v>
      </c>
      <c r="O206" t="str">
        <f>Medicaid!G198</f>
        <v>No</v>
      </c>
      <c r="P206" t="str">
        <f>Medicaid!K198</f>
        <v>Yes</v>
      </c>
    </row>
    <row r="207" spans="1:16" ht="15" customHeight="1" x14ac:dyDescent="0.25">
      <c r="A207" s="3">
        <v>95000</v>
      </c>
      <c r="B207" s="3">
        <f t="shared" si="35"/>
        <v>7916.666666666667</v>
      </c>
      <c r="C207" s="3">
        <f t="shared" si="36"/>
        <v>664.20833333333337</v>
      </c>
      <c r="D207" s="64">
        <f t="shared" si="38"/>
        <v>1.8984812150279777</v>
      </c>
      <c r="E207" s="50">
        <f t="shared" si="37"/>
        <v>0</v>
      </c>
      <c r="F207" s="50">
        <f t="shared" si="31"/>
        <v>0.02</v>
      </c>
      <c r="G207" s="69">
        <f t="shared" si="32"/>
        <v>6255</v>
      </c>
      <c r="H207" s="70">
        <f t="shared" si="33"/>
        <v>8298.2999999999993</v>
      </c>
      <c r="I207" s="70">
        <f t="shared" si="34"/>
        <v>6213.3</v>
      </c>
      <c r="J207" s="53">
        <f t="shared" si="27"/>
        <v>129.35238475885964</v>
      </c>
      <c r="K207" s="53">
        <f t="shared" si="28"/>
        <v>889</v>
      </c>
      <c r="L207" s="289">
        <f t="shared" si="29"/>
        <v>759.64761524114033</v>
      </c>
      <c r="N207" s="7">
        <f t="shared" si="30"/>
        <v>9115.771382893683</v>
      </c>
      <c r="O207" t="str">
        <f>Medicaid!G199</f>
        <v>No</v>
      </c>
      <c r="P207" t="str">
        <f>Medicaid!K199</f>
        <v>Yes</v>
      </c>
    </row>
    <row r="208" spans="1:16" ht="15" customHeight="1" x14ac:dyDescent="0.25">
      <c r="A208" s="3">
        <v>95500</v>
      </c>
      <c r="B208" s="3">
        <f t="shared" si="35"/>
        <v>7958.333333333333</v>
      </c>
      <c r="C208" s="3">
        <f t="shared" si="36"/>
        <v>667.70416666666665</v>
      </c>
      <c r="D208" s="64">
        <f t="shared" si="38"/>
        <v>1.9084732214228617</v>
      </c>
      <c r="E208" s="50">
        <f t="shared" si="37"/>
        <v>0</v>
      </c>
      <c r="F208" s="50">
        <f t="shared" si="31"/>
        <v>0.02</v>
      </c>
      <c r="G208" s="69">
        <f t="shared" si="32"/>
        <v>6255</v>
      </c>
      <c r="H208" s="70">
        <f t="shared" si="33"/>
        <v>8298.2999999999993</v>
      </c>
      <c r="I208" s="70">
        <f t="shared" si="34"/>
        <v>6213.3</v>
      </c>
      <c r="J208" s="53">
        <f t="shared" si="27"/>
        <v>133.21397548627769</v>
      </c>
      <c r="K208" s="53">
        <f t="shared" si="28"/>
        <v>889</v>
      </c>
      <c r="L208" s="289">
        <f t="shared" si="29"/>
        <v>755.78602451372228</v>
      </c>
      <c r="N208" s="7">
        <f t="shared" si="30"/>
        <v>9069.4322941646678</v>
      </c>
      <c r="O208" t="str">
        <f>Medicaid!G200</f>
        <v>No</v>
      </c>
      <c r="P208" t="str">
        <f>Medicaid!K200</f>
        <v>Yes</v>
      </c>
    </row>
    <row r="209" spans="1:16" ht="15" customHeight="1" x14ac:dyDescent="0.25">
      <c r="A209" s="3">
        <v>96000</v>
      </c>
      <c r="B209" s="3">
        <f t="shared" si="35"/>
        <v>8000</v>
      </c>
      <c r="C209" s="3">
        <f t="shared" si="36"/>
        <v>671.2</v>
      </c>
      <c r="D209" s="64">
        <f t="shared" si="38"/>
        <v>1.9184652278177459</v>
      </c>
      <c r="E209" s="50">
        <f t="shared" si="37"/>
        <v>0</v>
      </c>
      <c r="F209" s="50">
        <f t="shared" si="31"/>
        <v>0.02</v>
      </c>
      <c r="G209" s="69">
        <f t="shared" si="32"/>
        <v>6255</v>
      </c>
      <c r="H209" s="70">
        <f t="shared" si="33"/>
        <v>8298.2999999999993</v>
      </c>
      <c r="I209" s="70">
        <f t="shared" si="34"/>
        <v>6213.3</v>
      </c>
      <c r="J209" s="53">
        <f t="shared" si="27"/>
        <v>137.10887290167869</v>
      </c>
      <c r="K209" s="53">
        <f t="shared" si="28"/>
        <v>889</v>
      </c>
      <c r="L209" s="289">
        <f t="shared" si="29"/>
        <v>751.89112709832125</v>
      </c>
      <c r="N209" s="7">
        <f t="shared" si="30"/>
        <v>9022.693525179855</v>
      </c>
      <c r="O209" t="str">
        <f>Medicaid!G201</f>
        <v>No</v>
      </c>
      <c r="P209" t="str">
        <f>Medicaid!K201</f>
        <v>Yes</v>
      </c>
    </row>
    <row r="210" spans="1:16" ht="15" customHeight="1" x14ac:dyDescent="0.25">
      <c r="A210" s="3">
        <v>96500</v>
      </c>
      <c r="B210" s="3">
        <f t="shared" si="35"/>
        <v>8041.666666666667</v>
      </c>
      <c r="C210" s="3">
        <f t="shared" si="36"/>
        <v>674.69583333333333</v>
      </c>
      <c r="D210" s="64">
        <f t="shared" si="38"/>
        <v>1.92845723421263</v>
      </c>
      <c r="E210" s="50">
        <f t="shared" si="37"/>
        <v>0</v>
      </c>
      <c r="F210" s="50">
        <f t="shared" si="31"/>
        <v>0.02</v>
      </c>
      <c r="G210" s="69">
        <f t="shared" si="32"/>
        <v>6255</v>
      </c>
      <c r="H210" s="70">
        <f t="shared" si="33"/>
        <v>8298.2999999999993</v>
      </c>
      <c r="I210" s="70">
        <f t="shared" si="34"/>
        <v>6213.3</v>
      </c>
      <c r="J210" s="53">
        <f t="shared" ref="J210:J217" si="39">B210*(E210+(B210-I210)*(F210-E210)/(H210-I210))</f>
        <v>141.03707700506268</v>
      </c>
      <c r="K210" s="53">
        <f t="shared" ref="K210:K217" si="40">SUM(IF(O210="Yes",0,$C$12),IF(P210="Yes",0,$C$13))</f>
        <v>889</v>
      </c>
      <c r="L210" s="289">
        <f t="shared" ref="L210:L217" si="41">MAX(0,K210-J210)</f>
        <v>747.96292299493734</v>
      </c>
      <c r="N210" s="7">
        <f t="shared" ref="N210:N217" si="42">MAX(0,L210*12)</f>
        <v>8975.5550759392481</v>
      </c>
      <c r="O210" t="str">
        <f>Medicaid!G202</f>
        <v>No</v>
      </c>
      <c r="P210" t="str">
        <f>Medicaid!K202</f>
        <v>Yes</v>
      </c>
    </row>
    <row r="211" spans="1:16" ht="15" customHeight="1" x14ac:dyDescent="0.25">
      <c r="A211" s="3">
        <v>97000</v>
      </c>
      <c r="B211" s="3">
        <f t="shared" si="35"/>
        <v>8083.333333333333</v>
      </c>
      <c r="C211" s="3">
        <f t="shared" si="36"/>
        <v>678.19166666666661</v>
      </c>
      <c r="D211" s="64">
        <f t="shared" si="38"/>
        <v>1.938449240607514</v>
      </c>
      <c r="E211" s="50">
        <f t="shared" si="37"/>
        <v>0</v>
      </c>
      <c r="F211" s="50">
        <f t="shared" ref="F211:F217" si="43">IF(D211&gt;3.99,0.085,IF(D211&gt;2.99,0.085,IF(D211&gt;2.49,0.06,IF(D211&gt;1.99,0.04,IF(D211&gt;1.49,0.02,0)))))</f>
        <v>0.02</v>
      </c>
      <c r="G211" s="69">
        <f t="shared" ref="G211:G217" si="44">IF(D211&gt;3.99,$M$7,IF(D211&gt;2.99,$M$6,IF(D211&gt;2.49,$M$5,IF(D211&gt;1.99,$M$4,IF(D211&gt;1.49,$M$3,0)))))</f>
        <v>6255</v>
      </c>
      <c r="H211" s="70">
        <f t="shared" ref="H211:H217" si="45">IF(D211&gt;3.99,$N$7,IF(D211&gt;2.99,$N$6,IF(D211&gt;2.49,$N$5,IF(D211&gt;1.99,$N$4,IF(D211&gt;1.49,$N$3,IF(D211&gt;=0,$N$2,0))))))</f>
        <v>8298.2999999999993</v>
      </c>
      <c r="I211" s="70">
        <f t="shared" ref="I211:I217" si="46">IF(D211&gt;3.99,$N$6,IF(D211&gt;2.99,$N$5,IF(D211&gt;2.49,$N$4,IF(D211&gt;1.99,$N$3,IF(D211&gt;1.49,$N$2,IF(D211&gt;=0,0))))))</f>
        <v>6213.3</v>
      </c>
      <c r="J211" s="53">
        <f t="shared" si="39"/>
        <v>144.99858779642955</v>
      </c>
      <c r="K211" s="53">
        <f t="shared" si="40"/>
        <v>889</v>
      </c>
      <c r="L211" s="289">
        <f t="shared" si="41"/>
        <v>744.00141220357045</v>
      </c>
      <c r="N211" s="7">
        <f t="shared" si="42"/>
        <v>8928.0169464428454</v>
      </c>
      <c r="O211" t="str">
        <f>Medicaid!G203</f>
        <v>No</v>
      </c>
      <c r="P211" t="str">
        <f>Medicaid!K203</f>
        <v>Yes</v>
      </c>
    </row>
    <row r="212" spans="1:16" ht="15" customHeight="1" x14ac:dyDescent="0.25">
      <c r="A212" s="3">
        <v>97500</v>
      </c>
      <c r="B212" s="3">
        <f t="shared" ref="B212:B217" si="47">A212/12</f>
        <v>8125</v>
      </c>
      <c r="C212" s="3">
        <f t="shared" ref="C212:C217" si="48">B212*0.0839</f>
        <v>681.6875</v>
      </c>
      <c r="D212" s="64">
        <f t="shared" si="38"/>
        <v>1.9484412470023982</v>
      </c>
      <c r="E212" s="50">
        <f t="shared" si="37"/>
        <v>0</v>
      </c>
      <c r="F212" s="50">
        <f t="shared" si="43"/>
        <v>0.02</v>
      </c>
      <c r="G212" s="69">
        <f t="shared" si="44"/>
        <v>6255</v>
      </c>
      <c r="H212" s="70">
        <f t="shared" si="45"/>
        <v>8298.2999999999993</v>
      </c>
      <c r="I212" s="70">
        <f t="shared" si="46"/>
        <v>6213.3</v>
      </c>
      <c r="J212" s="53">
        <f t="shared" si="39"/>
        <v>148.99340527577942</v>
      </c>
      <c r="K212" s="53">
        <f t="shared" si="40"/>
        <v>889</v>
      </c>
      <c r="L212" s="289">
        <f t="shared" si="41"/>
        <v>740.00659472422058</v>
      </c>
      <c r="N212" s="7">
        <f t="shared" si="42"/>
        <v>8880.0791366906469</v>
      </c>
      <c r="O212" t="str">
        <f>Medicaid!G204</f>
        <v>No</v>
      </c>
      <c r="P212" t="str">
        <f>Medicaid!K204</f>
        <v>Yes</v>
      </c>
    </row>
    <row r="213" spans="1:16" ht="15" customHeight="1" x14ac:dyDescent="0.25">
      <c r="A213" s="3">
        <v>98000</v>
      </c>
      <c r="B213" s="3">
        <f t="shared" si="47"/>
        <v>8166.666666666667</v>
      </c>
      <c r="C213" s="3">
        <f t="shared" si="48"/>
        <v>685.18333333333339</v>
      </c>
      <c r="D213" s="64">
        <f t="shared" si="38"/>
        <v>1.9584332533972821</v>
      </c>
      <c r="E213" s="50">
        <f t="shared" si="37"/>
        <v>0</v>
      </c>
      <c r="F213" s="50">
        <f t="shared" si="43"/>
        <v>0.02</v>
      </c>
      <c r="G213" s="69">
        <f t="shared" si="44"/>
        <v>6255</v>
      </c>
      <c r="H213" s="70">
        <f t="shared" si="45"/>
        <v>8298.2999999999993</v>
      </c>
      <c r="I213" s="70">
        <f t="shared" si="46"/>
        <v>6213.3</v>
      </c>
      <c r="J213" s="53">
        <f t="shared" si="39"/>
        <v>153.02152944311229</v>
      </c>
      <c r="K213" s="53">
        <f t="shared" si="40"/>
        <v>889</v>
      </c>
      <c r="L213" s="289">
        <f t="shared" si="41"/>
        <v>735.97847055688771</v>
      </c>
      <c r="N213" s="7">
        <f t="shared" si="42"/>
        <v>8831.7416466826526</v>
      </c>
      <c r="O213" t="str">
        <f>Medicaid!G205</f>
        <v>No</v>
      </c>
      <c r="P213" t="str">
        <f>Medicaid!K205</f>
        <v>Yes</v>
      </c>
    </row>
    <row r="214" spans="1:16" ht="15" customHeight="1" x14ac:dyDescent="0.25">
      <c r="A214" s="3">
        <v>98500</v>
      </c>
      <c r="B214" s="3">
        <f t="shared" si="47"/>
        <v>8208.3333333333339</v>
      </c>
      <c r="C214" s="3">
        <f t="shared" si="48"/>
        <v>688.67916666666679</v>
      </c>
      <c r="D214" s="64">
        <f t="shared" si="38"/>
        <v>1.9684252597921663</v>
      </c>
      <c r="E214" s="50">
        <f t="shared" si="37"/>
        <v>0</v>
      </c>
      <c r="F214" s="50">
        <f t="shared" si="43"/>
        <v>0.02</v>
      </c>
      <c r="G214" s="69">
        <f t="shared" si="44"/>
        <v>6255</v>
      </c>
      <c r="H214" s="70">
        <f t="shared" si="45"/>
        <v>8298.2999999999993</v>
      </c>
      <c r="I214" s="70">
        <f t="shared" si="46"/>
        <v>6213.3</v>
      </c>
      <c r="J214" s="53">
        <f t="shared" si="39"/>
        <v>157.08296029842802</v>
      </c>
      <c r="K214" s="53">
        <f t="shared" si="40"/>
        <v>889</v>
      </c>
      <c r="L214" s="289">
        <f t="shared" si="41"/>
        <v>731.91703970157198</v>
      </c>
      <c r="N214" s="7">
        <f t="shared" si="42"/>
        <v>8783.0044764188642</v>
      </c>
      <c r="O214" t="str">
        <f>Medicaid!G206</f>
        <v>No</v>
      </c>
      <c r="P214" t="str">
        <f>Medicaid!K206</f>
        <v>Yes</v>
      </c>
    </row>
    <row r="215" spans="1:16" ht="15" customHeight="1" x14ac:dyDescent="0.25">
      <c r="A215" s="3">
        <v>99000</v>
      </c>
      <c r="B215" s="3">
        <f t="shared" si="47"/>
        <v>8250</v>
      </c>
      <c r="C215" s="3">
        <f t="shared" si="48"/>
        <v>692.17500000000007</v>
      </c>
      <c r="D215" s="64">
        <f t="shared" si="38"/>
        <v>1.9784172661870503</v>
      </c>
      <c r="E215" s="50">
        <f t="shared" si="37"/>
        <v>0</v>
      </c>
      <c r="F215" s="50">
        <f t="shared" si="43"/>
        <v>0.02</v>
      </c>
      <c r="G215" s="69">
        <f t="shared" si="44"/>
        <v>6255</v>
      </c>
      <c r="H215" s="70">
        <f t="shared" si="45"/>
        <v>8298.2999999999993</v>
      </c>
      <c r="I215" s="70">
        <f t="shared" si="46"/>
        <v>6213.3</v>
      </c>
      <c r="J215" s="53">
        <f t="shared" si="39"/>
        <v>161.17769784172668</v>
      </c>
      <c r="K215" s="53">
        <f t="shared" si="40"/>
        <v>889</v>
      </c>
      <c r="L215" s="289">
        <f t="shared" si="41"/>
        <v>727.82230215827326</v>
      </c>
      <c r="N215" s="7">
        <f t="shared" si="42"/>
        <v>8733.8676258992782</v>
      </c>
      <c r="O215" t="str">
        <f>Medicaid!G207</f>
        <v>No</v>
      </c>
      <c r="P215" t="str">
        <f>Medicaid!K207</f>
        <v>Yes</v>
      </c>
    </row>
    <row r="216" spans="1:16" ht="15" customHeight="1" x14ac:dyDescent="0.25">
      <c r="A216" s="3">
        <v>99500</v>
      </c>
      <c r="B216" s="3">
        <f t="shared" si="47"/>
        <v>8291.6666666666661</v>
      </c>
      <c r="C216" s="3">
        <f t="shared" si="48"/>
        <v>695.67083333333335</v>
      </c>
      <c r="D216" s="64">
        <f t="shared" si="38"/>
        <v>1.9884092725819342</v>
      </c>
      <c r="E216" s="50">
        <f t="shared" si="37"/>
        <v>0</v>
      </c>
      <c r="F216" s="50">
        <f t="shared" si="43"/>
        <v>0.02</v>
      </c>
      <c r="G216" s="69">
        <f t="shared" si="44"/>
        <v>6255</v>
      </c>
      <c r="H216" s="70">
        <f t="shared" si="45"/>
        <v>8298.2999999999993</v>
      </c>
      <c r="I216" s="70">
        <f t="shared" si="46"/>
        <v>6213.3</v>
      </c>
      <c r="J216" s="53">
        <f t="shared" si="39"/>
        <v>165.30574207300825</v>
      </c>
      <c r="K216" s="53">
        <f t="shared" si="40"/>
        <v>889</v>
      </c>
      <c r="L216" s="289">
        <f t="shared" si="41"/>
        <v>723.69425792699178</v>
      </c>
      <c r="N216" s="7">
        <f t="shared" si="42"/>
        <v>8684.3310951239018</v>
      </c>
      <c r="O216" t="str">
        <f>Medicaid!G208</f>
        <v>No</v>
      </c>
      <c r="P216" t="str">
        <f>Medicaid!K208</f>
        <v>Yes</v>
      </c>
    </row>
    <row r="217" spans="1:16" ht="15" customHeight="1" x14ac:dyDescent="0.25">
      <c r="A217" s="3">
        <v>100000</v>
      </c>
      <c r="B217" s="3">
        <f t="shared" si="47"/>
        <v>8333.3333333333339</v>
      </c>
      <c r="C217" s="3">
        <f t="shared" si="48"/>
        <v>699.16666666666674</v>
      </c>
      <c r="D217" s="64">
        <f t="shared" si="38"/>
        <v>1.9984012789768186</v>
      </c>
      <c r="E217" s="50">
        <f t="shared" si="37"/>
        <v>0.02</v>
      </c>
      <c r="F217" s="50">
        <f t="shared" si="43"/>
        <v>0.04</v>
      </c>
      <c r="G217" s="69">
        <f t="shared" si="44"/>
        <v>8340</v>
      </c>
      <c r="H217" s="70">
        <f t="shared" si="45"/>
        <v>10383.300000000001</v>
      </c>
      <c r="I217" s="70">
        <f t="shared" si="46"/>
        <v>8298.2999999999993</v>
      </c>
      <c r="J217" s="53">
        <f t="shared" si="39"/>
        <v>169.46709299227297</v>
      </c>
      <c r="K217" s="53">
        <f t="shared" si="40"/>
        <v>1264</v>
      </c>
      <c r="L217" s="289">
        <f t="shared" si="41"/>
        <v>1094.5329070077271</v>
      </c>
      <c r="N217" s="7">
        <f t="shared" si="42"/>
        <v>13134.394884092726</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500</v>
      </c>
      <c r="C220" s="3">
        <f>B220*0.0839</f>
        <v>41.95</v>
      </c>
      <c r="D220" s="64">
        <f>B220/$K$2</f>
        <v>0.11990407673860912</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6213.3</v>
      </c>
      <c r="I220" s="70">
        <f>IF(D220&gt;3.99,$N$6,IF(D220&gt;2.99,$N$5,IF(D220&gt;2.49,$N$4,IF(D220&gt;1.99,$N$3,IF(D220&gt;1.49,$N$2,IF(D220&gt;=0,0))))))</f>
        <v>0</v>
      </c>
      <c r="J220" s="53">
        <f>B220*(E220+(B220-I220)*(F220-E220)/(H220-I220))</f>
        <v>0</v>
      </c>
      <c r="K220" s="53">
        <f>$C$12</f>
        <v>889</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500</v>
      </c>
      <c r="C222" s="3">
        <f>B222*0.0839</f>
        <v>41.95</v>
      </c>
      <c r="D222" s="64">
        <f>B222/$K$2</f>
        <v>0.11990407673860912</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6213.3</v>
      </c>
      <c r="I222" s="70">
        <f>IF(D222&gt;3.99,$N$6,IF(D222&gt;2.99,$N$5,IF(D222&gt;2.49,$N$4,IF(D222&gt;1.99,$N$3,IF(D222&gt;1.49,$N$2,IF(D222&gt;=0,0))))))</f>
        <v>0</v>
      </c>
      <c r="J222" s="53">
        <f>B222*(E222+(B222-I222)*(F222-E222)/(H222-I222))</f>
        <v>0</v>
      </c>
      <c r="K222" s="53">
        <f>$C$12</f>
        <v>889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7</v>
      </c>
      <c r="C2" s="77">
        <f>'Total income package'!B30</f>
        <v>4</v>
      </c>
      <c r="D2" s="77">
        <f>'Total income package'!B31</f>
        <v>3</v>
      </c>
      <c r="E2" s="77">
        <f>ROUNDUP(C2/2,0)</f>
        <v>2</v>
      </c>
      <c r="F2" s="77">
        <f>ROUNDDOWN(D2/2,0)</f>
        <v>1</v>
      </c>
      <c r="G2" s="77">
        <f>'Total income package'!D13</f>
        <v>4</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6458.333333333333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577</v>
      </c>
      <c r="D6" s="4">
        <f>'Total income package'!$D$80</f>
        <v>0</v>
      </c>
      <c r="E6" s="4">
        <f>'Total income package'!$H$61+'Total income package'!$F$66</f>
        <v>200</v>
      </c>
      <c r="F6" s="4">
        <f>B6+C6+D6+E6</f>
        <v>777</v>
      </c>
      <c r="G6" s="181" t="str">
        <f>IF(F6&lt;$L$2,"Yes","No")</f>
        <v>Yes</v>
      </c>
      <c r="H6" s="3">
        <f>40*($D$2+$I$2)</f>
        <v>120</v>
      </c>
      <c r="I6" s="3">
        <f>IF($H$2+$J$2&gt;0,33.33,0)</f>
        <v>33.33</v>
      </c>
      <c r="J6" s="3">
        <f t="shared" ref="J6:J69" si="1">IF(F6-H6-I6&lt;0,0,F6-H6-I6)</f>
        <v>623.66999999999996</v>
      </c>
      <c r="K6" s="3">
        <f>J6*0.3</f>
        <v>187.10099999999997</v>
      </c>
      <c r="L6" s="3">
        <f t="shared" ref="L6:L69" si="2">F6*0.1</f>
        <v>77.7</v>
      </c>
      <c r="M6" s="3">
        <v>50</v>
      </c>
      <c r="N6" s="3">
        <f>MAX(K6:M6)</f>
        <v>187.10099999999997</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 s="337">
        <f>IF(AND(G6="Yes",'Total income package'!$A$14=TRUE,P6-N6&gt;0),P6-N6,0)</f>
        <v>1300.8990000000001</v>
      </c>
      <c r="R6" s="24"/>
      <c r="S6" s="28"/>
    </row>
    <row r="7" spans="1:21" x14ac:dyDescent="0.25">
      <c r="A7" s="117">
        <v>500</v>
      </c>
      <c r="B7" s="4">
        <f t="shared" si="0"/>
        <v>41.666666666666664</v>
      </c>
      <c r="C7" s="4">
        <f>MAX('TANF-VIEW'!L10,'TANF-VIEW'!T10)</f>
        <v>577</v>
      </c>
      <c r="D7" s="4">
        <f>'Total income package'!$D$80</f>
        <v>0</v>
      </c>
      <c r="E7" s="4">
        <f>'Total income package'!$H$61+'Total income package'!$F$66</f>
        <v>200</v>
      </c>
      <c r="F7" s="4">
        <f t="shared" ref="F7:F70" si="3">B7+C7+D7+E7</f>
        <v>818.66666666666663</v>
      </c>
      <c r="G7" s="181" t="str">
        <f t="shared" ref="G7:G70" si="4">IF(F7&lt;$L$2,"Yes","No")</f>
        <v>Yes</v>
      </c>
      <c r="H7" s="3">
        <f t="shared" ref="H7:H70" si="5">40*($D$2+$I$2)</f>
        <v>120</v>
      </c>
      <c r="I7" s="3">
        <f t="shared" ref="I7:I70" si="6">IF($H$2+$I$2&gt;0,33.33,0)</f>
        <v>33.33</v>
      </c>
      <c r="J7" s="3">
        <f t="shared" si="1"/>
        <v>665.33666666666659</v>
      </c>
      <c r="K7" s="3">
        <f t="shared" ref="K7:K69" si="7">J7*0.3</f>
        <v>199.60099999999997</v>
      </c>
      <c r="L7" s="3">
        <f t="shared" si="2"/>
        <v>81.866666666666674</v>
      </c>
      <c r="M7" s="3">
        <v>50</v>
      </c>
      <c r="N7" s="3">
        <f t="shared" ref="N7:N71" si="8">MAX(K7:M7)</f>
        <v>199.60099999999997</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 s="337">
        <f>IF(AND(G7="Yes",'Total income package'!$A$14=TRUE,P7-N7&gt;0),P7-N7,0)</f>
        <v>1288.3990000000001</v>
      </c>
      <c r="R7" s="29"/>
      <c r="S7" s="7"/>
    </row>
    <row r="8" spans="1:21" x14ac:dyDescent="0.25">
      <c r="A8" s="182">
        <v>1000</v>
      </c>
      <c r="B8" s="4">
        <f t="shared" si="0"/>
        <v>83.333333333333329</v>
      </c>
      <c r="C8" s="4">
        <f>MAX('TANF-VIEW'!L11,'TANF-VIEW'!T11)</f>
        <v>577</v>
      </c>
      <c r="D8" s="4">
        <f>'Total income package'!$D$80</f>
        <v>0</v>
      </c>
      <c r="E8" s="4">
        <f>'Total income package'!$H$61+'Total income package'!$F$66</f>
        <v>200</v>
      </c>
      <c r="F8" s="4">
        <f t="shared" si="3"/>
        <v>860.33333333333337</v>
      </c>
      <c r="G8" s="181" t="str">
        <f t="shared" si="4"/>
        <v>Yes</v>
      </c>
      <c r="H8" s="3">
        <f t="shared" si="5"/>
        <v>120</v>
      </c>
      <c r="I8" s="3">
        <f t="shared" si="6"/>
        <v>33.33</v>
      </c>
      <c r="J8" s="3">
        <f t="shared" si="1"/>
        <v>707.00333333333333</v>
      </c>
      <c r="K8" s="3">
        <f t="shared" si="7"/>
        <v>212.101</v>
      </c>
      <c r="L8" s="3">
        <f t="shared" si="2"/>
        <v>86.033333333333346</v>
      </c>
      <c r="M8" s="3">
        <v>50</v>
      </c>
      <c r="N8" s="3">
        <f t="shared" si="8"/>
        <v>212.101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 s="337">
        <f>IF(AND(G8="Yes",'Total income package'!$A$14=TRUE,P8-N8&gt;0),P8-N8,0)</f>
        <v>1275.8989999999999</v>
      </c>
      <c r="R8" s="29"/>
    </row>
    <row r="9" spans="1:21" x14ac:dyDescent="0.25">
      <c r="A9" s="182">
        <v>1500</v>
      </c>
      <c r="B9" s="4">
        <f t="shared" si="0"/>
        <v>125</v>
      </c>
      <c r="C9" s="4">
        <f>MAX('TANF-VIEW'!L12,'TANF-VIEW'!T12)</f>
        <v>577</v>
      </c>
      <c r="D9" s="4">
        <f>'Total income package'!$D$80</f>
        <v>0</v>
      </c>
      <c r="E9" s="4">
        <f>'Total income package'!$H$61+'Total income package'!$F$66</f>
        <v>200</v>
      </c>
      <c r="F9" s="4">
        <f t="shared" si="3"/>
        <v>902</v>
      </c>
      <c r="G9" s="181" t="str">
        <f t="shared" si="4"/>
        <v>Yes</v>
      </c>
      <c r="H9" s="3">
        <f t="shared" si="5"/>
        <v>120</v>
      </c>
      <c r="I9" s="3">
        <f t="shared" si="6"/>
        <v>33.33</v>
      </c>
      <c r="J9" s="3">
        <f t="shared" si="1"/>
        <v>748.67</v>
      </c>
      <c r="K9" s="3">
        <f t="shared" si="7"/>
        <v>224.60099999999997</v>
      </c>
      <c r="L9" s="3">
        <f t="shared" si="2"/>
        <v>90.2</v>
      </c>
      <c r="M9" s="3">
        <v>50</v>
      </c>
      <c r="N9" s="3">
        <f>MAX(K9:M9)</f>
        <v>224.60099999999997</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 s="337">
        <f>IF(AND(G9="Yes",'Total income package'!$A$14=TRUE,P9-N9&gt;0),P9-N9,0)</f>
        <v>1263.3990000000001</v>
      </c>
      <c r="R9" s="29"/>
    </row>
    <row r="10" spans="1:21" x14ac:dyDescent="0.25">
      <c r="A10" s="182">
        <v>2000</v>
      </c>
      <c r="B10" s="4">
        <f t="shared" si="0"/>
        <v>166.66666666666666</v>
      </c>
      <c r="C10" s="4">
        <f>MAX('TANF-VIEW'!L13,'TANF-VIEW'!T13)</f>
        <v>577</v>
      </c>
      <c r="D10" s="4">
        <f>'Total income package'!$D$80</f>
        <v>0</v>
      </c>
      <c r="E10" s="4">
        <f>'Total income package'!$H$61+'Total income package'!$F$66</f>
        <v>200</v>
      </c>
      <c r="F10" s="4">
        <f t="shared" si="3"/>
        <v>943.66666666666663</v>
      </c>
      <c r="G10" s="181" t="str">
        <f t="shared" si="4"/>
        <v>Yes</v>
      </c>
      <c r="H10" s="3">
        <f t="shared" si="5"/>
        <v>120</v>
      </c>
      <c r="I10" s="3">
        <f t="shared" si="6"/>
        <v>33.33</v>
      </c>
      <c r="J10" s="3">
        <f t="shared" si="1"/>
        <v>790.33666666666659</v>
      </c>
      <c r="K10" s="3">
        <f t="shared" si="7"/>
        <v>237.10099999999997</v>
      </c>
      <c r="L10" s="3">
        <f t="shared" si="2"/>
        <v>94.366666666666674</v>
      </c>
      <c r="M10" s="3">
        <v>50</v>
      </c>
      <c r="N10" s="3">
        <f t="shared" si="8"/>
        <v>237.10099999999997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 s="337">
        <f>IF(AND(G10="Yes",'Total income package'!$A$14=TRUE,P10-N10&gt;0),P10-N10,0)</f>
        <v>1250.8990000000001</v>
      </c>
      <c r="R10" s="29"/>
    </row>
    <row r="11" spans="1:21" x14ac:dyDescent="0.25">
      <c r="A11" s="182">
        <v>2500</v>
      </c>
      <c r="B11" s="4">
        <f t="shared" si="0"/>
        <v>208.33333333333334</v>
      </c>
      <c r="C11" s="4">
        <f>MAX('TANF-VIEW'!L14,'TANF-VIEW'!T14)</f>
        <v>577</v>
      </c>
      <c r="D11" s="4">
        <f>'Total income package'!$D$80</f>
        <v>0</v>
      </c>
      <c r="E11" s="4">
        <f>'Total income package'!$H$61+'Total income package'!$F$66</f>
        <v>200</v>
      </c>
      <c r="F11" s="4">
        <f t="shared" si="3"/>
        <v>985.33333333333337</v>
      </c>
      <c r="G11" s="181" t="str">
        <f t="shared" si="4"/>
        <v>Yes</v>
      </c>
      <c r="H11" s="3">
        <f t="shared" si="5"/>
        <v>120</v>
      </c>
      <c r="I11" s="3">
        <f t="shared" si="6"/>
        <v>33.33</v>
      </c>
      <c r="J11" s="3">
        <f t="shared" si="1"/>
        <v>832.00333333333333</v>
      </c>
      <c r="K11" s="3">
        <f t="shared" si="7"/>
        <v>249.601</v>
      </c>
      <c r="L11" s="3">
        <f t="shared" si="2"/>
        <v>98.533333333333346</v>
      </c>
      <c r="M11" s="3">
        <v>50</v>
      </c>
      <c r="N11" s="3">
        <f t="shared" si="8"/>
        <v>249.601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 s="337">
        <f>IF(AND(G11="Yes",'Total income package'!$A$14=TRUE,P11-N11&gt;0),P11-N11,0)</f>
        <v>1238.3989999999999</v>
      </c>
      <c r="R11" s="29"/>
    </row>
    <row r="12" spans="1:21" x14ac:dyDescent="0.25">
      <c r="A12" s="182">
        <v>3000</v>
      </c>
      <c r="B12" s="4">
        <f t="shared" si="0"/>
        <v>250</v>
      </c>
      <c r="C12" s="4">
        <f>MAX('TANF-VIEW'!L15,'TANF-VIEW'!T15)</f>
        <v>555.4</v>
      </c>
      <c r="D12" s="4">
        <f>'Total income package'!$D$80</f>
        <v>0</v>
      </c>
      <c r="E12" s="4">
        <f>'Total income package'!$H$61+'Total income package'!$F$66</f>
        <v>200</v>
      </c>
      <c r="F12" s="4">
        <f t="shared" si="3"/>
        <v>1005.4</v>
      </c>
      <c r="G12" s="181" t="str">
        <f t="shared" si="4"/>
        <v>Yes</v>
      </c>
      <c r="H12" s="3">
        <f t="shared" si="5"/>
        <v>120</v>
      </c>
      <c r="I12" s="3">
        <f t="shared" si="6"/>
        <v>33.33</v>
      </c>
      <c r="J12" s="3">
        <f t="shared" si="1"/>
        <v>852.06999999999994</v>
      </c>
      <c r="K12" s="3">
        <f t="shared" si="7"/>
        <v>255.62099999999998</v>
      </c>
      <c r="L12" s="3">
        <f t="shared" si="2"/>
        <v>100.54</v>
      </c>
      <c r="M12" s="3">
        <v>50</v>
      </c>
      <c r="N12" s="3">
        <f t="shared" si="8"/>
        <v>255.62099999999998</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 s="337">
        <f>IF(AND(G12="Yes",'Total income package'!$A$14=TRUE,P12-N12&gt;0),P12-N12,0)</f>
        <v>1232.3789999999999</v>
      </c>
      <c r="R12" s="29"/>
    </row>
    <row r="13" spans="1:21" x14ac:dyDescent="0.25">
      <c r="A13" s="182">
        <v>3500</v>
      </c>
      <c r="B13" s="4">
        <f t="shared" si="0"/>
        <v>291.66666666666669</v>
      </c>
      <c r="C13" s="4">
        <f>MAX('TANF-VIEW'!L16,'TANF-VIEW'!T16)</f>
        <v>522.06666666666661</v>
      </c>
      <c r="D13" s="4">
        <f>'Total income package'!$D$80</f>
        <v>0</v>
      </c>
      <c r="E13" s="4">
        <f>'Total income package'!$H$61+'Total income package'!$F$66</f>
        <v>200</v>
      </c>
      <c r="F13" s="4">
        <f t="shared" si="3"/>
        <v>1013.7333333333333</v>
      </c>
      <c r="G13" s="181" t="str">
        <f t="shared" si="4"/>
        <v>Yes</v>
      </c>
      <c r="H13" s="3">
        <f t="shared" si="5"/>
        <v>120</v>
      </c>
      <c r="I13" s="3">
        <f t="shared" si="6"/>
        <v>33.33</v>
      </c>
      <c r="J13" s="3">
        <f t="shared" si="1"/>
        <v>860.40333333333331</v>
      </c>
      <c r="K13" s="3">
        <f t="shared" si="7"/>
        <v>258.12099999999998</v>
      </c>
      <c r="L13" s="3">
        <f t="shared" si="2"/>
        <v>101.37333333333333</v>
      </c>
      <c r="M13" s="3">
        <v>50</v>
      </c>
      <c r="N13" s="3">
        <f t="shared" si="8"/>
        <v>258.12099999999998</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 s="337">
        <f>IF(AND(G13="Yes",'Total income package'!$A$14=TRUE,P13-N13&gt;0),P13-N13,0)</f>
        <v>1229.8789999999999</v>
      </c>
      <c r="R13" s="29"/>
    </row>
    <row r="14" spans="1:21" x14ac:dyDescent="0.25">
      <c r="A14" s="182">
        <v>4000</v>
      </c>
      <c r="B14" s="4">
        <f t="shared" si="0"/>
        <v>333.33333333333331</v>
      </c>
      <c r="C14" s="4">
        <f>MAX('TANF-VIEW'!L17,'TANF-VIEW'!T17)</f>
        <v>488.73333333333335</v>
      </c>
      <c r="D14" s="4">
        <f>'Total income package'!$D$80</f>
        <v>0</v>
      </c>
      <c r="E14" s="4">
        <f>'Total income package'!$H$61+'Total income package'!$F$66</f>
        <v>200</v>
      </c>
      <c r="F14" s="4">
        <f>B14+C14+D14+E14</f>
        <v>1022.0666666666666</v>
      </c>
      <c r="G14" s="181" t="str">
        <f t="shared" si="4"/>
        <v>Yes</v>
      </c>
      <c r="H14" s="3">
        <f t="shared" si="5"/>
        <v>120</v>
      </c>
      <c r="I14" s="3">
        <f t="shared" si="6"/>
        <v>33.33</v>
      </c>
      <c r="J14" s="3">
        <f t="shared" si="1"/>
        <v>868.73666666666657</v>
      </c>
      <c r="K14" s="3">
        <f t="shared" si="7"/>
        <v>260.62099999999998</v>
      </c>
      <c r="L14" s="3">
        <f t="shared" si="2"/>
        <v>102.20666666666666</v>
      </c>
      <c r="M14" s="3">
        <v>50</v>
      </c>
      <c r="N14" s="3">
        <f t="shared" si="8"/>
        <v>260.62099999999998</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 s="337">
        <f>IF(AND(G14="Yes",'Total income package'!$A$14=TRUE,P14-N14&gt;0),P14-N14,0)</f>
        <v>1227.3789999999999</v>
      </c>
      <c r="R14" s="29"/>
    </row>
    <row r="15" spans="1:21" x14ac:dyDescent="0.25">
      <c r="A15" s="182">
        <v>4500</v>
      </c>
      <c r="B15" s="4">
        <f t="shared" si="0"/>
        <v>375</v>
      </c>
      <c r="C15" s="4">
        <f>MAX('TANF-VIEW'!L18,'TANF-VIEW'!T18)</f>
        <v>455.4</v>
      </c>
      <c r="D15" s="4">
        <f>'Total income package'!$D$80</f>
        <v>0</v>
      </c>
      <c r="E15" s="4">
        <f>'Total income package'!$H$61+'Total income package'!$F$66</f>
        <v>200</v>
      </c>
      <c r="F15" s="4">
        <f t="shared" si="3"/>
        <v>1030.4000000000001</v>
      </c>
      <c r="G15" s="181" t="str">
        <f t="shared" si="4"/>
        <v>Yes</v>
      </c>
      <c r="H15" s="3">
        <f t="shared" si="5"/>
        <v>120</v>
      </c>
      <c r="I15" s="3">
        <f t="shared" si="6"/>
        <v>33.33</v>
      </c>
      <c r="J15" s="3">
        <f t="shared" si="1"/>
        <v>877.07</v>
      </c>
      <c r="K15" s="3">
        <f t="shared" si="7"/>
        <v>263.12099999999998</v>
      </c>
      <c r="L15" s="3">
        <f t="shared" si="2"/>
        <v>103.04000000000002</v>
      </c>
      <c r="M15" s="3">
        <v>50</v>
      </c>
      <c r="N15" s="3">
        <f t="shared" si="8"/>
        <v>263.12099999999998</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 s="337">
        <f>IF(AND(G15="Yes",'Total income package'!$A$14=TRUE,P15-N15&gt;0),P15-N15,0)</f>
        <v>1224.8789999999999</v>
      </c>
      <c r="R15" s="29"/>
    </row>
    <row r="16" spans="1:21" x14ac:dyDescent="0.25">
      <c r="A16" s="182">
        <v>5000</v>
      </c>
      <c r="B16" s="4">
        <f t="shared" si="0"/>
        <v>416.66666666666669</v>
      </c>
      <c r="C16" s="4">
        <f>MAX('TANF-VIEW'!L19,'TANF-VIEW'!T19)</f>
        <v>422.06666666666666</v>
      </c>
      <c r="D16" s="4">
        <f>'Total income package'!$D$80</f>
        <v>0</v>
      </c>
      <c r="E16" s="4">
        <f>'Total income package'!$H$61+'Total income package'!$F$66</f>
        <v>200</v>
      </c>
      <c r="F16" s="4">
        <f t="shared" si="3"/>
        <v>1038.7333333333333</v>
      </c>
      <c r="G16" s="181" t="str">
        <f t="shared" si="4"/>
        <v>Yes</v>
      </c>
      <c r="H16" s="3">
        <f t="shared" si="5"/>
        <v>120</v>
      </c>
      <c r="I16" s="3">
        <f t="shared" si="6"/>
        <v>33.33</v>
      </c>
      <c r="J16" s="3">
        <f t="shared" si="1"/>
        <v>885.40333333333331</v>
      </c>
      <c r="K16" s="3">
        <f t="shared" si="7"/>
        <v>265.62099999999998</v>
      </c>
      <c r="L16" s="3">
        <f t="shared" si="2"/>
        <v>103.87333333333333</v>
      </c>
      <c r="M16" s="3">
        <v>50</v>
      </c>
      <c r="N16" s="3">
        <f t="shared" si="8"/>
        <v>265.62099999999998</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 s="337">
        <f>IF(AND(G16="Yes",'Total income package'!$A$14=TRUE,P16-N16&gt;0),P16-N16,0)</f>
        <v>1222.3789999999999</v>
      </c>
      <c r="R16" s="29"/>
    </row>
    <row r="17" spans="1:18" x14ac:dyDescent="0.25">
      <c r="A17" s="182">
        <v>5500</v>
      </c>
      <c r="B17" s="4">
        <f t="shared" si="0"/>
        <v>458.33333333333331</v>
      </c>
      <c r="C17" s="4">
        <f>MAX('TANF-VIEW'!L20,'TANF-VIEW'!T20)</f>
        <v>388.73333333333335</v>
      </c>
      <c r="D17" s="4">
        <f>'Total income package'!$D$80</f>
        <v>0</v>
      </c>
      <c r="E17" s="4">
        <f>'Total income package'!$H$61+'Total income package'!$F$66</f>
        <v>200</v>
      </c>
      <c r="F17" s="4">
        <f t="shared" si="3"/>
        <v>1047.0666666666666</v>
      </c>
      <c r="G17" s="181" t="str">
        <f t="shared" si="4"/>
        <v>Yes</v>
      </c>
      <c r="H17" s="3">
        <f t="shared" si="5"/>
        <v>120</v>
      </c>
      <c r="I17" s="3">
        <f t="shared" si="6"/>
        <v>33.33</v>
      </c>
      <c r="J17" s="3">
        <f t="shared" si="1"/>
        <v>893.73666666666657</v>
      </c>
      <c r="K17" s="3">
        <f t="shared" si="7"/>
        <v>268.12099999999998</v>
      </c>
      <c r="L17" s="3">
        <f t="shared" si="2"/>
        <v>104.70666666666666</v>
      </c>
      <c r="M17" s="3">
        <v>50</v>
      </c>
      <c r="N17" s="3">
        <f t="shared" si="8"/>
        <v>268.12099999999998</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 s="337">
        <f>IF(AND(G17="Yes",'Total income package'!$A$14=TRUE,P17-N17&gt;0),P17-N17,0)</f>
        <v>1219.8789999999999</v>
      </c>
      <c r="R17" s="29"/>
    </row>
    <row r="18" spans="1:18" x14ac:dyDescent="0.25">
      <c r="A18" s="182">
        <v>6000</v>
      </c>
      <c r="B18" s="4">
        <f t="shared" si="0"/>
        <v>500</v>
      </c>
      <c r="C18" s="4">
        <f>MAX('TANF-VIEW'!L21,'TANF-VIEW'!T21)</f>
        <v>355.4</v>
      </c>
      <c r="D18" s="4">
        <f>'Total income package'!$D$80</f>
        <v>0</v>
      </c>
      <c r="E18" s="4">
        <f>'Total income package'!$H$61+'Total income package'!$F$66</f>
        <v>200</v>
      </c>
      <c r="F18" s="4">
        <f t="shared" si="3"/>
        <v>1055.4000000000001</v>
      </c>
      <c r="G18" s="181" t="str">
        <f t="shared" si="4"/>
        <v>Yes</v>
      </c>
      <c r="H18" s="3">
        <f t="shared" si="5"/>
        <v>120</v>
      </c>
      <c r="I18" s="3">
        <f t="shared" si="6"/>
        <v>33.33</v>
      </c>
      <c r="J18" s="3">
        <f t="shared" si="1"/>
        <v>902.07</v>
      </c>
      <c r="K18" s="3">
        <f t="shared" si="7"/>
        <v>270.62099999999998</v>
      </c>
      <c r="L18" s="3">
        <f t="shared" si="2"/>
        <v>105.54000000000002</v>
      </c>
      <c r="M18" s="3">
        <v>50</v>
      </c>
      <c r="N18" s="3">
        <f t="shared" si="8"/>
        <v>270.62099999999998</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 s="337">
        <f>IF(AND(G18="Yes",'Total income package'!$A$14=TRUE,P18-N18&gt;0),P18-N18,0)</f>
        <v>1217.3789999999999</v>
      </c>
      <c r="R18" s="29"/>
    </row>
    <row r="19" spans="1:18" x14ac:dyDescent="0.25">
      <c r="A19" s="182">
        <v>6500</v>
      </c>
      <c r="B19" s="4">
        <f t="shared" si="0"/>
        <v>541.66666666666663</v>
      </c>
      <c r="C19" s="4">
        <f>MAX('TANF-VIEW'!L22,'TANF-VIEW'!T22)</f>
        <v>322.06666666666672</v>
      </c>
      <c r="D19" s="4">
        <f>'Total income package'!$D$80</f>
        <v>0</v>
      </c>
      <c r="E19" s="4">
        <f>'Total income package'!$H$61+'Total income package'!$F$66</f>
        <v>200</v>
      </c>
      <c r="F19" s="4">
        <f t="shared" si="3"/>
        <v>1063.7333333333333</v>
      </c>
      <c r="G19" s="181" t="str">
        <f t="shared" si="4"/>
        <v>Yes</v>
      </c>
      <c r="H19" s="3">
        <f t="shared" si="5"/>
        <v>120</v>
      </c>
      <c r="I19" s="3">
        <f t="shared" si="6"/>
        <v>33.33</v>
      </c>
      <c r="J19" s="3">
        <f t="shared" si="1"/>
        <v>910.40333333333331</v>
      </c>
      <c r="K19" s="3">
        <f t="shared" si="7"/>
        <v>273.12099999999998</v>
      </c>
      <c r="L19" s="3">
        <f t="shared" si="2"/>
        <v>106.37333333333333</v>
      </c>
      <c r="M19" s="3">
        <v>50</v>
      </c>
      <c r="N19" s="3">
        <f t="shared" si="8"/>
        <v>273.12099999999998</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 s="337">
        <f>IF(AND(G19="Yes",'Total income package'!$A$14=TRUE,P19-N19&gt;0),P19-N19,0)</f>
        <v>1214.8789999999999</v>
      </c>
      <c r="R19" s="29"/>
    </row>
    <row r="20" spans="1:18" x14ac:dyDescent="0.25">
      <c r="A20" s="182">
        <v>7000</v>
      </c>
      <c r="B20" s="4">
        <f t="shared" si="0"/>
        <v>583.33333333333337</v>
      </c>
      <c r="C20" s="4">
        <f>MAX('TANF-VIEW'!L23,'TANF-VIEW'!T23)</f>
        <v>288.73333333333329</v>
      </c>
      <c r="D20" s="4">
        <f>'Total income package'!$D$80</f>
        <v>0</v>
      </c>
      <c r="E20" s="4">
        <f>'Total income package'!$H$61+'Total income package'!$F$66</f>
        <v>200</v>
      </c>
      <c r="F20" s="4">
        <f t="shared" si="3"/>
        <v>1072.0666666666666</v>
      </c>
      <c r="G20" s="181" t="str">
        <f t="shared" si="4"/>
        <v>Yes</v>
      </c>
      <c r="H20" s="3">
        <f t="shared" si="5"/>
        <v>120</v>
      </c>
      <c r="I20" s="3">
        <f t="shared" si="6"/>
        <v>33.33</v>
      </c>
      <c r="J20" s="3">
        <f t="shared" si="1"/>
        <v>918.73666666666657</v>
      </c>
      <c r="K20" s="3">
        <f t="shared" si="7"/>
        <v>275.62099999999998</v>
      </c>
      <c r="L20" s="3">
        <f t="shared" si="2"/>
        <v>107.20666666666666</v>
      </c>
      <c r="M20" s="3">
        <v>50</v>
      </c>
      <c r="N20" s="3">
        <f t="shared" si="8"/>
        <v>275.62099999999998</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 s="337">
        <f>IF(AND(G20="Yes",'Total income package'!$A$14=TRUE,P20-N20&gt;0),P20-N20,0)</f>
        <v>1212.3789999999999</v>
      </c>
      <c r="R20" s="29"/>
    </row>
    <row r="21" spans="1:18" x14ac:dyDescent="0.25">
      <c r="A21" s="182">
        <v>7500</v>
      </c>
      <c r="B21" s="4">
        <f t="shared" si="0"/>
        <v>625</v>
      </c>
      <c r="C21" s="4">
        <f>MAX('TANF-VIEW'!L24,'TANF-VIEW'!T24)</f>
        <v>255.39999999999998</v>
      </c>
      <c r="D21" s="4">
        <f>'Total income package'!$D$80</f>
        <v>0</v>
      </c>
      <c r="E21" s="4">
        <f>'Total income package'!$H$61+'Total income package'!$F$66</f>
        <v>200</v>
      </c>
      <c r="F21" s="4">
        <f t="shared" si="3"/>
        <v>1080.4000000000001</v>
      </c>
      <c r="G21" s="181" t="str">
        <f t="shared" si="4"/>
        <v>Yes</v>
      </c>
      <c r="H21" s="3">
        <f t="shared" si="5"/>
        <v>120</v>
      </c>
      <c r="I21" s="3">
        <f t="shared" si="6"/>
        <v>33.33</v>
      </c>
      <c r="J21" s="3">
        <f t="shared" si="1"/>
        <v>927.07</v>
      </c>
      <c r="K21" s="3">
        <f t="shared" si="7"/>
        <v>278.12099999999998</v>
      </c>
      <c r="L21" s="3">
        <f t="shared" si="2"/>
        <v>108.04000000000002</v>
      </c>
      <c r="M21" s="3">
        <v>50</v>
      </c>
      <c r="N21" s="3">
        <f t="shared" si="8"/>
        <v>278.12099999999998</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 s="337">
        <f>IF(AND(G21="Yes",'Total income package'!$A$14=TRUE,P21-N21&gt;0),P21-N21,0)</f>
        <v>1209.8789999999999</v>
      </c>
      <c r="R21" s="29"/>
    </row>
    <row r="22" spans="1:18" x14ac:dyDescent="0.25">
      <c r="A22" s="182">
        <v>8000</v>
      </c>
      <c r="B22" s="4">
        <f t="shared" si="0"/>
        <v>666.66666666666663</v>
      </c>
      <c r="C22" s="4">
        <f>MAX('TANF-VIEW'!L25,'TANF-VIEW'!T25)</f>
        <v>222.06666666666672</v>
      </c>
      <c r="D22" s="4">
        <f>'Total income package'!$D$80</f>
        <v>0</v>
      </c>
      <c r="E22" s="4">
        <f>'Total income package'!$H$61+'Total income package'!$F$66</f>
        <v>200</v>
      </c>
      <c r="F22" s="4">
        <f t="shared" si="3"/>
        <v>1088.7333333333333</v>
      </c>
      <c r="G22" s="181" t="str">
        <f t="shared" si="4"/>
        <v>Yes</v>
      </c>
      <c r="H22" s="3">
        <f t="shared" si="5"/>
        <v>120</v>
      </c>
      <c r="I22" s="3">
        <f t="shared" si="6"/>
        <v>33.33</v>
      </c>
      <c r="J22" s="3">
        <f t="shared" si="1"/>
        <v>935.40333333333331</v>
      </c>
      <c r="K22" s="3">
        <f t="shared" si="7"/>
        <v>280.62099999999998</v>
      </c>
      <c r="L22" s="3">
        <f t="shared" si="2"/>
        <v>108.87333333333333</v>
      </c>
      <c r="M22" s="3">
        <v>50</v>
      </c>
      <c r="N22" s="3">
        <f t="shared" si="8"/>
        <v>280.62099999999998</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2" s="337">
        <f>IF(AND(G22="Yes",'Total income package'!$A$14=TRUE,P22-N22&gt;0),P22-N22,0)</f>
        <v>1207.3789999999999</v>
      </c>
      <c r="R22" s="29"/>
    </row>
    <row r="23" spans="1:18" x14ac:dyDescent="0.25">
      <c r="A23" s="182">
        <v>8500</v>
      </c>
      <c r="B23" s="4">
        <f t="shared" si="0"/>
        <v>708.33333333333337</v>
      </c>
      <c r="C23" s="4">
        <f>MAX('TANF-VIEW'!L26,'TANF-VIEW'!T26)</f>
        <v>188.73333333333329</v>
      </c>
      <c r="D23" s="4">
        <f>'Total income package'!$D$80</f>
        <v>0</v>
      </c>
      <c r="E23" s="4">
        <f>'Total income package'!$H$61+'Total income package'!$F$66</f>
        <v>200</v>
      </c>
      <c r="F23" s="4">
        <f t="shared" si="3"/>
        <v>1097.0666666666666</v>
      </c>
      <c r="G23" s="181" t="str">
        <f t="shared" si="4"/>
        <v>Yes</v>
      </c>
      <c r="H23" s="3">
        <f t="shared" si="5"/>
        <v>120</v>
      </c>
      <c r="I23" s="3">
        <f t="shared" si="6"/>
        <v>33.33</v>
      </c>
      <c r="J23" s="3">
        <f t="shared" si="1"/>
        <v>943.73666666666657</v>
      </c>
      <c r="K23" s="3">
        <f t="shared" si="7"/>
        <v>283.12099999999998</v>
      </c>
      <c r="L23" s="3">
        <f t="shared" si="2"/>
        <v>109.70666666666666</v>
      </c>
      <c r="M23" s="3">
        <v>50</v>
      </c>
      <c r="N23" s="3">
        <f t="shared" si="8"/>
        <v>283.12099999999998</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3" s="337">
        <f>IF(AND(G23="Yes",'Total income package'!$A$14=TRUE,P23-N23&gt;0),P23-N23,0)</f>
        <v>1204.8789999999999</v>
      </c>
      <c r="R23" s="29"/>
    </row>
    <row r="24" spans="1:18" x14ac:dyDescent="0.25">
      <c r="A24" s="182">
        <v>9000</v>
      </c>
      <c r="B24" s="4">
        <f t="shared" si="0"/>
        <v>750</v>
      </c>
      <c r="C24" s="4">
        <f>MAX('TANF-VIEW'!L27,'TANF-VIEW'!T27)</f>
        <v>155.39999999999998</v>
      </c>
      <c r="D24" s="4">
        <f>'Total income package'!$D$80</f>
        <v>0</v>
      </c>
      <c r="E24" s="4">
        <f>'Total income package'!$H$61+'Total income package'!$F$66</f>
        <v>200</v>
      </c>
      <c r="F24" s="4">
        <f t="shared" si="3"/>
        <v>1105.4000000000001</v>
      </c>
      <c r="G24" s="181" t="str">
        <f t="shared" si="4"/>
        <v>Yes</v>
      </c>
      <c r="H24" s="3">
        <f t="shared" si="5"/>
        <v>120</v>
      </c>
      <c r="I24" s="3">
        <f t="shared" si="6"/>
        <v>33.33</v>
      </c>
      <c r="J24" s="3">
        <f t="shared" si="1"/>
        <v>952.07</v>
      </c>
      <c r="K24" s="3">
        <f t="shared" si="7"/>
        <v>285.62099999999998</v>
      </c>
      <c r="L24" s="3">
        <f t="shared" si="2"/>
        <v>110.54000000000002</v>
      </c>
      <c r="M24" s="3">
        <v>50</v>
      </c>
      <c r="N24" s="3">
        <f t="shared" si="8"/>
        <v>285.62099999999998</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4" s="337">
        <f>IF(AND(G24="Yes",'Total income package'!$A$14=TRUE,P24-N24&gt;0),P24-N24,0)</f>
        <v>1202.3789999999999</v>
      </c>
      <c r="R24" s="29"/>
    </row>
    <row r="25" spans="1:18" x14ac:dyDescent="0.25">
      <c r="A25" s="182">
        <v>9500</v>
      </c>
      <c r="B25" s="4">
        <f t="shared" si="0"/>
        <v>791.66666666666663</v>
      </c>
      <c r="C25" s="4">
        <f>MAX('TANF-VIEW'!L28,'TANF-VIEW'!T28)</f>
        <v>122.06666666666672</v>
      </c>
      <c r="D25" s="4">
        <f>'Total income package'!$D$80</f>
        <v>0</v>
      </c>
      <c r="E25" s="4">
        <f>'Total income package'!$H$61+'Total income package'!$F$66</f>
        <v>200</v>
      </c>
      <c r="F25" s="4">
        <f t="shared" si="3"/>
        <v>1113.7333333333333</v>
      </c>
      <c r="G25" s="181" t="str">
        <f t="shared" si="4"/>
        <v>Yes</v>
      </c>
      <c r="H25" s="3">
        <f t="shared" si="5"/>
        <v>120</v>
      </c>
      <c r="I25" s="3">
        <f t="shared" si="6"/>
        <v>33.33</v>
      </c>
      <c r="J25" s="3">
        <f t="shared" si="1"/>
        <v>960.40333333333331</v>
      </c>
      <c r="K25" s="3">
        <f t="shared" si="7"/>
        <v>288.12099999999998</v>
      </c>
      <c r="L25" s="3">
        <f t="shared" si="2"/>
        <v>111.37333333333333</v>
      </c>
      <c r="M25" s="3">
        <v>50</v>
      </c>
      <c r="N25" s="3">
        <f t="shared" si="8"/>
        <v>288.12099999999998</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5" s="337">
        <f>IF(AND(G25="Yes",'Total income package'!$A$14=TRUE,P25-N25&gt;0),P25-N25,0)</f>
        <v>1199.8789999999999</v>
      </c>
      <c r="R25" s="29"/>
    </row>
    <row r="26" spans="1:18" x14ac:dyDescent="0.25">
      <c r="A26" s="182">
        <v>10000</v>
      </c>
      <c r="B26" s="4">
        <f t="shared" si="0"/>
        <v>833.33333333333337</v>
      </c>
      <c r="C26" s="4">
        <f>MAX('TANF-VIEW'!L29,'TANF-VIEW'!T29)</f>
        <v>88.733333333333292</v>
      </c>
      <c r="D26" s="4">
        <f>'Total income package'!$D$80</f>
        <v>0</v>
      </c>
      <c r="E26" s="4">
        <f>'Total income package'!$H$61+'Total income package'!$F$66</f>
        <v>200</v>
      </c>
      <c r="F26" s="4">
        <f t="shared" si="3"/>
        <v>1122.0666666666666</v>
      </c>
      <c r="G26" s="181" t="str">
        <f t="shared" si="4"/>
        <v>Yes</v>
      </c>
      <c r="H26" s="3">
        <f t="shared" si="5"/>
        <v>120</v>
      </c>
      <c r="I26" s="3">
        <f t="shared" si="6"/>
        <v>33.33</v>
      </c>
      <c r="J26" s="3">
        <f t="shared" si="1"/>
        <v>968.73666666666657</v>
      </c>
      <c r="K26" s="3">
        <f t="shared" si="7"/>
        <v>290.62099999999998</v>
      </c>
      <c r="L26" s="3">
        <f t="shared" si="2"/>
        <v>112.20666666666666</v>
      </c>
      <c r="M26" s="3">
        <v>50</v>
      </c>
      <c r="N26" s="3">
        <f t="shared" si="8"/>
        <v>290.62099999999998</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6" s="337">
        <f>IF(AND(G26="Yes",'Total income package'!$A$14=TRUE,P26-N26&gt;0),P26-N26,0)</f>
        <v>1197.3789999999999</v>
      </c>
      <c r="R26" s="29"/>
    </row>
    <row r="27" spans="1:18" x14ac:dyDescent="0.25">
      <c r="A27" s="182">
        <v>10500</v>
      </c>
      <c r="B27" s="4">
        <f t="shared" si="0"/>
        <v>875</v>
      </c>
      <c r="C27" s="4">
        <f>MAX('TANF-VIEW'!L30,'TANF-VIEW'!T30)</f>
        <v>55.399999999999977</v>
      </c>
      <c r="D27" s="4">
        <f>'Total income package'!$D$80</f>
        <v>0</v>
      </c>
      <c r="E27" s="4">
        <f>'Total income package'!$H$61+'Total income package'!$F$66</f>
        <v>200</v>
      </c>
      <c r="F27" s="4">
        <f t="shared" si="3"/>
        <v>1130.4000000000001</v>
      </c>
      <c r="G27" s="181" t="str">
        <f t="shared" si="4"/>
        <v>Yes</v>
      </c>
      <c r="H27" s="3">
        <f t="shared" si="5"/>
        <v>120</v>
      </c>
      <c r="I27" s="3">
        <f t="shared" si="6"/>
        <v>33.33</v>
      </c>
      <c r="J27" s="3">
        <f t="shared" si="1"/>
        <v>977.07</v>
      </c>
      <c r="K27" s="3">
        <f t="shared" si="7"/>
        <v>293.12099999999998</v>
      </c>
      <c r="L27" s="3">
        <f t="shared" si="2"/>
        <v>113.04000000000002</v>
      </c>
      <c r="M27" s="3">
        <v>50</v>
      </c>
      <c r="N27" s="3">
        <f t="shared" si="8"/>
        <v>293.12099999999998</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7" s="337">
        <f>IF(AND(G27="Yes",'Total income package'!$A$14=TRUE,P27-N27&gt;0),P27-N27,0)</f>
        <v>1194.8789999999999</v>
      </c>
      <c r="R27" s="29"/>
    </row>
    <row r="28" spans="1:18" x14ac:dyDescent="0.25">
      <c r="A28" s="182">
        <v>11000</v>
      </c>
      <c r="B28" s="4">
        <f t="shared" si="0"/>
        <v>916.66666666666663</v>
      </c>
      <c r="C28" s="4">
        <f>MAX('TANF-VIEW'!L31,'TANF-VIEW'!T31)</f>
        <v>22.06666666666672</v>
      </c>
      <c r="D28" s="4">
        <f>'Total income package'!$D$80</f>
        <v>0</v>
      </c>
      <c r="E28" s="4">
        <f>'Total income package'!$H$61+'Total income package'!$F$66</f>
        <v>200</v>
      </c>
      <c r="F28" s="4">
        <f t="shared" si="3"/>
        <v>1138.7333333333333</v>
      </c>
      <c r="G28" s="181" t="str">
        <f t="shared" si="4"/>
        <v>Yes</v>
      </c>
      <c r="H28" s="3">
        <f t="shared" si="5"/>
        <v>120</v>
      </c>
      <c r="I28" s="3">
        <f t="shared" si="6"/>
        <v>33.33</v>
      </c>
      <c r="J28" s="3">
        <f t="shared" si="1"/>
        <v>985.40333333333331</v>
      </c>
      <c r="K28" s="3">
        <f t="shared" si="7"/>
        <v>295.62099999999998</v>
      </c>
      <c r="L28" s="3">
        <f t="shared" si="2"/>
        <v>113.87333333333333</v>
      </c>
      <c r="M28" s="3">
        <v>50</v>
      </c>
      <c r="N28" s="3">
        <f t="shared" si="8"/>
        <v>295.62099999999998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8" s="337">
        <f>IF(AND(G28="Yes",'Total income package'!$A$14=TRUE,P28-N28&gt;0),P28-N28,0)</f>
        <v>1192.3789999999999</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120</v>
      </c>
      <c r="I29" s="3">
        <f t="shared" si="6"/>
        <v>33.33</v>
      </c>
      <c r="J29" s="3">
        <f t="shared" si="1"/>
        <v>1005.0033333333334</v>
      </c>
      <c r="K29" s="3">
        <f t="shared" si="7"/>
        <v>301.50100000000003</v>
      </c>
      <c r="L29" s="3">
        <f t="shared" si="2"/>
        <v>115.83333333333336</v>
      </c>
      <c r="M29" s="3">
        <v>50</v>
      </c>
      <c r="N29" s="3">
        <f t="shared" si="8"/>
        <v>301.50100000000003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9" s="337">
        <f>IF(AND(G29="Yes",'Total income package'!$A$14=TRUE,P29-N29&gt;0),P29-N29,0)</f>
        <v>1186.499</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120</v>
      </c>
      <c r="I30" s="3">
        <f t="shared" si="6"/>
        <v>33.33</v>
      </c>
      <c r="J30" s="3">
        <f t="shared" si="1"/>
        <v>1046.67</v>
      </c>
      <c r="K30" s="3">
        <f t="shared" si="7"/>
        <v>314.00100000000003</v>
      </c>
      <c r="L30" s="3">
        <f t="shared" si="2"/>
        <v>120</v>
      </c>
      <c r="M30" s="3">
        <v>50</v>
      </c>
      <c r="N30" s="3">
        <f t="shared" si="8"/>
        <v>314.00100000000003</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0" s="337">
        <f>IF(AND(G30="Yes",'Total income package'!$A$14=TRUE,P30-N30&gt;0),P30-N30,0)</f>
        <v>1173.999</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120</v>
      </c>
      <c r="I31" s="3">
        <f t="shared" si="6"/>
        <v>33.33</v>
      </c>
      <c r="J31" s="3">
        <f t="shared" si="1"/>
        <v>1088.3366666666668</v>
      </c>
      <c r="K31" s="3">
        <f t="shared" si="7"/>
        <v>326.50100000000003</v>
      </c>
      <c r="L31" s="3">
        <f t="shared" si="2"/>
        <v>124.16666666666669</v>
      </c>
      <c r="M31" s="3">
        <v>50</v>
      </c>
      <c r="N31" s="3">
        <f t="shared" si="8"/>
        <v>326.50100000000003</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1" s="337">
        <f>IF(AND(G31="Yes",'Total income package'!$A$14=TRUE,P31-N31&gt;0),P31-N31,0)</f>
        <v>1161.499</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120</v>
      </c>
      <c r="I32" s="3">
        <f t="shared" si="6"/>
        <v>33.33</v>
      </c>
      <c r="J32" s="3">
        <f t="shared" si="1"/>
        <v>1130.0033333333333</v>
      </c>
      <c r="K32" s="3">
        <f t="shared" si="7"/>
        <v>339.00099999999998</v>
      </c>
      <c r="L32" s="3">
        <f t="shared" si="2"/>
        <v>128.33333333333334</v>
      </c>
      <c r="M32" s="3">
        <v>50</v>
      </c>
      <c r="N32" s="3">
        <f t="shared" si="8"/>
        <v>339.00099999999998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2" s="337">
        <f>IF(AND(G32="Yes",'Total income package'!$A$14=TRUE,P32-N32&gt;0),P32-N32,0)</f>
        <v>1148.999</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120</v>
      </c>
      <c r="I33" s="3">
        <f t="shared" si="6"/>
        <v>33.33</v>
      </c>
      <c r="J33" s="3">
        <f t="shared" si="1"/>
        <v>1171.67</v>
      </c>
      <c r="K33" s="3">
        <f t="shared" si="7"/>
        <v>351.50100000000003</v>
      </c>
      <c r="L33" s="3">
        <f t="shared" si="2"/>
        <v>132.5</v>
      </c>
      <c r="M33" s="3">
        <v>50</v>
      </c>
      <c r="N33" s="3">
        <f t="shared" si="8"/>
        <v>351.50100000000003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3" s="337">
        <f>IF(AND(G33="Yes",'Total income package'!$A$14=TRUE,P33-N33&gt;0),P33-N33,0)</f>
        <v>1136.499</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120</v>
      </c>
      <c r="I34" s="3">
        <f t="shared" si="6"/>
        <v>33.33</v>
      </c>
      <c r="J34" s="3">
        <f t="shared" si="1"/>
        <v>1213.3366666666668</v>
      </c>
      <c r="K34" s="3">
        <f t="shared" si="7"/>
        <v>364.00100000000003</v>
      </c>
      <c r="L34" s="3">
        <f t="shared" si="2"/>
        <v>136.66666666666669</v>
      </c>
      <c r="M34" s="3">
        <v>50</v>
      </c>
      <c r="N34" s="3">
        <f t="shared" si="8"/>
        <v>364.00100000000003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4" s="337">
        <f>IF(AND(G34="Yes",'Total income package'!$A$14=TRUE,P34-N34&gt;0),P34-N34,0)</f>
        <v>1123.999</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120</v>
      </c>
      <c r="I35" s="3">
        <f t="shared" si="6"/>
        <v>33.33</v>
      </c>
      <c r="J35" s="3">
        <f t="shared" si="1"/>
        <v>1255.0033333333333</v>
      </c>
      <c r="K35" s="3">
        <f t="shared" si="7"/>
        <v>376.50099999999998</v>
      </c>
      <c r="L35" s="3">
        <f t="shared" si="2"/>
        <v>140.83333333333334</v>
      </c>
      <c r="M35" s="3">
        <v>50</v>
      </c>
      <c r="N35" s="3">
        <f t="shared" si="8"/>
        <v>376.50099999999998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5" s="337">
        <f>IF(AND(G35="Yes",'Total income package'!$A$14=TRUE,P35-N35&gt;0),P35-N35,0)</f>
        <v>1111.499</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120</v>
      </c>
      <c r="I36" s="3">
        <f t="shared" si="6"/>
        <v>33.33</v>
      </c>
      <c r="J36" s="3">
        <f t="shared" si="1"/>
        <v>1296.67</v>
      </c>
      <c r="K36" s="3">
        <f t="shared" si="7"/>
        <v>389.00100000000003</v>
      </c>
      <c r="L36" s="3">
        <f t="shared" si="2"/>
        <v>145</v>
      </c>
      <c r="M36" s="3">
        <v>50</v>
      </c>
      <c r="N36" s="3">
        <f t="shared" si="8"/>
        <v>389.00100000000003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6" s="337">
        <f>IF(AND(G36="Yes",'Total income package'!$A$14=TRUE,P36-N36&gt;0),P36-N36,0)</f>
        <v>1098.999</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120</v>
      </c>
      <c r="I37" s="3">
        <f t="shared" si="6"/>
        <v>33.33</v>
      </c>
      <c r="J37" s="3">
        <f t="shared" si="1"/>
        <v>1338.3366666666668</v>
      </c>
      <c r="K37" s="3">
        <f t="shared" si="7"/>
        <v>401.50100000000003</v>
      </c>
      <c r="L37" s="3">
        <f t="shared" si="2"/>
        <v>149.16666666666669</v>
      </c>
      <c r="M37" s="3">
        <v>50</v>
      </c>
      <c r="N37" s="3">
        <f t="shared" si="8"/>
        <v>401.50100000000003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7" s="337">
        <f>IF(AND(G37="Yes",'Total income package'!$A$14=TRUE,P37-N37&gt;0),P37-N37,0)</f>
        <v>1086.499</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120</v>
      </c>
      <c r="I38" s="3">
        <f t="shared" si="6"/>
        <v>33.33</v>
      </c>
      <c r="J38" s="3">
        <f t="shared" si="1"/>
        <v>1380.0033333333333</v>
      </c>
      <c r="K38" s="3">
        <f t="shared" si="7"/>
        <v>414.00099999999998</v>
      </c>
      <c r="L38" s="3">
        <f t="shared" si="2"/>
        <v>153.33333333333334</v>
      </c>
      <c r="M38" s="3">
        <v>50</v>
      </c>
      <c r="N38" s="3">
        <f t="shared" si="8"/>
        <v>414.00099999999998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8" s="337">
        <f>IF(AND(G38="Yes",'Total income package'!$A$14=TRUE,P38-N38&gt;0),P38-N38,0)</f>
        <v>1073.999</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120</v>
      </c>
      <c r="I39" s="3">
        <f t="shared" si="6"/>
        <v>33.33</v>
      </c>
      <c r="J39" s="3">
        <f t="shared" si="1"/>
        <v>1421.67</v>
      </c>
      <c r="K39" s="3">
        <f t="shared" si="7"/>
        <v>426.50100000000003</v>
      </c>
      <c r="L39" s="3">
        <f t="shared" si="2"/>
        <v>157.5</v>
      </c>
      <c r="M39" s="3">
        <v>50</v>
      </c>
      <c r="N39" s="3">
        <f t="shared" si="8"/>
        <v>426.50100000000003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9" s="337">
        <f>IF(AND(G39="Yes",'Total income package'!$A$14=TRUE,P39-N39&gt;0),P39-N39,0)</f>
        <v>1061.499</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120</v>
      </c>
      <c r="I40" s="3">
        <f t="shared" si="6"/>
        <v>33.33</v>
      </c>
      <c r="J40" s="3">
        <f t="shared" si="1"/>
        <v>1463.3366666666668</v>
      </c>
      <c r="K40" s="3">
        <f t="shared" si="7"/>
        <v>439.00100000000003</v>
      </c>
      <c r="L40" s="3">
        <f t="shared" si="2"/>
        <v>161.66666666666669</v>
      </c>
      <c r="M40" s="3">
        <v>50</v>
      </c>
      <c r="N40" s="3">
        <f t="shared" si="8"/>
        <v>439.00100000000003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0" s="337">
        <f>IF(AND(G40="Yes",'Total income package'!$A$14=TRUE,P40-N40&gt;0),P40-N40,0)</f>
        <v>1048.999</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120</v>
      </c>
      <c r="I41" s="3">
        <f t="shared" si="6"/>
        <v>33.33</v>
      </c>
      <c r="J41" s="3">
        <f t="shared" si="1"/>
        <v>1505.0033333333333</v>
      </c>
      <c r="K41" s="3">
        <f t="shared" si="7"/>
        <v>451.50099999999998</v>
      </c>
      <c r="L41" s="3">
        <f t="shared" si="2"/>
        <v>165.83333333333334</v>
      </c>
      <c r="M41" s="3">
        <v>50</v>
      </c>
      <c r="N41" s="3">
        <f t="shared" si="8"/>
        <v>451.50099999999998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1" s="337">
        <f>IF(AND(G41="Yes",'Total income package'!$A$14=TRUE,P41-N41&gt;0),P41-N41,0)</f>
        <v>1036.499</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120</v>
      </c>
      <c r="I42" s="3">
        <f t="shared" si="6"/>
        <v>33.33</v>
      </c>
      <c r="J42" s="3">
        <f t="shared" si="1"/>
        <v>1546.67</v>
      </c>
      <c r="K42" s="3">
        <f t="shared" si="7"/>
        <v>464.00099999999998</v>
      </c>
      <c r="L42" s="3">
        <f t="shared" si="2"/>
        <v>170</v>
      </c>
      <c r="M42" s="3">
        <v>50</v>
      </c>
      <c r="N42" s="3">
        <f t="shared" si="8"/>
        <v>464.00099999999998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2" s="337">
        <f>IF(AND(G42="Yes",'Total income package'!$A$14=TRUE,P42-N42&gt;0),P42-N42,0)</f>
        <v>1023.999</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120</v>
      </c>
      <c r="I43" s="3">
        <f t="shared" si="6"/>
        <v>33.33</v>
      </c>
      <c r="J43" s="3">
        <f t="shared" si="1"/>
        <v>1588.3366666666668</v>
      </c>
      <c r="K43" s="3">
        <f t="shared" si="7"/>
        <v>476.50100000000003</v>
      </c>
      <c r="L43" s="3">
        <f t="shared" si="2"/>
        <v>174.16666666666669</v>
      </c>
      <c r="M43" s="3">
        <v>50</v>
      </c>
      <c r="N43" s="3">
        <f t="shared" si="8"/>
        <v>476.50100000000003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3" s="337">
        <f>IF(AND(G43="Yes",'Total income package'!$A$14=TRUE,P43-N43&gt;0),P43-N43,0)</f>
        <v>1011.499</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120</v>
      </c>
      <c r="I44" s="3">
        <f t="shared" si="6"/>
        <v>33.33</v>
      </c>
      <c r="J44" s="3">
        <f t="shared" si="1"/>
        <v>1630.0033333333333</v>
      </c>
      <c r="K44" s="3">
        <f t="shared" si="7"/>
        <v>489.00099999999998</v>
      </c>
      <c r="L44" s="3">
        <f t="shared" si="2"/>
        <v>178.33333333333334</v>
      </c>
      <c r="M44" s="3">
        <v>50</v>
      </c>
      <c r="N44" s="3">
        <f t="shared" si="8"/>
        <v>489.00099999999998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4" s="337">
        <f>IF(AND(G44="Yes",'Total income package'!$A$14=TRUE,P44-N44&gt;0),P44-N44,0)</f>
        <v>998.99900000000002</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120</v>
      </c>
      <c r="I45" s="3">
        <f t="shared" si="6"/>
        <v>33.33</v>
      </c>
      <c r="J45" s="3">
        <f t="shared" si="1"/>
        <v>1671.67</v>
      </c>
      <c r="K45" s="3">
        <f t="shared" si="7"/>
        <v>501.50099999999998</v>
      </c>
      <c r="L45" s="3">
        <f t="shared" si="2"/>
        <v>182.5</v>
      </c>
      <c r="M45" s="3">
        <v>50</v>
      </c>
      <c r="N45" s="3">
        <f t="shared" si="8"/>
        <v>501.50099999999998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5" s="337">
        <f>IF(AND(G45="Yes",'Total income package'!$A$14=TRUE,P45-N45&gt;0),P45-N45,0)</f>
        <v>986.49900000000002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120</v>
      </c>
      <c r="I46" s="3">
        <f t="shared" si="6"/>
        <v>33.33</v>
      </c>
      <c r="J46" s="3">
        <f t="shared" si="1"/>
        <v>1713.3366666666668</v>
      </c>
      <c r="K46" s="3">
        <f t="shared" si="7"/>
        <v>514.00099999999998</v>
      </c>
      <c r="L46" s="3">
        <f t="shared" si="2"/>
        <v>186.66666666666669</v>
      </c>
      <c r="M46" s="3">
        <v>50</v>
      </c>
      <c r="N46" s="3">
        <f t="shared" si="8"/>
        <v>514.00099999999998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6" s="337">
        <f>IF(AND(G46="Yes",'Total income package'!$A$14=TRUE,P46-N46&gt;0),P46-N46,0)</f>
        <v>973.99900000000002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120</v>
      </c>
      <c r="I47" s="3">
        <f t="shared" si="6"/>
        <v>33.33</v>
      </c>
      <c r="J47" s="3">
        <f t="shared" si="1"/>
        <v>1755.0033333333333</v>
      </c>
      <c r="K47" s="3">
        <f t="shared" si="7"/>
        <v>526.50099999999998</v>
      </c>
      <c r="L47" s="3">
        <f t="shared" si="2"/>
        <v>190.83333333333334</v>
      </c>
      <c r="M47" s="3">
        <v>50</v>
      </c>
      <c r="N47" s="3">
        <f t="shared" si="8"/>
        <v>526.50099999999998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7" s="337">
        <f>IF(AND(G47="Yes",'Total income package'!$A$14=TRUE,P47-N47&gt;0),P47-N47,0)</f>
        <v>961.49900000000002</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120</v>
      </c>
      <c r="I48" s="3">
        <f t="shared" si="6"/>
        <v>33.33</v>
      </c>
      <c r="J48" s="3">
        <f t="shared" si="1"/>
        <v>1796.67</v>
      </c>
      <c r="K48" s="3">
        <f t="shared" si="7"/>
        <v>539.00099999999998</v>
      </c>
      <c r="L48" s="3">
        <f t="shared" si="2"/>
        <v>195</v>
      </c>
      <c r="M48" s="3">
        <v>50</v>
      </c>
      <c r="N48" s="3">
        <f t="shared" si="8"/>
        <v>539.00099999999998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8" s="337">
        <f>IF(AND(G48="Yes",'Total income package'!$A$14=TRUE,P48-N48&gt;0),P48-N48,0)</f>
        <v>948.99900000000002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120</v>
      </c>
      <c r="I49" s="3">
        <f t="shared" si="6"/>
        <v>33.33</v>
      </c>
      <c r="J49" s="3">
        <f t="shared" si="1"/>
        <v>1838.3366666666668</v>
      </c>
      <c r="K49" s="3">
        <f t="shared" si="7"/>
        <v>551.50099999999998</v>
      </c>
      <c r="L49" s="3">
        <f t="shared" si="2"/>
        <v>199.16666666666669</v>
      </c>
      <c r="M49" s="3">
        <v>50</v>
      </c>
      <c r="N49" s="3">
        <f t="shared" si="8"/>
        <v>551.50099999999998</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9" s="337">
        <f>IF(AND(G49="Yes",'Total income package'!$A$14=TRUE,P49-N49&gt;0),P49-N49,0)</f>
        <v>936.49900000000002</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120</v>
      </c>
      <c r="I50" s="3">
        <f t="shared" si="6"/>
        <v>33.33</v>
      </c>
      <c r="J50" s="3">
        <f t="shared" si="1"/>
        <v>1880.0033333333333</v>
      </c>
      <c r="K50" s="3">
        <f t="shared" si="7"/>
        <v>564.00099999999998</v>
      </c>
      <c r="L50" s="3">
        <f t="shared" si="2"/>
        <v>203.33333333333334</v>
      </c>
      <c r="M50" s="3">
        <v>50</v>
      </c>
      <c r="N50" s="3">
        <f t="shared" si="8"/>
        <v>564.00099999999998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0" s="337">
        <f>IF(AND(G50="Yes",'Total income package'!$A$14=TRUE,P50-N50&gt;0),P50-N50,0)</f>
        <v>923.99900000000002</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120</v>
      </c>
      <c r="I51" s="3">
        <f t="shared" si="6"/>
        <v>33.33</v>
      </c>
      <c r="J51" s="3">
        <f t="shared" si="1"/>
        <v>1921.67</v>
      </c>
      <c r="K51" s="3">
        <f t="shared" si="7"/>
        <v>576.50099999999998</v>
      </c>
      <c r="L51" s="3">
        <f t="shared" si="2"/>
        <v>207.5</v>
      </c>
      <c r="M51" s="3">
        <v>50</v>
      </c>
      <c r="N51" s="3">
        <f t="shared" si="8"/>
        <v>576.50099999999998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1" s="337">
        <f>IF(AND(G51="Yes",'Total income package'!$A$14=TRUE,P51-N51&gt;0),P51-N51,0)</f>
        <v>911.49900000000002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120</v>
      </c>
      <c r="I52" s="3">
        <f t="shared" si="6"/>
        <v>33.33</v>
      </c>
      <c r="J52" s="3">
        <f t="shared" si="1"/>
        <v>1963.336666666667</v>
      </c>
      <c r="K52" s="3">
        <f t="shared" si="7"/>
        <v>589.00100000000009</v>
      </c>
      <c r="L52" s="3">
        <f t="shared" si="2"/>
        <v>211.66666666666671</v>
      </c>
      <c r="M52" s="3">
        <v>50</v>
      </c>
      <c r="N52" s="3">
        <f t="shared" si="8"/>
        <v>589.00100000000009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2" s="337">
        <f>IF(AND(G52="Yes",'Total income package'!$A$14=TRUE,P52-N52&gt;0),P52-N52,0)</f>
        <v>898.99899999999991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120</v>
      </c>
      <c r="I53" s="3">
        <f t="shared" si="6"/>
        <v>33.33</v>
      </c>
      <c r="J53" s="3">
        <f t="shared" si="1"/>
        <v>2005.0033333333331</v>
      </c>
      <c r="K53" s="3">
        <f t="shared" si="7"/>
        <v>601.50099999999986</v>
      </c>
      <c r="L53" s="3">
        <f t="shared" si="2"/>
        <v>215.83333333333331</v>
      </c>
      <c r="M53" s="3">
        <v>50</v>
      </c>
      <c r="N53" s="3">
        <f t="shared" si="8"/>
        <v>601.50099999999986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3" s="337">
        <f>IF(AND(G53="Yes",'Total income package'!$A$14=TRUE,P53-N53&gt;0),P53-N53,0)</f>
        <v>886.49900000000014</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120</v>
      </c>
      <c r="I54" s="3">
        <f t="shared" si="6"/>
        <v>33.33</v>
      </c>
      <c r="J54" s="3">
        <f t="shared" si="1"/>
        <v>2046.67</v>
      </c>
      <c r="K54" s="3">
        <f t="shared" si="7"/>
        <v>614.00099999999998</v>
      </c>
      <c r="L54" s="3">
        <f t="shared" si="2"/>
        <v>220</v>
      </c>
      <c r="M54" s="3">
        <v>50</v>
      </c>
      <c r="N54" s="3">
        <f t="shared" si="8"/>
        <v>614.00099999999998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4" s="337">
        <f>IF(AND(G54="Yes",'Total income package'!$A$14=TRUE,P54-N54&gt;0),P54-N54,0)</f>
        <v>873.99900000000002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120</v>
      </c>
      <c r="I55" s="3">
        <f t="shared" si="6"/>
        <v>33.33</v>
      </c>
      <c r="J55" s="3">
        <f t="shared" si="1"/>
        <v>2088.336666666667</v>
      </c>
      <c r="K55" s="3">
        <f t="shared" si="7"/>
        <v>626.50100000000009</v>
      </c>
      <c r="L55" s="3">
        <f t="shared" si="2"/>
        <v>224.16666666666671</v>
      </c>
      <c r="M55" s="3">
        <v>50</v>
      </c>
      <c r="N55" s="3">
        <f t="shared" si="8"/>
        <v>626.50100000000009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5" s="337">
        <f>IF(AND(G55="Yes",'Total income package'!$A$14=TRUE,P55-N55&gt;0),P55-N55,0)</f>
        <v>861.49899999999991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120</v>
      </c>
      <c r="I56" s="3">
        <f t="shared" si="6"/>
        <v>33.33</v>
      </c>
      <c r="J56" s="3">
        <f t="shared" si="1"/>
        <v>2130.0033333333336</v>
      </c>
      <c r="K56" s="3">
        <f t="shared" si="7"/>
        <v>639.00100000000009</v>
      </c>
      <c r="L56" s="3">
        <f t="shared" si="2"/>
        <v>228.33333333333337</v>
      </c>
      <c r="M56" s="3">
        <v>50</v>
      </c>
      <c r="N56" s="3">
        <f t="shared" si="8"/>
        <v>639.00100000000009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6" s="337">
        <f>IF(AND(G56="Yes",'Total income package'!$A$14=TRUE,P56-N56&gt;0),P56-N56,0)</f>
        <v>848.99899999999991</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120</v>
      </c>
      <c r="I57" s="3">
        <f t="shared" si="6"/>
        <v>33.33</v>
      </c>
      <c r="J57" s="3">
        <f t="shared" si="1"/>
        <v>2171.67</v>
      </c>
      <c r="K57" s="3">
        <f t="shared" si="7"/>
        <v>651.50099999999998</v>
      </c>
      <c r="L57" s="3">
        <f t="shared" si="2"/>
        <v>232.5</v>
      </c>
      <c r="M57" s="3">
        <v>50</v>
      </c>
      <c r="N57" s="3">
        <f t="shared" si="8"/>
        <v>651.50099999999998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7" s="337">
        <f>IF(AND(G57="Yes",'Total income package'!$A$14=TRUE,P57-N57&gt;0),P57-N57,0)</f>
        <v>836.49900000000002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120</v>
      </c>
      <c r="I58" s="3">
        <f t="shared" si="6"/>
        <v>33.33</v>
      </c>
      <c r="J58" s="3">
        <f t="shared" si="1"/>
        <v>2213.3366666666666</v>
      </c>
      <c r="K58" s="3">
        <f t="shared" si="7"/>
        <v>664.00099999999998</v>
      </c>
      <c r="L58" s="3">
        <f t="shared" si="2"/>
        <v>236.66666666666666</v>
      </c>
      <c r="M58" s="3">
        <v>50</v>
      </c>
      <c r="N58" s="3">
        <f t="shared" si="8"/>
        <v>664.00099999999998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8" s="337">
        <f>IF(AND(G58="Yes",'Total income package'!$A$14=TRUE,P58-N58&gt;0),P58-N58,0)</f>
        <v>823.99900000000002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120</v>
      </c>
      <c r="I59" s="3">
        <f t="shared" si="6"/>
        <v>33.33</v>
      </c>
      <c r="J59" s="3">
        <f t="shared" si="1"/>
        <v>2255.0033333333336</v>
      </c>
      <c r="K59" s="3">
        <f t="shared" si="7"/>
        <v>676.50100000000009</v>
      </c>
      <c r="L59" s="3">
        <f t="shared" si="2"/>
        <v>240.83333333333337</v>
      </c>
      <c r="M59" s="3">
        <v>50</v>
      </c>
      <c r="N59" s="3">
        <f t="shared" si="8"/>
        <v>676.50100000000009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9" s="337">
        <f>IF(AND(G59="Yes",'Total income package'!$A$14=TRUE,P59-N59&gt;0),P59-N59,0)</f>
        <v>811.49899999999991</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120</v>
      </c>
      <c r="I60" s="3">
        <f t="shared" si="6"/>
        <v>33.33</v>
      </c>
      <c r="J60" s="3">
        <f t="shared" si="1"/>
        <v>2296.67</v>
      </c>
      <c r="K60" s="3">
        <f t="shared" si="7"/>
        <v>689.00099999999998</v>
      </c>
      <c r="L60" s="3">
        <f t="shared" si="2"/>
        <v>245</v>
      </c>
      <c r="M60" s="3">
        <v>50</v>
      </c>
      <c r="N60" s="3">
        <f t="shared" si="8"/>
        <v>689.00099999999998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0" s="337">
        <f>IF(AND(G60="Yes",'Total income package'!$A$14=TRUE,P60-N60&gt;0),P60-N60,0)</f>
        <v>798.99900000000002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120</v>
      </c>
      <c r="I61" s="3">
        <f t="shared" si="6"/>
        <v>33.33</v>
      </c>
      <c r="J61" s="3">
        <f t="shared" si="1"/>
        <v>2338.3366666666666</v>
      </c>
      <c r="K61" s="3">
        <f t="shared" si="7"/>
        <v>701.50099999999998</v>
      </c>
      <c r="L61" s="3">
        <f t="shared" si="2"/>
        <v>249.16666666666666</v>
      </c>
      <c r="M61" s="3">
        <v>50</v>
      </c>
      <c r="N61" s="3">
        <f t="shared" si="8"/>
        <v>701.50099999999998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1" s="337">
        <f>IF(AND(G61="Yes",'Total income package'!$A$14=TRUE,P61-N61&gt;0),P61-N61,0)</f>
        <v>786.49900000000002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120</v>
      </c>
      <c r="I62" s="3">
        <f t="shared" si="6"/>
        <v>33.33</v>
      </c>
      <c r="J62" s="3">
        <f t="shared" si="1"/>
        <v>2380.0033333333336</v>
      </c>
      <c r="K62" s="3">
        <f t="shared" si="7"/>
        <v>714.00100000000009</v>
      </c>
      <c r="L62" s="3">
        <f t="shared" si="2"/>
        <v>253.33333333333337</v>
      </c>
      <c r="M62" s="3">
        <v>50</v>
      </c>
      <c r="N62" s="3">
        <f t="shared" si="8"/>
        <v>714.00100000000009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2" s="337">
        <f>IF(AND(G62="Yes",'Total income package'!$A$14=TRUE,P62-N62&gt;0),P62-N62,0)</f>
        <v>773.99899999999991</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120</v>
      </c>
      <c r="I63" s="3">
        <f t="shared" si="6"/>
        <v>33.33</v>
      </c>
      <c r="J63" s="3">
        <f t="shared" si="1"/>
        <v>2421.67</v>
      </c>
      <c r="K63" s="3">
        <f t="shared" si="7"/>
        <v>726.50099999999998</v>
      </c>
      <c r="L63" s="3">
        <f t="shared" si="2"/>
        <v>257.5</v>
      </c>
      <c r="M63" s="3">
        <v>50</v>
      </c>
      <c r="N63" s="3">
        <f t="shared" si="8"/>
        <v>726.50099999999998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3" s="337">
        <f>IF(AND(G63="Yes",'Total income package'!$A$14=TRUE,P63-N63&gt;0),P63-N63,0)</f>
        <v>761.49900000000002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120</v>
      </c>
      <c r="I64" s="3">
        <f t="shared" si="6"/>
        <v>33.33</v>
      </c>
      <c r="J64" s="3">
        <f t="shared" si="1"/>
        <v>2463.3366666666666</v>
      </c>
      <c r="K64" s="3">
        <f t="shared" si="7"/>
        <v>739.00099999999998</v>
      </c>
      <c r="L64" s="3">
        <f t="shared" si="2"/>
        <v>261.66666666666669</v>
      </c>
      <c r="M64" s="3">
        <v>50</v>
      </c>
      <c r="N64" s="3">
        <f t="shared" si="8"/>
        <v>739.00099999999998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4" s="337">
        <f>IF(AND(G64="Yes",'Total income package'!$A$14=TRUE,P64-N64&gt;0),P64-N64,0)</f>
        <v>748.99900000000002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120</v>
      </c>
      <c r="I65" s="3">
        <f t="shared" si="6"/>
        <v>33.33</v>
      </c>
      <c r="J65" s="3">
        <f t="shared" si="1"/>
        <v>2505.0033333333336</v>
      </c>
      <c r="K65" s="3">
        <f t="shared" si="7"/>
        <v>751.50100000000009</v>
      </c>
      <c r="L65" s="3">
        <f t="shared" si="2"/>
        <v>265.83333333333337</v>
      </c>
      <c r="M65" s="3">
        <v>50</v>
      </c>
      <c r="N65" s="3">
        <f t="shared" si="8"/>
        <v>751.50100000000009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5" s="337">
        <f>IF(AND(G65="Yes",'Total income package'!$A$14=TRUE,P65-N65&gt;0),P65-N65,0)</f>
        <v>736.49899999999991</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120</v>
      </c>
      <c r="I66" s="3">
        <f t="shared" si="6"/>
        <v>33.33</v>
      </c>
      <c r="J66" s="3">
        <f t="shared" si="1"/>
        <v>2546.67</v>
      </c>
      <c r="K66" s="3">
        <f t="shared" si="7"/>
        <v>764.00099999999998</v>
      </c>
      <c r="L66" s="3">
        <f t="shared" si="2"/>
        <v>270</v>
      </c>
      <c r="M66" s="3">
        <v>50</v>
      </c>
      <c r="N66" s="3">
        <f t="shared" si="8"/>
        <v>764.00099999999998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6" s="337">
        <f>IF(AND(G66="Yes",'Total income package'!$A$14=TRUE,P66-N66&gt;0),P66-N66,0)</f>
        <v>723.99900000000002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120</v>
      </c>
      <c r="I67" s="3">
        <f t="shared" si="6"/>
        <v>33.33</v>
      </c>
      <c r="J67" s="3">
        <f t="shared" si="1"/>
        <v>2588.3366666666666</v>
      </c>
      <c r="K67" s="3">
        <f t="shared" si="7"/>
        <v>776.50099999999998</v>
      </c>
      <c r="L67" s="3">
        <f t="shared" si="2"/>
        <v>274.16666666666669</v>
      </c>
      <c r="M67" s="3">
        <v>50</v>
      </c>
      <c r="N67" s="3">
        <f t="shared" si="8"/>
        <v>776.50099999999998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7" s="337">
        <f>IF(AND(G67="Yes",'Total income package'!$A$14=TRUE,P67-N67&gt;0),P67-N67,0)</f>
        <v>711.49900000000002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120</v>
      </c>
      <c r="I68" s="3">
        <f t="shared" si="6"/>
        <v>33.33</v>
      </c>
      <c r="J68" s="3">
        <f t="shared" si="1"/>
        <v>2630.0033333333336</v>
      </c>
      <c r="K68" s="3">
        <f t="shared" si="7"/>
        <v>789.00100000000009</v>
      </c>
      <c r="L68" s="3">
        <f t="shared" si="2"/>
        <v>278.33333333333337</v>
      </c>
      <c r="M68" s="3">
        <v>50</v>
      </c>
      <c r="N68" s="3">
        <f t="shared" si="8"/>
        <v>789.00100000000009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8" s="337">
        <f>IF(AND(G68="Yes",'Total income package'!$A$14=TRUE,P68-N68&gt;0),P68-N68,0)</f>
        <v>698.99899999999991</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120</v>
      </c>
      <c r="I69" s="3">
        <f t="shared" si="6"/>
        <v>33.33</v>
      </c>
      <c r="J69" s="3">
        <f t="shared" si="1"/>
        <v>2671.67</v>
      </c>
      <c r="K69" s="3">
        <f t="shared" si="7"/>
        <v>801.50099999999998</v>
      </c>
      <c r="L69" s="3">
        <f t="shared" si="2"/>
        <v>282.5</v>
      </c>
      <c r="M69" s="3">
        <v>50</v>
      </c>
      <c r="N69" s="3">
        <f t="shared" si="8"/>
        <v>801.50099999999998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9" s="337">
        <f>IF(AND(G69="Yes",'Total income package'!$A$14=TRUE,P69-N69&gt;0),P69-N69,0)</f>
        <v>686.49900000000002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120</v>
      </c>
      <c r="I70" s="3">
        <f t="shared" si="6"/>
        <v>33.33</v>
      </c>
      <c r="J70" s="3">
        <f t="shared" ref="J70:J133" si="9">IF(F70-H70-I70&lt;0,0,F70-H70-I70)</f>
        <v>2713.3366666666666</v>
      </c>
      <c r="K70" s="3">
        <f t="shared" ref="K70:K133" si="10">J70*0.3</f>
        <v>814.00099999999998</v>
      </c>
      <c r="L70" s="3">
        <f t="shared" ref="L70:L133" si="11">F70*0.1</f>
        <v>286.66666666666669</v>
      </c>
      <c r="M70" s="3">
        <v>50</v>
      </c>
      <c r="N70" s="3">
        <f t="shared" si="8"/>
        <v>814.00099999999998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0" s="337">
        <f>IF(AND(G70="Yes",'Total income package'!$A$14=TRUE,P70-N70&gt;0),P70-N70,0)</f>
        <v>673.99900000000002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120</v>
      </c>
      <c r="I71" s="3">
        <f t="shared" ref="I71:I134" si="16">IF($H$2+$I$2&gt;0,33.33,0)</f>
        <v>33.33</v>
      </c>
      <c r="J71" s="3">
        <f t="shared" si="9"/>
        <v>2755.0033333333336</v>
      </c>
      <c r="K71" s="3">
        <f t="shared" si="10"/>
        <v>826.50100000000009</v>
      </c>
      <c r="L71" s="3">
        <f t="shared" si="11"/>
        <v>290.83333333333337</v>
      </c>
      <c r="M71" s="3">
        <v>50</v>
      </c>
      <c r="N71" s="3">
        <f t="shared" si="8"/>
        <v>826.50100000000009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1" s="337">
        <f>IF(AND(G71="Yes",'Total income package'!$A$14=TRUE,P71-N71&gt;0),P71-N71,0)</f>
        <v>661.49899999999991</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120</v>
      </c>
      <c r="I72" s="3">
        <f t="shared" si="16"/>
        <v>33.33</v>
      </c>
      <c r="J72" s="3">
        <f t="shared" si="9"/>
        <v>2796.67</v>
      </c>
      <c r="K72" s="3">
        <f t="shared" si="10"/>
        <v>839.00099999999998</v>
      </c>
      <c r="L72" s="3">
        <f t="shared" si="11"/>
        <v>295</v>
      </c>
      <c r="M72" s="3">
        <v>50</v>
      </c>
      <c r="N72" s="3">
        <f t="shared" ref="N72:N106" si="17">MAX(K72:M72)</f>
        <v>839.00099999999998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2" s="337">
        <f>IF(AND(G72="Yes",'Total income package'!$A$14=TRUE,P72-N72&gt;0),P72-N72,0)</f>
        <v>648.99900000000002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120</v>
      </c>
      <c r="I73" s="3">
        <f t="shared" si="16"/>
        <v>33.33</v>
      </c>
      <c r="J73" s="3">
        <f t="shared" si="9"/>
        <v>2838.3366666666666</v>
      </c>
      <c r="K73" s="3">
        <f t="shared" si="10"/>
        <v>851.50099999999998</v>
      </c>
      <c r="L73" s="3">
        <f t="shared" si="11"/>
        <v>299.16666666666669</v>
      </c>
      <c r="M73" s="3">
        <v>50</v>
      </c>
      <c r="N73" s="3">
        <f t="shared" si="17"/>
        <v>851.50099999999998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3" s="337">
        <f>IF(AND(G73="Yes",'Total income package'!$A$14=TRUE,P73-N73&gt;0),P73-N73,0)</f>
        <v>636.49900000000002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120</v>
      </c>
      <c r="I74" s="3">
        <f t="shared" si="16"/>
        <v>33.33</v>
      </c>
      <c r="J74" s="3">
        <f t="shared" si="9"/>
        <v>2880.0033333333336</v>
      </c>
      <c r="K74" s="3">
        <f t="shared" si="10"/>
        <v>864.00100000000009</v>
      </c>
      <c r="L74" s="3">
        <f t="shared" si="11"/>
        <v>303.33333333333337</v>
      </c>
      <c r="M74" s="3">
        <v>50</v>
      </c>
      <c r="N74" s="3">
        <f t="shared" si="17"/>
        <v>864.00100000000009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4" s="337">
        <f>IF(AND(G74="Yes",'Total income package'!$A$14=TRUE,P74-N74&gt;0),P74-N74,0)</f>
        <v>623.99899999999991</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120</v>
      </c>
      <c r="I75" s="3">
        <f t="shared" si="16"/>
        <v>33.33</v>
      </c>
      <c r="J75" s="3">
        <f t="shared" si="9"/>
        <v>2921.67</v>
      </c>
      <c r="K75" s="3">
        <f t="shared" si="10"/>
        <v>876.50099999999998</v>
      </c>
      <c r="L75" s="3">
        <f t="shared" si="11"/>
        <v>307.5</v>
      </c>
      <c r="M75" s="3">
        <v>50</v>
      </c>
      <c r="N75" s="3">
        <f t="shared" si="17"/>
        <v>876.50099999999998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5" s="337">
        <f>IF(AND(G75="Yes",'Total income package'!$A$14=TRUE,P75-N75&gt;0),P75-N75,0)</f>
        <v>611.49900000000002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120</v>
      </c>
      <c r="I76" s="3">
        <f t="shared" si="16"/>
        <v>33.33</v>
      </c>
      <c r="J76" s="3">
        <f t="shared" si="9"/>
        <v>2963.3366666666666</v>
      </c>
      <c r="K76" s="3">
        <f t="shared" si="10"/>
        <v>889.00099999999998</v>
      </c>
      <c r="L76" s="3">
        <f t="shared" si="11"/>
        <v>311.66666666666669</v>
      </c>
      <c r="M76" s="3">
        <v>50</v>
      </c>
      <c r="N76" s="3">
        <f t="shared" si="17"/>
        <v>889.00099999999998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6" s="337">
        <f>IF(AND(G76="Yes",'Total income package'!$A$14=TRUE,P76-N76&gt;0),P76-N76,0)</f>
        <v>598.99900000000002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120</v>
      </c>
      <c r="I77" s="3">
        <f t="shared" si="16"/>
        <v>33.33</v>
      </c>
      <c r="J77" s="3">
        <f t="shared" si="9"/>
        <v>3005.0033333333336</v>
      </c>
      <c r="K77" s="3">
        <f t="shared" si="10"/>
        <v>901.50100000000009</v>
      </c>
      <c r="L77" s="3">
        <f t="shared" si="11"/>
        <v>315.83333333333337</v>
      </c>
      <c r="M77" s="3">
        <v>50</v>
      </c>
      <c r="N77" s="3">
        <f t="shared" si="17"/>
        <v>901.50100000000009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7" s="337">
        <f>IF(AND(G77="Yes",'Total income package'!$A$14=TRUE,P77-N77&gt;0),P77-N77,0)</f>
        <v>586.49899999999991</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120</v>
      </c>
      <c r="I78" s="3">
        <f t="shared" si="16"/>
        <v>33.33</v>
      </c>
      <c r="J78" s="3">
        <f t="shared" si="9"/>
        <v>3046.67</v>
      </c>
      <c r="K78" s="3">
        <f t="shared" si="10"/>
        <v>914.00099999999998</v>
      </c>
      <c r="L78" s="3">
        <f t="shared" si="11"/>
        <v>320</v>
      </c>
      <c r="M78" s="3">
        <v>50</v>
      </c>
      <c r="N78" s="3">
        <f t="shared" si="17"/>
        <v>914.00099999999998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8" s="337">
        <f>IF(AND(G78="Yes",'Total income package'!$A$14=TRUE,P78-N78&gt;0),P78-N78,0)</f>
        <v>573.99900000000002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120</v>
      </c>
      <c r="I79" s="3">
        <f t="shared" si="16"/>
        <v>33.33</v>
      </c>
      <c r="J79" s="3">
        <f t="shared" si="9"/>
        <v>3088.3366666666666</v>
      </c>
      <c r="K79" s="3">
        <f t="shared" si="10"/>
        <v>926.50099999999998</v>
      </c>
      <c r="L79" s="3">
        <f t="shared" si="11"/>
        <v>324.16666666666669</v>
      </c>
      <c r="M79" s="3">
        <v>50</v>
      </c>
      <c r="N79" s="3">
        <f t="shared" si="17"/>
        <v>926.50099999999998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9" s="337">
        <f>IF(AND(G79="Yes",'Total income package'!$A$14=TRUE,P79-N79&gt;0),P79-N79,0)</f>
        <v>561.49900000000002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120</v>
      </c>
      <c r="I80" s="3">
        <f t="shared" si="16"/>
        <v>33.33</v>
      </c>
      <c r="J80" s="3">
        <f t="shared" si="9"/>
        <v>3130.0033333333336</v>
      </c>
      <c r="K80" s="3">
        <f t="shared" si="10"/>
        <v>939.00099999999998</v>
      </c>
      <c r="L80" s="3">
        <f t="shared" si="11"/>
        <v>328.33333333333337</v>
      </c>
      <c r="M80" s="3">
        <v>50</v>
      </c>
      <c r="N80" s="3">
        <f t="shared" si="17"/>
        <v>939.00099999999998</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0" s="337">
        <f>IF(AND(G80="Yes",'Total income package'!$A$14=TRUE,P80-N80&gt;0),P80-N80,0)</f>
        <v>548.99900000000002</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120</v>
      </c>
      <c r="I81" s="3">
        <f t="shared" si="16"/>
        <v>33.33</v>
      </c>
      <c r="J81" s="3">
        <f t="shared" si="9"/>
        <v>3171.67</v>
      </c>
      <c r="K81" s="3">
        <f t="shared" si="10"/>
        <v>951.50099999999998</v>
      </c>
      <c r="L81" s="3">
        <f t="shared" si="11"/>
        <v>332.5</v>
      </c>
      <c r="M81" s="3">
        <v>50</v>
      </c>
      <c r="N81" s="3">
        <f t="shared" si="17"/>
        <v>951.50099999999998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1" s="337">
        <f>IF(AND(G81="Yes",'Total income package'!$A$14=TRUE,P81-N81&gt;0),P81-N81,0)</f>
        <v>536.49900000000002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120</v>
      </c>
      <c r="I82" s="3">
        <f t="shared" si="16"/>
        <v>33.33</v>
      </c>
      <c r="J82" s="3">
        <f t="shared" si="9"/>
        <v>3213.3366666666666</v>
      </c>
      <c r="K82" s="3">
        <f t="shared" si="10"/>
        <v>964.00099999999998</v>
      </c>
      <c r="L82" s="3">
        <f t="shared" si="11"/>
        <v>336.66666666666669</v>
      </c>
      <c r="M82" s="3">
        <v>50</v>
      </c>
      <c r="N82" s="3">
        <f t="shared" si="17"/>
        <v>964.00099999999998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2" s="337">
        <f>IF(AND(G82="Yes",'Total income package'!$A$14=TRUE,P82-N82&gt;0),P82-N82,0)</f>
        <v>523.99900000000002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120</v>
      </c>
      <c r="I83" s="3">
        <f t="shared" si="16"/>
        <v>33.33</v>
      </c>
      <c r="J83" s="3">
        <f t="shared" si="9"/>
        <v>3255.0033333333336</v>
      </c>
      <c r="K83" s="3">
        <f t="shared" si="10"/>
        <v>976.50099999999998</v>
      </c>
      <c r="L83" s="3">
        <f t="shared" si="11"/>
        <v>340.83333333333337</v>
      </c>
      <c r="M83" s="3">
        <v>50</v>
      </c>
      <c r="N83" s="3">
        <f t="shared" si="17"/>
        <v>976.50099999999998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3" s="337">
        <f>IF(AND(G83="Yes",'Total income package'!$A$14=TRUE,P83-N83&gt;0),P83-N83,0)</f>
        <v>511.49900000000002</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120</v>
      </c>
      <c r="I84" s="3">
        <f t="shared" si="16"/>
        <v>33.33</v>
      </c>
      <c r="J84" s="3">
        <f t="shared" si="9"/>
        <v>3296.67</v>
      </c>
      <c r="K84" s="3">
        <f t="shared" si="10"/>
        <v>989.00099999999998</v>
      </c>
      <c r="L84" s="3">
        <f t="shared" si="11"/>
        <v>345</v>
      </c>
      <c r="M84" s="3">
        <v>50</v>
      </c>
      <c r="N84" s="3">
        <f t="shared" si="17"/>
        <v>989.00099999999998</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4" s="337">
        <f>IF(AND(G84="Yes",'Total income package'!$A$14=TRUE,P84-N84&gt;0),P84-N84,0)</f>
        <v>498.99900000000002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120</v>
      </c>
      <c r="I85" s="3">
        <f t="shared" si="16"/>
        <v>33.33</v>
      </c>
      <c r="J85" s="3">
        <f t="shared" si="9"/>
        <v>3338.3366666666666</v>
      </c>
      <c r="K85" s="3">
        <f t="shared" si="10"/>
        <v>1001.501</v>
      </c>
      <c r="L85" s="3">
        <f t="shared" si="11"/>
        <v>349.16666666666669</v>
      </c>
      <c r="M85" s="3">
        <v>50</v>
      </c>
      <c r="N85" s="3">
        <f t="shared" si="17"/>
        <v>1001.501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5" s="337">
        <f>IF(AND(G85="Yes",'Total income package'!$A$14=TRUE,P85-N85&gt;0),P85-N85,0)</f>
        <v>486.49900000000002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120</v>
      </c>
      <c r="I86" s="3">
        <f t="shared" si="16"/>
        <v>33.33</v>
      </c>
      <c r="J86" s="3">
        <f t="shared" si="9"/>
        <v>3380.0033333333336</v>
      </c>
      <c r="K86" s="3">
        <f t="shared" si="10"/>
        <v>1014.001</v>
      </c>
      <c r="L86" s="3">
        <f t="shared" si="11"/>
        <v>353.33333333333337</v>
      </c>
      <c r="M86" s="3">
        <v>50</v>
      </c>
      <c r="N86" s="3">
        <f t="shared" si="17"/>
        <v>1014.001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6" s="337">
        <f>IF(AND(G86="Yes",'Total income package'!$A$14=TRUE,P86-N86&gt;0),P86-N86,0)</f>
        <v>473.99900000000002</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120</v>
      </c>
      <c r="I87" s="3">
        <f t="shared" si="16"/>
        <v>33.33</v>
      </c>
      <c r="J87" s="3">
        <f t="shared" si="9"/>
        <v>3421.67</v>
      </c>
      <c r="K87" s="3">
        <f t="shared" si="10"/>
        <v>1026.501</v>
      </c>
      <c r="L87" s="3">
        <f t="shared" si="11"/>
        <v>357.5</v>
      </c>
      <c r="M87" s="3">
        <v>50</v>
      </c>
      <c r="N87" s="3">
        <f t="shared" si="17"/>
        <v>1026.501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7" s="337">
        <f>IF(AND(G87="Yes",'Total income package'!$A$14=TRUE,P87-N87&gt;0),P87-N87,0)</f>
        <v>461.49900000000002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120</v>
      </c>
      <c r="I88" s="3">
        <f t="shared" si="16"/>
        <v>33.33</v>
      </c>
      <c r="J88" s="3">
        <f t="shared" si="9"/>
        <v>3463.3366666666666</v>
      </c>
      <c r="K88" s="3">
        <f t="shared" si="10"/>
        <v>1039.001</v>
      </c>
      <c r="L88" s="3">
        <f t="shared" si="11"/>
        <v>361.66666666666669</v>
      </c>
      <c r="M88" s="3">
        <v>50</v>
      </c>
      <c r="N88" s="3">
        <f t="shared" si="17"/>
        <v>1039.001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8" s="337">
        <f>IF(AND(G88="Yes",'Total income package'!$A$14=TRUE,P88-N88&gt;0),P88-N88,0)</f>
        <v>448.99900000000002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120</v>
      </c>
      <c r="I89" s="3">
        <f t="shared" si="16"/>
        <v>33.33</v>
      </c>
      <c r="J89" s="3">
        <f t="shared" si="9"/>
        <v>3505.0033333333336</v>
      </c>
      <c r="K89" s="3">
        <f t="shared" si="10"/>
        <v>1051.501</v>
      </c>
      <c r="L89" s="3">
        <f t="shared" si="11"/>
        <v>365.83333333333337</v>
      </c>
      <c r="M89" s="3">
        <v>50</v>
      </c>
      <c r="N89" s="3">
        <f t="shared" si="17"/>
        <v>1051.501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9" s="337">
        <f>IF(AND(G89="Yes",'Total income package'!$A$14=TRUE,P89-N89&gt;0),P89-N89,0)</f>
        <v>436.49900000000002</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120</v>
      </c>
      <c r="I90" s="3">
        <f t="shared" si="16"/>
        <v>33.33</v>
      </c>
      <c r="J90" s="3">
        <f t="shared" si="9"/>
        <v>3546.67</v>
      </c>
      <c r="K90" s="3">
        <f t="shared" si="10"/>
        <v>1064.001</v>
      </c>
      <c r="L90" s="3">
        <f t="shared" si="11"/>
        <v>370</v>
      </c>
      <c r="M90" s="3">
        <v>50</v>
      </c>
      <c r="N90" s="3">
        <f t="shared" si="17"/>
        <v>1064.001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0" s="337">
        <f>IF(AND(G90="Yes",'Total income package'!$A$14=TRUE,P90-N90&gt;0),P90-N90,0)</f>
        <v>423.99900000000002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120</v>
      </c>
      <c r="I91" s="3">
        <f t="shared" si="16"/>
        <v>33.33</v>
      </c>
      <c r="J91" s="3">
        <f t="shared" si="9"/>
        <v>3588.3366666666666</v>
      </c>
      <c r="K91" s="3">
        <f t="shared" si="10"/>
        <v>1076.501</v>
      </c>
      <c r="L91" s="3">
        <f t="shared" si="11"/>
        <v>374.16666666666669</v>
      </c>
      <c r="M91" s="3">
        <v>50</v>
      </c>
      <c r="N91" s="3">
        <f t="shared" si="17"/>
        <v>1076.501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1" s="337">
        <f>IF(AND(G91="Yes",'Total income package'!$A$14=TRUE,P91-N91&gt;0),P91-N91,0)</f>
        <v>411.49900000000002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120</v>
      </c>
      <c r="I92" s="3">
        <f t="shared" si="16"/>
        <v>33.33</v>
      </c>
      <c r="J92" s="3">
        <f t="shared" si="9"/>
        <v>3630.0033333333336</v>
      </c>
      <c r="K92" s="3">
        <f t="shared" si="10"/>
        <v>1089.001</v>
      </c>
      <c r="L92" s="3">
        <f t="shared" si="11"/>
        <v>378.33333333333337</v>
      </c>
      <c r="M92" s="3">
        <v>50</v>
      </c>
      <c r="N92" s="3">
        <f t="shared" si="17"/>
        <v>1089.001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2" s="337">
        <f>IF(AND(G92="Yes",'Total income package'!$A$14=TRUE,P92-N92&gt;0),P92-N92,0)</f>
        <v>398.99900000000002</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120</v>
      </c>
      <c r="I93" s="3">
        <f t="shared" si="16"/>
        <v>33.33</v>
      </c>
      <c r="J93" s="3">
        <f t="shared" si="9"/>
        <v>3671.67</v>
      </c>
      <c r="K93" s="3">
        <f t="shared" si="10"/>
        <v>1101.501</v>
      </c>
      <c r="L93" s="3">
        <f t="shared" si="11"/>
        <v>382.5</v>
      </c>
      <c r="M93" s="3">
        <v>50</v>
      </c>
      <c r="N93" s="3">
        <f t="shared" si="17"/>
        <v>1101.501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3" s="337">
        <f>IF(AND(G93="Yes",'Total income package'!$A$14=TRUE,P93-N93&gt;0),P93-N93,0)</f>
        <v>386.49900000000002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120</v>
      </c>
      <c r="I94" s="3">
        <f t="shared" si="16"/>
        <v>33.33</v>
      </c>
      <c r="J94" s="3">
        <f t="shared" si="9"/>
        <v>3713.3366666666666</v>
      </c>
      <c r="K94" s="3">
        <f t="shared" si="10"/>
        <v>1114.001</v>
      </c>
      <c r="L94" s="3">
        <f t="shared" si="11"/>
        <v>386.66666666666669</v>
      </c>
      <c r="M94" s="3">
        <v>50</v>
      </c>
      <c r="N94" s="3">
        <f t="shared" si="17"/>
        <v>1114.001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4" s="337">
        <f>IF(AND(G94="Yes",'Total income package'!$A$14=TRUE,P94-N94&gt;0),P94-N94,0)</f>
        <v>373.99900000000002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120</v>
      </c>
      <c r="I95" s="3">
        <f t="shared" si="16"/>
        <v>33.33</v>
      </c>
      <c r="J95" s="3">
        <f t="shared" si="9"/>
        <v>3755.0033333333336</v>
      </c>
      <c r="K95" s="3">
        <f t="shared" si="10"/>
        <v>1126.501</v>
      </c>
      <c r="L95" s="3">
        <f t="shared" si="11"/>
        <v>390.83333333333337</v>
      </c>
      <c r="M95" s="3">
        <v>50</v>
      </c>
      <c r="N95" s="3">
        <f t="shared" si="17"/>
        <v>1126.501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5" s="337">
        <f>IF(AND(G95="Yes",'Total income package'!$A$14=TRUE,P95-N95&gt;0),P95-N95,0)</f>
        <v>361.49900000000002</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120</v>
      </c>
      <c r="I96" s="3">
        <f t="shared" si="16"/>
        <v>33.33</v>
      </c>
      <c r="J96" s="3">
        <f t="shared" si="9"/>
        <v>3796.67</v>
      </c>
      <c r="K96" s="3">
        <f t="shared" si="10"/>
        <v>1139.001</v>
      </c>
      <c r="L96" s="3">
        <f t="shared" si="11"/>
        <v>395</v>
      </c>
      <c r="M96" s="3">
        <v>50</v>
      </c>
      <c r="N96" s="3">
        <f t="shared" si="17"/>
        <v>1139.001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6" s="337">
        <f>IF(AND(G96="Yes",'Total income package'!$A$14=TRUE,P96-N96&gt;0),P96-N96,0)</f>
        <v>348.99900000000002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120</v>
      </c>
      <c r="I97" s="3">
        <f t="shared" si="16"/>
        <v>33.33</v>
      </c>
      <c r="J97" s="3">
        <f t="shared" si="9"/>
        <v>3838.3366666666666</v>
      </c>
      <c r="K97" s="3">
        <f t="shared" si="10"/>
        <v>1151.501</v>
      </c>
      <c r="L97" s="3">
        <f t="shared" si="11"/>
        <v>399.16666666666669</v>
      </c>
      <c r="M97" s="3">
        <v>50</v>
      </c>
      <c r="N97" s="3">
        <f t="shared" si="17"/>
        <v>1151.501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7" s="337">
        <f>IF(AND(G97="Yes",'Total income package'!$A$14=TRUE,P97-N97&gt;0),P97-N97,0)</f>
        <v>336.49900000000002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120</v>
      </c>
      <c r="I98" s="3">
        <f t="shared" si="16"/>
        <v>33.33</v>
      </c>
      <c r="J98" s="3">
        <f t="shared" si="9"/>
        <v>3880.0033333333336</v>
      </c>
      <c r="K98" s="3">
        <f t="shared" si="10"/>
        <v>1164.001</v>
      </c>
      <c r="L98" s="3">
        <f t="shared" si="11"/>
        <v>403.33333333333337</v>
      </c>
      <c r="M98" s="3">
        <v>50</v>
      </c>
      <c r="N98" s="3">
        <f t="shared" si="17"/>
        <v>1164.001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8" s="337">
        <f>IF(AND(G98="Yes",'Total income package'!$A$14=TRUE,P98-N98&gt;0),P98-N98,0)</f>
        <v>323.99900000000002</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120</v>
      </c>
      <c r="I99" s="3">
        <f t="shared" si="16"/>
        <v>33.33</v>
      </c>
      <c r="J99" s="3">
        <f t="shared" si="9"/>
        <v>3921.67</v>
      </c>
      <c r="K99" s="3">
        <f t="shared" si="10"/>
        <v>1176.501</v>
      </c>
      <c r="L99" s="3">
        <f t="shared" si="11"/>
        <v>407.5</v>
      </c>
      <c r="M99" s="3">
        <v>50</v>
      </c>
      <c r="N99" s="3">
        <f t="shared" si="17"/>
        <v>1176.501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9" s="337">
        <f>IF(AND(G99="Yes",'Total income package'!$A$14=TRUE,P99-N99&gt;0),P99-N99,0)</f>
        <v>311.49900000000002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120</v>
      </c>
      <c r="I100" s="3">
        <f t="shared" si="16"/>
        <v>33.33</v>
      </c>
      <c r="J100" s="3">
        <f t="shared" si="9"/>
        <v>3963.3366666666661</v>
      </c>
      <c r="K100" s="3">
        <f t="shared" si="10"/>
        <v>1189.0009999999997</v>
      </c>
      <c r="L100" s="3">
        <f t="shared" si="11"/>
        <v>411.66666666666663</v>
      </c>
      <c r="M100" s="3">
        <v>50</v>
      </c>
      <c r="N100" s="3">
        <f t="shared" si="17"/>
        <v>1189.0009999999997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0" s="337">
        <f>IF(AND(G100="Yes",'Total income package'!$A$14=TRUE,P100-N100&gt;0),P100-N100,0)</f>
        <v>298.99900000000025</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120</v>
      </c>
      <c r="I101" s="3">
        <f t="shared" si="16"/>
        <v>33.33</v>
      </c>
      <c r="J101" s="3">
        <f t="shared" si="9"/>
        <v>4005.003333333334</v>
      </c>
      <c r="K101" s="3">
        <f t="shared" si="10"/>
        <v>1201.5010000000002</v>
      </c>
      <c r="L101" s="3">
        <f t="shared" si="11"/>
        <v>415.83333333333343</v>
      </c>
      <c r="M101" s="3">
        <v>50</v>
      </c>
      <c r="N101" s="3">
        <f t="shared" si="17"/>
        <v>1201.5010000000002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1" s="337">
        <f>IF(AND(G101="Yes",'Total income package'!$A$14=TRUE,P101-N101&gt;0),P101-N101,0)</f>
        <v>286.4989999999998</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120</v>
      </c>
      <c r="I102" s="3">
        <f t="shared" si="16"/>
        <v>33.33</v>
      </c>
      <c r="J102" s="3">
        <f t="shared" si="9"/>
        <v>4046.67</v>
      </c>
      <c r="K102" s="3">
        <f t="shared" si="10"/>
        <v>1214.001</v>
      </c>
      <c r="L102" s="3">
        <f t="shared" si="11"/>
        <v>420</v>
      </c>
      <c r="M102" s="3">
        <v>50</v>
      </c>
      <c r="N102" s="3">
        <f t="shared" si="17"/>
        <v>1214.001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2" s="337">
        <f>IF(AND(G102="Yes",'Total income package'!$A$14=TRUE,P102-N102&gt;0),P102-N102,0)</f>
        <v>273.99900000000002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120</v>
      </c>
      <c r="I103" s="3">
        <f t="shared" si="16"/>
        <v>33.33</v>
      </c>
      <c r="J103" s="3">
        <f t="shared" si="9"/>
        <v>4088.3366666666661</v>
      </c>
      <c r="K103" s="3">
        <f t="shared" si="10"/>
        <v>1226.5009999999997</v>
      </c>
      <c r="L103" s="3">
        <f t="shared" si="11"/>
        <v>424.16666666666663</v>
      </c>
      <c r="M103" s="3">
        <v>50</v>
      </c>
      <c r="N103" s="3">
        <f t="shared" si="17"/>
        <v>1226.5009999999997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3" s="337">
        <f>IF(AND(G103="Yes",'Total income package'!$A$14=TRUE,P103-N103&gt;0),P103-N103,0)</f>
        <v>261.49900000000025</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120</v>
      </c>
      <c r="I104" s="3">
        <f t="shared" si="16"/>
        <v>33.33</v>
      </c>
      <c r="J104" s="3">
        <f t="shared" si="9"/>
        <v>4130.003333333334</v>
      </c>
      <c r="K104" s="3">
        <f t="shared" si="10"/>
        <v>1239.0010000000002</v>
      </c>
      <c r="L104" s="3">
        <f t="shared" si="11"/>
        <v>428.33333333333343</v>
      </c>
      <c r="M104" s="3">
        <v>50</v>
      </c>
      <c r="N104" s="3">
        <f t="shared" si="17"/>
        <v>1239.0010000000002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4" s="337">
        <f>IF(AND(G104="Yes",'Total income package'!$A$14=TRUE,P104-N104&gt;0),P104-N104,0)</f>
        <v>248.9989999999998</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120</v>
      </c>
      <c r="I105" s="3">
        <f t="shared" si="16"/>
        <v>33.33</v>
      </c>
      <c r="J105" s="3">
        <f t="shared" si="9"/>
        <v>4171.67</v>
      </c>
      <c r="K105" s="3">
        <f t="shared" si="10"/>
        <v>1251.501</v>
      </c>
      <c r="L105" s="3">
        <f t="shared" si="11"/>
        <v>432.5</v>
      </c>
      <c r="M105" s="3">
        <v>50</v>
      </c>
      <c r="N105" s="3">
        <f t="shared" si="17"/>
        <v>1251.501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5" s="337">
        <f>IF(AND(G105="Yes",'Total income package'!$A$14=TRUE,P105-N105&gt;0),P105-N105,0)</f>
        <v>236.49900000000002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120</v>
      </c>
      <c r="I106" s="3">
        <f t="shared" si="16"/>
        <v>33.33</v>
      </c>
      <c r="J106" s="3">
        <f t="shared" si="9"/>
        <v>4213.336666666667</v>
      </c>
      <c r="K106" s="3">
        <f t="shared" si="10"/>
        <v>1264.001</v>
      </c>
      <c r="L106" s="3">
        <f t="shared" si="11"/>
        <v>436.66666666666674</v>
      </c>
      <c r="M106" s="3">
        <v>50</v>
      </c>
      <c r="N106" s="3">
        <f t="shared" si="17"/>
        <v>1264.001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6" s="337">
        <f>IF(AND(G106="Yes",'Total income package'!$A$14=TRUE,P106-N106&gt;0),P106-N106,0)</f>
        <v>223.99900000000002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120</v>
      </c>
      <c r="I107" s="3">
        <f t="shared" si="16"/>
        <v>33.33</v>
      </c>
      <c r="J107" s="3">
        <f t="shared" si="9"/>
        <v>4255.0033333333331</v>
      </c>
      <c r="K107" s="3">
        <f t="shared" si="10"/>
        <v>1276.501</v>
      </c>
      <c r="L107" s="3">
        <f t="shared" si="11"/>
        <v>440.83333333333331</v>
      </c>
      <c r="M107" s="3">
        <v>50</v>
      </c>
      <c r="N107" s="3">
        <f t="shared" ref="N107:N170" si="18">MAX(K107:M107)</f>
        <v>1276.501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7" s="337">
        <f>IF(AND(G107="Yes",'Total income package'!$A$14=TRUE,P107-N107&gt;0),P107-N107,0)</f>
        <v>211.49900000000002</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120</v>
      </c>
      <c r="I108" s="3">
        <f t="shared" si="16"/>
        <v>33.33</v>
      </c>
      <c r="J108" s="3">
        <f t="shared" si="9"/>
        <v>4296.67</v>
      </c>
      <c r="K108" s="3">
        <f t="shared" si="10"/>
        <v>1289.001</v>
      </c>
      <c r="L108" s="3">
        <f t="shared" si="11"/>
        <v>445</v>
      </c>
      <c r="M108" s="3">
        <v>50</v>
      </c>
      <c r="N108" s="3">
        <f t="shared" si="18"/>
        <v>1289.001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8" s="337">
        <f>IF(AND(G108="Yes",'Total income package'!$A$14=TRUE,P108-N108&gt;0),P108-N108,0)</f>
        <v>198.99900000000002</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120</v>
      </c>
      <c r="I109" s="3">
        <f t="shared" si="16"/>
        <v>33.33</v>
      </c>
      <c r="J109" s="3">
        <f t="shared" si="9"/>
        <v>4338.336666666667</v>
      </c>
      <c r="K109" s="3">
        <f t="shared" si="10"/>
        <v>1301.501</v>
      </c>
      <c r="L109" s="3">
        <f t="shared" si="11"/>
        <v>449.16666666666674</v>
      </c>
      <c r="M109" s="3">
        <v>50</v>
      </c>
      <c r="N109" s="3">
        <f t="shared" si="18"/>
        <v>1301.501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9" s="337">
        <f>IF(AND(G109="Yes",'Total income package'!$A$14=TRUE,P109-N109&gt;0),P109-N109,0)</f>
        <v>186.49900000000002</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120</v>
      </c>
      <c r="I110" s="3">
        <f t="shared" si="16"/>
        <v>33.33</v>
      </c>
      <c r="J110" s="3">
        <f t="shared" si="9"/>
        <v>4380.0033333333331</v>
      </c>
      <c r="K110" s="3">
        <f t="shared" si="10"/>
        <v>1314.001</v>
      </c>
      <c r="L110" s="3">
        <f t="shared" si="11"/>
        <v>453.33333333333331</v>
      </c>
      <c r="M110" s="3">
        <v>50</v>
      </c>
      <c r="N110" s="3">
        <f t="shared" si="18"/>
        <v>1314.001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0" s="337">
        <f>IF(AND(G110="Yes",'Total income package'!$A$14=TRUE,P110-N110&gt;0),P110-N110,0)</f>
        <v>173.99900000000002</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120</v>
      </c>
      <c r="I111" s="3">
        <f t="shared" si="16"/>
        <v>33.33</v>
      </c>
      <c r="J111" s="3">
        <f t="shared" si="9"/>
        <v>4421.67</v>
      </c>
      <c r="K111" s="3">
        <f t="shared" si="10"/>
        <v>1326.501</v>
      </c>
      <c r="L111" s="3">
        <f t="shared" si="11"/>
        <v>457.5</v>
      </c>
      <c r="M111" s="3">
        <v>50</v>
      </c>
      <c r="N111" s="3">
        <f t="shared" si="18"/>
        <v>1326.501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1" s="337">
        <f>IF(AND(G111="Yes",'Total income package'!$A$14=TRUE,P111-N111&gt;0),P111-N111,0)</f>
        <v>161.49900000000002</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120</v>
      </c>
      <c r="I112" s="3">
        <f t="shared" si="16"/>
        <v>33.33</v>
      </c>
      <c r="J112" s="3">
        <f t="shared" si="9"/>
        <v>4463.336666666667</v>
      </c>
      <c r="K112" s="3">
        <f t="shared" si="10"/>
        <v>1339.001</v>
      </c>
      <c r="L112" s="3">
        <f t="shared" si="11"/>
        <v>461.66666666666674</v>
      </c>
      <c r="M112" s="3">
        <v>50</v>
      </c>
      <c r="N112" s="3">
        <f t="shared" si="18"/>
        <v>1339.001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2" s="337">
        <f>IF(AND(G112="Yes",'Total income package'!$A$14=TRUE,P112-N112&gt;0),P112-N112,0)</f>
        <v>148.99900000000002</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120</v>
      </c>
      <c r="I113" s="3">
        <f t="shared" si="16"/>
        <v>33.33</v>
      </c>
      <c r="J113" s="3">
        <f t="shared" si="9"/>
        <v>4505.0033333333331</v>
      </c>
      <c r="K113" s="3">
        <f t="shared" si="10"/>
        <v>1351.501</v>
      </c>
      <c r="L113" s="3">
        <f t="shared" si="11"/>
        <v>465.83333333333331</v>
      </c>
      <c r="M113" s="3">
        <v>50</v>
      </c>
      <c r="N113" s="3">
        <f t="shared" si="18"/>
        <v>1351.501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3" s="337">
        <f>IF(AND(G113="Yes",'Total income package'!$A$14=TRUE,P113-N113&gt;0),P113-N113,0)</f>
        <v>136.49900000000002</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Yes</v>
      </c>
      <c r="H114" s="3">
        <f t="shared" si="15"/>
        <v>120</v>
      </c>
      <c r="I114" s="3">
        <f t="shared" si="16"/>
        <v>33.33</v>
      </c>
      <c r="J114" s="3">
        <f t="shared" si="9"/>
        <v>4546.67</v>
      </c>
      <c r="K114" s="3">
        <f t="shared" si="10"/>
        <v>1364.001</v>
      </c>
      <c r="L114" s="3">
        <f t="shared" si="11"/>
        <v>470</v>
      </c>
      <c r="M114" s="3">
        <v>50</v>
      </c>
      <c r="N114" s="3">
        <f t="shared" si="18"/>
        <v>1364.001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4" s="337">
        <f>IF(AND(G114="Yes",'Total income package'!$A$14=TRUE,P114-N114&gt;0),P114-N114,0)</f>
        <v>123.99900000000002</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Yes</v>
      </c>
      <c r="H115" s="3">
        <f t="shared" si="15"/>
        <v>120</v>
      </c>
      <c r="I115" s="3">
        <f t="shared" si="16"/>
        <v>33.33</v>
      </c>
      <c r="J115" s="3">
        <f t="shared" si="9"/>
        <v>4588.336666666667</v>
      </c>
      <c r="K115" s="3">
        <f t="shared" si="10"/>
        <v>1376.501</v>
      </c>
      <c r="L115" s="3">
        <f t="shared" si="11"/>
        <v>474.16666666666674</v>
      </c>
      <c r="M115" s="3">
        <v>50</v>
      </c>
      <c r="N115" s="3">
        <f t="shared" si="18"/>
        <v>1376.501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5" s="337">
        <f>IF(AND(G115="Yes",'Total income package'!$A$14=TRUE,P115-N115&gt;0),P115-N115,0)</f>
        <v>111.49900000000002</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Yes</v>
      </c>
      <c r="H116" s="3">
        <f t="shared" si="15"/>
        <v>120</v>
      </c>
      <c r="I116" s="3">
        <f t="shared" si="16"/>
        <v>33.33</v>
      </c>
      <c r="J116" s="3">
        <f t="shared" si="9"/>
        <v>4630.0033333333331</v>
      </c>
      <c r="K116" s="3">
        <f t="shared" si="10"/>
        <v>1389.001</v>
      </c>
      <c r="L116" s="3">
        <f t="shared" si="11"/>
        <v>478.33333333333331</v>
      </c>
      <c r="M116" s="3">
        <v>50</v>
      </c>
      <c r="N116" s="3">
        <f t="shared" si="18"/>
        <v>1389.001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6" s="337">
        <f>IF(AND(G116="Yes",'Total income package'!$A$14=TRUE,P116-N116&gt;0),P116-N116,0)</f>
        <v>98.999000000000024</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Yes</v>
      </c>
      <c r="H117" s="3">
        <f t="shared" si="15"/>
        <v>120</v>
      </c>
      <c r="I117" s="3">
        <f t="shared" si="16"/>
        <v>33.33</v>
      </c>
      <c r="J117" s="3">
        <f t="shared" si="9"/>
        <v>4671.67</v>
      </c>
      <c r="K117" s="3">
        <f t="shared" si="10"/>
        <v>1401.501</v>
      </c>
      <c r="L117" s="3">
        <f t="shared" si="11"/>
        <v>482.5</v>
      </c>
      <c r="M117" s="3">
        <v>50</v>
      </c>
      <c r="N117" s="3">
        <f t="shared" si="18"/>
        <v>1401.501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7" s="337">
        <f>IF(AND(G117="Yes",'Total income package'!$A$14=TRUE,P117-N117&gt;0),P117-N117,0)</f>
        <v>86.499000000000024</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Yes</v>
      </c>
      <c r="H118" s="3">
        <f t="shared" si="15"/>
        <v>120</v>
      </c>
      <c r="I118" s="3">
        <f t="shared" si="16"/>
        <v>33.33</v>
      </c>
      <c r="J118" s="3">
        <f t="shared" si="9"/>
        <v>4713.336666666667</v>
      </c>
      <c r="K118" s="3">
        <f t="shared" si="10"/>
        <v>1414.001</v>
      </c>
      <c r="L118" s="3">
        <f t="shared" si="11"/>
        <v>486.66666666666674</v>
      </c>
      <c r="M118" s="3">
        <v>50</v>
      </c>
      <c r="N118" s="3">
        <f t="shared" si="18"/>
        <v>1414.001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8" s="337">
        <f>IF(AND(G118="Yes",'Total income package'!$A$14=TRUE,P118-N118&gt;0),P118-N118,0)</f>
        <v>73.999000000000024</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Yes</v>
      </c>
      <c r="H119" s="3">
        <f t="shared" si="15"/>
        <v>120</v>
      </c>
      <c r="I119" s="3">
        <f t="shared" si="16"/>
        <v>33.33</v>
      </c>
      <c r="J119" s="3">
        <f t="shared" si="9"/>
        <v>4755.0033333333331</v>
      </c>
      <c r="K119" s="3">
        <f t="shared" si="10"/>
        <v>1426.501</v>
      </c>
      <c r="L119" s="3">
        <f t="shared" si="11"/>
        <v>490.83333333333331</v>
      </c>
      <c r="M119" s="3">
        <v>50</v>
      </c>
      <c r="N119" s="3">
        <f t="shared" si="18"/>
        <v>1426.501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9" s="337">
        <f>IF(AND(G119="Yes",'Total income package'!$A$14=TRUE,P119-N119&gt;0),P119-N119,0)</f>
        <v>61.499000000000024</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Yes</v>
      </c>
      <c r="H120" s="3">
        <f t="shared" si="15"/>
        <v>120</v>
      </c>
      <c r="I120" s="3">
        <f t="shared" si="16"/>
        <v>33.33</v>
      </c>
      <c r="J120" s="3">
        <f t="shared" si="9"/>
        <v>4796.67</v>
      </c>
      <c r="K120" s="3">
        <f t="shared" si="10"/>
        <v>1439.001</v>
      </c>
      <c r="L120" s="3">
        <f t="shared" si="11"/>
        <v>495</v>
      </c>
      <c r="M120" s="3">
        <v>50</v>
      </c>
      <c r="N120" s="3">
        <f t="shared" si="18"/>
        <v>1439.001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0" s="337">
        <f>IF(AND(G120="Yes",'Total income package'!$A$14=TRUE,P120-N120&gt;0),P120-N120,0)</f>
        <v>48.999000000000024</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Yes</v>
      </c>
      <c r="H121" s="3">
        <f t="shared" si="15"/>
        <v>120</v>
      </c>
      <c r="I121" s="3">
        <f t="shared" si="16"/>
        <v>33.33</v>
      </c>
      <c r="J121" s="3">
        <f t="shared" si="9"/>
        <v>4838.336666666667</v>
      </c>
      <c r="K121" s="3">
        <f t="shared" si="10"/>
        <v>1451.501</v>
      </c>
      <c r="L121" s="3">
        <f t="shared" si="11"/>
        <v>499.16666666666674</v>
      </c>
      <c r="M121" s="3">
        <v>50</v>
      </c>
      <c r="N121" s="3">
        <f t="shared" si="18"/>
        <v>1451.501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1" s="337">
        <f>IF(AND(G121="Yes",'Total income package'!$A$14=TRUE,P121-N121&gt;0),P121-N121,0)</f>
        <v>36.499000000000024</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Yes</v>
      </c>
      <c r="H122" s="3">
        <f t="shared" si="15"/>
        <v>120</v>
      </c>
      <c r="I122" s="3">
        <f t="shared" si="16"/>
        <v>33.33</v>
      </c>
      <c r="J122" s="3">
        <f t="shared" si="9"/>
        <v>4880.0033333333331</v>
      </c>
      <c r="K122" s="3">
        <f t="shared" si="10"/>
        <v>1464.001</v>
      </c>
      <c r="L122" s="3">
        <f t="shared" si="11"/>
        <v>503.33333333333331</v>
      </c>
      <c r="M122" s="3">
        <v>50</v>
      </c>
      <c r="N122" s="3">
        <f t="shared" si="18"/>
        <v>1464.001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2" s="337">
        <f>IF(AND(G122="Yes",'Total income package'!$A$14=TRUE,P122-N122&gt;0),P122-N122,0)</f>
        <v>23.999000000000024</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Yes</v>
      </c>
      <c r="H123" s="3">
        <f t="shared" si="15"/>
        <v>120</v>
      </c>
      <c r="I123" s="3">
        <f t="shared" si="16"/>
        <v>33.33</v>
      </c>
      <c r="J123" s="3">
        <f t="shared" si="9"/>
        <v>4921.67</v>
      </c>
      <c r="K123" s="3">
        <f t="shared" si="10"/>
        <v>1476.501</v>
      </c>
      <c r="L123" s="3">
        <f t="shared" si="11"/>
        <v>507.5</v>
      </c>
      <c r="M123" s="3">
        <v>50</v>
      </c>
      <c r="N123" s="3">
        <f t="shared" si="18"/>
        <v>1476.501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3" s="337">
        <f>IF(AND(G123="Yes",'Total income package'!$A$14=TRUE,P123-N123&gt;0),P123-N123,0)</f>
        <v>11.499000000000024</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Yes</v>
      </c>
      <c r="H124" s="3">
        <f t="shared" si="15"/>
        <v>120</v>
      </c>
      <c r="I124" s="3">
        <f t="shared" si="16"/>
        <v>33.33</v>
      </c>
      <c r="J124" s="3">
        <f t="shared" si="9"/>
        <v>4963.336666666667</v>
      </c>
      <c r="K124" s="3">
        <f t="shared" si="10"/>
        <v>1489.001</v>
      </c>
      <c r="L124" s="3">
        <f t="shared" si="11"/>
        <v>511.66666666666674</v>
      </c>
      <c r="M124" s="3">
        <v>50</v>
      </c>
      <c r="N124" s="3">
        <f t="shared" si="18"/>
        <v>1489.001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Yes</v>
      </c>
      <c r="H125" s="3">
        <f t="shared" si="15"/>
        <v>120</v>
      </c>
      <c r="I125" s="3">
        <f t="shared" si="16"/>
        <v>33.33</v>
      </c>
      <c r="J125" s="3">
        <f t="shared" si="9"/>
        <v>5005.0033333333331</v>
      </c>
      <c r="K125" s="3">
        <f t="shared" si="10"/>
        <v>1501.501</v>
      </c>
      <c r="L125" s="3">
        <f t="shared" si="11"/>
        <v>515.83333333333337</v>
      </c>
      <c r="M125" s="3">
        <v>50</v>
      </c>
      <c r="N125" s="3">
        <f t="shared" si="18"/>
        <v>1501.501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Yes</v>
      </c>
      <c r="H126" s="3">
        <f t="shared" si="15"/>
        <v>120</v>
      </c>
      <c r="I126" s="3">
        <f t="shared" si="16"/>
        <v>33.33</v>
      </c>
      <c r="J126" s="3">
        <f t="shared" si="9"/>
        <v>5046.67</v>
      </c>
      <c r="K126" s="3">
        <f t="shared" si="10"/>
        <v>1514.001</v>
      </c>
      <c r="L126" s="3">
        <f t="shared" si="11"/>
        <v>520</v>
      </c>
      <c r="M126" s="3">
        <v>50</v>
      </c>
      <c r="N126" s="3">
        <f t="shared" si="18"/>
        <v>1514.001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Yes</v>
      </c>
      <c r="H127" s="3">
        <f t="shared" si="15"/>
        <v>120</v>
      </c>
      <c r="I127" s="3">
        <f t="shared" si="16"/>
        <v>33.33</v>
      </c>
      <c r="J127" s="3">
        <f t="shared" si="9"/>
        <v>5088.336666666667</v>
      </c>
      <c r="K127" s="3">
        <f t="shared" si="10"/>
        <v>1526.501</v>
      </c>
      <c r="L127" s="3">
        <f t="shared" si="11"/>
        <v>524.16666666666674</v>
      </c>
      <c r="M127" s="3">
        <v>50</v>
      </c>
      <c r="N127" s="3">
        <f t="shared" si="18"/>
        <v>1526.501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Yes</v>
      </c>
      <c r="H128" s="3">
        <f t="shared" si="15"/>
        <v>120</v>
      </c>
      <c r="I128" s="3">
        <f t="shared" si="16"/>
        <v>33.33</v>
      </c>
      <c r="J128" s="3">
        <f t="shared" si="9"/>
        <v>5130.0033333333331</v>
      </c>
      <c r="K128" s="3">
        <f t="shared" si="10"/>
        <v>1539.001</v>
      </c>
      <c r="L128" s="3">
        <f t="shared" si="11"/>
        <v>528.33333333333337</v>
      </c>
      <c r="M128" s="3">
        <v>50</v>
      </c>
      <c r="N128" s="3">
        <f t="shared" si="18"/>
        <v>1539.001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Yes</v>
      </c>
      <c r="H129" s="3">
        <f t="shared" si="15"/>
        <v>120</v>
      </c>
      <c r="I129" s="3">
        <f t="shared" si="16"/>
        <v>33.33</v>
      </c>
      <c r="J129" s="3">
        <f t="shared" si="9"/>
        <v>5171.67</v>
      </c>
      <c r="K129" s="3">
        <f t="shared" si="10"/>
        <v>1551.501</v>
      </c>
      <c r="L129" s="3">
        <f t="shared" si="11"/>
        <v>532.5</v>
      </c>
      <c r="M129" s="3">
        <v>50</v>
      </c>
      <c r="N129" s="3">
        <f t="shared" si="18"/>
        <v>1551.501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Yes</v>
      </c>
      <c r="H130" s="3">
        <f t="shared" si="15"/>
        <v>120</v>
      </c>
      <c r="I130" s="3">
        <f t="shared" si="16"/>
        <v>33.33</v>
      </c>
      <c r="J130" s="3">
        <f t="shared" si="9"/>
        <v>5213.336666666667</v>
      </c>
      <c r="K130" s="3">
        <f t="shared" si="10"/>
        <v>1564.001</v>
      </c>
      <c r="L130" s="3">
        <f t="shared" si="11"/>
        <v>536.66666666666674</v>
      </c>
      <c r="M130" s="3">
        <v>50</v>
      </c>
      <c r="N130" s="3">
        <f t="shared" si="18"/>
        <v>1564.001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Yes</v>
      </c>
      <c r="H131" s="3">
        <f t="shared" si="15"/>
        <v>120</v>
      </c>
      <c r="I131" s="3">
        <f t="shared" si="16"/>
        <v>33.33</v>
      </c>
      <c r="J131" s="3">
        <f t="shared" si="9"/>
        <v>5255.0033333333331</v>
      </c>
      <c r="K131" s="3">
        <f t="shared" si="10"/>
        <v>1576.501</v>
      </c>
      <c r="L131" s="3">
        <f t="shared" si="11"/>
        <v>540.83333333333337</v>
      </c>
      <c r="M131" s="3">
        <v>50</v>
      </c>
      <c r="N131" s="3">
        <f t="shared" si="18"/>
        <v>1576.501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Yes</v>
      </c>
      <c r="H132" s="3">
        <f t="shared" si="15"/>
        <v>120</v>
      </c>
      <c r="I132" s="3">
        <f t="shared" si="16"/>
        <v>33.33</v>
      </c>
      <c r="J132" s="3">
        <f t="shared" si="9"/>
        <v>5296.67</v>
      </c>
      <c r="K132" s="3">
        <f t="shared" si="10"/>
        <v>1589.001</v>
      </c>
      <c r="L132" s="3">
        <f t="shared" si="11"/>
        <v>545</v>
      </c>
      <c r="M132" s="3">
        <v>50</v>
      </c>
      <c r="N132" s="3">
        <f t="shared" si="18"/>
        <v>1589.001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Yes</v>
      </c>
      <c r="H133" s="3">
        <f t="shared" si="15"/>
        <v>120</v>
      </c>
      <c r="I133" s="3">
        <f t="shared" si="16"/>
        <v>33.33</v>
      </c>
      <c r="J133" s="3">
        <f t="shared" si="9"/>
        <v>5338.336666666667</v>
      </c>
      <c r="K133" s="3">
        <f t="shared" si="10"/>
        <v>1601.501</v>
      </c>
      <c r="L133" s="3">
        <f t="shared" si="11"/>
        <v>549.16666666666674</v>
      </c>
      <c r="M133" s="3">
        <v>50</v>
      </c>
      <c r="N133" s="3">
        <f t="shared" si="18"/>
        <v>1601.501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Yes</v>
      </c>
      <c r="H134" s="3">
        <f t="shared" si="15"/>
        <v>120</v>
      </c>
      <c r="I134" s="3">
        <f t="shared" si="16"/>
        <v>33.33</v>
      </c>
      <c r="J134" s="3">
        <f t="shared" ref="J134:J197" si="19">IF(F134-H134-I134&lt;0,0,F134-H134-I134)</f>
        <v>5380.0033333333331</v>
      </c>
      <c r="K134" s="3">
        <f t="shared" ref="K134:K197" si="20">J134*0.3</f>
        <v>1614.001</v>
      </c>
      <c r="L134" s="3">
        <f t="shared" ref="L134:L197" si="21">F134*0.1</f>
        <v>553.33333333333337</v>
      </c>
      <c r="M134" s="3">
        <v>50</v>
      </c>
      <c r="N134" s="3">
        <f t="shared" si="18"/>
        <v>1614.001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Yes</v>
      </c>
      <c r="H135" s="3">
        <f t="shared" ref="H135:H198" si="25">40*($D$2+$I$2)</f>
        <v>120</v>
      </c>
      <c r="I135" s="3">
        <f t="shared" ref="I135:I198" si="26">IF($H$2+$I$2&gt;0,33.33,0)</f>
        <v>33.33</v>
      </c>
      <c r="J135" s="3">
        <f t="shared" si="19"/>
        <v>5421.67</v>
      </c>
      <c r="K135" s="3">
        <f t="shared" si="20"/>
        <v>1626.501</v>
      </c>
      <c r="L135" s="3">
        <f t="shared" si="21"/>
        <v>557.5</v>
      </c>
      <c r="M135" s="3">
        <v>50</v>
      </c>
      <c r="N135" s="3">
        <f t="shared" si="18"/>
        <v>1626.501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Yes</v>
      </c>
      <c r="H136" s="3">
        <f t="shared" si="25"/>
        <v>120</v>
      </c>
      <c r="I136" s="3">
        <f t="shared" si="26"/>
        <v>33.33</v>
      </c>
      <c r="J136" s="3">
        <f t="shared" si="19"/>
        <v>5463.336666666667</v>
      </c>
      <c r="K136" s="3">
        <f t="shared" si="20"/>
        <v>1639.001</v>
      </c>
      <c r="L136" s="3">
        <f t="shared" si="21"/>
        <v>561.66666666666674</v>
      </c>
      <c r="M136" s="3">
        <v>50</v>
      </c>
      <c r="N136" s="3">
        <f t="shared" si="18"/>
        <v>1639.001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Yes</v>
      </c>
      <c r="H137" s="3">
        <f t="shared" si="25"/>
        <v>120</v>
      </c>
      <c r="I137" s="3">
        <f t="shared" si="26"/>
        <v>33.33</v>
      </c>
      <c r="J137" s="3">
        <f t="shared" si="19"/>
        <v>5505.0033333333331</v>
      </c>
      <c r="K137" s="3">
        <f t="shared" si="20"/>
        <v>1651.501</v>
      </c>
      <c r="L137" s="3">
        <f t="shared" si="21"/>
        <v>565.83333333333337</v>
      </c>
      <c r="M137" s="3">
        <v>50</v>
      </c>
      <c r="N137" s="3">
        <f t="shared" si="18"/>
        <v>1651.501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Yes</v>
      </c>
      <c r="H138" s="3">
        <f t="shared" si="25"/>
        <v>120</v>
      </c>
      <c r="I138" s="3">
        <f t="shared" si="26"/>
        <v>33.33</v>
      </c>
      <c r="J138" s="3">
        <f t="shared" si="19"/>
        <v>5546.67</v>
      </c>
      <c r="K138" s="3">
        <f t="shared" si="20"/>
        <v>1664.001</v>
      </c>
      <c r="L138" s="3">
        <f t="shared" si="21"/>
        <v>570</v>
      </c>
      <c r="M138" s="3">
        <v>50</v>
      </c>
      <c r="N138" s="3">
        <f t="shared" si="18"/>
        <v>1664.001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Yes</v>
      </c>
      <c r="H139" s="3">
        <f t="shared" si="25"/>
        <v>120</v>
      </c>
      <c r="I139" s="3">
        <f t="shared" si="26"/>
        <v>33.33</v>
      </c>
      <c r="J139" s="3">
        <f t="shared" si="19"/>
        <v>5588.336666666667</v>
      </c>
      <c r="K139" s="3">
        <f t="shared" si="20"/>
        <v>1676.501</v>
      </c>
      <c r="L139" s="3">
        <f t="shared" si="21"/>
        <v>574.16666666666674</v>
      </c>
      <c r="M139" s="3">
        <v>50</v>
      </c>
      <c r="N139" s="3">
        <f t="shared" si="18"/>
        <v>1676.501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Yes</v>
      </c>
      <c r="H140" s="3">
        <f t="shared" si="25"/>
        <v>120</v>
      </c>
      <c r="I140" s="3">
        <f t="shared" si="26"/>
        <v>33.33</v>
      </c>
      <c r="J140" s="3">
        <f t="shared" si="19"/>
        <v>5630.0033333333331</v>
      </c>
      <c r="K140" s="3">
        <f t="shared" si="20"/>
        <v>1689.001</v>
      </c>
      <c r="L140" s="3">
        <f t="shared" si="21"/>
        <v>578.33333333333337</v>
      </c>
      <c r="M140" s="3">
        <v>50</v>
      </c>
      <c r="N140" s="3">
        <f t="shared" si="18"/>
        <v>1689.001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Yes</v>
      </c>
      <c r="H141" s="3">
        <f t="shared" si="25"/>
        <v>120</v>
      </c>
      <c r="I141" s="3">
        <f t="shared" si="26"/>
        <v>33.33</v>
      </c>
      <c r="J141" s="3">
        <f t="shared" si="19"/>
        <v>5671.67</v>
      </c>
      <c r="K141" s="3">
        <f t="shared" si="20"/>
        <v>1701.501</v>
      </c>
      <c r="L141" s="3">
        <f t="shared" si="21"/>
        <v>582.5</v>
      </c>
      <c r="M141" s="3">
        <v>50</v>
      </c>
      <c r="N141" s="3">
        <f t="shared" si="18"/>
        <v>1701.501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Yes</v>
      </c>
      <c r="H142" s="3">
        <f t="shared" si="25"/>
        <v>120</v>
      </c>
      <c r="I142" s="3">
        <f t="shared" si="26"/>
        <v>33.33</v>
      </c>
      <c r="J142" s="3">
        <f t="shared" si="19"/>
        <v>5713.336666666667</v>
      </c>
      <c r="K142" s="3">
        <f t="shared" si="20"/>
        <v>1714.001</v>
      </c>
      <c r="L142" s="3">
        <f t="shared" si="21"/>
        <v>586.66666666666674</v>
      </c>
      <c r="M142" s="3">
        <v>50</v>
      </c>
      <c r="N142" s="3">
        <f t="shared" si="18"/>
        <v>1714.001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Yes</v>
      </c>
      <c r="H143" s="3">
        <f t="shared" si="25"/>
        <v>120</v>
      </c>
      <c r="I143" s="3">
        <f t="shared" si="26"/>
        <v>33.33</v>
      </c>
      <c r="J143" s="3">
        <f t="shared" si="19"/>
        <v>5755.0033333333331</v>
      </c>
      <c r="K143" s="3">
        <f t="shared" si="20"/>
        <v>1726.501</v>
      </c>
      <c r="L143" s="3">
        <f t="shared" si="21"/>
        <v>590.83333333333337</v>
      </c>
      <c r="M143" s="3">
        <v>50</v>
      </c>
      <c r="N143" s="3">
        <f t="shared" si="18"/>
        <v>1726.501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Yes</v>
      </c>
      <c r="H144" s="3">
        <f t="shared" si="25"/>
        <v>120</v>
      </c>
      <c r="I144" s="3">
        <f t="shared" si="26"/>
        <v>33.33</v>
      </c>
      <c r="J144" s="3">
        <f t="shared" si="19"/>
        <v>5796.67</v>
      </c>
      <c r="K144" s="3">
        <f t="shared" si="20"/>
        <v>1739.001</v>
      </c>
      <c r="L144" s="3">
        <f t="shared" si="21"/>
        <v>595</v>
      </c>
      <c r="M144" s="3">
        <v>50</v>
      </c>
      <c r="N144" s="3">
        <f t="shared" si="18"/>
        <v>1739.001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Yes</v>
      </c>
      <c r="H145" s="3">
        <f t="shared" si="25"/>
        <v>120</v>
      </c>
      <c r="I145" s="3">
        <f t="shared" si="26"/>
        <v>33.33</v>
      </c>
      <c r="J145" s="3">
        <f t="shared" si="19"/>
        <v>5838.336666666667</v>
      </c>
      <c r="K145" s="3">
        <f t="shared" si="20"/>
        <v>1751.501</v>
      </c>
      <c r="L145" s="3">
        <f t="shared" si="21"/>
        <v>599.16666666666674</v>
      </c>
      <c r="M145" s="3">
        <v>50</v>
      </c>
      <c r="N145" s="3">
        <f t="shared" si="18"/>
        <v>1751.501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Yes</v>
      </c>
      <c r="H146" s="3">
        <f t="shared" si="25"/>
        <v>120</v>
      </c>
      <c r="I146" s="3">
        <f t="shared" si="26"/>
        <v>33.33</v>
      </c>
      <c r="J146" s="3">
        <f t="shared" si="19"/>
        <v>5880.0033333333331</v>
      </c>
      <c r="K146" s="3">
        <f t="shared" si="20"/>
        <v>1764.001</v>
      </c>
      <c r="L146" s="3">
        <f t="shared" si="21"/>
        <v>603.33333333333337</v>
      </c>
      <c r="M146" s="3">
        <v>50</v>
      </c>
      <c r="N146" s="3">
        <f t="shared" si="18"/>
        <v>1764.001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Yes</v>
      </c>
      <c r="H147" s="3">
        <f t="shared" si="25"/>
        <v>120</v>
      </c>
      <c r="I147" s="3">
        <f t="shared" si="26"/>
        <v>33.33</v>
      </c>
      <c r="J147" s="3">
        <f t="shared" si="19"/>
        <v>5921.67</v>
      </c>
      <c r="K147" s="3">
        <f t="shared" si="20"/>
        <v>1776.501</v>
      </c>
      <c r="L147" s="3">
        <f t="shared" si="21"/>
        <v>607.5</v>
      </c>
      <c r="M147" s="3">
        <v>50</v>
      </c>
      <c r="N147" s="3">
        <f t="shared" si="18"/>
        <v>1776.501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Yes</v>
      </c>
      <c r="H148" s="3">
        <f t="shared" si="25"/>
        <v>120</v>
      </c>
      <c r="I148" s="3">
        <f t="shared" si="26"/>
        <v>33.33</v>
      </c>
      <c r="J148" s="3">
        <f t="shared" si="19"/>
        <v>5963.336666666667</v>
      </c>
      <c r="K148" s="3">
        <f t="shared" si="20"/>
        <v>1789.001</v>
      </c>
      <c r="L148" s="3">
        <f t="shared" si="21"/>
        <v>611.66666666666674</v>
      </c>
      <c r="M148" s="3">
        <v>50</v>
      </c>
      <c r="N148" s="3">
        <f t="shared" si="18"/>
        <v>1789.001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Yes</v>
      </c>
      <c r="H149" s="3">
        <f t="shared" si="25"/>
        <v>120</v>
      </c>
      <c r="I149" s="3">
        <f t="shared" si="26"/>
        <v>33.33</v>
      </c>
      <c r="J149" s="3">
        <f t="shared" si="19"/>
        <v>6005.0033333333331</v>
      </c>
      <c r="K149" s="3">
        <f t="shared" si="20"/>
        <v>1801.501</v>
      </c>
      <c r="L149" s="3">
        <f t="shared" si="21"/>
        <v>615.83333333333337</v>
      </c>
      <c r="M149" s="3">
        <v>50</v>
      </c>
      <c r="N149" s="3">
        <f t="shared" si="18"/>
        <v>1801.501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Yes</v>
      </c>
      <c r="H150" s="3">
        <f t="shared" si="25"/>
        <v>120</v>
      </c>
      <c r="I150" s="3">
        <f t="shared" si="26"/>
        <v>33.33</v>
      </c>
      <c r="J150" s="3">
        <f t="shared" si="19"/>
        <v>6046.67</v>
      </c>
      <c r="K150" s="3">
        <f t="shared" si="20"/>
        <v>1814.001</v>
      </c>
      <c r="L150" s="3">
        <f t="shared" si="21"/>
        <v>620</v>
      </c>
      <c r="M150" s="3">
        <v>50</v>
      </c>
      <c r="N150" s="3">
        <f t="shared" si="18"/>
        <v>1814.001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Yes</v>
      </c>
      <c r="H151" s="3">
        <f t="shared" si="25"/>
        <v>120</v>
      </c>
      <c r="I151" s="3">
        <f t="shared" si="26"/>
        <v>33.33</v>
      </c>
      <c r="J151" s="3">
        <f t="shared" si="19"/>
        <v>6088.336666666667</v>
      </c>
      <c r="K151" s="3">
        <f t="shared" si="20"/>
        <v>1826.501</v>
      </c>
      <c r="L151" s="3">
        <f t="shared" si="21"/>
        <v>624.16666666666674</v>
      </c>
      <c r="M151" s="3">
        <v>50</v>
      </c>
      <c r="N151" s="3">
        <f t="shared" si="18"/>
        <v>1826.501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Yes</v>
      </c>
      <c r="H152" s="3">
        <f t="shared" si="25"/>
        <v>120</v>
      </c>
      <c r="I152" s="3">
        <f t="shared" si="26"/>
        <v>33.33</v>
      </c>
      <c r="J152" s="3">
        <f t="shared" si="19"/>
        <v>6130.0033333333331</v>
      </c>
      <c r="K152" s="3">
        <f t="shared" si="20"/>
        <v>1839.001</v>
      </c>
      <c r="L152" s="3">
        <f t="shared" si="21"/>
        <v>628.33333333333337</v>
      </c>
      <c r="M152" s="3">
        <v>50</v>
      </c>
      <c r="N152" s="3">
        <f t="shared" si="18"/>
        <v>1839.001</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Yes</v>
      </c>
      <c r="H153" s="3">
        <f t="shared" si="25"/>
        <v>120</v>
      </c>
      <c r="I153" s="3">
        <f t="shared" si="26"/>
        <v>33.33</v>
      </c>
      <c r="J153" s="3">
        <f t="shared" si="19"/>
        <v>6171.67</v>
      </c>
      <c r="K153" s="3">
        <f t="shared" si="20"/>
        <v>1851.501</v>
      </c>
      <c r="L153" s="3">
        <f t="shared" si="21"/>
        <v>632.5</v>
      </c>
      <c r="M153" s="3">
        <v>50</v>
      </c>
      <c r="N153" s="3">
        <f t="shared" si="18"/>
        <v>1851.501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Yes</v>
      </c>
      <c r="H154" s="3">
        <f t="shared" si="25"/>
        <v>120</v>
      </c>
      <c r="I154" s="3">
        <f t="shared" si="26"/>
        <v>33.33</v>
      </c>
      <c r="J154" s="3">
        <f t="shared" si="19"/>
        <v>6213.336666666667</v>
      </c>
      <c r="K154" s="3">
        <f t="shared" si="20"/>
        <v>1864.001</v>
      </c>
      <c r="L154" s="3">
        <f t="shared" si="21"/>
        <v>636.66666666666674</v>
      </c>
      <c r="M154" s="3">
        <v>50</v>
      </c>
      <c r="N154" s="3">
        <f t="shared" si="18"/>
        <v>1864.001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Yes</v>
      </c>
      <c r="H155" s="3">
        <f t="shared" si="25"/>
        <v>120</v>
      </c>
      <c r="I155" s="3">
        <f t="shared" si="26"/>
        <v>33.33</v>
      </c>
      <c r="J155" s="3">
        <f t="shared" si="19"/>
        <v>6255.0033333333331</v>
      </c>
      <c r="K155" s="3">
        <f t="shared" si="20"/>
        <v>1876.5009999999997</v>
      </c>
      <c r="L155" s="3">
        <f t="shared" si="21"/>
        <v>640.83333333333337</v>
      </c>
      <c r="M155" s="3">
        <v>50</v>
      </c>
      <c r="N155" s="3">
        <f t="shared" si="18"/>
        <v>1876.5009999999997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Yes</v>
      </c>
      <c r="H156" s="3">
        <f t="shared" si="25"/>
        <v>120</v>
      </c>
      <c r="I156" s="3">
        <f t="shared" si="26"/>
        <v>33.33</v>
      </c>
      <c r="J156" s="3">
        <f t="shared" si="19"/>
        <v>6296.67</v>
      </c>
      <c r="K156" s="3">
        <f t="shared" si="20"/>
        <v>1889.001</v>
      </c>
      <c r="L156" s="3">
        <f t="shared" si="21"/>
        <v>645</v>
      </c>
      <c r="M156" s="3">
        <v>50</v>
      </c>
      <c r="N156" s="3">
        <f t="shared" si="18"/>
        <v>1889.001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No</v>
      </c>
      <c r="H157" s="3">
        <f t="shared" si="25"/>
        <v>120</v>
      </c>
      <c r="I157" s="3">
        <f t="shared" si="26"/>
        <v>33.33</v>
      </c>
      <c r="J157" s="3">
        <f t="shared" si="19"/>
        <v>6338.336666666667</v>
      </c>
      <c r="K157" s="3">
        <f t="shared" si="20"/>
        <v>1901.501</v>
      </c>
      <c r="L157" s="3">
        <f t="shared" si="21"/>
        <v>649.16666666666674</v>
      </c>
      <c r="M157" s="3">
        <v>50</v>
      </c>
      <c r="N157" s="3">
        <f t="shared" si="18"/>
        <v>1901.501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No</v>
      </c>
      <c r="H158" s="3">
        <f t="shared" si="25"/>
        <v>120</v>
      </c>
      <c r="I158" s="3">
        <f t="shared" si="26"/>
        <v>33.33</v>
      </c>
      <c r="J158" s="3">
        <f t="shared" si="19"/>
        <v>6380.0033333333331</v>
      </c>
      <c r="K158" s="3">
        <f t="shared" si="20"/>
        <v>1914.0009999999997</v>
      </c>
      <c r="L158" s="3">
        <f t="shared" si="21"/>
        <v>653.33333333333337</v>
      </c>
      <c r="M158" s="3">
        <v>50</v>
      </c>
      <c r="N158" s="3">
        <f t="shared" si="18"/>
        <v>1914.0009999999997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No</v>
      </c>
      <c r="H159" s="3">
        <f t="shared" si="25"/>
        <v>120</v>
      </c>
      <c r="I159" s="3">
        <f t="shared" si="26"/>
        <v>33.33</v>
      </c>
      <c r="J159" s="3">
        <f t="shared" si="19"/>
        <v>6421.67</v>
      </c>
      <c r="K159" s="3">
        <f t="shared" si="20"/>
        <v>1926.501</v>
      </c>
      <c r="L159" s="3">
        <f t="shared" si="21"/>
        <v>657.5</v>
      </c>
      <c r="M159" s="3">
        <v>50</v>
      </c>
      <c r="N159" s="3">
        <f t="shared" si="18"/>
        <v>1926.501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No</v>
      </c>
      <c r="H160" s="3">
        <f t="shared" si="25"/>
        <v>120</v>
      </c>
      <c r="I160" s="3">
        <f t="shared" si="26"/>
        <v>33.33</v>
      </c>
      <c r="J160" s="3">
        <f t="shared" si="19"/>
        <v>6463.336666666667</v>
      </c>
      <c r="K160" s="3">
        <f t="shared" si="20"/>
        <v>1939.001</v>
      </c>
      <c r="L160" s="3">
        <f t="shared" si="21"/>
        <v>661.66666666666674</v>
      </c>
      <c r="M160" s="3">
        <v>50</v>
      </c>
      <c r="N160" s="3">
        <f t="shared" si="18"/>
        <v>1939.001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No</v>
      </c>
      <c r="H161" s="3">
        <f t="shared" si="25"/>
        <v>120</v>
      </c>
      <c r="I161" s="3">
        <f t="shared" si="26"/>
        <v>33.33</v>
      </c>
      <c r="J161" s="3">
        <f t="shared" si="19"/>
        <v>6505.0033333333331</v>
      </c>
      <c r="K161" s="3">
        <f t="shared" si="20"/>
        <v>1951.5009999999997</v>
      </c>
      <c r="L161" s="3">
        <f t="shared" si="21"/>
        <v>665.83333333333337</v>
      </c>
      <c r="M161" s="3">
        <v>50</v>
      </c>
      <c r="N161" s="3">
        <f t="shared" si="18"/>
        <v>1951.5009999999997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No</v>
      </c>
      <c r="H162" s="3">
        <f t="shared" si="25"/>
        <v>120</v>
      </c>
      <c r="I162" s="3">
        <f t="shared" si="26"/>
        <v>33.33</v>
      </c>
      <c r="J162" s="3">
        <f t="shared" si="19"/>
        <v>6546.67</v>
      </c>
      <c r="K162" s="3">
        <f t="shared" si="20"/>
        <v>1964.001</v>
      </c>
      <c r="L162" s="3">
        <f t="shared" si="21"/>
        <v>670</v>
      </c>
      <c r="M162" s="3">
        <v>50</v>
      </c>
      <c r="N162" s="3">
        <f t="shared" si="18"/>
        <v>1964.001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No</v>
      </c>
      <c r="H163" s="3">
        <f t="shared" si="25"/>
        <v>120</v>
      </c>
      <c r="I163" s="3">
        <f t="shared" si="26"/>
        <v>33.33</v>
      </c>
      <c r="J163" s="3">
        <f t="shared" si="19"/>
        <v>6588.336666666667</v>
      </c>
      <c r="K163" s="3">
        <f t="shared" si="20"/>
        <v>1976.501</v>
      </c>
      <c r="L163" s="3">
        <f t="shared" si="21"/>
        <v>674.16666666666674</v>
      </c>
      <c r="M163" s="3">
        <v>50</v>
      </c>
      <c r="N163" s="3">
        <f t="shared" si="18"/>
        <v>1976.501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No</v>
      </c>
      <c r="H164" s="3">
        <f t="shared" si="25"/>
        <v>120</v>
      </c>
      <c r="I164" s="3">
        <f t="shared" si="26"/>
        <v>33.33</v>
      </c>
      <c r="J164" s="3">
        <f t="shared" si="19"/>
        <v>6630.0033333333331</v>
      </c>
      <c r="K164" s="3">
        <f t="shared" si="20"/>
        <v>1989.0009999999997</v>
      </c>
      <c r="L164" s="3">
        <f t="shared" si="21"/>
        <v>678.33333333333337</v>
      </c>
      <c r="M164" s="3">
        <v>50</v>
      </c>
      <c r="N164" s="3">
        <f t="shared" si="18"/>
        <v>1989.0009999999997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120</v>
      </c>
      <c r="I165" s="3">
        <f t="shared" si="26"/>
        <v>33.33</v>
      </c>
      <c r="J165" s="3">
        <f t="shared" si="19"/>
        <v>6671.67</v>
      </c>
      <c r="K165" s="3">
        <f t="shared" si="20"/>
        <v>2001.501</v>
      </c>
      <c r="L165" s="3">
        <f t="shared" si="21"/>
        <v>682.5</v>
      </c>
      <c r="M165" s="3">
        <v>50</v>
      </c>
      <c r="N165" s="3">
        <f t="shared" si="18"/>
        <v>2001.501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120</v>
      </c>
      <c r="I166" s="3">
        <f t="shared" si="26"/>
        <v>33.33</v>
      </c>
      <c r="J166" s="3">
        <f t="shared" si="19"/>
        <v>6713.336666666667</v>
      </c>
      <c r="K166" s="3">
        <f t="shared" si="20"/>
        <v>2014.001</v>
      </c>
      <c r="L166" s="3">
        <f t="shared" si="21"/>
        <v>686.66666666666674</v>
      </c>
      <c r="M166" s="3">
        <v>50</v>
      </c>
      <c r="N166" s="3">
        <f t="shared" si="18"/>
        <v>2014.001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120</v>
      </c>
      <c r="I167" s="3">
        <f t="shared" si="26"/>
        <v>33.33</v>
      </c>
      <c r="J167" s="3">
        <f t="shared" si="19"/>
        <v>6755.0033333333331</v>
      </c>
      <c r="K167" s="3">
        <f t="shared" si="20"/>
        <v>2026.5009999999997</v>
      </c>
      <c r="L167" s="3">
        <f t="shared" si="21"/>
        <v>690.83333333333337</v>
      </c>
      <c r="M167" s="3">
        <v>50</v>
      </c>
      <c r="N167" s="3">
        <f t="shared" si="18"/>
        <v>2026.5009999999997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120</v>
      </c>
      <c r="I168" s="3">
        <f t="shared" si="26"/>
        <v>33.33</v>
      </c>
      <c r="J168" s="3">
        <f t="shared" si="19"/>
        <v>6796.67</v>
      </c>
      <c r="K168" s="3">
        <f t="shared" si="20"/>
        <v>2039.001</v>
      </c>
      <c r="L168" s="3">
        <f t="shared" si="21"/>
        <v>695</v>
      </c>
      <c r="M168" s="3">
        <v>50</v>
      </c>
      <c r="N168" s="3">
        <f t="shared" si="18"/>
        <v>2039.001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120</v>
      </c>
      <c r="I169" s="3">
        <f t="shared" si="26"/>
        <v>33.33</v>
      </c>
      <c r="J169" s="3">
        <f t="shared" si="19"/>
        <v>6838.336666666667</v>
      </c>
      <c r="K169" s="3">
        <f t="shared" si="20"/>
        <v>2051.5010000000002</v>
      </c>
      <c r="L169" s="3">
        <f t="shared" si="21"/>
        <v>699.16666666666674</v>
      </c>
      <c r="M169" s="3">
        <v>50</v>
      </c>
      <c r="N169" s="3">
        <f t="shared" si="18"/>
        <v>2051.5010000000002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120</v>
      </c>
      <c r="I170" s="3">
        <f t="shared" si="26"/>
        <v>33.33</v>
      </c>
      <c r="J170" s="3">
        <f t="shared" si="19"/>
        <v>6880.0033333333331</v>
      </c>
      <c r="K170" s="3">
        <f t="shared" si="20"/>
        <v>2064.0009999999997</v>
      </c>
      <c r="L170" s="3">
        <f t="shared" si="21"/>
        <v>703.33333333333337</v>
      </c>
      <c r="M170" s="3">
        <v>50</v>
      </c>
      <c r="N170" s="3">
        <f t="shared" si="18"/>
        <v>2064.0009999999997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120</v>
      </c>
      <c r="I171" s="3">
        <f t="shared" si="26"/>
        <v>33.33</v>
      </c>
      <c r="J171" s="3">
        <f t="shared" si="19"/>
        <v>6921.67</v>
      </c>
      <c r="K171" s="3">
        <f t="shared" si="20"/>
        <v>2076.5009999999997</v>
      </c>
      <c r="L171" s="3">
        <f t="shared" si="21"/>
        <v>707.5</v>
      </c>
      <c r="M171" s="3">
        <v>50</v>
      </c>
      <c r="N171" s="3">
        <f t="shared" ref="N171:N206" si="27">MAX(K171:M171)</f>
        <v>2076.5009999999997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120</v>
      </c>
      <c r="I172" s="3">
        <f t="shared" si="26"/>
        <v>33.33</v>
      </c>
      <c r="J172" s="3">
        <f t="shared" si="19"/>
        <v>6963.336666666667</v>
      </c>
      <c r="K172" s="3">
        <f t="shared" si="20"/>
        <v>2089.0010000000002</v>
      </c>
      <c r="L172" s="3">
        <f t="shared" si="21"/>
        <v>711.66666666666674</v>
      </c>
      <c r="M172" s="3">
        <v>50</v>
      </c>
      <c r="N172" s="3">
        <f t="shared" si="27"/>
        <v>2089.0010000000002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120</v>
      </c>
      <c r="I173" s="3">
        <f t="shared" si="26"/>
        <v>33.33</v>
      </c>
      <c r="J173" s="3">
        <f t="shared" si="19"/>
        <v>7005.0033333333331</v>
      </c>
      <c r="K173" s="3">
        <f t="shared" si="20"/>
        <v>2101.5009999999997</v>
      </c>
      <c r="L173" s="3">
        <f t="shared" si="21"/>
        <v>715.83333333333337</v>
      </c>
      <c r="M173" s="3">
        <v>50</v>
      </c>
      <c r="N173" s="3">
        <f t="shared" si="27"/>
        <v>2101.5009999999997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120</v>
      </c>
      <c r="I174" s="3">
        <f t="shared" si="26"/>
        <v>33.33</v>
      </c>
      <c r="J174" s="3">
        <f t="shared" si="19"/>
        <v>7046.67</v>
      </c>
      <c r="K174" s="3">
        <f t="shared" si="20"/>
        <v>2114.0009999999997</v>
      </c>
      <c r="L174" s="3">
        <f t="shared" si="21"/>
        <v>720</v>
      </c>
      <c r="M174" s="3">
        <v>50</v>
      </c>
      <c r="N174" s="3">
        <f t="shared" si="27"/>
        <v>2114.0009999999997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120</v>
      </c>
      <c r="I175" s="3">
        <f t="shared" si="26"/>
        <v>33.33</v>
      </c>
      <c r="J175" s="3">
        <f t="shared" si="19"/>
        <v>7088.336666666667</v>
      </c>
      <c r="K175" s="3">
        <f t="shared" si="20"/>
        <v>2126.5010000000002</v>
      </c>
      <c r="L175" s="3">
        <f t="shared" si="21"/>
        <v>724.16666666666674</v>
      </c>
      <c r="M175" s="3">
        <v>50</v>
      </c>
      <c r="N175" s="3">
        <f t="shared" si="27"/>
        <v>2126.5010000000002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120</v>
      </c>
      <c r="I176" s="3">
        <f t="shared" si="26"/>
        <v>33.33</v>
      </c>
      <c r="J176" s="3">
        <f t="shared" si="19"/>
        <v>7130.0033333333331</v>
      </c>
      <c r="K176" s="3">
        <f t="shared" si="20"/>
        <v>2139.0009999999997</v>
      </c>
      <c r="L176" s="3">
        <f t="shared" si="21"/>
        <v>728.33333333333337</v>
      </c>
      <c r="M176" s="3">
        <v>50</v>
      </c>
      <c r="N176" s="3">
        <f t="shared" si="27"/>
        <v>2139.0009999999997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120</v>
      </c>
      <c r="I177" s="3">
        <f t="shared" si="26"/>
        <v>33.33</v>
      </c>
      <c r="J177" s="3">
        <f t="shared" si="19"/>
        <v>7171.67</v>
      </c>
      <c r="K177" s="3">
        <f t="shared" si="20"/>
        <v>2151.5009999999997</v>
      </c>
      <c r="L177" s="3">
        <f t="shared" si="21"/>
        <v>732.5</v>
      </c>
      <c r="M177" s="3">
        <v>50</v>
      </c>
      <c r="N177" s="3">
        <f t="shared" si="27"/>
        <v>2151.5009999999997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120</v>
      </c>
      <c r="I178" s="3">
        <f t="shared" si="26"/>
        <v>33.33</v>
      </c>
      <c r="J178" s="3">
        <f t="shared" si="19"/>
        <v>7213.336666666667</v>
      </c>
      <c r="K178" s="3">
        <f t="shared" si="20"/>
        <v>2164.0010000000002</v>
      </c>
      <c r="L178" s="3">
        <f t="shared" si="21"/>
        <v>736.66666666666674</v>
      </c>
      <c r="M178" s="3">
        <v>50</v>
      </c>
      <c r="N178" s="3">
        <f t="shared" si="27"/>
        <v>2164.0010000000002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120</v>
      </c>
      <c r="I179" s="3">
        <f t="shared" si="26"/>
        <v>33.33</v>
      </c>
      <c r="J179" s="3">
        <f t="shared" si="19"/>
        <v>7255.0033333333331</v>
      </c>
      <c r="K179" s="3">
        <f t="shared" si="20"/>
        <v>2176.5009999999997</v>
      </c>
      <c r="L179" s="3">
        <f t="shared" si="21"/>
        <v>740.83333333333337</v>
      </c>
      <c r="M179" s="3">
        <v>50</v>
      </c>
      <c r="N179" s="3">
        <f t="shared" si="27"/>
        <v>2176.5009999999997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120</v>
      </c>
      <c r="I180" s="3">
        <f t="shared" si="26"/>
        <v>33.33</v>
      </c>
      <c r="J180" s="3">
        <f t="shared" si="19"/>
        <v>7296.67</v>
      </c>
      <c r="K180" s="3">
        <f t="shared" si="20"/>
        <v>2189.0009999999997</v>
      </c>
      <c r="L180" s="3">
        <f t="shared" si="21"/>
        <v>745</v>
      </c>
      <c r="M180" s="3">
        <v>50</v>
      </c>
      <c r="N180" s="3">
        <f t="shared" si="27"/>
        <v>2189.0009999999997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120</v>
      </c>
      <c r="I181" s="3">
        <f t="shared" si="26"/>
        <v>33.33</v>
      </c>
      <c r="J181" s="3">
        <f t="shared" si="19"/>
        <v>7338.336666666667</v>
      </c>
      <c r="K181" s="3">
        <f t="shared" si="20"/>
        <v>2201.5010000000002</v>
      </c>
      <c r="L181" s="3">
        <f t="shared" si="21"/>
        <v>749.16666666666674</v>
      </c>
      <c r="M181" s="3">
        <v>50</v>
      </c>
      <c r="N181" s="3">
        <f t="shared" si="27"/>
        <v>2201.5010000000002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120</v>
      </c>
      <c r="I182" s="3">
        <f t="shared" si="26"/>
        <v>33.33</v>
      </c>
      <c r="J182" s="3">
        <f t="shared" si="19"/>
        <v>7380.0033333333331</v>
      </c>
      <c r="K182" s="3">
        <f t="shared" si="20"/>
        <v>2214.0009999999997</v>
      </c>
      <c r="L182" s="3">
        <f t="shared" si="21"/>
        <v>753.33333333333337</v>
      </c>
      <c r="M182" s="3">
        <v>50</v>
      </c>
      <c r="N182" s="3">
        <f t="shared" si="27"/>
        <v>2214.0009999999997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120</v>
      </c>
      <c r="I183" s="3">
        <f t="shared" si="26"/>
        <v>33.33</v>
      </c>
      <c r="J183" s="3">
        <f t="shared" si="19"/>
        <v>7421.67</v>
      </c>
      <c r="K183" s="3">
        <f t="shared" si="20"/>
        <v>2226.5009999999997</v>
      </c>
      <c r="L183" s="3">
        <f t="shared" si="21"/>
        <v>757.5</v>
      </c>
      <c r="M183" s="3">
        <v>50</v>
      </c>
      <c r="N183" s="3">
        <f t="shared" si="27"/>
        <v>2226.5009999999997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120</v>
      </c>
      <c r="I184" s="3">
        <f t="shared" si="26"/>
        <v>33.33</v>
      </c>
      <c r="J184" s="3">
        <f t="shared" si="19"/>
        <v>7463.336666666667</v>
      </c>
      <c r="K184" s="3">
        <f t="shared" si="20"/>
        <v>2239.0010000000002</v>
      </c>
      <c r="L184" s="3">
        <f t="shared" si="21"/>
        <v>761.66666666666674</v>
      </c>
      <c r="M184" s="3">
        <v>50</v>
      </c>
      <c r="N184" s="3">
        <f t="shared" si="27"/>
        <v>2239.0010000000002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120</v>
      </c>
      <c r="I185" s="3">
        <f t="shared" si="26"/>
        <v>33.33</v>
      </c>
      <c r="J185" s="3">
        <f t="shared" si="19"/>
        <v>7505.0033333333331</v>
      </c>
      <c r="K185" s="3">
        <f t="shared" si="20"/>
        <v>2251.5009999999997</v>
      </c>
      <c r="L185" s="3">
        <f t="shared" si="21"/>
        <v>765.83333333333337</v>
      </c>
      <c r="M185" s="3">
        <v>50</v>
      </c>
      <c r="N185" s="3">
        <f t="shared" si="27"/>
        <v>2251.5009999999997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120</v>
      </c>
      <c r="I186" s="3">
        <f t="shared" si="26"/>
        <v>33.33</v>
      </c>
      <c r="J186" s="3">
        <f t="shared" si="19"/>
        <v>7546.67</v>
      </c>
      <c r="K186" s="3">
        <f t="shared" si="20"/>
        <v>2264.0009999999997</v>
      </c>
      <c r="L186" s="3">
        <f t="shared" si="21"/>
        <v>770</v>
      </c>
      <c r="M186" s="3">
        <v>50</v>
      </c>
      <c r="N186" s="3">
        <f t="shared" si="27"/>
        <v>2264.0009999999997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120</v>
      </c>
      <c r="I187" s="3">
        <f t="shared" si="26"/>
        <v>33.33</v>
      </c>
      <c r="J187" s="3">
        <f t="shared" si="19"/>
        <v>7588.336666666667</v>
      </c>
      <c r="K187" s="3">
        <f t="shared" si="20"/>
        <v>2276.5010000000002</v>
      </c>
      <c r="L187" s="3">
        <f t="shared" si="21"/>
        <v>774.16666666666674</v>
      </c>
      <c r="M187" s="3">
        <v>50</v>
      </c>
      <c r="N187" s="3">
        <f t="shared" si="27"/>
        <v>2276.5010000000002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120</v>
      </c>
      <c r="I188" s="3">
        <f t="shared" si="26"/>
        <v>33.33</v>
      </c>
      <c r="J188" s="3">
        <f t="shared" si="19"/>
        <v>7630.0033333333331</v>
      </c>
      <c r="K188" s="3">
        <f t="shared" si="20"/>
        <v>2289.0009999999997</v>
      </c>
      <c r="L188" s="3">
        <f t="shared" si="21"/>
        <v>778.33333333333337</v>
      </c>
      <c r="M188" s="3">
        <v>50</v>
      </c>
      <c r="N188" s="3">
        <f t="shared" si="27"/>
        <v>2289.0009999999997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120</v>
      </c>
      <c r="I189" s="3">
        <f t="shared" si="26"/>
        <v>33.33</v>
      </c>
      <c r="J189" s="3">
        <f t="shared" si="19"/>
        <v>7671.67</v>
      </c>
      <c r="K189" s="3">
        <f t="shared" si="20"/>
        <v>2301.5009999999997</v>
      </c>
      <c r="L189" s="3">
        <f t="shared" si="21"/>
        <v>782.5</v>
      </c>
      <c r="M189" s="3">
        <v>50</v>
      </c>
      <c r="N189" s="3">
        <f t="shared" si="27"/>
        <v>2301.5009999999997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120</v>
      </c>
      <c r="I190" s="3">
        <f t="shared" si="26"/>
        <v>33.33</v>
      </c>
      <c r="J190" s="3">
        <f t="shared" si="19"/>
        <v>7713.336666666667</v>
      </c>
      <c r="K190" s="3">
        <f t="shared" si="20"/>
        <v>2314.0010000000002</v>
      </c>
      <c r="L190" s="3">
        <f t="shared" si="21"/>
        <v>786.66666666666674</v>
      </c>
      <c r="M190" s="3">
        <v>50</v>
      </c>
      <c r="N190" s="3">
        <f t="shared" si="27"/>
        <v>2314.0010000000002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120</v>
      </c>
      <c r="I191" s="3">
        <f t="shared" si="26"/>
        <v>33.33</v>
      </c>
      <c r="J191" s="3">
        <f t="shared" si="19"/>
        <v>7755.0033333333331</v>
      </c>
      <c r="K191" s="3">
        <f t="shared" si="20"/>
        <v>2326.5009999999997</v>
      </c>
      <c r="L191" s="3">
        <f t="shared" si="21"/>
        <v>790.83333333333337</v>
      </c>
      <c r="M191" s="3">
        <v>50</v>
      </c>
      <c r="N191" s="3">
        <f t="shared" si="27"/>
        <v>2326.5009999999997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120</v>
      </c>
      <c r="I192" s="3">
        <f t="shared" si="26"/>
        <v>33.33</v>
      </c>
      <c r="J192" s="3">
        <f t="shared" si="19"/>
        <v>7796.67</v>
      </c>
      <c r="K192" s="3">
        <f t="shared" si="20"/>
        <v>2339.0009999999997</v>
      </c>
      <c r="L192" s="3">
        <f t="shared" si="21"/>
        <v>795</v>
      </c>
      <c r="M192" s="3">
        <v>50</v>
      </c>
      <c r="N192" s="3">
        <f t="shared" si="27"/>
        <v>2339.0009999999997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120</v>
      </c>
      <c r="I193" s="3">
        <f t="shared" si="26"/>
        <v>33.33</v>
      </c>
      <c r="J193" s="3">
        <f t="shared" si="19"/>
        <v>7838.336666666667</v>
      </c>
      <c r="K193" s="3">
        <f t="shared" si="20"/>
        <v>2351.5010000000002</v>
      </c>
      <c r="L193" s="3">
        <f t="shared" si="21"/>
        <v>799.16666666666674</v>
      </c>
      <c r="M193" s="3">
        <v>50</v>
      </c>
      <c r="N193" s="3">
        <f t="shared" si="27"/>
        <v>2351.5010000000002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120</v>
      </c>
      <c r="I194" s="3">
        <f t="shared" si="26"/>
        <v>33.33</v>
      </c>
      <c r="J194" s="3">
        <f t="shared" si="19"/>
        <v>7880.0033333333331</v>
      </c>
      <c r="K194" s="3">
        <f t="shared" si="20"/>
        <v>2364.0009999999997</v>
      </c>
      <c r="L194" s="3">
        <f t="shared" si="21"/>
        <v>803.33333333333337</v>
      </c>
      <c r="M194" s="3">
        <v>50</v>
      </c>
      <c r="N194" s="3">
        <f t="shared" si="27"/>
        <v>2364.0009999999997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120</v>
      </c>
      <c r="I195" s="3">
        <f t="shared" si="26"/>
        <v>33.33</v>
      </c>
      <c r="J195" s="3">
        <f t="shared" si="19"/>
        <v>7921.67</v>
      </c>
      <c r="K195" s="3">
        <f t="shared" si="20"/>
        <v>2376.5009999999997</v>
      </c>
      <c r="L195" s="3">
        <f t="shared" si="21"/>
        <v>807.5</v>
      </c>
      <c r="M195" s="3">
        <v>50</v>
      </c>
      <c r="N195" s="3">
        <f t="shared" si="27"/>
        <v>2376.5009999999997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120</v>
      </c>
      <c r="I196" s="3">
        <f t="shared" si="26"/>
        <v>33.33</v>
      </c>
      <c r="J196" s="3">
        <f t="shared" si="19"/>
        <v>7963.336666666667</v>
      </c>
      <c r="K196" s="3">
        <f t="shared" si="20"/>
        <v>2389.0010000000002</v>
      </c>
      <c r="L196" s="3">
        <f t="shared" si="21"/>
        <v>811.66666666666674</v>
      </c>
      <c r="M196" s="3">
        <v>50</v>
      </c>
      <c r="N196" s="3">
        <f t="shared" si="27"/>
        <v>2389.0010000000002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120</v>
      </c>
      <c r="I197" s="3">
        <f t="shared" si="26"/>
        <v>33.33</v>
      </c>
      <c r="J197" s="3">
        <f t="shared" si="19"/>
        <v>8005.0033333333331</v>
      </c>
      <c r="K197" s="3">
        <f t="shared" si="20"/>
        <v>2401.5009999999997</v>
      </c>
      <c r="L197" s="3">
        <f t="shared" si="21"/>
        <v>815.83333333333337</v>
      </c>
      <c r="M197" s="3">
        <v>50</v>
      </c>
      <c r="N197" s="3">
        <f t="shared" si="27"/>
        <v>2401.5009999999997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120</v>
      </c>
      <c r="I198" s="3">
        <f t="shared" si="26"/>
        <v>33.33</v>
      </c>
      <c r="J198" s="3">
        <f t="shared" ref="J198:J206" si="28">IF(F198-H198-I198&lt;0,0,F198-H198-I198)</f>
        <v>8046.67</v>
      </c>
      <c r="K198" s="3">
        <f t="shared" ref="K198:K206" si="29">J198*0.3</f>
        <v>2414.0009999999997</v>
      </c>
      <c r="L198" s="3">
        <f t="shared" ref="L198:L206" si="30">F198*0.1</f>
        <v>820</v>
      </c>
      <c r="M198" s="3">
        <v>50</v>
      </c>
      <c r="N198" s="3">
        <f t="shared" si="27"/>
        <v>2414.0009999999997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120</v>
      </c>
      <c r="I199" s="3">
        <f t="shared" ref="I199:I211" si="35">IF($H$2+$I$2&gt;0,33.33,0)</f>
        <v>33.33</v>
      </c>
      <c r="J199" s="3">
        <f t="shared" si="28"/>
        <v>8088.336666666668</v>
      </c>
      <c r="K199" s="3">
        <f t="shared" si="29"/>
        <v>2426.5010000000002</v>
      </c>
      <c r="L199" s="3">
        <f t="shared" si="30"/>
        <v>824.16666666666686</v>
      </c>
      <c r="M199" s="3">
        <v>50</v>
      </c>
      <c r="N199" s="3">
        <f t="shared" si="27"/>
        <v>2426.5010000000002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120</v>
      </c>
      <c r="I200" s="3">
        <f t="shared" si="35"/>
        <v>33.33</v>
      </c>
      <c r="J200" s="3">
        <f t="shared" si="28"/>
        <v>8130.0033333333322</v>
      </c>
      <c r="K200" s="3">
        <f t="shared" si="29"/>
        <v>2439.0009999999997</v>
      </c>
      <c r="L200" s="3">
        <f t="shared" si="30"/>
        <v>828.33333333333326</v>
      </c>
      <c r="M200" s="3">
        <v>50</v>
      </c>
      <c r="N200" s="3">
        <f t="shared" si="27"/>
        <v>2439.0009999999997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120</v>
      </c>
      <c r="I201" s="3">
        <f t="shared" si="35"/>
        <v>33.33</v>
      </c>
      <c r="J201" s="3">
        <f t="shared" si="28"/>
        <v>8171.67</v>
      </c>
      <c r="K201" s="3">
        <f t="shared" si="29"/>
        <v>2451.5009999999997</v>
      </c>
      <c r="L201" s="3">
        <f t="shared" si="30"/>
        <v>832.5</v>
      </c>
      <c r="M201" s="3">
        <v>50</v>
      </c>
      <c r="N201" s="3">
        <f t="shared" si="27"/>
        <v>2451.5009999999997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120</v>
      </c>
      <c r="I202" s="3">
        <f t="shared" si="35"/>
        <v>33.33</v>
      </c>
      <c r="J202" s="3">
        <f t="shared" si="28"/>
        <v>8213.336666666668</v>
      </c>
      <c r="K202" s="3">
        <f t="shared" si="29"/>
        <v>2464.0010000000002</v>
      </c>
      <c r="L202" s="3">
        <f t="shared" si="30"/>
        <v>836.66666666666686</v>
      </c>
      <c r="M202" s="3">
        <v>50</v>
      </c>
      <c r="N202" s="3">
        <f t="shared" si="27"/>
        <v>2464.0010000000002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120</v>
      </c>
      <c r="I203" s="3">
        <f t="shared" si="35"/>
        <v>33.33</v>
      </c>
      <c r="J203" s="3">
        <f t="shared" si="28"/>
        <v>8255.003333333334</v>
      </c>
      <c r="K203" s="3">
        <f t="shared" si="29"/>
        <v>2476.5010000000002</v>
      </c>
      <c r="L203" s="3">
        <f t="shared" si="30"/>
        <v>840.83333333333348</v>
      </c>
      <c r="M203" s="3">
        <v>50</v>
      </c>
      <c r="N203" s="3">
        <f t="shared" si="27"/>
        <v>2476.5010000000002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120</v>
      </c>
      <c r="I204" s="3">
        <f t="shared" si="35"/>
        <v>33.33</v>
      </c>
      <c r="J204" s="3">
        <f t="shared" si="28"/>
        <v>8296.67</v>
      </c>
      <c r="K204" s="3">
        <f t="shared" si="29"/>
        <v>2489.0009999999997</v>
      </c>
      <c r="L204" s="3">
        <f t="shared" si="30"/>
        <v>845</v>
      </c>
      <c r="M204" s="3">
        <v>50</v>
      </c>
      <c r="N204" s="3">
        <f t="shared" si="27"/>
        <v>2489.0009999999997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120</v>
      </c>
      <c r="I205" s="3">
        <f t="shared" si="35"/>
        <v>33.33</v>
      </c>
      <c r="J205" s="3">
        <f t="shared" si="28"/>
        <v>8338.3366666666661</v>
      </c>
      <c r="K205" s="3">
        <f t="shared" si="29"/>
        <v>2501.5009999999997</v>
      </c>
      <c r="L205" s="3">
        <f t="shared" si="30"/>
        <v>849.16666666666663</v>
      </c>
      <c r="M205" s="3">
        <v>50</v>
      </c>
      <c r="N205" s="3">
        <f t="shared" si="27"/>
        <v>2501.5009999999997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120</v>
      </c>
      <c r="I206" s="3">
        <f t="shared" si="35"/>
        <v>33.33</v>
      </c>
      <c r="J206" s="3">
        <f t="shared" si="28"/>
        <v>8380.003333333334</v>
      </c>
      <c r="K206" s="3">
        <f t="shared" si="29"/>
        <v>2514.0010000000002</v>
      </c>
      <c r="L206" s="3">
        <f t="shared" si="30"/>
        <v>853.33333333333348</v>
      </c>
      <c r="M206" s="3">
        <v>50</v>
      </c>
      <c r="N206" s="3">
        <f t="shared" si="27"/>
        <v>2514.0010000000002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500</v>
      </c>
      <c r="C209" s="4">
        <f>MAX('TANF-VIEW'!L212,'TANF-VIEW'!T212)</f>
        <v>355.4</v>
      </c>
      <c r="D209" s="4">
        <f>'Total income package'!$D$80</f>
        <v>0</v>
      </c>
      <c r="E209" s="4">
        <f>'Total income package'!$H$61+'Total income package'!$F$66</f>
        <v>200</v>
      </c>
      <c r="F209" s="4">
        <f t="shared" ref="F209:F211" si="36">B209+C209+D209+E209</f>
        <v>1055.4000000000001</v>
      </c>
      <c r="G209" s="181" t="str">
        <f t="shared" ref="G209:G211" si="37">IF(F209&lt;$L$2,"Yes","No")</f>
        <v>Yes</v>
      </c>
      <c r="H209" s="3">
        <f t="shared" ref="H209:H211" si="38">40*($D$2+$I$2)</f>
        <v>120</v>
      </c>
      <c r="I209" s="3">
        <f t="shared" si="35"/>
        <v>33.33</v>
      </c>
      <c r="J209" s="3">
        <f>IF(F209-H209-I209&lt;0,0,F209-H209-I209)</f>
        <v>902.07</v>
      </c>
      <c r="K209" s="3">
        <f>J209*0.3</f>
        <v>270.62099999999998</v>
      </c>
      <c r="L209" s="3">
        <f>F209*0.1</f>
        <v>105.54000000000002</v>
      </c>
      <c r="M209" s="3">
        <v>50</v>
      </c>
      <c r="N209" s="3">
        <f>MAX(K209:M209)</f>
        <v>270.62099999999998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9" s="337">
        <f>IF(AND(G209="Yes",'Total income package'!$A$14=TRUE,P209-N209&gt;0),P209-N209,0)</f>
        <v>1217.3789999999999</v>
      </c>
    </row>
    <row r="210" spans="1:17" x14ac:dyDescent="0.25">
      <c r="A210" s="116" t="s">
        <v>303</v>
      </c>
      <c r="C210" s="4" t="s">
        <v>365</v>
      </c>
      <c r="D210" s="4"/>
      <c r="E210" s="4"/>
      <c r="F210" s="4"/>
      <c r="G210" s="181"/>
      <c r="H210" s="3"/>
      <c r="I210" s="3"/>
      <c r="J210" s="3"/>
    </row>
    <row r="211" spans="1:17" x14ac:dyDescent="0.25">
      <c r="B211" s="7">
        <f>'Total income package'!B91</f>
        <v>500</v>
      </c>
      <c r="C211" s="4">
        <f>MAX('TANF-VIEW'!L214,'TANF-VIEW'!T214)</f>
        <v>355.4</v>
      </c>
      <c r="D211" s="4">
        <f>'Total income package'!$D$80</f>
        <v>0</v>
      </c>
      <c r="E211" s="4">
        <f>'Total income package'!$H$61+'Total income package'!$F$66</f>
        <v>200</v>
      </c>
      <c r="F211" s="4">
        <f t="shared" si="36"/>
        <v>1055.4000000000001</v>
      </c>
      <c r="G211" s="181" t="str">
        <f t="shared" si="37"/>
        <v>Yes</v>
      </c>
      <c r="H211" s="3">
        <f t="shared" si="38"/>
        <v>120</v>
      </c>
      <c r="I211" s="3">
        <f t="shared" si="35"/>
        <v>33.33</v>
      </c>
      <c r="J211" s="3">
        <f>IF(F211-H211-I211&lt;0,0,F211-H211-I211)</f>
        <v>902.07</v>
      </c>
      <c r="K211" s="3">
        <f>J211*0.3</f>
        <v>270.62099999999998</v>
      </c>
      <c r="L211" s="3">
        <f>F211*0.1</f>
        <v>105.54000000000002</v>
      </c>
      <c r="M211" s="3">
        <v>50</v>
      </c>
      <c r="N211" s="3">
        <f>MAX(K211:M211)</f>
        <v>270.62099999999998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1" s="337">
        <f>IF(AND(G211="Yes",'Total income package'!$A$14=TRUE,P211-N211&gt;0),P211-N211,0)</f>
        <v>1217.3789999999999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7</v>
      </c>
      <c r="C2" s="77">
        <f>'Total income package'!B30</f>
        <v>4</v>
      </c>
      <c r="D2" s="77">
        <f>COUNTIF('Total income package'!B37:B44,"&gt;64")</f>
        <v>2</v>
      </c>
      <c r="E2" s="77">
        <f>'Total income package'!F61</f>
        <v>0</v>
      </c>
      <c r="F2" s="77">
        <f>'Total income package'!B31</f>
        <v>3</v>
      </c>
      <c r="G2" s="77">
        <f>'Total income package'!D66</f>
        <v>1</v>
      </c>
      <c r="H2" s="127">
        <f>VLOOKUP(Medicaid!B2,'Program specific data'!A5:J13,7,FALSE)</f>
        <v>209</v>
      </c>
      <c r="I2" s="155">
        <f>IF(A3=1,VLOOKUP(B2,'Program specific data'!A124:D131,2),IF(A3=2,VLOOKUP(B2,'Program specific data'!A124:D131,3),VLOOKUP(B2,'Program specific data'!A124:D131,4)))</f>
        <v>1142</v>
      </c>
      <c r="J2" s="155">
        <f>VLOOKUP(B2,'Program specific data'!A5:N13,6,FALSE)</f>
        <v>5547</v>
      </c>
      <c r="K2" s="151">
        <f>VLOOKUP(B2,'Program specific data'!A5:M13,11,FALSE)</f>
        <v>5964</v>
      </c>
      <c r="L2" s="155">
        <f>VLOOKUP(B2,'Program specific data'!A5:N13,13,FALSE)</f>
        <v>8109</v>
      </c>
      <c r="M2" s="78">
        <f>C2*'Program specific data'!C148</f>
        <v>2069</v>
      </c>
      <c r="P2" s="127">
        <f>F2*'Program specific data'!C152</f>
        <v>955.5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4</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2069</v>
      </c>
      <c r="M9" s="179">
        <f>IF(AND('Total income package'!$A$16=TRUE,E9&lt;$L$2),$P$2,0)</f>
        <v>955.5</v>
      </c>
      <c r="N9" s="204">
        <f>L9+M9</f>
        <v>3024.5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2069</v>
      </c>
      <c r="M10" s="179">
        <f>IF(AND('Total income package'!$A$16=TRUE,E10&lt;$L$2),$P$2,0)</f>
        <v>955.5</v>
      </c>
      <c r="N10" s="204">
        <f t="shared" ref="N10:N73" si="8">L10+M10</f>
        <v>3024.5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2069</v>
      </c>
      <c r="M11" s="179">
        <f>IF(AND('Total income package'!$A$16=TRUE,E11&lt;$L$2),$P$2,0)</f>
        <v>955.5</v>
      </c>
      <c r="N11" s="204">
        <f t="shared" si="8"/>
        <v>3024.5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2069</v>
      </c>
      <c r="M12" s="179">
        <f>IF(AND('Total income package'!$A$16=TRUE,E12&lt;$L$2),$P$2,0)</f>
        <v>955.5</v>
      </c>
      <c r="N12" s="204">
        <f t="shared" si="8"/>
        <v>3024.5</v>
      </c>
    </row>
    <row r="13" spans="1:18" x14ac:dyDescent="0.25">
      <c r="A13" s="105">
        <v>2000</v>
      </c>
      <c r="B13" s="4">
        <f t="shared" si="0"/>
        <v>166.66666666666666</v>
      </c>
      <c r="C13" s="4">
        <f>'Total income package'!$D$80</f>
        <v>0</v>
      </c>
      <c r="D13" s="4">
        <f t="shared" si="3"/>
        <v>166.66666666666666</v>
      </c>
      <c r="E13" s="4">
        <f t="shared" si="4"/>
        <v>0</v>
      </c>
      <c r="F13" t="str">
        <f t="shared" si="5"/>
        <v>Yes</v>
      </c>
      <c r="G13" t="str">
        <f t="shared" si="6"/>
        <v>Yes</v>
      </c>
      <c r="I13" t="str">
        <f t="shared" si="7"/>
        <v>No</v>
      </c>
      <c r="J13" t="str">
        <f t="shared" si="1"/>
        <v>Yes</v>
      </c>
      <c r="K13" t="str">
        <f t="shared" si="2"/>
        <v>Yes</v>
      </c>
      <c r="L13" s="203">
        <f>IF(AND('Total income package'!$A$16=TRUE,E13&lt;$J$2),$M$2,0)</f>
        <v>2069</v>
      </c>
      <c r="M13" s="179">
        <f>IF(AND('Total income package'!$A$16=TRUE,E13&lt;$L$2),$P$2,0)</f>
        <v>955.5</v>
      </c>
      <c r="N13" s="204">
        <f t="shared" si="8"/>
        <v>3024.5</v>
      </c>
    </row>
    <row r="14" spans="1:18" x14ac:dyDescent="0.25">
      <c r="A14" s="105">
        <v>2500</v>
      </c>
      <c r="B14" s="4">
        <f t="shared" si="0"/>
        <v>208.33333333333334</v>
      </c>
      <c r="C14" s="4">
        <f>'Total income package'!$D$80</f>
        <v>0</v>
      </c>
      <c r="D14" s="4">
        <f t="shared" si="3"/>
        <v>208.33333333333334</v>
      </c>
      <c r="E14" s="4">
        <f t="shared" si="4"/>
        <v>0</v>
      </c>
      <c r="F14" t="str">
        <f t="shared" si="5"/>
        <v>Yes</v>
      </c>
      <c r="G14" t="str">
        <f t="shared" si="6"/>
        <v>Yes</v>
      </c>
      <c r="I14" t="str">
        <f t="shared" si="7"/>
        <v>No</v>
      </c>
      <c r="J14" t="str">
        <f t="shared" si="1"/>
        <v>Yes</v>
      </c>
      <c r="K14" t="str">
        <f t="shared" si="2"/>
        <v>Yes</v>
      </c>
      <c r="L14" s="203">
        <f>IF(AND('Total income package'!$A$16=TRUE,E14&lt;$J$2),$M$2,0)</f>
        <v>2069</v>
      </c>
      <c r="M14" s="179">
        <f>IF(AND('Total income package'!$A$16=TRUE,E14&lt;$L$2),$P$2,0)</f>
        <v>955.5</v>
      </c>
      <c r="N14" s="204">
        <f t="shared" si="8"/>
        <v>3024.5</v>
      </c>
    </row>
    <row r="15" spans="1:18" x14ac:dyDescent="0.25">
      <c r="A15" s="105">
        <v>3000</v>
      </c>
      <c r="B15" s="4">
        <f t="shared" si="0"/>
        <v>250</v>
      </c>
      <c r="C15" s="4">
        <f>'Total income package'!$D$80</f>
        <v>0</v>
      </c>
      <c r="D15" s="4">
        <f t="shared" si="3"/>
        <v>250</v>
      </c>
      <c r="E15" s="4">
        <f t="shared" si="4"/>
        <v>41</v>
      </c>
      <c r="F15" t="str">
        <f t="shared" si="5"/>
        <v>Yes</v>
      </c>
      <c r="G15" t="str">
        <f t="shared" si="6"/>
        <v>Yes</v>
      </c>
      <c r="I15" t="str">
        <f t="shared" si="7"/>
        <v>No</v>
      </c>
      <c r="J15" t="str">
        <f t="shared" si="1"/>
        <v>Yes</v>
      </c>
      <c r="K15" t="str">
        <f t="shared" si="2"/>
        <v>Yes</v>
      </c>
      <c r="L15" s="203">
        <f>IF(AND('Total income package'!$A$16=TRUE,E15&lt;$J$2),$M$2,0)</f>
        <v>2069</v>
      </c>
      <c r="M15" s="179">
        <f>IF(AND('Total income package'!$A$16=TRUE,E15&lt;$L$2),$P$2,0)</f>
        <v>955.5</v>
      </c>
      <c r="N15" s="204">
        <f t="shared" si="8"/>
        <v>3024.5</v>
      </c>
    </row>
    <row r="16" spans="1:18" x14ac:dyDescent="0.25">
      <c r="A16" s="105">
        <v>3500</v>
      </c>
      <c r="B16" s="4">
        <f t="shared" si="0"/>
        <v>291.66666666666669</v>
      </c>
      <c r="C16" s="4">
        <f>'Total income package'!$D$80</f>
        <v>0</v>
      </c>
      <c r="D16" s="4">
        <f t="shared" si="3"/>
        <v>291.66666666666669</v>
      </c>
      <c r="E16" s="4">
        <f t="shared" si="4"/>
        <v>82.666666666666686</v>
      </c>
      <c r="F16" t="str">
        <f t="shared" si="5"/>
        <v>Yes</v>
      </c>
      <c r="G16" t="str">
        <f t="shared" si="6"/>
        <v>Yes</v>
      </c>
      <c r="I16" t="str">
        <f t="shared" si="7"/>
        <v>No</v>
      </c>
      <c r="J16" t="str">
        <f t="shared" si="1"/>
        <v>Yes</v>
      </c>
      <c r="K16" t="str">
        <f t="shared" si="2"/>
        <v>Yes</v>
      </c>
      <c r="L16" s="203">
        <f>IF(AND('Total income package'!$A$16=TRUE,E16&lt;$J$2),$M$2,0)</f>
        <v>2069</v>
      </c>
      <c r="M16" s="179">
        <f>IF(AND('Total income package'!$A$16=TRUE,E16&lt;$L$2),$P$2,0)</f>
        <v>955.5</v>
      </c>
      <c r="N16" s="204">
        <f t="shared" si="8"/>
        <v>3024.5</v>
      </c>
    </row>
    <row r="17" spans="1:14" x14ac:dyDescent="0.25">
      <c r="A17" s="105">
        <v>4000</v>
      </c>
      <c r="B17" s="4">
        <f t="shared" si="0"/>
        <v>333.33333333333331</v>
      </c>
      <c r="C17" s="4">
        <f>'Total income package'!$D$80</f>
        <v>0</v>
      </c>
      <c r="D17" s="4">
        <f t="shared" si="3"/>
        <v>333.33333333333331</v>
      </c>
      <c r="E17" s="4">
        <f t="shared" si="4"/>
        <v>124.33333333333331</v>
      </c>
      <c r="F17" t="str">
        <f t="shared" si="5"/>
        <v>Yes</v>
      </c>
      <c r="G17" t="str">
        <f t="shared" si="6"/>
        <v>Yes</v>
      </c>
      <c r="I17" t="str">
        <f t="shared" si="7"/>
        <v>No</v>
      </c>
      <c r="J17" t="str">
        <f t="shared" si="1"/>
        <v>Yes</v>
      </c>
      <c r="K17" t="str">
        <f t="shared" si="2"/>
        <v>Yes</v>
      </c>
      <c r="L17" s="203">
        <f>IF(AND('Total income package'!$A$16=TRUE,E17&lt;$J$2),$M$2,0)</f>
        <v>2069</v>
      </c>
      <c r="M17" s="179">
        <f>IF(AND('Total income package'!$A$16=TRUE,E17&lt;$L$2),$P$2,0)</f>
        <v>955.5</v>
      </c>
      <c r="N17" s="204">
        <f t="shared" si="8"/>
        <v>3024.5</v>
      </c>
    </row>
    <row r="18" spans="1:14" x14ac:dyDescent="0.25">
      <c r="A18" s="105">
        <v>4500</v>
      </c>
      <c r="B18" s="4">
        <f t="shared" si="0"/>
        <v>375</v>
      </c>
      <c r="C18" s="4">
        <f>'Total income package'!$D$80</f>
        <v>0</v>
      </c>
      <c r="D18" s="4">
        <f t="shared" si="3"/>
        <v>375</v>
      </c>
      <c r="E18" s="4">
        <f t="shared" si="4"/>
        <v>166</v>
      </c>
      <c r="F18" t="str">
        <f t="shared" si="5"/>
        <v>Yes</v>
      </c>
      <c r="G18" t="str">
        <f t="shared" si="6"/>
        <v>Yes</v>
      </c>
      <c r="I18" t="str">
        <f t="shared" si="7"/>
        <v>No</v>
      </c>
      <c r="J18" t="str">
        <f t="shared" si="1"/>
        <v>Yes</v>
      </c>
      <c r="K18" t="str">
        <f t="shared" si="2"/>
        <v>Yes</v>
      </c>
      <c r="L18" s="203">
        <f>IF(AND('Total income package'!$A$16=TRUE,E18&lt;$J$2),$M$2,0)</f>
        <v>2069</v>
      </c>
      <c r="M18" s="179">
        <f>IF(AND('Total income package'!$A$16=TRUE,E18&lt;$L$2),$P$2,0)</f>
        <v>955.5</v>
      </c>
      <c r="N18" s="204">
        <f t="shared" si="8"/>
        <v>3024.5</v>
      </c>
    </row>
    <row r="19" spans="1:14" x14ac:dyDescent="0.25">
      <c r="A19" s="105">
        <v>5000</v>
      </c>
      <c r="B19" s="4">
        <f t="shared" si="0"/>
        <v>416.66666666666669</v>
      </c>
      <c r="C19" s="4">
        <f>'Total income package'!$D$80</f>
        <v>0</v>
      </c>
      <c r="D19" s="4">
        <f t="shared" si="3"/>
        <v>416.66666666666669</v>
      </c>
      <c r="E19" s="4">
        <f t="shared" si="4"/>
        <v>207.66666666666669</v>
      </c>
      <c r="F19" t="str">
        <f t="shared" si="5"/>
        <v>Yes</v>
      </c>
      <c r="G19" t="str">
        <f t="shared" si="6"/>
        <v>Yes</v>
      </c>
      <c r="I19" t="str">
        <f t="shared" si="7"/>
        <v>No</v>
      </c>
      <c r="J19" t="str">
        <f t="shared" si="1"/>
        <v>Yes</v>
      </c>
      <c r="K19" t="str">
        <f t="shared" si="2"/>
        <v>Yes</v>
      </c>
      <c r="L19" s="203">
        <f>IF(AND('Total income package'!$A$16=TRUE,E19&lt;$J$2),$M$2,0)</f>
        <v>2069</v>
      </c>
      <c r="M19" s="179">
        <f>IF(AND('Total income package'!$A$16=TRUE,E19&lt;$L$2),$P$2,0)</f>
        <v>955.5</v>
      </c>
      <c r="N19" s="204">
        <f t="shared" si="8"/>
        <v>3024.5</v>
      </c>
    </row>
    <row r="20" spans="1:14" x14ac:dyDescent="0.25">
      <c r="A20" s="105">
        <v>5500</v>
      </c>
      <c r="B20" s="4">
        <f t="shared" si="0"/>
        <v>458.33333333333331</v>
      </c>
      <c r="C20" s="4">
        <f>'Total income package'!$D$80</f>
        <v>0</v>
      </c>
      <c r="D20" s="4">
        <f t="shared" si="3"/>
        <v>458.33333333333331</v>
      </c>
      <c r="E20" s="4">
        <f t="shared" si="4"/>
        <v>249.33333333333331</v>
      </c>
      <c r="F20" t="str">
        <f t="shared" si="5"/>
        <v>Yes</v>
      </c>
      <c r="G20" t="str">
        <f t="shared" si="6"/>
        <v>Yes</v>
      </c>
      <c r="I20" t="str">
        <f t="shared" si="7"/>
        <v>No</v>
      </c>
      <c r="J20" t="str">
        <f t="shared" si="1"/>
        <v>Yes</v>
      </c>
      <c r="K20" t="str">
        <f t="shared" si="2"/>
        <v>Yes</v>
      </c>
      <c r="L20" s="203">
        <f>IF(AND('Total income package'!$A$16=TRUE,E20&lt;$J$2),$M$2,0)</f>
        <v>2069</v>
      </c>
      <c r="M20" s="179">
        <f>IF(AND('Total income package'!$A$16=TRUE,E20&lt;$L$2),$P$2,0)</f>
        <v>955.5</v>
      </c>
      <c r="N20" s="204">
        <f t="shared" si="8"/>
        <v>3024.5</v>
      </c>
    </row>
    <row r="21" spans="1:14" x14ac:dyDescent="0.25">
      <c r="A21" s="105">
        <v>6000</v>
      </c>
      <c r="B21" s="4">
        <f t="shared" si="0"/>
        <v>500</v>
      </c>
      <c r="C21" s="4">
        <f>'Total income package'!$D$80</f>
        <v>0</v>
      </c>
      <c r="D21" s="4">
        <f t="shared" si="3"/>
        <v>500</v>
      </c>
      <c r="E21" s="4">
        <f t="shared" si="4"/>
        <v>291</v>
      </c>
      <c r="F21" t="str">
        <f t="shared" si="5"/>
        <v>Yes</v>
      </c>
      <c r="G21" t="str">
        <f t="shared" si="6"/>
        <v>Yes</v>
      </c>
      <c r="I21" t="str">
        <f t="shared" si="7"/>
        <v>No</v>
      </c>
      <c r="J21" t="str">
        <f t="shared" si="1"/>
        <v>Yes</v>
      </c>
      <c r="K21" t="str">
        <f t="shared" si="2"/>
        <v>Yes</v>
      </c>
      <c r="L21" s="203">
        <f>IF(AND('Total income package'!$A$16=TRUE,E21&lt;$J$2),$M$2,0)</f>
        <v>2069</v>
      </c>
      <c r="M21" s="179">
        <f>IF(AND('Total income package'!$A$16=TRUE,E21&lt;$L$2),$P$2,0)</f>
        <v>955.5</v>
      </c>
      <c r="N21" s="204">
        <f t="shared" si="8"/>
        <v>3024.5</v>
      </c>
    </row>
    <row r="22" spans="1:14" x14ac:dyDescent="0.25">
      <c r="A22" s="105">
        <v>6500</v>
      </c>
      <c r="B22" s="4">
        <f t="shared" si="0"/>
        <v>541.66666666666663</v>
      </c>
      <c r="C22" s="4">
        <f>'Total income package'!$D$80</f>
        <v>0</v>
      </c>
      <c r="D22" s="4">
        <f t="shared" si="3"/>
        <v>541.66666666666663</v>
      </c>
      <c r="E22" s="4">
        <f t="shared" si="4"/>
        <v>332.66666666666663</v>
      </c>
      <c r="F22" t="str">
        <f t="shared" si="5"/>
        <v>Yes</v>
      </c>
      <c r="G22" t="str">
        <f t="shared" si="6"/>
        <v>Yes</v>
      </c>
      <c r="I22" t="str">
        <f t="shared" si="7"/>
        <v>No</v>
      </c>
      <c r="J22" t="str">
        <f t="shared" si="1"/>
        <v>Yes</v>
      </c>
      <c r="K22" t="str">
        <f t="shared" si="2"/>
        <v>Yes</v>
      </c>
      <c r="L22" s="203">
        <f>IF(AND('Total income package'!$A$16=TRUE,E22&lt;$J$2),$M$2,0)</f>
        <v>2069</v>
      </c>
      <c r="M22" s="179">
        <f>IF(AND('Total income package'!$A$16=TRUE,E22&lt;$L$2),$P$2,0)</f>
        <v>955.5</v>
      </c>
      <c r="N22" s="204">
        <f t="shared" si="8"/>
        <v>3024.5</v>
      </c>
    </row>
    <row r="23" spans="1:14" x14ac:dyDescent="0.25">
      <c r="A23" s="105">
        <v>7000</v>
      </c>
      <c r="B23" s="4">
        <f t="shared" si="0"/>
        <v>583.33333333333337</v>
      </c>
      <c r="C23" s="4">
        <f>'Total income package'!$D$80</f>
        <v>0</v>
      </c>
      <c r="D23" s="4">
        <f t="shared" si="3"/>
        <v>583.33333333333337</v>
      </c>
      <c r="E23" s="4">
        <f t="shared" si="4"/>
        <v>374.33333333333337</v>
      </c>
      <c r="F23" t="str">
        <f t="shared" si="5"/>
        <v>Yes</v>
      </c>
      <c r="G23" t="str">
        <f t="shared" si="6"/>
        <v>Yes</v>
      </c>
      <c r="I23" t="str">
        <f t="shared" si="7"/>
        <v>No</v>
      </c>
      <c r="J23" t="str">
        <f t="shared" si="1"/>
        <v>Yes</v>
      </c>
      <c r="K23" t="str">
        <f t="shared" si="2"/>
        <v>Yes</v>
      </c>
      <c r="L23" s="203">
        <f>IF(AND('Total income package'!$A$16=TRUE,E23&lt;$J$2),$M$2,0)</f>
        <v>2069</v>
      </c>
      <c r="M23" s="179">
        <f>IF(AND('Total income package'!$A$16=TRUE,E23&lt;$L$2),$P$2,0)</f>
        <v>955.5</v>
      </c>
      <c r="N23" s="204">
        <f t="shared" si="8"/>
        <v>3024.5</v>
      </c>
    </row>
    <row r="24" spans="1:14" x14ac:dyDescent="0.25">
      <c r="A24" s="105">
        <v>7500</v>
      </c>
      <c r="B24" s="4">
        <f t="shared" si="0"/>
        <v>625</v>
      </c>
      <c r="C24" s="4">
        <f>'Total income package'!$D$80</f>
        <v>0</v>
      </c>
      <c r="D24" s="4">
        <f t="shared" si="3"/>
        <v>625</v>
      </c>
      <c r="E24" s="4">
        <f t="shared" si="4"/>
        <v>416</v>
      </c>
      <c r="F24" t="str">
        <f t="shared" si="5"/>
        <v>Yes</v>
      </c>
      <c r="G24" t="str">
        <f t="shared" si="6"/>
        <v>Yes</v>
      </c>
      <c r="I24" t="str">
        <f t="shared" si="7"/>
        <v>No</v>
      </c>
      <c r="J24" t="str">
        <f t="shared" si="1"/>
        <v>Yes</v>
      </c>
      <c r="K24" t="str">
        <f t="shared" si="2"/>
        <v>Yes</v>
      </c>
      <c r="L24" s="203">
        <f>IF(AND('Total income package'!$A$16=TRUE,E24&lt;$J$2),$M$2,0)</f>
        <v>2069</v>
      </c>
      <c r="M24" s="179">
        <f>IF(AND('Total income package'!$A$16=TRUE,E24&lt;$L$2),$P$2,0)</f>
        <v>955.5</v>
      </c>
      <c r="N24" s="204">
        <f t="shared" si="8"/>
        <v>3024.5</v>
      </c>
    </row>
    <row r="25" spans="1:14" x14ac:dyDescent="0.25">
      <c r="A25" s="105">
        <v>8000</v>
      </c>
      <c r="B25" s="4">
        <f t="shared" si="0"/>
        <v>666.66666666666663</v>
      </c>
      <c r="C25" s="4">
        <f>'Total income package'!$D$80</f>
        <v>0</v>
      </c>
      <c r="D25" s="4">
        <f t="shared" si="3"/>
        <v>666.66666666666663</v>
      </c>
      <c r="E25" s="4">
        <f t="shared" si="4"/>
        <v>457.66666666666663</v>
      </c>
      <c r="F25" t="str">
        <f t="shared" si="5"/>
        <v>Yes</v>
      </c>
      <c r="G25" t="str">
        <f t="shared" si="6"/>
        <v>Yes</v>
      </c>
      <c r="I25" t="str">
        <f t="shared" si="7"/>
        <v>No</v>
      </c>
      <c r="J25" t="str">
        <f t="shared" si="1"/>
        <v>Yes</v>
      </c>
      <c r="K25" t="str">
        <f t="shared" si="2"/>
        <v>Yes</v>
      </c>
      <c r="L25" s="203">
        <f>IF(AND('Total income package'!$A$16=TRUE,E25&lt;$J$2),$M$2,0)</f>
        <v>2069</v>
      </c>
      <c r="M25" s="179">
        <f>IF(AND('Total income package'!$A$16=TRUE,E25&lt;$L$2),$P$2,0)</f>
        <v>955.5</v>
      </c>
      <c r="N25" s="204">
        <f t="shared" si="8"/>
        <v>3024.5</v>
      </c>
    </row>
    <row r="26" spans="1:14" x14ac:dyDescent="0.25">
      <c r="A26" s="105">
        <v>8500</v>
      </c>
      <c r="B26" s="4">
        <f t="shared" si="0"/>
        <v>708.33333333333337</v>
      </c>
      <c r="C26" s="4">
        <f>'Total income package'!$D$80</f>
        <v>0</v>
      </c>
      <c r="D26" s="4">
        <f t="shared" si="3"/>
        <v>708.33333333333337</v>
      </c>
      <c r="E26" s="4">
        <f t="shared" si="4"/>
        <v>499.33333333333337</v>
      </c>
      <c r="F26" t="str">
        <f t="shared" si="5"/>
        <v>Yes</v>
      </c>
      <c r="G26" t="str">
        <f t="shared" si="6"/>
        <v>Yes</v>
      </c>
      <c r="I26" t="str">
        <f t="shared" si="7"/>
        <v>No</v>
      </c>
      <c r="J26" t="str">
        <f t="shared" si="1"/>
        <v>Yes</v>
      </c>
      <c r="K26" t="str">
        <f t="shared" si="2"/>
        <v>Yes</v>
      </c>
      <c r="L26" s="203">
        <f>IF(AND('Total income package'!$A$16=TRUE,E26&lt;$J$2),$M$2,0)</f>
        <v>2069</v>
      </c>
      <c r="M26" s="179">
        <f>IF(AND('Total income package'!$A$16=TRUE,E26&lt;$L$2),$P$2,0)</f>
        <v>955.5</v>
      </c>
      <c r="N26" s="204">
        <f t="shared" si="8"/>
        <v>3024.5</v>
      </c>
    </row>
    <row r="27" spans="1:14" x14ac:dyDescent="0.25">
      <c r="A27" s="105">
        <v>9000</v>
      </c>
      <c r="B27" s="4">
        <f t="shared" si="0"/>
        <v>750</v>
      </c>
      <c r="C27" s="4">
        <f>'Total income package'!$D$80</f>
        <v>0</v>
      </c>
      <c r="D27" s="4">
        <f t="shared" si="3"/>
        <v>750</v>
      </c>
      <c r="E27" s="4">
        <f t="shared" si="4"/>
        <v>541</v>
      </c>
      <c r="F27" t="str">
        <f t="shared" si="5"/>
        <v>Yes</v>
      </c>
      <c r="G27" t="str">
        <f t="shared" si="6"/>
        <v>Yes</v>
      </c>
      <c r="I27" t="str">
        <f t="shared" si="7"/>
        <v>No</v>
      </c>
      <c r="J27" t="str">
        <f t="shared" si="1"/>
        <v>Yes</v>
      </c>
      <c r="K27" t="str">
        <f t="shared" si="2"/>
        <v>Yes</v>
      </c>
      <c r="L27" s="203">
        <f>IF(AND('Total income package'!$A$16=TRUE,E27&lt;$J$2),$M$2,0)</f>
        <v>2069</v>
      </c>
      <c r="M27" s="179">
        <f>IF(AND('Total income package'!$A$16=TRUE,E27&lt;$L$2),$P$2,0)</f>
        <v>955.5</v>
      </c>
      <c r="N27" s="204">
        <f t="shared" si="8"/>
        <v>3024.5</v>
      </c>
    </row>
    <row r="28" spans="1:14" x14ac:dyDescent="0.25">
      <c r="A28" s="105">
        <v>9500</v>
      </c>
      <c r="B28" s="4">
        <f t="shared" si="0"/>
        <v>791.66666666666663</v>
      </c>
      <c r="C28" s="4">
        <f>'Total income package'!$D$80</f>
        <v>0</v>
      </c>
      <c r="D28" s="4">
        <f t="shared" si="3"/>
        <v>791.66666666666663</v>
      </c>
      <c r="E28" s="4">
        <f t="shared" si="4"/>
        <v>582.66666666666663</v>
      </c>
      <c r="F28" t="str">
        <f t="shared" si="5"/>
        <v>Yes</v>
      </c>
      <c r="G28" t="str">
        <f t="shared" si="6"/>
        <v>Yes</v>
      </c>
      <c r="I28" t="str">
        <f t="shared" si="7"/>
        <v>No</v>
      </c>
      <c r="J28" t="str">
        <f t="shared" si="1"/>
        <v>Yes</v>
      </c>
      <c r="K28" t="str">
        <f t="shared" si="2"/>
        <v>Yes</v>
      </c>
      <c r="L28" s="203">
        <f>IF(AND('Total income package'!$A$16=TRUE,E28&lt;$J$2),$M$2,0)</f>
        <v>2069</v>
      </c>
      <c r="M28" s="179">
        <f>IF(AND('Total income package'!$A$16=TRUE,E28&lt;$L$2),$P$2,0)</f>
        <v>955.5</v>
      </c>
      <c r="N28" s="204">
        <f t="shared" si="8"/>
        <v>3024.5</v>
      </c>
    </row>
    <row r="29" spans="1:14" x14ac:dyDescent="0.25">
      <c r="A29" s="105">
        <v>10000</v>
      </c>
      <c r="B29" s="4">
        <f t="shared" si="0"/>
        <v>833.33333333333337</v>
      </c>
      <c r="C29" s="4">
        <f>'Total income package'!$D$80</f>
        <v>0</v>
      </c>
      <c r="D29" s="4">
        <f t="shared" si="3"/>
        <v>833.33333333333337</v>
      </c>
      <c r="E29" s="4">
        <f t="shared" si="4"/>
        <v>624.33333333333337</v>
      </c>
      <c r="F29" t="str">
        <f t="shared" si="5"/>
        <v>Yes</v>
      </c>
      <c r="G29" t="str">
        <f t="shared" si="6"/>
        <v>Yes</v>
      </c>
      <c r="I29" t="str">
        <f t="shared" si="7"/>
        <v>No</v>
      </c>
      <c r="J29" t="str">
        <f t="shared" si="1"/>
        <v>Yes</v>
      </c>
      <c r="K29" t="str">
        <f t="shared" si="2"/>
        <v>Yes</v>
      </c>
      <c r="L29" s="203">
        <f>IF(AND('Total income package'!$A$16=TRUE,E29&lt;$J$2),$M$2,0)</f>
        <v>2069</v>
      </c>
      <c r="M29" s="179">
        <f>IF(AND('Total income package'!$A$16=TRUE,E29&lt;$L$2),$P$2,0)</f>
        <v>955.5</v>
      </c>
      <c r="N29" s="204">
        <f t="shared" si="8"/>
        <v>3024.5</v>
      </c>
    </row>
    <row r="30" spans="1:14" x14ac:dyDescent="0.25">
      <c r="A30" s="105">
        <v>10500</v>
      </c>
      <c r="B30" s="4">
        <f t="shared" si="0"/>
        <v>875</v>
      </c>
      <c r="C30" s="4">
        <f>'Total income package'!$D$80</f>
        <v>0</v>
      </c>
      <c r="D30" s="4">
        <f t="shared" si="3"/>
        <v>875</v>
      </c>
      <c r="E30" s="4">
        <f t="shared" si="4"/>
        <v>666</v>
      </c>
      <c r="F30" t="str">
        <f t="shared" si="5"/>
        <v>Yes</v>
      </c>
      <c r="G30" t="str">
        <f t="shared" si="6"/>
        <v>Yes</v>
      </c>
      <c r="I30" t="str">
        <f t="shared" si="7"/>
        <v>No</v>
      </c>
      <c r="J30" t="str">
        <f t="shared" si="1"/>
        <v>Yes</v>
      </c>
      <c r="K30" t="str">
        <f t="shared" si="2"/>
        <v>Yes</v>
      </c>
      <c r="L30" s="203">
        <f>IF(AND('Total income package'!$A$16=TRUE,E30&lt;$J$2),$M$2,0)</f>
        <v>2069</v>
      </c>
      <c r="M30" s="179">
        <f>IF(AND('Total income package'!$A$16=TRUE,E30&lt;$L$2),$P$2,0)</f>
        <v>955.5</v>
      </c>
      <c r="N30" s="204">
        <f t="shared" si="8"/>
        <v>3024.5</v>
      </c>
    </row>
    <row r="31" spans="1:14" x14ac:dyDescent="0.25">
      <c r="A31" s="105">
        <v>11000</v>
      </c>
      <c r="B31" s="4">
        <f t="shared" si="0"/>
        <v>916.66666666666663</v>
      </c>
      <c r="C31" s="4">
        <f>'Total income package'!$D$80</f>
        <v>0</v>
      </c>
      <c r="D31" s="4">
        <f t="shared" si="3"/>
        <v>916.66666666666663</v>
      </c>
      <c r="E31" s="4">
        <f t="shared" si="4"/>
        <v>707.66666666666663</v>
      </c>
      <c r="F31" t="str">
        <f t="shared" si="5"/>
        <v>Yes</v>
      </c>
      <c r="G31" t="str">
        <f t="shared" si="6"/>
        <v>Yes</v>
      </c>
      <c r="I31" t="str">
        <f t="shared" si="7"/>
        <v>No</v>
      </c>
      <c r="J31" t="str">
        <f t="shared" si="1"/>
        <v>Yes</v>
      </c>
      <c r="K31" t="str">
        <f t="shared" si="2"/>
        <v>Yes</v>
      </c>
      <c r="L31" s="203">
        <f>IF(AND('Total income package'!$A$16=TRUE,E31&lt;$J$2),$M$2,0)</f>
        <v>2069</v>
      </c>
      <c r="M31" s="179">
        <f>IF(AND('Total income package'!$A$16=TRUE,E31&lt;$L$2),$P$2,0)</f>
        <v>955.5</v>
      </c>
      <c r="N31" s="204">
        <f t="shared" si="8"/>
        <v>3024.5</v>
      </c>
    </row>
    <row r="32" spans="1:14" x14ac:dyDescent="0.25">
      <c r="A32" s="105">
        <v>11500</v>
      </c>
      <c r="B32" s="4">
        <f t="shared" si="0"/>
        <v>958.33333333333337</v>
      </c>
      <c r="C32" s="4">
        <f>'Total income package'!$D$80</f>
        <v>0</v>
      </c>
      <c r="D32" s="4">
        <f t="shared" si="3"/>
        <v>958.33333333333337</v>
      </c>
      <c r="E32" s="4">
        <f t="shared" si="4"/>
        <v>749.33333333333337</v>
      </c>
      <c r="F32" t="str">
        <f t="shared" si="5"/>
        <v>Yes</v>
      </c>
      <c r="G32" t="str">
        <f t="shared" si="6"/>
        <v>Yes</v>
      </c>
      <c r="I32" t="str">
        <f t="shared" si="7"/>
        <v>No</v>
      </c>
      <c r="J32" t="str">
        <f t="shared" si="1"/>
        <v>Yes</v>
      </c>
      <c r="K32" t="str">
        <f t="shared" si="2"/>
        <v>Yes</v>
      </c>
      <c r="L32" s="203">
        <f>IF(AND('Total income package'!$A$16=TRUE,E32&lt;$J$2),$M$2,0)</f>
        <v>2069</v>
      </c>
      <c r="M32" s="179">
        <f>IF(AND('Total income package'!$A$16=TRUE,E32&lt;$L$2),$P$2,0)</f>
        <v>955.5</v>
      </c>
      <c r="N32" s="204">
        <f t="shared" si="8"/>
        <v>3024.5</v>
      </c>
    </row>
    <row r="33" spans="1:17" x14ac:dyDescent="0.25">
      <c r="A33" s="105">
        <v>12000</v>
      </c>
      <c r="B33" s="4">
        <f t="shared" si="0"/>
        <v>1000</v>
      </c>
      <c r="C33" s="4">
        <f>'Total income package'!$D$80</f>
        <v>0</v>
      </c>
      <c r="D33" s="4">
        <f t="shared" si="3"/>
        <v>1000</v>
      </c>
      <c r="E33" s="4">
        <f t="shared" si="4"/>
        <v>791</v>
      </c>
      <c r="F33" t="str">
        <f t="shared" si="5"/>
        <v>Yes</v>
      </c>
      <c r="G33" t="str">
        <f t="shared" si="6"/>
        <v>Yes</v>
      </c>
      <c r="I33" t="str">
        <f t="shared" si="7"/>
        <v>No</v>
      </c>
      <c r="J33" t="str">
        <f t="shared" si="1"/>
        <v>Yes</v>
      </c>
      <c r="K33" t="str">
        <f t="shared" si="2"/>
        <v>Yes</v>
      </c>
      <c r="L33" s="203">
        <f>IF(AND('Total income package'!$A$16=TRUE,E33&lt;$J$2),$M$2,0)</f>
        <v>2069</v>
      </c>
      <c r="M33" s="179">
        <f>IF(AND('Total income package'!$A$16=TRUE,E33&lt;$L$2),$P$2,0)</f>
        <v>955.5</v>
      </c>
      <c r="N33" s="204">
        <f t="shared" si="8"/>
        <v>3024.5</v>
      </c>
    </row>
    <row r="34" spans="1:17" x14ac:dyDescent="0.25">
      <c r="A34" s="105">
        <v>12500</v>
      </c>
      <c r="B34" s="4">
        <f t="shared" si="0"/>
        <v>1041.6666666666667</v>
      </c>
      <c r="C34" s="4">
        <f>'Total income package'!$D$80</f>
        <v>0</v>
      </c>
      <c r="D34" s="4">
        <f t="shared" si="3"/>
        <v>1041.6666666666667</v>
      </c>
      <c r="E34" s="4">
        <f t="shared" si="4"/>
        <v>832.66666666666674</v>
      </c>
      <c r="F34" t="str">
        <f t="shared" si="5"/>
        <v>Yes</v>
      </c>
      <c r="G34" t="str">
        <f t="shared" si="6"/>
        <v>Yes</v>
      </c>
      <c r="I34" t="str">
        <f t="shared" si="7"/>
        <v>No</v>
      </c>
      <c r="J34" t="str">
        <f t="shared" si="1"/>
        <v>Yes</v>
      </c>
      <c r="K34" t="str">
        <f t="shared" si="2"/>
        <v>Yes</v>
      </c>
      <c r="L34" s="203">
        <f>IF(AND('Total income package'!$A$16=TRUE,E34&lt;$J$2),$M$2,0)</f>
        <v>2069</v>
      </c>
      <c r="M34" s="179">
        <f>IF(AND('Total income package'!$A$16=TRUE,E34&lt;$L$2),$P$2,0)</f>
        <v>955.5</v>
      </c>
      <c r="N34" s="204">
        <f t="shared" si="8"/>
        <v>3024.5</v>
      </c>
    </row>
    <row r="35" spans="1:17" x14ac:dyDescent="0.25">
      <c r="A35" s="105">
        <v>13000</v>
      </c>
      <c r="B35" s="4">
        <f t="shared" si="0"/>
        <v>1083.3333333333333</v>
      </c>
      <c r="C35" s="4">
        <f>'Total income package'!$D$80</f>
        <v>0</v>
      </c>
      <c r="D35" s="4">
        <f t="shared" si="3"/>
        <v>1083.3333333333333</v>
      </c>
      <c r="E35" s="4">
        <f t="shared" si="4"/>
        <v>874.33333333333326</v>
      </c>
      <c r="F35" t="str">
        <f t="shared" si="5"/>
        <v>Yes</v>
      </c>
      <c r="G35" t="str">
        <f t="shared" si="6"/>
        <v>Yes</v>
      </c>
      <c r="I35" t="str">
        <f t="shared" si="7"/>
        <v>No</v>
      </c>
      <c r="J35" t="str">
        <f t="shared" si="1"/>
        <v>Yes</v>
      </c>
      <c r="K35" t="str">
        <f t="shared" si="2"/>
        <v>Yes</v>
      </c>
      <c r="L35" s="203">
        <f>IF(AND('Total income package'!$A$16=TRUE,E35&lt;$J$2),$M$2,0)</f>
        <v>2069</v>
      </c>
      <c r="M35" s="179">
        <f>IF(AND('Total income package'!$A$16=TRUE,E35&lt;$L$2),$P$2,0)</f>
        <v>955.5</v>
      </c>
      <c r="N35" s="204">
        <f t="shared" si="8"/>
        <v>3024.5</v>
      </c>
    </row>
    <row r="36" spans="1:17" x14ac:dyDescent="0.25">
      <c r="A36" s="105">
        <v>13500</v>
      </c>
      <c r="B36" s="4">
        <f t="shared" si="0"/>
        <v>1125</v>
      </c>
      <c r="C36" s="4">
        <f>'Total income package'!$D$80</f>
        <v>0</v>
      </c>
      <c r="D36" s="4">
        <f t="shared" si="3"/>
        <v>1125</v>
      </c>
      <c r="E36" s="4">
        <f t="shared" si="4"/>
        <v>916</v>
      </c>
      <c r="F36" t="str">
        <f t="shared" si="5"/>
        <v>Yes</v>
      </c>
      <c r="G36" t="str">
        <f t="shared" si="6"/>
        <v>Yes</v>
      </c>
      <c r="I36" t="str">
        <f t="shared" si="7"/>
        <v>No</v>
      </c>
      <c r="J36" t="str">
        <f t="shared" si="1"/>
        <v>Yes</v>
      </c>
      <c r="K36" t="str">
        <f t="shared" si="2"/>
        <v>Yes</v>
      </c>
      <c r="L36" s="203">
        <f>IF(AND('Total income package'!$A$16=TRUE,E36&lt;$J$2),$M$2,0)</f>
        <v>2069</v>
      </c>
      <c r="M36" s="179">
        <f>IF(AND('Total income package'!$A$16=TRUE,E36&lt;$L$2),$P$2,0)</f>
        <v>955.5</v>
      </c>
      <c r="N36" s="204">
        <f t="shared" si="8"/>
        <v>3024.5</v>
      </c>
    </row>
    <row r="37" spans="1:17" x14ac:dyDescent="0.25">
      <c r="A37" s="105">
        <v>14000</v>
      </c>
      <c r="B37" s="4">
        <f t="shared" si="0"/>
        <v>1166.6666666666667</v>
      </c>
      <c r="C37" s="4">
        <f>'Total income package'!$D$80</f>
        <v>0</v>
      </c>
      <c r="D37" s="4">
        <f t="shared" si="3"/>
        <v>1166.6666666666667</v>
      </c>
      <c r="E37" s="4">
        <f t="shared" si="4"/>
        <v>957.66666666666674</v>
      </c>
      <c r="F37" t="str">
        <f t="shared" si="5"/>
        <v>Yes</v>
      </c>
      <c r="G37" t="str">
        <f t="shared" si="6"/>
        <v>Yes</v>
      </c>
      <c r="I37" t="str">
        <f t="shared" si="7"/>
        <v>No</v>
      </c>
      <c r="J37" t="str">
        <f t="shared" si="1"/>
        <v>Yes</v>
      </c>
      <c r="K37" t="str">
        <f t="shared" si="2"/>
        <v>Yes</v>
      </c>
      <c r="L37" s="203">
        <f>IF(AND('Total income package'!$A$16=TRUE,E37&lt;$J$2),$M$2,0)</f>
        <v>2069</v>
      </c>
      <c r="M37" s="179">
        <f>IF(AND('Total income package'!$A$16=TRUE,E37&lt;$L$2),$P$2,0)</f>
        <v>955.5</v>
      </c>
      <c r="N37" s="204">
        <f t="shared" si="8"/>
        <v>3024.5</v>
      </c>
    </row>
    <row r="38" spans="1:17" x14ac:dyDescent="0.25">
      <c r="A38" s="105">
        <v>14500</v>
      </c>
      <c r="B38" s="4">
        <f t="shared" si="0"/>
        <v>1208.3333333333333</v>
      </c>
      <c r="C38" s="4">
        <f>'Total income package'!$D$80</f>
        <v>0</v>
      </c>
      <c r="D38" s="4">
        <f t="shared" si="3"/>
        <v>1208.3333333333333</v>
      </c>
      <c r="E38" s="4">
        <f t="shared" si="4"/>
        <v>999.33333333333326</v>
      </c>
      <c r="F38" t="str">
        <f t="shared" si="5"/>
        <v>Yes</v>
      </c>
      <c r="G38" t="str">
        <f t="shared" si="6"/>
        <v>Yes</v>
      </c>
      <c r="I38" t="str">
        <f t="shared" si="7"/>
        <v>No</v>
      </c>
      <c r="J38" t="str">
        <f t="shared" si="1"/>
        <v>Yes</v>
      </c>
      <c r="K38" t="str">
        <f t="shared" si="2"/>
        <v>Yes</v>
      </c>
      <c r="L38" s="203">
        <f>IF(AND('Total income package'!$A$16=TRUE,E38&lt;$J$2),$M$2,0)</f>
        <v>2069</v>
      </c>
      <c r="M38" s="179">
        <f>IF(AND('Total income package'!$A$16=TRUE,E38&lt;$L$2),$P$2,0)</f>
        <v>955.5</v>
      </c>
      <c r="N38" s="204">
        <f t="shared" si="8"/>
        <v>3024.5</v>
      </c>
    </row>
    <row r="39" spans="1:17" x14ac:dyDescent="0.25">
      <c r="A39" s="105">
        <v>15000</v>
      </c>
      <c r="B39" s="4">
        <f t="shared" si="0"/>
        <v>1250</v>
      </c>
      <c r="C39" s="4">
        <f>'Total income package'!$D$80</f>
        <v>0</v>
      </c>
      <c r="D39" s="4">
        <f t="shared" si="3"/>
        <v>1250</v>
      </c>
      <c r="E39" s="4">
        <f t="shared" si="4"/>
        <v>1041</v>
      </c>
      <c r="F39" t="str">
        <f t="shared" si="5"/>
        <v>Yes</v>
      </c>
      <c r="G39" t="str">
        <f t="shared" si="6"/>
        <v>Yes</v>
      </c>
      <c r="I39" t="str">
        <f t="shared" si="7"/>
        <v>No</v>
      </c>
      <c r="J39" t="str">
        <f t="shared" si="1"/>
        <v>Yes</v>
      </c>
      <c r="K39" t="str">
        <f t="shared" si="2"/>
        <v>Yes</v>
      </c>
      <c r="L39" s="203">
        <f>IF(AND('Total income package'!$A$16=TRUE,E39&lt;$J$2),$M$2,0)</f>
        <v>2069</v>
      </c>
      <c r="M39" s="179">
        <f>IF(AND('Total income package'!$A$16=TRUE,E39&lt;$L$2),$P$2,0)</f>
        <v>955.5</v>
      </c>
      <c r="N39" s="204">
        <f t="shared" si="8"/>
        <v>3024.5</v>
      </c>
    </row>
    <row r="40" spans="1:17" x14ac:dyDescent="0.25">
      <c r="A40" s="105">
        <v>15500</v>
      </c>
      <c r="B40" s="4">
        <f t="shared" si="0"/>
        <v>1291.6666666666667</v>
      </c>
      <c r="C40" s="4">
        <f>'Total income package'!$D$80</f>
        <v>0</v>
      </c>
      <c r="D40" s="4">
        <f t="shared" si="3"/>
        <v>1291.6666666666667</v>
      </c>
      <c r="E40" s="4">
        <f t="shared" si="4"/>
        <v>1082.6666666666667</v>
      </c>
      <c r="F40" t="str">
        <f t="shared" si="5"/>
        <v>Yes</v>
      </c>
      <c r="G40" t="str">
        <f t="shared" si="6"/>
        <v>Yes</v>
      </c>
      <c r="I40" t="str">
        <f t="shared" si="7"/>
        <v>No</v>
      </c>
      <c r="J40" t="str">
        <f t="shared" si="1"/>
        <v>Yes</v>
      </c>
      <c r="K40" t="str">
        <f t="shared" si="2"/>
        <v>Yes</v>
      </c>
      <c r="L40" s="203">
        <f>IF(AND('Total income package'!$A$16=TRUE,E40&lt;$J$2),$M$2,0)</f>
        <v>2069</v>
      </c>
      <c r="M40" s="179">
        <f>IF(AND('Total income package'!$A$16=TRUE,E40&lt;$L$2),$P$2,0)</f>
        <v>955.5</v>
      </c>
      <c r="N40" s="204">
        <f t="shared" si="8"/>
        <v>3024.5</v>
      </c>
    </row>
    <row r="41" spans="1:17" x14ac:dyDescent="0.25">
      <c r="A41" s="105">
        <v>16000</v>
      </c>
      <c r="B41" s="4">
        <f t="shared" si="0"/>
        <v>1333.3333333333333</v>
      </c>
      <c r="C41" s="4">
        <f>'Total income package'!$D$80</f>
        <v>0</v>
      </c>
      <c r="D41" s="4">
        <f t="shared" si="3"/>
        <v>1333.3333333333333</v>
      </c>
      <c r="E41" s="4">
        <f t="shared" si="4"/>
        <v>1124.3333333333333</v>
      </c>
      <c r="F41" t="str">
        <f t="shared" si="5"/>
        <v>Yes</v>
      </c>
      <c r="G41" t="str">
        <f t="shared" si="6"/>
        <v>Yes</v>
      </c>
      <c r="I41" t="str">
        <f t="shared" si="7"/>
        <v>No</v>
      </c>
      <c r="J41" t="str">
        <f t="shared" si="1"/>
        <v>Yes</v>
      </c>
      <c r="K41" t="str">
        <f t="shared" si="2"/>
        <v>Yes</v>
      </c>
      <c r="L41" s="203">
        <f>IF(AND('Total income package'!$A$16=TRUE,E41&lt;$J$2),$M$2,0)</f>
        <v>2069</v>
      </c>
      <c r="M41" s="179">
        <f>IF(AND('Total income package'!$A$16=TRUE,E41&lt;$L$2),$P$2,0)</f>
        <v>955.5</v>
      </c>
      <c r="N41" s="204">
        <f t="shared" si="8"/>
        <v>3024.5</v>
      </c>
    </row>
    <row r="42" spans="1:17" x14ac:dyDescent="0.25">
      <c r="A42" s="105">
        <v>16500</v>
      </c>
      <c r="B42" s="4">
        <f t="shared" si="0"/>
        <v>1375</v>
      </c>
      <c r="C42" s="4">
        <f>'Total income package'!$D$80</f>
        <v>0</v>
      </c>
      <c r="D42" s="4">
        <f t="shared" si="3"/>
        <v>1375</v>
      </c>
      <c r="E42" s="4">
        <f t="shared" si="4"/>
        <v>1166</v>
      </c>
      <c r="F42" t="str">
        <f t="shared" si="5"/>
        <v>No</v>
      </c>
      <c r="G42" t="str">
        <f t="shared" si="6"/>
        <v>Yes</v>
      </c>
      <c r="I42" t="str">
        <f t="shared" si="7"/>
        <v>No</v>
      </c>
      <c r="J42" t="str">
        <f t="shared" si="1"/>
        <v>Yes</v>
      </c>
      <c r="K42" t="str">
        <f t="shared" si="2"/>
        <v>Yes</v>
      </c>
      <c r="L42" s="203">
        <f>IF(AND('Total income package'!$A$16=TRUE,E42&lt;$J$2),$M$2,0)</f>
        <v>2069</v>
      </c>
      <c r="M42" s="179">
        <f>IF(AND('Total income package'!$A$16=TRUE,E42&lt;$L$2),$P$2,0)</f>
        <v>955.5</v>
      </c>
      <c r="N42" s="204">
        <f t="shared" si="8"/>
        <v>3024.5</v>
      </c>
    </row>
    <row r="43" spans="1:17" x14ac:dyDescent="0.25">
      <c r="A43" s="105">
        <v>17000</v>
      </c>
      <c r="B43" s="4">
        <f t="shared" si="0"/>
        <v>1416.6666666666667</v>
      </c>
      <c r="C43" s="4">
        <f>'Total income package'!$D$80</f>
        <v>0</v>
      </c>
      <c r="D43" s="4">
        <f t="shared" si="3"/>
        <v>1416.6666666666667</v>
      </c>
      <c r="E43" s="4">
        <f t="shared" si="4"/>
        <v>1207.6666666666667</v>
      </c>
      <c r="F43" t="str">
        <f t="shared" si="5"/>
        <v>No</v>
      </c>
      <c r="G43" t="str">
        <f t="shared" si="6"/>
        <v>Yes</v>
      </c>
      <c r="I43" t="str">
        <f t="shared" si="7"/>
        <v>No</v>
      </c>
      <c r="J43" t="str">
        <f t="shared" si="1"/>
        <v>Yes</v>
      </c>
      <c r="K43" t="str">
        <f t="shared" si="2"/>
        <v>Yes</v>
      </c>
      <c r="L43" s="203">
        <f>IF(AND('Total income package'!$A$16=TRUE,E43&lt;$J$2),$M$2,0)</f>
        <v>2069</v>
      </c>
      <c r="M43" s="179">
        <f>IF(AND('Total income package'!$A$16=TRUE,E43&lt;$L$2),$P$2,0)</f>
        <v>955.5</v>
      </c>
      <c r="N43" s="204">
        <f t="shared" si="8"/>
        <v>3024.5</v>
      </c>
    </row>
    <row r="44" spans="1:17" x14ac:dyDescent="0.25">
      <c r="A44" s="105">
        <v>17500</v>
      </c>
      <c r="B44" s="4">
        <f t="shared" si="0"/>
        <v>1458.3333333333333</v>
      </c>
      <c r="C44" s="4">
        <f>'Total income package'!$D$80</f>
        <v>0</v>
      </c>
      <c r="D44" s="4">
        <f t="shared" si="3"/>
        <v>1458.3333333333333</v>
      </c>
      <c r="E44" s="4">
        <f t="shared" si="4"/>
        <v>1249.3333333333333</v>
      </c>
      <c r="F44" t="str">
        <f t="shared" si="5"/>
        <v>No</v>
      </c>
      <c r="G44" t="str">
        <f t="shared" si="6"/>
        <v>Yes</v>
      </c>
      <c r="I44" t="str">
        <f t="shared" si="7"/>
        <v>No</v>
      </c>
      <c r="J44" t="str">
        <f t="shared" si="1"/>
        <v>Yes</v>
      </c>
      <c r="K44" t="str">
        <f t="shared" si="2"/>
        <v>Yes</v>
      </c>
      <c r="L44" s="203">
        <f>IF(AND('Total income package'!$A$16=TRUE,E44&lt;$J$2),$M$2,0)</f>
        <v>2069</v>
      </c>
      <c r="M44" s="179">
        <f>IF(AND('Total income package'!$A$16=TRUE,E44&lt;$L$2),$P$2,0)</f>
        <v>955.5</v>
      </c>
      <c r="N44" s="204">
        <f t="shared" si="8"/>
        <v>3024.5</v>
      </c>
    </row>
    <row r="45" spans="1:17" x14ac:dyDescent="0.25">
      <c r="A45" s="105">
        <v>18000</v>
      </c>
      <c r="B45" s="4">
        <f t="shared" si="0"/>
        <v>1500</v>
      </c>
      <c r="C45" s="4">
        <f>'Total income package'!$D$80</f>
        <v>0</v>
      </c>
      <c r="D45" s="4">
        <f t="shared" si="3"/>
        <v>1500</v>
      </c>
      <c r="E45" s="4">
        <f t="shared" si="4"/>
        <v>1291</v>
      </c>
      <c r="F45" t="str">
        <f t="shared" si="5"/>
        <v>No</v>
      </c>
      <c r="G45" t="str">
        <f t="shared" si="6"/>
        <v>Yes</v>
      </c>
      <c r="I45" t="str">
        <f t="shared" si="7"/>
        <v>No</v>
      </c>
      <c r="J45" t="str">
        <f t="shared" si="1"/>
        <v>Yes</v>
      </c>
      <c r="K45" t="str">
        <f t="shared" si="2"/>
        <v>Yes</v>
      </c>
      <c r="L45" s="203">
        <f>IF(AND('Total income package'!$A$16=TRUE,E45&lt;$J$2),$M$2,0)</f>
        <v>2069</v>
      </c>
      <c r="M45" s="179">
        <f>IF(AND('Total income package'!$A$16=TRUE,E45&lt;$L$2),$P$2,0)</f>
        <v>955.5</v>
      </c>
      <c r="N45" s="204">
        <f t="shared" si="8"/>
        <v>3024.5</v>
      </c>
      <c r="Q45" s="4"/>
    </row>
    <row r="46" spans="1:17" x14ac:dyDescent="0.25">
      <c r="A46" s="105">
        <v>18500</v>
      </c>
      <c r="B46" s="4">
        <f t="shared" si="0"/>
        <v>1541.6666666666667</v>
      </c>
      <c r="C46" s="4">
        <f>'Total income package'!$D$80</f>
        <v>0</v>
      </c>
      <c r="D46" s="4">
        <f t="shared" si="3"/>
        <v>1541.6666666666667</v>
      </c>
      <c r="E46" s="4">
        <f t="shared" si="4"/>
        <v>1332.6666666666667</v>
      </c>
      <c r="F46" t="str">
        <f t="shared" si="5"/>
        <v>No</v>
      </c>
      <c r="G46" t="str">
        <f t="shared" si="6"/>
        <v>Yes</v>
      </c>
      <c r="I46" t="str">
        <f t="shared" si="7"/>
        <v>No</v>
      </c>
      <c r="J46" t="str">
        <f t="shared" si="1"/>
        <v>Yes</v>
      </c>
      <c r="K46" t="str">
        <f t="shared" si="2"/>
        <v>Yes</v>
      </c>
      <c r="L46" s="203">
        <f>IF(AND('Total income package'!$A$16=TRUE,E46&lt;$J$2),$M$2,0)</f>
        <v>2069</v>
      </c>
      <c r="M46" s="179">
        <f>IF(AND('Total income package'!$A$16=TRUE,E46&lt;$L$2),$P$2,0)</f>
        <v>955.5</v>
      </c>
      <c r="N46" s="204">
        <f t="shared" si="8"/>
        <v>3024.5</v>
      </c>
      <c r="Q46" s="4"/>
    </row>
    <row r="47" spans="1:17" x14ac:dyDescent="0.25">
      <c r="A47" s="105">
        <v>19000</v>
      </c>
      <c r="B47" s="4">
        <f t="shared" si="0"/>
        <v>1583.3333333333333</v>
      </c>
      <c r="C47" s="4">
        <f>'Total income package'!$D$80</f>
        <v>0</v>
      </c>
      <c r="D47" s="4">
        <f t="shared" si="3"/>
        <v>1583.3333333333333</v>
      </c>
      <c r="E47" s="4">
        <f t="shared" si="4"/>
        <v>1374.3333333333333</v>
      </c>
      <c r="F47" t="str">
        <f t="shared" si="5"/>
        <v>No</v>
      </c>
      <c r="G47" t="str">
        <f t="shared" si="6"/>
        <v>Yes</v>
      </c>
      <c r="I47" t="str">
        <f t="shared" si="7"/>
        <v>No</v>
      </c>
      <c r="J47" t="str">
        <f t="shared" si="1"/>
        <v>Yes</v>
      </c>
      <c r="K47" t="str">
        <f t="shared" si="2"/>
        <v>Yes</v>
      </c>
      <c r="L47" s="203">
        <f>IF(AND('Total income package'!$A$16=TRUE,E47&lt;$J$2),$M$2,0)</f>
        <v>2069</v>
      </c>
      <c r="M47" s="179">
        <f>IF(AND('Total income package'!$A$16=TRUE,E47&lt;$L$2),$P$2,0)</f>
        <v>955.5</v>
      </c>
      <c r="N47" s="204">
        <f t="shared" si="8"/>
        <v>3024.5</v>
      </c>
      <c r="Q47" s="4"/>
    </row>
    <row r="48" spans="1:17" x14ac:dyDescent="0.25">
      <c r="A48" s="105">
        <v>19500</v>
      </c>
      <c r="B48" s="4">
        <f t="shared" si="0"/>
        <v>1625</v>
      </c>
      <c r="C48" s="4">
        <f>'Total income package'!$D$80</f>
        <v>0</v>
      </c>
      <c r="D48" s="4">
        <f t="shared" si="3"/>
        <v>1625</v>
      </c>
      <c r="E48" s="4">
        <f t="shared" si="4"/>
        <v>1416</v>
      </c>
      <c r="F48" t="str">
        <f t="shared" si="5"/>
        <v>No</v>
      </c>
      <c r="G48" t="str">
        <f t="shared" si="6"/>
        <v>Yes</v>
      </c>
      <c r="I48" t="str">
        <f t="shared" si="7"/>
        <v>No</v>
      </c>
      <c r="J48" t="str">
        <f t="shared" si="1"/>
        <v>Yes</v>
      </c>
      <c r="K48" t="str">
        <f t="shared" si="2"/>
        <v>Yes</v>
      </c>
      <c r="L48" s="203">
        <f>IF(AND('Total income package'!$A$16=TRUE,E48&lt;$J$2),$M$2,0)</f>
        <v>2069</v>
      </c>
      <c r="M48" s="179">
        <f>IF(AND('Total income package'!$A$16=TRUE,E48&lt;$L$2),$P$2,0)</f>
        <v>955.5</v>
      </c>
      <c r="N48" s="204">
        <f t="shared" si="8"/>
        <v>3024.5</v>
      </c>
    </row>
    <row r="49" spans="1:14" x14ac:dyDescent="0.25">
      <c r="A49" s="105">
        <v>20000</v>
      </c>
      <c r="B49" s="4">
        <f t="shared" si="0"/>
        <v>1666.6666666666667</v>
      </c>
      <c r="C49" s="4">
        <f>'Total income package'!$D$80</f>
        <v>0</v>
      </c>
      <c r="D49" s="4">
        <f t="shared" si="3"/>
        <v>1666.6666666666667</v>
      </c>
      <c r="E49" s="4">
        <f t="shared" si="4"/>
        <v>1457.6666666666667</v>
      </c>
      <c r="F49" t="str">
        <f t="shared" si="5"/>
        <v>No</v>
      </c>
      <c r="G49" t="str">
        <f t="shared" si="6"/>
        <v>Yes</v>
      </c>
      <c r="I49" t="str">
        <f t="shared" si="7"/>
        <v>No</v>
      </c>
      <c r="J49" t="str">
        <f t="shared" si="1"/>
        <v>Yes</v>
      </c>
      <c r="K49" t="str">
        <f t="shared" si="2"/>
        <v>Yes</v>
      </c>
      <c r="L49" s="203">
        <f>IF(AND('Total income package'!$A$16=TRUE,E49&lt;$J$2),$M$2,0)</f>
        <v>2069</v>
      </c>
      <c r="M49" s="179">
        <f>IF(AND('Total income package'!$A$16=TRUE,E49&lt;$L$2),$P$2,0)</f>
        <v>955.5</v>
      </c>
      <c r="N49" s="204">
        <f t="shared" si="8"/>
        <v>3024.5</v>
      </c>
    </row>
    <row r="50" spans="1:14" x14ac:dyDescent="0.25">
      <c r="A50" s="105">
        <v>20500</v>
      </c>
      <c r="B50" s="4">
        <f t="shared" si="0"/>
        <v>1708.3333333333333</v>
      </c>
      <c r="C50" s="4">
        <f>'Total income package'!$D$80</f>
        <v>0</v>
      </c>
      <c r="D50" s="4">
        <f t="shared" si="3"/>
        <v>1708.3333333333333</v>
      </c>
      <c r="E50" s="4">
        <f t="shared" si="4"/>
        <v>1499.3333333333333</v>
      </c>
      <c r="F50" t="str">
        <f t="shared" si="5"/>
        <v>No</v>
      </c>
      <c r="G50" t="str">
        <f t="shared" si="6"/>
        <v>Yes</v>
      </c>
      <c r="I50" t="str">
        <f t="shared" si="7"/>
        <v>No</v>
      </c>
      <c r="J50" t="str">
        <f t="shared" si="1"/>
        <v>Yes</v>
      </c>
      <c r="K50" t="str">
        <f t="shared" si="2"/>
        <v>Yes</v>
      </c>
      <c r="L50" s="203">
        <f>IF(AND('Total income package'!$A$16=TRUE,E50&lt;$J$2),$M$2,0)</f>
        <v>2069</v>
      </c>
      <c r="M50" s="179">
        <f>IF(AND('Total income package'!$A$16=TRUE,E50&lt;$L$2),$P$2,0)</f>
        <v>955.5</v>
      </c>
      <c r="N50" s="204">
        <f t="shared" si="8"/>
        <v>3024.5</v>
      </c>
    </row>
    <row r="51" spans="1:14" x14ac:dyDescent="0.25">
      <c r="A51" s="105">
        <v>21000</v>
      </c>
      <c r="B51" s="4">
        <f t="shared" si="0"/>
        <v>1750</v>
      </c>
      <c r="C51" s="4">
        <f>'Total income package'!$D$80</f>
        <v>0</v>
      </c>
      <c r="D51" s="4">
        <f t="shared" si="3"/>
        <v>1750</v>
      </c>
      <c r="E51" s="4">
        <f t="shared" si="4"/>
        <v>1541</v>
      </c>
      <c r="F51" t="str">
        <f t="shared" si="5"/>
        <v>No</v>
      </c>
      <c r="G51" t="str">
        <f t="shared" si="6"/>
        <v>Yes</v>
      </c>
      <c r="I51" t="str">
        <f t="shared" si="7"/>
        <v>No</v>
      </c>
      <c r="J51" t="str">
        <f t="shared" si="1"/>
        <v>Yes</v>
      </c>
      <c r="K51" t="str">
        <f t="shared" si="2"/>
        <v>Yes</v>
      </c>
      <c r="L51" s="203">
        <f>IF(AND('Total income package'!$A$16=TRUE,E51&lt;$J$2),$M$2,0)</f>
        <v>2069</v>
      </c>
      <c r="M51" s="179">
        <f>IF(AND('Total income package'!$A$16=TRUE,E51&lt;$L$2),$P$2,0)</f>
        <v>955.5</v>
      </c>
      <c r="N51" s="204">
        <f t="shared" si="8"/>
        <v>3024.5</v>
      </c>
    </row>
    <row r="52" spans="1:14" x14ac:dyDescent="0.25">
      <c r="A52" s="105">
        <v>21500</v>
      </c>
      <c r="B52" s="4">
        <f t="shared" si="0"/>
        <v>1791.6666666666667</v>
      </c>
      <c r="C52" s="4">
        <f>'Total income package'!$D$80</f>
        <v>0</v>
      </c>
      <c r="D52" s="4">
        <f t="shared" si="3"/>
        <v>1791.6666666666667</v>
      </c>
      <c r="E52" s="4">
        <f t="shared" si="4"/>
        <v>1582.6666666666667</v>
      </c>
      <c r="F52" t="str">
        <f t="shared" si="5"/>
        <v>No</v>
      </c>
      <c r="G52" t="str">
        <f t="shared" si="6"/>
        <v>Yes</v>
      </c>
      <c r="I52" t="str">
        <f t="shared" si="7"/>
        <v>No</v>
      </c>
      <c r="J52" t="str">
        <f t="shared" si="1"/>
        <v>Yes</v>
      </c>
      <c r="K52" t="str">
        <f t="shared" si="2"/>
        <v>Yes</v>
      </c>
      <c r="L52" s="203">
        <f>IF(AND('Total income package'!$A$16=TRUE,E52&lt;$J$2),$M$2,0)</f>
        <v>2069</v>
      </c>
      <c r="M52" s="179">
        <f>IF(AND('Total income package'!$A$16=TRUE,E52&lt;$L$2),$P$2,0)</f>
        <v>955.5</v>
      </c>
      <c r="N52" s="204">
        <f t="shared" si="8"/>
        <v>3024.5</v>
      </c>
    </row>
    <row r="53" spans="1:14" x14ac:dyDescent="0.25">
      <c r="A53" s="105">
        <v>22000</v>
      </c>
      <c r="B53" s="4">
        <f t="shared" si="0"/>
        <v>1833.3333333333333</v>
      </c>
      <c r="C53" s="4">
        <f>'Total income package'!$D$80</f>
        <v>0</v>
      </c>
      <c r="D53" s="4">
        <f t="shared" si="3"/>
        <v>1833.3333333333333</v>
      </c>
      <c r="E53" s="4">
        <f t="shared" si="4"/>
        <v>1624.3333333333333</v>
      </c>
      <c r="F53" t="str">
        <f t="shared" si="5"/>
        <v>No</v>
      </c>
      <c r="G53" t="str">
        <f t="shared" si="6"/>
        <v>Yes</v>
      </c>
      <c r="I53" t="str">
        <f t="shared" si="7"/>
        <v>No</v>
      </c>
      <c r="J53" t="str">
        <f t="shared" si="1"/>
        <v>Yes</v>
      </c>
      <c r="K53" t="str">
        <f t="shared" si="2"/>
        <v>Yes</v>
      </c>
      <c r="L53" s="203">
        <f>IF(AND('Total income package'!$A$16=TRUE,E53&lt;$J$2),$M$2,0)</f>
        <v>2069</v>
      </c>
      <c r="M53" s="179">
        <f>IF(AND('Total income package'!$A$16=TRUE,E53&lt;$L$2),$P$2,0)</f>
        <v>955.5</v>
      </c>
      <c r="N53" s="204">
        <f t="shared" si="8"/>
        <v>3024.5</v>
      </c>
    </row>
    <row r="54" spans="1:14" x14ac:dyDescent="0.25">
      <c r="A54" s="105">
        <v>22500</v>
      </c>
      <c r="B54" s="4">
        <f t="shared" si="0"/>
        <v>1875</v>
      </c>
      <c r="C54" s="4">
        <f>'Total income package'!$D$80</f>
        <v>0</v>
      </c>
      <c r="D54" s="4">
        <f t="shared" si="3"/>
        <v>1875</v>
      </c>
      <c r="E54" s="4">
        <f t="shared" si="4"/>
        <v>1666</v>
      </c>
      <c r="F54" t="str">
        <f t="shared" si="5"/>
        <v>No</v>
      </c>
      <c r="G54" t="str">
        <f t="shared" si="6"/>
        <v>Yes</v>
      </c>
      <c r="I54" t="str">
        <f t="shared" si="7"/>
        <v>No</v>
      </c>
      <c r="J54" t="str">
        <f t="shared" si="1"/>
        <v>Yes</v>
      </c>
      <c r="K54" t="str">
        <f t="shared" si="2"/>
        <v>Yes</v>
      </c>
      <c r="L54" s="203">
        <f>IF(AND('Total income package'!$A$16=TRUE,E54&lt;$J$2),$M$2,0)</f>
        <v>2069</v>
      </c>
      <c r="M54" s="179">
        <f>IF(AND('Total income package'!$A$16=TRUE,E54&lt;$L$2),$P$2,0)</f>
        <v>955.5</v>
      </c>
      <c r="N54" s="204">
        <f t="shared" si="8"/>
        <v>3024.5</v>
      </c>
    </row>
    <row r="55" spans="1:14" x14ac:dyDescent="0.25">
      <c r="A55" s="105">
        <v>23000</v>
      </c>
      <c r="B55" s="4">
        <f t="shared" si="0"/>
        <v>1916.6666666666667</v>
      </c>
      <c r="C55" s="4">
        <f>'Total income package'!$D$80</f>
        <v>0</v>
      </c>
      <c r="D55" s="4">
        <f t="shared" si="3"/>
        <v>1916.6666666666667</v>
      </c>
      <c r="E55" s="4">
        <f t="shared" si="4"/>
        <v>1707.6666666666667</v>
      </c>
      <c r="F55" t="str">
        <f t="shared" si="5"/>
        <v>No</v>
      </c>
      <c r="G55" t="str">
        <f t="shared" si="6"/>
        <v>Yes</v>
      </c>
      <c r="I55" t="str">
        <f t="shared" si="7"/>
        <v>No</v>
      </c>
      <c r="J55" t="str">
        <f t="shared" si="1"/>
        <v>Yes</v>
      </c>
      <c r="K55" t="str">
        <f t="shared" si="2"/>
        <v>Yes</v>
      </c>
      <c r="L55" s="203">
        <f>IF(AND('Total income package'!$A$16=TRUE,E55&lt;$J$2),$M$2,0)</f>
        <v>2069</v>
      </c>
      <c r="M55" s="179">
        <f>IF(AND('Total income package'!$A$16=TRUE,E55&lt;$L$2),$P$2,0)</f>
        <v>955.5</v>
      </c>
      <c r="N55" s="204">
        <f t="shared" si="8"/>
        <v>3024.5</v>
      </c>
    </row>
    <row r="56" spans="1:14" x14ac:dyDescent="0.25">
      <c r="A56" s="105">
        <v>23500</v>
      </c>
      <c r="B56" s="4">
        <f t="shared" si="0"/>
        <v>1958.3333333333333</v>
      </c>
      <c r="C56" s="4">
        <f>'Total income package'!$D$80</f>
        <v>0</v>
      </c>
      <c r="D56" s="4">
        <f t="shared" si="3"/>
        <v>1958.3333333333333</v>
      </c>
      <c r="E56" s="4">
        <f t="shared" si="4"/>
        <v>1749.3333333333333</v>
      </c>
      <c r="F56" t="str">
        <f t="shared" si="5"/>
        <v>No</v>
      </c>
      <c r="G56" t="str">
        <f t="shared" si="6"/>
        <v>Yes</v>
      </c>
      <c r="I56" t="str">
        <f t="shared" si="7"/>
        <v>No</v>
      </c>
      <c r="J56" t="str">
        <f t="shared" si="1"/>
        <v>Yes</v>
      </c>
      <c r="K56" t="str">
        <f t="shared" si="2"/>
        <v>Yes</v>
      </c>
      <c r="L56" s="203">
        <f>IF(AND('Total income package'!$A$16=TRUE,E56&lt;$J$2),$M$2,0)</f>
        <v>2069</v>
      </c>
      <c r="M56" s="179">
        <f>IF(AND('Total income package'!$A$16=TRUE,E56&lt;$L$2),$P$2,0)</f>
        <v>955.5</v>
      </c>
      <c r="N56" s="204">
        <f t="shared" si="8"/>
        <v>3024.5</v>
      </c>
    </row>
    <row r="57" spans="1:14" x14ac:dyDescent="0.25">
      <c r="A57" s="105">
        <v>24000</v>
      </c>
      <c r="B57" s="4">
        <f t="shared" si="0"/>
        <v>2000</v>
      </c>
      <c r="C57" s="4">
        <f>'Total income package'!$D$80</f>
        <v>0</v>
      </c>
      <c r="D57" s="4">
        <f t="shared" si="3"/>
        <v>2000</v>
      </c>
      <c r="E57" s="4">
        <f t="shared" si="4"/>
        <v>1791</v>
      </c>
      <c r="F57" t="str">
        <f t="shared" si="5"/>
        <v>No</v>
      </c>
      <c r="G57" t="str">
        <f t="shared" si="6"/>
        <v>Yes</v>
      </c>
      <c r="I57" t="str">
        <f t="shared" si="7"/>
        <v>No</v>
      </c>
      <c r="J57" t="str">
        <f t="shared" si="1"/>
        <v>Yes</v>
      </c>
      <c r="K57" t="str">
        <f t="shared" si="2"/>
        <v>Yes</v>
      </c>
      <c r="L57" s="203">
        <f>IF(AND('Total income package'!$A$16=TRUE,E57&lt;$J$2),$M$2,0)</f>
        <v>2069</v>
      </c>
      <c r="M57" s="179">
        <f>IF(AND('Total income package'!$A$16=TRUE,E57&lt;$L$2),$P$2,0)</f>
        <v>955.5</v>
      </c>
      <c r="N57" s="204">
        <f t="shared" si="8"/>
        <v>3024.5</v>
      </c>
    </row>
    <row r="58" spans="1:14" x14ac:dyDescent="0.25">
      <c r="A58" s="105">
        <v>24500</v>
      </c>
      <c r="B58" s="4">
        <f t="shared" si="0"/>
        <v>2041.6666666666667</v>
      </c>
      <c r="C58" s="4">
        <f>'Total income package'!$D$80</f>
        <v>0</v>
      </c>
      <c r="D58" s="4">
        <f t="shared" si="3"/>
        <v>2041.6666666666667</v>
      </c>
      <c r="E58" s="4">
        <f t="shared" si="4"/>
        <v>1832.6666666666667</v>
      </c>
      <c r="F58" t="str">
        <f t="shared" si="5"/>
        <v>No</v>
      </c>
      <c r="G58" t="str">
        <f t="shared" si="6"/>
        <v>Yes</v>
      </c>
      <c r="I58" t="str">
        <f t="shared" si="7"/>
        <v>No</v>
      </c>
      <c r="J58" t="str">
        <f t="shared" si="1"/>
        <v>Yes</v>
      </c>
      <c r="K58" t="str">
        <f t="shared" si="2"/>
        <v>Yes</v>
      </c>
      <c r="L58" s="203">
        <f>IF(AND('Total income package'!$A$16=TRUE,E58&lt;$J$2),$M$2,0)</f>
        <v>2069</v>
      </c>
      <c r="M58" s="179">
        <f>IF(AND('Total income package'!$A$16=TRUE,E58&lt;$L$2),$P$2,0)</f>
        <v>955.5</v>
      </c>
      <c r="N58" s="204">
        <f t="shared" si="8"/>
        <v>3024.5</v>
      </c>
    </row>
    <row r="59" spans="1:14" x14ac:dyDescent="0.25">
      <c r="A59" s="105">
        <v>25000</v>
      </c>
      <c r="B59" s="4">
        <f t="shared" si="0"/>
        <v>2083.3333333333335</v>
      </c>
      <c r="C59" s="4">
        <f>'Total income package'!$D$80</f>
        <v>0</v>
      </c>
      <c r="D59" s="4">
        <f t="shared" si="3"/>
        <v>2083.3333333333335</v>
      </c>
      <c r="E59" s="4">
        <f t="shared" si="4"/>
        <v>1874.3333333333335</v>
      </c>
      <c r="F59" t="str">
        <f t="shared" si="5"/>
        <v>No</v>
      </c>
      <c r="G59" t="str">
        <f t="shared" si="6"/>
        <v>Yes</v>
      </c>
      <c r="I59" t="str">
        <f t="shared" si="7"/>
        <v>No</v>
      </c>
      <c r="J59" t="str">
        <f t="shared" si="1"/>
        <v>Yes</v>
      </c>
      <c r="K59" t="str">
        <f t="shared" si="2"/>
        <v>Yes</v>
      </c>
      <c r="L59" s="203">
        <f>IF(AND('Total income package'!$A$16=TRUE,E59&lt;$J$2),$M$2,0)</f>
        <v>2069</v>
      </c>
      <c r="M59" s="179">
        <f>IF(AND('Total income package'!$A$16=TRUE,E59&lt;$L$2),$P$2,0)</f>
        <v>955.5</v>
      </c>
      <c r="N59" s="204">
        <f t="shared" si="8"/>
        <v>3024.5</v>
      </c>
    </row>
    <row r="60" spans="1:14" x14ac:dyDescent="0.25">
      <c r="A60" s="105">
        <v>25500</v>
      </c>
      <c r="B60" s="4">
        <f t="shared" si="0"/>
        <v>2125</v>
      </c>
      <c r="C60" s="4">
        <f>'Total income package'!$D$80</f>
        <v>0</v>
      </c>
      <c r="D60" s="4">
        <f t="shared" si="3"/>
        <v>2125</v>
      </c>
      <c r="E60" s="4">
        <f t="shared" si="4"/>
        <v>1916</v>
      </c>
      <c r="F60" t="str">
        <f t="shared" si="5"/>
        <v>No</v>
      </c>
      <c r="G60" t="str">
        <f t="shared" si="6"/>
        <v>Yes</v>
      </c>
      <c r="I60" t="str">
        <f t="shared" si="7"/>
        <v>No</v>
      </c>
      <c r="J60" t="str">
        <f t="shared" si="1"/>
        <v>Yes</v>
      </c>
      <c r="K60" t="str">
        <f t="shared" si="2"/>
        <v>Yes</v>
      </c>
      <c r="L60" s="203">
        <f>IF(AND('Total income package'!$A$16=TRUE,E60&lt;$J$2),$M$2,0)</f>
        <v>2069</v>
      </c>
      <c r="M60" s="179">
        <f>IF(AND('Total income package'!$A$16=TRUE,E60&lt;$L$2),$P$2,0)</f>
        <v>955.5</v>
      </c>
      <c r="N60" s="204">
        <f t="shared" si="8"/>
        <v>3024.5</v>
      </c>
    </row>
    <row r="61" spans="1:14" x14ac:dyDescent="0.25">
      <c r="A61" s="105">
        <v>26000</v>
      </c>
      <c r="B61" s="4">
        <f t="shared" si="0"/>
        <v>2166.6666666666665</v>
      </c>
      <c r="C61" s="4">
        <f>'Total income package'!$D$80</f>
        <v>0</v>
      </c>
      <c r="D61" s="4">
        <f t="shared" si="3"/>
        <v>2166.6666666666665</v>
      </c>
      <c r="E61" s="4">
        <f t="shared" si="4"/>
        <v>1957.6666666666665</v>
      </c>
      <c r="F61" t="str">
        <f t="shared" si="5"/>
        <v>No</v>
      </c>
      <c r="G61" t="str">
        <f t="shared" si="6"/>
        <v>Yes</v>
      </c>
      <c r="I61" t="str">
        <f t="shared" si="7"/>
        <v>No</v>
      </c>
      <c r="J61" t="str">
        <f t="shared" si="1"/>
        <v>Yes</v>
      </c>
      <c r="K61" t="str">
        <f t="shared" si="2"/>
        <v>Yes</v>
      </c>
      <c r="L61" s="203">
        <f>IF(AND('Total income package'!$A$16=TRUE,E61&lt;$J$2),$M$2,0)</f>
        <v>2069</v>
      </c>
      <c r="M61" s="179">
        <f>IF(AND('Total income package'!$A$16=TRUE,E61&lt;$L$2),$P$2,0)</f>
        <v>955.5</v>
      </c>
      <c r="N61" s="204">
        <f t="shared" si="8"/>
        <v>3024.5</v>
      </c>
    </row>
    <row r="62" spans="1:14" x14ac:dyDescent="0.25">
      <c r="A62" s="105">
        <v>26500</v>
      </c>
      <c r="B62" s="4">
        <f t="shared" si="0"/>
        <v>2208.3333333333335</v>
      </c>
      <c r="C62" s="4">
        <f>'Total income package'!$D$80</f>
        <v>0</v>
      </c>
      <c r="D62" s="4">
        <f t="shared" si="3"/>
        <v>2208.3333333333335</v>
      </c>
      <c r="E62" s="4">
        <f t="shared" si="4"/>
        <v>1999.3333333333335</v>
      </c>
      <c r="F62" t="str">
        <f t="shared" si="5"/>
        <v>No</v>
      </c>
      <c r="G62" t="str">
        <f t="shared" si="6"/>
        <v>Yes</v>
      </c>
      <c r="I62" t="str">
        <f t="shared" si="7"/>
        <v>No</v>
      </c>
      <c r="J62" t="str">
        <f t="shared" si="1"/>
        <v>Yes</v>
      </c>
      <c r="K62" t="str">
        <f t="shared" si="2"/>
        <v>Yes</v>
      </c>
      <c r="L62" s="203">
        <f>IF(AND('Total income package'!$A$16=TRUE,E62&lt;$J$2),$M$2,0)</f>
        <v>2069</v>
      </c>
      <c r="M62" s="179">
        <f>IF(AND('Total income package'!$A$16=TRUE,E62&lt;$L$2),$P$2,0)</f>
        <v>955.5</v>
      </c>
      <c r="N62" s="204">
        <f t="shared" si="8"/>
        <v>3024.5</v>
      </c>
    </row>
    <row r="63" spans="1:14" x14ac:dyDescent="0.25">
      <c r="A63" s="105">
        <v>27000</v>
      </c>
      <c r="B63" s="4">
        <f t="shared" si="0"/>
        <v>2250</v>
      </c>
      <c r="C63" s="4">
        <f>'Total income package'!$D$80</f>
        <v>0</v>
      </c>
      <c r="D63" s="4">
        <f t="shared" si="3"/>
        <v>2250</v>
      </c>
      <c r="E63" s="4">
        <f t="shared" si="4"/>
        <v>2041</v>
      </c>
      <c r="F63" t="str">
        <f t="shared" si="5"/>
        <v>No</v>
      </c>
      <c r="G63" t="str">
        <f t="shared" si="6"/>
        <v>Yes</v>
      </c>
      <c r="I63" t="str">
        <f t="shared" si="7"/>
        <v>No</v>
      </c>
      <c r="J63" t="str">
        <f t="shared" si="1"/>
        <v>Yes</v>
      </c>
      <c r="K63" t="str">
        <f t="shared" si="2"/>
        <v>Yes</v>
      </c>
      <c r="L63" s="203">
        <f>IF(AND('Total income package'!$A$16=TRUE,E63&lt;$J$2),$M$2,0)</f>
        <v>2069</v>
      </c>
      <c r="M63" s="179">
        <f>IF(AND('Total income package'!$A$16=TRUE,E63&lt;$L$2),$P$2,0)</f>
        <v>955.5</v>
      </c>
      <c r="N63" s="204">
        <f t="shared" si="8"/>
        <v>3024.5</v>
      </c>
    </row>
    <row r="64" spans="1:14" x14ac:dyDescent="0.25">
      <c r="A64" s="105">
        <v>27500</v>
      </c>
      <c r="B64" s="4">
        <f t="shared" si="0"/>
        <v>2291.6666666666665</v>
      </c>
      <c r="C64" s="4">
        <f>'Total income package'!$D$80</f>
        <v>0</v>
      </c>
      <c r="D64" s="4">
        <f t="shared" si="3"/>
        <v>2291.6666666666665</v>
      </c>
      <c r="E64" s="4">
        <f t="shared" si="4"/>
        <v>2082.6666666666665</v>
      </c>
      <c r="F64" t="str">
        <f t="shared" si="5"/>
        <v>No</v>
      </c>
      <c r="G64" t="str">
        <f t="shared" si="6"/>
        <v>Yes</v>
      </c>
      <c r="I64" t="str">
        <f t="shared" si="7"/>
        <v>No</v>
      </c>
      <c r="J64" t="str">
        <f t="shared" si="1"/>
        <v>Yes</v>
      </c>
      <c r="K64" t="str">
        <f t="shared" si="2"/>
        <v>Yes</v>
      </c>
      <c r="L64" s="203">
        <f>IF(AND('Total income package'!$A$16=TRUE,E64&lt;$J$2),$M$2,0)</f>
        <v>2069</v>
      </c>
      <c r="M64" s="179">
        <f>IF(AND('Total income package'!$A$16=TRUE,E64&lt;$L$2),$P$2,0)</f>
        <v>955.5</v>
      </c>
      <c r="N64" s="204">
        <f t="shared" si="8"/>
        <v>3024.5</v>
      </c>
    </row>
    <row r="65" spans="1:14" x14ac:dyDescent="0.25">
      <c r="A65" s="105">
        <v>28000</v>
      </c>
      <c r="B65" s="4">
        <f t="shared" si="0"/>
        <v>2333.3333333333335</v>
      </c>
      <c r="C65" s="4">
        <f>'Total income package'!$D$80</f>
        <v>0</v>
      </c>
      <c r="D65" s="4">
        <f t="shared" si="3"/>
        <v>2333.3333333333335</v>
      </c>
      <c r="E65" s="4">
        <f t="shared" si="4"/>
        <v>2124.3333333333335</v>
      </c>
      <c r="F65" t="str">
        <f t="shared" si="5"/>
        <v>No</v>
      </c>
      <c r="G65" t="str">
        <f t="shared" si="6"/>
        <v>Yes</v>
      </c>
      <c r="I65" t="str">
        <f t="shared" si="7"/>
        <v>No</v>
      </c>
      <c r="J65" t="str">
        <f t="shared" si="1"/>
        <v>Yes</v>
      </c>
      <c r="K65" t="str">
        <f t="shared" si="2"/>
        <v>Yes</v>
      </c>
      <c r="L65" s="203">
        <f>IF(AND('Total income package'!$A$16=TRUE,E65&lt;$J$2),$M$2,0)</f>
        <v>2069</v>
      </c>
      <c r="M65" s="179">
        <f>IF(AND('Total income package'!$A$16=TRUE,E65&lt;$L$2),$P$2,0)</f>
        <v>955.5</v>
      </c>
      <c r="N65" s="204">
        <f t="shared" si="8"/>
        <v>3024.5</v>
      </c>
    </row>
    <row r="66" spans="1:14" x14ac:dyDescent="0.25">
      <c r="A66" s="105">
        <v>28500</v>
      </c>
      <c r="B66" s="4">
        <f t="shared" si="0"/>
        <v>2375</v>
      </c>
      <c r="C66" s="4">
        <f>'Total income package'!$D$80</f>
        <v>0</v>
      </c>
      <c r="D66" s="4">
        <f t="shared" si="3"/>
        <v>2375</v>
      </c>
      <c r="E66" s="4">
        <f t="shared" si="4"/>
        <v>2166</v>
      </c>
      <c r="F66" t="str">
        <f t="shared" si="5"/>
        <v>No</v>
      </c>
      <c r="G66" t="str">
        <f t="shared" si="6"/>
        <v>Yes</v>
      </c>
      <c r="I66" t="str">
        <f t="shared" si="7"/>
        <v>No</v>
      </c>
      <c r="J66" t="str">
        <f t="shared" si="1"/>
        <v>Yes</v>
      </c>
      <c r="K66" t="str">
        <f t="shared" si="2"/>
        <v>Yes</v>
      </c>
      <c r="L66" s="203">
        <f>IF(AND('Total income package'!$A$16=TRUE,E66&lt;$J$2),$M$2,0)</f>
        <v>2069</v>
      </c>
      <c r="M66" s="179">
        <f>IF(AND('Total income package'!$A$16=TRUE,E66&lt;$L$2),$P$2,0)</f>
        <v>955.5</v>
      </c>
      <c r="N66" s="204">
        <f t="shared" si="8"/>
        <v>3024.5</v>
      </c>
    </row>
    <row r="67" spans="1:14" x14ac:dyDescent="0.25">
      <c r="A67" s="105">
        <v>29000</v>
      </c>
      <c r="B67" s="4">
        <f t="shared" si="0"/>
        <v>2416.6666666666665</v>
      </c>
      <c r="C67" s="4">
        <f>'Total income package'!$D$80</f>
        <v>0</v>
      </c>
      <c r="D67" s="4">
        <f t="shared" si="3"/>
        <v>2416.6666666666665</v>
      </c>
      <c r="E67" s="4">
        <f t="shared" si="4"/>
        <v>2207.6666666666665</v>
      </c>
      <c r="F67" t="str">
        <f t="shared" si="5"/>
        <v>No</v>
      </c>
      <c r="G67" t="str">
        <f t="shared" si="6"/>
        <v>Yes</v>
      </c>
      <c r="I67" t="str">
        <f t="shared" si="7"/>
        <v>No</v>
      </c>
      <c r="J67" t="str">
        <f t="shared" si="1"/>
        <v>Yes</v>
      </c>
      <c r="K67" t="str">
        <f t="shared" si="2"/>
        <v>Yes</v>
      </c>
      <c r="L67" s="203">
        <f>IF(AND('Total income package'!$A$16=TRUE,E67&lt;$J$2),$M$2,0)</f>
        <v>2069</v>
      </c>
      <c r="M67" s="179">
        <f>IF(AND('Total income package'!$A$16=TRUE,E67&lt;$L$2),$P$2,0)</f>
        <v>955.5</v>
      </c>
      <c r="N67" s="204">
        <f t="shared" si="8"/>
        <v>3024.5</v>
      </c>
    </row>
    <row r="68" spans="1:14" x14ac:dyDescent="0.25">
      <c r="A68" s="105">
        <v>29500</v>
      </c>
      <c r="B68" s="4">
        <f t="shared" si="0"/>
        <v>2458.3333333333335</v>
      </c>
      <c r="C68" s="4">
        <f>'Total income package'!$D$80</f>
        <v>0</v>
      </c>
      <c r="D68" s="4">
        <f t="shared" si="3"/>
        <v>2458.3333333333335</v>
      </c>
      <c r="E68" s="4">
        <f t="shared" si="4"/>
        <v>2249.3333333333335</v>
      </c>
      <c r="F68" t="str">
        <f t="shared" si="5"/>
        <v>No</v>
      </c>
      <c r="G68" t="str">
        <f t="shared" si="6"/>
        <v>Yes</v>
      </c>
      <c r="I68" t="str">
        <f t="shared" si="7"/>
        <v>No</v>
      </c>
      <c r="J68" t="str">
        <f t="shared" si="1"/>
        <v>Yes</v>
      </c>
      <c r="K68" t="str">
        <f t="shared" si="2"/>
        <v>Yes</v>
      </c>
      <c r="L68" s="203">
        <f>IF(AND('Total income package'!$A$16=TRUE,E68&lt;$J$2),$M$2,0)</f>
        <v>2069</v>
      </c>
      <c r="M68" s="179">
        <f>IF(AND('Total income package'!$A$16=TRUE,E68&lt;$L$2),$P$2,0)</f>
        <v>955.5</v>
      </c>
      <c r="N68" s="204">
        <f t="shared" si="8"/>
        <v>3024.5</v>
      </c>
    </row>
    <row r="69" spans="1:14" x14ac:dyDescent="0.25">
      <c r="A69" s="105">
        <v>30000</v>
      </c>
      <c r="B69" s="4">
        <f t="shared" si="0"/>
        <v>2500</v>
      </c>
      <c r="C69" s="4">
        <f>'Total income package'!$D$80</f>
        <v>0</v>
      </c>
      <c r="D69" s="4">
        <f t="shared" si="3"/>
        <v>2500</v>
      </c>
      <c r="E69" s="4">
        <f t="shared" si="4"/>
        <v>2291</v>
      </c>
      <c r="F69" t="str">
        <f t="shared" si="5"/>
        <v>No</v>
      </c>
      <c r="G69" t="str">
        <f t="shared" si="6"/>
        <v>Yes</v>
      </c>
      <c r="I69" t="str">
        <f t="shared" si="7"/>
        <v>No</v>
      </c>
      <c r="J69" t="str">
        <f t="shared" si="1"/>
        <v>Yes</v>
      </c>
      <c r="K69" t="str">
        <f t="shared" si="2"/>
        <v>Yes</v>
      </c>
      <c r="L69" s="203">
        <f>IF(AND('Total income package'!$A$16=TRUE,E69&lt;$J$2),$M$2,0)</f>
        <v>2069</v>
      </c>
      <c r="M69" s="179">
        <f>IF(AND('Total income package'!$A$16=TRUE,E69&lt;$L$2),$P$2,0)</f>
        <v>955.5</v>
      </c>
      <c r="N69" s="204">
        <f t="shared" si="8"/>
        <v>3024.5</v>
      </c>
    </row>
    <row r="70" spans="1:14" x14ac:dyDescent="0.25">
      <c r="A70" s="105">
        <v>30500</v>
      </c>
      <c r="B70" s="4">
        <f t="shared" si="0"/>
        <v>2541.6666666666665</v>
      </c>
      <c r="C70" s="4">
        <f>'Total income package'!$D$80</f>
        <v>0</v>
      </c>
      <c r="D70" s="4">
        <f t="shared" si="3"/>
        <v>2541.6666666666665</v>
      </c>
      <c r="E70" s="4">
        <f t="shared" si="4"/>
        <v>2332.6666666666665</v>
      </c>
      <c r="F70" t="str">
        <f t="shared" si="5"/>
        <v>No</v>
      </c>
      <c r="G70" t="str">
        <f t="shared" si="6"/>
        <v>Yes</v>
      </c>
      <c r="I70" t="str">
        <f t="shared" si="7"/>
        <v>No</v>
      </c>
      <c r="J70" t="str">
        <f t="shared" si="1"/>
        <v>Yes</v>
      </c>
      <c r="K70" t="str">
        <f t="shared" si="2"/>
        <v>Yes</v>
      </c>
      <c r="L70" s="203">
        <f>IF(AND('Total income package'!$A$16=TRUE,E70&lt;$J$2),$M$2,0)</f>
        <v>2069</v>
      </c>
      <c r="M70" s="179">
        <f>IF(AND('Total income package'!$A$16=TRUE,E70&lt;$L$2),$P$2,0)</f>
        <v>955.5</v>
      </c>
      <c r="N70" s="204">
        <f t="shared" si="8"/>
        <v>3024.5</v>
      </c>
    </row>
    <row r="71" spans="1:14" x14ac:dyDescent="0.25">
      <c r="A71" s="105">
        <v>31000</v>
      </c>
      <c r="B71" s="4">
        <f t="shared" si="0"/>
        <v>2583.3333333333335</v>
      </c>
      <c r="C71" s="4">
        <f>'Total income package'!$D$80</f>
        <v>0</v>
      </c>
      <c r="D71" s="4">
        <f t="shared" si="3"/>
        <v>2583.3333333333335</v>
      </c>
      <c r="E71" s="4">
        <f t="shared" si="4"/>
        <v>2374.3333333333335</v>
      </c>
      <c r="F71" t="str">
        <f t="shared" si="5"/>
        <v>No</v>
      </c>
      <c r="G71" t="str">
        <f t="shared" si="6"/>
        <v>Yes</v>
      </c>
      <c r="I71" t="str">
        <f t="shared" si="7"/>
        <v>No</v>
      </c>
      <c r="J71" t="str">
        <f t="shared" si="1"/>
        <v>Yes</v>
      </c>
      <c r="K71" t="str">
        <f t="shared" si="2"/>
        <v>Yes</v>
      </c>
      <c r="L71" s="203">
        <f>IF(AND('Total income package'!$A$16=TRUE,E71&lt;$J$2),$M$2,0)</f>
        <v>2069</v>
      </c>
      <c r="M71" s="179">
        <f>IF(AND('Total income package'!$A$16=TRUE,E71&lt;$L$2),$P$2,0)</f>
        <v>955.5</v>
      </c>
      <c r="N71" s="204">
        <f t="shared" si="8"/>
        <v>3024.5</v>
      </c>
    </row>
    <row r="72" spans="1:14" x14ac:dyDescent="0.25">
      <c r="A72" s="105">
        <v>31500</v>
      </c>
      <c r="B72" s="4">
        <f t="shared" si="0"/>
        <v>2625</v>
      </c>
      <c r="C72" s="4">
        <f>'Total income package'!$D$80</f>
        <v>0</v>
      </c>
      <c r="D72" s="4">
        <f t="shared" si="3"/>
        <v>2625</v>
      </c>
      <c r="E72" s="4">
        <f t="shared" si="4"/>
        <v>2416</v>
      </c>
      <c r="F72" t="str">
        <f t="shared" si="5"/>
        <v>No</v>
      </c>
      <c r="G72" t="str">
        <f t="shared" si="6"/>
        <v>Yes</v>
      </c>
      <c r="I72" t="str">
        <f t="shared" si="7"/>
        <v>No</v>
      </c>
      <c r="J72" t="str">
        <f t="shared" si="1"/>
        <v>Yes</v>
      </c>
      <c r="K72" t="str">
        <f t="shared" si="2"/>
        <v>Yes</v>
      </c>
      <c r="L72" s="203">
        <f>IF(AND('Total income package'!$A$16=TRUE,E72&lt;$J$2),$M$2,0)</f>
        <v>2069</v>
      </c>
      <c r="M72" s="179">
        <f>IF(AND('Total income package'!$A$16=TRUE,E72&lt;$L$2),$P$2,0)</f>
        <v>955.5</v>
      </c>
      <c r="N72" s="204">
        <f t="shared" si="8"/>
        <v>3024.5</v>
      </c>
    </row>
    <row r="73" spans="1:14" x14ac:dyDescent="0.25">
      <c r="A73" s="105">
        <v>32000</v>
      </c>
      <c r="B73" s="4">
        <f t="shared" si="0"/>
        <v>2666.6666666666665</v>
      </c>
      <c r="C73" s="4">
        <f>'Total income package'!$D$80</f>
        <v>0</v>
      </c>
      <c r="D73" s="4">
        <f t="shared" si="3"/>
        <v>2666.6666666666665</v>
      </c>
      <c r="E73" s="4">
        <f t="shared" si="4"/>
        <v>2457.6666666666665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2069</v>
      </c>
      <c r="M73" s="179">
        <f>IF(AND('Total income package'!$A$16=TRUE,E73&lt;$L$2),$P$2,0)</f>
        <v>955.5</v>
      </c>
      <c r="N73" s="204">
        <f t="shared" si="8"/>
        <v>3024.5</v>
      </c>
    </row>
    <row r="74" spans="1:14" x14ac:dyDescent="0.25">
      <c r="A74" s="105">
        <v>32500</v>
      </c>
      <c r="B74" s="4">
        <f t="shared" si="0"/>
        <v>2708.3333333333335</v>
      </c>
      <c r="C74" s="4">
        <f>'Total income package'!$D$80</f>
        <v>0</v>
      </c>
      <c r="D74" s="4">
        <f t="shared" ref="D74:D137" si="11">B74+C74</f>
        <v>2708.3333333333335</v>
      </c>
      <c r="E74" s="4">
        <f t="shared" ref="E74:E137" si="12">IF(D74-$H$2&lt;0,0,D74-$H$2)</f>
        <v>2499.3333333333335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2069</v>
      </c>
      <c r="M74" s="179">
        <f>IF(AND('Total income package'!$A$16=TRUE,E74&lt;$L$2),$P$2,0)</f>
        <v>955.5</v>
      </c>
      <c r="N74" s="204">
        <f t="shared" ref="N74:N137" si="16">L74+M74</f>
        <v>3024.5</v>
      </c>
    </row>
    <row r="75" spans="1:14" x14ac:dyDescent="0.25">
      <c r="A75" s="105">
        <v>33000</v>
      </c>
      <c r="B75" s="4">
        <f t="shared" ref="B75:B138" si="17">A75/12</f>
        <v>2750</v>
      </c>
      <c r="C75" s="4">
        <f>'Total income package'!$D$80</f>
        <v>0</v>
      </c>
      <c r="D75" s="4">
        <f t="shared" si="11"/>
        <v>2750</v>
      </c>
      <c r="E75" s="4">
        <f t="shared" si="12"/>
        <v>2541</v>
      </c>
      <c r="F75" t="str">
        <f t="shared" si="13"/>
        <v>No</v>
      </c>
      <c r="G75" t="str">
        <f t="shared" si="14"/>
        <v>Yes</v>
      </c>
      <c r="I75" t="str">
        <f t="shared" si="15"/>
        <v>No</v>
      </c>
      <c r="J75" t="str">
        <f t="shared" si="9"/>
        <v>Yes</v>
      </c>
      <c r="K75" t="str">
        <f t="shared" si="10"/>
        <v>Yes</v>
      </c>
      <c r="L75" s="203">
        <f>IF(AND('Total income package'!$A$16=TRUE,E75&lt;$J$2),$M$2,0)</f>
        <v>2069</v>
      </c>
      <c r="M75" s="179">
        <f>IF(AND('Total income package'!$A$16=TRUE,E75&lt;$L$2),$P$2,0)</f>
        <v>955.5</v>
      </c>
      <c r="N75" s="204">
        <f t="shared" si="16"/>
        <v>3024.5</v>
      </c>
    </row>
    <row r="76" spans="1:14" x14ac:dyDescent="0.25">
      <c r="A76" s="105">
        <v>33500</v>
      </c>
      <c r="B76" s="4">
        <f t="shared" si="17"/>
        <v>2791.6666666666665</v>
      </c>
      <c r="C76" s="4">
        <f>'Total income package'!$D$80</f>
        <v>0</v>
      </c>
      <c r="D76" s="4">
        <f t="shared" si="11"/>
        <v>2791.6666666666665</v>
      </c>
      <c r="E76" s="4">
        <f t="shared" si="12"/>
        <v>2582.6666666666665</v>
      </c>
      <c r="F76" t="str">
        <f t="shared" si="13"/>
        <v>No</v>
      </c>
      <c r="G76" t="str">
        <f t="shared" si="14"/>
        <v>Yes</v>
      </c>
      <c r="I76" t="str">
        <f t="shared" si="15"/>
        <v>No</v>
      </c>
      <c r="J76" t="str">
        <f t="shared" si="9"/>
        <v>Yes</v>
      </c>
      <c r="K76" t="str">
        <f t="shared" si="10"/>
        <v>Yes</v>
      </c>
      <c r="L76" s="203">
        <f>IF(AND('Total income package'!$A$16=TRUE,E76&lt;$J$2),$M$2,0)</f>
        <v>2069</v>
      </c>
      <c r="M76" s="179">
        <f>IF(AND('Total income package'!$A$16=TRUE,E76&lt;$L$2),$P$2,0)</f>
        <v>955.5</v>
      </c>
      <c r="N76" s="204">
        <f t="shared" si="16"/>
        <v>3024.5</v>
      </c>
    </row>
    <row r="77" spans="1:14" x14ac:dyDescent="0.25">
      <c r="A77" s="105">
        <v>34000</v>
      </c>
      <c r="B77" s="4">
        <f t="shared" si="17"/>
        <v>2833.3333333333335</v>
      </c>
      <c r="C77" s="4">
        <f>'Total income package'!$D$80</f>
        <v>0</v>
      </c>
      <c r="D77" s="4">
        <f t="shared" si="11"/>
        <v>2833.3333333333335</v>
      </c>
      <c r="E77" s="4">
        <f t="shared" si="12"/>
        <v>2624.3333333333335</v>
      </c>
      <c r="F77" t="str">
        <f t="shared" si="13"/>
        <v>No</v>
      </c>
      <c r="G77" t="str">
        <f t="shared" si="14"/>
        <v>Yes</v>
      </c>
      <c r="I77" t="str">
        <f t="shared" si="15"/>
        <v>No</v>
      </c>
      <c r="J77" t="str">
        <f t="shared" si="9"/>
        <v>Yes</v>
      </c>
      <c r="K77" t="str">
        <f t="shared" si="10"/>
        <v>Yes</v>
      </c>
      <c r="L77" s="203">
        <f>IF(AND('Total income package'!$A$16=TRUE,E77&lt;$J$2),$M$2,0)</f>
        <v>2069</v>
      </c>
      <c r="M77" s="179">
        <f>IF(AND('Total income package'!$A$16=TRUE,E77&lt;$L$2),$P$2,0)</f>
        <v>955.5</v>
      </c>
      <c r="N77" s="204">
        <f t="shared" si="16"/>
        <v>3024.5</v>
      </c>
    </row>
    <row r="78" spans="1:14" x14ac:dyDescent="0.25">
      <c r="A78" s="105">
        <v>34500</v>
      </c>
      <c r="B78" s="4">
        <f t="shared" si="17"/>
        <v>2875</v>
      </c>
      <c r="C78" s="4">
        <f>'Total income package'!$D$80</f>
        <v>0</v>
      </c>
      <c r="D78" s="4">
        <f t="shared" si="11"/>
        <v>2875</v>
      </c>
      <c r="E78" s="4">
        <f t="shared" si="12"/>
        <v>2666</v>
      </c>
      <c r="F78" t="str">
        <f t="shared" si="13"/>
        <v>No</v>
      </c>
      <c r="G78" t="str">
        <f t="shared" si="14"/>
        <v>Yes</v>
      </c>
      <c r="I78" t="str">
        <f t="shared" si="15"/>
        <v>No</v>
      </c>
      <c r="J78" t="str">
        <f t="shared" si="9"/>
        <v>Yes</v>
      </c>
      <c r="K78" t="str">
        <f t="shared" si="10"/>
        <v>Yes</v>
      </c>
      <c r="L78" s="203">
        <f>IF(AND('Total income package'!$A$16=TRUE,E78&lt;$J$2),$M$2,0)</f>
        <v>2069</v>
      </c>
      <c r="M78" s="179">
        <f>IF(AND('Total income package'!$A$16=TRUE,E78&lt;$L$2),$P$2,0)</f>
        <v>955.5</v>
      </c>
      <c r="N78" s="204">
        <f t="shared" si="16"/>
        <v>3024.5</v>
      </c>
    </row>
    <row r="79" spans="1:14" x14ac:dyDescent="0.25">
      <c r="A79" s="105">
        <v>35000</v>
      </c>
      <c r="B79" s="4">
        <f t="shared" si="17"/>
        <v>2916.6666666666665</v>
      </c>
      <c r="C79" s="4">
        <f>'Total income package'!$D$80</f>
        <v>0</v>
      </c>
      <c r="D79" s="4">
        <f t="shared" si="11"/>
        <v>2916.6666666666665</v>
      </c>
      <c r="E79" s="4">
        <f t="shared" si="12"/>
        <v>2707.6666666666665</v>
      </c>
      <c r="F79" t="str">
        <f t="shared" si="13"/>
        <v>No</v>
      </c>
      <c r="G79" t="str">
        <f t="shared" si="14"/>
        <v>Yes</v>
      </c>
      <c r="I79" t="str">
        <f t="shared" si="15"/>
        <v>No</v>
      </c>
      <c r="J79" t="str">
        <f t="shared" si="9"/>
        <v>Yes</v>
      </c>
      <c r="K79" t="str">
        <f t="shared" si="10"/>
        <v>Yes</v>
      </c>
      <c r="L79" s="203">
        <f>IF(AND('Total income package'!$A$16=TRUE,E79&lt;$J$2),$M$2,0)</f>
        <v>2069</v>
      </c>
      <c r="M79" s="179">
        <f>IF(AND('Total income package'!$A$16=TRUE,E79&lt;$L$2),$P$2,0)</f>
        <v>955.5</v>
      </c>
      <c r="N79" s="204">
        <f t="shared" si="16"/>
        <v>3024.5</v>
      </c>
    </row>
    <row r="80" spans="1:14" x14ac:dyDescent="0.25">
      <c r="A80" s="105">
        <v>35500</v>
      </c>
      <c r="B80" s="4">
        <f t="shared" si="17"/>
        <v>2958.3333333333335</v>
      </c>
      <c r="C80" s="4">
        <f>'Total income package'!$D$80</f>
        <v>0</v>
      </c>
      <c r="D80" s="4">
        <f t="shared" si="11"/>
        <v>2958.3333333333335</v>
      </c>
      <c r="E80" s="4">
        <f t="shared" si="12"/>
        <v>2749.3333333333335</v>
      </c>
      <c r="F80" t="str">
        <f t="shared" si="13"/>
        <v>No</v>
      </c>
      <c r="G80" t="str">
        <f t="shared" si="14"/>
        <v>Yes</v>
      </c>
      <c r="I80" t="str">
        <f t="shared" si="15"/>
        <v>No</v>
      </c>
      <c r="J80" t="str">
        <f t="shared" si="9"/>
        <v>Yes</v>
      </c>
      <c r="K80" t="str">
        <f t="shared" si="10"/>
        <v>Yes</v>
      </c>
      <c r="L80" s="203">
        <f>IF(AND('Total income package'!$A$16=TRUE,E80&lt;$J$2),$M$2,0)</f>
        <v>2069</v>
      </c>
      <c r="M80" s="179">
        <f>IF(AND('Total income package'!$A$16=TRUE,E80&lt;$L$2),$P$2,0)</f>
        <v>955.5</v>
      </c>
      <c r="N80" s="204">
        <f t="shared" si="16"/>
        <v>3024.5</v>
      </c>
    </row>
    <row r="81" spans="1:14" x14ac:dyDescent="0.25">
      <c r="A81" s="105">
        <v>36000</v>
      </c>
      <c r="B81" s="4">
        <f t="shared" si="17"/>
        <v>3000</v>
      </c>
      <c r="C81" s="4">
        <f>'Total income package'!$D$80</f>
        <v>0</v>
      </c>
      <c r="D81" s="4">
        <f t="shared" si="11"/>
        <v>3000</v>
      </c>
      <c r="E81" s="4">
        <f t="shared" si="12"/>
        <v>2791</v>
      </c>
      <c r="F81" t="str">
        <f t="shared" si="13"/>
        <v>No</v>
      </c>
      <c r="G81" t="str">
        <f t="shared" si="14"/>
        <v>Yes</v>
      </c>
      <c r="I81" t="str">
        <f t="shared" si="15"/>
        <v>No</v>
      </c>
      <c r="J81" t="str">
        <f t="shared" si="9"/>
        <v>Yes</v>
      </c>
      <c r="K81" t="str">
        <f t="shared" si="10"/>
        <v>Yes</v>
      </c>
      <c r="L81" s="203">
        <f>IF(AND('Total income package'!$A$16=TRUE,E81&lt;$J$2),$M$2,0)</f>
        <v>2069</v>
      </c>
      <c r="M81" s="179">
        <f>IF(AND('Total income package'!$A$16=TRUE,E81&lt;$L$2),$P$2,0)</f>
        <v>955.5</v>
      </c>
      <c r="N81" s="204">
        <f t="shared" si="16"/>
        <v>3024.5</v>
      </c>
    </row>
    <row r="82" spans="1:14" x14ac:dyDescent="0.25">
      <c r="A82" s="105">
        <v>36500</v>
      </c>
      <c r="B82" s="4">
        <f t="shared" si="17"/>
        <v>3041.6666666666665</v>
      </c>
      <c r="C82" s="4">
        <f>'Total income package'!$D$80</f>
        <v>0</v>
      </c>
      <c r="D82" s="4">
        <f t="shared" si="11"/>
        <v>3041.6666666666665</v>
      </c>
      <c r="E82" s="4">
        <f t="shared" si="12"/>
        <v>2832.6666666666665</v>
      </c>
      <c r="F82" t="str">
        <f t="shared" si="13"/>
        <v>No</v>
      </c>
      <c r="G82" t="str">
        <f t="shared" si="14"/>
        <v>Yes</v>
      </c>
      <c r="I82" t="str">
        <f t="shared" si="15"/>
        <v>No</v>
      </c>
      <c r="J82" t="str">
        <f t="shared" si="9"/>
        <v>Yes</v>
      </c>
      <c r="K82" t="str">
        <f t="shared" si="10"/>
        <v>Yes</v>
      </c>
      <c r="L82" s="203">
        <f>IF(AND('Total income package'!$A$16=TRUE,E82&lt;$J$2),$M$2,0)</f>
        <v>2069</v>
      </c>
      <c r="M82" s="179">
        <f>IF(AND('Total income package'!$A$16=TRUE,E82&lt;$L$2),$P$2,0)</f>
        <v>955.5</v>
      </c>
      <c r="N82" s="204">
        <f t="shared" si="16"/>
        <v>3024.5</v>
      </c>
    </row>
    <row r="83" spans="1:14" x14ac:dyDescent="0.25">
      <c r="A83" s="105">
        <v>37000</v>
      </c>
      <c r="B83" s="4">
        <f t="shared" si="17"/>
        <v>3083.3333333333335</v>
      </c>
      <c r="C83" s="4">
        <f>'Total income package'!$D$80</f>
        <v>0</v>
      </c>
      <c r="D83" s="4">
        <f t="shared" si="11"/>
        <v>3083.3333333333335</v>
      </c>
      <c r="E83" s="4">
        <f t="shared" si="12"/>
        <v>2874.3333333333335</v>
      </c>
      <c r="F83" t="str">
        <f t="shared" si="13"/>
        <v>No</v>
      </c>
      <c r="G83" t="str">
        <f t="shared" si="14"/>
        <v>Yes</v>
      </c>
      <c r="I83" t="str">
        <f t="shared" si="15"/>
        <v>No</v>
      </c>
      <c r="J83" t="str">
        <f t="shared" si="9"/>
        <v>Yes</v>
      </c>
      <c r="K83" t="str">
        <f t="shared" si="10"/>
        <v>Yes</v>
      </c>
      <c r="L83" s="203">
        <f>IF(AND('Total income package'!$A$16=TRUE,E83&lt;$J$2),$M$2,0)</f>
        <v>2069</v>
      </c>
      <c r="M83" s="179">
        <f>IF(AND('Total income package'!$A$16=TRUE,E83&lt;$L$2),$P$2,0)</f>
        <v>955.5</v>
      </c>
      <c r="N83" s="204">
        <f t="shared" si="16"/>
        <v>3024.5</v>
      </c>
    </row>
    <row r="84" spans="1:14" x14ac:dyDescent="0.25">
      <c r="A84" s="105">
        <v>37500</v>
      </c>
      <c r="B84" s="4">
        <f t="shared" si="17"/>
        <v>3125</v>
      </c>
      <c r="C84" s="4">
        <f>'Total income package'!$D$80</f>
        <v>0</v>
      </c>
      <c r="D84" s="4">
        <f t="shared" si="11"/>
        <v>3125</v>
      </c>
      <c r="E84" s="4">
        <f t="shared" si="12"/>
        <v>2916</v>
      </c>
      <c r="F84" t="str">
        <f t="shared" si="13"/>
        <v>No</v>
      </c>
      <c r="G84" t="str">
        <f t="shared" si="14"/>
        <v>Yes</v>
      </c>
      <c r="I84" t="str">
        <f t="shared" si="15"/>
        <v>No</v>
      </c>
      <c r="J84" t="str">
        <f t="shared" si="9"/>
        <v>Yes</v>
      </c>
      <c r="K84" t="str">
        <f t="shared" si="10"/>
        <v>Yes</v>
      </c>
      <c r="L84" s="203">
        <f>IF(AND('Total income package'!$A$16=TRUE,E84&lt;$J$2),$M$2,0)</f>
        <v>2069</v>
      </c>
      <c r="M84" s="179">
        <f>IF(AND('Total income package'!$A$16=TRUE,E84&lt;$L$2),$P$2,0)</f>
        <v>955.5</v>
      </c>
      <c r="N84" s="204">
        <f t="shared" si="16"/>
        <v>3024.5</v>
      </c>
    </row>
    <row r="85" spans="1:14" x14ac:dyDescent="0.25">
      <c r="A85" s="105">
        <v>38000</v>
      </c>
      <c r="B85" s="4">
        <f t="shared" si="17"/>
        <v>3166.6666666666665</v>
      </c>
      <c r="C85" s="4">
        <f>'Total income package'!$D$80</f>
        <v>0</v>
      </c>
      <c r="D85" s="4">
        <f t="shared" si="11"/>
        <v>3166.6666666666665</v>
      </c>
      <c r="E85" s="4">
        <f t="shared" si="12"/>
        <v>2957.6666666666665</v>
      </c>
      <c r="F85" t="str">
        <f t="shared" si="13"/>
        <v>No</v>
      </c>
      <c r="G85" t="str">
        <f t="shared" si="14"/>
        <v>Yes</v>
      </c>
      <c r="I85" t="str">
        <f t="shared" si="15"/>
        <v>No</v>
      </c>
      <c r="J85" t="str">
        <f t="shared" si="9"/>
        <v>Yes</v>
      </c>
      <c r="K85" t="str">
        <f t="shared" si="10"/>
        <v>Yes</v>
      </c>
      <c r="L85" s="203">
        <f>IF(AND('Total income package'!$A$16=TRUE,E85&lt;$J$2),$M$2,0)</f>
        <v>2069</v>
      </c>
      <c r="M85" s="179">
        <f>IF(AND('Total income package'!$A$16=TRUE,E85&lt;$L$2),$P$2,0)</f>
        <v>955.5</v>
      </c>
      <c r="N85" s="204">
        <f t="shared" si="16"/>
        <v>3024.5</v>
      </c>
    </row>
    <row r="86" spans="1:14" x14ac:dyDescent="0.25">
      <c r="A86" s="105">
        <v>38500</v>
      </c>
      <c r="B86" s="4">
        <f t="shared" si="17"/>
        <v>3208.3333333333335</v>
      </c>
      <c r="C86" s="4">
        <f>'Total income package'!$D$80</f>
        <v>0</v>
      </c>
      <c r="D86" s="4">
        <f t="shared" si="11"/>
        <v>3208.3333333333335</v>
      </c>
      <c r="E86" s="4">
        <f t="shared" si="12"/>
        <v>2999.3333333333335</v>
      </c>
      <c r="F86" t="str">
        <f t="shared" si="13"/>
        <v>No</v>
      </c>
      <c r="G86" t="str">
        <f t="shared" si="14"/>
        <v>Yes</v>
      </c>
      <c r="I86" t="str">
        <f t="shared" si="15"/>
        <v>No</v>
      </c>
      <c r="J86" t="str">
        <f t="shared" si="9"/>
        <v>Yes</v>
      </c>
      <c r="K86" t="str">
        <f t="shared" si="10"/>
        <v>Yes</v>
      </c>
      <c r="L86" s="203">
        <f>IF(AND('Total income package'!$A$16=TRUE,E86&lt;$J$2),$M$2,0)</f>
        <v>2069</v>
      </c>
      <c r="M86" s="179">
        <f>IF(AND('Total income package'!$A$16=TRUE,E86&lt;$L$2),$P$2,0)</f>
        <v>955.5</v>
      </c>
      <c r="N86" s="204">
        <f t="shared" si="16"/>
        <v>3024.5</v>
      </c>
    </row>
    <row r="87" spans="1:14" x14ac:dyDescent="0.25">
      <c r="A87" s="105">
        <v>39000</v>
      </c>
      <c r="B87" s="4">
        <f t="shared" si="17"/>
        <v>3250</v>
      </c>
      <c r="C87" s="4">
        <f>'Total income package'!$D$80</f>
        <v>0</v>
      </c>
      <c r="D87" s="4">
        <f t="shared" si="11"/>
        <v>3250</v>
      </c>
      <c r="E87" s="4">
        <f t="shared" si="12"/>
        <v>3041</v>
      </c>
      <c r="F87" t="str">
        <f t="shared" si="13"/>
        <v>No</v>
      </c>
      <c r="G87" t="str">
        <f t="shared" si="14"/>
        <v>Yes</v>
      </c>
      <c r="I87" t="str">
        <f t="shared" si="15"/>
        <v>No</v>
      </c>
      <c r="J87" t="str">
        <f t="shared" si="9"/>
        <v>Yes</v>
      </c>
      <c r="K87" t="str">
        <f t="shared" si="10"/>
        <v>Yes</v>
      </c>
      <c r="L87" s="203">
        <f>IF(AND('Total income package'!$A$16=TRUE,E87&lt;$J$2),$M$2,0)</f>
        <v>2069</v>
      </c>
      <c r="M87" s="179">
        <f>IF(AND('Total income package'!$A$16=TRUE,E87&lt;$L$2),$P$2,0)</f>
        <v>955.5</v>
      </c>
      <c r="N87" s="204">
        <f t="shared" si="16"/>
        <v>3024.5</v>
      </c>
    </row>
    <row r="88" spans="1:14" x14ac:dyDescent="0.25">
      <c r="A88" s="105">
        <v>39500</v>
      </c>
      <c r="B88" s="4">
        <f t="shared" si="17"/>
        <v>3291.6666666666665</v>
      </c>
      <c r="C88" s="4">
        <f>'Total income package'!$D$80</f>
        <v>0</v>
      </c>
      <c r="D88" s="4">
        <f t="shared" si="11"/>
        <v>3291.6666666666665</v>
      </c>
      <c r="E88" s="4">
        <f t="shared" si="12"/>
        <v>3082.6666666666665</v>
      </c>
      <c r="F88" t="str">
        <f t="shared" si="13"/>
        <v>No</v>
      </c>
      <c r="G88" t="str">
        <f t="shared" si="14"/>
        <v>Yes</v>
      </c>
      <c r="I88" t="str">
        <f t="shared" si="15"/>
        <v>No</v>
      </c>
      <c r="J88" t="str">
        <f t="shared" si="9"/>
        <v>Yes</v>
      </c>
      <c r="K88" t="str">
        <f t="shared" si="10"/>
        <v>Yes</v>
      </c>
      <c r="L88" s="203">
        <f>IF(AND('Total income package'!$A$16=TRUE,E88&lt;$J$2),$M$2,0)</f>
        <v>2069</v>
      </c>
      <c r="M88" s="179">
        <f>IF(AND('Total income package'!$A$16=TRUE,E88&lt;$L$2),$P$2,0)</f>
        <v>955.5</v>
      </c>
      <c r="N88" s="204">
        <f t="shared" si="16"/>
        <v>3024.5</v>
      </c>
    </row>
    <row r="89" spans="1:14" x14ac:dyDescent="0.25">
      <c r="A89" s="105">
        <v>40000</v>
      </c>
      <c r="B89" s="4">
        <f t="shared" si="17"/>
        <v>3333.3333333333335</v>
      </c>
      <c r="C89" s="4">
        <f>'Total income package'!$D$80</f>
        <v>0</v>
      </c>
      <c r="D89" s="4">
        <f t="shared" si="11"/>
        <v>3333.3333333333335</v>
      </c>
      <c r="E89" s="4">
        <f t="shared" si="12"/>
        <v>3124.3333333333335</v>
      </c>
      <c r="F89" t="str">
        <f t="shared" si="13"/>
        <v>No</v>
      </c>
      <c r="G89" t="str">
        <f t="shared" si="14"/>
        <v>Yes</v>
      </c>
      <c r="I89" t="str">
        <f t="shared" si="15"/>
        <v>No</v>
      </c>
      <c r="J89" t="str">
        <f t="shared" si="9"/>
        <v>Yes</v>
      </c>
      <c r="K89" t="str">
        <f t="shared" si="10"/>
        <v>Yes</v>
      </c>
      <c r="L89" s="203">
        <f>IF(AND('Total income package'!$A$16=TRUE,E89&lt;$J$2),$M$2,0)</f>
        <v>2069</v>
      </c>
      <c r="M89" s="179">
        <f>IF(AND('Total income package'!$A$16=TRUE,E89&lt;$L$2),$P$2,0)</f>
        <v>955.5</v>
      </c>
      <c r="N89" s="204">
        <f t="shared" si="16"/>
        <v>3024.5</v>
      </c>
    </row>
    <row r="90" spans="1:14" x14ac:dyDescent="0.25">
      <c r="A90" s="105">
        <v>40500</v>
      </c>
      <c r="B90" s="4">
        <f t="shared" si="17"/>
        <v>3375</v>
      </c>
      <c r="C90" s="4">
        <f>'Total income package'!$D$80</f>
        <v>0</v>
      </c>
      <c r="D90" s="4">
        <f t="shared" si="11"/>
        <v>3375</v>
      </c>
      <c r="E90" s="4">
        <f t="shared" si="12"/>
        <v>3166</v>
      </c>
      <c r="F90" t="str">
        <f t="shared" si="13"/>
        <v>No</v>
      </c>
      <c r="G90" t="str">
        <f t="shared" si="14"/>
        <v>Yes</v>
      </c>
      <c r="I90" t="str">
        <f t="shared" si="15"/>
        <v>No</v>
      </c>
      <c r="J90" t="str">
        <f t="shared" si="9"/>
        <v>Yes</v>
      </c>
      <c r="K90" t="str">
        <f t="shared" si="10"/>
        <v>Yes</v>
      </c>
      <c r="L90" s="203">
        <f>IF(AND('Total income package'!$A$16=TRUE,E90&lt;$J$2),$M$2,0)</f>
        <v>2069</v>
      </c>
      <c r="M90" s="179">
        <f>IF(AND('Total income package'!$A$16=TRUE,E90&lt;$L$2),$P$2,0)</f>
        <v>955.5</v>
      </c>
      <c r="N90" s="204">
        <f t="shared" si="16"/>
        <v>3024.5</v>
      </c>
    </row>
    <row r="91" spans="1:14" x14ac:dyDescent="0.25">
      <c r="A91" s="105">
        <v>41000</v>
      </c>
      <c r="B91" s="4">
        <f t="shared" si="17"/>
        <v>3416.6666666666665</v>
      </c>
      <c r="C91" s="4">
        <f>'Total income package'!$D$80</f>
        <v>0</v>
      </c>
      <c r="D91" s="4">
        <f t="shared" si="11"/>
        <v>3416.6666666666665</v>
      </c>
      <c r="E91" s="4">
        <f t="shared" si="12"/>
        <v>3207.6666666666665</v>
      </c>
      <c r="F91" t="str">
        <f t="shared" si="13"/>
        <v>No</v>
      </c>
      <c r="G91" t="str">
        <f t="shared" si="14"/>
        <v>Yes</v>
      </c>
      <c r="I91" t="str">
        <f t="shared" si="15"/>
        <v>No</v>
      </c>
      <c r="J91" t="str">
        <f t="shared" si="9"/>
        <v>Yes</v>
      </c>
      <c r="K91" t="str">
        <f t="shared" si="10"/>
        <v>Yes</v>
      </c>
      <c r="L91" s="203">
        <f>IF(AND('Total income package'!$A$16=TRUE,E91&lt;$J$2),$M$2,0)</f>
        <v>2069</v>
      </c>
      <c r="M91" s="179">
        <f>IF(AND('Total income package'!$A$16=TRUE,E91&lt;$L$2),$P$2,0)</f>
        <v>955.5</v>
      </c>
      <c r="N91" s="204">
        <f t="shared" si="16"/>
        <v>3024.5</v>
      </c>
    </row>
    <row r="92" spans="1:14" x14ac:dyDescent="0.25">
      <c r="A92" s="105">
        <v>41500</v>
      </c>
      <c r="B92" s="4">
        <f t="shared" si="17"/>
        <v>3458.3333333333335</v>
      </c>
      <c r="C92" s="4">
        <f>'Total income package'!$D$80</f>
        <v>0</v>
      </c>
      <c r="D92" s="4">
        <f t="shared" si="11"/>
        <v>3458.3333333333335</v>
      </c>
      <c r="E92" s="4">
        <f t="shared" si="12"/>
        <v>3249.3333333333335</v>
      </c>
      <c r="F92" t="str">
        <f t="shared" si="13"/>
        <v>No</v>
      </c>
      <c r="G92" t="str">
        <f t="shared" si="14"/>
        <v>Yes</v>
      </c>
      <c r="I92" t="str">
        <f t="shared" si="15"/>
        <v>No</v>
      </c>
      <c r="J92" t="str">
        <f t="shared" si="9"/>
        <v>Yes</v>
      </c>
      <c r="K92" t="str">
        <f t="shared" si="10"/>
        <v>Yes</v>
      </c>
      <c r="L92" s="203">
        <f>IF(AND('Total income package'!$A$16=TRUE,E92&lt;$J$2),$M$2,0)</f>
        <v>2069</v>
      </c>
      <c r="M92" s="179">
        <f>IF(AND('Total income package'!$A$16=TRUE,E92&lt;$L$2),$P$2,0)</f>
        <v>955.5</v>
      </c>
      <c r="N92" s="204">
        <f t="shared" si="16"/>
        <v>3024.5</v>
      </c>
    </row>
    <row r="93" spans="1:14" x14ac:dyDescent="0.25">
      <c r="A93" s="105">
        <v>42000</v>
      </c>
      <c r="B93" s="4">
        <f t="shared" si="17"/>
        <v>3500</v>
      </c>
      <c r="C93" s="4">
        <f>'Total income package'!$D$80</f>
        <v>0</v>
      </c>
      <c r="D93" s="4">
        <f t="shared" si="11"/>
        <v>3500</v>
      </c>
      <c r="E93" s="4">
        <f t="shared" si="12"/>
        <v>3291</v>
      </c>
      <c r="F93" t="str">
        <f t="shared" si="13"/>
        <v>No</v>
      </c>
      <c r="G93" t="str">
        <f t="shared" si="14"/>
        <v>Yes</v>
      </c>
      <c r="I93" t="str">
        <f t="shared" si="15"/>
        <v>No</v>
      </c>
      <c r="J93" t="str">
        <f t="shared" si="9"/>
        <v>Yes</v>
      </c>
      <c r="K93" t="str">
        <f t="shared" si="10"/>
        <v>Yes</v>
      </c>
      <c r="L93" s="203">
        <f>IF(AND('Total income package'!$A$16=TRUE,E93&lt;$J$2),$M$2,0)</f>
        <v>2069</v>
      </c>
      <c r="M93" s="179">
        <f>IF(AND('Total income package'!$A$16=TRUE,E93&lt;$L$2),$P$2,0)</f>
        <v>955.5</v>
      </c>
      <c r="N93" s="204">
        <f t="shared" si="16"/>
        <v>3024.5</v>
      </c>
    </row>
    <row r="94" spans="1:14" x14ac:dyDescent="0.25">
      <c r="A94" s="105">
        <v>42500</v>
      </c>
      <c r="B94" s="4">
        <f t="shared" si="17"/>
        <v>3541.6666666666665</v>
      </c>
      <c r="C94" s="4">
        <f>'Total income package'!$D$80</f>
        <v>0</v>
      </c>
      <c r="D94" s="4">
        <f t="shared" si="11"/>
        <v>3541.6666666666665</v>
      </c>
      <c r="E94" s="4">
        <f t="shared" si="12"/>
        <v>3332.6666666666665</v>
      </c>
      <c r="F94" t="str">
        <f t="shared" si="13"/>
        <v>No</v>
      </c>
      <c r="G94" t="str">
        <f t="shared" si="14"/>
        <v>Yes</v>
      </c>
      <c r="I94" t="str">
        <f t="shared" si="15"/>
        <v>No</v>
      </c>
      <c r="J94" t="str">
        <f t="shared" si="9"/>
        <v>Yes</v>
      </c>
      <c r="K94" t="str">
        <f t="shared" si="10"/>
        <v>Yes</v>
      </c>
      <c r="L94" s="203">
        <f>IF(AND('Total income package'!$A$16=TRUE,E94&lt;$J$2),$M$2,0)</f>
        <v>2069</v>
      </c>
      <c r="M94" s="179">
        <f>IF(AND('Total income package'!$A$16=TRUE,E94&lt;$L$2),$P$2,0)</f>
        <v>955.5</v>
      </c>
      <c r="N94" s="204">
        <f t="shared" si="16"/>
        <v>3024.5</v>
      </c>
    </row>
    <row r="95" spans="1:14" x14ac:dyDescent="0.25">
      <c r="A95" s="105">
        <v>43000</v>
      </c>
      <c r="B95" s="4">
        <f t="shared" si="17"/>
        <v>3583.3333333333335</v>
      </c>
      <c r="C95" s="4">
        <f>'Total income package'!$D$80</f>
        <v>0</v>
      </c>
      <c r="D95" s="4">
        <f t="shared" si="11"/>
        <v>3583.3333333333335</v>
      </c>
      <c r="E95" s="4">
        <f t="shared" si="12"/>
        <v>3374.3333333333335</v>
      </c>
      <c r="F95" t="str">
        <f t="shared" si="13"/>
        <v>No</v>
      </c>
      <c r="G95" t="str">
        <f t="shared" si="14"/>
        <v>Yes</v>
      </c>
      <c r="I95" t="str">
        <f t="shared" si="15"/>
        <v>No</v>
      </c>
      <c r="J95" t="str">
        <f t="shared" si="9"/>
        <v>Yes</v>
      </c>
      <c r="K95" t="str">
        <f t="shared" si="10"/>
        <v>Yes</v>
      </c>
      <c r="L95" s="203">
        <f>IF(AND('Total income package'!$A$16=TRUE,E95&lt;$J$2),$M$2,0)</f>
        <v>2069</v>
      </c>
      <c r="M95" s="179">
        <f>IF(AND('Total income package'!$A$16=TRUE,E95&lt;$L$2),$P$2,0)</f>
        <v>955.5</v>
      </c>
      <c r="N95" s="204">
        <f t="shared" si="16"/>
        <v>3024.5</v>
      </c>
    </row>
    <row r="96" spans="1:14" x14ac:dyDescent="0.25">
      <c r="A96" s="105">
        <v>43500</v>
      </c>
      <c r="B96" s="4">
        <f t="shared" si="17"/>
        <v>3625</v>
      </c>
      <c r="C96" s="4">
        <f>'Total income package'!$D$80</f>
        <v>0</v>
      </c>
      <c r="D96" s="4">
        <f t="shared" si="11"/>
        <v>3625</v>
      </c>
      <c r="E96" s="4">
        <f t="shared" si="12"/>
        <v>3416</v>
      </c>
      <c r="F96" t="str">
        <f t="shared" si="13"/>
        <v>No</v>
      </c>
      <c r="G96" t="str">
        <f t="shared" si="14"/>
        <v>Yes</v>
      </c>
      <c r="I96" t="str">
        <f t="shared" si="15"/>
        <v>No</v>
      </c>
      <c r="J96" t="str">
        <f t="shared" si="9"/>
        <v>Yes</v>
      </c>
      <c r="K96" t="str">
        <f t="shared" si="10"/>
        <v>Yes</v>
      </c>
      <c r="L96" s="203">
        <f>IF(AND('Total income package'!$A$16=TRUE,E96&lt;$J$2),$M$2,0)</f>
        <v>2069</v>
      </c>
      <c r="M96" s="179">
        <f>IF(AND('Total income package'!$A$16=TRUE,E96&lt;$L$2),$P$2,0)</f>
        <v>955.5</v>
      </c>
      <c r="N96" s="204">
        <f t="shared" si="16"/>
        <v>3024.5</v>
      </c>
    </row>
    <row r="97" spans="1:14" x14ac:dyDescent="0.25">
      <c r="A97" s="105">
        <v>44000</v>
      </c>
      <c r="B97" s="4">
        <f t="shared" si="17"/>
        <v>3666.6666666666665</v>
      </c>
      <c r="C97" s="4">
        <f>'Total income package'!$D$80</f>
        <v>0</v>
      </c>
      <c r="D97" s="4">
        <f t="shared" si="11"/>
        <v>3666.6666666666665</v>
      </c>
      <c r="E97" s="4">
        <f t="shared" si="12"/>
        <v>3457.6666666666665</v>
      </c>
      <c r="F97" t="str">
        <f t="shared" si="13"/>
        <v>No</v>
      </c>
      <c r="G97" t="str">
        <f t="shared" si="14"/>
        <v>Yes</v>
      </c>
      <c r="I97" t="str">
        <f t="shared" si="15"/>
        <v>No</v>
      </c>
      <c r="J97" t="str">
        <f t="shared" si="9"/>
        <v>Yes</v>
      </c>
      <c r="K97" t="str">
        <f t="shared" si="10"/>
        <v>Yes</v>
      </c>
      <c r="L97" s="203">
        <f>IF(AND('Total income package'!$A$16=TRUE,E97&lt;$J$2),$M$2,0)</f>
        <v>2069</v>
      </c>
      <c r="M97" s="179">
        <f>IF(AND('Total income package'!$A$16=TRUE,E97&lt;$L$2),$P$2,0)</f>
        <v>955.5</v>
      </c>
      <c r="N97" s="204">
        <f t="shared" si="16"/>
        <v>3024.5</v>
      </c>
    </row>
    <row r="98" spans="1:14" x14ac:dyDescent="0.25">
      <c r="A98" s="105">
        <v>44500</v>
      </c>
      <c r="B98" s="4">
        <f t="shared" si="17"/>
        <v>3708.3333333333335</v>
      </c>
      <c r="C98" s="4">
        <f>'Total income package'!$D$80</f>
        <v>0</v>
      </c>
      <c r="D98" s="4">
        <f t="shared" si="11"/>
        <v>3708.3333333333335</v>
      </c>
      <c r="E98" s="4">
        <f t="shared" si="12"/>
        <v>3499.3333333333335</v>
      </c>
      <c r="F98" t="str">
        <f t="shared" si="13"/>
        <v>No</v>
      </c>
      <c r="G98" t="str">
        <f t="shared" si="14"/>
        <v>Yes</v>
      </c>
      <c r="I98" t="str">
        <f t="shared" si="15"/>
        <v>No</v>
      </c>
      <c r="J98" t="str">
        <f t="shared" si="9"/>
        <v>Yes</v>
      </c>
      <c r="K98" t="str">
        <f t="shared" si="10"/>
        <v>Yes</v>
      </c>
      <c r="L98" s="203">
        <f>IF(AND('Total income package'!$A$16=TRUE,E98&lt;$J$2),$M$2,0)</f>
        <v>2069</v>
      </c>
      <c r="M98" s="179">
        <f>IF(AND('Total income package'!$A$16=TRUE,E98&lt;$L$2),$P$2,0)</f>
        <v>955.5</v>
      </c>
      <c r="N98" s="204">
        <f t="shared" si="16"/>
        <v>3024.5</v>
      </c>
    </row>
    <row r="99" spans="1:14" x14ac:dyDescent="0.25">
      <c r="A99" s="105">
        <v>45000</v>
      </c>
      <c r="B99" s="4">
        <f t="shared" si="17"/>
        <v>3750</v>
      </c>
      <c r="C99" s="4">
        <f>'Total income package'!$D$80</f>
        <v>0</v>
      </c>
      <c r="D99" s="4">
        <f t="shared" si="11"/>
        <v>3750</v>
      </c>
      <c r="E99" s="4">
        <f t="shared" si="12"/>
        <v>3541</v>
      </c>
      <c r="F99" t="str">
        <f t="shared" si="13"/>
        <v>No</v>
      </c>
      <c r="G99" t="str">
        <f t="shared" si="14"/>
        <v>Yes</v>
      </c>
      <c r="I99" t="str">
        <f t="shared" si="15"/>
        <v>No</v>
      </c>
      <c r="J99" t="str">
        <f t="shared" si="9"/>
        <v>Yes</v>
      </c>
      <c r="K99" t="str">
        <f t="shared" si="10"/>
        <v>Yes</v>
      </c>
      <c r="L99" s="203">
        <f>IF(AND('Total income package'!$A$16=TRUE,E99&lt;$J$2),$M$2,0)</f>
        <v>2069</v>
      </c>
      <c r="M99" s="179">
        <f>IF(AND('Total income package'!$A$16=TRUE,E99&lt;$L$2),$P$2,0)</f>
        <v>955.5</v>
      </c>
      <c r="N99" s="204">
        <f t="shared" si="16"/>
        <v>3024.5</v>
      </c>
    </row>
    <row r="100" spans="1:14" x14ac:dyDescent="0.25">
      <c r="A100" s="105">
        <v>45500</v>
      </c>
      <c r="B100" s="4">
        <f t="shared" si="17"/>
        <v>3791.6666666666665</v>
      </c>
      <c r="C100" s="4">
        <f>'Total income package'!$D$80</f>
        <v>0</v>
      </c>
      <c r="D100" s="4">
        <f t="shared" si="11"/>
        <v>3791.6666666666665</v>
      </c>
      <c r="E100" s="4">
        <f t="shared" si="12"/>
        <v>3582.6666666666665</v>
      </c>
      <c r="F100" t="str">
        <f t="shared" si="13"/>
        <v>No</v>
      </c>
      <c r="G100" t="str">
        <f t="shared" si="14"/>
        <v>Yes</v>
      </c>
      <c r="I100" t="str">
        <f t="shared" si="15"/>
        <v>No</v>
      </c>
      <c r="J100" t="str">
        <f t="shared" si="9"/>
        <v>Yes</v>
      </c>
      <c r="K100" t="str">
        <f t="shared" si="10"/>
        <v>Yes</v>
      </c>
      <c r="L100" s="203">
        <f>IF(AND('Total income package'!$A$16=TRUE,E100&lt;$J$2),$M$2,0)</f>
        <v>2069</v>
      </c>
      <c r="M100" s="179">
        <f>IF(AND('Total income package'!$A$16=TRUE,E100&lt;$L$2),$P$2,0)</f>
        <v>955.5</v>
      </c>
      <c r="N100" s="204">
        <f t="shared" si="16"/>
        <v>3024.5</v>
      </c>
    </row>
    <row r="101" spans="1:14" x14ac:dyDescent="0.25">
      <c r="A101" s="105">
        <v>46000</v>
      </c>
      <c r="B101" s="4">
        <f t="shared" si="17"/>
        <v>3833.3333333333335</v>
      </c>
      <c r="C101" s="4">
        <f>'Total income package'!$D$80</f>
        <v>0</v>
      </c>
      <c r="D101" s="4">
        <f t="shared" si="11"/>
        <v>3833.3333333333335</v>
      </c>
      <c r="E101" s="4">
        <f t="shared" si="12"/>
        <v>3624.3333333333335</v>
      </c>
      <c r="F101" t="str">
        <f t="shared" si="13"/>
        <v>No</v>
      </c>
      <c r="G101" t="str">
        <f t="shared" si="14"/>
        <v>Yes</v>
      </c>
      <c r="I101" t="str">
        <f t="shared" si="15"/>
        <v>No</v>
      </c>
      <c r="J101" t="str">
        <f t="shared" si="9"/>
        <v>Yes</v>
      </c>
      <c r="K101" t="str">
        <f t="shared" si="10"/>
        <v>Yes</v>
      </c>
      <c r="L101" s="203">
        <f>IF(AND('Total income package'!$A$16=TRUE,E101&lt;$J$2),$M$2,0)</f>
        <v>2069</v>
      </c>
      <c r="M101" s="179">
        <f>IF(AND('Total income package'!$A$16=TRUE,E101&lt;$L$2),$P$2,0)</f>
        <v>955.5</v>
      </c>
      <c r="N101" s="204">
        <f t="shared" si="16"/>
        <v>3024.5</v>
      </c>
    </row>
    <row r="102" spans="1:14" x14ac:dyDescent="0.25">
      <c r="A102" s="105">
        <v>46500</v>
      </c>
      <c r="B102" s="4">
        <f t="shared" si="17"/>
        <v>3875</v>
      </c>
      <c r="C102" s="4">
        <f>'Total income package'!$D$80</f>
        <v>0</v>
      </c>
      <c r="D102" s="4">
        <f t="shared" si="11"/>
        <v>3875</v>
      </c>
      <c r="E102" s="4">
        <f t="shared" si="12"/>
        <v>3666</v>
      </c>
      <c r="F102" t="str">
        <f t="shared" si="13"/>
        <v>No</v>
      </c>
      <c r="G102" t="str">
        <f t="shared" si="14"/>
        <v>Yes</v>
      </c>
      <c r="I102" t="str">
        <f t="shared" si="15"/>
        <v>No</v>
      </c>
      <c r="J102" t="str">
        <f t="shared" si="9"/>
        <v>Yes</v>
      </c>
      <c r="K102" t="str">
        <f t="shared" si="10"/>
        <v>Yes</v>
      </c>
      <c r="L102" s="203">
        <f>IF(AND('Total income package'!$A$16=TRUE,E102&lt;$J$2),$M$2,0)</f>
        <v>2069</v>
      </c>
      <c r="M102" s="179">
        <f>IF(AND('Total income package'!$A$16=TRUE,E102&lt;$L$2),$P$2,0)</f>
        <v>955.5</v>
      </c>
      <c r="N102" s="204">
        <f t="shared" si="16"/>
        <v>3024.5</v>
      </c>
    </row>
    <row r="103" spans="1:14" x14ac:dyDescent="0.25">
      <c r="A103" s="105">
        <v>47000</v>
      </c>
      <c r="B103" s="4">
        <f t="shared" si="17"/>
        <v>3916.6666666666665</v>
      </c>
      <c r="C103" s="4">
        <f>'Total income package'!$D$80</f>
        <v>0</v>
      </c>
      <c r="D103" s="4">
        <f t="shared" si="11"/>
        <v>3916.6666666666665</v>
      </c>
      <c r="E103" s="4">
        <f t="shared" si="12"/>
        <v>3707.6666666666665</v>
      </c>
      <c r="F103" t="str">
        <f t="shared" si="13"/>
        <v>No</v>
      </c>
      <c r="G103" t="str">
        <f t="shared" si="14"/>
        <v>Yes</v>
      </c>
      <c r="I103" t="str">
        <f t="shared" si="15"/>
        <v>No</v>
      </c>
      <c r="J103" t="str">
        <f t="shared" si="9"/>
        <v>Yes</v>
      </c>
      <c r="K103" t="str">
        <f t="shared" si="10"/>
        <v>Yes</v>
      </c>
      <c r="L103" s="203">
        <f>IF(AND('Total income package'!$A$16=TRUE,E103&lt;$J$2),$M$2,0)</f>
        <v>2069</v>
      </c>
      <c r="M103" s="179">
        <f>IF(AND('Total income package'!$A$16=TRUE,E103&lt;$L$2),$P$2,0)</f>
        <v>955.5</v>
      </c>
      <c r="N103" s="204">
        <f t="shared" si="16"/>
        <v>3024.5</v>
      </c>
    </row>
    <row r="104" spans="1:14" x14ac:dyDescent="0.25">
      <c r="A104" s="105">
        <v>47500</v>
      </c>
      <c r="B104" s="4">
        <f t="shared" si="17"/>
        <v>3958.3333333333335</v>
      </c>
      <c r="C104" s="4">
        <f>'Total income package'!$D$80</f>
        <v>0</v>
      </c>
      <c r="D104" s="4">
        <f t="shared" si="11"/>
        <v>3958.3333333333335</v>
      </c>
      <c r="E104" s="4">
        <f t="shared" si="12"/>
        <v>3749.3333333333335</v>
      </c>
      <c r="F104" t="str">
        <f t="shared" si="13"/>
        <v>No</v>
      </c>
      <c r="G104" t="str">
        <f t="shared" si="14"/>
        <v>Yes</v>
      </c>
      <c r="I104" t="str">
        <f t="shared" si="15"/>
        <v>No</v>
      </c>
      <c r="J104" t="str">
        <f t="shared" si="9"/>
        <v>Yes</v>
      </c>
      <c r="K104" t="str">
        <f t="shared" si="10"/>
        <v>Yes</v>
      </c>
      <c r="L104" s="203">
        <f>IF(AND('Total income package'!$A$16=TRUE,E104&lt;$J$2),$M$2,0)</f>
        <v>2069</v>
      </c>
      <c r="M104" s="179">
        <f>IF(AND('Total income package'!$A$16=TRUE,E104&lt;$L$2),$P$2,0)</f>
        <v>955.5</v>
      </c>
      <c r="N104" s="204">
        <f t="shared" si="16"/>
        <v>3024.5</v>
      </c>
    </row>
    <row r="105" spans="1:14" x14ac:dyDescent="0.25">
      <c r="A105" s="105">
        <v>48000</v>
      </c>
      <c r="B105" s="4">
        <f t="shared" si="17"/>
        <v>4000</v>
      </c>
      <c r="C105" s="4">
        <f>'Total income package'!$D$80</f>
        <v>0</v>
      </c>
      <c r="D105" s="4">
        <f t="shared" si="11"/>
        <v>4000</v>
      </c>
      <c r="E105" s="4">
        <f t="shared" si="12"/>
        <v>3791</v>
      </c>
      <c r="F105" t="str">
        <f t="shared" si="13"/>
        <v>No</v>
      </c>
      <c r="G105" t="str">
        <f t="shared" si="14"/>
        <v>Yes</v>
      </c>
      <c r="I105" t="str">
        <f t="shared" si="15"/>
        <v>No</v>
      </c>
      <c r="J105" t="str">
        <f t="shared" si="9"/>
        <v>Yes</v>
      </c>
      <c r="K105" t="str">
        <f t="shared" si="10"/>
        <v>Yes</v>
      </c>
      <c r="L105" s="203">
        <f>IF(AND('Total income package'!$A$16=TRUE,E105&lt;$J$2),$M$2,0)</f>
        <v>2069</v>
      </c>
      <c r="M105" s="179">
        <f>IF(AND('Total income package'!$A$16=TRUE,E105&lt;$L$2),$P$2,0)</f>
        <v>955.5</v>
      </c>
      <c r="N105" s="204">
        <f t="shared" si="16"/>
        <v>3024.5</v>
      </c>
    </row>
    <row r="106" spans="1:14" x14ac:dyDescent="0.25">
      <c r="A106" s="105">
        <v>48500</v>
      </c>
      <c r="B106" s="4">
        <f t="shared" si="17"/>
        <v>4041.6666666666665</v>
      </c>
      <c r="C106" s="4">
        <f>'Total income package'!$D$80</f>
        <v>0</v>
      </c>
      <c r="D106" s="4">
        <f t="shared" si="11"/>
        <v>4041.6666666666665</v>
      </c>
      <c r="E106" s="4">
        <f t="shared" si="12"/>
        <v>3832.6666666666665</v>
      </c>
      <c r="F106" t="str">
        <f t="shared" si="13"/>
        <v>No</v>
      </c>
      <c r="G106" t="str">
        <f t="shared" si="14"/>
        <v>Yes</v>
      </c>
      <c r="I106" t="str">
        <f t="shared" si="15"/>
        <v>No</v>
      </c>
      <c r="J106" t="str">
        <f t="shared" si="9"/>
        <v>Yes</v>
      </c>
      <c r="K106" t="str">
        <f t="shared" si="10"/>
        <v>Yes</v>
      </c>
      <c r="L106" s="203">
        <f>IF(AND('Total income package'!$A$16=TRUE,E106&lt;$J$2),$M$2,0)</f>
        <v>2069</v>
      </c>
      <c r="M106" s="179">
        <f>IF(AND('Total income package'!$A$16=TRUE,E106&lt;$L$2),$P$2,0)</f>
        <v>955.5</v>
      </c>
      <c r="N106" s="204">
        <f t="shared" si="16"/>
        <v>3024.5</v>
      </c>
    </row>
    <row r="107" spans="1:14" x14ac:dyDescent="0.25">
      <c r="A107" s="105">
        <v>49000</v>
      </c>
      <c r="B107" s="4">
        <f t="shared" si="17"/>
        <v>4083.3333333333335</v>
      </c>
      <c r="C107" s="4">
        <f>'Total income package'!$D$80</f>
        <v>0</v>
      </c>
      <c r="D107" s="4">
        <f t="shared" si="11"/>
        <v>4083.3333333333335</v>
      </c>
      <c r="E107" s="4">
        <f t="shared" si="12"/>
        <v>3874.3333333333335</v>
      </c>
      <c r="F107" t="str">
        <f t="shared" si="13"/>
        <v>No</v>
      </c>
      <c r="G107" t="str">
        <f t="shared" si="14"/>
        <v>Yes</v>
      </c>
      <c r="I107" t="str">
        <f t="shared" si="15"/>
        <v>No</v>
      </c>
      <c r="J107" t="str">
        <f t="shared" si="9"/>
        <v>Yes</v>
      </c>
      <c r="K107" t="str">
        <f t="shared" si="10"/>
        <v>Yes</v>
      </c>
      <c r="L107" s="203">
        <f>IF(AND('Total income package'!$A$16=TRUE,E107&lt;$J$2),$M$2,0)</f>
        <v>2069</v>
      </c>
      <c r="M107" s="179">
        <f>IF(AND('Total income package'!$A$16=TRUE,E107&lt;$L$2),$P$2,0)</f>
        <v>955.5</v>
      </c>
      <c r="N107" s="204">
        <f t="shared" si="16"/>
        <v>3024.5</v>
      </c>
    </row>
    <row r="108" spans="1:14" x14ac:dyDescent="0.25">
      <c r="A108" s="105">
        <v>49500</v>
      </c>
      <c r="B108" s="4">
        <f t="shared" si="17"/>
        <v>4125</v>
      </c>
      <c r="C108" s="4">
        <f>'Total income package'!$D$80</f>
        <v>0</v>
      </c>
      <c r="D108" s="4">
        <f t="shared" si="11"/>
        <v>4125</v>
      </c>
      <c r="E108" s="4">
        <f t="shared" si="12"/>
        <v>3916</v>
      </c>
      <c r="F108" t="str">
        <f t="shared" si="13"/>
        <v>No</v>
      </c>
      <c r="G108" t="str">
        <f t="shared" si="14"/>
        <v>Yes</v>
      </c>
      <c r="I108" t="str">
        <f t="shared" si="15"/>
        <v>No</v>
      </c>
      <c r="J108" t="str">
        <f t="shared" si="9"/>
        <v>Yes</v>
      </c>
      <c r="K108" t="str">
        <f t="shared" si="10"/>
        <v>Yes</v>
      </c>
      <c r="L108" s="203">
        <f>IF(AND('Total income package'!$A$16=TRUE,E108&lt;$J$2),$M$2,0)</f>
        <v>2069</v>
      </c>
      <c r="M108" s="179">
        <f>IF(AND('Total income package'!$A$16=TRUE,E108&lt;$L$2),$P$2,0)</f>
        <v>955.5</v>
      </c>
      <c r="N108" s="204">
        <f t="shared" si="16"/>
        <v>3024.5</v>
      </c>
    </row>
    <row r="109" spans="1:14" x14ac:dyDescent="0.25">
      <c r="A109" s="105">
        <v>50000</v>
      </c>
      <c r="B109" s="4">
        <f t="shared" si="17"/>
        <v>4166.666666666667</v>
      </c>
      <c r="C109" s="4">
        <f>'Total income package'!$D$80</f>
        <v>0</v>
      </c>
      <c r="D109" s="4">
        <f t="shared" si="11"/>
        <v>4166.666666666667</v>
      </c>
      <c r="E109" s="4">
        <f t="shared" si="12"/>
        <v>3957.666666666667</v>
      </c>
      <c r="F109" t="str">
        <f t="shared" si="13"/>
        <v>No</v>
      </c>
      <c r="G109" t="str">
        <f t="shared" si="14"/>
        <v>Yes</v>
      </c>
      <c r="I109" t="str">
        <f t="shared" si="15"/>
        <v>No</v>
      </c>
      <c r="J109" t="str">
        <f t="shared" si="9"/>
        <v>Yes</v>
      </c>
      <c r="K109" t="str">
        <f t="shared" si="10"/>
        <v>Yes</v>
      </c>
      <c r="L109" s="203">
        <f>IF(AND('Total income package'!$A$16=TRUE,E109&lt;$J$2),$M$2,0)</f>
        <v>2069</v>
      </c>
      <c r="M109" s="179">
        <f>IF(AND('Total income package'!$A$16=TRUE,E109&lt;$L$2),$P$2,0)</f>
        <v>955.5</v>
      </c>
      <c r="N109" s="204">
        <f t="shared" si="16"/>
        <v>3024.5</v>
      </c>
    </row>
    <row r="110" spans="1:14" x14ac:dyDescent="0.25">
      <c r="A110" s="105">
        <v>50500</v>
      </c>
      <c r="B110" s="4">
        <f t="shared" si="17"/>
        <v>4208.333333333333</v>
      </c>
      <c r="C110" s="4">
        <f>'Total income package'!$D$80</f>
        <v>0</v>
      </c>
      <c r="D110" s="4">
        <f t="shared" si="11"/>
        <v>4208.333333333333</v>
      </c>
      <c r="E110" s="4">
        <f t="shared" si="12"/>
        <v>3999.333333333333</v>
      </c>
      <c r="F110" t="str">
        <f t="shared" si="13"/>
        <v>No</v>
      </c>
      <c r="G110" t="str">
        <f t="shared" si="14"/>
        <v>Yes</v>
      </c>
      <c r="I110" t="str">
        <f t="shared" si="15"/>
        <v>No</v>
      </c>
      <c r="J110" t="str">
        <f t="shared" si="9"/>
        <v>Yes</v>
      </c>
      <c r="K110" t="str">
        <f t="shared" si="10"/>
        <v>Yes</v>
      </c>
      <c r="L110" s="203">
        <f>IF(AND('Total income package'!$A$16=TRUE,E110&lt;$J$2),$M$2,0)</f>
        <v>2069</v>
      </c>
      <c r="M110" s="179">
        <f>IF(AND('Total income package'!$A$16=TRUE,E110&lt;$L$2),$P$2,0)</f>
        <v>955.5</v>
      </c>
      <c r="N110" s="204">
        <f t="shared" si="16"/>
        <v>3024.5</v>
      </c>
    </row>
    <row r="111" spans="1:14" x14ac:dyDescent="0.25">
      <c r="A111" s="105">
        <v>51000</v>
      </c>
      <c r="B111" s="4">
        <f t="shared" si="17"/>
        <v>4250</v>
      </c>
      <c r="C111" s="4">
        <f>'Total income package'!$D$80</f>
        <v>0</v>
      </c>
      <c r="D111" s="4">
        <f t="shared" si="11"/>
        <v>4250</v>
      </c>
      <c r="E111" s="4">
        <f t="shared" si="12"/>
        <v>4041</v>
      </c>
      <c r="F111" t="str">
        <f t="shared" si="13"/>
        <v>No</v>
      </c>
      <c r="G111" t="str">
        <f t="shared" si="14"/>
        <v>Yes</v>
      </c>
      <c r="I111" t="str">
        <f t="shared" si="15"/>
        <v>No</v>
      </c>
      <c r="J111" t="str">
        <f t="shared" si="9"/>
        <v>Yes</v>
      </c>
      <c r="K111" t="str">
        <f t="shared" si="10"/>
        <v>Yes</v>
      </c>
      <c r="L111" s="203">
        <f>IF(AND('Total income package'!$A$16=TRUE,E111&lt;$J$2),$M$2,0)</f>
        <v>2069</v>
      </c>
      <c r="M111" s="179">
        <f>IF(AND('Total income package'!$A$16=TRUE,E111&lt;$L$2),$P$2,0)</f>
        <v>955.5</v>
      </c>
      <c r="N111" s="204">
        <f t="shared" si="16"/>
        <v>3024.5</v>
      </c>
    </row>
    <row r="112" spans="1:14" x14ac:dyDescent="0.25">
      <c r="A112" s="105">
        <v>51500</v>
      </c>
      <c r="B112" s="4">
        <f t="shared" si="17"/>
        <v>4291.666666666667</v>
      </c>
      <c r="C112" s="4">
        <f>'Total income package'!$D$80</f>
        <v>0</v>
      </c>
      <c r="D112" s="4">
        <f t="shared" si="11"/>
        <v>4291.666666666667</v>
      </c>
      <c r="E112" s="4">
        <f t="shared" si="12"/>
        <v>4082.666666666667</v>
      </c>
      <c r="F112" t="str">
        <f t="shared" si="13"/>
        <v>No</v>
      </c>
      <c r="G112" t="str">
        <f t="shared" si="14"/>
        <v>Yes</v>
      </c>
      <c r="I112" t="str">
        <f t="shared" si="15"/>
        <v>No</v>
      </c>
      <c r="J112" t="str">
        <f t="shared" si="9"/>
        <v>Yes</v>
      </c>
      <c r="K112" t="str">
        <f t="shared" si="10"/>
        <v>Yes</v>
      </c>
      <c r="L112" s="203">
        <f>IF(AND('Total income package'!$A$16=TRUE,E112&lt;$J$2),$M$2,0)</f>
        <v>2069</v>
      </c>
      <c r="M112" s="179">
        <f>IF(AND('Total income package'!$A$16=TRUE,E112&lt;$L$2),$P$2,0)</f>
        <v>955.5</v>
      </c>
      <c r="N112" s="204">
        <f t="shared" si="16"/>
        <v>3024.5</v>
      </c>
    </row>
    <row r="113" spans="1:14" x14ac:dyDescent="0.25">
      <c r="A113" s="105">
        <v>52000</v>
      </c>
      <c r="B113" s="4">
        <f t="shared" si="17"/>
        <v>4333.333333333333</v>
      </c>
      <c r="C113" s="4">
        <f>'Total income package'!$D$80</f>
        <v>0</v>
      </c>
      <c r="D113" s="4">
        <f t="shared" si="11"/>
        <v>4333.333333333333</v>
      </c>
      <c r="E113" s="4">
        <f t="shared" si="12"/>
        <v>4124.333333333333</v>
      </c>
      <c r="F113" t="str">
        <f t="shared" si="13"/>
        <v>No</v>
      </c>
      <c r="G113" t="str">
        <f t="shared" si="14"/>
        <v>Yes</v>
      </c>
      <c r="I113" t="str">
        <f t="shared" si="15"/>
        <v>No</v>
      </c>
      <c r="J113" t="str">
        <f t="shared" si="9"/>
        <v>Yes</v>
      </c>
      <c r="K113" t="str">
        <f t="shared" si="10"/>
        <v>Yes</v>
      </c>
      <c r="L113" s="203">
        <f>IF(AND('Total income package'!$A$16=TRUE,E113&lt;$J$2),$M$2,0)</f>
        <v>2069</v>
      </c>
      <c r="M113" s="179">
        <f>IF(AND('Total income package'!$A$16=TRUE,E113&lt;$L$2),$P$2,0)</f>
        <v>955.5</v>
      </c>
      <c r="N113" s="204">
        <f t="shared" si="16"/>
        <v>3024.5</v>
      </c>
    </row>
    <row r="114" spans="1:14" x14ac:dyDescent="0.25">
      <c r="A114" s="105">
        <v>52500</v>
      </c>
      <c r="B114" s="4">
        <f t="shared" si="17"/>
        <v>4375</v>
      </c>
      <c r="C114" s="4">
        <f>'Total income package'!$D$80</f>
        <v>0</v>
      </c>
      <c r="D114" s="4">
        <f t="shared" si="11"/>
        <v>4375</v>
      </c>
      <c r="E114" s="4">
        <f t="shared" si="12"/>
        <v>4166</v>
      </c>
      <c r="F114" t="str">
        <f t="shared" si="13"/>
        <v>No</v>
      </c>
      <c r="G114" t="str">
        <f t="shared" si="14"/>
        <v>Yes</v>
      </c>
      <c r="I114" t="str">
        <f t="shared" si="15"/>
        <v>No</v>
      </c>
      <c r="J114" t="str">
        <f t="shared" si="9"/>
        <v>Yes</v>
      </c>
      <c r="K114" t="str">
        <f t="shared" si="10"/>
        <v>Yes</v>
      </c>
      <c r="L114" s="203">
        <f>IF(AND('Total income package'!$A$16=TRUE,E114&lt;$J$2),$M$2,0)</f>
        <v>2069</v>
      </c>
      <c r="M114" s="179">
        <f>IF(AND('Total income package'!$A$16=TRUE,E114&lt;$L$2),$P$2,0)</f>
        <v>955.5</v>
      </c>
      <c r="N114" s="204">
        <f t="shared" si="16"/>
        <v>3024.5</v>
      </c>
    </row>
    <row r="115" spans="1:14" x14ac:dyDescent="0.25">
      <c r="A115" s="105">
        <v>53000</v>
      </c>
      <c r="B115" s="4">
        <f t="shared" si="17"/>
        <v>4416.666666666667</v>
      </c>
      <c r="C115" s="4">
        <f>'Total income package'!$D$80</f>
        <v>0</v>
      </c>
      <c r="D115" s="4">
        <f t="shared" si="11"/>
        <v>4416.666666666667</v>
      </c>
      <c r="E115" s="4">
        <f t="shared" si="12"/>
        <v>4207.666666666667</v>
      </c>
      <c r="F115" t="str">
        <f t="shared" si="13"/>
        <v>No</v>
      </c>
      <c r="G115" t="str">
        <f t="shared" si="14"/>
        <v>Yes</v>
      </c>
      <c r="I115" t="str">
        <f t="shared" si="15"/>
        <v>No</v>
      </c>
      <c r="J115" t="str">
        <f t="shared" si="9"/>
        <v>Yes</v>
      </c>
      <c r="K115" t="str">
        <f t="shared" si="10"/>
        <v>Yes</v>
      </c>
      <c r="L115" s="203">
        <f>IF(AND('Total income package'!$A$16=TRUE,E115&lt;$J$2),$M$2,0)</f>
        <v>2069</v>
      </c>
      <c r="M115" s="179">
        <f>IF(AND('Total income package'!$A$16=TRUE,E115&lt;$L$2),$P$2,0)</f>
        <v>955.5</v>
      </c>
      <c r="N115" s="204">
        <f t="shared" si="16"/>
        <v>3024.5</v>
      </c>
    </row>
    <row r="116" spans="1:14" x14ac:dyDescent="0.25">
      <c r="A116" s="105">
        <v>53500</v>
      </c>
      <c r="B116" s="4">
        <f t="shared" si="17"/>
        <v>4458.333333333333</v>
      </c>
      <c r="C116" s="4">
        <f>'Total income package'!$D$80</f>
        <v>0</v>
      </c>
      <c r="D116" s="4">
        <f t="shared" si="11"/>
        <v>4458.333333333333</v>
      </c>
      <c r="E116" s="4">
        <f t="shared" si="12"/>
        <v>4249.333333333333</v>
      </c>
      <c r="F116" t="str">
        <f t="shared" si="13"/>
        <v>No</v>
      </c>
      <c r="G116" t="str">
        <f t="shared" si="14"/>
        <v>Yes</v>
      </c>
      <c r="I116" t="str">
        <f t="shared" si="15"/>
        <v>No</v>
      </c>
      <c r="J116" t="str">
        <f t="shared" si="9"/>
        <v>Yes</v>
      </c>
      <c r="K116" t="str">
        <f t="shared" si="10"/>
        <v>Yes</v>
      </c>
      <c r="L116" s="203">
        <f>IF(AND('Total income package'!$A$16=TRUE,E116&lt;$J$2),$M$2,0)</f>
        <v>2069</v>
      </c>
      <c r="M116" s="179">
        <f>IF(AND('Total income package'!$A$16=TRUE,E116&lt;$L$2),$P$2,0)</f>
        <v>955.5</v>
      </c>
      <c r="N116" s="204">
        <f t="shared" si="16"/>
        <v>3024.5</v>
      </c>
    </row>
    <row r="117" spans="1:14" x14ac:dyDescent="0.25">
      <c r="A117" s="105">
        <v>54000</v>
      </c>
      <c r="B117" s="4">
        <f t="shared" si="17"/>
        <v>4500</v>
      </c>
      <c r="C117" s="4">
        <f>'Total income package'!$D$80</f>
        <v>0</v>
      </c>
      <c r="D117" s="4">
        <f t="shared" si="11"/>
        <v>4500</v>
      </c>
      <c r="E117" s="4">
        <f t="shared" si="12"/>
        <v>4291</v>
      </c>
      <c r="F117" t="str">
        <f t="shared" si="13"/>
        <v>No</v>
      </c>
      <c r="G117" t="str">
        <f t="shared" si="14"/>
        <v>Yes</v>
      </c>
      <c r="I117" t="str">
        <f t="shared" si="15"/>
        <v>No</v>
      </c>
      <c r="J117" t="str">
        <f t="shared" si="9"/>
        <v>Yes</v>
      </c>
      <c r="K117" t="str">
        <f t="shared" si="10"/>
        <v>Yes</v>
      </c>
      <c r="L117" s="203">
        <f>IF(AND('Total income package'!$A$16=TRUE,E117&lt;$J$2),$M$2,0)</f>
        <v>2069</v>
      </c>
      <c r="M117" s="179">
        <f>IF(AND('Total income package'!$A$16=TRUE,E117&lt;$L$2),$P$2,0)</f>
        <v>955.5</v>
      </c>
      <c r="N117" s="204">
        <f t="shared" si="16"/>
        <v>3024.5</v>
      </c>
    </row>
    <row r="118" spans="1:14" x14ac:dyDescent="0.25">
      <c r="A118" s="105">
        <v>54500</v>
      </c>
      <c r="B118" s="4">
        <f t="shared" si="17"/>
        <v>4541.666666666667</v>
      </c>
      <c r="C118" s="4">
        <f>'Total income package'!$D$80</f>
        <v>0</v>
      </c>
      <c r="D118" s="4">
        <f t="shared" si="11"/>
        <v>4541.666666666667</v>
      </c>
      <c r="E118" s="4">
        <f t="shared" si="12"/>
        <v>4332.666666666667</v>
      </c>
      <c r="F118" t="str">
        <f t="shared" si="13"/>
        <v>No</v>
      </c>
      <c r="G118" t="str">
        <f t="shared" si="14"/>
        <v>Yes</v>
      </c>
      <c r="I118" t="str">
        <f t="shared" si="15"/>
        <v>No</v>
      </c>
      <c r="J118" t="str">
        <f t="shared" si="9"/>
        <v>Yes</v>
      </c>
      <c r="K118" t="str">
        <f t="shared" si="10"/>
        <v>Yes</v>
      </c>
      <c r="L118" s="203">
        <f>IF(AND('Total income package'!$A$16=TRUE,E118&lt;$J$2),$M$2,0)</f>
        <v>2069</v>
      </c>
      <c r="M118" s="179">
        <f>IF(AND('Total income package'!$A$16=TRUE,E118&lt;$L$2),$P$2,0)</f>
        <v>955.5</v>
      </c>
      <c r="N118" s="204">
        <f t="shared" si="16"/>
        <v>3024.5</v>
      </c>
    </row>
    <row r="119" spans="1:14" x14ac:dyDescent="0.25">
      <c r="A119" s="105">
        <v>55000</v>
      </c>
      <c r="B119" s="4">
        <f t="shared" si="17"/>
        <v>4583.333333333333</v>
      </c>
      <c r="C119" s="4">
        <f>'Total income package'!$D$80</f>
        <v>0</v>
      </c>
      <c r="D119" s="4">
        <f t="shared" si="11"/>
        <v>4583.333333333333</v>
      </c>
      <c r="E119" s="4">
        <f t="shared" si="12"/>
        <v>4374.333333333333</v>
      </c>
      <c r="F119" t="str">
        <f t="shared" si="13"/>
        <v>No</v>
      </c>
      <c r="G119" t="str">
        <f t="shared" si="14"/>
        <v>Yes</v>
      </c>
      <c r="I119" t="str">
        <f t="shared" si="15"/>
        <v>No</v>
      </c>
      <c r="J119" t="str">
        <f t="shared" si="9"/>
        <v>Yes</v>
      </c>
      <c r="K119" t="str">
        <f t="shared" si="10"/>
        <v>Yes</v>
      </c>
      <c r="L119" s="203">
        <f>IF(AND('Total income package'!$A$16=TRUE,E119&lt;$J$2),$M$2,0)</f>
        <v>2069</v>
      </c>
      <c r="M119" s="179">
        <f>IF(AND('Total income package'!$A$16=TRUE,E119&lt;$L$2),$P$2,0)</f>
        <v>955.5</v>
      </c>
      <c r="N119" s="204">
        <f t="shared" si="16"/>
        <v>3024.5</v>
      </c>
    </row>
    <row r="120" spans="1:14" x14ac:dyDescent="0.25">
      <c r="A120" s="105">
        <v>55500</v>
      </c>
      <c r="B120" s="4">
        <f t="shared" si="17"/>
        <v>4625</v>
      </c>
      <c r="C120" s="4">
        <f>'Total income package'!$D$80</f>
        <v>0</v>
      </c>
      <c r="D120" s="4">
        <f t="shared" si="11"/>
        <v>4625</v>
      </c>
      <c r="E120" s="4">
        <f t="shared" si="12"/>
        <v>4416</v>
      </c>
      <c r="F120" t="str">
        <f t="shared" si="13"/>
        <v>No</v>
      </c>
      <c r="G120" t="str">
        <f t="shared" si="14"/>
        <v>Yes</v>
      </c>
      <c r="I120" t="str">
        <f t="shared" si="15"/>
        <v>No</v>
      </c>
      <c r="J120" t="str">
        <f t="shared" si="9"/>
        <v>Yes</v>
      </c>
      <c r="K120" t="str">
        <f t="shared" si="10"/>
        <v>Yes</v>
      </c>
      <c r="L120" s="203">
        <f>IF(AND('Total income package'!$A$16=TRUE,E120&lt;$J$2),$M$2,0)</f>
        <v>2069</v>
      </c>
      <c r="M120" s="179">
        <f>IF(AND('Total income package'!$A$16=TRUE,E120&lt;$L$2),$P$2,0)</f>
        <v>955.5</v>
      </c>
      <c r="N120" s="204">
        <f t="shared" si="16"/>
        <v>3024.5</v>
      </c>
    </row>
    <row r="121" spans="1:14" x14ac:dyDescent="0.25">
      <c r="A121" s="105">
        <v>56000</v>
      </c>
      <c r="B121" s="4">
        <f t="shared" si="17"/>
        <v>4666.666666666667</v>
      </c>
      <c r="C121" s="4">
        <f>'Total income package'!$D$80</f>
        <v>0</v>
      </c>
      <c r="D121" s="4">
        <f t="shared" si="11"/>
        <v>4666.666666666667</v>
      </c>
      <c r="E121" s="4">
        <f t="shared" si="12"/>
        <v>4457.666666666667</v>
      </c>
      <c r="F121" t="str">
        <f t="shared" si="13"/>
        <v>No</v>
      </c>
      <c r="G121" t="str">
        <f t="shared" si="14"/>
        <v>Yes</v>
      </c>
      <c r="I121" t="str">
        <f t="shared" si="15"/>
        <v>No</v>
      </c>
      <c r="J121" t="str">
        <f t="shared" si="9"/>
        <v>Yes</v>
      </c>
      <c r="K121" t="str">
        <f t="shared" si="10"/>
        <v>Yes</v>
      </c>
      <c r="L121" s="203">
        <f>IF(AND('Total income package'!$A$16=TRUE,E121&lt;$J$2),$M$2,0)</f>
        <v>2069</v>
      </c>
      <c r="M121" s="179">
        <f>IF(AND('Total income package'!$A$16=TRUE,E121&lt;$L$2),$P$2,0)</f>
        <v>955.5</v>
      </c>
      <c r="N121" s="204">
        <f t="shared" si="16"/>
        <v>3024.5</v>
      </c>
    </row>
    <row r="122" spans="1:14" x14ac:dyDescent="0.25">
      <c r="A122" s="105">
        <v>56500</v>
      </c>
      <c r="B122" s="4">
        <f t="shared" si="17"/>
        <v>4708.333333333333</v>
      </c>
      <c r="C122" s="4">
        <f>'Total income package'!$D$80</f>
        <v>0</v>
      </c>
      <c r="D122" s="4">
        <f t="shared" si="11"/>
        <v>4708.333333333333</v>
      </c>
      <c r="E122" s="4">
        <f t="shared" si="12"/>
        <v>4499.333333333333</v>
      </c>
      <c r="F122" t="str">
        <f t="shared" si="13"/>
        <v>No</v>
      </c>
      <c r="G122" t="str">
        <f t="shared" si="14"/>
        <v>Yes</v>
      </c>
      <c r="I122" t="str">
        <f t="shared" si="15"/>
        <v>No</v>
      </c>
      <c r="J122" t="str">
        <f t="shared" si="9"/>
        <v>Yes</v>
      </c>
      <c r="K122" t="str">
        <f t="shared" si="10"/>
        <v>Yes</v>
      </c>
      <c r="L122" s="203">
        <f>IF(AND('Total income package'!$A$16=TRUE,E122&lt;$J$2),$M$2,0)</f>
        <v>2069</v>
      </c>
      <c r="M122" s="179">
        <f>IF(AND('Total income package'!$A$16=TRUE,E122&lt;$L$2),$P$2,0)</f>
        <v>955.5</v>
      </c>
      <c r="N122" s="204">
        <f t="shared" si="16"/>
        <v>3024.5</v>
      </c>
    </row>
    <row r="123" spans="1:14" x14ac:dyDescent="0.25">
      <c r="A123" s="105">
        <v>57000</v>
      </c>
      <c r="B123" s="4">
        <f t="shared" si="17"/>
        <v>4750</v>
      </c>
      <c r="C123" s="4">
        <f>'Total income package'!$D$80</f>
        <v>0</v>
      </c>
      <c r="D123" s="4">
        <f t="shared" si="11"/>
        <v>4750</v>
      </c>
      <c r="E123" s="4">
        <f t="shared" si="12"/>
        <v>4541</v>
      </c>
      <c r="F123" t="str">
        <f t="shared" si="13"/>
        <v>No</v>
      </c>
      <c r="G123" t="str">
        <f t="shared" si="14"/>
        <v>Yes</v>
      </c>
      <c r="I123" t="str">
        <f t="shared" si="15"/>
        <v>No</v>
      </c>
      <c r="J123" t="str">
        <f t="shared" si="9"/>
        <v>Yes</v>
      </c>
      <c r="K123" t="str">
        <f t="shared" si="10"/>
        <v>Yes</v>
      </c>
      <c r="L123" s="203">
        <f>IF(AND('Total income package'!$A$16=TRUE,E123&lt;$J$2),$M$2,0)</f>
        <v>2069</v>
      </c>
      <c r="M123" s="179">
        <f>IF(AND('Total income package'!$A$16=TRUE,E123&lt;$L$2),$P$2,0)</f>
        <v>955.5</v>
      </c>
      <c r="N123" s="204">
        <f t="shared" si="16"/>
        <v>3024.5</v>
      </c>
    </row>
    <row r="124" spans="1:14" x14ac:dyDescent="0.25">
      <c r="A124" s="105">
        <v>57500</v>
      </c>
      <c r="B124" s="4">
        <f t="shared" si="17"/>
        <v>4791.666666666667</v>
      </c>
      <c r="C124" s="4">
        <f>'Total income package'!$D$80</f>
        <v>0</v>
      </c>
      <c r="D124" s="4">
        <f t="shared" si="11"/>
        <v>4791.666666666667</v>
      </c>
      <c r="E124" s="4">
        <f t="shared" si="12"/>
        <v>4582.666666666667</v>
      </c>
      <c r="F124" t="str">
        <f t="shared" si="13"/>
        <v>No</v>
      </c>
      <c r="G124" t="str">
        <f t="shared" si="14"/>
        <v>Yes</v>
      </c>
      <c r="I124" t="str">
        <f t="shared" si="15"/>
        <v>No</v>
      </c>
      <c r="J124" t="str">
        <f t="shared" si="9"/>
        <v>Yes</v>
      </c>
      <c r="K124" t="str">
        <f t="shared" si="10"/>
        <v>Yes</v>
      </c>
      <c r="L124" s="203">
        <f>IF(AND('Total income package'!$A$16=TRUE,E124&lt;$J$2),$M$2,0)</f>
        <v>2069</v>
      </c>
      <c r="M124" s="179">
        <f>IF(AND('Total income package'!$A$16=TRUE,E124&lt;$L$2),$P$2,0)</f>
        <v>955.5</v>
      </c>
      <c r="N124" s="204">
        <f t="shared" si="16"/>
        <v>3024.5</v>
      </c>
    </row>
    <row r="125" spans="1:14" x14ac:dyDescent="0.25">
      <c r="A125" s="105">
        <v>58000</v>
      </c>
      <c r="B125" s="4">
        <f t="shared" si="17"/>
        <v>4833.333333333333</v>
      </c>
      <c r="C125" s="4">
        <f>'Total income package'!$D$80</f>
        <v>0</v>
      </c>
      <c r="D125" s="4">
        <f t="shared" si="11"/>
        <v>4833.333333333333</v>
      </c>
      <c r="E125" s="4">
        <f t="shared" si="12"/>
        <v>4624.333333333333</v>
      </c>
      <c r="F125" t="str">
        <f t="shared" si="13"/>
        <v>No</v>
      </c>
      <c r="G125" t="str">
        <f t="shared" si="14"/>
        <v>Yes</v>
      </c>
      <c r="I125" t="str">
        <f t="shared" si="15"/>
        <v>No</v>
      </c>
      <c r="J125" t="str">
        <f t="shared" si="9"/>
        <v>Yes</v>
      </c>
      <c r="K125" t="str">
        <f t="shared" si="10"/>
        <v>Yes</v>
      </c>
      <c r="L125" s="203">
        <f>IF(AND('Total income package'!$A$16=TRUE,E125&lt;$J$2),$M$2,0)</f>
        <v>2069</v>
      </c>
      <c r="M125" s="179">
        <f>IF(AND('Total income package'!$A$16=TRUE,E125&lt;$L$2),$P$2,0)</f>
        <v>955.5</v>
      </c>
      <c r="N125" s="204">
        <f t="shared" si="16"/>
        <v>3024.5</v>
      </c>
    </row>
    <row r="126" spans="1:14" x14ac:dyDescent="0.25">
      <c r="A126" s="105">
        <v>58500</v>
      </c>
      <c r="B126" s="4">
        <f t="shared" si="17"/>
        <v>4875</v>
      </c>
      <c r="C126" s="4">
        <f>'Total income package'!$D$80</f>
        <v>0</v>
      </c>
      <c r="D126" s="4">
        <f t="shared" si="11"/>
        <v>4875</v>
      </c>
      <c r="E126" s="4">
        <f t="shared" si="12"/>
        <v>4666</v>
      </c>
      <c r="F126" t="str">
        <f t="shared" si="13"/>
        <v>No</v>
      </c>
      <c r="G126" t="str">
        <f t="shared" si="14"/>
        <v>Yes</v>
      </c>
      <c r="I126" t="str">
        <f t="shared" si="15"/>
        <v>No</v>
      </c>
      <c r="J126" t="str">
        <f t="shared" si="9"/>
        <v>Yes</v>
      </c>
      <c r="K126" t="str">
        <f t="shared" si="10"/>
        <v>Yes</v>
      </c>
      <c r="L126" s="203">
        <f>IF(AND('Total income package'!$A$16=TRUE,E126&lt;$J$2),$M$2,0)</f>
        <v>2069</v>
      </c>
      <c r="M126" s="179">
        <f>IF(AND('Total income package'!$A$16=TRUE,E126&lt;$L$2),$P$2,0)</f>
        <v>955.5</v>
      </c>
      <c r="N126" s="204">
        <f t="shared" si="16"/>
        <v>3024.5</v>
      </c>
    </row>
    <row r="127" spans="1:14" x14ac:dyDescent="0.25">
      <c r="A127" s="105">
        <v>59000</v>
      </c>
      <c r="B127" s="4">
        <f t="shared" si="17"/>
        <v>4916.666666666667</v>
      </c>
      <c r="C127" s="4">
        <f>'Total income package'!$D$80</f>
        <v>0</v>
      </c>
      <c r="D127" s="4">
        <f t="shared" si="11"/>
        <v>4916.666666666667</v>
      </c>
      <c r="E127" s="4">
        <f t="shared" si="12"/>
        <v>4707.666666666667</v>
      </c>
      <c r="F127" t="str">
        <f t="shared" si="13"/>
        <v>No</v>
      </c>
      <c r="G127" t="str">
        <f t="shared" si="14"/>
        <v>Yes</v>
      </c>
      <c r="I127" t="str">
        <f t="shared" si="15"/>
        <v>No</v>
      </c>
      <c r="J127" t="str">
        <f t="shared" si="9"/>
        <v>Yes</v>
      </c>
      <c r="K127" t="str">
        <f t="shared" si="10"/>
        <v>Yes</v>
      </c>
      <c r="L127" s="203">
        <f>IF(AND('Total income package'!$A$16=TRUE,E127&lt;$J$2),$M$2,0)</f>
        <v>2069</v>
      </c>
      <c r="M127" s="179">
        <f>IF(AND('Total income package'!$A$16=TRUE,E127&lt;$L$2),$P$2,0)</f>
        <v>955.5</v>
      </c>
      <c r="N127" s="204">
        <f t="shared" si="16"/>
        <v>3024.5</v>
      </c>
    </row>
    <row r="128" spans="1:14" x14ac:dyDescent="0.25">
      <c r="A128" s="105">
        <v>59500</v>
      </c>
      <c r="B128" s="4">
        <f t="shared" si="17"/>
        <v>4958.333333333333</v>
      </c>
      <c r="C128" s="4">
        <f>'Total income package'!$D$80</f>
        <v>0</v>
      </c>
      <c r="D128" s="4">
        <f t="shared" si="11"/>
        <v>4958.333333333333</v>
      </c>
      <c r="E128" s="4">
        <f t="shared" si="12"/>
        <v>4749.333333333333</v>
      </c>
      <c r="F128" t="str">
        <f t="shared" si="13"/>
        <v>No</v>
      </c>
      <c r="G128" t="str">
        <f t="shared" si="14"/>
        <v>Yes</v>
      </c>
      <c r="I128" t="str">
        <f t="shared" si="15"/>
        <v>No</v>
      </c>
      <c r="J128" t="str">
        <f t="shared" si="9"/>
        <v>Yes</v>
      </c>
      <c r="K128" t="str">
        <f t="shared" si="10"/>
        <v>Yes</v>
      </c>
      <c r="L128" s="203">
        <f>IF(AND('Total income package'!$A$16=TRUE,E128&lt;$J$2),$M$2,0)</f>
        <v>2069</v>
      </c>
      <c r="M128" s="179">
        <f>IF(AND('Total income package'!$A$16=TRUE,E128&lt;$L$2),$P$2,0)</f>
        <v>955.5</v>
      </c>
      <c r="N128" s="204">
        <f t="shared" si="16"/>
        <v>3024.5</v>
      </c>
    </row>
    <row r="129" spans="1:14" x14ac:dyDescent="0.25">
      <c r="A129" s="105">
        <v>60000</v>
      </c>
      <c r="B129" s="4">
        <f t="shared" si="17"/>
        <v>5000</v>
      </c>
      <c r="C129" s="4">
        <f>'Total income package'!$D$80</f>
        <v>0</v>
      </c>
      <c r="D129" s="4">
        <f t="shared" si="11"/>
        <v>5000</v>
      </c>
      <c r="E129" s="4">
        <f t="shared" si="12"/>
        <v>4791</v>
      </c>
      <c r="F129" t="str">
        <f t="shared" si="13"/>
        <v>No</v>
      </c>
      <c r="G129" t="str">
        <f t="shared" si="14"/>
        <v>Yes</v>
      </c>
      <c r="I129" t="str">
        <f t="shared" si="15"/>
        <v>No</v>
      </c>
      <c r="J129" t="str">
        <f t="shared" si="9"/>
        <v>Yes</v>
      </c>
      <c r="K129" t="str">
        <f t="shared" si="10"/>
        <v>Yes</v>
      </c>
      <c r="L129" s="203">
        <f>IF(AND('Total income package'!$A$16=TRUE,E129&lt;$J$2),$M$2,0)</f>
        <v>2069</v>
      </c>
      <c r="M129" s="179">
        <f>IF(AND('Total income package'!$A$16=TRUE,E129&lt;$L$2),$P$2,0)</f>
        <v>955.5</v>
      </c>
      <c r="N129" s="204">
        <f t="shared" si="16"/>
        <v>3024.5</v>
      </c>
    </row>
    <row r="130" spans="1:14" x14ac:dyDescent="0.25">
      <c r="A130" s="105">
        <v>60500</v>
      </c>
      <c r="B130" s="4">
        <f t="shared" si="17"/>
        <v>5041.666666666667</v>
      </c>
      <c r="C130" s="4">
        <f>'Total income package'!$D$80</f>
        <v>0</v>
      </c>
      <c r="D130" s="4">
        <f t="shared" si="11"/>
        <v>5041.666666666667</v>
      </c>
      <c r="E130" s="4">
        <f t="shared" si="12"/>
        <v>4832.666666666667</v>
      </c>
      <c r="F130" t="str">
        <f t="shared" si="13"/>
        <v>No</v>
      </c>
      <c r="G130" t="str">
        <f t="shared" si="14"/>
        <v>Yes</v>
      </c>
      <c r="I130" t="str">
        <f t="shared" si="15"/>
        <v>No</v>
      </c>
      <c r="J130" t="str">
        <f t="shared" si="9"/>
        <v>Yes</v>
      </c>
      <c r="K130" t="str">
        <f t="shared" si="10"/>
        <v>Yes</v>
      </c>
      <c r="L130" s="203">
        <f>IF(AND('Total income package'!$A$16=TRUE,E130&lt;$J$2),$M$2,0)</f>
        <v>2069</v>
      </c>
      <c r="M130" s="179">
        <f>IF(AND('Total income package'!$A$16=TRUE,E130&lt;$L$2),$P$2,0)</f>
        <v>955.5</v>
      </c>
      <c r="N130" s="204">
        <f t="shared" si="16"/>
        <v>3024.5</v>
      </c>
    </row>
    <row r="131" spans="1:14" x14ac:dyDescent="0.25">
      <c r="A131" s="105">
        <v>61000</v>
      </c>
      <c r="B131" s="4">
        <f t="shared" si="17"/>
        <v>5083.333333333333</v>
      </c>
      <c r="C131" s="4">
        <f>'Total income package'!$D$80</f>
        <v>0</v>
      </c>
      <c r="D131" s="4">
        <f t="shared" si="11"/>
        <v>5083.333333333333</v>
      </c>
      <c r="E131" s="4">
        <f t="shared" si="12"/>
        <v>4874.333333333333</v>
      </c>
      <c r="F131" t="str">
        <f t="shared" si="13"/>
        <v>No</v>
      </c>
      <c r="G131" t="str">
        <f t="shared" si="14"/>
        <v>Yes</v>
      </c>
      <c r="I131" t="str">
        <f t="shared" si="15"/>
        <v>No</v>
      </c>
      <c r="J131" t="str">
        <f t="shared" si="9"/>
        <v>Yes</v>
      </c>
      <c r="K131" t="str">
        <f t="shared" si="10"/>
        <v>Yes</v>
      </c>
      <c r="L131" s="203">
        <f>IF(AND('Total income package'!$A$16=TRUE,E131&lt;$J$2),$M$2,0)</f>
        <v>2069</v>
      </c>
      <c r="M131" s="179">
        <f>IF(AND('Total income package'!$A$16=TRUE,E131&lt;$L$2),$P$2,0)</f>
        <v>955.5</v>
      </c>
      <c r="N131" s="204">
        <f t="shared" si="16"/>
        <v>3024.5</v>
      </c>
    </row>
    <row r="132" spans="1:14" x14ac:dyDescent="0.25">
      <c r="A132" s="105">
        <v>61500</v>
      </c>
      <c r="B132" s="4">
        <f t="shared" si="17"/>
        <v>5125</v>
      </c>
      <c r="C132" s="4">
        <f>'Total income package'!$D$80</f>
        <v>0</v>
      </c>
      <c r="D132" s="4">
        <f t="shared" si="11"/>
        <v>5125</v>
      </c>
      <c r="E132" s="4">
        <f t="shared" si="12"/>
        <v>4916</v>
      </c>
      <c r="F132" t="str">
        <f t="shared" si="13"/>
        <v>No</v>
      </c>
      <c r="G132" t="str">
        <f t="shared" si="14"/>
        <v>Yes</v>
      </c>
      <c r="I132" t="str">
        <f t="shared" si="15"/>
        <v>No</v>
      </c>
      <c r="J132" t="str">
        <f t="shared" si="9"/>
        <v>Yes</v>
      </c>
      <c r="K132" t="str">
        <f t="shared" si="10"/>
        <v>Yes</v>
      </c>
      <c r="L132" s="203">
        <f>IF(AND('Total income package'!$A$16=TRUE,E132&lt;$J$2),$M$2,0)</f>
        <v>2069</v>
      </c>
      <c r="M132" s="179">
        <f>IF(AND('Total income package'!$A$16=TRUE,E132&lt;$L$2),$P$2,0)</f>
        <v>955.5</v>
      </c>
      <c r="N132" s="204">
        <f t="shared" si="16"/>
        <v>3024.5</v>
      </c>
    </row>
    <row r="133" spans="1:14" x14ac:dyDescent="0.25">
      <c r="A133" s="105">
        <v>62000</v>
      </c>
      <c r="B133" s="4">
        <f t="shared" si="17"/>
        <v>5166.666666666667</v>
      </c>
      <c r="C133" s="4">
        <f>'Total income package'!$D$80</f>
        <v>0</v>
      </c>
      <c r="D133" s="4">
        <f t="shared" si="11"/>
        <v>5166.666666666667</v>
      </c>
      <c r="E133" s="4">
        <f t="shared" si="12"/>
        <v>4957.666666666667</v>
      </c>
      <c r="F133" t="str">
        <f t="shared" si="13"/>
        <v>No</v>
      </c>
      <c r="G133" t="str">
        <f t="shared" si="14"/>
        <v>Yes</v>
      </c>
      <c r="I133" t="str">
        <f t="shared" si="15"/>
        <v>No</v>
      </c>
      <c r="J133" t="str">
        <f t="shared" si="9"/>
        <v>Yes</v>
      </c>
      <c r="K133" t="str">
        <f t="shared" si="10"/>
        <v>Yes</v>
      </c>
      <c r="L133" s="203">
        <f>IF(AND('Total income package'!$A$16=TRUE,E133&lt;$J$2),$M$2,0)</f>
        <v>2069</v>
      </c>
      <c r="M133" s="179">
        <f>IF(AND('Total income package'!$A$16=TRUE,E133&lt;$L$2),$P$2,0)</f>
        <v>955.5</v>
      </c>
      <c r="N133" s="204">
        <f t="shared" si="16"/>
        <v>3024.5</v>
      </c>
    </row>
    <row r="134" spans="1:14" x14ac:dyDescent="0.25">
      <c r="A134" s="105">
        <v>62500</v>
      </c>
      <c r="B134" s="4">
        <f t="shared" si="17"/>
        <v>5208.333333333333</v>
      </c>
      <c r="C134" s="4">
        <f>'Total income package'!$D$80</f>
        <v>0</v>
      </c>
      <c r="D134" s="4">
        <f t="shared" si="11"/>
        <v>5208.333333333333</v>
      </c>
      <c r="E134" s="4">
        <f t="shared" si="12"/>
        <v>4999.333333333333</v>
      </c>
      <c r="F134" t="str">
        <f t="shared" si="13"/>
        <v>No</v>
      </c>
      <c r="G134" t="str">
        <f t="shared" si="14"/>
        <v>Yes</v>
      </c>
      <c r="I134" t="str">
        <f t="shared" si="15"/>
        <v>No</v>
      </c>
      <c r="J134" t="str">
        <f t="shared" si="9"/>
        <v>Yes</v>
      </c>
      <c r="K134" t="str">
        <f t="shared" si="10"/>
        <v>Yes</v>
      </c>
      <c r="L134" s="203">
        <f>IF(AND('Total income package'!$A$16=TRUE,E134&lt;$J$2),$M$2,0)</f>
        <v>2069</v>
      </c>
      <c r="M134" s="179">
        <f>IF(AND('Total income package'!$A$16=TRUE,E134&lt;$L$2),$P$2,0)</f>
        <v>955.5</v>
      </c>
      <c r="N134" s="204">
        <f t="shared" si="16"/>
        <v>3024.5</v>
      </c>
    </row>
    <row r="135" spans="1:14" x14ac:dyDescent="0.25">
      <c r="A135" s="105">
        <v>63000</v>
      </c>
      <c r="B135" s="4">
        <f t="shared" si="17"/>
        <v>5250</v>
      </c>
      <c r="C135" s="4">
        <f>'Total income package'!$D$80</f>
        <v>0</v>
      </c>
      <c r="D135" s="4">
        <f t="shared" si="11"/>
        <v>5250</v>
      </c>
      <c r="E135" s="4">
        <f t="shared" si="12"/>
        <v>5041</v>
      </c>
      <c r="F135" t="str">
        <f t="shared" si="13"/>
        <v>No</v>
      </c>
      <c r="G135" t="str">
        <f t="shared" si="14"/>
        <v>Yes</v>
      </c>
      <c r="I135" t="str">
        <f t="shared" si="15"/>
        <v>No</v>
      </c>
      <c r="J135" t="str">
        <f t="shared" si="9"/>
        <v>Yes</v>
      </c>
      <c r="K135" t="str">
        <f t="shared" si="10"/>
        <v>Yes</v>
      </c>
      <c r="L135" s="203">
        <f>IF(AND('Total income package'!$A$16=TRUE,E135&lt;$J$2),$M$2,0)</f>
        <v>2069</v>
      </c>
      <c r="M135" s="179">
        <f>IF(AND('Total income package'!$A$16=TRUE,E135&lt;$L$2),$P$2,0)</f>
        <v>955.5</v>
      </c>
      <c r="N135" s="204">
        <f t="shared" si="16"/>
        <v>3024.5</v>
      </c>
    </row>
    <row r="136" spans="1:14" x14ac:dyDescent="0.25">
      <c r="A136" s="105">
        <v>63500</v>
      </c>
      <c r="B136" s="4">
        <f t="shared" si="17"/>
        <v>5291.666666666667</v>
      </c>
      <c r="C136" s="4">
        <f>'Total income package'!$D$80</f>
        <v>0</v>
      </c>
      <c r="D136" s="4">
        <f t="shared" si="11"/>
        <v>5291.666666666667</v>
      </c>
      <c r="E136" s="4">
        <f t="shared" si="12"/>
        <v>5082.666666666667</v>
      </c>
      <c r="F136" t="str">
        <f t="shared" si="13"/>
        <v>No</v>
      </c>
      <c r="G136" t="str">
        <f t="shared" si="14"/>
        <v>Yes</v>
      </c>
      <c r="I136" t="str">
        <f t="shared" si="15"/>
        <v>No</v>
      </c>
      <c r="J136" t="str">
        <f t="shared" si="9"/>
        <v>Yes</v>
      </c>
      <c r="K136" t="str">
        <f t="shared" si="10"/>
        <v>Yes</v>
      </c>
      <c r="L136" s="203">
        <f>IF(AND('Total income package'!$A$16=TRUE,E136&lt;$J$2),$M$2,0)</f>
        <v>2069</v>
      </c>
      <c r="M136" s="179">
        <f>IF(AND('Total income package'!$A$16=TRUE,E136&lt;$L$2),$P$2,0)</f>
        <v>955.5</v>
      </c>
      <c r="N136" s="204">
        <f t="shared" si="16"/>
        <v>3024.5</v>
      </c>
    </row>
    <row r="137" spans="1:14" x14ac:dyDescent="0.25">
      <c r="A137" s="105">
        <v>64000</v>
      </c>
      <c r="B137" s="4">
        <f t="shared" si="17"/>
        <v>5333.333333333333</v>
      </c>
      <c r="C137" s="4">
        <f>'Total income package'!$D$80</f>
        <v>0</v>
      </c>
      <c r="D137" s="4">
        <f t="shared" si="11"/>
        <v>5333.333333333333</v>
      </c>
      <c r="E137" s="4">
        <f t="shared" si="12"/>
        <v>5124.333333333333</v>
      </c>
      <c r="F137" t="str">
        <f t="shared" si="13"/>
        <v>No</v>
      </c>
      <c r="G137" t="str">
        <f t="shared" si="14"/>
        <v>Yes</v>
      </c>
      <c r="I137" t="str">
        <f t="shared" si="15"/>
        <v>No</v>
      </c>
      <c r="J137" t="str">
        <f t="shared" ref="J137:J200" si="18">IF(E137&lt;$K$2,"Yes","No")</f>
        <v>Yes</v>
      </c>
      <c r="K137" t="str">
        <f t="shared" ref="K137:K200" si="19">IF(E137&lt;$L$2,"Yes","No")</f>
        <v>Yes</v>
      </c>
      <c r="L137" s="203">
        <f>IF(AND('Total income package'!$A$16=TRUE,E137&lt;$J$2),$M$2,0)</f>
        <v>2069</v>
      </c>
      <c r="M137" s="179">
        <f>IF(AND('Total income package'!$A$16=TRUE,E137&lt;$L$2),$P$2,0)</f>
        <v>955.5</v>
      </c>
      <c r="N137" s="204">
        <f t="shared" si="16"/>
        <v>3024.5</v>
      </c>
    </row>
    <row r="138" spans="1:14" x14ac:dyDescent="0.25">
      <c r="A138" s="105">
        <v>64500</v>
      </c>
      <c r="B138" s="4">
        <f t="shared" si="17"/>
        <v>5375</v>
      </c>
      <c r="C138" s="4">
        <f>'Total income package'!$D$80</f>
        <v>0</v>
      </c>
      <c r="D138" s="4">
        <f t="shared" ref="D138:D201" si="20">B138+C138</f>
        <v>5375</v>
      </c>
      <c r="E138" s="4">
        <f t="shared" ref="E138:E201" si="21">IF(D138-$H$2&lt;0,0,D138-$H$2)</f>
        <v>5166</v>
      </c>
      <c r="F138" t="str">
        <f t="shared" ref="F138:F201" si="22">IF(E138&lt;$I$2,"Yes","No")</f>
        <v>No</v>
      </c>
      <c r="G138" t="str">
        <f t="shared" ref="G138:G201" si="23">IF(E138&lt;$J$2,"Yes","No")</f>
        <v>Yes</v>
      </c>
      <c r="I138" t="str">
        <f t="shared" ref="I138:I201" si="24">IF($E$2&gt;0,"Yes","No")</f>
        <v>No</v>
      </c>
      <c r="J138" t="str">
        <f t="shared" si="18"/>
        <v>Yes</v>
      </c>
      <c r="K138" t="str">
        <f t="shared" si="19"/>
        <v>Yes</v>
      </c>
      <c r="L138" s="203">
        <f>IF(AND('Total income package'!$A$16=TRUE,E138&lt;$J$2),$M$2,0)</f>
        <v>2069</v>
      </c>
      <c r="M138" s="179">
        <f>IF(AND('Total income package'!$A$16=TRUE,E138&lt;$L$2),$P$2,0)</f>
        <v>955.5</v>
      </c>
      <c r="N138" s="204">
        <f t="shared" ref="N138:N201" si="25">L138+M138</f>
        <v>3024.5</v>
      </c>
    </row>
    <row r="139" spans="1:14" x14ac:dyDescent="0.25">
      <c r="A139" s="105">
        <v>65000</v>
      </c>
      <c r="B139" s="4">
        <f t="shared" ref="B139:B202" si="26">A139/12</f>
        <v>5416.666666666667</v>
      </c>
      <c r="C139" s="4">
        <f>'Total income package'!$D$80</f>
        <v>0</v>
      </c>
      <c r="D139" s="4">
        <f t="shared" si="20"/>
        <v>5416.666666666667</v>
      </c>
      <c r="E139" s="4">
        <f t="shared" si="21"/>
        <v>5207.666666666667</v>
      </c>
      <c r="F139" t="str">
        <f t="shared" si="22"/>
        <v>No</v>
      </c>
      <c r="G139" t="str">
        <f t="shared" si="23"/>
        <v>Yes</v>
      </c>
      <c r="I139" t="str">
        <f t="shared" si="24"/>
        <v>No</v>
      </c>
      <c r="J139" t="str">
        <f t="shared" si="18"/>
        <v>Yes</v>
      </c>
      <c r="K139" t="str">
        <f t="shared" si="19"/>
        <v>Yes</v>
      </c>
      <c r="L139" s="203">
        <f>IF(AND('Total income package'!$A$16=TRUE,E139&lt;$J$2),$M$2,0)</f>
        <v>2069</v>
      </c>
      <c r="M139" s="179">
        <f>IF(AND('Total income package'!$A$16=TRUE,E139&lt;$L$2),$P$2,0)</f>
        <v>955.5</v>
      </c>
      <c r="N139" s="204">
        <f t="shared" si="25"/>
        <v>3024.5</v>
      </c>
    </row>
    <row r="140" spans="1:14" x14ac:dyDescent="0.25">
      <c r="A140" s="105">
        <v>65500</v>
      </c>
      <c r="B140" s="4">
        <f t="shared" si="26"/>
        <v>5458.333333333333</v>
      </c>
      <c r="C140" s="4">
        <f>'Total income package'!$D$80</f>
        <v>0</v>
      </c>
      <c r="D140" s="4">
        <f t="shared" si="20"/>
        <v>5458.333333333333</v>
      </c>
      <c r="E140" s="4">
        <f t="shared" si="21"/>
        <v>5249.333333333333</v>
      </c>
      <c r="F140" t="str">
        <f t="shared" si="22"/>
        <v>No</v>
      </c>
      <c r="G140" t="str">
        <f t="shared" si="23"/>
        <v>Yes</v>
      </c>
      <c r="I140" t="str">
        <f t="shared" si="24"/>
        <v>No</v>
      </c>
      <c r="J140" t="str">
        <f t="shared" si="18"/>
        <v>Yes</v>
      </c>
      <c r="K140" t="str">
        <f t="shared" si="19"/>
        <v>Yes</v>
      </c>
      <c r="L140" s="203">
        <f>IF(AND('Total income package'!$A$16=TRUE,E140&lt;$J$2),$M$2,0)</f>
        <v>2069</v>
      </c>
      <c r="M140" s="179">
        <f>IF(AND('Total income package'!$A$16=TRUE,E140&lt;$L$2),$P$2,0)</f>
        <v>955.5</v>
      </c>
      <c r="N140" s="204">
        <f t="shared" si="25"/>
        <v>3024.5</v>
      </c>
    </row>
    <row r="141" spans="1:14" x14ac:dyDescent="0.25">
      <c r="A141" s="105">
        <v>66000</v>
      </c>
      <c r="B141" s="4">
        <f t="shared" si="26"/>
        <v>5500</v>
      </c>
      <c r="C141" s="4">
        <f>'Total income package'!$D$80</f>
        <v>0</v>
      </c>
      <c r="D141" s="4">
        <f t="shared" si="20"/>
        <v>5500</v>
      </c>
      <c r="E141" s="4">
        <f t="shared" si="21"/>
        <v>5291</v>
      </c>
      <c r="F141" t="str">
        <f t="shared" si="22"/>
        <v>No</v>
      </c>
      <c r="G141" t="str">
        <f t="shared" si="23"/>
        <v>Yes</v>
      </c>
      <c r="I141" t="str">
        <f t="shared" si="24"/>
        <v>No</v>
      </c>
      <c r="J141" t="str">
        <f t="shared" si="18"/>
        <v>Yes</v>
      </c>
      <c r="K141" t="str">
        <f t="shared" si="19"/>
        <v>Yes</v>
      </c>
      <c r="L141" s="203">
        <f>IF(AND('Total income package'!$A$16=TRUE,E141&lt;$J$2),$M$2,0)</f>
        <v>2069</v>
      </c>
      <c r="M141" s="179">
        <f>IF(AND('Total income package'!$A$16=TRUE,E141&lt;$L$2),$P$2,0)</f>
        <v>955.5</v>
      </c>
      <c r="N141" s="204">
        <f t="shared" si="25"/>
        <v>3024.5</v>
      </c>
    </row>
    <row r="142" spans="1:14" x14ac:dyDescent="0.25">
      <c r="A142" s="105">
        <v>66500</v>
      </c>
      <c r="B142" s="4">
        <f t="shared" si="26"/>
        <v>5541.666666666667</v>
      </c>
      <c r="C142" s="4">
        <f>'Total income package'!$D$80</f>
        <v>0</v>
      </c>
      <c r="D142" s="4">
        <f t="shared" si="20"/>
        <v>5541.666666666667</v>
      </c>
      <c r="E142" s="4">
        <f t="shared" si="21"/>
        <v>5332.666666666667</v>
      </c>
      <c r="F142" t="str">
        <f t="shared" si="22"/>
        <v>No</v>
      </c>
      <c r="G142" t="str">
        <f t="shared" si="23"/>
        <v>Yes</v>
      </c>
      <c r="I142" t="str">
        <f t="shared" si="24"/>
        <v>No</v>
      </c>
      <c r="J142" t="str">
        <f t="shared" si="18"/>
        <v>Yes</v>
      </c>
      <c r="K142" t="str">
        <f t="shared" si="19"/>
        <v>Yes</v>
      </c>
      <c r="L142" s="203">
        <f>IF(AND('Total income package'!$A$16=TRUE,E142&lt;$J$2),$M$2,0)</f>
        <v>2069</v>
      </c>
      <c r="M142" s="179">
        <f>IF(AND('Total income package'!$A$16=TRUE,E142&lt;$L$2),$P$2,0)</f>
        <v>955.5</v>
      </c>
      <c r="N142" s="204">
        <f t="shared" si="25"/>
        <v>3024.5</v>
      </c>
    </row>
    <row r="143" spans="1:14" x14ac:dyDescent="0.25">
      <c r="A143" s="105">
        <v>67000</v>
      </c>
      <c r="B143" s="4">
        <f t="shared" si="26"/>
        <v>5583.333333333333</v>
      </c>
      <c r="C143" s="4">
        <f>'Total income package'!$D$80</f>
        <v>0</v>
      </c>
      <c r="D143" s="4">
        <f t="shared" si="20"/>
        <v>5583.333333333333</v>
      </c>
      <c r="E143" s="4">
        <f t="shared" si="21"/>
        <v>5374.333333333333</v>
      </c>
      <c r="F143" t="str">
        <f t="shared" si="22"/>
        <v>No</v>
      </c>
      <c r="G143" t="str">
        <f t="shared" si="23"/>
        <v>Yes</v>
      </c>
      <c r="I143" t="str">
        <f t="shared" si="24"/>
        <v>No</v>
      </c>
      <c r="J143" t="str">
        <f t="shared" si="18"/>
        <v>Yes</v>
      </c>
      <c r="K143" t="str">
        <f t="shared" si="19"/>
        <v>Yes</v>
      </c>
      <c r="L143" s="203">
        <f>IF(AND('Total income package'!$A$16=TRUE,E143&lt;$J$2),$M$2,0)</f>
        <v>2069</v>
      </c>
      <c r="M143" s="179">
        <f>IF(AND('Total income package'!$A$16=TRUE,E143&lt;$L$2),$P$2,0)</f>
        <v>955.5</v>
      </c>
      <c r="N143" s="204">
        <f t="shared" si="25"/>
        <v>3024.5</v>
      </c>
    </row>
    <row r="144" spans="1:14" x14ac:dyDescent="0.25">
      <c r="A144" s="105">
        <v>67500</v>
      </c>
      <c r="B144" s="4">
        <f t="shared" si="26"/>
        <v>5625</v>
      </c>
      <c r="C144" s="4">
        <f>'Total income package'!$D$80</f>
        <v>0</v>
      </c>
      <c r="D144" s="4">
        <f t="shared" si="20"/>
        <v>5625</v>
      </c>
      <c r="E144" s="4">
        <f t="shared" si="21"/>
        <v>5416</v>
      </c>
      <c r="F144" t="str">
        <f t="shared" si="22"/>
        <v>No</v>
      </c>
      <c r="G144" t="str">
        <f t="shared" si="23"/>
        <v>Yes</v>
      </c>
      <c r="I144" t="str">
        <f t="shared" si="24"/>
        <v>No</v>
      </c>
      <c r="J144" t="str">
        <f t="shared" si="18"/>
        <v>Yes</v>
      </c>
      <c r="K144" t="str">
        <f t="shared" si="19"/>
        <v>Yes</v>
      </c>
      <c r="L144" s="203">
        <f>IF(AND('Total income package'!$A$16=TRUE,E144&lt;$J$2),$M$2,0)</f>
        <v>2069</v>
      </c>
      <c r="M144" s="179">
        <f>IF(AND('Total income package'!$A$16=TRUE,E144&lt;$L$2),$P$2,0)</f>
        <v>955.5</v>
      </c>
      <c r="N144" s="204">
        <f t="shared" si="25"/>
        <v>3024.5</v>
      </c>
    </row>
    <row r="145" spans="1:14" x14ac:dyDescent="0.25">
      <c r="A145" s="105">
        <v>68000</v>
      </c>
      <c r="B145" s="4">
        <f t="shared" si="26"/>
        <v>5666.666666666667</v>
      </c>
      <c r="C145" s="4">
        <f>'Total income package'!$D$80</f>
        <v>0</v>
      </c>
      <c r="D145" s="4">
        <f t="shared" si="20"/>
        <v>5666.666666666667</v>
      </c>
      <c r="E145" s="4">
        <f t="shared" si="21"/>
        <v>5457.666666666667</v>
      </c>
      <c r="F145" t="str">
        <f t="shared" si="22"/>
        <v>No</v>
      </c>
      <c r="G145" t="str">
        <f t="shared" si="23"/>
        <v>Yes</v>
      </c>
      <c r="I145" t="str">
        <f t="shared" si="24"/>
        <v>No</v>
      </c>
      <c r="J145" t="str">
        <f t="shared" si="18"/>
        <v>Yes</v>
      </c>
      <c r="K145" t="str">
        <f t="shared" si="19"/>
        <v>Yes</v>
      </c>
      <c r="L145" s="203">
        <f>IF(AND('Total income package'!$A$16=TRUE,E145&lt;$J$2),$M$2,0)</f>
        <v>2069</v>
      </c>
      <c r="M145" s="179">
        <f>IF(AND('Total income package'!$A$16=TRUE,E145&lt;$L$2),$P$2,0)</f>
        <v>955.5</v>
      </c>
      <c r="N145" s="204">
        <f t="shared" si="25"/>
        <v>3024.5</v>
      </c>
    </row>
    <row r="146" spans="1:14" x14ac:dyDescent="0.25">
      <c r="A146" s="105">
        <v>68500</v>
      </c>
      <c r="B146" s="4">
        <f t="shared" si="26"/>
        <v>5708.333333333333</v>
      </c>
      <c r="C146" s="4">
        <f>'Total income package'!$D$80</f>
        <v>0</v>
      </c>
      <c r="D146" s="4">
        <f t="shared" si="20"/>
        <v>5708.333333333333</v>
      </c>
      <c r="E146" s="4">
        <f t="shared" si="21"/>
        <v>5499.333333333333</v>
      </c>
      <c r="F146" t="str">
        <f t="shared" si="22"/>
        <v>No</v>
      </c>
      <c r="G146" t="str">
        <f t="shared" si="23"/>
        <v>Yes</v>
      </c>
      <c r="I146" t="str">
        <f t="shared" si="24"/>
        <v>No</v>
      </c>
      <c r="J146" t="str">
        <f t="shared" si="18"/>
        <v>Yes</v>
      </c>
      <c r="K146" t="str">
        <f t="shared" si="19"/>
        <v>Yes</v>
      </c>
      <c r="L146" s="203">
        <f>IF(AND('Total income package'!$A$16=TRUE,E146&lt;$J$2),$M$2,0)</f>
        <v>2069</v>
      </c>
      <c r="M146" s="179">
        <f>IF(AND('Total income package'!$A$16=TRUE,E146&lt;$L$2),$P$2,0)</f>
        <v>955.5</v>
      </c>
      <c r="N146" s="204">
        <f t="shared" si="25"/>
        <v>3024.5</v>
      </c>
    </row>
    <row r="147" spans="1:14" x14ac:dyDescent="0.25">
      <c r="A147" s="105">
        <v>69000</v>
      </c>
      <c r="B147" s="4">
        <f t="shared" si="26"/>
        <v>5750</v>
      </c>
      <c r="C147" s="4">
        <f>'Total income package'!$D$80</f>
        <v>0</v>
      </c>
      <c r="D147" s="4">
        <f t="shared" si="20"/>
        <v>5750</v>
      </c>
      <c r="E147" s="4">
        <f t="shared" si="21"/>
        <v>5541</v>
      </c>
      <c r="F147" t="str">
        <f t="shared" si="22"/>
        <v>No</v>
      </c>
      <c r="G147" t="str">
        <f t="shared" si="23"/>
        <v>Yes</v>
      </c>
      <c r="I147" t="str">
        <f t="shared" si="24"/>
        <v>No</v>
      </c>
      <c r="J147" t="str">
        <f t="shared" si="18"/>
        <v>Yes</v>
      </c>
      <c r="K147" t="str">
        <f t="shared" si="19"/>
        <v>Yes</v>
      </c>
      <c r="L147" s="203">
        <f>IF(AND('Total income package'!$A$16=TRUE,E147&lt;$J$2),$M$2,0)</f>
        <v>2069</v>
      </c>
      <c r="M147" s="179">
        <f>IF(AND('Total income package'!$A$16=TRUE,E147&lt;$L$2),$P$2,0)</f>
        <v>955.5</v>
      </c>
      <c r="N147" s="204">
        <f t="shared" si="25"/>
        <v>3024.5</v>
      </c>
    </row>
    <row r="148" spans="1:14" x14ac:dyDescent="0.25">
      <c r="A148" s="105">
        <v>69500</v>
      </c>
      <c r="B148" s="4">
        <f t="shared" si="26"/>
        <v>5791.666666666667</v>
      </c>
      <c r="C148" s="4">
        <f>'Total income package'!$D$80</f>
        <v>0</v>
      </c>
      <c r="D148" s="4">
        <f t="shared" si="20"/>
        <v>5791.666666666667</v>
      </c>
      <c r="E148" s="4">
        <f t="shared" si="21"/>
        <v>5582.666666666667</v>
      </c>
      <c r="F148" t="str">
        <f t="shared" si="22"/>
        <v>No</v>
      </c>
      <c r="G148" t="str">
        <f t="shared" si="23"/>
        <v>No</v>
      </c>
      <c r="I148" t="str">
        <f t="shared" si="24"/>
        <v>No</v>
      </c>
      <c r="J148" t="str">
        <f t="shared" si="18"/>
        <v>Yes</v>
      </c>
      <c r="K148" t="str">
        <f t="shared" si="19"/>
        <v>Yes</v>
      </c>
      <c r="L148" s="203">
        <f>IF(AND('Total income package'!$A$16=TRUE,E148&lt;$J$2),$M$2,0)</f>
        <v>0</v>
      </c>
      <c r="M148" s="179">
        <f>IF(AND('Total income package'!$A$16=TRUE,E148&lt;$L$2),$P$2,0)</f>
        <v>955.5</v>
      </c>
      <c r="N148" s="204">
        <f t="shared" si="25"/>
        <v>955.5</v>
      </c>
    </row>
    <row r="149" spans="1:14" x14ac:dyDescent="0.25">
      <c r="A149" s="105">
        <v>70000</v>
      </c>
      <c r="B149" s="4">
        <f t="shared" si="26"/>
        <v>5833.333333333333</v>
      </c>
      <c r="C149" s="4">
        <f>'Total income package'!$D$80</f>
        <v>0</v>
      </c>
      <c r="D149" s="4">
        <f t="shared" si="20"/>
        <v>5833.333333333333</v>
      </c>
      <c r="E149" s="4">
        <f t="shared" si="21"/>
        <v>5624.333333333333</v>
      </c>
      <c r="F149" t="str">
        <f t="shared" si="22"/>
        <v>No</v>
      </c>
      <c r="G149" t="str">
        <f t="shared" si="23"/>
        <v>No</v>
      </c>
      <c r="I149" t="str">
        <f t="shared" si="24"/>
        <v>No</v>
      </c>
      <c r="J149" t="str">
        <f t="shared" si="18"/>
        <v>Yes</v>
      </c>
      <c r="K149" t="str">
        <f t="shared" si="19"/>
        <v>Yes</v>
      </c>
      <c r="L149" s="203">
        <f>IF(AND('Total income package'!$A$16=TRUE,E149&lt;$J$2),$M$2,0)</f>
        <v>0</v>
      </c>
      <c r="M149" s="179">
        <f>IF(AND('Total income package'!$A$16=TRUE,E149&lt;$L$2),$P$2,0)</f>
        <v>955.5</v>
      </c>
      <c r="N149" s="204">
        <f t="shared" si="25"/>
        <v>955.5</v>
      </c>
    </row>
    <row r="150" spans="1:14" x14ac:dyDescent="0.25">
      <c r="A150" s="105">
        <v>70500</v>
      </c>
      <c r="B150" s="4">
        <f t="shared" si="26"/>
        <v>5875</v>
      </c>
      <c r="C150" s="4">
        <f>'Total income package'!$D$80</f>
        <v>0</v>
      </c>
      <c r="D150" s="4">
        <f t="shared" si="20"/>
        <v>5875</v>
      </c>
      <c r="E150" s="4">
        <f t="shared" si="21"/>
        <v>5666</v>
      </c>
      <c r="F150" t="str">
        <f t="shared" si="22"/>
        <v>No</v>
      </c>
      <c r="G150" t="str">
        <f t="shared" si="23"/>
        <v>No</v>
      </c>
      <c r="I150" t="str">
        <f t="shared" si="24"/>
        <v>No</v>
      </c>
      <c r="J150" t="str">
        <f t="shared" si="18"/>
        <v>Yes</v>
      </c>
      <c r="K150" t="str">
        <f t="shared" si="19"/>
        <v>Yes</v>
      </c>
      <c r="L150" s="203">
        <f>IF(AND('Total income package'!$A$16=TRUE,E150&lt;$J$2),$M$2,0)</f>
        <v>0</v>
      </c>
      <c r="M150" s="179">
        <f>IF(AND('Total income package'!$A$16=TRUE,E150&lt;$L$2),$P$2,0)</f>
        <v>955.5</v>
      </c>
      <c r="N150" s="204">
        <f t="shared" si="25"/>
        <v>955.5</v>
      </c>
    </row>
    <row r="151" spans="1:14" x14ac:dyDescent="0.25">
      <c r="A151" s="105">
        <v>71000</v>
      </c>
      <c r="B151" s="4">
        <f t="shared" si="26"/>
        <v>5916.666666666667</v>
      </c>
      <c r="C151" s="4">
        <f>'Total income package'!$D$80</f>
        <v>0</v>
      </c>
      <c r="D151" s="4">
        <f t="shared" si="20"/>
        <v>5916.666666666667</v>
      </c>
      <c r="E151" s="4">
        <f t="shared" si="21"/>
        <v>5707.666666666667</v>
      </c>
      <c r="F151" t="str">
        <f t="shared" si="22"/>
        <v>No</v>
      </c>
      <c r="G151" t="str">
        <f t="shared" si="23"/>
        <v>No</v>
      </c>
      <c r="I151" t="str">
        <f t="shared" si="24"/>
        <v>No</v>
      </c>
      <c r="J151" t="str">
        <f t="shared" si="18"/>
        <v>Yes</v>
      </c>
      <c r="K151" t="str">
        <f t="shared" si="19"/>
        <v>Yes</v>
      </c>
      <c r="L151" s="203">
        <f>IF(AND('Total income package'!$A$16=TRUE,E151&lt;$J$2),$M$2,0)</f>
        <v>0</v>
      </c>
      <c r="M151" s="179">
        <f>IF(AND('Total income package'!$A$16=TRUE,E151&lt;$L$2),$P$2,0)</f>
        <v>955.5</v>
      </c>
      <c r="N151" s="204">
        <f t="shared" si="25"/>
        <v>955.5</v>
      </c>
    </row>
    <row r="152" spans="1:14" x14ac:dyDescent="0.25">
      <c r="A152" s="105">
        <v>71500</v>
      </c>
      <c r="B152" s="4">
        <f t="shared" si="26"/>
        <v>5958.333333333333</v>
      </c>
      <c r="C152" s="4">
        <f>'Total income package'!$D$80</f>
        <v>0</v>
      </c>
      <c r="D152" s="4">
        <f t="shared" si="20"/>
        <v>5958.333333333333</v>
      </c>
      <c r="E152" s="4">
        <f t="shared" si="21"/>
        <v>5749.333333333333</v>
      </c>
      <c r="F152" t="str">
        <f t="shared" si="22"/>
        <v>No</v>
      </c>
      <c r="G152" t="str">
        <f t="shared" si="23"/>
        <v>No</v>
      </c>
      <c r="I152" t="str">
        <f t="shared" si="24"/>
        <v>No</v>
      </c>
      <c r="J152" t="str">
        <f t="shared" si="18"/>
        <v>Yes</v>
      </c>
      <c r="K152" t="str">
        <f t="shared" si="19"/>
        <v>Yes</v>
      </c>
      <c r="L152" s="203">
        <f>IF(AND('Total income package'!$A$16=TRUE,E152&lt;$J$2),$M$2,0)</f>
        <v>0</v>
      </c>
      <c r="M152" s="179">
        <f>IF(AND('Total income package'!$A$16=TRUE,E152&lt;$L$2),$P$2,0)</f>
        <v>955.5</v>
      </c>
      <c r="N152" s="204">
        <f t="shared" si="25"/>
        <v>955.5</v>
      </c>
    </row>
    <row r="153" spans="1:14" x14ac:dyDescent="0.25">
      <c r="A153" s="105">
        <v>72000</v>
      </c>
      <c r="B153" s="4">
        <f t="shared" si="26"/>
        <v>6000</v>
      </c>
      <c r="C153" s="4">
        <f>'Total income package'!$D$80</f>
        <v>0</v>
      </c>
      <c r="D153" s="4">
        <f t="shared" si="20"/>
        <v>6000</v>
      </c>
      <c r="E153" s="4">
        <f t="shared" si="21"/>
        <v>5791</v>
      </c>
      <c r="F153" t="str">
        <f t="shared" si="22"/>
        <v>No</v>
      </c>
      <c r="G153" t="str">
        <f t="shared" si="23"/>
        <v>No</v>
      </c>
      <c r="I153" t="str">
        <f t="shared" si="24"/>
        <v>No</v>
      </c>
      <c r="J153" t="str">
        <f t="shared" si="18"/>
        <v>Yes</v>
      </c>
      <c r="K153" t="str">
        <f t="shared" si="19"/>
        <v>Yes</v>
      </c>
      <c r="L153" s="203">
        <f>IF(AND('Total income package'!$A$16=TRUE,E153&lt;$J$2),$M$2,0)</f>
        <v>0</v>
      </c>
      <c r="M153" s="179">
        <f>IF(AND('Total income package'!$A$16=TRUE,E153&lt;$L$2),$P$2,0)</f>
        <v>955.5</v>
      </c>
      <c r="N153" s="204">
        <f t="shared" si="25"/>
        <v>955.5</v>
      </c>
    </row>
    <row r="154" spans="1:14" x14ac:dyDescent="0.25">
      <c r="A154" s="105">
        <v>72500</v>
      </c>
      <c r="B154" s="4">
        <f t="shared" si="26"/>
        <v>6041.666666666667</v>
      </c>
      <c r="C154" s="4">
        <f>'Total income package'!$D$80</f>
        <v>0</v>
      </c>
      <c r="D154" s="4">
        <f t="shared" si="20"/>
        <v>6041.666666666667</v>
      </c>
      <c r="E154" s="4">
        <f t="shared" si="21"/>
        <v>5832.666666666667</v>
      </c>
      <c r="F154" t="str">
        <f t="shared" si="22"/>
        <v>No</v>
      </c>
      <c r="G154" t="str">
        <f t="shared" si="23"/>
        <v>No</v>
      </c>
      <c r="I154" t="str">
        <f t="shared" si="24"/>
        <v>No</v>
      </c>
      <c r="J154" t="str">
        <f t="shared" si="18"/>
        <v>Yes</v>
      </c>
      <c r="K154" t="str">
        <f t="shared" si="19"/>
        <v>Yes</v>
      </c>
      <c r="L154" s="203">
        <f>IF(AND('Total income package'!$A$16=TRUE,E154&lt;$J$2),$M$2,0)</f>
        <v>0</v>
      </c>
      <c r="M154" s="179">
        <f>IF(AND('Total income package'!$A$16=TRUE,E154&lt;$L$2),$P$2,0)</f>
        <v>955.5</v>
      </c>
      <c r="N154" s="204">
        <f t="shared" si="25"/>
        <v>955.5</v>
      </c>
    </row>
    <row r="155" spans="1:14" x14ac:dyDescent="0.25">
      <c r="A155" s="105">
        <v>73000</v>
      </c>
      <c r="B155" s="4">
        <f t="shared" si="26"/>
        <v>6083.333333333333</v>
      </c>
      <c r="C155" s="4">
        <f>'Total income package'!$D$80</f>
        <v>0</v>
      </c>
      <c r="D155" s="4">
        <f t="shared" si="20"/>
        <v>6083.333333333333</v>
      </c>
      <c r="E155" s="4">
        <f t="shared" si="21"/>
        <v>5874.333333333333</v>
      </c>
      <c r="F155" t="str">
        <f t="shared" si="22"/>
        <v>No</v>
      </c>
      <c r="G155" t="str">
        <f t="shared" si="23"/>
        <v>No</v>
      </c>
      <c r="I155" t="str">
        <f t="shared" si="24"/>
        <v>No</v>
      </c>
      <c r="J155" t="str">
        <f t="shared" si="18"/>
        <v>Yes</v>
      </c>
      <c r="K155" t="str">
        <f t="shared" si="19"/>
        <v>Yes</v>
      </c>
      <c r="L155" s="203">
        <f>IF(AND('Total income package'!$A$16=TRUE,E155&lt;$J$2),$M$2,0)</f>
        <v>0</v>
      </c>
      <c r="M155" s="179">
        <f>IF(AND('Total income package'!$A$16=TRUE,E155&lt;$L$2),$P$2,0)</f>
        <v>955.5</v>
      </c>
      <c r="N155" s="204">
        <f t="shared" si="25"/>
        <v>955.5</v>
      </c>
    </row>
    <row r="156" spans="1:14" x14ac:dyDescent="0.25">
      <c r="A156" s="105">
        <v>73500</v>
      </c>
      <c r="B156" s="4">
        <f t="shared" si="26"/>
        <v>6125</v>
      </c>
      <c r="C156" s="4">
        <f>'Total income package'!$D$80</f>
        <v>0</v>
      </c>
      <c r="D156" s="4">
        <f t="shared" si="20"/>
        <v>6125</v>
      </c>
      <c r="E156" s="4">
        <f t="shared" si="21"/>
        <v>5916</v>
      </c>
      <c r="F156" t="str">
        <f t="shared" si="22"/>
        <v>No</v>
      </c>
      <c r="G156" t="str">
        <f t="shared" si="23"/>
        <v>No</v>
      </c>
      <c r="I156" t="str">
        <f t="shared" si="24"/>
        <v>No</v>
      </c>
      <c r="J156" t="str">
        <f t="shared" si="18"/>
        <v>Yes</v>
      </c>
      <c r="K156" t="str">
        <f t="shared" si="19"/>
        <v>Yes</v>
      </c>
      <c r="L156" s="203">
        <f>IF(AND('Total income package'!$A$16=TRUE,E156&lt;$J$2),$M$2,0)</f>
        <v>0</v>
      </c>
      <c r="M156" s="179">
        <f>IF(AND('Total income package'!$A$16=TRUE,E156&lt;$L$2),$P$2,0)</f>
        <v>955.5</v>
      </c>
      <c r="N156" s="204">
        <f t="shared" si="25"/>
        <v>955.5</v>
      </c>
    </row>
    <row r="157" spans="1:14" x14ac:dyDescent="0.25">
      <c r="A157" s="105">
        <v>74000</v>
      </c>
      <c r="B157" s="4">
        <f t="shared" si="26"/>
        <v>6166.666666666667</v>
      </c>
      <c r="C157" s="4">
        <f>'Total income package'!$D$80</f>
        <v>0</v>
      </c>
      <c r="D157" s="4">
        <f t="shared" si="20"/>
        <v>6166.666666666667</v>
      </c>
      <c r="E157" s="4">
        <f t="shared" si="21"/>
        <v>5957.666666666667</v>
      </c>
      <c r="F157" t="str">
        <f t="shared" si="22"/>
        <v>No</v>
      </c>
      <c r="G157" t="str">
        <f t="shared" si="23"/>
        <v>No</v>
      </c>
      <c r="I157" t="str">
        <f t="shared" si="24"/>
        <v>No</v>
      </c>
      <c r="J157" t="str">
        <f t="shared" si="18"/>
        <v>Yes</v>
      </c>
      <c r="K157" t="str">
        <f t="shared" si="19"/>
        <v>Yes</v>
      </c>
      <c r="L157" s="203">
        <f>IF(AND('Total income package'!$A$16=TRUE,E157&lt;$J$2),$M$2,0)</f>
        <v>0</v>
      </c>
      <c r="M157" s="179">
        <f>IF(AND('Total income package'!$A$16=TRUE,E157&lt;$L$2),$P$2,0)</f>
        <v>955.5</v>
      </c>
      <c r="N157" s="204">
        <f t="shared" si="25"/>
        <v>955.5</v>
      </c>
    </row>
    <row r="158" spans="1:14" x14ac:dyDescent="0.25">
      <c r="A158" s="105">
        <v>74500</v>
      </c>
      <c r="B158" s="4">
        <f t="shared" si="26"/>
        <v>6208.333333333333</v>
      </c>
      <c r="C158" s="4">
        <f>'Total income package'!$D$80</f>
        <v>0</v>
      </c>
      <c r="D158" s="4">
        <f t="shared" si="20"/>
        <v>6208.333333333333</v>
      </c>
      <c r="E158" s="4">
        <f t="shared" si="21"/>
        <v>5999.333333333333</v>
      </c>
      <c r="F158" t="str">
        <f t="shared" si="22"/>
        <v>No</v>
      </c>
      <c r="G158" t="str">
        <f t="shared" si="23"/>
        <v>No</v>
      </c>
      <c r="I158" t="str">
        <f t="shared" si="24"/>
        <v>No</v>
      </c>
      <c r="J158" t="str">
        <f t="shared" si="18"/>
        <v>No</v>
      </c>
      <c r="K158" t="str">
        <f t="shared" si="19"/>
        <v>Yes</v>
      </c>
      <c r="L158" s="203">
        <f>IF(AND('Total income package'!$A$16=TRUE,E158&lt;$J$2),$M$2,0)</f>
        <v>0</v>
      </c>
      <c r="M158" s="179">
        <f>IF(AND('Total income package'!$A$16=TRUE,E158&lt;$L$2),$P$2,0)</f>
        <v>955.5</v>
      </c>
      <c r="N158" s="204">
        <f t="shared" si="25"/>
        <v>955.5</v>
      </c>
    </row>
    <row r="159" spans="1:14" x14ac:dyDescent="0.25">
      <c r="A159" s="105">
        <v>75000</v>
      </c>
      <c r="B159" s="4">
        <f t="shared" si="26"/>
        <v>6250</v>
      </c>
      <c r="C159" s="4">
        <f>'Total income package'!$D$80</f>
        <v>0</v>
      </c>
      <c r="D159" s="4">
        <f t="shared" si="20"/>
        <v>6250</v>
      </c>
      <c r="E159" s="4">
        <f t="shared" si="21"/>
        <v>6041</v>
      </c>
      <c r="F159" t="str">
        <f t="shared" si="22"/>
        <v>No</v>
      </c>
      <c r="G159" t="str">
        <f t="shared" si="23"/>
        <v>No</v>
      </c>
      <c r="I159" t="str">
        <f t="shared" si="24"/>
        <v>No</v>
      </c>
      <c r="J159" t="str">
        <f t="shared" si="18"/>
        <v>No</v>
      </c>
      <c r="K159" t="str">
        <f t="shared" si="19"/>
        <v>Yes</v>
      </c>
      <c r="L159" s="203">
        <f>IF(AND('Total income package'!$A$16=TRUE,E159&lt;$J$2),$M$2,0)</f>
        <v>0</v>
      </c>
      <c r="M159" s="179">
        <f>IF(AND('Total income package'!$A$16=TRUE,E159&lt;$L$2),$P$2,0)</f>
        <v>955.5</v>
      </c>
      <c r="N159" s="204">
        <f t="shared" si="25"/>
        <v>955.5</v>
      </c>
    </row>
    <row r="160" spans="1:14" x14ac:dyDescent="0.25">
      <c r="A160" s="105">
        <v>75500</v>
      </c>
      <c r="B160" s="4">
        <f t="shared" si="26"/>
        <v>6291.666666666667</v>
      </c>
      <c r="C160" s="4">
        <f>'Total income package'!$D$80</f>
        <v>0</v>
      </c>
      <c r="D160" s="4">
        <f t="shared" si="20"/>
        <v>6291.666666666667</v>
      </c>
      <c r="E160" s="4">
        <f t="shared" si="21"/>
        <v>6082.666666666667</v>
      </c>
      <c r="F160" t="str">
        <f t="shared" si="22"/>
        <v>No</v>
      </c>
      <c r="G160" t="str">
        <f t="shared" si="23"/>
        <v>No</v>
      </c>
      <c r="I160" t="str">
        <f t="shared" si="24"/>
        <v>No</v>
      </c>
      <c r="J160" t="str">
        <f t="shared" si="18"/>
        <v>No</v>
      </c>
      <c r="K160" t="str">
        <f t="shared" si="19"/>
        <v>Yes</v>
      </c>
      <c r="L160" s="203">
        <f>IF(AND('Total income package'!$A$16=TRUE,E160&lt;$J$2),$M$2,0)</f>
        <v>0</v>
      </c>
      <c r="M160" s="179">
        <f>IF(AND('Total income package'!$A$16=TRUE,E160&lt;$L$2),$P$2,0)</f>
        <v>955.5</v>
      </c>
      <c r="N160" s="204">
        <f t="shared" si="25"/>
        <v>955.5</v>
      </c>
    </row>
    <row r="161" spans="1:14" x14ac:dyDescent="0.25">
      <c r="A161" s="105">
        <v>76000</v>
      </c>
      <c r="B161" s="4">
        <f t="shared" si="26"/>
        <v>6333.333333333333</v>
      </c>
      <c r="C161" s="4">
        <f>'Total income package'!$D$80</f>
        <v>0</v>
      </c>
      <c r="D161" s="4">
        <f t="shared" si="20"/>
        <v>6333.333333333333</v>
      </c>
      <c r="E161" s="4">
        <f t="shared" si="21"/>
        <v>6124.333333333333</v>
      </c>
      <c r="F161" t="str">
        <f t="shared" si="22"/>
        <v>No</v>
      </c>
      <c r="G161" t="str">
        <f t="shared" si="23"/>
        <v>No</v>
      </c>
      <c r="I161" t="str">
        <f t="shared" si="24"/>
        <v>No</v>
      </c>
      <c r="J161" t="str">
        <f t="shared" si="18"/>
        <v>No</v>
      </c>
      <c r="K161" t="str">
        <f t="shared" si="19"/>
        <v>Yes</v>
      </c>
      <c r="L161" s="203">
        <f>IF(AND('Total income package'!$A$16=TRUE,E161&lt;$J$2),$M$2,0)</f>
        <v>0</v>
      </c>
      <c r="M161" s="179">
        <f>IF(AND('Total income package'!$A$16=TRUE,E161&lt;$L$2),$P$2,0)</f>
        <v>955.5</v>
      </c>
      <c r="N161" s="204">
        <f t="shared" si="25"/>
        <v>955.5</v>
      </c>
    </row>
    <row r="162" spans="1:14" x14ac:dyDescent="0.25">
      <c r="A162" s="105">
        <v>76500</v>
      </c>
      <c r="B162" s="4">
        <f t="shared" si="26"/>
        <v>6375</v>
      </c>
      <c r="C162" s="4">
        <f>'Total income package'!$D$80</f>
        <v>0</v>
      </c>
      <c r="D162" s="4">
        <f t="shared" si="20"/>
        <v>6375</v>
      </c>
      <c r="E162" s="4">
        <f t="shared" si="21"/>
        <v>6166</v>
      </c>
      <c r="F162" t="str">
        <f t="shared" si="22"/>
        <v>No</v>
      </c>
      <c r="G162" t="str">
        <f t="shared" si="23"/>
        <v>No</v>
      </c>
      <c r="I162" t="str">
        <f t="shared" si="24"/>
        <v>No</v>
      </c>
      <c r="J162" t="str">
        <f t="shared" si="18"/>
        <v>No</v>
      </c>
      <c r="K162" t="str">
        <f t="shared" si="19"/>
        <v>Yes</v>
      </c>
      <c r="L162" s="203">
        <f>IF(AND('Total income package'!$A$16=TRUE,E162&lt;$J$2),$M$2,0)</f>
        <v>0</v>
      </c>
      <c r="M162" s="179">
        <f>IF(AND('Total income package'!$A$16=TRUE,E162&lt;$L$2),$P$2,0)</f>
        <v>955.5</v>
      </c>
      <c r="N162" s="204">
        <f t="shared" si="25"/>
        <v>955.5</v>
      </c>
    </row>
    <row r="163" spans="1:14" x14ac:dyDescent="0.25">
      <c r="A163" s="105">
        <v>77000</v>
      </c>
      <c r="B163" s="4">
        <f t="shared" si="26"/>
        <v>6416.666666666667</v>
      </c>
      <c r="C163" s="4">
        <f>'Total income package'!$D$80</f>
        <v>0</v>
      </c>
      <c r="D163" s="4">
        <f t="shared" si="20"/>
        <v>6416.666666666667</v>
      </c>
      <c r="E163" s="4">
        <f t="shared" si="21"/>
        <v>6207.666666666667</v>
      </c>
      <c r="F163" t="str">
        <f t="shared" si="22"/>
        <v>No</v>
      </c>
      <c r="G163" t="str">
        <f t="shared" si="23"/>
        <v>No</v>
      </c>
      <c r="I163" t="str">
        <f t="shared" si="24"/>
        <v>No</v>
      </c>
      <c r="J163" t="str">
        <f t="shared" si="18"/>
        <v>No</v>
      </c>
      <c r="K163" t="str">
        <f t="shared" si="19"/>
        <v>Yes</v>
      </c>
      <c r="L163" s="203">
        <f>IF(AND('Total income package'!$A$16=TRUE,E163&lt;$J$2),$M$2,0)</f>
        <v>0</v>
      </c>
      <c r="M163" s="179">
        <f>IF(AND('Total income package'!$A$16=TRUE,E163&lt;$L$2),$P$2,0)</f>
        <v>955.5</v>
      </c>
      <c r="N163" s="204">
        <f t="shared" si="25"/>
        <v>955.5</v>
      </c>
    </row>
    <row r="164" spans="1:14" x14ac:dyDescent="0.25">
      <c r="A164" s="105">
        <v>77500</v>
      </c>
      <c r="B164" s="4">
        <f t="shared" si="26"/>
        <v>6458.333333333333</v>
      </c>
      <c r="C164" s="4">
        <f>'Total income package'!$D$80</f>
        <v>0</v>
      </c>
      <c r="D164" s="4">
        <f t="shared" si="20"/>
        <v>6458.333333333333</v>
      </c>
      <c r="E164" s="4">
        <f t="shared" si="21"/>
        <v>6249.333333333333</v>
      </c>
      <c r="F164" t="str">
        <f t="shared" si="22"/>
        <v>No</v>
      </c>
      <c r="G164" t="str">
        <f t="shared" si="23"/>
        <v>No</v>
      </c>
      <c r="I164" t="str">
        <f t="shared" si="24"/>
        <v>No</v>
      </c>
      <c r="J164" t="str">
        <f t="shared" si="18"/>
        <v>No</v>
      </c>
      <c r="K164" t="str">
        <f t="shared" si="19"/>
        <v>Yes</v>
      </c>
      <c r="L164" s="203">
        <f>IF(AND('Total income package'!$A$16=TRUE,E164&lt;$J$2),$M$2,0)</f>
        <v>0</v>
      </c>
      <c r="M164" s="179">
        <f>IF(AND('Total income package'!$A$16=TRUE,E164&lt;$L$2),$P$2,0)</f>
        <v>955.5</v>
      </c>
      <c r="N164" s="204">
        <f t="shared" si="25"/>
        <v>955.5</v>
      </c>
    </row>
    <row r="165" spans="1:14" x14ac:dyDescent="0.25">
      <c r="A165" s="105">
        <v>78000</v>
      </c>
      <c r="B165" s="4">
        <f t="shared" si="26"/>
        <v>6500</v>
      </c>
      <c r="C165" s="4">
        <f>'Total income package'!$D$80</f>
        <v>0</v>
      </c>
      <c r="D165" s="4">
        <f t="shared" si="20"/>
        <v>6500</v>
      </c>
      <c r="E165" s="4">
        <f t="shared" si="21"/>
        <v>6291</v>
      </c>
      <c r="F165" t="str">
        <f t="shared" si="22"/>
        <v>No</v>
      </c>
      <c r="G165" t="str">
        <f t="shared" si="23"/>
        <v>No</v>
      </c>
      <c r="I165" t="str">
        <f t="shared" si="24"/>
        <v>No</v>
      </c>
      <c r="J165" t="str">
        <f t="shared" si="18"/>
        <v>No</v>
      </c>
      <c r="K165" t="str">
        <f t="shared" si="19"/>
        <v>Yes</v>
      </c>
      <c r="L165" s="203">
        <f>IF(AND('Total income package'!$A$16=TRUE,E165&lt;$J$2),$M$2,0)</f>
        <v>0</v>
      </c>
      <c r="M165" s="179">
        <f>IF(AND('Total income package'!$A$16=TRUE,E165&lt;$L$2),$P$2,0)</f>
        <v>955.5</v>
      </c>
      <c r="N165" s="204">
        <f t="shared" si="25"/>
        <v>955.5</v>
      </c>
    </row>
    <row r="166" spans="1:14" x14ac:dyDescent="0.25">
      <c r="A166" s="105">
        <v>78500</v>
      </c>
      <c r="B166" s="4">
        <f t="shared" si="26"/>
        <v>6541.666666666667</v>
      </c>
      <c r="C166" s="4">
        <f>'Total income package'!$D$80</f>
        <v>0</v>
      </c>
      <c r="D166" s="4">
        <f t="shared" si="20"/>
        <v>6541.666666666667</v>
      </c>
      <c r="E166" s="4">
        <f t="shared" si="21"/>
        <v>6332.666666666667</v>
      </c>
      <c r="F166" t="str">
        <f t="shared" si="22"/>
        <v>No</v>
      </c>
      <c r="G166" t="str">
        <f t="shared" si="23"/>
        <v>No</v>
      </c>
      <c r="I166" t="str">
        <f t="shared" si="24"/>
        <v>No</v>
      </c>
      <c r="J166" t="str">
        <f t="shared" si="18"/>
        <v>No</v>
      </c>
      <c r="K166" t="str">
        <f t="shared" si="19"/>
        <v>Yes</v>
      </c>
      <c r="L166" s="203">
        <f>IF(AND('Total income package'!$A$16=TRUE,E166&lt;$J$2),$M$2,0)</f>
        <v>0</v>
      </c>
      <c r="M166" s="179">
        <f>IF(AND('Total income package'!$A$16=TRUE,E166&lt;$L$2),$P$2,0)</f>
        <v>955.5</v>
      </c>
      <c r="N166" s="204">
        <f t="shared" si="25"/>
        <v>955.5</v>
      </c>
    </row>
    <row r="167" spans="1:14" x14ac:dyDescent="0.25">
      <c r="A167" s="105">
        <v>79000</v>
      </c>
      <c r="B167" s="4">
        <f t="shared" si="26"/>
        <v>6583.333333333333</v>
      </c>
      <c r="C167" s="4">
        <f>'Total income package'!$D$80</f>
        <v>0</v>
      </c>
      <c r="D167" s="4">
        <f t="shared" si="20"/>
        <v>6583.333333333333</v>
      </c>
      <c r="E167" s="4">
        <f t="shared" si="21"/>
        <v>6374.333333333333</v>
      </c>
      <c r="F167" t="str">
        <f t="shared" si="22"/>
        <v>No</v>
      </c>
      <c r="G167" t="str">
        <f t="shared" si="23"/>
        <v>No</v>
      </c>
      <c r="I167" t="str">
        <f t="shared" si="24"/>
        <v>No</v>
      </c>
      <c r="J167" t="str">
        <f t="shared" si="18"/>
        <v>No</v>
      </c>
      <c r="K167" t="str">
        <f t="shared" si="19"/>
        <v>Yes</v>
      </c>
      <c r="L167" s="203">
        <f>IF(AND('Total income package'!$A$16=TRUE,E167&lt;$J$2),$M$2,0)</f>
        <v>0</v>
      </c>
      <c r="M167" s="179">
        <f>IF(AND('Total income package'!$A$16=TRUE,E167&lt;$L$2),$P$2,0)</f>
        <v>955.5</v>
      </c>
      <c r="N167" s="204">
        <f t="shared" si="25"/>
        <v>955.5</v>
      </c>
    </row>
    <row r="168" spans="1:14" x14ac:dyDescent="0.25">
      <c r="A168" s="105">
        <v>79500</v>
      </c>
      <c r="B168" s="4">
        <f t="shared" si="26"/>
        <v>6625</v>
      </c>
      <c r="C168" s="4">
        <f>'Total income package'!$D$80</f>
        <v>0</v>
      </c>
      <c r="D168" s="4">
        <f t="shared" si="20"/>
        <v>6625</v>
      </c>
      <c r="E168" s="4">
        <f t="shared" si="21"/>
        <v>6416</v>
      </c>
      <c r="F168" t="str">
        <f t="shared" si="22"/>
        <v>No</v>
      </c>
      <c r="G168" t="str">
        <f t="shared" si="23"/>
        <v>No</v>
      </c>
      <c r="I168" t="str">
        <f t="shared" si="24"/>
        <v>No</v>
      </c>
      <c r="J168" t="str">
        <f t="shared" si="18"/>
        <v>No</v>
      </c>
      <c r="K168" t="str">
        <f t="shared" si="19"/>
        <v>Yes</v>
      </c>
      <c r="L168" s="203">
        <f>IF(AND('Total income package'!$A$16=TRUE,E168&lt;$J$2),$M$2,0)</f>
        <v>0</v>
      </c>
      <c r="M168" s="179">
        <f>IF(AND('Total income package'!$A$16=TRUE,E168&lt;$L$2),$P$2,0)</f>
        <v>955.5</v>
      </c>
      <c r="N168" s="204">
        <f t="shared" si="25"/>
        <v>955.5</v>
      </c>
    </row>
    <row r="169" spans="1:14" x14ac:dyDescent="0.25">
      <c r="A169" s="105">
        <v>80000</v>
      </c>
      <c r="B169" s="4">
        <f t="shared" si="26"/>
        <v>6666.666666666667</v>
      </c>
      <c r="C169" s="4">
        <f>'Total income package'!$D$80</f>
        <v>0</v>
      </c>
      <c r="D169" s="4">
        <f t="shared" si="20"/>
        <v>6666.666666666667</v>
      </c>
      <c r="E169" s="4">
        <f t="shared" si="21"/>
        <v>6457.666666666667</v>
      </c>
      <c r="F169" t="str">
        <f t="shared" si="22"/>
        <v>No</v>
      </c>
      <c r="G169" t="str">
        <f t="shared" si="23"/>
        <v>No</v>
      </c>
      <c r="I169" t="str">
        <f t="shared" si="24"/>
        <v>No</v>
      </c>
      <c r="J169" t="str">
        <f t="shared" si="18"/>
        <v>No</v>
      </c>
      <c r="K169" t="str">
        <f t="shared" si="19"/>
        <v>Yes</v>
      </c>
      <c r="L169" s="203">
        <f>IF(AND('Total income package'!$A$16=TRUE,E169&lt;$J$2),$M$2,0)</f>
        <v>0</v>
      </c>
      <c r="M169" s="179">
        <f>IF(AND('Total income package'!$A$16=TRUE,E169&lt;$L$2),$P$2,0)</f>
        <v>955.5</v>
      </c>
      <c r="N169" s="204">
        <f t="shared" si="25"/>
        <v>955.5</v>
      </c>
    </row>
    <row r="170" spans="1:14" x14ac:dyDescent="0.25">
      <c r="A170" s="105">
        <v>80500</v>
      </c>
      <c r="B170" s="4">
        <f t="shared" si="26"/>
        <v>6708.333333333333</v>
      </c>
      <c r="C170" s="4">
        <f>'Total income package'!$D$80</f>
        <v>0</v>
      </c>
      <c r="D170" s="4">
        <f t="shared" si="20"/>
        <v>6708.333333333333</v>
      </c>
      <c r="E170" s="4">
        <f t="shared" si="21"/>
        <v>6499.333333333333</v>
      </c>
      <c r="F170" t="str">
        <f t="shared" si="22"/>
        <v>No</v>
      </c>
      <c r="G170" t="str">
        <f t="shared" si="23"/>
        <v>No</v>
      </c>
      <c r="I170" t="str">
        <f t="shared" si="24"/>
        <v>No</v>
      </c>
      <c r="J170" t="str">
        <f t="shared" si="18"/>
        <v>No</v>
      </c>
      <c r="K170" t="str">
        <f t="shared" si="19"/>
        <v>Yes</v>
      </c>
      <c r="L170" s="203">
        <f>IF(AND('Total income package'!$A$16=TRUE,E170&lt;$J$2),$M$2,0)</f>
        <v>0</v>
      </c>
      <c r="M170" s="179">
        <f>IF(AND('Total income package'!$A$16=TRUE,E170&lt;$L$2),$P$2,0)</f>
        <v>955.5</v>
      </c>
      <c r="N170" s="204">
        <f t="shared" si="25"/>
        <v>955.5</v>
      </c>
    </row>
    <row r="171" spans="1:14" x14ac:dyDescent="0.25">
      <c r="A171" s="105">
        <v>81000</v>
      </c>
      <c r="B171" s="4">
        <f t="shared" si="26"/>
        <v>6750</v>
      </c>
      <c r="C171" s="4">
        <f>'Total income package'!$D$80</f>
        <v>0</v>
      </c>
      <c r="D171" s="4">
        <f t="shared" si="20"/>
        <v>6750</v>
      </c>
      <c r="E171" s="4">
        <f t="shared" si="21"/>
        <v>6541</v>
      </c>
      <c r="F171" t="str">
        <f t="shared" si="22"/>
        <v>No</v>
      </c>
      <c r="G171" t="str">
        <f t="shared" si="23"/>
        <v>No</v>
      </c>
      <c r="I171" t="str">
        <f t="shared" si="24"/>
        <v>No</v>
      </c>
      <c r="J171" t="str">
        <f t="shared" si="18"/>
        <v>No</v>
      </c>
      <c r="K171" t="str">
        <f t="shared" si="19"/>
        <v>Yes</v>
      </c>
      <c r="L171" s="203">
        <f>IF(AND('Total income package'!$A$16=TRUE,E171&lt;$J$2),$M$2,0)</f>
        <v>0</v>
      </c>
      <c r="M171" s="179">
        <f>IF(AND('Total income package'!$A$16=TRUE,E171&lt;$L$2),$P$2,0)</f>
        <v>955.5</v>
      </c>
      <c r="N171" s="204">
        <f t="shared" si="25"/>
        <v>955.5</v>
      </c>
    </row>
    <row r="172" spans="1:14" x14ac:dyDescent="0.25">
      <c r="A172" s="105">
        <v>81500</v>
      </c>
      <c r="B172" s="4">
        <f t="shared" si="26"/>
        <v>6791.666666666667</v>
      </c>
      <c r="C172" s="4">
        <f>'Total income package'!$D$80</f>
        <v>0</v>
      </c>
      <c r="D172" s="4">
        <f t="shared" si="20"/>
        <v>6791.666666666667</v>
      </c>
      <c r="E172" s="4">
        <f t="shared" si="21"/>
        <v>6582.666666666667</v>
      </c>
      <c r="F172" t="str">
        <f t="shared" si="22"/>
        <v>No</v>
      </c>
      <c r="G172" t="str">
        <f t="shared" si="23"/>
        <v>No</v>
      </c>
      <c r="I172" t="str">
        <f t="shared" si="24"/>
        <v>No</v>
      </c>
      <c r="J172" t="str">
        <f t="shared" si="18"/>
        <v>No</v>
      </c>
      <c r="K172" t="str">
        <f t="shared" si="19"/>
        <v>Yes</v>
      </c>
      <c r="L172" s="203">
        <f>IF(AND('Total income package'!$A$16=TRUE,E172&lt;$J$2),$M$2,0)</f>
        <v>0</v>
      </c>
      <c r="M172" s="179">
        <f>IF(AND('Total income package'!$A$16=TRUE,E172&lt;$L$2),$P$2,0)</f>
        <v>955.5</v>
      </c>
      <c r="N172" s="204">
        <f t="shared" si="25"/>
        <v>955.5</v>
      </c>
    </row>
    <row r="173" spans="1:14" x14ac:dyDescent="0.25">
      <c r="A173" s="105">
        <v>82000</v>
      </c>
      <c r="B173" s="4">
        <f t="shared" si="26"/>
        <v>6833.333333333333</v>
      </c>
      <c r="C173" s="4">
        <f>'Total income package'!$D$80</f>
        <v>0</v>
      </c>
      <c r="D173" s="4">
        <f t="shared" si="20"/>
        <v>6833.333333333333</v>
      </c>
      <c r="E173" s="4">
        <f t="shared" si="21"/>
        <v>6624.333333333333</v>
      </c>
      <c r="F173" t="str">
        <f t="shared" si="22"/>
        <v>No</v>
      </c>
      <c r="G173" t="str">
        <f t="shared" si="23"/>
        <v>No</v>
      </c>
      <c r="I173" t="str">
        <f t="shared" si="24"/>
        <v>No</v>
      </c>
      <c r="J173" t="str">
        <f t="shared" si="18"/>
        <v>No</v>
      </c>
      <c r="K173" t="str">
        <f t="shared" si="19"/>
        <v>Yes</v>
      </c>
      <c r="L173" s="203">
        <f>IF(AND('Total income package'!$A$16=TRUE,E173&lt;$J$2),$M$2,0)</f>
        <v>0</v>
      </c>
      <c r="M173" s="179">
        <f>IF(AND('Total income package'!$A$16=TRUE,E173&lt;$L$2),$P$2,0)</f>
        <v>955.5</v>
      </c>
      <c r="N173" s="204">
        <f t="shared" si="25"/>
        <v>955.5</v>
      </c>
    </row>
    <row r="174" spans="1:14" x14ac:dyDescent="0.25">
      <c r="A174" s="105">
        <v>82500</v>
      </c>
      <c r="B174" s="4">
        <f t="shared" si="26"/>
        <v>6875</v>
      </c>
      <c r="C174" s="4">
        <f>'Total income package'!$D$80</f>
        <v>0</v>
      </c>
      <c r="D174" s="4">
        <f t="shared" si="20"/>
        <v>6875</v>
      </c>
      <c r="E174" s="4">
        <f t="shared" si="21"/>
        <v>6666</v>
      </c>
      <c r="F174" t="str">
        <f t="shared" si="22"/>
        <v>No</v>
      </c>
      <c r="G174" t="str">
        <f t="shared" si="23"/>
        <v>No</v>
      </c>
      <c r="I174" t="str">
        <f t="shared" si="24"/>
        <v>No</v>
      </c>
      <c r="J174" t="str">
        <f t="shared" si="18"/>
        <v>No</v>
      </c>
      <c r="K174" t="str">
        <f t="shared" si="19"/>
        <v>Yes</v>
      </c>
      <c r="L174" s="203">
        <f>IF(AND('Total income package'!$A$16=TRUE,E174&lt;$J$2),$M$2,0)</f>
        <v>0</v>
      </c>
      <c r="M174" s="179">
        <f>IF(AND('Total income package'!$A$16=TRUE,E174&lt;$L$2),$P$2,0)</f>
        <v>955.5</v>
      </c>
      <c r="N174" s="204">
        <f t="shared" si="25"/>
        <v>955.5</v>
      </c>
    </row>
    <row r="175" spans="1:14" x14ac:dyDescent="0.25">
      <c r="A175" s="105">
        <v>83000</v>
      </c>
      <c r="B175" s="4">
        <f t="shared" si="26"/>
        <v>6916.666666666667</v>
      </c>
      <c r="C175" s="4">
        <f>'Total income package'!$D$80</f>
        <v>0</v>
      </c>
      <c r="D175" s="4">
        <f t="shared" si="20"/>
        <v>6916.666666666667</v>
      </c>
      <c r="E175" s="4">
        <f t="shared" si="21"/>
        <v>6707.666666666667</v>
      </c>
      <c r="F175" t="str">
        <f t="shared" si="22"/>
        <v>No</v>
      </c>
      <c r="G175" t="str">
        <f t="shared" si="23"/>
        <v>No</v>
      </c>
      <c r="I175" t="str">
        <f t="shared" si="24"/>
        <v>No</v>
      </c>
      <c r="J175" t="str">
        <f t="shared" si="18"/>
        <v>No</v>
      </c>
      <c r="K175" t="str">
        <f t="shared" si="19"/>
        <v>Yes</v>
      </c>
      <c r="L175" s="203">
        <f>IF(AND('Total income package'!$A$16=TRUE,E175&lt;$J$2),$M$2,0)</f>
        <v>0</v>
      </c>
      <c r="M175" s="179">
        <f>IF(AND('Total income package'!$A$16=TRUE,E175&lt;$L$2),$P$2,0)</f>
        <v>955.5</v>
      </c>
      <c r="N175" s="204">
        <f t="shared" si="25"/>
        <v>955.5</v>
      </c>
    </row>
    <row r="176" spans="1:14" x14ac:dyDescent="0.25">
      <c r="A176" s="105">
        <v>83500</v>
      </c>
      <c r="B176" s="4">
        <f t="shared" si="26"/>
        <v>6958.333333333333</v>
      </c>
      <c r="C176" s="4">
        <f>'Total income package'!$D$80</f>
        <v>0</v>
      </c>
      <c r="D176" s="4">
        <f t="shared" si="20"/>
        <v>6958.333333333333</v>
      </c>
      <c r="E176" s="4">
        <f t="shared" si="21"/>
        <v>6749.333333333333</v>
      </c>
      <c r="F176" t="str">
        <f t="shared" si="22"/>
        <v>No</v>
      </c>
      <c r="G176" t="str">
        <f t="shared" si="23"/>
        <v>No</v>
      </c>
      <c r="I176" t="str">
        <f t="shared" si="24"/>
        <v>No</v>
      </c>
      <c r="J176" t="str">
        <f t="shared" si="18"/>
        <v>No</v>
      </c>
      <c r="K176" t="str">
        <f t="shared" si="19"/>
        <v>Yes</v>
      </c>
      <c r="L176" s="203">
        <f>IF(AND('Total income package'!$A$16=TRUE,E176&lt;$J$2),$M$2,0)</f>
        <v>0</v>
      </c>
      <c r="M176" s="179">
        <f>IF(AND('Total income package'!$A$16=TRUE,E176&lt;$L$2),$P$2,0)</f>
        <v>955.5</v>
      </c>
      <c r="N176" s="204">
        <f t="shared" si="25"/>
        <v>955.5</v>
      </c>
    </row>
    <row r="177" spans="1:14" x14ac:dyDescent="0.25">
      <c r="A177" s="105">
        <v>84000</v>
      </c>
      <c r="B177" s="4">
        <f t="shared" si="26"/>
        <v>7000</v>
      </c>
      <c r="C177" s="4">
        <f>'Total income package'!$D$80</f>
        <v>0</v>
      </c>
      <c r="D177" s="4">
        <f t="shared" si="20"/>
        <v>7000</v>
      </c>
      <c r="E177" s="4">
        <f t="shared" si="21"/>
        <v>6791</v>
      </c>
      <c r="F177" t="str">
        <f t="shared" si="22"/>
        <v>No</v>
      </c>
      <c r="G177" t="str">
        <f t="shared" si="23"/>
        <v>No</v>
      </c>
      <c r="I177" t="str">
        <f t="shared" si="24"/>
        <v>No</v>
      </c>
      <c r="J177" t="str">
        <f t="shared" si="18"/>
        <v>No</v>
      </c>
      <c r="K177" t="str">
        <f t="shared" si="19"/>
        <v>Yes</v>
      </c>
      <c r="L177" s="203">
        <f>IF(AND('Total income package'!$A$16=TRUE,E177&lt;$J$2),$M$2,0)</f>
        <v>0</v>
      </c>
      <c r="M177" s="179">
        <f>IF(AND('Total income package'!$A$16=TRUE,E177&lt;$L$2),$P$2,0)</f>
        <v>955.5</v>
      </c>
      <c r="N177" s="204">
        <f t="shared" si="25"/>
        <v>955.5</v>
      </c>
    </row>
    <row r="178" spans="1:14" x14ac:dyDescent="0.25">
      <c r="A178" s="105">
        <v>84500</v>
      </c>
      <c r="B178" s="4">
        <f t="shared" si="26"/>
        <v>7041.666666666667</v>
      </c>
      <c r="C178" s="4">
        <f>'Total income package'!$D$80</f>
        <v>0</v>
      </c>
      <c r="D178" s="4">
        <f t="shared" si="20"/>
        <v>7041.666666666667</v>
      </c>
      <c r="E178" s="4">
        <f t="shared" si="21"/>
        <v>6832.666666666667</v>
      </c>
      <c r="F178" t="str">
        <f t="shared" si="22"/>
        <v>No</v>
      </c>
      <c r="G178" t="str">
        <f t="shared" si="23"/>
        <v>No</v>
      </c>
      <c r="I178" t="str">
        <f t="shared" si="24"/>
        <v>No</v>
      </c>
      <c r="J178" t="str">
        <f t="shared" si="18"/>
        <v>No</v>
      </c>
      <c r="K178" t="str">
        <f t="shared" si="19"/>
        <v>Yes</v>
      </c>
      <c r="L178" s="203">
        <f>IF(AND('Total income package'!$A$16=TRUE,E178&lt;$J$2),$M$2,0)</f>
        <v>0</v>
      </c>
      <c r="M178" s="179">
        <f>IF(AND('Total income package'!$A$16=TRUE,E178&lt;$L$2),$P$2,0)</f>
        <v>955.5</v>
      </c>
      <c r="N178" s="204">
        <f t="shared" si="25"/>
        <v>955.5</v>
      </c>
    </row>
    <row r="179" spans="1:14" x14ac:dyDescent="0.25">
      <c r="A179" s="105">
        <v>85000</v>
      </c>
      <c r="B179" s="4">
        <f t="shared" si="26"/>
        <v>7083.333333333333</v>
      </c>
      <c r="C179" s="4">
        <f>'Total income package'!$D$80</f>
        <v>0</v>
      </c>
      <c r="D179" s="4">
        <f t="shared" si="20"/>
        <v>7083.333333333333</v>
      </c>
      <c r="E179" s="4">
        <f t="shared" si="21"/>
        <v>6874.333333333333</v>
      </c>
      <c r="F179" t="str">
        <f t="shared" si="22"/>
        <v>No</v>
      </c>
      <c r="G179" t="str">
        <f t="shared" si="23"/>
        <v>No</v>
      </c>
      <c r="I179" t="str">
        <f t="shared" si="24"/>
        <v>No</v>
      </c>
      <c r="J179" t="str">
        <f t="shared" si="18"/>
        <v>No</v>
      </c>
      <c r="K179" t="str">
        <f t="shared" si="19"/>
        <v>Yes</v>
      </c>
      <c r="L179" s="203">
        <f>IF(AND('Total income package'!$A$16=TRUE,E179&lt;$J$2),$M$2,0)</f>
        <v>0</v>
      </c>
      <c r="M179" s="179">
        <f>IF(AND('Total income package'!$A$16=TRUE,E179&lt;$L$2),$P$2,0)</f>
        <v>955.5</v>
      </c>
      <c r="N179" s="204">
        <f t="shared" si="25"/>
        <v>955.5</v>
      </c>
    </row>
    <row r="180" spans="1:14" x14ac:dyDescent="0.25">
      <c r="A180" s="105">
        <v>85500</v>
      </c>
      <c r="B180" s="4">
        <f t="shared" si="26"/>
        <v>7125</v>
      </c>
      <c r="C180" s="4">
        <f>'Total income package'!$D$80</f>
        <v>0</v>
      </c>
      <c r="D180" s="4">
        <f t="shared" si="20"/>
        <v>7125</v>
      </c>
      <c r="E180" s="4">
        <f t="shared" si="21"/>
        <v>6916</v>
      </c>
      <c r="F180" t="str">
        <f t="shared" si="22"/>
        <v>No</v>
      </c>
      <c r="G180" t="str">
        <f t="shared" si="23"/>
        <v>No</v>
      </c>
      <c r="I180" t="str">
        <f t="shared" si="24"/>
        <v>No</v>
      </c>
      <c r="J180" t="str">
        <f t="shared" si="18"/>
        <v>No</v>
      </c>
      <c r="K180" t="str">
        <f t="shared" si="19"/>
        <v>Yes</v>
      </c>
      <c r="L180" s="203">
        <f>IF(AND('Total income package'!$A$16=TRUE,E180&lt;$J$2),$M$2,0)</f>
        <v>0</v>
      </c>
      <c r="M180" s="179">
        <f>IF(AND('Total income package'!$A$16=TRUE,E180&lt;$L$2),$P$2,0)</f>
        <v>955.5</v>
      </c>
      <c r="N180" s="204">
        <f t="shared" si="25"/>
        <v>955.5</v>
      </c>
    </row>
    <row r="181" spans="1:14" x14ac:dyDescent="0.25">
      <c r="A181" s="105">
        <v>86000</v>
      </c>
      <c r="B181" s="4">
        <f t="shared" si="26"/>
        <v>7166.666666666667</v>
      </c>
      <c r="C181" s="4">
        <f>'Total income package'!$D$80</f>
        <v>0</v>
      </c>
      <c r="D181" s="4">
        <f t="shared" si="20"/>
        <v>7166.666666666667</v>
      </c>
      <c r="E181" s="4">
        <f t="shared" si="21"/>
        <v>6957.666666666667</v>
      </c>
      <c r="F181" t="str">
        <f t="shared" si="22"/>
        <v>No</v>
      </c>
      <c r="G181" t="str">
        <f t="shared" si="23"/>
        <v>No</v>
      </c>
      <c r="I181" t="str">
        <f t="shared" si="24"/>
        <v>No</v>
      </c>
      <c r="J181" t="str">
        <f t="shared" si="18"/>
        <v>No</v>
      </c>
      <c r="K181" t="str">
        <f t="shared" si="19"/>
        <v>Yes</v>
      </c>
      <c r="L181" s="203">
        <f>IF(AND('Total income package'!$A$16=TRUE,E181&lt;$J$2),$M$2,0)</f>
        <v>0</v>
      </c>
      <c r="M181" s="179">
        <f>IF(AND('Total income package'!$A$16=TRUE,E181&lt;$L$2),$P$2,0)</f>
        <v>955.5</v>
      </c>
      <c r="N181" s="204">
        <f t="shared" si="25"/>
        <v>955.5</v>
      </c>
    </row>
    <row r="182" spans="1:14" x14ac:dyDescent="0.25">
      <c r="A182" s="105">
        <v>86500</v>
      </c>
      <c r="B182" s="4">
        <f t="shared" si="26"/>
        <v>7208.333333333333</v>
      </c>
      <c r="C182" s="4">
        <f>'Total income package'!$D$80</f>
        <v>0</v>
      </c>
      <c r="D182" s="4">
        <f t="shared" si="20"/>
        <v>7208.333333333333</v>
      </c>
      <c r="E182" s="4">
        <f t="shared" si="21"/>
        <v>6999.333333333333</v>
      </c>
      <c r="F182" t="str">
        <f t="shared" si="22"/>
        <v>No</v>
      </c>
      <c r="G182" t="str">
        <f t="shared" si="23"/>
        <v>No</v>
      </c>
      <c r="I182" t="str">
        <f t="shared" si="24"/>
        <v>No</v>
      </c>
      <c r="J182" t="str">
        <f t="shared" si="18"/>
        <v>No</v>
      </c>
      <c r="K182" t="str">
        <f t="shared" si="19"/>
        <v>Yes</v>
      </c>
      <c r="L182" s="203">
        <f>IF(AND('Total income package'!$A$16=TRUE,E182&lt;$J$2),$M$2,0)</f>
        <v>0</v>
      </c>
      <c r="M182" s="179">
        <f>IF(AND('Total income package'!$A$16=TRUE,E182&lt;$L$2),$P$2,0)</f>
        <v>955.5</v>
      </c>
      <c r="N182" s="204">
        <f t="shared" si="25"/>
        <v>955.5</v>
      </c>
    </row>
    <row r="183" spans="1:14" x14ac:dyDescent="0.25">
      <c r="A183" s="105">
        <v>87000</v>
      </c>
      <c r="B183" s="4">
        <f t="shared" si="26"/>
        <v>7250</v>
      </c>
      <c r="C183" s="4">
        <f>'Total income package'!$D$80</f>
        <v>0</v>
      </c>
      <c r="D183" s="4">
        <f t="shared" si="20"/>
        <v>7250</v>
      </c>
      <c r="E183" s="4">
        <f t="shared" si="21"/>
        <v>7041</v>
      </c>
      <c r="F183" t="str">
        <f t="shared" si="22"/>
        <v>No</v>
      </c>
      <c r="G183" t="str">
        <f t="shared" si="23"/>
        <v>No</v>
      </c>
      <c r="I183" t="str">
        <f t="shared" si="24"/>
        <v>No</v>
      </c>
      <c r="J183" t="str">
        <f t="shared" si="18"/>
        <v>No</v>
      </c>
      <c r="K183" t="str">
        <f t="shared" si="19"/>
        <v>Yes</v>
      </c>
      <c r="L183" s="203">
        <f>IF(AND('Total income package'!$A$16=TRUE,E183&lt;$J$2),$M$2,0)</f>
        <v>0</v>
      </c>
      <c r="M183" s="179">
        <f>IF(AND('Total income package'!$A$16=TRUE,E183&lt;$L$2),$P$2,0)</f>
        <v>955.5</v>
      </c>
      <c r="N183" s="204">
        <f t="shared" si="25"/>
        <v>955.5</v>
      </c>
    </row>
    <row r="184" spans="1:14" x14ac:dyDescent="0.25">
      <c r="A184" s="105">
        <v>87500</v>
      </c>
      <c r="B184" s="4">
        <f t="shared" si="26"/>
        <v>7291.666666666667</v>
      </c>
      <c r="C184" s="4">
        <f>'Total income package'!$D$80</f>
        <v>0</v>
      </c>
      <c r="D184" s="4">
        <f t="shared" si="20"/>
        <v>7291.666666666667</v>
      </c>
      <c r="E184" s="4">
        <f t="shared" si="21"/>
        <v>7082.666666666667</v>
      </c>
      <c r="F184" t="str">
        <f t="shared" si="22"/>
        <v>No</v>
      </c>
      <c r="G184" t="str">
        <f t="shared" si="23"/>
        <v>No</v>
      </c>
      <c r="I184" t="str">
        <f t="shared" si="24"/>
        <v>No</v>
      </c>
      <c r="J184" t="str">
        <f t="shared" si="18"/>
        <v>No</v>
      </c>
      <c r="K184" t="str">
        <f t="shared" si="19"/>
        <v>Yes</v>
      </c>
      <c r="L184" s="203">
        <f>IF(AND('Total income package'!$A$16=TRUE,E184&lt;$J$2),$M$2,0)</f>
        <v>0</v>
      </c>
      <c r="M184" s="179">
        <f>IF(AND('Total income package'!$A$16=TRUE,E184&lt;$L$2),$P$2,0)</f>
        <v>955.5</v>
      </c>
      <c r="N184" s="204">
        <f t="shared" si="25"/>
        <v>955.5</v>
      </c>
    </row>
    <row r="185" spans="1:14" x14ac:dyDescent="0.25">
      <c r="A185" s="105">
        <v>88000</v>
      </c>
      <c r="B185" s="4">
        <f t="shared" si="26"/>
        <v>7333.333333333333</v>
      </c>
      <c r="C185" s="4">
        <f>'Total income package'!$D$80</f>
        <v>0</v>
      </c>
      <c r="D185" s="4">
        <f t="shared" si="20"/>
        <v>7333.333333333333</v>
      </c>
      <c r="E185" s="4">
        <f t="shared" si="21"/>
        <v>7124.333333333333</v>
      </c>
      <c r="F185" t="str">
        <f t="shared" si="22"/>
        <v>No</v>
      </c>
      <c r="G185" t="str">
        <f t="shared" si="23"/>
        <v>No</v>
      </c>
      <c r="I185" t="str">
        <f t="shared" si="24"/>
        <v>No</v>
      </c>
      <c r="J185" t="str">
        <f t="shared" si="18"/>
        <v>No</v>
      </c>
      <c r="K185" t="str">
        <f t="shared" si="19"/>
        <v>Yes</v>
      </c>
      <c r="L185" s="203">
        <f>IF(AND('Total income package'!$A$16=TRUE,E185&lt;$J$2),$M$2,0)</f>
        <v>0</v>
      </c>
      <c r="M185" s="179">
        <f>IF(AND('Total income package'!$A$16=TRUE,E185&lt;$L$2),$P$2,0)</f>
        <v>955.5</v>
      </c>
      <c r="N185" s="204">
        <f t="shared" si="25"/>
        <v>955.5</v>
      </c>
    </row>
    <row r="186" spans="1:14" x14ac:dyDescent="0.25">
      <c r="A186" s="105">
        <v>88500</v>
      </c>
      <c r="B186" s="4">
        <f t="shared" si="26"/>
        <v>7375</v>
      </c>
      <c r="C186" s="4">
        <f>'Total income package'!$D$80</f>
        <v>0</v>
      </c>
      <c r="D186" s="4">
        <f t="shared" si="20"/>
        <v>7375</v>
      </c>
      <c r="E186" s="4">
        <f t="shared" si="21"/>
        <v>7166</v>
      </c>
      <c r="F186" t="str">
        <f t="shared" si="22"/>
        <v>No</v>
      </c>
      <c r="G186" t="str">
        <f t="shared" si="23"/>
        <v>No</v>
      </c>
      <c r="I186" t="str">
        <f t="shared" si="24"/>
        <v>No</v>
      </c>
      <c r="J186" t="str">
        <f t="shared" si="18"/>
        <v>No</v>
      </c>
      <c r="K186" t="str">
        <f t="shared" si="19"/>
        <v>Yes</v>
      </c>
      <c r="L186" s="203">
        <f>IF(AND('Total income package'!$A$16=TRUE,E186&lt;$J$2),$M$2,0)</f>
        <v>0</v>
      </c>
      <c r="M186" s="179">
        <f>IF(AND('Total income package'!$A$16=TRUE,E186&lt;$L$2),$P$2,0)</f>
        <v>955.5</v>
      </c>
      <c r="N186" s="204">
        <f t="shared" si="25"/>
        <v>955.5</v>
      </c>
    </row>
    <row r="187" spans="1:14" x14ac:dyDescent="0.25">
      <c r="A187" s="105">
        <v>89000</v>
      </c>
      <c r="B187" s="4">
        <f t="shared" si="26"/>
        <v>7416.666666666667</v>
      </c>
      <c r="C187" s="4">
        <f>'Total income package'!$D$80</f>
        <v>0</v>
      </c>
      <c r="D187" s="4">
        <f t="shared" si="20"/>
        <v>7416.666666666667</v>
      </c>
      <c r="E187" s="4">
        <f t="shared" si="21"/>
        <v>7207.666666666667</v>
      </c>
      <c r="F187" t="str">
        <f t="shared" si="22"/>
        <v>No</v>
      </c>
      <c r="G187" t="str">
        <f t="shared" si="23"/>
        <v>No</v>
      </c>
      <c r="I187" t="str">
        <f t="shared" si="24"/>
        <v>No</v>
      </c>
      <c r="J187" t="str">
        <f t="shared" si="18"/>
        <v>No</v>
      </c>
      <c r="K187" t="str">
        <f t="shared" si="19"/>
        <v>Yes</v>
      </c>
      <c r="L187" s="203">
        <f>IF(AND('Total income package'!$A$16=TRUE,E187&lt;$J$2),$M$2,0)</f>
        <v>0</v>
      </c>
      <c r="M187" s="179">
        <f>IF(AND('Total income package'!$A$16=TRUE,E187&lt;$L$2),$P$2,0)</f>
        <v>955.5</v>
      </c>
      <c r="N187" s="204">
        <f t="shared" si="25"/>
        <v>955.5</v>
      </c>
    </row>
    <row r="188" spans="1:14" x14ac:dyDescent="0.25">
      <c r="A188" s="105">
        <v>89500</v>
      </c>
      <c r="B188" s="4">
        <f t="shared" si="26"/>
        <v>7458.333333333333</v>
      </c>
      <c r="C188" s="4">
        <f>'Total income package'!$D$80</f>
        <v>0</v>
      </c>
      <c r="D188" s="4">
        <f t="shared" si="20"/>
        <v>7458.333333333333</v>
      </c>
      <c r="E188" s="4">
        <f t="shared" si="21"/>
        <v>7249.333333333333</v>
      </c>
      <c r="F188" t="str">
        <f t="shared" si="22"/>
        <v>No</v>
      </c>
      <c r="G188" t="str">
        <f t="shared" si="23"/>
        <v>No</v>
      </c>
      <c r="I188" t="str">
        <f t="shared" si="24"/>
        <v>No</v>
      </c>
      <c r="J188" t="str">
        <f t="shared" si="18"/>
        <v>No</v>
      </c>
      <c r="K188" t="str">
        <f t="shared" si="19"/>
        <v>Yes</v>
      </c>
      <c r="L188" s="203">
        <f>IF(AND('Total income package'!$A$16=TRUE,E188&lt;$J$2),$M$2,0)</f>
        <v>0</v>
      </c>
      <c r="M188" s="179">
        <f>IF(AND('Total income package'!$A$16=TRUE,E188&lt;$L$2),$P$2,0)</f>
        <v>955.5</v>
      </c>
      <c r="N188" s="204">
        <f t="shared" si="25"/>
        <v>955.5</v>
      </c>
    </row>
    <row r="189" spans="1:14" x14ac:dyDescent="0.25">
      <c r="A189" s="105">
        <v>90000</v>
      </c>
      <c r="B189" s="4">
        <f t="shared" si="26"/>
        <v>7500</v>
      </c>
      <c r="C189" s="4">
        <f>'Total income package'!$D$80</f>
        <v>0</v>
      </c>
      <c r="D189" s="4">
        <f t="shared" si="20"/>
        <v>7500</v>
      </c>
      <c r="E189" s="4">
        <f t="shared" si="21"/>
        <v>7291</v>
      </c>
      <c r="F189" t="str">
        <f t="shared" si="22"/>
        <v>No</v>
      </c>
      <c r="G189" t="str">
        <f t="shared" si="23"/>
        <v>No</v>
      </c>
      <c r="I189" t="str">
        <f t="shared" si="24"/>
        <v>No</v>
      </c>
      <c r="J189" t="str">
        <f t="shared" si="18"/>
        <v>No</v>
      </c>
      <c r="K189" t="str">
        <f t="shared" si="19"/>
        <v>Yes</v>
      </c>
      <c r="L189" s="203">
        <f>IF(AND('Total income package'!$A$16=TRUE,E189&lt;$J$2),$M$2,0)</f>
        <v>0</v>
      </c>
      <c r="M189" s="179">
        <f>IF(AND('Total income package'!$A$16=TRUE,E189&lt;$L$2),$P$2,0)</f>
        <v>955.5</v>
      </c>
      <c r="N189" s="204">
        <f t="shared" si="25"/>
        <v>955.5</v>
      </c>
    </row>
    <row r="190" spans="1:14" x14ac:dyDescent="0.25">
      <c r="A190" s="105">
        <v>90500</v>
      </c>
      <c r="B190" s="4">
        <f t="shared" si="26"/>
        <v>7541.666666666667</v>
      </c>
      <c r="C190" s="4">
        <f>'Total income package'!$D$80</f>
        <v>0</v>
      </c>
      <c r="D190" s="4">
        <f t="shared" si="20"/>
        <v>7541.666666666667</v>
      </c>
      <c r="E190" s="4">
        <f t="shared" si="21"/>
        <v>7332.666666666667</v>
      </c>
      <c r="F190" t="str">
        <f t="shared" si="22"/>
        <v>No</v>
      </c>
      <c r="G190" t="str">
        <f t="shared" si="23"/>
        <v>No</v>
      </c>
      <c r="I190" t="str">
        <f t="shared" si="24"/>
        <v>No</v>
      </c>
      <c r="J190" t="str">
        <f t="shared" si="18"/>
        <v>No</v>
      </c>
      <c r="K190" t="str">
        <f t="shared" si="19"/>
        <v>Yes</v>
      </c>
      <c r="L190" s="203">
        <f>IF(AND('Total income package'!$A$16=TRUE,E190&lt;$J$2),$M$2,0)</f>
        <v>0</v>
      </c>
      <c r="M190" s="179">
        <f>IF(AND('Total income package'!$A$16=TRUE,E190&lt;$L$2),$P$2,0)</f>
        <v>955.5</v>
      </c>
      <c r="N190" s="204">
        <f t="shared" si="25"/>
        <v>955.5</v>
      </c>
    </row>
    <row r="191" spans="1:14" x14ac:dyDescent="0.25">
      <c r="A191" s="105">
        <v>91000</v>
      </c>
      <c r="B191" s="4">
        <f t="shared" si="26"/>
        <v>7583.333333333333</v>
      </c>
      <c r="C191" s="4">
        <f>'Total income package'!$D$80</f>
        <v>0</v>
      </c>
      <c r="D191" s="4">
        <f t="shared" si="20"/>
        <v>7583.333333333333</v>
      </c>
      <c r="E191" s="4">
        <f t="shared" si="21"/>
        <v>7374.333333333333</v>
      </c>
      <c r="F191" t="str">
        <f t="shared" si="22"/>
        <v>No</v>
      </c>
      <c r="G191" t="str">
        <f t="shared" si="23"/>
        <v>No</v>
      </c>
      <c r="I191" t="str">
        <f t="shared" si="24"/>
        <v>No</v>
      </c>
      <c r="J191" t="str">
        <f t="shared" si="18"/>
        <v>No</v>
      </c>
      <c r="K191" t="str">
        <f t="shared" si="19"/>
        <v>Yes</v>
      </c>
      <c r="L191" s="203">
        <f>IF(AND('Total income package'!$A$16=TRUE,E191&lt;$J$2),$M$2,0)</f>
        <v>0</v>
      </c>
      <c r="M191" s="179">
        <f>IF(AND('Total income package'!$A$16=TRUE,E191&lt;$L$2),$P$2,0)</f>
        <v>955.5</v>
      </c>
      <c r="N191" s="204">
        <f t="shared" si="25"/>
        <v>955.5</v>
      </c>
    </row>
    <row r="192" spans="1:14" x14ac:dyDescent="0.25">
      <c r="A192" s="105">
        <v>91500</v>
      </c>
      <c r="B192" s="4">
        <f t="shared" si="26"/>
        <v>7625</v>
      </c>
      <c r="C192" s="4">
        <f>'Total income package'!$D$80</f>
        <v>0</v>
      </c>
      <c r="D192" s="4">
        <f t="shared" si="20"/>
        <v>7625</v>
      </c>
      <c r="E192" s="4">
        <f t="shared" si="21"/>
        <v>7416</v>
      </c>
      <c r="F192" t="str">
        <f t="shared" si="22"/>
        <v>No</v>
      </c>
      <c r="G192" t="str">
        <f t="shared" si="23"/>
        <v>No</v>
      </c>
      <c r="I192" t="str">
        <f t="shared" si="24"/>
        <v>No</v>
      </c>
      <c r="J192" t="str">
        <f t="shared" si="18"/>
        <v>No</v>
      </c>
      <c r="K192" t="str">
        <f t="shared" si="19"/>
        <v>Yes</v>
      </c>
      <c r="L192" s="203">
        <f>IF(AND('Total income package'!$A$16=TRUE,E192&lt;$J$2),$M$2,0)</f>
        <v>0</v>
      </c>
      <c r="M192" s="179">
        <f>IF(AND('Total income package'!$A$16=TRUE,E192&lt;$L$2),$P$2,0)</f>
        <v>955.5</v>
      </c>
      <c r="N192" s="204">
        <f t="shared" si="25"/>
        <v>955.5</v>
      </c>
    </row>
    <row r="193" spans="1:14" x14ac:dyDescent="0.25">
      <c r="A193" s="105">
        <v>92000</v>
      </c>
      <c r="B193" s="4">
        <f t="shared" si="26"/>
        <v>7666.666666666667</v>
      </c>
      <c r="C193" s="4">
        <f>'Total income package'!$D$80</f>
        <v>0</v>
      </c>
      <c r="D193" s="4">
        <f t="shared" si="20"/>
        <v>7666.666666666667</v>
      </c>
      <c r="E193" s="4">
        <f t="shared" si="21"/>
        <v>7457.666666666667</v>
      </c>
      <c r="F193" t="str">
        <f t="shared" si="22"/>
        <v>No</v>
      </c>
      <c r="G193" t="str">
        <f t="shared" si="23"/>
        <v>No</v>
      </c>
      <c r="I193" t="str">
        <f t="shared" si="24"/>
        <v>No</v>
      </c>
      <c r="J193" t="str">
        <f t="shared" si="18"/>
        <v>No</v>
      </c>
      <c r="K193" t="str">
        <f t="shared" si="19"/>
        <v>Yes</v>
      </c>
      <c r="L193" s="203">
        <f>IF(AND('Total income package'!$A$16=TRUE,E193&lt;$J$2),$M$2,0)</f>
        <v>0</v>
      </c>
      <c r="M193" s="179">
        <f>IF(AND('Total income package'!$A$16=TRUE,E193&lt;$L$2),$P$2,0)</f>
        <v>955.5</v>
      </c>
      <c r="N193" s="204">
        <f t="shared" si="25"/>
        <v>955.5</v>
      </c>
    </row>
    <row r="194" spans="1:14" x14ac:dyDescent="0.25">
      <c r="A194" s="105">
        <v>92500</v>
      </c>
      <c r="B194" s="4">
        <f t="shared" si="26"/>
        <v>7708.333333333333</v>
      </c>
      <c r="C194" s="4">
        <f>'Total income package'!$D$80</f>
        <v>0</v>
      </c>
      <c r="D194" s="4">
        <f t="shared" si="20"/>
        <v>7708.333333333333</v>
      </c>
      <c r="E194" s="4">
        <f t="shared" si="21"/>
        <v>7499.333333333333</v>
      </c>
      <c r="F194" t="str">
        <f t="shared" si="22"/>
        <v>No</v>
      </c>
      <c r="G194" t="str">
        <f t="shared" si="23"/>
        <v>No</v>
      </c>
      <c r="I194" t="str">
        <f t="shared" si="24"/>
        <v>No</v>
      </c>
      <c r="J194" t="str">
        <f t="shared" si="18"/>
        <v>No</v>
      </c>
      <c r="K194" t="str">
        <f t="shared" si="19"/>
        <v>Yes</v>
      </c>
      <c r="L194" s="203">
        <f>IF(AND('Total income package'!$A$16=TRUE,E194&lt;$J$2),$M$2,0)</f>
        <v>0</v>
      </c>
      <c r="M194" s="179">
        <f>IF(AND('Total income package'!$A$16=TRUE,E194&lt;$L$2),$P$2,0)</f>
        <v>955.5</v>
      </c>
      <c r="N194" s="204">
        <f t="shared" si="25"/>
        <v>955.5</v>
      </c>
    </row>
    <row r="195" spans="1:14" x14ac:dyDescent="0.25">
      <c r="A195" s="105">
        <v>93000</v>
      </c>
      <c r="B195" s="4">
        <f t="shared" si="26"/>
        <v>7750</v>
      </c>
      <c r="C195" s="4">
        <f>'Total income package'!$D$80</f>
        <v>0</v>
      </c>
      <c r="D195" s="4">
        <f t="shared" si="20"/>
        <v>7750</v>
      </c>
      <c r="E195" s="4">
        <f t="shared" si="21"/>
        <v>7541</v>
      </c>
      <c r="F195" t="str">
        <f t="shared" si="22"/>
        <v>No</v>
      </c>
      <c r="G195" t="str">
        <f t="shared" si="23"/>
        <v>No</v>
      </c>
      <c r="I195" t="str">
        <f t="shared" si="24"/>
        <v>No</v>
      </c>
      <c r="J195" t="str">
        <f t="shared" si="18"/>
        <v>No</v>
      </c>
      <c r="K195" t="str">
        <f t="shared" si="19"/>
        <v>Yes</v>
      </c>
      <c r="L195" s="203">
        <f>IF(AND('Total income package'!$A$16=TRUE,E195&lt;$J$2),$M$2,0)</f>
        <v>0</v>
      </c>
      <c r="M195" s="179">
        <f>IF(AND('Total income package'!$A$16=TRUE,E195&lt;$L$2),$P$2,0)</f>
        <v>955.5</v>
      </c>
      <c r="N195" s="204">
        <f t="shared" si="25"/>
        <v>955.5</v>
      </c>
    </row>
    <row r="196" spans="1:14" x14ac:dyDescent="0.25">
      <c r="A196" s="105">
        <v>93500</v>
      </c>
      <c r="B196" s="4">
        <f t="shared" si="26"/>
        <v>7791.666666666667</v>
      </c>
      <c r="C196" s="4">
        <f>'Total income package'!$D$80</f>
        <v>0</v>
      </c>
      <c r="D196" s="4">
        <f t="shared" si="20"/>
        <v>7791.666666666667</v>
      </c>
      <c r="E196" s="4">
        <f t="shared" si="21"/>
        <v>7582.666666666667</v>
      </c>
      <c r="F196" t="str">
        <f t="shared" si="22"/>
        <v>No</v>
      </c>
      <c r="G196" t="str">
        <f t="shared" si="23"/>
        <v>No</v>
      </c>
      <c r="I196" t="str">
        <f t="shared" si="24"/>
        <v>No</v>
      </c>
      <c r="J196" t="str">
        <f t="shared" si="18"/>
        <v>No</v>
      </c>
      <c r="K196" t="str">
        <f t="shared" si="19"/>
        <v>Yes</v>
      </c>
      <c r="L196" s="203">
        <f>IF(AND('Total income package'!$A$16=TRUE,E196&lt;$J$2),$M$2,0)</f>
        <v>0</v>
      </c>
      <c r="M196" s="179">
        <f>IF(AND('Total income package'!$A$16=TRUE,E196&lt;$L$2),$P$2,0)</f>
        <v>955.5</v>
      </c>
      <c r="N196" s="204">
        <f t="shared" si="25"/>
        <v>955.5</v>
      </c>
    </row>
    <row r="197" spans="1:14" x14ac:dyDescent="0.25">
      <c r="A197" s="105">
        <v>94000</v>
      </c>
      <c r="B197" s="4">
        <f t="shared" si="26"/>
        <v>7833.333333333333</v>
      </c>
      <c r="C197" s="4">
        <f>'Total income package'!$D$80</f>
        <v>0</v>
      </c>
      <c r="D197" s="4">
        <f t="shared" si="20"/>
        <v>7833.333333333333</v>
      </c>
      <c r="E197" s="4">
        <f t="shared" si="21"/>
        <v>7624.333333333333</v>
      </c>
      <c r="F197" t="str">
        <f t="shared" si="22"/>
        <v>No</v>
      </c>
      <c r="G197" t="str">
        <f t="shared" si="23"/>
        <v>No</v>
      </c>
      <c r="I197" t="str">
        <f t="shared" si="24"/>
        <v>No</v>
      </c>
      <c r="J197" t="str">
        <f t="shared" si="18"/>
        <v>No</v>
      </c>
      <c r="K197" t="str">
        <f t="shared" si="19"/>
        <v>Yes</v>
      </c>
      <c r="L197" s="203">
        <f>IF(AND('Total income package'!$A$16=TRUE,E197&lt;$J$2),$M$2,0)</f>
        <v>0</v>
      </c>
      <c r="M197" s="179">
        <f>IF(AND('Total income package'!$A$16=TRUE,E197&lt;$L$2),$P$2,0)</f>
        <v>955.5</v>
      </c>
      <c r="N197" s="204">
        <f t="shared" si="25"/>
        <v>955.5</v>
      </c>
    </row>
    <row r="198" spans="1:14" x14ac:dyDescent="0.25">
      <c r="A198" s="105">
        <v>94500</v>
      </c>
      <c r="B198" s="4">
        <f t="shared" si="26"/>
        <v>7875</v>
      </c>
      <c r="C198" s="4">
        <f>'Total income package'!$D$80</f>
        <v>0</v>
      </c>
      <c r="D198" s="4">
        <f t="shared" si="20"/>
        <v>7875</v>
      </c>
      <c r="E198" s="4">
        <f t="shared" si="21"/>
        <v>7666</v>
      </c>
      <c r="F198" t="str">
        <f t="shared" si="22"/>
        <v>No</v>
      </c>
      <c r="G198" t="str">
        <f t="shared" si="23"/>
        <v>No</v>
      </c>
      <c r="I198" t="str">
        <f t="shared" si="24"/>
        <v>No</v>
      </c>
      <c r="J198" t="str">
        <f t="shared" si="18"/>
        <v>No</v>
      </c>
      <c r="K198" t="str">
        <f t="shared" si="19"/>
        <v>Yes</v>
      </c>
      <c r="L198" s="203">
        <f>IF(AND('Total income package'!$A$16=TRUE,E198&lt;$J$2),$M$2,0)</f>
        <v>0</v>
      </c>
      <c r="M198" s="179">
        <f>IF(AND('Total income package'!$A$16=TRUE,E198&lt;$L$2),$P$2,0)</f>
        <v>955.5</v>
      </c>
      <c r="N198" s="204">
        <f t="shared" si="25"/>
        <v>955.5</v>
      </c>
    </row>
    <row r="199" spans="1:14" x14ac:dyDescent="0.25">
      <c r="A199" s="105">
        <v>95000</v>
      </c>
      <c r="B199" s="4">
        <f t="shared" si="26"/>
        <v>7916.666666666667</v>
      </c>
      <c r="C199" s="4">
        <f>'Total income package'!$D$80</f>
        <v>0</v>
      </c>
      <c r="D199" s="4">
        <f t="shared" si="20"/>
        <v>7916.666666666667</v>
      </c>
      <c r="E199" s="4">
        <f t="shared" si="21"/>
        <v>7707.666666666667</v>
      </c>
      <c r="F199" t="str">
        <f t="shared" si="22"/>
        <v>No</v>
      </c>
      <c r="G199" t="str">
        <f t="shared" si="23"/>
        <v>No</v>
      </c>
      <c r="I199" t="str">
        <f t="shared" si="24"/>
        <v>No</v>
      </c>
      <c r="J199" t="str">
        <f t="shared" si="18"/>
        <v>No</v>
      </c>
      <c r="K199" t="str">
        <f t="shared" si="19"/>
        <v>Yes</v>
      </c>
      <c r="L199" s="203">
        <f>IF(AND('Total income package'!$A$16=TRUE,E199&lt;$J$2),$M$2,0)</f>
        <v>0</v>
      </c>
      <c r="M199" s="179">
        <f>IF(AND('Total income package'!$A$16=TRUE,E199&lt;$L$2),$P$2,0)</f>
        <v>955.5</v>
      </c>
      <c r="N199" s="204">
        <f t="shared" si="25"/>
        <v>955.5</v>
      </c>
    </row>
    <row r="200" spans="1:14" x14ac:dyDescent="0.25">
      <c r="A200" s="105">
        <v>95500</v>
      </c>
      <c r="B200" s="4">
        <f t="shared" si="26"/>
        <v>7958.333333333333</v>
      </c>
      <c r="C200" s="4">
        <f>'Total income package'!$D$80</f>
        <v>0</v>
      </c>
      <c r="D200" s="4">
        <f t="shared" si="20"/>
        <v>7958.333333333333</v>
      </c>
      <c r="E200" s="4">
        <f t="shared" si="21"/>
        <v>7749.333333333333</v>
      </c>
      <c r="F200" t="str">
        <f t="shared" si="22"/>
        <v>No</v>
      </c>
      <c r="G200" t="str">
        <f t="shared" si="23"/>
        <v>No</v>
      </c>
      <c r="I200" t="str">
        <f t="shared" si="24"/>
        <v>No</v>
      </c>
      <c r="J200" t="str">
        <f t="shared" si="18"/>
        <v>No</v>
      </c>
      <c r="K200" t="str">
        <f t="shared" si="19"/>
        <v>Yes</v>
      </c>
      <c r="L200" s="203">
        <f>IF(AND('Total income package'!$A$16=TRUE,E200&lt;$J$2),$M$2,0)</f>
        <v>0</v>
      </c>
      <c r="M200" s="179">
        <f>IF(AND('Total income package'!$A$16=TRUE,E200&lt;$L$2),$P$2,0)</f>
        <v>955.5</v>
      </c>
      <c r="N200" s="204">
        <f t="shared" si="25"/>
        <v>955.5</v>
      </c>
    </row>
    <row r="201" spans="1:14" x14ac:dyDescent="0.25">
      <c r="A201" s="105">
        <v>96000</v>
      </c>
      <c r="B201" s="4">
        <f t="shared" si="26"/>
        <v>8000</v>
      </c>
      <c r="C201" s="4">
        <f>'Total income package'!$D$80</f>
        <v>0</v>
      </c>
      <c r="D201" s="4">
        <f t="shared" si="20"/>
        <v>8000</v>
      </c>
      <c r="E201" s="4">
        <f t="shared" si="21"/>
        <v>7791</v>
      </c>
      <c r="F201" t="str">
        <f t="shared" si="22"/>
        <v>No</v>
      </c>
      <c r="G201" t="str">
        <f t="shared" si="23"/>
        <v>No</v>
      </c>
      <c r="I201" t="str">
        <f t="shared" si="24"/>
        <v>No</v>
      </c>
      <c r="J201" t="str">
        <f t="shared" ref="J201:J209" si="27">IF(E201&lt;$K$2,"Yes","No")</f>
        <v>No</v>
      </c>
      <c r="K201" t="str">
        <f t="shared" ref="K201:K209" si="28">IF(E201&lt;$L$2,"Yes","No")</f>
        <v>Yes</v>
      </c>
      <c r="L201" s="203">
        <f>IF(AND('Total income package'!$A$16=TRUE,E201&lt;$J$2),$M$2,0)</f>
        <v>0</v>
      </c>
      <c r="M201" s="179">
        <f>IF(AND('Total income package'!$A$16=TRUE,E201&lt;$L$2),$P$2,0)</f>
        <v>955.5</v>
      </c>
      <c r="N201" s="204">
        <f t="shared" si="25"/>
        <v>955.5</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7832.666666666667</v>
      </c>
      <c r="F202" t="str">
        <f t="shared" ref="F202:F209" si="31">IF(E202&lt;$I$2,"Yes","No")</f>
        <v>No</v>
      </c>
      <c r="G202" t="str">
        <f t="shared" ref="G202:G209" si="32">IF(E202&lt;$J$2,"Yes","No")</f>
        <v>No</v>
      </c>
      <c r="I202" t="str">
        <f t="shared" ref="I202:I214" si="33">IF($E$2&gt;0,"Yes","No")</f>
        <v>No</v>
      </c>
      <c r="J202" t="str">
        <f t="shared" si="27"/>
        <v>No</v>
      </c>
      <c r="K202" t="str">
        <f t="shared" si="28"/>
        <v>Yes</v>
      </c>
      <c r="L202" s="203">
        <f>IF(AND('Total income package'!$A$16=TRUE,E202&lt;$J$2),$M$2,0)</f>
        <v>0</v>
      </c>
      <c r="M202" s="179">
        <f>IF(AND('Total income package'!$A$16=TRUE,E202&lt;$L$2),$P$2,0)</f>
        <v>955.5</v>
      </c>
      <c r="N202" s="204">
        <f t="shared" ref="N202:N209" si="34">L202+M202</f>
        <v>955.5</v>
      </c>
    </row>
    <row r="203" spans="1:14" x14ac:dyDescent="0.25">
      <c r="A203" s="105">
        <v>97000</v>
      </c>
      <c r="B203" s="4">
        <f t="shared" ref="B203:B209" si="35">A203/12</f>
        <v>8083.333333333333</v>
      </c>
      <c r="C203" s="4">
        <f>'Total income package'!$D$80</f>
        <v>0</v>
      </c>
      <c r="D203" s="4">
        <f t="shared" si="29"/>
        <v>8083.333333333333</v>
      </c>
      <c r="E203" s="4">
        <f t="shared" si="30"/>
        <v>7874.333333333333</v>
      </c>
      <c r="F203" t="str">
        <f t="shared" si="31"/>
        <v>No</v>
      </c>
      <c r="G203" t="str">
        <f t="shared" si="32"/>
        <v>No</v>
      </c>
      <c r="I203" t="str">
        <f t="shared" si="33"/>
        <v>No</v>
      </c>
      <c r="J203" t="str">
        <f t="shared" si="27"/>
        <v>No</v>
      </c>
      <c r="K203" t="str">
        <f t="shared" si="28"/>
        <v>Yes</v>
      </c>
      <c r="L203" s="203">
        <f>IF(AND('Total income package'!$A$16=TRUE,E203&lt;$J$2),$M$2,0)</f>
        <v>0</v>
      </c>
      <c r="M203" s="179">
        <f>IF(AND('Total income package'!$A$16=TRUE,E203&lt;$L$2),$P$2,0)</f>
        <v>955.5</v>
      </c>
      <c r="N203" s="204">
        <f t="shared" si="34"/>
        <v>955.5</v>
      </c>
    </row>
    <row r="204" spans="1:14" x14ac:dyDescent="0.25">
      <c r="A204" s="105">
        <v>97500</v>
      </c>
      <c r="B204" s="4">
        <f t="shared" si="35"/>
        <v>8125</v>
      </c>
      <c r="C204" s="4">
        <f>'Total income package'!$D$80</f>
        <v>0</v>
      </c>
      <c r="D204" s="4">
        <f t="shared" si="29"/>
        <v>8125</v>
      </c>
      <c r="E204" s="4">
        <f t="shared" si="30"/>
        <v>7916</v>
      </c>
      <c r="F204" t="str">
        <f t="shared" si="31"/>
        <v>No</v>
      </c>
      <c r="G204" t="str">
        <f t="shared" si="32"/>
        <v>No</v>
      </c>
      <c r="I204" t="str">
        <f t="shared" si="33"/>
        <v>No</v>
      </c>
      <c r="J204" t="str">
        <f t="shared" si="27"/>
        <v>No</v>
      </c>
      <c r="K204" t="str">
        <f t="shared" si="28"/>
        <v>Yes</v>
      </c>
      <c r="L204" s="203">
        <f>IF(AND('Total income package'!$A$16=TRUE,E204&lt;$J$2),$M$2,0)</f>
        <v>0</v>
      </c>
      <c r="M204" s="179">
        <f>IF(AND('Total income package'!$A$16=TRUE,E204&lt;$L$2),$P$2,0)</f>
        <v>955.5</v>
      </c>
      <c r="N204" s="204">
        <f t="shared" si="34"/>
        <v>955.5</v>
      </c>
    </row>
    <row r="205" spans="1:14" x14ac:dyDescent="0.25">
      <c r="A205" s="105">
        <v>98000</v>
      </c>
      <c r="B205" s="4">
        <f t="shared" si="35"/>
        <v>8166.666666666667</v>
      </c>
      <c r="C205" s="4">
        <f>'Total income package'!$D$80</f>
        <v>0</v>
      </c>
      <c r="D205" s="4">
        <f t="shared" si="29"/>
        <v>8166.666666666667</v>
      </c>
      <c r="E205" s="4">
        <f t="shared" si="30"/>
        <v>7957.666666666667</v>
      </c>
      <c r="F205" t="str">
        <f t="shared" si="31"/>
        <v>No</v>
      </c>
      <c r="G205" t="str">
        <f t="shared" si="32"/>
        <v>No</v>
      </c>
      <c r="I205" t="str">
        <f t="shared" si="33"/>
        <v>No</v>
      </c>
      <c r="J205" t="str">
        <f t="shared" si="27"/>
        <v>No</v>
      </c>
      <c r="K205" t="str">
        <f t="shared" si="28"/>
        <v>Yes</v>
      </c>
      <c r="L205" s="203">
        <f>IF(AND('Total income package'!$A$16=TRUE,E205&lt;$J$2),$M$2,0)</f>
        <v>0</v>
      </c>
      <c r="M205" s="179">
        <f>IF(AND('Total income package'!$A$16=TRUE,E205&lt;$L$2),$P$2,0)</f>
        <v>955.5</v>
      </c>
      <c r="N205" s="204">
        <f t="shared" si="34"/>
        <v>955.5</v>
      </c>
    </row>
    <row r="206" spans="1:14" x14ac:dyDescent="0.25">
      <c r="A206" s="105">
        <v>98500</v>
      </c>
      <c r="B206" s="4">
        <f t="shared" si="35"/>
        <v>8208.3333333333339</v>
      </c>
      <c r="C206" s="4">
        <f>'Total income package'!$D$80</f>
        <v>0</v>
      </c>
      <c r="D206" s="4">
        <f t="shared" si="29"/>
        <v>8208.3333333333339</v>
      </c>
      <c r="E206" s="4">
        <f t="shared" si="30"/>
        <v>7999.3333333333339</v>
      </c>
      <c r="F206" t="str">
        <f t="shared" si="31"/>
        <v>No</v>
      </c>
      <c r="G206" t="str">
        <f t="shared" si="32"/>
        <v>No</v>
      </c>
      <c r="I206" t="str">
        <f t="shared" si="33"/>
        <v>No</v>
      </c>
      <c r="J206" t="str">
        <f t="shared" si="27"/>
        <v>No</v>
      </c>
      <c r="K206" t="str">
        <f t="shared" si="28"/>
        <v>Yes</v>
      </c>
      <c r="L206" s="203">
        <f>IF(AND('Total income package'!$A$16=TRUE,E206&lt;$J$2),$M$2,0)</f>
        <v>0</v>
      </c>
      <c r="M206" s="179">
        <f>IF(AND('Total income package'!$A$16=TRUE,E206&lt;$L$2),$P$2,0)</f>
        <v>955.5</v>
      </c>
      <c r="N206" s="204">
        <f t="shared" si="34"/>
        <v>955.5</v>
      </c>
    </row>
    <row r="207" spans="1:14" x14ac:dyDescent="0.25">
      <c r="A207" s="105">
        <v>99000</v>
      </c>
      <c r="B207" s="4">
        <f t="shared" si="35"/>
        <v>8250</v>
      </c>
      <c r="C207" s="4">
        <f>'Total income package'!$D$80</f>
        <v>0</v>
      </c>
      <c r="D207" s="4">
        <f t="shared" si="29"/>
        <v>8250</v>
      </c>
      <c r="E207" s="4">
        <f t="shared" si="30"/>
        <v>8041</v>
      </c>
      <c r="F207" t="str">
        <f t="shared" si="31"/>
        <v>No</v>
      </c>
      <c r="G207" t="str">
        <f t="shared" si="32"/>
        <v>No</v>
      </c>
      <c r="I207" t="str">
        <f t="shared" si="33"/>
        <v>No</v>
      </c>
      <c r="J207" t="str">
        <f t="shared" si="27"/>
        <v>No</v>
      </c>
      <c r="K207" t="str">
        <f t="shared" si="28"/>
        <v>Yes</v>
      </c>
      <c r="L207" s="203">
        <f>IF(AND('Total income package'!$A$16=TRUE,E207&lt;$J$2),$M$2,0)</f>
        <v>0</v>
      </c>
      <c r="M207" s="179">
        <f>IF(AND('Total income package'!$A$16=TRUE,E207&lt;$L$2),$P$2,0)</f>
        <v>955.5</v>
      </c>
      <c r="N207" s="204">
        <f t="shared" si="34"/>
        <v>955.5</v>
      </c>
    </row>
    <row r="208" spans="1:14" x14ac:dyDescent="0.25">
      <c r="A208" s="105">
        <v>99500</v>
      </c>
      <c r="B208" s="4">
        <f t="shared" si="35"/>
        <v>8291.6666666666661</v>
      </c>
      <c r="C208" s="4">
        <f>'Total income package'!$D$80</f>
        <v>0</v>
      </c>
      <c r="D208" s="4">
        <f t="shared" si="29"/>
        <v>8291.6666666666661</v>
      </c>
      <c r="E208" s="4">
        <f t="shared" si="30"/>
        <v>8082.6666666666661</v>
      </c>
      <c r="F208" t="str">
        <f t="shared" si="31"/>
        <v>No</v>
      </c>
      <c r="G208" t="str">
        <f t="shared" si="32"/>
        <v>No</v>
      </c>
      <c r="I208" t="str">
        <f t="shared" si="33"/>
        <v>No</v>
      </c>
      <c r="J208" t="str">
        <f t="shared" si="27"/>
        <v>No</v>
      </c>
      <c r="K208" t="str">
        <f t="shared" si="28"/>
        <v>Yes</v>
      </c>
      <c r="L208" s="203">
        <f>IF(AND('Total income package'!$A$16=TRUE,E208&lt;$J$2),$M$2,0)</f>
        <v>0</v>
      </c>
      <c r="M208" s="179">
        <f>IF(AND('Total income package'!$A$16=TRUE,E208&lt;$L$2),$P$2,0)</f>
        <v>955.5</v>
      </c>
      <c r="N208" s="204">
        <f t="shared" si="34"/>
        <v>955.5</v>
      </c>
    </row>
    <row r="209" spans="1:15" x14ac:dyDescent="0.25">
      <c r="A209" s="105">
        <v>100000</v>
      </c>
      <c r="B209" s="4">
        <f t="shared" si="35"/>
        <v>8333.3333333333339</v>
      </c>
      <c r="C209" s="4">
        <f>'Total income package'!$D$80</f>
        <v>0</v>
      </c>
      <c r="D209" s="4">
        <f t="shared" si="29"/>
        <v>8333.3333333333339</v>
      </c>
      <c r="E209" s="4">
        <f t="shared" si="30"/>
        <v>8124.3333333333339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500</v>
      </c>
      <c r="C212" s="4">
        <f>'Total income package'!$D$80</f>
        <v>0</v>
      </c>
      <c r="D212" s="4">
        <f t="shared" si="29"/>
        <v>500</v>
      </c>
      <c r="E212" s="4">
        <f>IF(B212-$H$2&lt;0,0,B212-$H$2)</f>
        <v>291</v>
      </c>
      <c r="F212" t="str">
        <f>IF(E212&lt;$I$2,"Yes","No")</f>
        <v>Yes</v>
      </c>
      <c r="G212" t="str">
        <f>IF(E212&lt;$J$2,"Yes","No")</f>
        <v>Yes</v>
      </c>
      <c r="I212" t="str">
        <f t="shared" si="33"/>
        <v>No</v>
      </c>
      <c r="J212" t="str">
        <f>IF(E212&lt;$K$2,"Yes","No")</f>
        <v>Yes</v>
      </c>
      <c r="K212" t="str">
        <f>IF(E212&lt;$L$2,"Yes","No")</f>
        <v>Yes</v>
      </c>
      <c r="L212" s="203">
        <f>IF(AND('Total income package'!$A$16=TRUE,E212&lt;$J$2),$M$2,0)</f>
        <v>2069</v>
      </c>
      <c r="M212" s="179">
        <f>IF(AND('Total income package'!$A$16=TRUE,E212&lt;$L$2),$P$2,0)</f>
        <v>955.5</v>
      </c>
      <c r="N212" s="204">
        <f>L212+M212</f>
        <v>3024.5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500</v>
      </c>
      <c r="C214" s="4">
        <f>'Total income package'!$D$80</f>
        <v>0</v>
      </c>
      <c r="D214" s="4">
        <f t="shared" si="29"/>
        <v>500</v>
      </c>
      <c r="E214" s="4">
        <f>IF(B214-$H$2&lt;0,0,B214-$H$2)</f>
        <v>291</v>
      </c>
      <c r="F214" t="str">
        <f>IF(E214&lt;$I$2,"Yes","No")</f>
        <v>Yes</v>
      </c>
      <c r="G214" t="str">
        <f>IF(E214&lt;$J$2,"Yes","No")</f>
        <v>Yes</v>
      </c>
      <c r="I214" t="str">
        <f t="shared" si="33"/>
        <v>No</v>
      </c>
      <c r="J214" t="str">
        <f>IF(E214&lt;$K$2,"Yes","No")</f>
        <v>Yes</v>
      </c>
      <c r="K214" t="str">
        <f>IF(E214&lt;$L$2,"Yes","No")</f>
        <v>Yes</v>
      </c>
      <c r="L214" s="203">
        <f>IF(AND('Total income package'!$A$16=TRUE,E214&lt;$J$2),$M$2,0)</f>
        <v>2069</v>
      </c>
      <c r="M214" s="179">
        <f>IF(AND('Total income package'!$A$16=TRUE,E214&lt;$L$2),$P$2,0)</f>
        <v>955.5</v>
      </c>
      <c r="N214" s="204">
        <f>L214+M214</f>
        <v>3024.5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7</v>
      </c>
      <c r="D2" s="77">
        <f>COUNTIF('Total income package'!B37:B44,"&gt;59")</f>
        <v>2</v>
      </c>
      <c r="E2" s="77">
        <f>'Total income package'!F59+'Total income package'!D59+'Total income package'!H59+'Total income package'!D64</f>
        <v>1</v>
      </c>
      <c r="F2" s="78">
        <f>VLOOKUP($C$2,'Program specific data'!$A$85:$D$92,3)</f>
        <v>5271.5</v>
      </c>
      <c r="G2" s="78">
        <f>VLOOKUP($C$2,'Program specific data'!$A$85:$D$92,2)</f>
        <v>8110</v>
      </c>
      <c r="H2" s="78">
        <f>VLOOKUP($C$2,'Program specific data'!$A$72:$B$79,2)</f>
        <v>299</v>
      </c>
      <c r="I2" s="78">
        <f>IF('Total income package'!B70="Standard Utility Allowance (SUA)",VLOOKUP($C$2,'Program specific data'!$A$72:$C$79,3),'Total income package'!D70)</f>
        <v>0</v>
      </c>
      <c r="J2" s="78">
        <f>VLOOKUP($C$2,'Program specific data'!$A$85:$D$92,4)</f>
        <v>4055</v>
      </c>
      <c r="K2" s="78">
        <f>VLOOKUP($C$2,'Program specific data'!A97:B104,2)</f>
        <v>1571</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577</v>
      </c>
      <c r="D6" s="20">
        <f>B6/12</f>
        <v>0</v>
      </c>
      <c r="E6" s="20">
        <f>'Total income package'!$D$80</f>
        <v>0</v>
      </c>
      <c r="F6" s="20">
        <f>'Total income package'!$H$61+'Total income package'!$F$66</f>
        <v>200</v>
      </c>
      <c r="G6" s="20">
        <f>D6+C6+E6+F6</f>
        <v>777</v>
      </c>
      <c r="H6" s="20" t="str">
        <f t="shared" ref="H6:H69" si="0">IF(G6&lt;$G$2,"Yes","No")</f>
        <v>Yes</v>
      </c>
      <c r="I6" s="20">
        <f t="shared" ref="I6:I69" si="1">D6*0.2</f>
        <v>0</v>
      </c>
      <c r="J6" s="20">
        <f t="shared" ref="J6:J69" si="2">$H$2</f>
        <v>299</v>
      </c>
      <c r="K6" s="20">
        <f>IF(G6-I6-J6&gt;0,G6-I6-J6,0)</f>
        <v>478</v>
      </c>
      <c r="L6" s="20">
        <f>$I$2</f>
        <v>0</v>
      </c>
      <c r="M6" s="20">
        <f>'Total income package'!$B$69</f>
        <v>500</v>
      </c>
      <c r="N6" s="20">
        <f>L6+M6</f>
        <v>500</v>
      </c>
      <c r="O6" s="344" t="str">
        <f>IF(AND($D$2+$E$2&gt;0,K6&lt;$J$2),"Yes","No")</f>
        <v>Yes</v>
      </c>
      <c r="P6" s="20">
        <f>K6/2</f>
        <v>239</v>
      </c>
      <c r="Q6" s="346">
        <f>IF(AND(D$2+$E$2=0,N6&lt;$L$2,N6-P6&gt;0),N6-P6,IF(AND(D$2+$E$2=0,N6&gt;$L$2),$L$2,0))</f>
        <v>0</v>
      </c>
      <c r="R6" s="20">
        <f>IF(AND(D$2+$E$2&gt;0,N6-SNAP!P6&gt;0),N6-SNAP!P6,0)</f>
        <v>261</v>
      </c>
      <c r="S6" s="20">
        <f>IF(AND($D$2+$E$2&gt;0,K6-R6&gt;0),K6-R6,IF(AND($D$2+$E$2=0,K6-Q6&gt;0),K6-Q6,0))</f>
        <v>217</v>
      </c>
      <c r="T6" s="20">
        <f t="shared" ref="T6:T69" si="3">S6*0.3</f>
        <v>65.099999999999994</v>
      </c>
      <c r="U6" s="20">
        <f>IF(AND('Total income package'!$A$18=TRUE,OR(H6="Yes",O6="Yes"),G6&lt;$G$2,$K$2-T6&gt;10),ROUNDDOWN($K$2-T6,0),0)</f>
        <v>1505</v>
      </c>
      <c r="V6" s="176">
        <f>IF(AND(C2&lt;3,U6&gt;10,U6&lt;24),24,U6)</f>
        <v>1505</v>
      </c>
      <c r="W6" s="71"/>
      <c r="X6" s="24"/>
    </row>
    <row r="7" spans="2:25" x14ac:dyDescent="0.25">
      <c r="B7" s="72">
        <v>500</v>
      </c>
      <c r="C7" s="19">
        <f>MAX('TANF-VIEW'!L10,'TANF-VIEW'!T10)</f>
        <v>577</v>
      </c>
      <c r="D7" s="20">
        <f>B7/12</f>
        <v>41.666666666666664</v>
      </c>
      <c r="E7" s="20">
        <f>'Total income package'!$D$80</f>
        <v>0</v>
      </c>
      <c r="F7" s="20">
        <f>'Total income package'!$H$61+'Total income package'!$F$66</f>
        <v>200</v>
      </c>
      <c r="G7" s="20">
        <f t="shared" ref="G7:G70" si="4">D7+C7+E7+F7</f>
        <v>818.66666666666663</v>
      </c>
      <c r="H7" s="20" t="str">
        <f t="shared" si="0"/>
        <v>Yes</v>
      </c>
      <c r="I7" s="20">
        <f t="shared" si="1"/>
        <v>8.3333333333333339</v>
      </c>
      <c r="J7" s="20">
        <f t="shared" si="2"/>
        <v>299</v>
      </c>
      <c r="K7" s="20">
        <f t="shared" ref="K7:K69" si="5">IF(G7-I7-J7&gt;0,G7-I7-J7,0)</f>
        <v>511.33333333333326</v>
      </c>
      <c r="L7" s="20">
        <f t="shared" ref="L7:L70" si="6">$I$2</f>
        <v>0</v>
      </c>
      <c r="M7" s="20">
        <f>'Total income package'!$B$69</f>
        <v>500</v>
      </c>
      <c r="N7" s="20">
        <f t="shared" ref="N7:N70" si="7">L7+M7</f>
        <v>500</v>
      </c>
      <c r="O7" s="344" t="str">
        <f t="shared" ref="O7:O70" si="8">IF(AND($D$2+$E$2&gt;0,K7&lt;$J$2),"Yes","No")</f>
        <v>Yes</v>
      </c>
      <c r="P7" s="20">
        <f t="shared" ref="P7:P70" si="9">K7/2</f>
        <v>255.66666666666663</v>
      </c>
      <c r="Q7" s="346">
        <f t="shared" ref="Q7:Q69" si="10">IF(AND(D$2+$E$2=0,N7&lt;$L$2,N7-P7&gt;0),N7-P7,IF(AND(D$2+$E$2=0,N7&gt;$L$2),$L$2,0))</f>
        <v>0</v>
      </c>
      <c r="R7" s="20">
        <f>IF(AND(D$2+$E$2&gt;0,N7-SNAP!P7&gt;0),N7-SNAP!P7,0)</f>
        <v>244.33333333333337</v>
      </c>
      <c r="S7" s="20">
        <f t="shared" ref="S7:S70" si="11">IF(AND($D$2+$E$2&gt;0,K7-R7&gt;0),K7-R7,IF(AND($D$2+$E$2=0,K7-Q7&gt;0),K7-Q7,0))</f>
        <v>266.99999999999989</v>
      </c>
      <c r="T7" s="20">
        <f t="shared" si="3"/>
        <v>80.099999999999966</v>
      </c>
      <c r="U7" s="20">
        <f>IF(AND('Total income package'!$A$18=TRUE,OR(H7="Yes",O7="Yes"),G7&lt;$G$2,$K$2-T7&gt;10),ROUNDDOWN($K$2-T7,0),0)</f>
        <v>1490</v>
      </c>
      <c r="V7" s="176">
        <f t="shared" ref="V7:V70" si="12">IF(AND(C3&lt;3,U7&gt;10,U7&lt;24),24,U7)</f>
        <v>1490</v>
      </c>
      <c r="W7" s="71"/>
      <c r="X7" s="24"/>
    </row>
    <row r="8" spans="2:25" x14ac:dyDescent="0.25">
      <c r="B8" s="72">
        <v>1000</v>
      </c>
      <c r="C8" s="19">
        <f>MAX('TANF-VIEW'!L11,'TANF-VIEW'!T11)</f>
        <v>577</v>
      </c>
      <c r="D8" s="20">
        <f>B8/12</f>
        <v>83.333333333333329</v>
      </c>
      <c r="E8" s="20">
        <f>'Total income package'!$D$80</f>
        <v>0</v>
      </c>
      <c r="F8" s="20">
        <f>'Total income package'!$H$61+'Total income package'!$F$66</f>
        <v>200</v>
      </c>
      <c r="G8" s="20">
        <f t="shared" si="4"/>
        <v>860.33333333333337</v>
      </c>
      <c r="H8" s="20" t="str">
        <f t="shared" si="0"/>
        <v>Yes</v>
      </c>
      <c r="I8" s="20">
        <f t="shared" si="1"/>
        <v>16.666666666666668</v>
      </c>
      <c r="J8" s="20">
        <f t="shared" si="2"/>
        <v>299</v>
      </c>
      <c r="K8" s="20">
        <f t="shared" si="5"/>
        <v>544.66666666666674</v>
      </c>
      <c r="L8" s="20">
        <f t="shared" si="6"/>
        <v>0</v>
      </c>
      <c r="M8" s="20">
        <f>'Total income package'!$B$69</f>
        <v>500</v>
      </c>
      <c r="N8" s="20">
        <f t="shared" si="7"/>
        <v>500</v>
      </c>
      <c r="O8" s="344" t="str">
        <f t="shared" si="8"/>
        <v>Yes</v>
      </c>
      <c r="P8" s="20">
        <f t="shared" si="9"/>
        <v>272.33333333333337</v>
      </c>
      <c r="Q8" s="346">
        <f t="shared" si="10"/>
        <v>0</v>
      </c>
      <c r="R8" s="20">
        <f>IF(AND(D$2+$E$2&gt;0,N8-SNAP!P8&gt;0),N8-SNAP!P8,0)</f>
        <v>227.66666666666663</v>
      </c>
      <c r="S8" s="20">
        <f t="shared" si="11"/>
        <v>317.00000000000011</v>
      </c>
      <c r="T8" s="20">
        <f t="shared" si="3"/>
        <v>95.100000000000037</v>
      </c>
      <c r="U8" s="20">
        <f>IF(AND('Total income package'!$A$18=TRUE,OR(H8="Yes",O8="Yes"),G8&lt;$G$2,$K$2-T8&gt;10),ROUNDDOWN($K$2-T8,0),0)</f>
        <v>1475</v>
      </c>
      <c r="V8" s="176">
        <f t="shared" si="12"/>
        <v>1475</v>
      </c>
      <c r="W8" s="5"/>
    </row>
    <row r="9" spans="2:25" x14ac:dyDescent="0.25">
      <c r="B9" s="72">
        <v>1500</v>
      </c>
      <c r="C9" s="19">
        <f>MAX('TANF-VIEW'!L12,'TANF-VIEW'!T12)</f>
        <v>577</v>
      </c>
      <c r="D9" s="20">
        <f t="shared" ref="D9:D72" si="13">B9/12</f>
        <v>125</v>
      </c>
      <c r="E9" s="20">
        <f>'Total income package'!$D$80</f>
        <v>0</v>
      </c>
      <c r="F9" s="20">
        <f>'Total income package'!$H$61+'Total income package'!$F$66</f>
        <v>200</v>
      </c>
      <c r="G9" s="20">
        <f t="shared" si="4"/>
        <v>902</v>
      </c>
      <c r="H9" s="20" t="str">
        <f t="shared" si="0"/>
        <v>Yes</v>
      </c>
      <c r="I9" s="20">
        <f t="shared" si="1"/>
        <v>25</v>
      </c>
      <c r="J9" s="20">
        <f t="shared" si="2"/>
        <v>299</v>
      </c>
      <c r="K9" s="20">
        <f t="shared" si="5"/>
        <v>578</v>
      </c>
      <c r="L9" s="20">
        <f t="shared" si="6"/>
        <v>0</v>
      </c>
      <c r="M9" s="20">
        <f>'Total income package'!$B$69</f>
        <v>500</v>
      </c>
      <c r="N9" s="20">
        <f t="shared" si="7"/>
        <v>500</v>
      </c>
      <c r="O9" s="344" t="str">
        <f t="shared" si="8"/>
        <v>Yes</v>
      </c>
      <c r="P9" s="20">
        <f t="shared" si="9"/>
        <v>289</v>
      </c>
      <c r="Q9" s="346">
        <f t="shared" si="10"/>
        <v>0</v>
      </c>
      <c r="R9" s="20">
        <f>IF(AND(D$2+$E$2&gt;0,N9-SNAP!P9&gt;0),N9-SNAP!P9,0)</f>
        <v>211</v>
      </c>
      <c r="S9" s="20">
        <f t="shared" si="11"/>
        <v>367</v>
      </c>
      <c r="T9" s="20">
        <f t="shared" si="3"/>
        <v>110.1</v>
      </c>
      <c r="U9" s="20">
        <f>IF(AND('Total income package'!$A$18=TRUE,OR(H9="Yes",O9="Yes"),G9&lt;$G$2,$K$2-T9&gt;10),ROUNDDOWN($K$2-T9,0),0)</f>
        <v>1460</v>
      </c>
      <c r="V9" s="176">
        <f t="shared" si="12"/>
        <v>1460</v>
      </c>
      <c r="W9" s="5"/>
    </row>
    <row r="10" spans="2:25" x14ac:dyDescent="0.25">
      <c r="B10" s="72">
        <v>2000</v>
      </c>
      <c r="C10" s="19">
        <f>MAX('TANF-VIEW'!L13,'TANF-VIEW'!T13)</f>
        <v>577</v>
      </c>
      <c r="D10" s="20">
        <f t="shared" si="13"/>
        <v>166.66666666666666</v>
      </c>
      <c r="E10" s="20">
        <f>'Total income package'!$D$80</f>
        <v>0</v>
      </c>
      <c r="F10" s="20">
        <f>'Total income package'!$H$61+'Total income package'!$F$66</f>
        <v>200</v>
      </c>
      <c r="G10" s="20">
        <f t="shared" si="4"/>
        <v>943.66666666666663</v>
      </c>
      <c r="H10" s="20" t="str">
        <f t="shared" si="0"/>
        <v>Yes</v>
      </c>
      <c r="I10" s="20">
        <f t="shared" si="1"/>
        <v>33.333333333333336</v>
      </c>
      <c r="J10" s="20">
        <f t="shared" si="2"/>
        <v>299</v>
      </c>
      <c r="K10" s="20">
        <f t="shared" si="5"/>
        <v>611.33333333333326</v>
      </c>
      <c r="L10" s="20">
        <f t="shared" si="6"/>
        <v>0</v>
      </c>
      <c r="M10" s="20">
        <f>'Total income package'!$B$69</f>
        <v>500</v>
      </c>
      <c r="N10" s="20">
        <f t="shared" si="7"/>
        <v>500</v>
      </c>
      <c r="O10" s="344" t="str">
        <f t="shared" si="8"/>
        <v>Yes</v>
      </c>
      <c r="P10" s="20">
        <f t="shared" si="9"/>
        <v>305.66666666666663</v>
      </c>
      <c r="Q10" s="346">
        <f t="shared" si="10"/>
        <v>0</v>
      </c>
      <c r="R10" s="20">
        <f>IF(AND(D$2+$E$2&gt;0,N10-SNAP!P10&gt;0),N10-SNAP!P10,0)</f>
        <v>194.33333333333337</v>
      </c>
      <c r="S10" s="20">
        <f t="shared" si="11"/>
        <v>416.99999999999989</v>
      </c>
      <c r="T10" s="20">
        <f t="shared" si="3"/>
        <v>125.09999999999997</v>
      </c>
      <c r="U10" s="20">
        <f>IF(AND('Total income package'!$A$18=TRUE,OR(H10="Yes",O10="Yes"),G10&lt;$G$2,$K$2-T10&gt;10),ROUNDDOWN($K$2-T10,0),0)</f>
        <v>1445</v>
      </c>
      <c r="V10" s="176">
        <f t="shared" si="12"/>
        <v>1445</v>
      </c>
      <c r="W10" s="5"/>
    </row>
    <row r="11" spans="2:25" x14ac:dyDescent="0.25">
      <c r="B11" s="72">
        <v>2500</v>
      </c>
      <c r="C11" s="19">
        <f>MAX('TANF-VIEW'!L14,'TANF-VIEW'!T14)</f>
        <v>577</v>
      </c>
      <c r="D11" s="20">
        <f t="shared" si="13"/>
        <v>208.33333333333334</v>
      </c>
      <c r="E11" s="20">
        <f>'Total income package'!$D$80</f>
        <v>0</v>
      </c>
      <c r="F11" s="20">
        <f>'Total income package'!$H$61+'Total income package'!$F$66</f>
        <v>200</v>
      </c>
      <c r="G11" s="20">
        <f t="shared" si="4"/>
        <v>985.33333333333337</v>
      </c>
      <c r="H11" s="20" t="str">
        <f t="shared" si="0"/>
        <v>Yes</v>
      </c>
      <c r="I11" s="20">
        <f t="shared" si="1"/>
        <v>41.666666666666671</v>
      </c>
      <c r="J11" s="20">
        <f t="shared" si="2"/>
        <v>299</v>
      </c>
      <c r="K11" s="20">
        <f t="shared" si="5"/>
        <v>644.66666666666674</v>
      </c>
      <c r="L11" s="20">
        <f t="shared" si="6"/>
        <v>0</v>
      </c>
      <c r="M11" s="20">
        <f>'Total income package'!$B$69</f>
        <v>500</v>
      </c>
      <c r="N11" s="20">
        <f t="shared" si="7"/>
        <v>500</v>
      </c>
      <c r="O11" s="344" t="str">
        <f t="shared" si="8"/>
        <v>Yes</v>
      </c>
      <c r="P11" s="20">
        <f t="shared" si="9"/>
        <v>322.33333333333337</v>
      </c>
      <c r="Q11" s="346">
        <f t="shared" si="10"/>
        <v>0</v>
      </c>
      <c r="R11" s="20">
        <f>IF(AND(D$2+$E$2&gt;0,N11-SNAP!P11&gt;0),N11-SNAP!P11,0)</f>
        <v>177.66666666666663</v>
      </c>
      <c r="S11" s="20">
        <f t="shared" si="11"/>
        <v>467.00000000000011</v>
      </c>
      <c r="T11" s="20">
        <f t="shared" si="3"/>
        <v>140.10000000000002</v>
      </c>
      <c r="U11" s="20">
        <f>IF(AND('Total income package'!$A$18=TRUE,OR(H11="Yes",O11="Yes"),G11&lt;$G$2,$K$2-T11&gt;10),ROUNDDOWN($K$2-T11,0),0)</f>
        <v>1430</v>
      </c>
      <c r="V11" s="176">
        <f t="shared" si="12"/>
        <v>1430</v>
      </c>
      <c r="W11" s="5"/>
    </row>
    <row r="12" spans="2:25" x14ac:dyDescent="0.25">
      <c r="B12" s="72">
        <v>3000</v>
      </c>
      <c r="C12" s="19">
        <f>MAX('TANF-VIEW'!L15,'TANF-VIEW'!T15)</f>
        <v>555.4</v>
      </c>
      <c r="D12" s="20">
        <f t="shared" si="13"/>
        <v>250</v>
      </c>
      <c r="E12" s="20">
        <f>'Total income package'!$D$80</f>
        <v>0</v>
      </c>
      <c r="F12" s="20">
        <f>'Total income package'!$H$61+'Total income package'!$F$66</f>
        <v>200</v>
      </c>
      <c r="G12" s="20">
        <f t="shared" si="4"/>
        <v>1005.4</v>
      </c>
      <c r="H12" s="20" t="str">
        <f t="shared" si="0"/>
        <v>Yes</v>
      </c>
      <c r="I12" s="20">
        <f t="shared" si="1"/>
        <v>50</v>
      </c>
      <c r="J12" s="20">
        <f t="shared" si="2"/>
        <v>299</v>
      </c>
      <c r="K12" s="20">
        <f t="shared" si="5"/>
        <v>656.4</v>
      </c>
      <c r="L12" s="20">
        <f t="shared" si="6"/>
        <v>0</v>
      </c>
      <c r="M12" s="20">
        <f>'Total income package'!$B$69</f>
        <v>500</v>
      </c>
      <c r="N12" s="20">
        <f t="shared" si="7"/>
        <v>500</v>
      </c>
      <c r="O12" s="344" t="str">
        <f t="shared" si="8"/>
        <v>Yes</v>
      </c>
      <c r="P12" s="20">
        <f t="shared" si="9"/>
        <v>328.2</v>
      </c>
      <c r="Q12" s="346">
        <f t="shared" si="10"/>
        <v>0</v>
      </c>
      <c r="R12" s="20">
        <f>IF(AND(D$2+$E$2&gt;0,N12-SNAP!P12&gt;0),N12-SNAP!P12,0)</f>
        <v>171.8</v>
      </c>
      <c r="S12" s="20">
        <f t="shared" si="11"/>
        <v>484.59999999999997</v>
      </c>
      <c r="T12" s="20">
        <f t="shared" si="3"/>
        <v>145.38</v>
      </c>
      <c r="U12" s="20">
        <f>IF(AND('Total income package'!$A$18=TRUE,OR(H12="Yes",O12="Yes"),G12&lt;$G$2,$K$2-T12&gt;10),ROUNDDOWN($K$2-T12,0),0)</f>
        <v>1425</v>
      </c>
      <c r="V12" s="176">
        <f t="shared" si="12"/>
        <v>1425</v>
      </c>
      <c r="W12" s="5"/>
    </row>
    <row r="13" spans="2:25" x14ac:dyDescent="0.25">
      <c r="B13" s="72">
        <v>3500</v>
      </c>
      <c r="C13" s="19">
        <f>MAX('TANF-VIEW'!L16,'TANF-VIEW'!T16)</f>
        <v>522.06666666666661</v>
      </c>
      <c r="D13" s="20">
        <f t="shared" si="13"/>
        <v>291.66666666666669</v>
      </c>
      <c r="E13" s="20">
        <f>'Total income package'!$D$80</f>
        <v>0</v>
      </c>
      <c r="F13" s="20">
        <f>'Total income package'!$H$61+'Total income package'!$F$66</f>
        <v>200</v>
      </c>
      <c r="G13" s="20">
        <f t="shared" si="4"/>
        <v>1013.7333333333333</v>
      </c>
      <c r="H13" s="20" t="str">
        <f t="shared" si="0"/>
        <v>Yes</v>
      </c>
      <c r="I13" s="20">
        <f t="shared" si="1"/>
        <v>58.333333333333343</v>
      </c>
      <c r="J13" s="20">
        <f t="shared" si="2"/>
        <v>299</v>
      </c>
      <c r="K13" s="20">
        <f t="shared" si="5"/>
        <v>656.4</v>
      </c>
      <c r="L13" s="20">
        <f t="shared" si="6"/>
        <v>0</v>
      </c>
      <c r="M13" s="20">
        <f>'Total income package'!$B$69</f>
        <v>500</v>
      </c>
      <c r="N13" s="20">
        <f t="shared" si="7"/>
        <v>500</v>
      </c>
      <c r="O13" s="344" t="str">
        <f t="shared" si="8"/>
        <v>Yes</v>
      </c>
      <c r="P13" s="20">
        <f t="shared" si="9"/>
        <v>328.2</v>
      </c>
      <c r="Q13" s="346">
        <f t="shared" si="10"/>
        <v>0</v>
      </c>
      <c r="R13" s="20">
        <f>IF(AND(D$2+$E$2&gt;0,N13-SNAP!P13&gt;0),N13-SNAP!P13,0)</f>
        <v>171.8</v>
      </c>
      <c r="S13" s="20">
        <f t="shared" si="11"/>
        <v>484.59999999999997</v>
      </c>
      <c r="T13" s="20">
        <f t="shared" si="3"/>
        <v>145.38</v>
      </c>
      <c r="U13" s="20">
        <f>IF(AND('Total income package'!$A$18=TRUE,OR(H13="Yes",O13="Yes"),G13&lt;$G$2,$K$2-T13&gt;10),ROUNDDOWN($K$2-T13,0),0)</f>
        <v>1425</v>
      </c>
      <c r="V13" s="176">
        <f t="shared" si="12"/>
        <v>1425</v>
      </c>
      <c r="W13" s="5"/>
    </row>
    <row r="14" spans="2:25" x14ac:dyDescent="0.25">
      <c r="B14" s="72">
        <v>4000</v>
      </c>
      <c r="C14" s="19">
        <f>MAX('TANF-VIEW'!L17,'TANF-VIEW'!T17)</f>
        <v>488.73333333333335</v>
      </c>
      <c r="D14" s="20">
        <f t="shared" si="13"/>
        <v>333.33333333333331</v>
      </c>
      <c r="E14" s="20">
        <f>'Total income package'!$D$80</f>
        <v>0</v>
      </c>
      <c r="F14" s="20">
        <f>'Total income package'!$H$61+'Total income package'!$F$66</f>
        <v>200</v>
      </c>
      <c r="G14" s="20">
        <f t="shared" si="4"/>
        <v>1022.0666666666666</v>
      </c>
      <c r="H14" s="20" t="str">
        <f t="shared" si="0"/>
        <v>Yes</v>
      </c>
      <c r="I14" s="20">
        <f t="shared" si="1"/>
        <v>66.666666666666671</v>
      </c>
      <c r="J14" s="20">
        <f t="shared" si="2"/>
        <v>299</v>
      </c>
      <c r="K14" s="20">
        <f t="shared" si="5"/>
        <v>656.4</v>
      </c>
      <c r="L14" s="20">
        <f t="shared" si="6"/>
        <v>0</v>
      </c>
      <c r="M14" s="20">
        <f>'Total income package'!$B$69</f>
        <v>500</v>
      </c>
      <c r="N14" s="20">
        <f t="shared" si="7"/>
        <v>500</v>
      </c>
      <c r="O14" s="344" t="str">
        <f t="shared" si="8"/>
        <v>Yes</v>
      </c>
      <c r="P14" s="20">
        <f t="shared" si="9"/>
        <v>328.2</v>
      </c>
      <c r="Q14" s="346">
        <f t="shared" si="10"/>
        <v>0</v>
      </c>
      <c r="R14" s="20">
        <f>IF(AND(D$2+$E$2&gt;0,N14-SNAP!P14&gt;0),N14-SNAP!P14,0)</f>
        <v>171.8</v>
      </c>
      <c r="S14" s="20">
        <f t="shared" si="11"/>
        <v>484.59999999999997</v>
      </c>
      <c r="T14" s="20">
        <f t="shared" si="3"/>
        <v>145.38</v>
      </c>
      <c r="U14" s="20">
        <f>IF(AND('Total income package'!$A$18=TRUE,OR(H14="Yes",O14="Yes"),G14&lt;$G$2,$K$2-T14&gt;10),ROUNDDOWN($K$2-T14,0),0)</f>
        <v>1425</v>
      </c>
      <c r="V14" s="176">
        <f t="shared" si="12"/>
        <v>1425</v>
      </c>
      <c r="W14" s="5"/>
    </row>
    <row r="15" spans="2:25" x14ac:dyDescent="0.25">
      <c r="B15" s="72">
        <v>4500</v>
      </c>
      <c r="C15" s="19">
        <f>MAX('TANF-VIEW'!L18,'TANF-VIEW'!T18)</f>
        <v>455.4</v>
      </c>
      <c r="D15" s="20">
        <f t="shared" si="13"/>
        <v>375</v>
      </c>
      <c r="E15" s="20">
        <f>'Total income package'!$D$80</f>
        <v>0</v>
      </c>
      <c r="F15" s="20">
        <f>'Total income package'!$H$61+'Total income package'!$F$66</f>
        <v>200</v>
      </c>
      <c r="G15" s="20">
        <f t="shared" si="4"/>
        <v>1030.4000000000001</v>
      </c>
      <c r="H15" s="20" t="str">
        <f t="shared" si="0"/>
        <v>Yes</v>
      </c>
      <c r="I15" s="20">
        <f t="shared" si="1"/>
        <v>75</v>
      </c>
      <c r="J15" s="20">
        <f t="shared" si="2"/>
        <v>299</v>
      </c>
      <c r="K15" s="20">
        <f t="shared" si="5"/>
        <v>656.40000000000009</v>
      </c>
      <c r="L15" s="20">
        <f t="shared" si="6"/>
        <v>0</v>
      </c>
      <c r="M15" s="20">
        <f>'Total income package'!$B$69</f>
        <v>500</v>
      </c>
      <c r="N15" s="20">
        <f t="shared" si="7"/>
        <v>500</v>
      </c>
      <c r="O15" s="344" t="str">
        <f t="shared" si="8"/>
        <v>Yes</v>
      </c>
      <c r="P15" s="20">
        <f t="shared" si="9"/>
        <v>328.20000000000005</v>
      </c>
      <c r="Q15" s="346">
        <f t="shared" si="10"/>
        <v>0</v>
      </c>
      <c r="R15" s="20">
        <f>IF(AND(D$2+$E$2&gt;0,N15-SNAP!P15&gt;0),N15-SNAP!P15,0)</f>
        <v>171.79999999999995</v>
      </c>
      <c r="S15" s="20">
        <f t="shared" si="11"/>
        <v>484.60000000000014</v>
      </c>
      <c r="T15" s="20">
        <f t="shared" si="3"/>
        <v>145.38000000000002</v>
      </c>
      <c r="U15" s="20">
        <f>IF(AND('Total income package'!$A$18=TRUE,OR(H15="Yes",O15="Yes"),G15&lt;$G$2,$K$2-T15&gt;10),ROUNDDOWN($K$2-T15,0),0)</f>
        <v>1425</v>
      </c>
      <c r="V15" s="176">
        <f t="shared" si="12"/>
        <v>1425</v>
      </c>
      <c r="W15" s="5"/>
    </row>
    <row r="16" spans="2:25" x14ac:dyDescent="0.25">
      <c r="B16" s="72">
        <v>5000</v>
      </c>
      <c r="C16" s="19">
        <f>MAX('TANF-VIEW'!L19,'TANF-VIEW'!T19)</f>
        <v>422.06666666666666</v>
      </c>
      <c r="D16" s="20">
        <f t="shared" si="13"/>
        <v>416.66666666666669</v>
      </c>
      <c r="E16" s="20">
        <f>'Total income package'!$D$80</f>
        <v>0</v>
      </c>
      <c r="F16" s="20">
        <f>'Total income package'!$H$61+'Total income package'!$F$66</f>
        <v>200</v>
      </c>
      <c r="G16" s="20">
        <f t="shared" si="4"/>
        <v>1038.7333333333333</v>
      </c>
      <c r="H16" s="20" t="str">
        <f t="shared" si="0"/>
        <v>Yes</v>
      </c>
      <c r="I16" s="20">
        <f t="shared" si="1"/>
        <v>83.333333333333343</v>
      </c>
      <c r="J16" s="20">
        <f t="shared" si="2"/>
        <v>299</v>
      </c>
      <c r="K16" s="20">
        <f t="shared" si="5"/>
        <v>656.4</v>
      </c>
      <c r="L16" s="20">
        <f t="shared" si="6"/>
        <v>0</v>
      </c>
      <c r="M16" s="20">
        <f>'Total income package'!$B$69</f>
        <v>500</v>
      </c>
      <c r="N16" s="20">
        <f t="shared" si="7"/>
        <v>500</v>
      </c>
      <c r="O16" s="344" t="str">
        <f t="shared" si="8"/>
        <v>Yes</v>
      </c>
      <c r="P16" s="20">
        <f t="shared" si="9"/>
        <v>328.2</v>
      </c>
      <c r="Q16" s="346">
        <f t="shared" si="10"/>
        <v>0</v>
      </c>
      <c r="R16" s="20">
        <f>IF(AND(D$2+$E$2&gt;0,N16-SNAP!P16&gt;0),N16-SNAP!P16,0)</f>
        <v>171.8</v>
      </c>
      <c r="S16" s="20">
        <f t="shared" si="11"/>
        <v>484.59999999999997</v>
      </c>
      <c r="T16" s="20">
        <f t="shared" si="3"/>
        <v>145.38</v>
      </c>
      <c r="U16" s="20">
        <f>IF(AND('Total income package'!$A$18=TRUE,OR(H16="Yes",O16="Yes"),G16&lt;$G$2,$K$2-T16&gt;10),ROUNDDOWN($K$2-T16,0),0)</f>
        <v>1425</v>
      </c>
      <c r="V16" s="176">
        <f t="shared" si="12"/>
        <v>1425</v>
      </c>
      <c r="W16" s="5"/>
    </row>
    <row r="17" spans="2:23" x14ac:dyDescent="0.25">
      <c r="B17" s="72">
        <v>5500</v>
      </c>
      <c r="C17" s="19">
        <f>MAX('TANF-VIEW'!L20,'TANF-VIEW'!T20)</f>
        <v>388.73333333333335</v>
      </c>
      <c r="D17" s="20">
        <f t="shared" si="13"/>
        <v>458.33333333333331</v>
      </c>
      <c r="E17" s="20">
        <f>'Total income package'!$D$80</f>
        <v>0</v>
      </c>
      <c r="F17" s="20">
        <f>'Total income package'!$H$61+'Total income package'!$F$66</f>
        <v>200</v>
      </c>
      <c r="G17" s="20">
        <f t="shared" si="4"/>
        <v>1047.0666666666666</v>
      </c>
      <c r="H17" s="20" t="str">
        <f t="shared" si="0"/>
        <v>Yes</v>
      </c>
      <c r="I17" s="20">
        <f t="shared" si="1"/>
        <v>91.666666666666671</v>
      </c>
      <c r="J17" s="20">
        <f t="shared" si="2"/>
        <v>299</v>
      </c>
      <c r="K17" s="20">
        <f t="shared" si="5"/>
        <v>656.4</v>
      </c>
      <c r="L17" s="20">
        <f t="shared" si="6"/>
        <v>0</v>
      </c>
      <c r="M17" s="20">
        <f>'Total income package'!$B$69</f>
        <v>500</v>
      </c>
      <c r="N17" s="20">
        <f t="shared" si="7"/>
        <v>500</v>
      </c>
      <c r="O17" s="344" t="str">
        <f t="shared" si="8"/>
        <v>Yes</v>
      </c>
      <c r="P17" s="20">
        <f t="shared" si="9"/>
        <v>328.2</v>
      </c>
      <c r="Q17" s="346">
        <f t="shared" si="10"/>
        <v>0</v>
      </c>
      <c r="R17" s="20">
        <f>IF(AND(D$2+$E$2&gt;0,N17-SNAP!P17&gt;0),N17-SNAP!P17,0)</f>
        <v>171.8</v>
      </c>
      <c r="S17" s="20">
        <f t="shared" si="11"/>
        <v>484.59999999999997</v>
      </c>
      <c r="T17" s="20">
        <f t="shared" si="3"/>
        <v>145.38</v>
      </c>
      <c r="U17" s="20">
        <f>IF(AND('Total income package'!$A$18=TRUE,OR(H17="Yes",O17="Yes"),G17&lt;$G$2,$K$2-T17&gt;10),ROUNDDOWN($K$2-T17,0),0)</f>
        <v>1425</v>
      </c>
      <c r="V17" s="176">
        <f t="shared" si="12"/>
        <v>1425</v>
      </c>
      <c r="W17" s="5"/>
    </row>
    <row r="18" spans="2:23" x14ac:dyDescent="0.25">
      <c r="B18" s="72">
        <v>6000</v>
      </c>
      <c r="C18" s="19">
        <f>MAX('TANF-VIEW'!L21,'TANF-VIEW'!T21)</f>
        <v>355.4</v>
      </c>
      <c r="D18" s="20">
        <f t="shared" si="13"/>
        <v>500</v>
      </c>
      <c r="E18" s="20">
        <f>'Total income package'!$D$80</f>
        <v>0</v>
      </c>
      <c r="F18" s="20">
        <f>'Total income package'!$H$61+'Total income package'!$F$66</f>
        <v>200</v>
      </c>
      <c r="G18" s="20">
        <f t="shared" si="4"/>
        <v>1055.4000000000001</v>
      </c>
      <c r="H18" s="20" t="str">
        <f t="shared" si="0"/>
        <v>Yes</v>
      </c>
      <c r="I18" s="20">
        <f t="shared" si="1"/>
        <v>100</v>
      </c>
      <c r="J18" s="20">
        <f t="shared" si="2"/>
        <v>299</v>
      </c>
      <c r="K18" s="20">
        <f>IF(G18-I18-J18&gt;0,G18-I18-J18,0)</f>
        <v>656.40000000000009</v>
      </c>
      <c r="L18" s="20">
        <f t="shared" si="6"/>
        <v>0</v>
      </c>
      <c r="M18" s="20">
        <f>'Total income package'!$B$69</f>
        <v>500</v>
      </c>
      <c r="N18" s="20">
        <f t="shared" si="7"/>
        <v>500</v>
      </c>
      <c r="O18" s="344" t="str">
        <f t="shared" si="8"/>
        <v>Yes</v>
      </c>
      <c r="P18" s="20">
        <f t="shared" si="9"/>
        <v>328.20000000000005</v>
      </c>
      <c r="Q18" s="346">
        <f t="shared" si="10"/>
        <v>0</v>
      </c>
      <c r="R18" s="20">
        <f>IF(AND(D$2+$E$2&gt;0,N18-SNAP!P18&gt;0),N18-SNAP!P18,0)</f>
        <v>171.79999999999995</v>
      </c>
      <c r="S18" s="20">
        <f t="shared" si="11"/>
        <v>484.60000000000014</v>
      </c>
      <c r="T18" s="20">
        <f t="shared" si="3"/>
        <v>145.38000000000002</v>
      </c>
      <c r="U18" s="20">
        <f>IF(AND('Total income package'!$A$18=TRUE,OR(H18="Yes",O18="Yes"),G18&lt;$G$2,$K$2-T18&gt;10),ROUNDDOWN($K$2-T18,0),0)</f>
        <v>1425</v>
      </c>
      <c r="V18" s="176">
        <f t="shared" si="12"/>
        <v>1425</v>
      </c>
      <c r="W18" s="5"/>
    </row>
    <row r="19" spans="2:23" x14ac:dyDescent="0.25">
      <c r="B19" s="72">
        <v>6500</v>
      </c>
      <c r="C19" s="19">
        <f>MAX('TANF-VIEW'!L22,'TANF-VIEW'!T22)</f>
        <v>322.06666666666672</v>
      </c>
      <c r="D19" s="20">
        <f t="shared" si="13"/>
        <v>541.66666666666663</v>
      </c>
      <c r="E19" s="20">
        <f>'Total income package'!$D$80</f>
        <v>0</v>
      </c>
      <c r="F19" s="20">
        <f>'Total income package'!$H$61+'Total income package'!$F$66</f>
        <v>200</v>
      </c>
      <c r="G19" s="20">
        <f t="shared" si="4"/>
        <v>1063.7333333333333</v>
      </c>
      <c r="H19" s="20" t="str">
        <f t="shared" si="0"/>
        <v>Yes</v>
      </c>
      <c r="I19" s="20">
        <f t="shared" si="1"/>
        <v>108.33333333333333</v>
      </c>
      <c r="J19" s="20">
        <f t="shared" si="2"/>
        <v>299</v>
      </c>
      <c r="K19" s="20">
        <f t="shared" si="5"/>
        <v>656.4</v>
      </c>
      <c r="L19" s="20">
        <f t="shared" si="6"/>
        <v>0</v>
      </c>
      <c r="M19" s="20">
        <f>'Total income package'!$B$69</f>
        <v>500</v>
      </c>
      <c r="N19" s="20">
        <f t="shared" si="7"/>
        <v>500</v>
      </c>
      <c r="O19" s="344" t="str">
        <f t="shared" si="8"/>
        <v>Yes</v>
      </c>
      <c r="P19" s="20">
        <f t="shared" si="9"/>
        <v>328.2</v>
      </c>
      <c r="Q19" s="346">
        <f t="shared" si="10"/>
        <v>0</v>
      </c>
      <c r="R19" s="20">
        <f>IF(AND(D$2+$E$2&gt;0,N19-SNAP!P19&gt;0),N19-SNAP!P19,0)</f>
        <v>171.8</v>
      </c>
      <c r="S19" s="20">
        <f t="shared" si="11"/>
        <v>484.59999999999997</v>
      </c>
      <c r="T19" s="20">
        <f t="shared" si="3"/>
        <v>145.38</v>
      </c>
      <c r="U19" s="20">
        <f>IF(AND('Total income package'!$A$18=TRUE,OR(H19="Yes",O19="Yes"),G19&lt;$G$2,$K$2-T19&gt;10),ROUNDDOWN($K$2-T19,0),0)</f>
        <v>1425</v>
      </c>
      <c r="V19" s="176">
        <f t="shared" si="12"/>
        <v>1425</v>
      </c>
      <c r="W19" s="5"/>
    </row>
    <row r="20" spans="2:23" x14ac:dyDescent="0.25">
      <c r="B20" s="72">
        <v>7000</v>
      </c>
      <c r="C20" s="19">
        <f>MAX('TANF-VIEW'!L23,'TANF-VIEW'!T23)</f>
        <v>288.73333333333329</v>
      </c>
      <c r="D20" s="20">
        <f t="shared" si="13"/>
        <v>583.33333333333337</v>
      </c>
      <c r="E20" s="20">
        <f>'Total income package'!$D$80</f>
        <v>0</v>
      </c>
      <c r="F20" s="20">
        <f>'Total income package'!$H$61+'Total income package'!$F$66</f>
        <v>200</v>
      </c>
      <c r="G20" s="20">
        <f t="shared" si="4"/>
        <v>1072.0666666666666</v>
      </c>
      <c r="H20" s="20" t="str">
        <f t="shared" si="0"/>
        <v>Yes</v>
      </c>
      <c r="I20" s="20">
        <f t="shared" si="1"/>
        <v>116.66666666666669</v>
      </c>
      <c r="J20" s="20">
        <f t="shared" si="2"/>
        <v>299</v>
      </c>
      <c r="K20" s="20">
        <f t="shared" si="5"/>
        <v>656.39999999999986</v>
      </c>
      <c r="L20" s="20">
        <f t="shared" si="6"/>
        <v>0</v>
      </c>
      <c r="M20" s="20">
        <f>'Total income package'!$B$69</f>
        <v>500</v>
      </c>
      <c r="N20" s="20">
        <f t="shared" si="7"/>
        <v>500</v>
      </c>
      <c r="O20" s="344" t="str">
        <f t="shared" si="8"/>
        <v>Yes</v>
      </c>
      <c r="P20" s="20">
        <f t="shared" si="9"/>
        <v>328.19999999999993</v>
      </c>
      <c r="Q20" s="346">
        <f t="shared" si="10"/>
        <v>0</v>
      </c>
      <c r="R20" s="20">
        <f>IF(AND(D$2+$E$2&gt;0,N20-SNAP!P20&gt;0),N20-SNAP!P20,0)</f>
        <v>171.80000000000007</v>
      </c>
      <c r="S20" s="20">
        <f t="shared" si="11"/>
        <v>484.5999999999998</v>
      </c>
      <c r="T20" s="20">
        <f t="shared" si="3"/>
        <v>145.37999999999994</v>
      </c>
      <c r="U20" s="20">
        <f>IF(AND('Total income package'!$A$18=TRUE,OR(H20="Yes",O20="Yes"),G20&lt;$G$2,$K$2-T20&gt;10),ROUNDDOWN($K$2-T20,0),0)</f>
        <v>1425</v>
      </c>
      <c r="V20" s="176">
        <f t="shared" si="12"/>
        <v>1425</v>
      </c>
      <c r="W20" s="5"/>
    </row>
    <row r="21" spans="2:23" x14ac:dyDescent="0.25">
      <c r="B21" s="72">
        <v>7500</v>
      </c>
      <c r="C21" s="19">
        <f>MAX('TANF-VIEW'!L24,'TANF-VIEW'!T24)</f>
        <v>255.39999999999998</v>
      </c>
      <c r="D21" s="20">
        <f t="shared" si="13"/>
        <v>625</v>
      </c>
      <c r="E21" s="20">
        <f>'Total income package'!$D$80</f>
        <v>0</v>
      </c>
      <c r="F21" s="20">
        <f>'Total income package'!$H$61+'Total income package'!$F$66</f>
        <v>200</v>
      </c>
      <c r="G21" s="20">
        <f t="shared" si="4"/>
        <v>1080.4000000000001</v>
      </c>
      <c r="H21" s="20" t="str">
        <f t="shared" si="0"/>
        <v>Yes</v>
      </c>
      <c r="I21" s="20">
        <f t="shared" si="1"/>
        <v>125</v>
      </c>
      <c r="J21" s="20">
        <f t="shared" si="2"/>
        <v>299</v>
      </c>
      <c r="K21" s="20">
        <f t="shared" si="5"/>
        <v>656.40000000000009</v>
      </c>
      <c r="L21" s="20">
        <f t="shared" si="6"/>
        <v>0</v>
      </c>
      <c r="M21" s="20">
        <f>'Total income package'!$B$69</f>
        <v>500</v>
      </c>
      <c r="N21" s="20">
        <f t="shared" si="7"/>
        <v>500</v>
      </c>
      <c r="O21" s="344" t="str">
        <f t="shared" si="8"/>
        <v>Yes</v>
      </c>
      <c r="P21" s="20">
        <f t="shared" si="9"/>
        <v>328.20000000000005</v>
      </c>
      <c r="Q21" s="346">
        <f t="shared" si="10"/>
        <v>0</v>
      </c>
      <c r="R21" s="20">
        <f>IF(AND(D$2+$E$2&gt;0,N21-SNAP!P21&gt;0),N21-SNAP!P21,0)</f>
        <v>171.79999999999995</v>
      </c>
      <c r="S21" s="20">
        <f t="shared" si="11"/>
        <v>484.60000000000014</v>
      </c>
      <c r="T21" s="20">
        <f t="shared" si="3"/>
        <v>145.38000000000002</v>
      </c>
      <c r="U21" s="20">
        <f>IF(AND('Total income package'!$A$18=TRUE,OR(H21="Yes",O21="Yes"),G21&lt;$G$2,$K$2-T21&gt;10),ROUNDDOWN($K$2-T21,0),0)</f>
        <v>1425</v>
      </c>
      <c r="V21" s="176">
        <f t="shared" si="12"/>
        <v>1425</v>
      </c>
      <c r="W21" s="5"/>
    </row>
    <row r="22" spans="2:23" x14ac:dyDescent="0.25">
      <c r="B22" s="72">
        <v>8000</v>
      </c>
      <c r="C22" s="19">
        <f>MAX('TANF-VIEW'!L25,'TANF-VIEW'!T25)</f>
        <v>222.06666666666672</v>
      </c>
      <c r="D22" s="20">
        <f t="shared" si="13"/>
        <v>666.66666666666663</v>
      </c>
      <c r="E22" s="20">
        <f>'Total income package'!$D$80</f>
        <v>0</v>
      </c>
      <c r="F22" s="20">
        <f>'Total income package'!$H$61+'Total income package'!$F$66</f>
        <v>200</v>
      </c>
      <c r="G22" s="20">
        <f t="shared" si="4"/>
        <v>1088.7333333333333</v>
      </c>
      <c r="H22" s="20" t="str">
        <f t="shared" si="0"/>
        <v>Yes</v>
      </c>
      <c r="I22" s="20">
        <f t="shared" si="1"/>
        <v>133.33333333333334</v>
      </c>
      <c r="J22" s="20">
        <f t="shared" si="2"/>
        <v>299</v>
      </c>
      <c r="K22" s="20">
        <f t="shared" si="5"/>
        <v>656.4</v>
      </c>
      <c r="L22" s="20">
        <f t="shared" si="6"/>
        <v>0</v>
      </c>
      <c r="M22" s="20">
        <f>'Total income package'!$B$69</f>
        <v>500</v>
      </c>
      <c r="N22" s="20">
        <f t="shared" si="7"/>
        <v>500</v>
      </c>
      <c r="O22" s="344" t="str">
        <f t="shared" si="8"/>
        <v>Yes</v>
      </c>
      <c r="P22" s="20">
        <f t="shared" si="9"/>
        <v>328.2</v>
      </c>
      <c r="Q22" s="346">
        <f t="shared" si="10"/>
        <v>0</v>
      </c>
      <c r="R22" s="20">
        <f>IF(AND(D$2+$E$2&gt;0,N22-SNAP!P22&gt;0),N22-SNAP!P22,0)</f>
        <v>171.8</v>
      </c>
      <c r="S22" s="20">
        <f t="shared" si="11"/>
        <v>484.59999999999997</v>
      </c>
      <c r="T22" s="20">
        <f t="shared" si="3"/>
        <v>145.38</v>
      </c>
      <c r="U22" s="20">
        <f>IF(AND('Total income package'!$A$18=TRUE,OR(H22="Yes",O22="Yes"),G22&lt;$G$2,$K$2-T22&gt;10),ROUNDDOWN($K$2-T22,0),0)</f>
        <v>1425</v>
      </c>
      <c r="V22" s="176">
        <f t="shared" si="12"/>
        <v>1425</v>
      </c>
      <c r="W22" s="5"/>
    </row>
    <row r="23" spans="2:23" x14ac:dyDescent="0.25">
      <c r="B23" s="72">
        <v>8500</v>
      </c>
      <c r="C23" s="19">
        <f>MAX('TANF-VIEW'!L26,'TANF-VIEW'!T26)</f>
        <v>188.73333333333329</v>
      </c>
      <c r="D23" s="20">
        <f t="shared" si="13"/>
        <v>708.33333333333337</v>
      </c>
      <c r="E23" s="20">
        <f>'Total income package'!$D$80</f>
        <v>0</v>
      </c>
      <c r="F23" s="20">
        <f>'Total income package'!$H$61+'Total income package'!$F$66</f>
        <v>200</v>
      </c>
      <c r="G23" s="20">
        <f t="shared" si="4"/>
        <v>1097.0666666666666</v>
      </c>
      <c r="H23" s="20" t="str">
        <f t="shared" si="0"/>
        <v>Yes</v>
      </c>
      <c r="I23" s="20">
        <f t="shared" si="1"/>
        <v>141.66666666666669</v>
      </c>
      <c r="J23" s="20">
        <f t="shared" si="2"/>
        <v>299</v>
      </c>
      <c r="K23" s="20">
        <f t="shared" si="5"/>
        <v>656.39999999999986</v>
      </c>
      <c r="L23" s="20">
        <f t="shared" si="6"/>
        <v>0</v>
      </c>
      <c r="M23" s="20">
        <f>'Total income package'!$B$69</f>
        <v>500</v>
      </c>
      <c r="N23" s="20">
        <f t="shared" si="7"/>
        <v>500</v>
      </c>
      <c r="O23" s="344" t="str">
        <f t="shared" si="8"/>
        <v>Yes</v>
      </c>
      <c r="P23" s="20">
        <f t="shared" si="9"/>
        <v>328.19999999999993</v>
      </c>
      <c r="Q23" s="346">
        <f t="shared" si="10"/>
        <v>0</v>
      </c>
      <c r="R23" s="20">
        <f>IF(AND(D$2+$E$2&gt;0,N23-SNAP!P23&gt;0),N23-SNAP!P23,0)</f>
        <v>171.80000000000007</v>
      </c>
      <c r="S23" s="20">
        <f t="shared" si="11"/>
        <v>484.5999999999998</v>
      </c>
      <c r="T23" s="20">
        <f t="shared" si="3"/>
        <v>145.37999999999994</v>
      </c>
      <c r="U23" s="20">
        <f>IF(AND('Total income package'!$A$18=TRUE,OR(H23="Yes",O23="Yes"),G23&lt;$G$2,$K$2-T23&gt;10),ROUNDDOWN($K$2-T23,0),0)</f>
        <v>1425</v>
      </c>
      <c r="V23" s="176">
        <f t="shared" si="12"/>
        <v>1425</v>
      </c>
      <c r="W23" s="5"/>
    </row>
    <row r="24" spans="2:23" x14ac:dyDescent="0.25">
      <c r="B24" s="72">
        <v>9000</v>
      </c>
      <c r="C24" s="19">
        <f>MAX('TANF-VIEW'!L27,'TANF-VIEW'!T27)</f>
        <v>155.39999999999998</v>
      </c>
      <c r="D24" s="20">
        <f t="shared" si="13"/>
        <v>750</v>
      </c>
      <c r="E24" s="20">
        <f>'Total income package'!$D$80</f>
        <v>0</v>
      </c>
      <c r="F24" s="20">
        <f>'Total income package'!$H$61+'Total income package'!$F$66</f>
        <v>200</v>
      </c>
      <c r="G24" s="20">
        <f t="shared" si="4"/>
        <v>1105.4000000000001</v>
      </c>
      <c r="H24" s="20" t="str">
        <f t="shared" si="0"/>
        <v>Yes</v>
      </c>
      <c r="I24" s="20">
        <f t="shared" si="1"/>
        <v>150</v>
      </c>
      <c r="J24" s="20">
        <f t="shared" si="2"/>
        <v>299</v>
      </c>
      <c r="K24" s="20">
        <f t="shared" si="5"/>
        <v>656.40000000000009</v>
      </c>
      <c r="L24" s="20">
        <f t="shared" si="6"/>
        <v>0</v>
      </c>
      <c r="M24" s="20">
        <f>'Total income package'!$B$69</f>
        <v>500</v>
      </c>
      <c r="N24" s="20">
        <f t="shared" si="7"/>
        <v>500</v>
      </c>
      <c r="O24" s="344" t="str">
        <f t="shared" si="8"/>
        <v>Yes</v>
      </c>
      <c r="P24" s="20">
        <f t="shared" si="9"/>
        <v>328.20000000000005</v>
      </c>
      <c r="Q24" s="346">
        <f t="shared" si="10"/>
        <v>0</v>
      </c>
      <c r="R24" s="20">
        <f>IF(AND(D$2+$E$2&gt;0,N24-SNAP!P24&gt;0),N24-SNAP!P24,0)</f>
        <v>171.79999999999995</v>
      </c>
      <c r="S24" s="20">
        <f t="shared" si="11"/>
        <v>484.60000000000014</v>
      </c>
      <c r="T24" s="20">
        <f t="shared" si="3"/>
        <v>145.38000000000002</v>
      </c>
      <c r="U24" s="20">
        <f>IF(AND('Total income package'!$A$18=TRUE,OR(H24="Yes",O24="Yes"),G24&lt;$G$2,$K$2-T24&gt;10),ROUNDDOWN($K$2-T24,0),0)</f>
        <v>1425</v>
      </c>
      <c r="V24" s="176">
        <f t="shared" si="12"/>
        <v>1425</v>
      </c>
      <c r="W24" s="5"/>
    </row>
    <row r="25" spans="2:23" x14ac:dyDescent="0.25">
      <c r="B25" s="72">
        <v>9500</v>
      </c>
      <c r="C25" s="19">
        <f>MAX('TANF-VIEW'!L28,'TANF-VIEW'!T28)</f>
        <v>122.06666666666672</v>
      </c>
      <c r="D25" s="20">
        <f t="shared" si="13"/>
        <v>791.66666666666663</v>
      </c>
      <c r="E25" s="20">
        <f>'Total income package'!$D$80</f>
        <v>0</v>
      </c>
      <c r="F25" s="20">
        <f>'Total income package'!$H$61+'Total income package'!$F$66</f>
        <v>200</v>
      </c>
      <c r="G25" s="20">
        <f t="shared" si="4"/>
        <v>1113.7333333333333</v>
      </c>
      <c r="H25" s="20" t="str">
        <f t="shared" si="0"/>
        <v>Yes</v>
      </c>
      <c r="I25" s="20">
        <f t="shared" si="1"/>
        <v>158.33333333333334</v>
      </c>
      <c r="J25" s="20">
        <f t="shared" si="2"/>
        <v>299</v>
      </c>
      <c r="K25" s="20">
        <f t="shared" si="5"/>
        <v>656.4</v>
      </c>
      <c r="L25" s="20">
        <f t="shared" si="6"/>
        <v>0</v>
      </c>
      <c r="M25" s="20">
        <f>'Total income package'!$B$69</f>
        <v>500</v>
      </c>
      <c r="N25" s="20">
        <f t="shared" si="7"/>
        <v>500</v>
      </c>
      <c r="O25" s="344" t="str">
        <f t="shared" si="8"/>
        <v>Yes</v>
      </c>
      <c r="P25" s="20">
        <f t="shared" si="9"/>
        <v>328.2</v>
      </c>
      <c r="Q25" s="346">
        <f t="shared" si="10"/>
        <v>0</v>
      </c>
      <c r="R25" s="20">
        <f>IF(AND(D$2+$E$2&gt;0,N25-SNAP!P25&gt;0),N25-SNAP!P25,0)</f>
        <v>171.8</v>
      </c>
      <c r="S25" s="20">
        <f t="shared" si="11"/>
        <v>484.59999999999997</v>
      </c>
      <c r="T25" s="20">
        <f t="shared" si="3"/>
        <v>145.38</v>
      </c>
      <c r="U25" s="20">
        <f>IF(AND('Total income package'!$A$18=TRUE,OR(H25="Yes",O25="Yes"),G25&lt;$G$2,$K$2-T25&gt;10),ROUNDDOWN($K$2-T25,0),0)</f>
        <v>1425</v>
      </c>
      <c r="V25" s="176">
        <f t="shared" si="12"/>
        <v>1425</v>
      </c>
      <c r="W25" s="5"/>
    </row>
    <row r="26" spans="2:23" x14ac:dyDescent="0.25">
      <c r="B26" s="72">
        <v>10000</v>
      </c>
      <c r="C26" s="19">
        <f>MAX('TANF-VIEW'!L29,'TANF-VIEW'!T29)</f>
        <v>88.733333333333292</v>
      </c>
      <c r="D26" s="20">
        <f t="shared" si="13"/>
        <v>833.33333333333337</v>
      </c>
      <c r="E26" s="20">
        <f>'Total income package'!$D$80</f>
        <v>0</v>
      </c>
      <c r="F26" s="20">
        <f>'Total income package'!$H$61+'Total income package'!$F$66</f>
        <v>200</v>
      </c>
      <c r="G26" s="20">
        <f t="shared" si="4"/>
        <v>1122.0666666666666</v>
      </c>
      <c r="H26" s="20" t="str">
        <f t="shared" si="0"/>
        <v>Yes</v>
      </c>
      <c r="I26" s="20">
        <f t="shared" si="1"/>
        <v>166.66666666666669</v>
      </c>
      <c r="J26" s="20">
        <f t="shared" si="2"/>
        <v>299</v>
      </c>
      <c r="K26" s="20">
        <f t="shared" si="5"/>
        <v>656.39999999999986</v>
      </c>
      <c r="L26" s="20">
        <f t="shared" si="6"/>
        <v>0</v>
      </c>
      <c r="M26" s="20">
        <f>'Total income package'!$B$69</f>
        <v>500</v>
      </c>
      <c r="N26" s="20">
        <f t="shared" si="7"/>
        <v>500</v>
      </c>
      <c r="O26" s="344" t="str">
        <f t="shared" si="8"/>
        <v>Yes</v>
      </c>
      <c r="P26" s="20">
        <f t="shared" si="9"/>
        <v>328.19999999999993</v>
      </c>
      <c r="Q26" s="346">
        <f t="shared" si="10"/>
        <v>0</v>
      </c>
      <c r="R26" s="20">
        <f>IF(AND(D$2+$E$2&gt;0,N26-SNAP!P26&gt;0),N26-SNAP!P26,0)</f>
        <v>171.80000000000007</v>
      </c>
      <c r="S26" s="20">
        <f t="shared" si="11"/>
        <v>484.5999999999998</v>
      </c>
      <c r="T26" s="20">
        <f t="shared" si="3"/>
        <v>145.37999999999994</v>
      </c>
      <c r="U26" s="20">
        <f>IF(AND('Total income package'!$A$18=TRUE,OR(H26="Yes",O26="Yes"),G26&lt;$G$2,$K$2-T26&gt;10),ROUNDDOWN($K$2-T26,0),0)</f>
        <v>1425</v>
      </c>
      <c r="V26" s="176">
        <f t="shared" si="12"/>
        <v>1425</v>
      </c>
      <c r="W26" s="5"/>
    </row>
    <row r="27" spans="2:23" x14ac:dyDescent="0.25">
      <c r="B27" s="72">
        <v>10500</v>
      </c>
      <c r="C27" s="19">
        <f>MAX('TANF-VIEW'!L30,'TANF-VIEW'!T30)</f>
        <v>55.399999999999977</v>
      </c>
      <c r="D27" s="20">
        <f t="shared" si="13"/>
        <v>875</v>
      </c>
      <c r="E27" s="20">
        <f>'Total income package'!$D$80</f>
        <v>0</v>
      </c>
      <c r="F27" s="20">
        <f>'Total income package'!$H$61+'Total income package'!$F$66</f>
        <v>200</v>
      </c>
      <c r="G27" s="20">
        <f t="shared" si="4"/>
        <v>1130.4000000000001</v>
      </c>
      <c r="H27" s="20" t="str">
        <f t="shared" si="0"/>
        <v>Yes</v>
      </c>
      <c r="I27" s="20">
        <f t="shared" si="1"/>
        <v>175</v>
      </c>
      <c r="J27" s="20">
        <f t="shared" si="2"/>
        <v>299</v>
      </c>
      <c r="K27" s="20">
        <f t="shared" si="5"/>
        <v>656.40000000000009</v>
      </c>
      <c r="L27" s="20">
        <f t="shared" si="6"/>
        <v>0</v>
      </c>
      <c r="M27" s="20">
        <f>'Total income package'!$B$69</f>
        <v>500</v>
      </c>
      <c r="N27" s="20">
        <f t="shared" si="7"/>
        <v>500</v>
      </c>
      <c r="O27" s="344" t="str">
        <f t="shared" si="8"/>
        <v>Yes</v>
      </c>
      <c r="P27" s="20">
        <f t="shared" si="9"/>
        <v>328.20000000000005</v>
      </c>
      <c r="Q27" s="346">
        <f t="shared" si="10"/>
        <v>0</v>
      </c>
      <c r="R27" s="20">
        <f>IF(AND(D$2+$E$2&gt;0,N27-SNAP!P27&gt;0),N27-SNAP!P27,0)</f>
        <v>171.79999999999995</v>
      </c>
      <c r="S27" s="20">
        <f t="shared" si="11"/>
        <v>484.60000000000014</v>
      </c>
      <c r="T27" s="20">
        <f t="shared" si="3"/>
        <v>145.38000000000002</v>
      </c>
      <c r="U27" s="20">
        <f>IF(AND('Total income package'!$A$18=TRUE,OR(H27="Yes",O27="Yes"),G27&lt;$G$2,$K$2-T27&gt;10),ROUNDDOWN($K$2-T27,0),0)</f>
        <v>1425</v>
      </c>
      <c r="V27" s="176">
        <f t="shared" si="12"/>
        <v>1425</v>
      </c>
      <c r="W27" s="5"/>
    </row>
    <row r="28" spans="2:23" x14ac:dyDescent="0.25">
      <c r="B28" s="72">
        <v>11000</v>
      </c>
      <c r="C28" s="19">
        <f>MAX('TANF-VIEW'!L31,'TANF-VIEW'!T31)</f>
        <v>22.06666666666672</v>
      </c>
      <c r="D28" s="20">
        <f t="shared" si="13"/>
        <v>916.66666666666663</v>
      </c>
      <c r="E28" s="20">
        <f>'Total income package'!$D$80</f>
        <v>0</v>
      </c>
      <c r="F28" s="20">
        <f>'Total income package'!$H$61+'Total income package'!$F$66</f>
        <v>200</v>
      </c>
      <c r="G28" s="20">
        <f t="shared" si="4"/>
        <v>1138.7333333333333</v>
      </c>
      <c r="H28" s="20" t="str">
        <f t="shared" si="0"/>
        <v>Yes</v>
      </c>
      <c r="I28" s="20">
        <f t="shared" si="1"/>
        <v>183.33333333333334</v>
      </c>
      <c r="J28" s="20">
        <f t="shared" si="2"/>
        <v>299</v>
      </c>
      <c r="K28" s="20">
        <f t="shared" si="5"/>
        <v>656.4</v>
      </c>
      <c r="L28" s="20">
        <f t="shared" si="6"/>
        <v>0</v>
      </c>
      <c r="M28" s="20">
        <f>'Total income package'!$B$69</f>
        <v>500</v>
      </c>
      <c r="N28" s="20">
        <f t="shared" si="7"/>
        <v>500</v>
      </c>
      <c r="O28" s="344" t="str">
        <f t="shared" si="8"/>
        <v>Yes</v>
      </c>
      <c r="P28" s="20">
        <f t="shared" si="9"/>
        <v>328.2</v>
      </c>
      <c r="Q28" s="346">
        <f t="shared" si="10"/>
        <v>0</v>
      </c>
      <c r="R28" s="20">
        <f>IF(AND(D$2+$E$2&gt;0,N28-SNAP!P28&gt;0),N28-SNAP!P28,0)</f>
        <v>171.8</v>
      </c>
      <c r="S28" s="20">
        <f t="shared" si="11"/>
        <v>484.59999999999997</v>
      </c>
      <c r="T28" s="20">
        <f t="shared" si="3"/>
        <v>145.38</v>
      </c>
      <c r="U28" s="20">
        <f>IF(AND('Total income package'!$A$18=TRUE,OR(H28="Yes",O28="Yes"),G28&lt;$G$2,$K$2-T28&gt;10),ROUNDDOWN($K$2-T28,0),0)</f>
        <v>1425</v>
      </c>
      <c r="V28" s="176">
        <f t="shared" si="12"/>
        <v>1425</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299</v>
      </c>
      <c r="K29" s="20">
        <f t="shared" si="5"/>
        <v>667.66666666666674</v>
      </c>
      <c r="L29" s="20">
        <f t="shared" si="6"/>
        <v>0</v>
      </c>
      <c r="M29" s="20">
        <f>'Total income package'!$B$69</f>
        <v>500</v>
      </c>
      <c r="N29" s="20">
        <f t="shared" si="7"/>
        <v>500</v>
      </c>
      <c r="O29" s="344" t="str">
        <f t="shared" si="8"/>
        <v>Yes</v>
      </c>
      <c r="P29" s="20">
        <f t="shared" si="9"/>
        <v>333.83333333333337</v>
      </c>
      <c r="Q29" s="346">
        <f t="shared" si="10"/>
        <v>0</v>
      </c>
      <c r="R29" s="20">
        <f>IF(AND(D$2+$E$2&gt;0,N29-SNAP!P29&gt;0),N29-SNAP!P29,0)</f>
        <v>166.16666666666663</v>
      </c>
      <c r="S29" s="20">
        <f t="shared" si="11"/>
        <v>501.50000000000011</v>
      </c>
      <c r="T29" s="20">
        <f t="shared" si="3"/>
        <v>150.45000000000002</v>
      </c>
      <c r="U29" s="20">
        <f>IF(AND('Total income package'!$A$18=TRUE,OR(H29="Yes",O29="Yes"),G29&lt;$G$2,$K$2-T29&gt;10),ROUNDDOWN($K$2-T29,0),0)</f>
        <v>1420</v>
      </c>
      <c r="V29" s="176">
        <f t="shared" si="12"/>
        <v>1420</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299</v>
      </c>
      <c r="K30" s="20">
        <f t="shared" si="5"/>
        <v>701</v>
      </c>
      <c r="L30" s="20">
        <f t="shared" si="6"/>
        <v>0</v>
      </c>
      <c r="M30" s="20">
        <f>'Total income package'!$B$69</f>
        <v>500</v>
      </c>
      <c r="N30" s="20">
        <f t="shared" si="7"/>
        <v>500</v>
      </c>
      <c r="O30" s="344" t="str">
        <f t="shared" si="8"/>
        <v>Yes</v>
      </c>
      <c r="P30" s="20">
        <f t="shared" si="9"/>
        <v>350.5</v>
      </c>
      <c r="Q30" s="346">
        <f t="shared" si="10"/>
        <v>0</v>
      </c>
      <c r="R30" s="20">
        <f>IF(AND(D$2+$E$2&gt;0,N30-SNAP!P30&gt;0),N30-SNAP!P30,0)</f>
        <v>149.5</v>
      </c>
      <c r="S30" s="20">
        <f t="shared" si="11"/>
        <v>551.5</v>
      </c>
      <c r="T30" s="20">
        <f t="shared" si="3"/>
        <v>165.45</v>
      </c>
      <c r="U30" s="20">
        <f>IF(AND('Total income package'!$A$18=TRUE,OR(H30="Yes",O30="Yes"),G30&lt;$G$2,$K$2-T30&gt;10),ROUNDDOWN($K$2-T30,0),0)</f>
        <v>1405</v>
      </c>
      <c r="V30" s="176">
        <f t="shared" si="12"/>
        <v>1405</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299</v>
      </c>
      <c r="K31" s="20">
        <f t="shared" si="5"/>
        <v>734.33333333333348</v>
      </c>
      <c r="L31" s="20">
        <f t="shared" si="6"/>
        <v>0</v>
      </c>
      <c r="M31" s="20">
        <f>'Total income package'!$B$69</f>
        <v>500</v>
      </c>
      <c r="N31" s="20">
        <f t="shared" si="7"/>
        <v>500</v>
      </c>
      <c r="O31" s="344" t="str">
        <f t="shared" si="8"/>
        <v>Yes</v>
      </c>
      <c r="P31" s="20">
        <f t="shared" si="9"/>
        <v>367.16666666666674</v>
      </c>
      <c r="Q31" s="346">
        <f t="shared" si="10"/>
        <v>0</v>
      </c>
      <c r="R31" s="20">
        <f>IF(AND(D$2+$E$2&gt;0,N31-SNAP!P31&gt;0),N31-SNAP!P31,0)</f>
        <v>132.83333333333326</v>
      </c>
      <c r="S31" s="20">
        <f t="shared" si="11"/>
        <v>601.50000000000023</v>
      </c>
      <c r="T31" s="20">
        <f t="shared" si="3"/>
        <v>180.45000000000007</v>
      </c>
      <c r="U31" s="20">
        <f>IF(AND('Total income package'!$A$18=TRUE,OR(H31="Yes",O31="Yes"),G31&lt;$G$2,$K$2-T31&gt;10),ROUNDDOWN($K$2-T31,0),0)</f>
        <v>1390</v>
      </c>
      <c r="V31" s="176">
        <f t="shared" si="12"/>
        <v>1390</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299</v>
      </c>
      <c r="K32" s="20">
        <f t="shared" si="5"/>
        <v>767.66666666666652</v>
      </c>
      <c r="L32" s="20">
        <f t="shared" si="6"/>
        <v>0</v>
      </c>
      <c r="M32" s="20">
        <f>'Total income package'!$B$69</f>
        <v>500</v>
      </c>
      <c r="N32" s="20">
        <f t="shared" si="7"/>
        <v>500</v>
      </c>
      <c r="O32" s="344" t="str">
        <f t="shared" si="8"/>
        <v>Yes</v>
      </c>
      <c r="P32" s="20">
        <f t="shared" si="9"/>
        <v>383.83333333333326</v>
      </c>
      <c r="Q32" s="346">
        <f t="shared" si="10"/>
        <v>0</v>
      </c>
      <c r="R32" s="20">
        <f>IF(AND(D$2+$E$2&gt;0,N32-SNAP!P32&gt;0),N32-SNAP!P32,0)</f>
        <v>116.16666666666674</v>
      </c>
      <c r="S32" s="20">
        <f t="shared" si="11"/>
        <v>651.49999999999977</v>
      </c>
      <c r="T32" s="20">
        <f t="shared" si="3"/>
        <v>195.44999999999993</v>
      </c>
      <c r="U32" s="20">
        <f>IF(AND('Total income package'!$A$18=TRUE,OR(H32="Yes",O32="Yes"),G32&lt;$G$2,$K$2-T32&gt;10),ROUNDDOWN($K$2-T32,0),0)</f>
        <v>1375</v>
      </c>
      <c r="V32" s="176">
        <f t="shared" si="12"/>
        <v>1375</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299</v>
      </c>
      <c r="K33" s="20">
        <f t="shared" si="5"/>
        <v>801</v>
      </c>
      <c r="L33" s="20">
        <f t="shared" si="6"/>
        <v>0</v>
      </c>
      <c r="M33" s="20">
        <f>'Total income package'!$B$69</f>
        <v>500</v>
      </c>
      <c r="N33" s="20">
        <f t="shared" si="7"/>
        <v>500</v>
      </c>
      <c r="O33" s="344" t="str">
        <f t="shared" si="8"/>
        <v>Yes</v>
      </c>
      <c r="P33" s="20">
        <f t="shared" si="9"/>
        <v>400.5</v>
      </c>
      <c r="Q33" s="346">
        <f t="shared" si="10"/>
        <v>0</v>
      </c>
      <c r="R33" s="20">
        <f>IF(AND(D$2+$E$2&gt;0,N33-SNAP!P33&gt;0),N33-SNAP!P33,0)</f>
        <v>99.5</v>
      </c>
      <c r="S33" s="20">
        <f t="shared" si="11"/>
        <v>701.5</v>
      </c>
      <c r="T33" s="20">
        <f t="shared" si="3"/>
        <v>210.45</v>
      </c>
      <c r="U33" s="20">
        <f>IF(AND('Total income package'!$A$18=TRUE,OR(H33="Yes",O33="Yes"),G33&lt;$G$2,$K$2-T33&gt;10),ROUNDDOWN($K$2-T33,0),0)</f>
        <v>1360</v>
      </c>
      <c r="V33" s="176">
        <f t="shared" si="12"/>
        <v>1360</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299</v>
      </c>
      <c r="K34" s="20">
        <f t="shared" si="5"/>
        <v>834.33333333333348</v>
      </c>
      <c r="L34" s="20">
        <f t="shared" si="6"/>
        <v>0</v>
      </c>
      <c r="M34" s="20">
        <f>'Total income package'!$B$69</f>
        <v>500</v>
      </c>
      <c r="N34" s="20">
        <f t="shared" si="7"/>
        <v>500</v>
      </c>
      <c r="O34" s="344" t="str">
        <f t="shared" si="8"/>
        <v>Yes</v>
      </c>
      <c r="P34" s="20">
        <f t="shared" si="9"/>
        <v>417.16666666666674</v>
      </c>
      <c r="Q34" s="346">
        <f t="shared" si="10"/>
        <v>0</v>
      </c>
      <c r="R34" s="20">
        <f>IF(AND(D$2+$E$2&gt;0,N34-SNAP!P34&gt;0),N34-SNAP!P34,0)</f>
        <v>82.833333333333258</v>
      </c>
      <c r="S34" s="20">
        <f t="shared" si="11"/>
        <v>751.50000000000023</v>
      </c>
      <c r="T34" s="20">
        <f t="shared" si="3"/>
        <v>225.45000000000007</v>
      </c>
      <c r="U34" s="20">
        <f>IF(AND('Total income package'!$A$18=TRUE,OR(H34="Yes",O34="Yes"),G34&lt;$G$2,$K$2-T34&gt;10),ROUNDDOWN($K$2-T34,0),0)</f>
        <v>1345</v>
      </c>
      <c r="V34" s="176">
        <f t="shared" si="12"/>
        <v>1345</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299</v>
      </c>
      <c r="K35" s="20">
        <f t="shared" si="5"/>
        <v>867.66666666666652</v>
      </c>
      <c r="L35" s="20">
        <f t="shared" si="6"/>
        <v>0</v>
      </c>
      <c r="M35" s="20">
        <f>'Total income package'!$B$69</f>
        <v>500</v>
      </c>
      <c r="N35" s="20">
        <f t="shared" si="7"/>
        <v>500</v>
      </c>
      <c r="O35" s="344" t="str">
        <f t="shared" si="8"/>
        <v>Yes</v>
      </c>
      <c r="P35" s="20">
        <f t="shared" si="9"/>
        <v>433.83333333333326</v>
      </c>
      <c r="Q35" s="346">
        <f t="shared" si="10"/>
        <v>0</v>
      </c>
      <c r="R35" s="20">
        <f>IF(AND(D$2+$E$2&gt;0,N35-SNAP!P35&gt;0),N35-SNAP!P35,0)</f>
        <v>66.166666666666742</v>
      </c>
      <c r="S35" s="20">
        <f t="shared" si="11"/>
        <v>801.49999999999977</v>
      </c>
      <c r="T35" s="20">
        <f t="shared" si="3"/>
        <v>240.44999999999993</v>
      </c>
      <c r="U35" s="20">
        <f>IF(AND('Total income package'!$A$18=TRUE,OR(H35="Yes",O35="Yes"),G35&lt;$G$2,$K$2-T35&gt;10),ROUNDDOWN($K$2-T35,0),0)</f>
        <v>1330</v>
      </c>
      <c r="V35" s="176">
        <f t="shared" si="12"/>
        <v>1330</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299</v>
      </c>
      <c r="K36" s="20">
        <f t="shared" si="5"/>
        <v>901</v>
      </c>
      <c r="L36" s="20">
        <f t="shared" si="6"/>
        <v>0</v>
      </c>
      <c r="M36" s="20">
        <f>'Total income package'!$B$69</f>
        <v>500</v>
      </c>
      <c r="N36" s="20">
        <f t="shared" si="7"/>
        <v>500</v>
      </c>
      <c r="O36" s="344" t="str">
        <f t="shared" si="8"/>
        <v>Yes</v>
      </c>
      <c r="P36" s="20">
        <f t="shared" si="9"/>
        <v>450.5</v>
      </c>
      <c r="Q36" s="346">
        <f t="shared" si="10"/>
        <v>0</v>
      </c>
      <c r="R36" s="20">
        <f>IF(AND(D$2+$E$2&gt;0,N36-SNAP!P36&gt;0),N36-SNAP!P36,0)</f>
        <v>49.5</v>
      </c>
      <c r="S36" s="20">
        <f t="shared" si="11"/>
        <v>851.5</v>
      </c>
      <c r="T36" s="20">
        <f t="shared" si="3"/>
        <v>255.45</v>
      </c>
      <c r="U36" s="20">
        <f>IF(AND('Total income package'!$A$18=TRUE,OR(H36="Yes",O36="Yes"),G36&lt;$G$2,$K$2-T36&gt;10),ROUNDDOWN($K$2-T36,0),0)</f>
        <v>1315</v>
      </c>
      <c r="V36" s="176">
        <f t="shared" si="12"/>
        <v>1315</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299</v>
      </c>
      <c r="K37" s="20">
        <f t="shared" si="5"/>
        <v>934.33333333333348</v>
      </c>
      <c r="L37" s="20">
        <f t="shared" si="6"/>
        <v>0</v>
      </c>
      <c r="M37" s="20">
        <f>'Total income package'!$B$69</f>
        <v>500</v>
      </c>
      <c r="N37" s="20">
        <f t="shared" si="7"/>
        <v>500</v>
      </c>
      <c r="O37" s="344" t="str">
        <f t="shared" si="8"/>
        <v>Yes</v>
      </c>
      <c r="P37" s="20">
        <f t="shared" si="9"/>
        <v>467.16666666666674</v>
      </c>
      <c r="Q37" s="346">
        <f t="shared" si="10"/>
        <v>0</v>
      </c>
      <c r="R37" s="20">
        <f>IF(AND(D$2+$E$2&gt;0,N37-SNAP!P37&gt;0),N37-SNAP!P37,0)</f>
        <v>32.833333333333258</v>
      </c>
      <c r="S37" s="20">
        <f t="shared" si="11"/>
        <v>901.50000000000023</v>
      </c>
      <c r="T37" s="20">
        <f t="shared" si="3"/>
        <v>270.45000000000005</v>
      </c>
      <c r="U37" s="20">
        <f>IF(AND('Total income package'!$A$18=TRUE,OR(H37="Yes",O37="Yes"),G37&lt;$G$2,$K$2-T37&gt;10),ROUNDDOWN($K$2-T37,0),0)</f>
        <v>1300</v>
      </c>
      <c r="V37" s="176">
        <f t="shared" si="12"/>
        <v>1300</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299</v>
      </c>
      <c r="K38" s="20">
        <f t="shared" si="5"/>
        <v>967.66666666666652</v>
      </c>
      <c r="L38" s="20">
        <f t="shared" si="6"/>
        <v>0</v>
      </c>
      <c r="M38" s="20">
        <f>'Total income package'!$B$69</f>
        <v>500</v>
      </c>
      <c r="N38" s="20">
        <f t="shared" si="7"/>
        <v>500</v>
      </c>
      <c r="O38" s="344" t="str">
        <f t="shared" si="8"/>
        <v>Yes</v>
      </c>
      <c r="P38" s="20">
        <f t="shared" si="9"/>
        <v>483.83333333333326</v>
      </c>
      <c r="Q38" s="346">
        <f t="shared" si="10"/>
        <v>0</v>
      </c>
      <c r="R38" s="20">
        <f>IF(AND(D$2+$E$2&gt;0,N38-SNAP!P38&gt;0),N38-SNAP!P38,0)</f>
        <v>16.166666666666742</v>
      </c>
      <c r="S38" s="20">
        <f t="shared" si="11"/>
        <v>951.49999999999977</v>
      </c>
      <c r="T38" s="20">
        <f t="shared" si="3"/>
        <v>285.44999999999993</v>
      </c>
      <c r="U38" s="20">
        <f>IF(AND('Total income package'!$A$18=TRUE,OR(H38="Yes",O38="Yes"),G38&lt;$G$2,$K$2-T38&gt;10),ROUNDDOWN($K$2-T38,0),0)</f>
        <v>1285</v>
      </c>
      <c r="V38" s="176">
        <f t="shared" si="12"/>
        <v>1285</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299</v>
      </c>
      <c r="K39" s="20">
        <f t="shared" si="5"/>
        <v>1001</v>
      </c>
      <c r="L39" s="20">
        <f t="shared" si="6"/>
        <v>0</v>
      </c>
      <c r="M39" s="20">
        <f>'Total income package'!$B$69</f>
        <v>500</v>
      </c>
      <c r="N39" s="20">
        <f t="shared" si="7"/>
        <v>500</v>
      </c>
      <c r="O39" s="344" t="str">
        <f t="shared" si="8"/>
        <v>Yes</v>
      </c>
      <c r="P39" s="20">
        <f t="shared" si="9"/>
        <v>500.5</v>
      </c>
      <c r="Q39" s="346">
        <f t="shared" si="10"/>
        <v>0</v>
      </c>
      <c r="R39" s="20">
        <f>IF(AND(D$2+$E$2&gt;0,N39-SNAP!P39&gt;0),N39-SNAP!P39,0)</f>
        <v>0</v>
      </c>
      <c r="S39" s="20">
        <f t="shared" si="11"/>
        <v>1001</v>
      </c>
      <c r="T39" s="20">
        <f t="shared" si="3"/>
        <v>300.3</v>
      </c>
      <c r="U39" s="20">
        <f>IF(AND('Total income package'!$A$18=TRUE,OR(H39="Yes",O39="Yes"),G39&lt;$G$2,$K$2-T39&gt;10),ROUNDDOWN($K$2-T39,0),0)</f>
        <v>1270</v>
      </c>
      <c r="V39" s="176">
        <f t="shared" si="12"/>
        <v>1270</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299</v>
      </c>
      <c r="K40" s="20">
        <f t="shared" si="5"/>
        <v>1034.3333333333335</v>
      </c>
      <c r="L40" s="20">
        <f t="shared" si="6"/>
        <v>0</v>
      </c>
      <c r="M40" s="20">
        <f>'Total income package'!$B$69</f>
        <v>500</v>
      </c>
      <c r="N40" s="20">
        <f t="shared" si="7"/>
        <v>500</v>
      </c>
      <c r="O40" s="344" t="str">
        <f t="shared" si="8"/>
        <v>Yes</v>
      </c>
      <c r="P40" s="20">
        <f t="shared" si="9"/>
        <v>517.16666666666674</v>
      </c>
      <c r="Q40" s="346">
        <f t="shared" si="10"/>
        <v>0</v>
      </c>
      <c r="R40" s="20">
        <f>IF(AND(D$2+$E$2&gt;0,N40-SNAP!P40&gt;0),N40-SNAP!P40,0)</f>
        <v>0</v>
      </c>
      <c r="S40" s="20">
        <f t="shared" si="11"/>
        <v>1034.3333333333335</v>
      </c>
      <c r="T40" s="20">
        <f t="shared" si="3"/>
        <v>310.3</v>
      </c>
      <c r="U40" s="20">
        <f>IF(AND('Total income package'!$A$18=TRUE,OR(H40="Yes",O40="Yes"),G40&lt;$G$2,$K$2-T40&gt;10),ROUNDDOWN($K$2-T40,0),0)</f>
        <v>1260</v>
      </c>
      <c r="V40" s="176">
        <f t="shared" si="12"/>
        <v>1260</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299</v>
      </c>
      <c r="K41" s="20">
        <f t="shared" si="5"/>
        <v>1067.6666666666665</v>
      </c>
      <c r="L41" s="20">
        <f t="shared" si="6"/>
        <v>0</v>
      </c>
      <c r="M41" s="20">
        <f>'Total income package'!$B$69</f>
        <v>500</v>
      </c>
      <c r="N41" s="20">
        <f t="shared" si="7"/>
        <v>500</v>
      </c>
      <c r="O41" s="344" t="str">
        <f t="shared" si="8"/>
        <v>Yes</v>
      </c>
      <c r="P41" s="20">
        <f t="shared" si="9"/>
        <v>533.83333333333326</v>
      </c>
      <c r="Q41" s="346">
        <f t="shared" si="10"/>
        <v>0</v>
      </c>
      <c r="R41" s="20">
        <f>IF(AND(D$2+$E$2&gt;0,N41-SNAP!P41&gt;0),N41-SNAP!P41,0)</f>
        <v>0</v>
      </c>
      <c r="S41" s="20">
        <f t="shared" si="11"/>
        <v>1067.6666666666665</v>
      </c>
      <c r="T41" s="20">
        <f t="shared" si="3"/>
        <v>320.29999999999995</v>
      </c>
      <c r="U41" s="20">
        <f>IF(AND('Total income package'!$A$18=TRUE,OR(H41="Yes",O41="Yes"),G41&lt;$G$2,$K$2-T41&gt;10),ROUNDDOWN($K$2-T41,0),0)</f>
        <v>1250</v>
      </c>
      <c r="V41" s="176">
        <f t="shared" si="12"/>
        <v>1250</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299</v>
      </c>
      <c r="K42" s="20">
        <f t="shared" si="5"/>
        <v>1101</v>
      </c>
      <c r="L42" s="20">
        <f t="shared" si="6"/>
        <v>0</v>
      </c>
      <c r="M42" s="20">
        <f>'Total income package'!$B$69</f>
        <v>500</v>
      </c>
      <c r="N42" s="20">
        <f t="shared" si="7"/>
        <v>500</v>
      </c>
      <c r="O42" s="344" t="str">
        <f t="shared" si="8"/>
        <v>Yes</v>
      </c>
      <c r="P42" s="20">
        <f t="shared" si="9"/>
        <v>550.5</v>
      </c>
      <c r="Q42" s="346">
        <f t="shared" si="10"/>
        <v>0</v>
      </c>
      <c r="R42" s="20">
        <f>IF(AND(D$2+$E$2&gt;0,N42-SNAP!P42&gt;0),N42-SNAP!P42,0)</f>
        <v>0</v>
      </c>
      <c r="S42" s="20">
        <f t="shared" si="11"/>
        <v>1101</v>
      </c>
      <c r="T42" s="20">
        <f t="shared" si="3"/>
        <v>330.3</v>
      </c>
      <c r="U42" s="20">
        <f>IF(AND('Total income package'!$A$18=TRUE,OR(H42="Yes",O42="Yes"),G42&lt;$G$2,$K$2-T42&gt;10),ROUNDDOWN($K$2-T42,0),0)</f>
        <v>1240</v>
      </c>
      <c r="V42" s="176">
        <f t="shared" si="12"/>
        <v>1240</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299</v>
      </c>
      <c r="K43" s="20">
        <f t="shared" si="5"/>
        <v>1134.3333333333335</v>
      </c>
      <c r="L43" s="20">
        <f t="shared" si="6"/>
        <v>0</v>
      </c>
      <c r="M43" s="20">
        <f>'Total income package'!$B$69</f>
        <v>500</v>
      </c>
      <c r="N43" s="20">
        <f t="shared" si="7"/>
        <v>500</v>
      </c>
      <c r="O43" s="344" t="str">
        <f t="shared" si="8"/>
        <v>Yes</v>
      </c>
      <c r="P43" s="20">
        <f t="shared" si="9"/>
        <v>567.16666666666674</v>
      </c>
      <c r="Q43" s="346">
        <f t="shared" si="10"/>
        <v>0</v>
      </c>
      <c r="R43" s="20">
        <f>IF(AND(D$2+$E$2&gt;0,N43-SNAP!P43&gt;0),N43-SNAP!P43,0)</f>
        <v>0</v>
      </c>
      <c r="S43" s="20">
        <f t="shared" si="11"/>
        <v>1134.3333333333335</v>
      </c>
      <c r="T43" s="20">
        <f t="shared" si="3"/>
        <v>340.3</v>
      </c>
      <c r="U43" s="20">
        <f>IF(AND('Total income package'!$A$18=TRUE,OR(H43="Yes",O43="Yes"),G43&lt;$G$2,$K$2-T43&gt;10),ROUNDDOWN($K$2-T43,0),0)</f>
        <v>1230</v>
      </c>
      <c r="V43" s="176">
        <f t="shared" si="12"/>
        <v>1230</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299</v>
      </c>
      <c r="K44" s="20">
        <f t="shared" si="5"/>
        <v>1167.6666666666665</v>
      </c>
      <c r="L44" s="20">
        <f t="shared" si="6"/>
        <v>0</v>
      </c>
      <c r="M44" s="20">
        <f>'Total income package'!$B$69</f>
        <v>500</v>
      </c>
      <c r="N44" s="20">
        <f t="shared" si="7"/>
        <v>500</v>
      </c>
      <c r="O44" s="344" t="str">
        <f t="shared" si="8"/>
        <v>Yes</v>
      </c>
      <c r="P44" s="20">
        <f t="shared" si="9"/>
        <v>583.83333333333326</v>
      </c>
      <c r="Q44" s="346">
        <f t="shared" si="10"/>
        <v>0</v>
      </c>
      <c r="R44" s="20">
        <f>IF(AND(D$2+$E$2&gt;0,N44-SNAP!P44&gt;0),N44-SNAP!P44,0)</f>
        <v>0</v>
      </c>
      <c r="S44" s="20">
        <f t="shared" si="11"/>
        <v>1167.6666666666665</v>
      </c>
      <c r="T44" s="20">
        <f t="shared" si="3"/>
        <v>350.29999999999995</v>
      </c>
      <c r="U44" s="20">
        <f>IF(AND('Total income package'!$A$18=TRUE,OR(H44="Yes",O44="Yes"),G44&lt;$G$2,$K$2-T44&gt;10),ROUNDDOWN($K$2-T44,0),0)</f>
        <v>1220</v>
      </c>
      <c r="V44" s="176">
        <f t="shared" si="12"/>
        <v>1220</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299</v>
      </c>
      <c r="K45" s="20">
        <f t="shared" si="5"/>
        <v>1201</v>
      </c>
      <c r="L45" s="20">
        <f t="shared" si="6"/>
        <v>0</v>
      </c>
      <c r="M45" s="20">
        <f>'Total income package'!$B$69</f>
        <v>500</v>
      </c>
      <c r="N45" s="20">
        <f t="shared" si="7"/>
        <v>500</v>
      </c>
      <c r="O45" s="344" t="str">
        <f t="shared" si="8"/>
        <v>Yes</v>
      </c>
      <c r="P45" s="20">
        <f t="shared" si="9"/>
        <v>600.5</v>
      </c>
      <c r="Q45" s="346">
        <f t="shared" si="10"/>
        <v>0</v>
      </c>
      <c r="R45" s="20">
        <f>IF(AND(D$2+$E$2&gt;0,N45-SNAP!P45&gt;0),N45-SNAP!P45,0)</f>
        <v>0</v>
      </c>
      <c r="S45" s="20">
        <f t="shared" si="11"/>
        <v>1201</v>
      </c>
      <c r="T45" s="20">
        <f t="shared" si="3"/>
        <v>360.3</v>
      </c>
      <c r="U45" s="20">
        <f>IF(AND('Total income package'!$A$18=TRUE,OR(H45="Yes",O45="Yes"),G45&lt;$G$2,$K$2-T45&gt;10),ROUNDDOWN($K$2-T45,0),0)</f>
        <v>1210</v>
      </c>
      <c r="V45" s="176">
        <f t="shared" si="12"/>
        <v>1210</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299</v>
      </c>
      <c r="K46" s="20">
        <f t="shared" si="5"/>
        <v>1234.3333333333335</v>
      </c>
      <c r="L46" s="20">
        <f t="shared" si="6"/>
        <v>0</v>
      </c>
      <c r="M46" s="20">
        <f>'Total income package'!$B$69</f>
        <v>500</v>
      </c>
      <c r="N46" s="20">
        <f t="shared" si="7"/>
        <v>500</v>
      </c>
      <c r="O46" s="344" t="str">
        <f t="shared" si="8"/>
        <v>Yes</v>
      </c>
      <c r="P46" s="20">
        <f t="shared" si="9"/>
        <v>617.16666666666674</v>
      </c>
      <c r="Q46" s="346">
        <f t="shared" si="10"/>
        <v>0</v>
      </c>
      <c r="R46" s="20">
        <f>IF(AND(D$2+$E$2&gt;0,N46-SNAP!P46&gt;0),N46-SNAP!P46,0)</f>
        <v>0</v>
      </c>
      <c r="S46" s="20">
        <f t="shared" si="11"/>
        <v>1234.3333333333335</v>
      </c>
      <c r="T46" s="20">
        <f t="shared" si="3"/>
        <v>370.3</v>
      </c>
      <c r="U46" s="20">
        <f>IF(AND('Total income package'!$A$18=TRUE,OR(H46="Yes",O46="Yes"),G46&lt;$G$2,$K$2-T46&gt;10),ROUNDDOWN($K$2-T46,0),0)</f>
        <v>1200</v>
      </c>
      <c r="V46" s="176">
        <f t="shared" si="12"/>
        <v>1200</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299</v>
      </c>
      <c r="K47" s="20">
        <f t="shared" si="5"/>
        <v>1267.6666666666665</v>
      </c>
      <c r="L47" s="20">
        <f t="shared" si="6"/>
        <v>0</v>
      </c>
      <c r="M47" s="20">
        <f>'Total income package'!$B$69</f>
        <v>500</v>
      </c>
      <c r="N47" s="20">
        <f t="shared" si="7"/>
        <v>500</v>
      </c>
      <c r="O47" s="344" t="str">
        <f t="shared" si="8"/>
        <v>Yes</v>
      </c>
      <c r="P47" s="20">
        <f t="shared" si="9"/>
        <v>633.83333333333326</v>
      </c>
      <c r="Q47" s="346">
        <f t="shared" si="10"/>
        <v>0</v>
      </c>
      <c r="R47" s="20">
        <f>IF(AND(D$2+$E$2&gt;0,N47-SNAP!P47&gt;0),N47-SNAP!P47,0)</f>
        <v>0</v>
      </c>
      <c r="S47" s="20">
        <f t="shared" si="11"/>
        <v>1267.6666666666665</v>
      </c>
      <c r="T47" s="20">
        <f t="shared" si="3"/>
        <v>380.29999999999995</v>
      </c>
      <c r="U47" s="20">
        <f>IF(AND('Total income package'!$A$18=TRUE,OR(H47="Yes",O47="Yes"),G47&lt;$G$2,$K$2-T47&gt;10),ROUNDDOWN($K$2-T47,0),0)</f>
        <v>1190</v>
      </c>
      <c r="V47" s="176">
        <f t="shared" si="12"/>
        <v>1190</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299</v>
      </c>
      <c r="K48" s="20">
        <f t="shared" si="5"/>
        <v>1301</v>
      </c>
      <c r="L48" s="20">
        <f t="shared" si="6"/>
        <v>0</v>
      </c>
      <c r="M48" s="20">
        <f>'Total income package'!$B$69</f>
        <v>500</v>
      </c>
      <c r="N48" s="20">
        <f t="shared" si="7"/>
        <v>500</v>
      </c>
      <c r="O48" s="344" t="str">
        <f t="shared" si="8"/>
        <v>Yes</v>
      </c>
      <c r="P48" s="20">
        <f t="shared" si="9"/>
        <v>650.5</v>
      </c>
      <c r="Q48" s="346">
        <f t="shared" si="10"/>
        <v>0</v>
      </c>
      <c r="R48" s="20">
        <f>IF(AND(D$2+$E$2&gt;0,N48-SNAP!P48&gt;0),N48-SNAP!P48,0)</f>
        <v>0</v>
      </c>
      <c r="S48" s="20">
        <f t="shared" si="11"/>
        <v>1301</v>
      </c>
      <c r="T48" s="20">
        <f t="shared" si="3"/>
        <v>390.3</v>
      </c>
      <c r="U48" s="20">
        <f>IF(AND('Total income package'!$A$18=TRUE,OR(H48="Yes",O48="Yes"),G48&lt;$G$2,$K$2-T48&gt;10),ROUNDDOWN($K$2-T48,0),0)</f>
        <v>1180</v>
      </c>
      <c r="V48" s="176">
        <f t="shared" si="12"/>
        <v>1180</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299</v>
      </c>
      <c r="K49" s="20">
        <f t="shared" si="5"/>
        <v>1334.3333333333335</v>
      </c>
      <c r="L49" s="20">
        <f t="shared" si="6"/>
        <v>0</v>
      </c>
      <c r="M49" s="20">
        <f>'Total income package'!$B$69</f>
        <v>500</v>
      </c>
      <c r="N49" s="20">
        <f t="shared" si="7"/>
        <v>500</v>
      </c>
      <c r="O49" s="344" t="str">
        <f t="shared" si="8"/>
        <v>Yes</v>
      </c>
      <c r="P49" s="20">
        <f t="shared" si="9"/>
        <v>667.16666666666674</v>
      </c>
      <c r="Q49" s="346">
        <f t="shared" si="10"/>
        <v>0</v>
      </c>
      <c r="R49" s="20">
        <f>IF(AND(D$2+$E$2&gt;0,N49-SNAP!P49&gt;0),N49-SNAP!P49,0)</f>
        <v>0</v>
      </c>
      <c r="S49" s="20">
        <f t="shared" si="11"/>
        <v>1334.3333333333335</v>
      </c>
      <c r="T49" s="20">
        <f t="shared" si="3"/>
        <v>400.3</v>
      </c>
      <c r="U49" s="20">
        <f>IF(AND('Total income package'!$A$18=TRUE,OR(H49="Yes",O49="Yes"),G49&lt;$G$2,$K$2-T49&gt;10),ROUNDDOWN($K$2-T49,0),0)</f>
        <v>1170</v>
      </c>
      <c r="V49" s="176">
        <f t="shared" si="12"/>
        <v>1170</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299</v>
      </c>
      <c r="K50" s="20">
        <f t="shared" si="5"/>
        <v>1367.6666666666665</v>
      </c>
      <c r="L50" s="20">
        <f t="shared" si="6"/>
        <v>0</v>
      </c>
      <c r="M50" s="20">
        <f>'Total income package'!$B$69</f>
        <v>500</v>
      </c>
      <c r="N50" s="20">
        <f t="shared" si="7"/>
        <v>500</v>
      </c>
      <c r="O50" s="344" t="str">
        <f t="shared" si="8"/>
        <v>Yes</v>
      </c>
      <c r="P50" s="20">
        <f t="shared" si="9"/>
        <v>683.83333333333326</v>
      </c>
      <c r="Q50" s="346">
        <f t="shared" si="10"/>
        <v>0</v>
      </c>
      <c r="R50" s="20">
        <f>IF(AND(D$2+$E$2&gt;0,N50-SNAP!P50&gt;0),N50-SNAP!P50,0)</f>
        <v>0</v>
      </c>
      <c r="S50" s="20">
        <f t="shared" si="11"/>
        <v>1367.6666666666665</v>
      </c>
      <c r="T50" s="20">
        <f t="shared" si="3"/>
        <v>410.29999999999995</v>
      </c>
      <c r="U50" s="20">
        <f>IF(AND('Total income package'!$A$18=TRUE,OR(H50="Yes",O50="Yes"),G50&lt;$G$2,$K$2-T50&gt;10),ROUNDDOWN($K$2-T50,0),0)</f>
        <v>1160</v>
      </c>
      <c r="V50" s="176">
        <f t="shared" si="12"/>
        <v>1160</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299</v>
      </c>
      <c r="K51" s="20">
        <f t="shared" si="5"/>
        <v>1401</v>
      </c>
      <c r="L51" s="20">
        <f t="shared" si="6"/>
        <v>0</v>
      </c>
      <c r="M51" s="20">
        <f>'Total income package'!$B$69</f>
        <v>500</v>
      </c>
      <c r="N51" s="20">
        <f t="shared" si="7"/>
        <v>500</v>
      </c>
      <c r="O51" s="344" t="str">
        <f t="shared" si="8"/>
        <v>Yes</v>
      </c>
      <c r="P51" s="20">
        <f t="shared" si="9"/>
        <v>700.5</v>
      </c>
      <c r="Q51" s="346">
        <f t="shared" si="10"/>
        <v>0</v>
      </c>
      <c r="R51" s="20">
        <f>IF(AND(D$2+$E$2&gt;0,N51-SNAP!P51&gt;0),N51-SNAP!P51,0)</f>
        <v>0</v>
      </c>
      <c r="S51" s="20">
        <f t="shared" si="11"/>
        <v>1401</v>
      </c>
      <c r="T51" s="20">
        <f t="shared" si="3"/>
        <v>420.3</v>
      </c>
      <c r="U51" s="20">
        <f>IF(AND('Total income package'!$A$18=TRUE,OR(H51="Yes",O51="Yes"),G51&lt;$G$2,$K$2-T51&gt;10),ROUNDDOWN($K$2-T51,0),0)</f>
        <v>1150</v>
      </c>
      <c r="V51" s="176">
        <f t="shared" si="12"/>
        <v>1150</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299</v>
      </c>
      <c r="K52" s="20">
        <f t="shared" si="5"/>
        <v>1434.3333333333335</v>
      </c>
      <c r="L52" s="20">
        <f t="shared" si="6"/>
        <v>0</v>
      </c>
      <c r="M52" s="20">
        <f>'Total income package'!$B$69</f>
        <v>500</v>
      </c>
      <c r="N52" s="20">
        <f t="shared" si="7"/>
        <v>500</v>
      </c>
      <c r="O52" s="344" t="str">
        <f t="shared" si="8"/>
        <v>Yes</v>
      </c>
      <c r="P52" s="20">
        <f t="shared" si="9"/>
        <v>717.16666666666674</v>
      </c>
      <c r="Q52" s="346">
        <f t="shared" si="10"/>
        <v>0</v>
      </c>
      <c r="R52" s="20">
        <f>IF(AND(D$2+$E$2&gt;0,N52-SNAP!P52&gt;0),N52-SNAP!P52,0)</f>
        <v>0</v>
      </c>
      <c r="S52" s="20">
        <f t="shared" si="11"/>
        <v>1434.3333333333335</v>
      </c>
      <c r="T52" s="20">
        <f t="shared" si="3"/>
        <v>430.3</v>
      </c>
      <c r="U52" s="20">
        <f>IF(AND('Total income package'!$A$18=TRUE,OR(H52="Yes",O52="Yes"),G52&lt;$G$2,$K$2-T52&gt;10),ROUNDDOWN($K$2-T52,0),0)</f>
        <v>1140</v>
      </c>
      <c r="V52" s="176">
        <f t="shared" si="12"/>
        <v>1140</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299</v>
      </c>
      <c r="K53" s="20">
        <f t="shared" si="5"/>
        <v>1467.6666666666663</v>
      </c>
      <c r="L53" s="20">
        <f t="shared" si="6"/>
        <v>0</v>
      </c>
      <c r="M53" s="20">
        <f>'Total income package'!$B$69</f>
        <v>500</v>
      </c>
      <c r="N53" s="20">
        <f t="shared" si="7"/>
        <v>500</v>
      </c>
      <c r="O53" s="344" t="str">
        <f t="shared" si="8"/>
        <v>Yes</v>
      </c>
      <c r="P53" s="20">
        <f t="shared" si="9"/>
        <v>733.83333333333314</v>
      </c>
      <c r="Q53" s="346">
        <f t="shared" si="10"/>
        <v>0</v>
      </c>
      <c r="R53" s="20">
        <f>IF(AND(D$2+$E$2&gt;0,N53-SNAP!P53&gt;0),N53-SNAP!P53,0)</f>
        <v>0</v>
      </c>
      <c r="S53" s="20">
        <f t="shared" si="11"/>
        <v>1467.6666666666663</v>
      </c>
      <c r="T53" s="20">
        <f t="shared" si="3"/>
        <v>440.2999999999999</v>
      </c>
      <c r="U53" s="20">
        <f>IF(AND('Total income package'!$A$18=TRUE,OR(H53="Yes",O53="Yes"),G53&lt;$G$2,$K$2-T53&gt;10),ROUNDDOWN($K$2-T53,0),0)</f>
        <v>1130</v>
      </c>
      <c r="V53" s="176">
        <f t="shared" si="12"/>
        <v>1130</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299</v>
      </c>
      <c r="K54" s="20">
        <f t="shared" si="5"/>
        <v>1501</v>
      </c>
      <c r="L54" s="20">
        <f t="shared" si="6"/>
        <v>0</v>
      </c>
      <c r="M54" s="20">
        <f>'Total income package'!$B$69</f>
        <v>500</v>
      </c>
      <c r="N54" s="20">
        <f t="shared" si="7"/>
        <v>500</v>
      </c>
      <c r="O54" s="344" t="str">
        <f t="shared" si="8"/>
        <v>Yes</v>
      </c>
      <c r="P54" s="20">
        <f t="shared" si="9"/>
        <v>750.5</v>
      </c>
      <c r="Q54" s="346">
        <f t="shared" si="10"/>
        <v>0</v>
      </c>
      <c r="R54" s="20">
        <f>IF(AND(D$2+$E$2&gt;0,N54-SNAP!P54&gt;0),N54-SNAP!P54,0)</f>
        <v>0</v>
      </c>
      <c r="S54" s="20">
        <f t="shared" si="11"/>
        <v>1501</v>
      </c>
      <c r="T54" s="20">
        <f t="shared" si="3"/>
        <v>450.3</v>
      </c>
      <c r="U54" s="20">
        <f>IF(AND('Total income package'!$A$18=TRUE,OR(H54="Yes",O54="Yes"),G54&lt;$G$2,$K$2-T54&gt;10),ROUNDDOWN($K$2-T54,0),0)</f>
        <v>1120</v>
      </c>
      <c r="V54" s="176">
        <f t="shared" si="12"/>
        <v>1120</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299</v>
      </c>
      <c r="K55" s="20">
        <f t="shared" si="5"/>
        <v>1534.3333333333335</v>
      </c>
      <c r="L55" s="20">
        <f t="shared" si="6"/>
        <v>0</v>
      </c>
      <c r="M55" s="20">
        <f>'Total income package'!$B$69</f>
        <v>500</v>
      </c>
      <c r="N55" s="20">
        <f t="shared" si="7"/>
        <v>500</v>
      </c>
      <c r="O55" s="344" t="str">
        <f t="shared" si="8"/>
        <v>Yes</v>
      </c>
      <c r="P55" s="20">
        <f t="shared" si="9"/>
        <v>767.16666666666674</v>
      </c>
      <c r="Q55" s="346">
        <f t="shared" si="10"/>
        <v>0</v>
      </c>
      <c r="R55" s="20">
        <f>IF(AND(D$2+$E$2&gt;0,N55-SNAP!P55&gt;0),N55-SNAP!P55,0)</f>
        <v>0</v>
      </c>
      <c r="S55" s="20">
        <f t="shared" si="11"/>
        <v>1534.3333333333335</v>
      </c>
      <c r="T55" s="20">
        <f t="shared" si="3"/>
        <v>460.3</v>
      </c>
      <c r="U55" s="20">
        <f>IF(AND('Total income package'!$A$18=TRUE,OR(H55="Yes",O55="Yes"),G55&lt;$G$2,$K$2-T55&gt;10),ROUNDDOWN($K$2-T55,0),0)</f>
        <v>1110</v>
      </c>
      <c r="V55" s="176">
        <f t="shared" si="12"/>
        <v>1110</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299</v>
      </c>
      <c r="K56" s="20">
        <f t="shared" si="5"/>
        <v>1567.6666666666667</v>
      </c>
      <c r="L56" s="20">
        <f t="shared" si="6"/>
        <v>0</v>
      </c>
      <c r="M56" s="20">
        <f>'Total income package'!$B$69</f>
        <v>500</v>
      </c>
      <c r="N56" s="20">
        <f t="shared" si="7"/>
        <v>500</v>
      </c>
      <c r="O56" s="344" t="str">
        <f t="shared" si="8"/>
        <v>Yes</v>
      </c>
      <c r="P56" s="20">
        <f t="shared" si="9"/>
        <v>783.83333333333337</v>
      </c>
      <c r="Q56" s="346">
        <f t="shared" si="10"/>
        <v>0</v>
      </c>
      <c r="R56" s="20">
        <f>IF(AND(D$2+$E$2&gt;0,N56-SNAP!P56&gt;0),N56-SNAP!P56,0)</f>
        <v>0</v>
      </c>
      <c r="S56" s="20">
        <f t="shared" si="11"/>
        <v>1567.6666666666667</v>
      </c>
      <c r="T56" s="20">
        <f t="shared" si="3"/>
        <v>470.3</v>
      </c>
      <c r="U56" s="20">
        <f>IF(AND('Total income package'!$A$18=TRUE,OR(H56="Yes",O56="Yes"),G56&lt;$G$2,$K$2-T56&gt;10),ROUNDDOWN($K$2-T56,0),0)</f>
        <v>1100</v>
      </c>
      <c r="V56" s="176">
        <f t="shared" si="12"/>
        <v>1100</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299</v>
      </c>
      <c r="K57" s="20">
        <f t="shared" si="5"/>
        <v>1601</v>
      </c>
      <c r="L57" s="20">
        <f t="shared" si="6"/>
        <v>0</v>
      </c>
      <c r="M57" s="20">
        <f>'Total income package'!$B$69</f>
        <v>500</v>
      </c>
      <c r="N57" s="20">
        <f t="shared" si="7"/>
        <v>500</v>
      </c>
      <c r="O57" s="344" t="str">
        <f t="shared" si="8"/>
        <v>Yes</v>
      </c>
      <c r="P57" s="20">
        <f t="shared" si="9"/>
        <v>800.5</v>
      </c>
      <c r="Q57" s="346">
        <f t="shared" si="10"/>
        <v>0</v>
      </c>
      <c r="R57" s="20">
        <f>IF(AND(D$2+$E$2&gt;0,N57-SNAP!P57&gt;0),N57-SNAP!P57,0)</f>
        <v>0</v>
      </c>
      <c r="S57" s="20">
        <f t="shared" si="11"/>
        <v>1601</v>
      </c>
      <c r="T57" s="20">
        <f t="shared" si="3"/>
        <v>480.29999999999995</v>
      </c>
      <c r="U57" s="20">
        <f>IF(AND('Total income package'!$A$18=TRUE,OR(H57="Yes",O57="Yes"),G57&lt;$G$2,$K$2-T57&gt;10),ROUNDDOWN($K$2-T57,0),0)</f>
        <v>1090</v>
      </c>
      <c r="V57" s="176">
        <f t="shared" si="12"/>
        <v>1090</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299</v>
      </c>
      <c r="K58" s="20">
        <f t="shared" si="5"/>
        <v>1634.3333333333333</v>
      </c>
      <c r="L58" s="20">
        <f t="shared" si="6"/>
        <v>0</v>
      </c>
      <c r="M58" s="20">
        <f>'Total income package'!$B$69</f>
        <v>500</v>
      </c>
      <c r="N58" s="20">
        <f t="shared" si="7"/>
        <v>500</v>
      </c>
      <c r="O58" s="344" t="str">
        <f t="shared" si="8"/>
        <v>Yes</v>
      </c>
      <c r="P58" s="20">
        <f t="shared" si="9"/>
        <v>817.16666666666663</v>
      </c>
      <c r="Q58" s="346">
        <f t="shared" si="10"/>
        <v>0</v>
      </c>
      <c r="R58" s="20">
        <f>IF(AND(D$2+$E$2&gt;0,N58-SNAP!P58&gt;0),N58-SNAP!P58,0)</f>
        <v>0</v>
      </c>
      <c r="S58" s="20">
        <f t="shared" si="11"/>
        <v>1634.3333333333333</v>
      </c>
      <c r="T58" s="20">
        <f t="shared" si="3"/>
        <v>490.29999999999995</v>
      </c>
      <c r="U58" s="20">
        <f>IF(AND('Total income package'!$A$18=TRUE,OR(H58="Yes",O58="Yes"),G58&lt;$G$2,$K$2-T58&gt;10),ROUNDDOWN($K$2-T58,0),0)</f>
        <v>1080</v>
      </c>
      <c r="V58" s="176">
        <f t="shared" si="12"/>
        <v>1080</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299</v>
      </c>
      <c r="K59" s="20">
        <f t="shared" si="5"/>
        <v>1667.6666666666667</v>
      </c>
      <c r="L59" s="20">
        <f t="shared" si="6"/>
        <v>0</v>
      </c>
      <c r="M59" s="20">
        <f>'Total income package'!$B$69</f>
        <v>500</v>
      </c>
      <c r="N59" s="20">
        <f t="shared" si="7"/>
        <v>500</v>
      </c>
      <c r="O59" s="344" t="str">
        <f t="shared" si="8"/>
        <v>Yes</v>
      </c>
      <c r="P59" s="20">
        <f t="shared" si="9"/>
        <v>833.83333333333337</v>
      </c>
      <c r="Q59" s="346">
        <f t="shared" si="10"/>
        <v>0</v>
      </c>
      <c r="R59" s="20">
        <f>IF(AND(D$2+$E$2&gt;0,N59-SNAP!P59&gt;0),N59-SNAP!P59,0)</f>
        <v>0</v>
      </c>
      <c r="S59" s="20">
        <f t="shared" si="11"/>
        <v>1667.6666666666667</v>
      </c>
      <c r="T59" s="20">
        <f t="shared" si="3"/>
        <v>500.3</v>
      </c>
      <c r="U59" s="20">
        <f>IF(AND('Total income package'!$A$18=TRUE,OR(H59="Yes",O59="Yes"),G59&lt;$G$2,$K$2-T59&gt;10),ROUNDDOWN($K$2-T59,0),0)</f>
        <v>1070</v>
      </c>
      <c r="V59" s="176">
        <f t="shared" si="12"/>
        <v>1070</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299</v>
      </c>
      <c r="K60" s="20">
        <f t="shared" si="5"/>
        <v>1701</v>
      </c>
      <c r="L60" s="20">
        <f t="shared" si="6"/>
        <v>0</v>
      </c>
      <c r="M60" s="20">
        <f>'Total income package'!$B$69</f>
        <v>500</v>
      </c>
      <c r="N60" s="20">
        <f t="shared" si="7"/>
        <v>500</v>
      </c>
      <c r="O60" s="344" t="str">
        <f t="shared" si="8"/>
        <v>Yes</v>
      </c>
      <c r="P60" s="20">
        <f t="shared" si="9"/>
        <v>850.5</v>
      </c>
      <c r="Q60" s="346">
        <f t="shared" si="10"/>
        <v>0</v>
      </c>
      <c r="R60" s="20">
        <f>IF(AND(D$2+$E$2&gt;0,N60-SNAP!P60&gt;0),N60-SNAP!P60,0)</f>
        <v>0</v>
      </c>
      <c r="S60" s="20">
        <f t="shared" si="11"/>
        <v>1701</v>
      </c>
      <c r="T60" s="20">
        <f t="shared" si="3"/>
        <v>510.29999999999995</v>
      </c>
      <c r="U60" s="20">
        <f>IF(AND('Total income package'!$A$18=TRUE,OR(H60="Yes",O60="Yes"),G60&lt;$G$2,$K$2-T60&gt;10),ROUNDDOWN($K$2-T60,0),0)</f>
        <v>1060</v>
      </c>
      <c r="V60" s="176">
        <f t="shared" si="12"/>
        <v>1060</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299</v>
      </c>
      <c r="K61" s="20">
        <f t="shared" si="5"/>
        <v>1734.3333333333333</v>
      </c>
      <c r="L61" s="20">
        <f t="shared" si="6"/>
        <v>0</v>
      </c>
      <c r="M61" s="20">
        <f>'Total income package'!$B$69</f>
        <v>500</v>
      </c>
      <c r="N61" s="20">
        <f t="shared" si="7"/>
        <v>500</v>
      </c>
      <c r="O61" s="344" t="str">
        <f t="shared" si="8"/>
        <v>Yes</v>
      </c>
      <c r="P61" s="20">
        <f t="shared" si="9"/>
        <v>867.16666666666663</v>
      </c>
      <c r="Q61" s="346">
        <f t="shared" si="10"/>
        <v>0</v>
      </c>
      <c r="R61" s="20">
        <f>IF(AND(D$2+$E$2&gt;0,N61-SNAP!P61&gt;0),N61-SNAP!P61,0)</f>
        <v>0</v>
      </c>
      <c r="S61" s="20">
        <f t="shared" si="11"/>
        <v>1734.3333333333333</v>
      </c>
      <c r="T61" s="20">
        <f t="shared" si="3"/>
        <v>520.29999999999995</v>
      </c>
      <c r="U61" s="20">
        <f>IF(AND('Total income package'!$A$18=TRUE,OR(H61="Yes",O61="Yes"),G61&lt;$G$2,$K$2-T61&gt;10),ROUNDDOWN($K$2-T61,0),0)</f>
        <v>1050</v>
      </c>
      <c r="V61" s="176">
        <f t="shared" si="12"/>
        <v>1050</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299</v>
      </c>
      <c r="K62" s="20">
        <f t="shared" si="5"/>
        <v>1767.666666666667</v>
      </c>
      <c r="L62" s="20">
        <f t="shared" si="6"/>
        <v>0</v>
      </c>
      <c r="M62" s="20">
        <f>'Total income package'!$B$69</f>
        <v>500</v>
      </c>
      <c r="N62" s="20">
        <f t="shared" si="7"/>
        <v>500</v>
      </c>
      <c r="O62" s="344" t="str">
        <f t="shared" si="8"/>
        <v>Yes</v>
      </c>
      <c r="P62" s="20">
        <f t="shared" si="9"/>
        <v>883.83333333333348</v>
      </c>
      <c r="Q62" s="346">
        <f t="shared" si="10"/>
        <v>0</v>
      </c>
      <c r="R62" s="20">
        <f>IF(AND(D$2+$E$2&gt;0,N62-SNAP!P62&gt;0),N62-SNAP!P62,0)</f>
        <v>0</v>
      </c>
      <c r="S62" s="20">
        <f t="shared" si="11"/>
        <v>1767.666666666667</v>
      </c>
      <c r="T62" s="20">
        <f t="shared" si="3"/>
        <v>530.30000000000007</v>
      </c>
      <c r="U62" s="20">
        <f>IF(AND('Total income package'!$A$18=TRUE,OR(H62="Yes",O62="Yes"),G62&lt;$G$2,$K$2-T62&gt;10),ROUNDDOWN($K$2-T62,0),0)</f>
        <v>1040</v>
      </c>
      <c r="V62" s="176">
        <f t="shared" si="12"/>
        <v>1040</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299</v>
      </c>
      <c r="K63" s="20">
        <f t="shared" si="5"/>
        <v>1801</v>
      </c>
      <c r="L63" s="20">
        <f t="shared" si="6"/>
        <v>0</v>
      </c>
      <c r="M63" s="20">
        <f>'Total income package'!$B$69</f>
        <v>500</v>
      </c>
      <c r="N63" s="20">
        <f t="shared" si="7"/>
        <v>500</v>
      </c>
      <c r="O63" s="344" t="str">
        <f t="shared" si="8"/>
        <v>Yes</v>
      </c>
      <c r="P63" s="20">
        <f t="shared" si="9"/>
        <v>900.5</v>
      </c>
      <c r="Q63" s="346">
        <f t="shared" si="10"/>
        <v>0</v>
      </c>
      <c r="R63" s="20">
        <f>IF(AND(D$2+$E$2&gt;0,N63-SNAP!P63&gt;0),N63-SNAP!P63,0)</f>
        <v>0</v>
      </c>
      <c r="S63" s="20">
        <f t="shared" si="11"/>
        <v>1801</v>
      </c>
      <c r="T63" s="20">
        <f t="shared" si="3"/>
        <v>540.29999999999995</v>
      </c>
      <c r="U63" s="20">
        <f>IF(AND('Total income package'!$A$18=TRUE,OR(H63="Yes",O63="Yes"),G63&lt;$G$2,$K$2-T63&gt;10),ROUNDDOWN($K$2-T63,0),0)</f>
        <v>1030</v>
      </c>
      <c r="V63" s="176">
        <f t="shared" si="12"/>
        <v>1030</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299</v>
      </c>
      <c r="K64" s="20">
        <f t="shared" si="5"/>
        <v>1834.333333333333</v>
      </c>
      <c r="L64" s="20">
        <f t="shared" si="6"/>
        <v>0</v>
      </c>
      <c r="M64" s="20">
        <f>'Total income package'!$B$69</f>
        <v>500</v>
      </c>
      <c r="N64" s="20">
        <f t="shared" si="7"/>
        <v>500</v>
      </c>
      <c r="O64" s="344" t="str">
        <f t="shared" si="8"/>
        <v>Yes</v>
      </c>
      <c r="P64" s="20">
        <f t="shared" si="9"/>
        <v>917.16666666666652</v>
      </c>
      <c r="Q64" s="346">
        <f t="shared" si="10"/>
        <v>0</v>
      </c>
      <c r="R64" s="20">
        <f>IF(AND(D$2+$E$2&gt;0,N64-SNAP!P64&gt;0),N64-SNAP!P64,0)</f>
        <v>0</v>
      </c>
      <c r="S64" s="20">
        <f t="shared" si="11"/>
        <v>1834.333333333333</v>
      </c>
      <c r="T64" s="20">
        <f t="shared" si="3"/>
        <v>550.29999999999984</v>
      </c>
      <c r="U64" s="20">
        <f>IF(AND('Total income package'!$A$18=TRUE,OR(H64="Yes",O64="Yes"),G64&lt;$G$2,$K$2-T64&gt;10),ROUNDDOWN($K$2-T64,0),0)</f>
        <v>1020</v>
      </c>
      <c r="V64" s="176">
        <f t="shared" si="12"/>
        <v>1020</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299</v>
      </c>
      <c r="K65" s="20">
        <f t="shared" si="5"/>
        <v>1867.666666666667</v>
      </c>
      <c r="L65" s="20">
        <f t="shared" si="6"/>
        <v>0</v>
      </c>
      <c r="M65" s="20">
        <f>'Total income package'!$B$69</f>
        <v>500</v>
      </c>
      <c r="N65" s="20">
        <f t="shared" si="7"/>
        <v>500</v>
      </c>
      <c r="O65" s="344" t="str">
        <f t="shared" si="8"/>
        <v>Yes</v>
      </c>
      <c r="P65" s="20">
        <f t="shared" si="9"/>
        <v>933.83333333333348</v>
      </c>
      <c r="Q65" s="346">
        <f t="shared" si="10"/>
        <v>0</v>
      </c>
      <c r="R65" s="20">
        <f>IF(AND(D$2+$E$2&gt;0,N65-SNAP!P65&gt;0),N65-SNAP!P65,0)</f>
        <v>0</v>
      </c>
      <c r="S65" s="20">
        <f t="shared" si="11"/>
        <v>1867.666666666667</v>
      </c>
      <c r="T65" s="20">
        <f t="shared" si="3"/>
        <v>560.30000000000007</v>
      </c>
      <c r="U65" s="20">
        <f>IF(AND('Total income package'!$A$18=TRUE,OR(H65="Yes",O65="Yes"),G65&lt;$G$2,$K$2-T65&gt;10),ROUNDDOWN($K$2-T65,0),0)</f>
        <v>1010</v>
      </c>
      <c r="V65" s="176">
        <f t="shared" si="12"/>
        <v>1010</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299</v>
      </c>
      <c r="K66" s="20">
        <f t="shared" si="5"/>
        <v>1901</v>
      </c>
      <c r="L66" s="20">
        <f t="shared" si="6"/>
        <v>0</v>
      </c>
      <c r="M66" s="20">
        <f>'Total income package'!$B$69</f>
        <v>500</v>
      </c>
      <c r="N66" s="20">
        <f t="shared" si="7"/>
        <v>500</v>
      </c>
      <c r="O66" s="344" t="str">
        <f t="shared" si="8"/>
        <v>Yes</v>
      </c>
      <c r="P66" s="20">
        <f t="shared" si="9"/>
        <v>950.5</v>
      </c>
      <c r="Q66" s="346">
        <f t="shared" si="10"/>
        <v>0</v>
      </c>
      <c r="R66" s="20">
        <f>IF(AND(D$2+$E$2&gt;0,N66-SNAP!P66&gt;0),N66-SNAP!P66,0)</f>
        <v>0</v>
      </c>
      <c r="S66" s="20">
        <f t="shared" si="11"/>
        <v>1901</v>
      </c>
      <c r="T66" s="20">
        <f t="shared" si="3"/>
        <v>570.29999999999995</v>
      </c>
      <c r="U66" s="20">
        <f>IF(AND('Total income package'!$A$18=TRUE,OR(H66="Yes",O66="Yes"),G66&lt;$G$2,$K$2-T66&gt;10),ROUNDDOWN($K$2-T66,0),0)</f>
        <v>1000</v>
      </c>
      <c r="V66" s="176">
        <f>IF(AND(C62&lt;3,U66&gt;10,U66&lt;24),24,U66)</f>
        <v>1000</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299</v>
      </c>
      <c r="K67" s="20">
        <f t="shared" si="5"/>
        <v>1934.333333333333</v>
      </c>
      <c r="L67" s="20">
        <f t="shared" si="6"/>
        <v>0</v>
      </c>
      <c r="M67" s="20">
        <f>'Total income package'!$B$69</f>
        <v>500</v>
      </c>
      <c r="N67" s="20">
        <f t="shared" si="7"/>
        <v>500</v>
      </c>
      <c r="O67" s="344" t="str">
        <f t="shared" si="8"/>
        <v>Yes</v>
      </c>
      <c r="P67" s="20">
        <f t="shared" si="9"/>
        <v>967.16666666666652</v>
      </c>
      <c r="Q67" s="346">
        <f t="shared" si="10"/>
        <v>0</v>
      </c>
      <c r="R67" s="20">
        <f>IF(AND(D$2+$E$2&gt;0,N67-SNAP!P67&gt;0),N67-SNAP!P67,0)</f>
        <v>0</v>
      </c>
      <c r="S67" s="20">
        <f t="shared" si="11"/>
        <v>1934.333333333333</v>
      </c>
      <c r="T67" s="20">
        <f t="shared" si="3"/>
        <v>580.29999999999984</v>
      </c>
      <c r="U67" s="20">
        <f>IF(AND('Total income package'!$A$18=TRUE,OR(H67="Yes",O67="Yes"),G67&lt;$G$2,$K$2-T67&gt;10),ROUNDDOWN($K$2-T67,0),0)</f>
        <v>990</v>
      </c>
      <c r="V67" s="176">
        <f t="shared" si="12"/>
        <v>990</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299</v>
      </c>
      <c r="K68" s="20">
        <f t="shared" si="5"/>
        <v>1967.666666666667</v>
      </c>
      <c r="L68" s="20">
        <f t="shared" si="6"/>
        <v>0</v>
      </c>
      <c r="M68" s="20">
        <f>'Total income package'!$B$69</f>
        <v>500</v>
      </c>
      <c r="N68" s="20">
        <f t="shared" si="7"/>
        <v>500</v>
      </c>
      <c r="O68" s="344" t="str">
        <f t="shared" si="8"/>
        <v>Yes</v>
      </c>
      <c r="P68" s="20">
        <f t="shared" si="9"/>
        <v>983.83333333333348</v>
      </c>
      <c r="Q68" s="346">
        <f t="shared" si="10"/>
        <v>0</v>
      </c>
      <c r="R68" s="20">
        <f>IF(AND(D$2+$E$2&gt;0,N68-SNAP!P68&gt;0),N68-SNAP!P68,0)</f>
        <v>0</v>
      </c>
      <c r="S68" s="20">
        <f t="shared" si="11"/>
        <v>1967.666666666667</v>
      </c>
      <c r="T68" s="20">
        <f t="shared" si="3"/>
        <v>590.30000000000007</v>
      </c>
      <c r="U68" s="20">
        <f>IF(AND('Total income package'!$A$18=TRUE,OR(H68="Yes",O68="Yes"),G68&lt;$G$2,$K$2-T68&gt;10),ROUNDDOWN($K$2-T68,0),0)</f>
        <v>980</v>
      </c>
      <c r="V68" s="176">
        <f t="shared" si="12"/>
        <v>980</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299</v>
      </c>
      <c r="K69" s="20">
        <f t="shared" si="5"/>
        <v>2001</v>
      </c>
      <c r="L69" s="20">
        <f t="shared" si="6"/>
        <v>0</v>
      </c>
      <c r="M69" s="20">
        <f>'Total income package'!$B$69</f>
        <v>500</v>
      </c>
      <c r="N69" s="20">
        <f t="shared" si="7"/>
        <v>500</v>
      </c>
      <c r="O69" s="344" t="str">
        <f t="shared" si="8"/>
        <v>Yes</v>
      </c>
      <c r="P69" s="20">
        <f t="shared" si="9"/>
        <v>1000.5</v>
      </c>
      <c r="Q69" s="346">
        <f t="shared" si="10"/>
        <v>0</v>
      </c>
      <c r="R69" s="20">
        <f>IF(AND(D$2+$E$2&gt;0,N69-SNAP!P69&gt;0),N69-SNAP!P69,0)</f>
        <v>0</v>
      </c>
      <c r="S69" s="20">
        <f t="shared" si="11"/>
        <v>2001</v>
      </c>
      <c r="T69" s="20">
        <f t="shared" si="3"/>
        <v>600.29999999999995</v>
      </c>
      <c r="U69" s="20">
        <f>IF(AND('Total income package'!$A$18=TRUE,OR(H69="Yes",O69="Yes"),G69&lt;$G$2,$K$2-T69&gt;10),ROUNDDOWN($K$2-T69,0),0)</f>
        <v>970</v>
      </c>
      <c r="V69" s="176">
        <f t="shared" si="12"/>
        <v>970</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299</v>
      </c>
      <c r="K70" s="20">
        <f t="shared" ref="K70:K133" si="17">IF(G70-I70-J70&gt;0,G70-I70-J70,0)</f>
        <v>2034.333333333333</v>
      </c>
      <c r="L70" s="20">
        <f t="shared" si="6"/>
        <v>0</v>
      </c>
      <c r="M70" s="20">
        <f>'Total income package'!$B$69</f>
        <v>500</v>
      </c>
      <c r="N70" s="20">
        <f t="shared" si="7"/>
        <v>500</v>
      </c>
      <c r="O70" s="344" t="str">
        <f t="shared" si="8"/>
        <v>Yes</v>
      </c>
      <c r="P70" s="20">
        <f t="shared" si="9"/>
        <v>1017.1666666666665</v>
      </c>
      <c r="Q70" s="346">
        <f t="shared" ref="Q70:Q133" si="18">IF(AND(D$2+$E$2=0,N70&lt;$L$2,N70-P70&gt;0),N70-P70,IF(AND(D$2+$E$2=0,N70&gt;$L$2),$L$2,0))</f>
        <v>0</v>
      </c>
      <c r="R70" s="20">
        <f>IF(AND(D$2+$E$2&gt;0,N70-SNAP!P70&gt;0),N70-SNAP!P70,0)</f>
        <v>0</v>
      </c>
      <c r="S70" s="20">
        <f t="shared" si="11"/>
        <v>2034.333333333333</v>
      </c>
      <c r="T70" s="20">
        <f t="shared" ref="T70:T133" si="19">S70*0.3</f>
        <v>610.29999999999984</v>
      </c>
      <c r="U70" s="20">
        <f>IF(AND('Total income package'!$A$18=TRUE,OR(H70="Yes",O70="Yes"),G70&lt;$G$2,$K$2-T70&gt;10),ROUNDDOWN($K$2-T70,0),0)</f>
        <v>960</v>
      </c>
      <c r="V70" s="176">
        <f t="shared" si="12"/>
        <v>960</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299</v>
      </c>
      <c r="K71" s="20">
        <f t="shared" si="17"/>
        <v>2067.666666666667</v>
      </c>
      <c r="L71" s="20">
        <f t="shared" ref="L71:L134" si="21">$I$2</f>
        <v>0</v>
      </c>
      <c r="M71" s="20">
        <f>'Total income package'!$B$69</f>
        <v>500</v>
      </c>
      <c r="N71" s="20">
        <f t="shared" ref="N71:N134" si="22">L71+M71</f>
        <v>500</v>
      </c>
      <c r="O71" s="344" t="str">
        <f t="shared" ref="O71:O134" si="23">IF(AND($D$2+$E$2&gt;0,K71&lt;$J$2),"Yes","No")</f>
        <v>Yes</v>
      </c>
      <c r="P71" s="20">
        <f t="shared" ref="P71:P134" si="24">K71/2</f>
        <v>1033.8333333333335</v>
      </c>
      <c r="Q71" s="346">
        <f t="shared" si="18"/>
        <v>0</v>
      </c>
      <c r="R71" s="20">
        <f>IF(AND(D$2+$E$2&gt;0,N71-SNAP!P71&gt;0),N71-SNAP!P71,0)</f>
        <v>0</v>
      </c>
      <c r="S71" s="20">
        <f t="shared" ref="S71:S134" si="25">IF(AND($D$2+$E$2&gt;0,K71-R71&gt;0),K71-R71,IF(AND($D$2+$E$2=0,K71-Q71&gt;0),K71-Q71,0))</f>
        <v>2067.666666666667</v>
      </c>
      <c r="T71" s="20">
        <f t="shared" si="19"/>
        <v>620.30000000000007</v>
      </c>
      <c r="U71" s="20">
        <f>IF(AND('Total income package'!$A$18=TRUE,OR(H71="Yes",O71="Yes"),G71&lt;$G$2,$K$2-T71&gt;10),ROUNDDOWN($K$2-T71,0),0)</f>
        <v>950</v>
      </c>
      <c r="V71" s="176">
        <f t="shared" ref="V71:V134" si="26">IF(AND(C67&lt;3,U71&gt;10,U71&lt;24),24,U71)</f>
        <v>950</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299</v>
      </c>
      <c r="K72" s="20">
        <f t="shared" si="17"/>
        <v>2101</v>
      </c>
      <c r="L72" s="20">
        <f t="shared" si="21"/>
        <v>0</v>
      </c>
      <c r="M72" s="20">
        <f>'Total income package'!$B$69</f>
        <v>500</v>
      </c>
      <c r="N72" s="20">
        <f t="shared" si="22"/>
        <v>500</v>
      </c>
      <c r="O72" s="344" t="str">
        <f t="shared" si="23"/>
        <v>Yes</v>
      </c>
      <c r="P72" s="20">
        <f t="shared" si="24"/>
        <v>1050.5</v>
      </c>
      <c r="Q72" s="346">
        <f t="shared" si="18"/>
        <v>0</v>
      </c>
      <c r="R72" s="20">
        <f>IF(AND(D$2+$E$2&gt;0,N72-SNAP!P72&gt;0),N72-SNAP!P72,0)</f>
        <v>0</v>
      </c>
      <c r="S72" s="20">
        <f t="shared" si="25"/>
        <v>2101</v>
      </c>
      <c r="T72" s="20">
        <f t="shared" si="19"/>
        <v>630.29999999999995</v>
      </c>
      <c r="U72" s="20">
        <f>IF(AND('Total income package'!$A$18=TRUE,OR(H72="Yes",O72="Yes"),G72&lt;$G$2,$K$2-T72&gt;10),ROUNDDOWN($K$2-T72,0),0)</f>
        <v>940</v>
      </c>
      <c r="V72" s="176">
        <f t="shared" si="26"/>
        <v>940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299</v>
      </c>
      <c r="K73" s="20">
        <f t="shared" si="17"/>
        <v>2134.333333333333</v>
      </c>
      <c r="L73" s="20">
        <f t="shared" si="21"/>
        <v>0</v>
      </c>
      <c r="M73" s="20">
        <f>'Total income package'!$B$69</f>
        <v>500</v>
      </c>
      <c r="N73" s="20">
        <f t="shared" si="22"/>
        <v>500</v>
      </c>
      <c r="O73" s="344" t="str">
        <f t="shared" si="23"/>
        <v>Yes</v>
      </c>
      <c r="P73" s="20">
        <f t="shared" si="24"/>
        <v>1067.1666666666665</v>
      </c>
      <c r="Q73" s="346">
        <f t="shared" si="18"/>
        <v>0</v>
      </c>
      <c r="R73" s="20">
        <f>IF(AND(D$2+$E$2&gt;0,N73-SNAP!P73&gt;0),N73-SNAP!P73,0)</f>
        <v>0</v>
      </c>
      <c r="S73" s="20">
        <f t="shared" si="25"/>
        <v>2134.333333333333</v>
      </c>
      <c r="T73" s="20">
        <f t="shared" si="19"/>
        <v>640.29999999999984</v>
      </c>
      <c r="U73" s="20">
        <f>IF(AND('Total income package'!$A$18=TRUE,OR(H73="Yes",O73="Yes"),G73&lt;$G$2,$K$2-T73&gt;10),ROUNDDOWN($K$2-T73,0),0)</f>
        <v>930</v>
      </c>
      <c r="V73" s="176">
        <f t="shared" si="26"/>
        <v>930</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299</v>
      </c>
      <c r="K74" s="20">
        <f t="shared" si="17"/>
        <v>2167.666666666667</v>
      </c>
      <c r="L74" s="20">
        <f t="shared" si="21"/>
        <v>0</v>
      </c>
      <c r="M74" s="20">
        <f>'Total income package'!$B$69</f>
        <v>500</v>
      </c>
      <c r="N74" s="20">
        <f t="shared" si="22"/>
        <v>500</v>
      </c>
      <c r="O74" s="344" t="str">
        <f t="shared" si="23"/>
        <v>Yes</v>
      </c>
      <c r="P74" s="20">
        <f t="shared" si="24"/>
        <v>1083.8333333333335</v>
      </c>
      <c r="Q74" s="346">
        <f t="shared" si="18"/>
        <v>0</v>
      </c>
      <c r="R74" s="20">
        <f>IF(AND(D$2+$E$2&gt;0,N74-SNAP!P74&gt;0),N74-SNAP!P74,0)</f>
        <v>0</v>
      </c>
      <c r="S74" s="20">
        <f t="shared" si="25"/>
        <v>2167.666666666667</v>
      </c>
      <c r="T74" s="20">
        <f t="shared" si="19"/>
        <v>650.30000000000007</v>
      </c>
      <c r="U74" s="20">
        <f>IF(AND('Total income package'!$A$18=TRUE,OR(H74="Yes",O74="Yes"),G74&lt;$G$2,$K$2-T74&gt;10),ROUNDDOWN($K$2-T74,0),0)</f>
        <v>920</v>
      </c>
      <c r="V74" s="176">
        <f t="shared" si="26"/>
        <v>920</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299</v>
      </c>
      <c r="K75" s="20">
        <f t="shared" si="17"/>
        <v>2201</v>
      </c>
      <c r="L75" s="20">
        <f t="shared" si="21"/>
        <v>0</v>
      </c>
      <c r="M75" s="20">
        <f>'Total income package'!$B$69</f>
        <v>500</v>
      </c>
      <c r="N75" s="20">
        <f t="shared" si="22"/>
        <v>500</v>
      </c>
      <c r="O75" s="344" t="str">
        <f t="shared" si="23"/>
        <v>Yes</v>
      </c>
      <c r="P75" s="20">
        <f t="shared" si="24"/>
        <v>1100.5</v>
      </c>
      <c r="Q75" s="346">
        <f t="shared" si="18"/>
        <v>0</v>
      </c>
      <c r="R75" s="20">
        <f>IF(AND(D$2+$E$2&gt;0,N75-SNAP!P75&gt;0),N75-SNAP!P75,0)</f>
        <v>0</v>
      </c>
      <c r="S75" s="20">
        <f t="shared" si="25"/>
        <v>2201</v>
      </c>
      <c r="T75" s="20">
        <f t="shared" si="19"/>
        <v>660.3</v>
      </c>
      <c r="U75" s="20">
        <f>IF(AND('Total income package'!$A$18=TRUE,OR(H75="Yes",O75="Yes"),G75&lt;$G$2,$K$2-T75&gt;10),ROUNDDOWN($K$2-T75,0),0)</f>
        <v>910</v>
      </c>
      <c r="V75" s="176">
        <f t="shared" si="26"/>
        <v>910</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299</v>
      </c>
      <c r="K76" s="20">
        <f t="shared" si="17"/>
        <v>2234.333333333333</v>
      </c>
      <c r="L76" s="20">
        <f t="shared" si="21"/>
        <v>0</v>
      </c>
      <c r="M76" s="20">
        <f>'Total income package'!$B$69</f>
        <v>500</v>
      </c>
      <c r="N76" s="20">
        <f t="shared" si="22"/>
        <v>500</v>
      </c>
      <c r="O76" s="344" t="str">
        <f t="shared" si="23"/>
        <v>Yes</v>
      </c>
      <c r="P76" s="20">
        <f t="shared" si="24"/>
        <v>1117.1666666666665</v>
      </c>
      <c r="Q76" s="346">
        <f t="shared" si="18"/>
        <v>0</v>
      </c>
      <c r="R76" s="20">
        <f>IF(AND(D$2+$E$2&gt;0,N76-SNAP!P76&gt;0),N76-SNAP!P76,0)</f>
        <v>0</v>
      </c>
      <c r="S76" s="20">
        <f t="shared" si="25"/>
        <v>2234.333333333333</v>
      </c>
      <c r="T76" s="20">
        <f t="shared" si="19"/>
        <v>670.29999999999984</v>
      </c>
      <c r="U76" s="20">
        <f>IF(AND('Total income package'!$A$18=TRUE,OR(H76="Yes",O76="Yes"),G76&lt;$G$2,$K$2-T76&gt;10),ROUNDDOWN($K$2-T76,0),0)</f>
        <v>900</v>
      </c>
      <c r="V76" s="176">
        <f t="shared" si="26"/>
        <v>900</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299</v>
      </c>
      <c r="K77" s="20">
        <f t="shared" si="17"/>
        <v>2267.666666666667</v>
      </c>
      <c r="L77" s="20">
        <f t="shared" si="21"/>
        <v>0</v>
      </c>
      <c r="M77" s="20">
        <f>'Total income package'!$B$69</f>
        <v>500</v>
      </c>
      <c r="N77" s="20">
        <f t="shared" si="22"/>
        <v>500</v>
      </c>
      <c r="O77" s="344" t="str">
        <f t="shared" si="23"/>
        <v>Yes</v>
      </c>
      <c r="P77" s="20">
        <f t="shared" si="24"/>
        <v>1133.8333333333335</v>
      </c>
      <c r="Q77" s="346">
        <f t="shared" si="18"/>
        <v>0</v>
      </c>
      <c r="R77" s="20">
        <f>IF(AND(D$2+$E$2&gt;0,N77-SNAP!P77&gt;0),N77-SNAP!P77,0)</f>
        <v>0</v>
      </c>
      <c r="S77" s="20">
        <f t="shared" si="25"/>
        <v>2267.666666666667</v>
      </c>
      <c r="T77" s="20">
        <f t="shared" si="19"/>
        <v>680.30000000000007</v>
      </c>
      <c r="U77" s="20">
        <f>IF(AND('Total income package'!$A$18=TRUE,OR(H77="Yes",O77="Yes"),G77&lt;$G$2,$K$2-T77&gt;10),ROUNDDOWN($K$2-T77,0),0)</f>
        <v>890</v>
      </c>
      <c r="V77" s="176">
        <f t="shared" si="26"/>
        <v>890</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299</v>
      </c>
      <c r="K78" s="20">
        <f t="shared" si="17"/>
        <v>2301</v>
      </c>
      <c r="L78" s="20">
        <f t="shared" si="21"/>
        <v>0</v>
      </c>
      <c r="M78" s="20">
        <f>'Total income package'!$B$69</f>
        <v>500</v>
      </c>
      <c r="N78" s="20">
        <f t="shared" si="22"/>
        <v>500</v>
      </c>
      <c r="O78" s="344" t="str">
        <f t="shared" si="23"/>
        <v>Yes</v>
      </c>
      <c r="P78" s="20">
        <f t="shared" si="24"/>
        <v>1150.5</v>
      </c>
      <c r="Q78" s="346">
        <f t="shared" si="18"/>
        <v>0</v>
      </c>
      <c r="R78" s="20">
        <f>IF(AND(D$2+$E$2&gt;0,N78-SNAP!P78&gt;0),N78-SNAP!P78,0)</f>
        <v>0</v>
      </c>
      <c r="S78" s="20">
        <f t="shared" si="25"/>
        <v>2301</v>
      </c>
      <c r="T78" s="20">
        <f t="shared" si="19"/>
        <v>690.3</v>
      </c>
      <c r="U78" s="20">
        <f>IF(AND('Total income package'!$A$18=TRUE,OR(H78="Yes",O78="Yes"),G78&lt;$G$2,$K$2-T78&gt;10),ROUNDDOWN($K$2-T78,0),0)</f>
        <v>880</v>
      </c>
      <c r="V78" s="176">
        <f t="shared" si="26"/>
        <v>880</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299</v>
      </c>
      <c r="K79" s="20">
        <f t="shared" si="17"/>
        <v>2334.333333333333</v>
      </c>
      <c r="L79" s="20">
        <f t="shared" si="21"/>
        <v>0</v>
      </c>
      <c r="M79" s="20">
        <f>'Total income package'!$B$69</f>
        <v>500</v>
      </c>
      <c r="N79" s="20">
        <f t="shared" si="22"/>
        <v>500</v>
      </c>
      <c r="O79" s="344" t="str">
        <f t="shared" si="23"/>
        <v>Yes</v>
      </c>
      <c r="P79" s="20">
        <f t="shared" si="24"/>
        <v>1167.1666666666665</v>
      </c>
      <c r="Q79" s="346">
        <f t="shared" si="18"/>
        <v>0</v>
      </c>
      <c r="R79" s="20">
        <f>IF(AND(D$2+$E$2&gt;0,N79-SNAP!P79&gt;0),N79-SNAP!P79,0)</f>
        <v>0</v>
      </c>
      <c r="S79" s="20">
        <f t="shared" si="25"/>
        <v>2334.333333333333</v>
      </c>
      <c r="T79" s="20">
        <f t="shared" si="19"/>
        <v>700.29999999999984</v>
      </c>
      <c r="U79" s="20">
        <f>IF(AND('Total income package'!$A$18=TRUE,OR(H79="Yes",O79="Yes"),G79&lt;$G$2,$K$2-T79&gt;10),ROUNDDOWN($K$2-T79,0),0)</f>
        <v>870</v>
      </c>
      <c r="V79" s="176">
        <f t="shared" si="26"/>
        <v>870</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299</v>
      </c>
      <c r="K80" s="20">
        <f t="shared" si="17"/>
        <v>2367.666666666667</v>
      </c>
      <c r="L80" s="20">
        <f t="shared" si="21"/>
        <v>0</v>
      </c>
      <c r="M80" s="20">
        <f>'Total income package'!$B$69</f>
        <v>500</v>
      </c>
      <c r="N80" s="20">
        <f t="shared" si="22"/>
        <v>500</v>
      </c>
      <c r="O80" s="344" t="str">
        <f t="shared" si="23"/>
        <v>Yes</v>
      </c>
      <c r="P80" s="20">
        <f t="shared" si="24"/>
        <v>1183.8333333333335</v>
      </c>
      <c r="Q80" s="346">
        <f t="shared" si="18"/>
        <v>0</v>
      </c>
      <c r="R80" s="20">
        <f>IF(AND(D$2+$E$2&gt;0,N80-SNAP!P80&gt;0),N80-SNAP!P80,0)</f>
        <v>0</v>
      </c>
      <c r="S80" s="20">
        <f t="shared" si="25"/>
        <v>2367.666666666667</v>
      </c>
      <c r="T80" s="20">
        <f t="shared" si="19"/>
        <v>710.30000000000007</v>
      </c>
      <c r="U80" s="20">
        <f>IF(AND('Total income package'!$A$18=TRUE,OR(H80="Yes",O80="Yes"),G80&lt;$G$2,$K$2-T80&gt;10),ROUNDDOWN($K$2-T80,0),0)</f>
        <v>860</v>
      </c>
      <c r="V80" s="176">
        <f t="shared" si="26"/>
        <v>860</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299</v>
      </c>
      <c r="K81" s="20">
        <f t="shared" si="17"/>
        <v>2401</v>
      </c>
      <c r="L81" s="20">
        <f t="shared" si="21"/>
        <v>0</v>
      </c>
      <c r="M81" s="20">
        <f>'Total income package'!$B$69</f>
        <v>500</v>
      </c>
      <c r="N81" s="20">
        <f t="shared" si="22"/>
        <v>500</v>
      </c>
      <c r="O81" s="344" t="str">
        <f t="shared" si="23"/>
        <v>Yes</v>
      </c>
      <c r="P81" s="20">
        <f t="shared" si="24"/>
        <v>1200.5</v>
      </c>
      <c r="Q81" s="346">
        <f t="shared" si="18"/>
        <v>0</v>
      </c>
      <c r="R81" s="20">
        <f>IF(AND(D$2+$E$2&gt;0,N81-SNAP!P81&gt;0),N81-SNAP!P81,0)</f>
        <v>0</v>
      </c>
      <c r="S81" s="20">
        <f t="shared" si="25"/>
        <v>2401</v>
      </c>
      <c r="T81" s="20">
        <f t="shared" si="19"/>
        <v>720.3</v>
      </c>
      <c r="U81" s="20">
        <f>IF(AND('Total income package'!$A$18=TRUE,OR(H81="Yes",O81="Yes"),G81&lt;$G$2,$K$2-T81&gt;10),ROUNDDOWN($K$2-T81,0),0)</f>
        <v>850</v>
      </c>
      <c r="V81" s="176">
        <f t="shared" si="26"/>
        <v>850</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299</v>
      </c>
      <c r="K82" s="20">
        <f t="shared" si="17"/>
        <v>2434.333333333333</v>
      </c>
      <c r="L82" s="20">
        <f t="shared" si="21"/>
        <v>0</v>
      </c>
      <c r="M82" s="20">
        <f>'Total income package'!$B$69</f>
        <v>500</v>
      </c>
      <c r="N82" s="20">
        <f t="shared" si="22"/>
        <v>500</v>
      </c>
      <c r="O82" s="344" t="str">
        <f t="shared" si="23"/>
        <v>Yes</v>
      </c>
      <c r="P82" s="20">
        <f t="shared" si="24"/>
        <v>1217.1666666666665</v>
      </c>
      <c r="Q82" s="346">
        <f t="shared" si="18"/>
        <v>0</v>
      </c>
      <c r="R82" s="20">
        <f>IF(AND(D$2+$E$2&gt;0,N82-SNAP!P82&gt;0),N82-SNAP!P82,0)</f>
        <v>0</v>
      </c>
      <c r="S82" s="20">
        <f t="shared" si="25"/>
        <v>2434.333333333333</v>
      </c>
      <c r="T82" s="20">
        <f t="shared" si="19"/>
        <v>730.29999999999984</v>
      </c>
      <c r="U82" s="20">
        <f>IF(AND('Total income package'!$A$18=TRUE,OR(H82="Yes",O82="Yes"),G82&lt;$G$2,$K$2-T82&gt;10),ROUNDDOWN($K$2-T82,0),0)</f>
        <v>840</v>
      </c>
      <c r="V82" s="176">
        <f t="shared" si="26"/>
        <v>840</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299</v>
      </c>
      <c r="K83" s="20">
        <f t="shared" si="17"/>
        <v>2467.666666666667</v>
      </c>
      <c r="L83" s="20">
        <f t="shared" si="21"/>
        <v>0</v>
      </c>
      <c r="M83" s="20">
        <f>'Total income package'!$B$69</f>
        <v>500</v>
      </c>
      <c r="N83" s="20">
        <f t="shared" si="22"/>
        <v>500</v>
      </c>
      <c r="O83" s="344" t="str">
        <f t="shared" si="23"/>
        <v>Yes</v>
      </c>
      <c r="P83" s="20">
        <f t="shared" si="24"/>
        <v>1233.8333333333335</v>
      </c>
      <c r="Q83" s="346">
        <f t="shared" si="18"/>
        <v>0</v>
      </c>
      <c r="R83" s="20">
        <f>IF(AND(D$2+$E$2&gt;0,N83-SNAP!P83&gt;0),N83-SNAP!P83,0)</f>
        <v>0</v>
      </c>
      <c r="S83" s="20">
        <f t="shared" si="25"/>
        <v>2467.666666666667</v>
      </c>
      <c r="T83" s="20">
        <f t="shared" si="19"/>
        <v>740.30000000000007</v>
      </c>
      <c r="U83" s="20">
        <f>IF(AND('Total income package'!$A$18=TRUE,OR(H83="Yes",O83="Yes"),G83&lt;$G$2,$K$2-T83&gt;10),ROUNDDOWN($K$2-T83,0),0)</f>
        <v>830</v>
      </c>
      <c r="V83" s="176">
        <f t="shared" si="26"/>
        <v>830</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299</v>
      </c>
      <c r="K84" s="20">
        <f t="shared" si="17"/>
        <v>2501</v>
      </c>
      <c r="L84" s="20">
        <f t="shared" si="21"/>
        <v>0</v>
      </c>
      <c r="M84" s="20">
        <f>'Total income package'!$B$69</f>
        <v>500</v>
      </c>
      <c r="N84" s="20">
        <f t="shared" si="22"/>
        <v>500</v>
      </c>
      <c r="O84" s="344" t="str">
        <f t="shared" si="23"/>
        <v>Yes</v>
      </c>
      <c r="P84" s="20">
        <f t="shared" si="24"/>
        <v>1250.5</v>
      </c>
      <c r="Q84" s="346">
        <f t="shared" si="18"/>
        <v>0</v>
      </c>
      <c r="R84" s="20">
        <f>IF(AND(D$2+$E$2&gt;0,N84-SNAP!P84&gt;0),N84-SNAP!P84,0)</f>
        <v>0</v>
      </c>
      <c r="S84" s="20">
        <f t="shared" si="25"/>
        <v>2501</v>
      </c>
      <c r="T84" s="20">
        <f t="shared" si="19"/>
        <v>750.3</v>
      </c>
      <c r="U84" s="20">
        <f>IF(AND('Total income package'!$A$18=TRUE,OR(H84="Yes",O84="Yes"),G84&lt;$G$2,$K$2-T84&gt;10),ROUNDDOWN($K$2-T84,0),0)</f>
        <v>820</v>
      </c>
      <c r="V84" s="176">
        <f t="shared" si="26"/>
        <v>820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299</v>
      </c>
      <c r="K85" s="20">
        <f t="shared" si="17"/>
        <v>2534.333333333333</v>
      </c>
      <c r="L85" s="20">
        <f t="shared" si="21"/>
        <v>0</v>
      </c>
      <c r="M85" s="20">
        <f>'Total income package'!$B$69</f>
        <v>500</v>
      </c>
      <c r="N85" s="20">
        <f t="shared" si="22"/>
        <v>500</v>
      </c>
      <c r="O85" s="344" t="str">
        <f t="shared" si="23"/>
        <v>Yes</v>
      </c>
      <c r="P85" s="20">
        <f t="shared" si="24"/>
        <v>1267.1666666666665</v>
      </c>
      <c r="Q85" s="346">
        <f t="shared" si="18"/>
        <v>0</v>
      </c>
      <c r="R85" s="20">
        <f>IF(AND(D$2+$E$2&gt;0,N85-SNAP!P85&gt;0),N85-SNAP!P85,0)</f>
        <v>0</v>
      </c>
      <c r="S85" s="20">
        <f t="shared" si="25"/>
        <v>2534.333333333333</v>
      </c>
      <c r="T85" s="20">
        <f t="shared" si="19"/>
        <v>760.29999999999984</v>
      </c>
      <c r="U85" s="20">
        <f>IF(AND('Total income package'!$A$18=TRUE,OR(H85="Yes",O85="Yes"),G85&lt;$G$2,$K$2-T85&gt;10),ROUNDDOWN($K$2-T85,0),0)</f>
        <v>810</v>
      </c>
      <c r="V85" s="176">
        <f t="shared" si="26"/>
        <v>810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299</v>
      </c>
      <c r="K86" s="20">
        <f t="shared" si="17"/>
        <v>2567.666666666667</v>
      </c>
      <c r="L86" s="20">
        <f t="shared" si="21"/>
        <v>0</v>
      </c>
      <c r="M86" s="20">
        <f>'Total income package'!$B$69</f>
        <v>500</v>
      </c>
      <c r="N86" s="20">
        <f t="shared" si="22"/>
        <v>500</v>
      </c>
      <c r="O86" s="344" t="str">
        <f t="shared" si="23"/>
        <v>Yes</v>
      </c>
      <c r="P86" s="20">
        <f t="shared" si="24"/>
        <v>1283.8333333333335</v>
      </c>
      <c r="Q86" s="346">
        <f t="shared" si="18"/>
        <v>0</v>
      </c>
      <c r="R86" s="20">
        <f>IF(AND(D$2+$E$2&gt;0,N86-SNAP!P86&gt;0),N86-SNAP!P86,0)</f>
        <v>0</v>
      </c>
      <c r="S86" s="20">
        <f t="shared" si="25"/>
        <v>2567.666666666667</v>
      </c>
      <c r="T86" s="20">
        <f t="shared" si="19"/>
        <v>770.30000000000007</v>
      </c>
      <c r="U86" s="20">
        <f>IF(AND('Total income package'!$A$18=TRUE,OR(H86="Yes",O86="Yes"),G86&lt;$G$2,$K$2-T86&gt;10),ROUNDDOWN($K$2-T86,0),0)</f>
        <v>800</v>
      </c>
      <c r="V86" s="176">
        <f t="shared" si="26"/>
        <v>800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299</v>
      </c>
      <c r="K87" s="20">
        <f t="shared" si="17"/>
        <v>2601</v>
      </c>
      <c r="L87" s="20">
        <f t="shared" si="21"/>
        <v>0</v>
      </c>
      <c r="M87" s="20">
        <f>'Total income package'!$B$69</f>
        <v>500</v>
      </c>
      <c r="N87" s="20">
        <f t="shared" si="22"/>
        <v>500</v>
      </c>
      <c r="O87" s="344" t="str">
        <f t="shared" si="23"/>
        <v>Yes</v>
      </c>
      <c r="P87" s="20">
        <f t="shared" si="24"/>
        <v>1300.5</v>
      </c>
      <c r="Q87" s="346">
        <f t="shared" si="18"/>
        <v>0</v>
      </c>
      <c r="R87" s="20">
        <f>IF(AND(D$2+$E$2&gt;0,N87-SNAP!P87&gt;0),N87-SNAP!P87,0)</f>
        <v>0</v>
      </c>
      <c r="S87" s="20">
        <f t="shared" si="25"/>
        <v>2601</v>
      </c>
      <c r="T87" s="20">
        <f t="shared" si="19"/>
        <v>780.3</v>
      </c>
      <c r="U87" s="20">
        <f>IF(AND('Total income package'!$A$18=TRUE,OR(H87="Yes",O87="Yes"),G87&lt;$G$2,$K$2-T87&gt;10),ROUNDDOWN($K$2-T87,0),0)</f>
        <v>790</v>
      </c>
      <c r="V87" s="176">
        <f t="shared" si="26"/>
        <v>790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299</v>
      </c>
      <c r="K88" s="20">
        <f t="shared" si="17"/>
        <v>2634.333333333333</v>
      </c>
      <c r="L88" s="20">
        <f t="shared" si="21"/>
        <v>0</v>
      </c>
      <c r="M88" s="20">
        <f>'Total income package'!$B$69</f>
        <v>500</v>
      </c>
      <c r="N88" s="20">
        <f t="shared" si="22"/>
        <v>500</v>
      </c>
      <c r="O88" s="344" t="str">
        <f t="shared" si="23"/>
        <v>Yes</v>
      </c>
      <c r="P88" s="20">
        <f t="shared" si="24"/>
        <v>1317.1666666666665</v>
      </c>
      <c r="Q88" s="346">
        <f t="shared" si="18"/>
        <v>0</v>
      </c>
      <c r="R88" s="20">
        <f>IF(AND(D$2+$E$2&gt;0,N88-SNAP!P88&gt;0),N88-SNAP!P88,0)</f>
        <v>0</v>
      </c>
      <c r="S88" s="20">
        <f t="shared" si="25"/>
        <v>2634.333333333333</v>
      </c>
      <c r="T88" s="20">
        <f t="shared" si="19"/>
        <v>790.29999999999984</v>
      </c>
      <c r="U88" s="20">
        <f>IF(AND('Total income package'!$A$18=TRUE,OR(H88="Yes",O88="Yes"),G88&lt;$G$2,$K$2-T88&gt;10),ROUNDDOWN($K$2-T88,0),0)</f>
        <v>780</v>
      </c>
      <c r="V88" s="176">
        <f t="shared" si="26"/>
        <v>780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299</v>
      </c>
      <c r="K89" s="20">
        <f t="shared" si="17"/>
        <v>2667.666666666667</v>
      </c>
      <c r="L89" s="20">
        <f t="shared" si="21"/>
        <v>0</v>
      </c>
      <c r="M89" s="20">
        <f>'Total income package'!$B$69</f>
        <v>500</v>
      </c>
      <c r="N89" s="20">
        <f t="shared" si="22"/>
        <v>500</v>
      </c>
      <c r="O89" s="344" t="str">
        <f t="shared" si="23"/>
        <v>Yes</v>
      </c>
      <c r="P89" s="20">
        <f t="shared" si="24"/>
        <v>1333.8333333333335</v>
      </c>
      <c r="Q89" s="346">
        <f t="shared" si="18"/>
        <v>0</v>
      </c>
      <c r="R89" s="20">
        <f>IF(AND(D$2+$E$2&gt;0,N89-SNAP!P89&gt;0),N89-SNAP!P89,0)</f>
        <v>0</v>
      </c>
      <c r="S89" s="20">
        <f t="shared" si="25"/>
        <v>2667.666666666667</v>
      </c>
      <c r="T89" s="20">
        <f t="shared" si="19"/>
        <v>800.30000000000007</v>
      </c>
      <c r="U89" s="20">
        <f>IF(AND('Total income package'!$A$18=TRUE,OR(H89="Yes",O89="Yes"),G89&lt;$G$2,$K$2-T89&gt;10),ROUNDDOWN($K$2-T89,0),0)</f>
        <v>770</v>
      </c>
      <c r="V89" s="176">
        <f t="shared" si="26"/>
        <v>770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299</v>
      </c>
      <c r="K90" s="20">
        <f t="shared" si="17"/>
        <v>2701</v>
      </c>
      <c r="L90" s="20">
        <f t="shared" si="21"/>
        <v>0</v>
      </c>
      <c r="M90" s="20">
        <f>'Total income package'!$B$69</f>
        <v>500</v>
      </c>
      <c r="N90" s="20">
        <f t="shared" si="22"/>
        <v>500</v>
      </c>
      <c r="O90" s="344" t="str">
        <f t="shared" si="23"/>
        <v>Yes</v>
      </c>
      <c r="P90" s="20">
        <f t="shared" si="24"/>
        <v>1350.5</v>
      </c>
      <c r="Q90" s="346">
        <f t="shared" si="18"/>
        <v>0</v>
      </c>
      <c r="R90" s="20">
        <f>IF(AND(D$2+$E$2&gt;0,N90-SNAP!P90&gt;0),N90-SNAP!P90,0)</f>
        <v>0</v>
      </c>
      <c r="S90" s="20">
        <f t="shared" si="25"/>
        <v>2701</v>
      </c>
      <c r="T90" s="20">
        <f t="shared" si="19"/>
        <v>810.3</v>
      </c>
      <c r="U90" s="20">
        <f>IF(AND('Total income package'!$A$18=TRUE,OR(H90="Yes",O90="Yes"),G90&lt;$G$2,$K$2-T90&gt;10),ROUNDDOWN($K$2-T90,0),0)</f>
        <v>760</v>
      </c>
      <c r="V90" s="176">
        <f t="shared" si="26"/>
        <v>760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299</v>
      </c>
      <c r="K91" s="20">
        <f t="shared" si="17"/>
        <v>2734.333333333333</v>
      </c>
      <c r="L91" s="20">
        <f t="shared" si="21"/>
        <v>0</v>
      </c>
      <c r="M91" s="20">
        <f>'Total income package'!$B$69</f>
        <v>500</v>
      </c>
      <c r="N91" s="20">
        <f t="shared" si="22"/>
        <v>500</v>
      </c>
      <c r="O91" s="344" t="str">
        <f t="shared" si="23"/>
        <v>Yes</v>
      </c>
      <c r="P91" s="20">
        <f t="shared" si="24"/>
        <v>1367.1666666666665</v>
      </c>
      <c r="Q91" s="346">
        <f t="shared" si="18"/>
        <v>0</v>
      </c>
      <c r="R91" s="20">
        <f>IF(AND(D$2+$E$2&gt;0,N91-SNAP!P91&gt;0),N91-SNAP!P91,0)</f>
        <v>0</v>
      </c>
      <c r="S91" s="20">
        <f t="shared" si="25"/>
        <v>2734.333333333333</v>
      </c>
      <c r="T91" s="20">
        <f t="shared" si="19"/>
        <v>820.29999999999984</v>
      </c>
      <c r="U91" s="20">
        <f>IF(AND('Total income package'!$A$18=TRUE,OR(H91="Yes",O91="Yes"),G91&lt;$G$2,$K$2-T91&gt;10),ROUNDDOWN($K$2-T91,0),0)</f>
        <v>750</v>
      </c>
      <c r="V91" s="176">
        <f t="shared" si="26"/>
        <v>750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299</v>
      </c>
      <c r="K92" s="20">
        <f t="shared" si="17"/>
        <v>2767.666666666667</v>
      </c>
      <c r="L92" s="20">
        <f t="shared" si="21"/>
        <v>0</v>
      </c>
      <c r="M92" s="20">
        <f>'Total income package'!$B$69</f>
        <v>500</v>
      </c>
      <c r="N92" s="20">
        <f t="shared" si="22"/>
        <v>500</v>
      </c>
      <c r="O92" s="344" t="str">
        <f t="shared" si="23"/>
        <v>Yes</v>
      </c>
      <c r="P92" s="20">
        <f t="shared" si="24"/>
        <v>1383.8333333333335</v>
      </c>
      <c r="Q92" s="346">
        <f t="shared" si="18"/>
        <v>0</v>
      </c>
      <c r="R92" s="20">
        <f>IF(AND(D$2+$E$2&gt;0,N92-SNAP!P92&gt;0),N92-SNAP!P92,0)</f>
        <v>0</v>
      </c>
      <c r="S92" s="20">
        <f t="shared" si="25"/>
        <v>2767.666666666667</v>
      </c>
      <c r="T92" s="20">
        <f t="shared" si="19"/>
        <v>830.30000000000007</v>
      </c>
      <c r="U92" s="20">
        <f>IF(AND('Total income package'!$A$18=TRUE,OR(H92="Yes",O92="Yes"),G92&lt;$G$2,$K$2-T92&gt;10),ROUNDDOWN($K$2-T92,0),0)</f>
        <v>740</v>
      </c>
      <c r="V92" s="176">
        <f t="shared" si="26"/>
        <v>740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299</v>
      </c>
      <c r="K93" s="20">
        <f t="shared" si="17"/>
        <v>2801</v>
      </c>
      <c r="L93" s="20">
        <f t="shared" si="21"/>
        <v>0</v>
      </c>
      <c r="M93" s="20">
        <f>'Total income package'!$B$69</f>
        <v>500</v>
      </c>
      <c r="N93" s="20">
        <f t="shared" si="22"/>
        <v>500</v>
      </c>
      <c r="O93" s="344" t="str">
        <f t="shared" si="23"/>
        <v>Yes</v>
      </c>
      <c r="P93" s="20">
        <f t="shared" si="24"/>
        <v>1400.5</v>
      </c>
      <c r="Q93" s="346">
        <f t="shared" si="18"/>
        <v>0</v>
      </c>
      <c r="R93" s="20">
        <f>IF(AND(D$2+$E$2&gt;0,N93-SNAP!P93&gt;0),N93-SNAP!P93,0)</f>
        <v>0</v>
      </c>
      <c r="S93" s="20">
        <f t="shared" si="25"/>
        <v>2801</v>
      </c>
      <c r="T93" s="20">
        <f t="shared" si="19"/>
        <v>840.3</v>
      </c>
      <c r="U93" s="20">
        <f>IF(AND('Total income package'!$A$18=TRUE,OR(H93="Yes",O93="Yes"),G93&lt;$G$2,$K$2-T93&gt;10),ROUNDDOWN($K$2-T93,0),0)</f>
        <v>730</v>
      </c>
      <c r="V93" s="176">
        <f t="shared" si="26"/>
        <v>730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299</v>
      </c>
      <c r="K94" s="20">
        <f t="shared" si="17"/>
        <v>2834.333333333333</v>
      </c>
      <c r="L94" s="20">
        <f t="shared" si="21"/>
        <v>0</v>
      </c>
      <c r="M94" s="20">
        <f>'Total income package'!$B$69</f>
        <v>500</v>
      </c>
      <c r="N94" s="20">
        <f t="shared" si="22"/>
        <v>500</v>
      </c>
      <c r="O94" s="344" t="str">
        <f t="shared" si="23"/>
        <v>Yes</v>
      </c>
      <c r="P94" s="20">
        <f t="shared" si="24"/>
        <v>1417.1666666666665</v>
      </c>
      <c r="Q94" s="346">
        <f t="shared" si="18"/>
        <v>0</v>
      </c>
      <c r="R94" s="20">
        <f>IF(AND(D$2+$E$2&gt;0,N94-SNAP!P94&gt;0),N94-SNAP!P94,0)</f>
        <v>0</v>
      </c>
      <c r="S94" s="20">
        <f t="shared" si="25"/>
        <v>2834.333333333333</v>
      </c>
      <c r="T94" s="20">
        <f t="shared" si="19"/>
        <v>850.29999999999984</v>
      </c>
      <c r="U94" s="20">
        <f>IF(AND('Total income package'!$A$18=TRUE,OR(H94="Yes",O94="Yes"),G94&lt;$G$2,$K$2-T94&gt;10),ROUNDDOWN($K$2-T94,0),0)</f>
        <v>720</v>
      </c>
      <c r="V94" s="176">
        <f t="shared" si="26"/>
        <v>720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299</v>
      </c>
      <c r="K95" s="20">
        <f t="shared" si="17"/>
        <v>2867.666666666667</v>
      </c>
      <c r="L95" s="20">
        <f t="shared" si="21"/>
        <v>0</v>
      </c>
      <c r="M95" s="20">
        <f>'Total income package'!$B$69</f>
        <v>500</v>
      </c>
      <c r="N95" s="20">
        <f t="shared" si="22"/>
        <v>500</v>
      </c>
      <c r="O95" s="344" t="str">
        <f t="shared" si="23"/>
        <v>Yes</v>
      </c>
      <c r="P95" s="20">
        <f t="shared" si="24"/>
        <v>1433.8333333333335</v>
      </c>
      <c r="Q95" s="346">
        <f t="shared" si="18"/>
        <v>0</v>
      </c>
      <c r="R95" s="20">
        <f>IF(AND(D$2+$E$2&gt;0,N95-SNAP!P95&gt;0),N95-SNAP!P95,0)</f>
        <v>0</v>
      </c>
      <c r="S95" s="20">
        <f t="shared" si="25"/>
        <v>2867.666666666667</v>
      </c>
      <c r="T95" s="20">
        <f t="shared" si="19"/>
        <v>860.30000000000007</v>
      </c>
      <c r="U95" s="20">
        <f>IF(AND('Total income package'!$A$18=TRUE,OR(H95="Yes",O95="Yes"),G95&lt;$G$2,$K$2-T95&gt;10),ROUNDDOWN($K$2-T95,0),0)</f>
        <v>710</v>
      </c>
      <c r="V95" s="176">
        <f t="shared" si="26"/>
        <v>710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299</v>
      </c>
      <c r="K96" s="20">
        <f t="shared" si="17"/>
        <v>2901</v>
      </c>
      <c r="L96" s="20">
        <f t="shared" si="21"/>
        <v>0</v>
      </c>
      <c r="M96" s="20">
        <f>'Total income package'!$B$69</f>
        <v>500</v>
      </c>
      <c r="N96" s="20">
        <f t="shared" si="22"/>
        <v>500</v>
      </c>
      <c r="O96" s="344" t="str">
        <f t="shared" si="23"/>
        <v>Yes</v>
      </c>
      <c r="P96" s="20">
        <f t="shared" si="24"/>
        <v>1450.5</v>
      </c>
      <c r="Q96" s="346">
        <f t="shared" si="18"/>
        <v>0</v>
      </c>
      <c r="R96" s="20">
        <f>IF(AND(D$2+$E$2&gt;0,N96-SNAP!P96&gt;0),N96-SNAP!P96,0)</f>
        <v>0</v>
      </c>
      <c r="S96" s="20">
        <f t="shared" si="25"/>
        <v>2901</v>
      </c>
      <c r="T96" s="20">
        <f t="shared" si="19"/>
        <v>870.3</v>
      </c>
      <c r="U96" s="20">
        <f>IF(AND('Total income package'!$A$18=TRUE,OR(H96="Yes",O96="Yes"),G96&lt;$G$2,$K$2-T96&gt;10),ROUNDDOWN($K$2-T96,0),0)</f>
        <v>700</v>
      </c>
      <c r="V96" s="176">
        <f t="shared" si="26"/>
        <v>700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299</v>
      </c>
      <c r="K97" s="20">
        <f t="shared" si="17"/>
        <v>2934.333333333333</v>
      </c>
      <c r="L97" s="20">
        <f t="shared" si="21"/>
        <v>0</v>
      </c>
      <c r="M97" s="20">
        <f>'Total income package'!$B$69</f>
        <v>500</v>
      </c>
      <c r="N97" s="20">
        <f t="shared" si="22"/>
        <v>500</v>
      </c>
      <c r="O97" s="344" t="str">
        <f t="shared" si="23"/>
        <v>Yes</v>
      </c>
      <c r="P97" s="20">
        <f t="shared" si="24"/>
        <v>1467.1666666666665</v>
      </c>
      <c r="Q97" s="346">
        <f t="shared" si="18"/>
        <v>0</v>
      </c>
      <c r="R97" s="20">
        <f>IF(AND(D$2+$E$2&gt;0,N97-SNAP!P97&gt;0),N97-SNAP!P97,0)</f>
        <v>0</v>
      </c>
      <c r="S97" s="20">
        <f t="shared" si="25"/>
        <v>2934.333333333333</v>
      </c>
      <c r="T97" s="20">
        <f t="shared" si="19"/>
        <v>880.29999999999984</v>
      </c>
      <c r="U97" s="20">
        <f>IF(AND('Total income package'!$A$18=TRUE,OR(H97="Yes",O97="Yes"),G97&lt;$G$2,$K$2-T97&gt;10),ROUNDDOWN($K$2-T97,0),0)</f>
        <v>690</v>
      </c>
      <c r="V97" s="176">
        <f t="shared" si="26"/>
        <v>690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299</v>
      </c>
      <c r="K98" s="20">
        <f t="shared" si="17"/>
        <v>2967.666666666667</v>
      </c>
      <c r="L98" s="20">
        <f t="shared" si="21"/>
        <v>0</v>
      </c>
      <c r="M98" s="20">
        <f>'Total income package'!$B$69</f>
        <v>500</v>
      </c>
      <c r="N98" s="20">
        <f t="shared" si="22"/>
        <v>500</v>
      </c>
      <c r="O98" s="344" t="str">
        <f t="shared" si="23"/>
        <v>Yes</v>
      </c>
      <c r="P98" s="20">
        <f t="shared" si="24"/>
        <v>1483.8333333333335</v>
      </c>
      <c r="Q98" s="346">
        <f t="shared" si="18"/>
        <v>0</v>
      </c>
      <c r="R98" s="20">
        <f>IF(AND(D$2+$E$2&gt;0,N98-SNAP!P98&gt;0),N98-SNAP!P98,0)</f>
        <v>0</v>
      </c>
      <c r="S98" s="20">
        <f t="shared" si="25"/>
        <v>2967.666666666667</v>
      </c>
      <c r="T98" s="20">
        <f t="shared" si="19"/>
        <v>890.30000000000007</v>
      </c>
      <c r="U98" s="20">
        <f>IF(AND('Total income package'!$A$18=TRUE,OR(H98="Yes",O98="Yes"),G98&lt;$G$2,$K$2-T98&gt;10),ROUNDDOWN($K$2-T98,0),0)</f>
        <v>680</v>
      </c>
      <c r="V98" s="176">
        <f t="shared" si="26"/>
        <v>680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299</v>
      </c>
      <c r="K99" s="20">
        <f t="shared" si="17"/>
        <v>3001</v>
      </c>
      <c r="L99" s="20">
        <f t="shared" si="21"/>
        <v>0</v>
      </c>
      <c r="M99" s="20">
        <f>'Total income package'!$B$69</f>
        <v>500</v>
      </c>
      <c r="N99" s="20">
        <f t="shared" si="22"/>
        <v>500</v>
      </c>
      <c r="O99" s="344" t="str">
        <f t="shared" si="23"/>
        <v>Yes</v>
      </c>
      <c r="P99" s="20">
        <f t="shared" si="24"/>
        <v>1500.5</v>
      </c>
      <c r="Q99" s="346">
        <f t="shared" si="18"/>
        <v>0</v>
      </c>
      <c r="R99" s="20">
        <f>IF(AND(D$2+$E$2&gt;0,N99-SNAP!P99&gt;0),N99-SNAP!P99,0)</f>
        <v>0</v>
      </c>
      <c r="S99" s="20">
        <f t="shared" si="25"/>
        <v>3001</v>
      </c>
      <c r="T99" s="20">
        <f t="shared" si="19"/>
        <v>900.3</v>
      </c>
      <c r="U99" s="20">
        <f>IF(AND('Total income package'!$A$18=TRUE,OR(H99="Yes",O99="Yes"),G99&lt;$G$2,$K$2-T99&gt;10),ROUNDDOWN($K$2-T99,0),0)</f>
        <v>670</v>
      </c>
      <c r="V99" s="176">
        <f t="shared" si="26"/>
        <v>670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299</v>
      </c>
      <c r="K100" s="20">
        <f t="shared" si="17"/>
        <v>3034.3333333333326</v>
      </c>
      <c r="L100" s="20">
        <f t="shared" si="21"/>
        <v>0</v>
      </c>
      <c r="M100" s="20">
        <f>'Total income package'!$B$69</f>
        <v>500</v>
      </c>
      <c r="N100" s="20">
        <f t="shared" si="22"/>
        <v>500</v>
      </c>
      <c r="O100" s="344" t="str">
        <f t="shared" si="23"/>
        <v>Yes</v>
      </c>
      <c r="P100" s="20">
        <f t="shared" si="24"/>
        <v>1517.1666666666663</v>
      </c>
      <c r="Q100" s="346">
        <f t="shared" si="18"/>
        <v>0</v>
      </c>
      <c r="R100" s="20">
        <f>IF(AND(D$2+$E$2&gt;0,N100-SNAP!P100&gt;0),N100-SNAP!P100,0)</f>
        <v>0</v>
      </c>
      <c r="S100" s="20">
        <f t="shared" si="25"/>
        <v>3034.3333333333326</v>
      </c>
      <c r="T100" s="20">
        <f t="shared" si="19"/>
        <v>910.29999999999973</v>
      </c>
      <c r="U100" s="20">
        <f>IF(AND('Total income package'!$A$18=TRUE,OR(H100="Yes",O100="Yes"),G100&lt;$G$2,$K$2-T100&gt;10),ROUNDDOWN($K$2-T100,0),0)</f>
        <v>660</v>
      </c>
      <c r="V100" s="176">
        <f t="shared" si="26"/>
        <v>660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299</v>
      </c>
      <c r="K101" s="20">
        <f t="shared" si="17"/>
        <v>3067.666666666667</v>
      </c>
      <c r="L101" s="20">
        <f t="shared" si="21"/>
        <v>0</v>
      </c>
      <c r="M101" s="20">
        <f>'Total income package'!$B$69</f>
        <v>500</v>
      </c>
      <c r="N101" s="20">
        <f t="shared" si="22"/>
        <v>500</v>
      </c>
      <c r="O101" s="344" t="str">
        <f t="shared" si="23"/>
        <v>Yes</v>
      </c>
      <c r="P101" s="20">
        <f t="shared" si="24"/>
        <v>1533.8333333333335</v>
      </c>
      <c r="Q101" s="346">
        <f t="shared" si="18"/>
        <v>0</v>
      </c>
      <c r="R101" s="20">
        <f>IF(AND(D$2+$E$2&gt;0,N101-SNAP!P101&gt;0),N101-SNAP!P101,0)</f>
        <v>0</v>
      </c>
      <c r="S101" s="20">
        <f t="shared" si="25"/>
        <v>3067.666666666667</v>
      </c>
      <c r="T101" s="20">
        <f t="shared" si="19"/>
        <v>920.30000000000007</v>
      </c>
      <c r="U101" s="20">
        <f>IF(AND('Total income package'!$A$18=TRUE,OR(H101="Yes",O101="Yes"),G101&lt;$G$2,$K$2-T101&gt;10),ROUNDDOWN($K$2-T101,0),0)</f>
        <v>650</v>
      </c>
      <c r="V101" s="176">
        <f t="shared" si="26"/>
        <v>650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299</v>
      </c>
      <c r="K102" s="20">
        <f t="shared" si="17"/>
        <v>3101</v>
      </c>
      <c r="L102" s="20">
        <f t="shared" si="21"/>
        <v>0</v>
      </c>
      <c r="M102" s="20">
        <f>'Total income package'!$B$69</f>
        <v>500</v>
      </c>
      <c r="N102" s="20">
        <f t="shared" si="22"/>
        <v>500</v>
      </c>
      <c r="O102" s="344" t="str">
        <f t="shared" si="23"/>
        <v>Yes</v>
      </c>
      <c r="P102" s="20">
        <f t="shared" si="24"/>
        <v>1550.5</v>
      </c>
      <c r="Q102" s="346">
        <f t="shared" si="18"/>
        <v>0</v>
      </c>
      <c r="R102" s="20">
        <f>IF(AND(D$2+$E$2&gt;0,N102-SNAP!P102&gt;0),N102-SNAP!P102,0)</f>
        <v>0</v>
      </c>
      <c r="S102" s="20">
        <f t="shared" si="25"/>
        <v>3101</v>
      </c>
      <c r="T102" s="20">
        <f t="shared" si="19"/>
        <v>930.3</v>
      </c>
      <c r="U102" s="20">
        <f>IF(AND('Total income package'!$A$18=TRUE,OR(H102="Yes",O102="Yes"),G102&lt;$G$2,$K$2-T102&gt;10),ROUNDDOWN($K$2-T102,0),0)</f>
        <v>640</v>
      </c>
      <c r="V102" s="176">
        <f t="shared" si="26"/>
        <v>640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299</v>
      </c>
      <c r="K103" s="20">
        <f t="shared" si="17"/>
        <v>3134.3333333333326</v>
      </c>
      <c r="L103" s="20">
        <f t="shared" si="21"/>
        <v>0</v>
      </c>
      <c r="M103" s="20">
        <f>'Total income package'!$B$69</f>
        <v>500</v>
      </c>
      <c r="N103" s="20">
        <f t="shared" si="22"/>
        <v>500</v>
      </c>
      <c r="O103" s="344" t="str">
        <f t="shared" si="23"/>
        <v>Yes</v>
      </c>
      <c r="P103" s="20">
        <f t="shared" si="24"/>
        <v>1567.1666666666663</v>
      </c>
      <c r="Q103" s="346">
        <f t="shared" si="18"/>
        <v>0</v>
      </c>
      <c r="R103" s="20">
        <f>IF(AND(D$2+$E$2&gt;0,N103-SNAP!P103&gt;0),N103-SNAP!P103,0)</f>
        <v>0</v>
      </c>
      <c r="S103" s="20">
        <f t="shared" si="25"/>
        <v>3134.3333333333326</v>
      </c>
      <c r="T103" s="20">
        <f t="shared" si="19"/>
        <v>940.29999999999973</v>
      </c>
      <c r="U103" s="20">
        <f>IF(AND('Total income package'!$A$18=TRUE,OR(H103="Yes",O103="Yes"),G103&lt;$G$2,$K$2-T103&gt;10),ROUNDDOWN($K$2-T103,0),0)</f>
        <v>630</v>
      </c>
      <c r="V103" s="176">
        <f t="shared" si="26"/>
        <v>630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299</v>
      </c>
      <c r="K104" s="20">
        <f t="shared" si="17"/>
        <v>3167.666666666667</v>
      </c>
      <c r="L104" s="20">
        <f t="shared" si="21"/>
        <v>0</v>
      </c>
      <c r="M104" s="20">
        <f>'Total income package'!$B$69</f>
        <v>500</v>
      </c>
      <c r="N104" s="20">
        <f t="shared" si="22"/>
        <v>500</v>
      </c>
      <c r="O104" s="344" t="str">
        <f t="shared" si="23"/>
        <v>Yes</v>
      </c>
      <c r="P104" s="20">
        <f t="shared" si="24"/>
        <v>1583.8333333333335</v>
      </c>
      <c r="Q104" s="346">
        <f t="shared" si="18"/>
        <v>0</v>
      </c>
      <c r="R104" s="20">
        <f>IF(AND(D$2+$E$2&gt;0,N104-SNAP!P104&gt;0),N104-SNAP!P104,0)</f>
        <v>0</v>
      </c>
      <c r="S104" s="20">
        <f t="shared" si="25"/>
        <v>3167.666666666667</v>
      </c>
      <c r="T104" s="20">
        <f t="shared" si="19"/>
        <v>950.30000000000007</v>
      </c>
      <c r="U104" s="20">
        <f>IF(AND('Total income package'!$A$18=TRUE,OR(H104="Yes",O104="Yes"),G104&lt;$G$2,$K$2-T104&gt;10),ROUNDDOWN($K$2-T104,0),0)</f>
        <v>620</v>
      </c>
      <c r="V104" s="176">
        <f t="shared" si="26"/>
        <v>620</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299</v>
      </c>
      <c r="K105" s="20">
        <f t="shared" si="17"/>
        <v>3201</v>
      </c>
      <c r="L105" s="20">
        <f t="shared" si="21"/>
        <v>0</v>
      </c>
      <c r="M105" s="20">
        <f>'Total income package'!$B$69</f>
        <v>500</v>
      </c>
      <c r="N105" s="20">
        <f t="shared" si="22"/>
        <v>500</v>
      </c>
      <c r="O105" s="344" t="str">
        <f t="shared" si="23"/>
        <v>Yes</v>
      </c>
      <c r="P105" s="20">
        <f t="shared" si="24"/>
        <v>1600.5</v>
      </c>
      <c r="Q105" s="346">
        <f t="shared" si="18"/>
        <v>0</v>
      </c>
      <c r="R105" s="20">
        <f>IF(AND(D$2+$E$2&gt;0,N105-SNAP!P105&gt;0),N105-SNAP!P105,0)</f>
        <v>0</v>
      </c>
      <c r="S105" s="20">
        <f t="shared" si="25"/>
        <v>3201</v>
      </c>
      <c r="T105" s="20">
        <f t="shared" si="19"/>
        <v>960.3</v>
      </c>
      <c r="U105" s="20">
        <f>IF(AND('Total income package'!$A$18=TRUE,OR(H105="Yes",O105="Yes"),G105&lt;$G$2,$K$2-T105&gt;10),ROUNDDOWN($K$2-T105,0),0)</f>
        <v>610</v>
      </c>
      <c r="V105" s="176">
        <f t="shared" si="26"/>
        <v>610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299</v>
      </c>
      <c r="K106" s="20">
        <f t="shared" si="17"/>
        <v>3234.3333333333335</v>
      </c>
      <c r="L106" s="20">
        <f t="shared" si="21"/>
        <v>0</v>
      </c>
      <c r="M106" s="20">
        <f>'Total income package'!$B$69</f>
        <v>500</v>
      </c>
      <c r="N106" s="20">
        <f t="shared" si="22"/>
        <v>500</v>
      </c>
      <c r="O106" s="344" t="str">
        <f t="shared" si="23"/>
        <v>Yes</v>
      </c>
      <c r="P106" s="20">
        <f t="shared" si="24"/>
        <v>1617.1666666666667</v>
      </c>
      <c r="Q106" s="346">
        <f t="shared" si="18"/>
        <v>0</v>
      </c>
      <c r="R106" s="20">
        <f>IF(AND(D$2+$E$2&gt;0,N106-SNAP!P106&gt;0),N106-SNAP!P106,0)</f>
        <v>0</v>
      </c>
      <c r="S106" s="20">
        <f t="shared" si="25"/>
        <v>3234.3333333333335</v>
      </c>
      <c r="T106" s="20">
        <f t="shared" si="19"/>
        <v>970.3</v>
      </c>
      <c r="U106" s="20">
        <f>IF(AND('Total income package'!$A$18=TRUE,OR(H106="Yes",O106="Yes"),G106&lt;$G$2,$K$2-T106&gt;10),ROUNDDOWN($K$2-T106,0),0)</f>
        <v>600</v>
      </c>
      <c r="V106" s="176">
        <f t="shared" si="26"/>
        <v>600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299</v>
      </c>
      <c r="K107" s="20">
        <f t="shared" si="17"/>
        <v>3267.6666666666665</v>
      </c>
      <c r="L107" s="20">
        <f t="shared" si="21"/>
        <v>0</v>
      </c>
      <c r="M107" s="20">
        <f>'Total income package'!$B$69</f>
        <v>500</v>
      </c>
      <c r="N107" s="20">
        <f t="shared" si="22"/>
        <v>500</v>
      </c>
      <c r="O107" s="344" t="str">
        <f t="shared" si="23"/>
        <v>Yes</v>
      </c>
      <c r="P107" s="20">
        <f t="shared" si="24"/>
        <v>1633.8333333333333</v>
      </c>
      <c r="Q107" s="346">
        <f t="shared" si="18"/>
        <v>0</v>
      </c>
      <c r="R107" s="20">
        <f>IF(AND(D$2+$E$2&gt;0,N107-SNAP!P107&gt;0),N107-SNAP!P107,0)</f>
        <v>0</v>
      </c>
      <c r="S107" s="20">
        <f t="shared" si="25"/>
        <v>3267.6666666666665</v>
      </c>
      <c r="T107" s="20">
        <f t="shared" si="19"/>
        <v>980.3</v>
      </c>
      <c r="U107" s="20">
        <f>IF(AND('Total income package'!$A$18=TRUE,OR(H107="Yes",O107="Yes"),G107&lt;$G$2,$K$2-T107&gt;10),ROUNDDOWN($K$2-T107,0),0)</f>
        <v>590</v>
      </c>
      <c r="V107" s="176">
        <f t="shared" si="26"/>
        <v>590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Yes</v>
      </c>
      <c r="I108" s="20">
        <f t="shared" si="15"/>
        <v>850</v>
      </c>
      <c r="J108" s="20">
        <f t="shared" si="16"/>
        <v>299</v>
      </c>
      <c r="K108" s="20">
        <f t="shared" si="17"/>
        <v>3301</v>
      </c>
      <c r="L108" s="20">
        <f t="shared" si="21"/>
        <v>0</v>
      </c>
      <c r="M108" s="20">
        <f>'Total income package'!$B$69</f>
        <v>500</v>
      </c>
      <c r="N108" s="20">
        <f t="shared" si="22"/>
        <v>500</v>
      </c>
      <c r="O108" s="344" t="str">
        <f t="shared" si="23"/>
        <v>Yes</v>
      </c>
      <c r="P108" s="20">
        <f t="shared" si="24"/>
        <v>1650.5</v>
      </c>
      <c r="Q108" s="346">
        <f t="shared" si="18"/>
        <v>0</v>
      </c>
      <c r="R108" s="20">
        <f>IF(AND(D$2+$E$2&gt;0,N108-SNAP!P108&gt;0),N108-SNAP!P108,0)</f>
        <v>0</v>
      </c>
      <c r="S108" s="20">
        <f t="shared" si="25"/>
        <v>3301</v>
      </c>
      <c r="T108" s="20">
        <f t="shared" si="19"/>
        <v>990.3</v>
      </c>
      <c r="U108" s="20">
        <f>IF(AND('Total income package'!$A$18=TRUE,OR(H108="Yes",O108="Yes"),G108&lt;$G$2,$K$2-T108&gt;10),ROUNDDOWN($K$2-T108,0),0)</f>
        <v>580</v>
      </c>
      <c r="V108" s="176">
        <f t="shared" si="26"/>
        <v>580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Yes</v>
      </c>
      <c r="I109" s="20">
        <f t="shared" si="15"/>
        <v>858.33333333333348</v>
      </c>
      <c r="J109" s="20">
        <f t="shared" si="16"/>
        <v>299</v>
      </c>
      <c r="K109" s="20">
        <f t="shared" si="17"/>
        <v>3334.3333333333335</v>
      </c>
      <c r="L109" s="20">
        <f t="shared" si="21"/>
        <v>0</v>
      </c>
      <c r="M109" s="20">
        <f>'Total income package'!$B$69</f>
        <v>500</v>
      </c>
      <c r="N109" s="20">
        <f t="shared" si="22"/>
        <v>500</v>
      </c>
      <c r="O109" s="344" t="str">
        <f t="shared" si="23"/>
        <v>Yes</v>
      </c>
      <c r="P109" s="20">
        <f t="shared" si="24"/>
        <v>1667.1666666666667</v>
      </c>
      <c r="Q109" s="346">
        <f t="shared" si="18"/>
        <v>0</v>
      </c>
      <c r="R109" s="20">
        <f>IF(AND(D$2+$E$2&gt;0,N109-SNAP!P109&gt;0),N109-SNAP!P109,0)</f>
        <v>0</v>
      </c>
      <c r="S109" s="20">
        <f t="shared" si="25"/>
        <v>3334.3333333333335</v>
      </c>
      <c r="T109" s="20">
        <f t="shared" si="19"/>
        <v>1000.3</v>
      </c>
      <c r="U109" s="20">
        <f>IF(AND('Total income package'!$A$18=TRUE,OR(H109="Yes",O109="Yes"),G109&lt;$G$2,$K$2-T109&gt;10),ROUNDDOWN($K$2-T109,0),0)</f>
        <v>570</v>
      </c>
      <c r="V109" s="176">
        <f t="shared" si="26"/>
        <v>570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Yes</v>
      </c>
      <c r="I110" s="20">
        <f t="shared" si="15"/>
        <v>866.66666666666663</v>
      </c>
      <c r="J110" s="20">
        <f t="shared" si="16"/>
        <v>299</v>
      </c>
      <c r="K110" s="20">
        <f t="shared" si="17"/>
        <v>3367.6666666666665</v>
      </c>
      <c r="L110" s="20">
        <f t="shared" si="21"/>
        <v>0</v>
      </c>
      <c r="M110" s="20">
        <f>'Total income package'!$B$69</f>
        <v>500</v>
      </c>
      <c r="N110" s="20">
        <f t="shared" si="22"/>
        <v>500</v>
      </c>
      <c r="O110" s="344" t="str">
        <f t="shared" si="23"/>
        <v>Yes</v>
      </c>
      <c r="P110" s="20">
        <f t="shared" si="24"/>
        <v>1683.8333333333333</v>
      </c>
      <c r="Q110" s="346">
        <f t="shared" si="18"/>
        <v>0</v>
      </c>
      <c r="R110" s="20">
        <f>IF(AND(D$2+$E$2&gt;0,N110-SNAP!P110&gt;0),N110-SNAP!P110,0)</f>
        <v>0</v>
      </c>
      <c r="S110" s="20">
        <f t="shared" si="25"/>
        <v>3367.6666666666665</v>
      </c>
      <c r="T110" s="20">
        <f t="shared" si="19"/>
        <v>1010.3</v>
      </c>
      <c r="U110" s="20">
        <f>IF(AND('Total income package'!$A$18=TRUE,OR(H110="Yes",O110="Yes"),G110&lt;$G$2,$K$2-T110&gt;10),ROUNDDOWN($K$2-T110,0),0)</f>
        <v>560</v>
      </c>
      <c r="V110" s="176">
        <f>IF(AND(C106&lt;3,U110&gt;10,U110&lt;24),24,U110)</f>
        <v>560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Yes</v>
      </c>
      <c r="I111" s="20">
        <f t="shared" si="15"/>
        <v>875</v>
      </c>
      <c r="J111" s="20">
        <f t="shared" si="16"/>
        <v>299</v>
      </c>
      <c r="K111" s="20">
        <f t="shared" si="17"/>
        <v>3401</v>
      </c>
      <c r="L111" s="20">
        <f t="shared" si="21"/>
        <v>0</v>
      </c>
      <c r="M111" s="20">
        <f>'Total income package'!$B$69</f>
        <v>500</v>
      </c>
      <c r="N111" s="20">
        <f t="shared" si="22"/>
        <v>500</v>
      </c>
      <c r="O111" s="344" t="str">
        <f t="shared" si="23"/>
        <v>Yes</v>
      </c>
      <c r="P111" s="20">
        <f t="shared" si="24"/>
        <v>1700.5</v>
      </c>
      <c r="Q111" s="346">
        <f t="shared" si="18"/>
        <v>0</v>
      </c>
      <c r="R111" s="20">
        <f>IF(AND(D$2+$E$2&gt;0,N111-SNAP!P111&gt;0),N111-SNAP!P111,0)</f>
        <v>0</v>
      </c>
      <c r="S111" s="20">
        <f t="shared" si="25"/>
        <v>3401</v>
      </c>
      <c r="T111" s="20">
        <f t="shared" si="19"/>
        <v>1020.3</v>
      </c>
      <c r="U111" s="20">
        <f>IF(AND('Total income package'!$A$18=TRUE,OR(H111="Yes",O111="Yes"),G111&lt;$G$2,$K$2-T111&gt;10),ROUNDDOWN($K$2-T111,0),0)</f>
        <v>550</v>
      </c>
      <c r="V111" s="176">
        <f t="shared" si="26"/>
        <v>550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Yes</v>
      </c>
      <c r="I112" s="20">
        <f t="shared" si="15"/>
        <v>883.33333333333348</v>
      </c>
      <c r="J112" s="20">
        <f t="shared" si="16"/>
        <v>299</v>
      </c>
      <c r="K112" s="20">
        <f t="shared" si="17"/>
        <v>3434.3333333333335</v>
      </c>
      <c r="L112" s="20">
        <f t="shared" si="21"/>
        <v>0</v>
      </c>
      <c r="M112" s="20">
        <f>'Total income package'!$B$69</f>
        <v>500</v>
      </c>
      <c r="N112" s="20">
        <f t="shared" si="22"/>
        <v>500</v>
      </c>
      <c r="O112" s="344" t="str">
        <f t="shared" si="23"/>
        <v>Yes</v>
      </c>
      <c r="P112" s="20">
        <f t="shared" si="24"/>
        <v>1717.1666666666667</v>
      </c>
      <c r="Q112" s="346">
        <f t="shared" si="18"/>
        <v>0</v>
      </c>
      <c r="R112" s="20">
        <f>IF(AND(D$2+$E$2&gt;0,N112-SNAP!P112&gt;0),N112-SNAP!P112,0)</f>
        <v>0</v>
      </c>
      <c r="S112" s="20">
        <f t="shared" si="25"/>
        <v>3434.3333333333335</v>
      </c>
      <c r="T112" s="20">
        <f t="shared" si="19"/>
        <v>1030.3</v>
      </c>
      <c r="U112" s="20">
        <f>IF(AND('Total income package'!$A$18=TRUE,OR(H112="Yes",O112="Yes"),G112&lt;$G$2,$K$2-T112&gt;10),ROUNDDOWN($K$2-T112,0),0)</f>
        <v>540</v>
      </c>
      <c r="V112" s="176">
        <f t="shared" si="26"/>
        <v>540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Yes</v>
      </c>
      <c r="I113" s="20">
        <f t="shared" si="15"/>
        <v>891.66666666666663</v>
      </c>
      <c r="J113" s="20">
        <f t="shared" si="16"/>
        <v>299</v>
      </c>
      <c r="K113" s="20">
        <f t="shared" si="17"/>
        <v>3467.6666666666665</v>
      </c>
      <c r="L113" s="20">
        <f t="shared" si="21"/>
        <v>0</v>
      </c>
      <c r="M113" s="20">
        <f>'Total income package'!$B$69</f>
        <v>500</v>
      </c>
      <c r="N113" s="20">
        <f t="shared" si="22"/>
        <v>500</v>
      </c>
      <c r="O113" s="344" t="str">
        <f t="shared" si="23"/>
        <v>Yes</v>
      </c>
      <c r="P113" s="20">
        <f t="shared" si="24"/>
        <v>1733.8333333333333</v>
      </c>
      <c r="Q113" s="346">
        <f t="shared" si="18"/>
        <v>0</v>
      </c>
      <c r="R113" s="20">
        <f>IF(AND(D$2+$E$2&gt;0,N113-SNAP!P113&gt;0),N113-SNAP!P113,0)</f>
        <v>0</v>
      </c>
      <c r="S113" s="20">
        <f t="shared" si="25"/>
        <v>3467.6666666666665</v>
      </c>
      <c r="T113" s="20">
        <f t="shared" si="19"/>
        <v>1040.3</v>
      </c>
      <c r="U113" s="20">
        <f>IF(AND('Total income package'!$A$18=TRUE,OR(H113="Yes",O113="Yes"),G113&lt;$G$2,$K$2-T113&gt;10),ROUNDDOWN($K$2-T113,0),0)</f>
        <v>530</v>
      </c>
      <c r="V113" s="176">
        <f t="shared" si="26"/>
        <v>530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Yes</v>
      </c>
      <c r="I114" s="20">
        <f t="shared" si="15"/>
        <v>900</v>
      </c>
      <c r="J114" s="20">
        <f t="shared" si="16"/>
        <v>299</v>
      </c>
      <c r="K114" s="20">
        <f t="shared" si="17"/>
        <v>3501</v>
      </c>
      <c r="L114" s="20">
        <f t="shared" si="21"/>
        <v>0</v>
      </c>
      <c r="M114" s="20">
        <f>'Total income package'!$B$69</f>
        <v>500</v>
      </c>
      <c r="N114" s="20">
        <f t="shared" si="22"/>
        <v>500</v>
      </c>
      <c r="O114" s="344" t="str">
        <f t="shared" si="23"/>
        <v>Yes</v>
      </c>
      <c r="P114" s="20">
        <f t="shared" si="24"/>
        <v>1750.5</v>
      </c>
      <c r="Q114" s="346">
        <f t="shared" si="18"/>
        <v>0</v>
      </c>
      <c r="R114" s="20">
        <f>IF(AND(D$2+$E$2&gt;0,N114-SNAP!P114&gt;0),N114-SNAP!P114,0)</f>
        <v>0</v>
      </c>
      <c r="S114" s="20">
        <f t="shared" si="25"/>
        <v>3501</v>
      </c>
      <c r="T114" s="20">
        <f t="shared" si="19"/>
        <v>1050.3</v>
      </c>
      <c r="U114" s="20">
        <f>IF(AND('Total income package'!$A$18=TRUE,OR(H114="Yes",O114="Yes"),G114&lt;$G$2,$K$2-T114&gt;10),ROUNDDOWN($K$2-T114,0),0)</f>
        <v>520</v>
      </c>
      <c r="V114" s="176">
        <f t="shared" si="26"/>
        <v>520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Yes</v>
      </c>
      <c r="I115" s="20">
        <f t="shared" si="15"/>
        <v>908.33333333333348</v>
      </c>
      <c r="J115" s="20">
        <f t="shared" si="16"/>
        <v>299</v>
      </c>
      <c r="K115" s="20">
        <f t="shared" si="17"/>
        <v>3534.3333333333335</v>
      </c>
      <c r="L115" s="20">
        <f t="shared" si="21"/>
        <v>0</v>
      </c>
      <c r="M115" s="20">
        <f>'Total income package'!$B$69</f>
        <v>500</v>
      </c>
      <c r="N115" s="20">
        <f t="shared" si="22"/>
        <v>500</v>
      </c>
      <c r="O115" s="344" t="str">
        <f t="shared" si="23"/>
        <v>Yes</v>
      </c>
      <c r="P115" s="20">
        <f t="shared" si="24"/>
        <v>1767.1666666666667</v>
      </c>
      <c r="Q115" s="346">
        <f t="shared" si="18"/>
        <v>0</v>
      </c>
      <c r="R115" s="20">
        <f>IF(AND(D$2+$E$2&gt;0,N115-SNAP!P115&gt;0),N115-SNAP!P115,0)</f>
        <v>0</v>
      </c>
      <c r="S115" s="20">
        <f t="shared" si="25"/>
        <v>3534.3333333333335</v>
      </c>
      <c r="T115" s="20">
        <f t="shared" si="19"/>
        <v>1060.3</v>
      </c>
      <c r="U115" s="20">
        <f>IF(AND('Total income package'!$A$18=TRUE,OR(H115="Yes",O115="Yes"),G115&lt;$G$2,$K$2-T115&gt;10),ROUNDDOWN($K$2-T115,0),0)</f>
        <v>510</v>
      </c>
      <c r="V115" s="176">
        <f t="shared" si="26"/>
        <v>510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Yes</v>
      </c>
      <c r="I116" s="20">
        <f t="shared" si="15"/>
        <v>916.66666666666663</v>
      </c>
      <c r="J116" s="20">
        <f t="shared" si="16"/>
        <v>299</v>
      </c>
      <c r="K116" s="20">
        <f t="shared" si="17"/>
        <v>3567.6666666666665</v>
      </c>
      <c r="L116" s="20">
        <f t="shared" si="21"/>
        <v>0</v>
      </c>
      <c r="M116" s="20">
        <f>'Total income package'!$B$69</f>
        <v>500</v>
      </c>
      <c r="N116" s="20">
        <f t="shared" si="22"/>
        <v>500</v>
      </c>
      <c r="O116" s="344" t="str">
        <f t="shared" si="23"/>
        <v>Yes</v>
      </c>
      <c r="P116" s="20">
        <f t="shared" si="24"/>
        <v>1783.8333333333333</v>
      </c>
      <c r="Q116" s="346">
        <f t="shared" si="18"/>
        <v>0</v>
      </c>
      <c r="R116" s="20">
        <f>IF(AND(D$2+$E$2&gt;0,N116-SNAP!P116&gt;0),N116-SNAP!P116,0)</f>
        <v>0</v>
      </c>
      <c r="S116" s="20">
        <f t="shared" si="25"/>
        <v>3567.6666666666665</v>
      </c>
      <c r="T116" s="20">
        <f t="shared" si="19"/>
        <v>1070.3</v>
      </c>
      <c r="U116" s="20">
        <f>IF(AND('Total income package'!$A$18=TRUE,OR(H116="Yes",O116="Yes"),G116&lt;$G$2,$K$2-T116&gt;10),ROUNDDOWN($K$2-T116,0),0)</f>
        <v>500</v>
      </c>
      <c r="V116" s="176">
        <f t="shared" si="26"/>
        <v>500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Yes</v>
      </c>
      <c r="I117" s="20">
        <f t="shared" si="15"/>
        <v>925</v>
      </c>
      <c r="J117" s="20">
        <f t="shared" si="16"/>
        <v>299</v>
      </c>
      <c r="K117" s="20">
        <f t="shared" si="17"/>
        <v>3601</v>
      </c>
      <c r="L117" s="20">
        <f t="shared" si="21"/>
        <v>0</v>
      </c>
      <c r="M117" s="20">
        <f>'Total income package'!$B$69</f>
        <v>500</v>
      </c>
      <c r="N117" s="20">
        <f t="shared" si="22"/>
        <v>500</v>
      </c>
      <c r="O117" s="344" t="str">
        <f t="shared" si="23"/>
        <v>Yes</v>
      </c>
      <c r="P117" s="20">
        <f t="shared" si="24"/>
        <v>1800.5</v>
      </c>
      <c r="Q117" s="346">
        <f t="shared" si="18"/>
        <v>0</v>
      </c>
      <c r="R117" s="20">
        <f>IF(AND(D$2+$E$2&gt;0,N117-SNAP!P117&gt;0),N117-SNAP!P117,0)</f>
        <v>0</v>
      </c>
      <c r="S117" s="20">
        <f t="shared" si="25"/>
        <v>3601</v>
      </c>
      <c r="T117" s="20">
        <f t="shared" si="19"/>
        <v>1080.3</v>
      </c>
      <c r="U117" s="20">
        <f>IF(AND('Total income package'!$A$18=TRUE,OR(H117="Yes",O117="Yes"),G117&lt;$G$2,$K$2-T117&gt;10),ROUNDDOWN($K$2-T117,0),0)</f>
        <v>490</v>
      </c>
      <c r="V117" s="176">
        <f t="shared" si="26"/>
        <v>490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Yes</v>
      </c>
      <c r="I118" s="20">
        <f t="shared" si="15"/>
        <v>933.33333333333348</v>
      </c>
      <c r="J118" s="20">
        <f t="shared" si="16"/>
        <v>299</v>
      </c>
      <c r="K118" s="20">
        <f t="shared" si="17"/>
        <v>3634.3333333333335</v>
      </c>
      <c r="L118" s="20">
        <f t="shared" si="21"/>
        <v>0</v>
      </c>
      <c r="M118" s="20">
        <f>'Total income package'!$B$69</f>
        <v>500</v>
      </c>
      <c r="N118" s="20">
        <f t="shared" si="22"/>
        <v>500</v>
      </c>
      <c r="O118" s="344" t="str">
        <f t="shared" si="23"/>
        <v>Yes</v>
      </c>
      <c r="P118" s="20">
        <f t="shared" si="24"/>
        <v>1817.1666666666667</v>
      </c>
      <c r="Q118" s="346">
        <f t="shared" si="18"/>
        <v>0</v>
      </c>
      <c r="R118" s="20">
        <f>IF(AND(D$2+$E$2&gt;0,N118-SNAP!P118&gt;0),N118-SNAP!P118,0)</f>
        <v>0</v>
      </c>
      <c r="S118" s="20">
        <f t="shared" si="25"/>
        <v>3634.3333333333335</v>
      </c>
      <c r="T118" s="20">
        <f t="shared" si="19"/>
        <v>1090.3</v>
      </c>
      <c r="U118" s="20">
        <f>IF(AND('Total income package'!$A$18=TRUE,OR(H118="Yes",O118="Yes"),G118&lt;$G$2,$K$2-T118&gt;10),ROUNDDOWN($K$2-T118,0),0)</f>
        <v>480</v>
      </c>
      <c r="V118" s="176">
        <f t="shared" si="26"/>
        <v>480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Yes</v>
      </c>
      <c r="I119" s="20">
        <f t="shared" si="15"/>
        <v>941.66666666666663</v>
      </c>
      <c r="J119" s="20">
        <f t="shared" si="16"/>
        <v>299</v>
      </c>
      <c r="K119" s="20">
        <f t="shared" si="17"/>
        <v>3667.6666666666665</v>
      </c>
      <c r="L119" s="20">
        <f t="shared" si="21"/>
        <v>0</v>
      </c>
      <c r="M119" s="20">
        <f>'Total income package'!$B$69</f>
        <v>500</v>
      </c>
      <c r="N119" s="20">
        <f t="shared" si="22"/>
        <v>500</v>
      </c>
      <c r="O119" s="344" t="str">
        <f t="shared" si="23"/>
        <v>Yes</v>
      </c>
      <c r="P119" s="20">
        <f t="shared" si="24"/>
        <v>1833.8333333333333</v>
      </c>
      <c r="Q119" s="346">
        <f t="shared" si="18"/>
        <v>0</v>
      </c>
      <c r="R119" s="20">
        <f>IF(AND(D$2+$E$2&gt;0,N119-SNAP!P119&gt;0),N119-SNAP!P119,0)</f>
        <v>0</v>
      </c>
      <c r="S119" s="20">
        <f t="shared" si="25"/>
        <v>3667.6666666666665</v>
      </c>
      <c r="T119" s="20">
        <f t="shared" si="19"/>
        <v>1100.3</v>
      </c>
      <c r="U119" s="20">
        <f>IF(AND('Total income package'!$A$18=TRUE,OR(H119="Yes",O119="Yes"),G119&lt;$G$2,$K$2-T119&gt;10),ROUNDDOWN($K$2-T119,0),0)</f>
        <v>470</v>
      </c>
      <c r="V119" s="176">
        <f t="shared" si="26"/>
        <v>470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Yes</v>
      </c>
      <c r="I120" s="20">
        <f t="shared" si="15"/>
        <v>950</v>
      </c>
      <c r="J120" s="20">
        <f t="shared" si="16"/>
        <v>299</v>
      </c>
      <c r="K120" s="20">
        <f t="shared" si="17"/>
        <v>3701</v>
      </c>
      <c r="L120" s="20">
        <f t="shared" si="21"/>
        <v>0</v>
      </c>
      <c r="M120" s="20">
        <f>'Total income package'!$B$69</f>
        <v>500</v>
      </c>
      <c r="N120" s="20">
        <f t="shared" si="22"/>
        <v>500</v>
      </c>
      <c r="O120" s="344" t="str">
        <f t="shared" si="23"/>
        <v>Yes</v>
      </c>
      <c r="P120" s="20">
        <f t="shared" si="24"/>
        <v>1850.5</v>
      </c>
      <c r="Q120" s="346">
        <f t="shared" si="18"/>
        <v>0</v>
      </c>
      <c r="R120" s="20">
        <f>IF(AND(D$2+$E$2&gt;0,N120-SNAP!P120&gt;0),N120-SNAP!P120,0)</f>
        <v>0</v>
      </c>
      <c r="S120" s="20">
        <f t="shared" si="25"/>
        <v>3701</v>
      </c>
      <c r="T120" s="20">
        <f t="shared" si="19"/>
        <v>1110.3</v>
      </c>
      <c r="U120" s="20">
        <f>IF(AND('Total income package'!$A$18=TRUE,OR(H120="Yes",O120="Yes"),G120&lt;$G$2,$K$2-T120&gt;10),ROUNDDOWN($K$2-T120,0),0)</f>
        <v>460</v>
      </c>
      <c r="V120" s="176">
        <f t="shared" si="26"/>
        <v>460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Yes</v>
      </c>
      <c r="I121" s="20">
        <f t="shared" si="15"/>
        <v>958.33333333333348</v>
      </c>
      <c r="J121" s="20">
        <f t="shared" si="16"/>
        <v>299</v>
      </c>
      <c r="K121" s="20">
        <f t="shared" si="17"/>
        <v>3734.3333333333335</v>
      </c>
      <c r="L121" s="20">
        <f t="shared" si="21"/>
        <v>0</v>
      </c>
      <c r="M121" s="20">
        <f>'Total income package'!$B$69</f>
        <v>500</v>
      </c>
      <c r="N121" s="20">
        <f t="shared" si="22"/>
        <v>500</v>
      </c>
      <c r="O121" s="344" t="str">
        <f t="shared" si="23"/>
        <v>Yes</v>
      </c>
      <c r="P121" s="20">
        <f t="shared" si="24"/>
        <v>1867.1666666666667</v>
      </c>
      <c r="Q121" s="346">
        <f t="shared" si="18"/>
        <v>0</v>
      </c>
      <c r="R121" s="20">
        <f>IF(AND(D$2+$E$2&gt;0,N121-SNAP!P121&gt;0),N121-SNAP!P121,0)</f>
        <v>0</v>
      </c>
      <c r="S121" s="20">
        <f t="shared" si="25"/>
        <v>3734.3333333333335</v>
      </c>
      <c r="T121" s="20">
        <f t="shared" si="19"/>
        <v>1120.3</v>
      </c>
      <c r="U121" s="20">
        <f>IF(AND('Total income package'!$A$18=TRUE,OR(H121="Yes",O121="Yes"),G121&lt;$G$2,$K$2-T121&gt;10),ROUNDDOWN($K$2-T121,0),0)</f>
        <v>450</v>
      </c>
      <c r="V121" s="176">
        <f t="shared" si="26"/>
        <v>450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Yes</v>
      </c>
      <c r="I122" s="20">
        <f t="shared" si="15"/>
        <v>966.66666666666663</v>
      </c>
      <c r="J122" s="20">
        <f t="shared" si="16"/>
        <v>299</v>
      </c>
      <c r="K122" s="20">
        <f t="shared" si="17"/>
        <v>3767.6666666666665</v>
      </c>
      <c r="L122" s="20">
        <f t="shared" si="21"/>
        <v>0</v>
      </c>
      <c r="M122" s="20">
        <f>'Total income package'!$B$69</f>
        <v>500</v>
      </c>
      <c r="N122" s="20">
        <f t="shared" si="22"/>
        <v>500</v>
      </c>
      <c r="O122" s="344" t="str">
        <f t="shared" si="23"/>
        <v>Yes</v>
      </c>
      <c r="P122" s="20">
        <f t="shared" si="24"/>
        <v>1883.8333333333333</v>
      </c>
      <c r="Q122" s="346">
        <f t="shared" si="18"/>
        <v>0</v>
      </c>
      <c r="R122" s="20">
        <f>IF(AND(D$2+$E$2&gt;0,N122-SNAP!P122&gt;0),N122-SNAP!P122,0)</f>
        <v>0</v>
      </c>
      <c r="S122" s="20">
        <f t="shared" si="25"/>
        <v>3767.6666666666665</v>
      </c>
      <c r="T122" s="20">
        <f t="shared" si="19"/>
        <v>1130.3</v>
      </c>
      <c r="U122" s="20">
        <f>IF(AND('Total income package'!$A$18=TRUE,OR(H122="Yes",O122="Yes"),G122&lt;$G$2,$K$2-T122&gt;10),ROUNDDOWN($K$2-T122,0),0)</f>
        <v>440</v>
      </c>
      <c r="V122" s="176">
        <f t="shared" si="26"/>
        <v>440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Yes</v>
      </c>
      <c r="I123" s="20">
        <f t="shared" si="15"/>
        <v>975</v>
      </c>
      <c r="J123" s="20">
        <f t="shared" si="16"/>
        <v>299</v>
      </c>
      <c r="K123" s="20">
        <f t="shared" si="17"/>
        <v>3801</v>
      </c>
      <c r="L123" s="20">
        <f t="shared" si="21"/>
        <v>0</v>
      </c>
      <c r="M123" s="20">
        <f>'Total income package'!$B$69</f>
        <v>500</v>
      </c>
      <c r="N123" s="20">
        <f t="shared" si="22"/>
        <v>500</v>
      </c>
      <c r="O123" s="344" t="str">
        <f t="shared" si="23"/>
        <v>Yes</v>
      </c>
      <c r="P123" s="20">
        <f t="shared" si="24"/>
        <v>1900.5</v>
      </c>
      <c r="Q123" s="346">
        <f t="shared" si="18"/>
        <v>0</v>
      </c>
      <c r="R123" s="20">
        <f>IF(AND(D$2+$E$2&gt;0,N123-SNAP!P123&gt;0),N123-SNAP!P123,0)</f>
        <v>0</v>
      </c>
      <c r="S123" s="20">
        <f t="shared" si="25"/>
        <v>3801</v>
      </c>
      <c r="T123" s="20">
        <f t="shared" si="19"/>
        <v>1140.3</v>
      </c>
      <c r="U123" s="20">
        <f>IF(AND('Total income package'!$A$18=TRUE,OR(H123="Yes",O123="Yes"),G123&lt;$G$2,$K$2-T123&gt;10),ROUNDDOWN($K$2-T123,0),0)</f>
        <v>430</v>
      </c>
      <c r="V123" s="176">
        <f t="shared" si="26"/>
        <v>430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Yes</v>
      </c>
      <c r="I124" s="20">
        <f t="shared" si="15"/>
        <v>983.33333333333348</v>
      </c>
      <c r="J124" s="20">
        <f t="shared" si="16"/>
        <v>299</v>
      </c>
      <c r="K124" s="20">
        <f t="shared" si="17"/>
        <v>3834.3333333333339</v>
      </c>
      <c r="L124" s="20">
        <f t="shared" si="21"/>
        <v>0</v>
      </c>
      <c r="M124" s="20">
        <f>'Total income package'!$B$69</f>
        <v>500</v>
      </c>
      <c r="N124" s="20">
        <f t="shared" si="22"/>
        <v>500</v>
      </c>
      <c r="O124" s="344" t="str">
        <f t="shared" si="23"/>
        <v>Yes</v>
      </c>
      <c r="P124" s="20">
        <f t="shared" si="24"/>
        <v>1917.166666666667</v>
      </c>
      <c r="Q124" s="346">
        <f t="shared" si="18"/>
        <v>0</v>
      </c>
      <c r="R124" s="20">
        <f>IF(AND(D$2+$E$2&gt;0,N124-SNAP!P124&gt;0),N124-SNAP!P124,0)</f>
        <v>0</v>
      </c>
      <c r="S124" s="20">
        <f t="shared" si="25"/>
        <v>3834.3333333333339</v>
      </c>
      <c r="T124" s="20">
        <f t="shared" si="19"/>
        <v>1150.3000000000002</v>
      </c>
      <c r="U124" s="20">
        <f>IF(AND('Total income package'!$A$18=TRUE,OR(H124="Yes",O124="Yes"),G124&lt;$G$2,$K$2-T124&gt;10),ROUNDDOWN($K$2-T124,0),0)</f>
        <v>420</v>
      </c>
      <c r="V124" s="176">
        <f t="shared" si="26"/>
        <v>420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Yes</v>
      </c>
      <c r="I125" s="20">
        <f t="shared" si="15"/>
        <v>991.66666666666663</v>
      </c>
      <c r="J125" s="20">
        <f t="shared" si="16"/>
        <v>299</v>
      </c>
      <c r="K125" s="20">
        <f t="shared" si="17"/>
        <v>3867.6666666666661</v>
      </c>
      <c r="L125" s="20">
        <f t="shared" si="21"/>
        <v>0</v>
      </c>
      <c r="M125" s="20">
        <f>'Total income package'!$B$69</f>
        <v>500</v>
      </c>
      <c r="N125" s="20">
        <f t="shared" si="22"/>
        <v>500</v>
      </c>
      <c r="O125" s="344" t="str">
        <f t="shared" si="23"/>
        <v>Yes</v>
      </c>
      <c r="P125" s="20">
        <f t="shared" si="24"/>
        <v>1933.833333333333</v>
      </c>
      <c r="Q125" s="346">
        <f t="shared" si="18"/>
        <v>0</v>
      </c>
      <c r="R125" s="20">
        <f>IF(AND(D$2+$E$2&gt;0,N125-SNAP!P125&gt;0),N125-SNAP!P125,0)</f>
        <v>0</v>
      </c>
      <c r="S125" s="20">
        <f t="shared" si="25"/>
        <v>3867.6666666666661</v>
      </c>
      <c r="T125" s="20">
        <f t="shared" si="19"/>
        <v>1160.2999999999997</v>
      </c>
      <c r="U125" s="20">
        <f>IF(AND('Total income package'!$A$18=TRUE,OR(H125="Yes",O125="Yes"),G125&lt;$G$2,$K$2-T125&gt;10),ROUNDDOWN($K$2-T125,0),0)</f>
        <v>410</v>
      </c>
      <c r="V125" s="176">
        <f t="shared" si="26"/>
        <v>410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Yes</v>
      </c>
      <c r="I126" s="20">
        <f t="shared" si="15"/>
        <v>1000</v>
      </c>
      <c r="J126" s="20">
        <f t="shared" si="16"/>
        <v>299</v>
      </c>
      <c r="K126" s="20">
        <f t="shared" si="17"/>
        <v>3901</v>
      </c>
      <c r="L126" s="20">
        <f t="shared" si="21"/>
        <v>0</v>
      </c>
      <c r="M126" s="20">
        <f>'Total income package'!$B$69</f>
        <v>500</v>
      </c>
      <c r="N126" s="20">
        <f t="shared" si="22"/>
        <v>500</v>
      </c>
      <c r="O126" s="344" t="str">
        <f t="shared" si="23"/>
        <v>Yes</v>
      </c>
      <c r="P126" s="20">
        <f t="shared" si="24"/>
        <v>1950.5</v>
      </c>
      <c r="Q126" s="346">
        <f t="shared" si="18"/>
        <v>0</v>
      </c>
      <c r="R126" s="20">
        <f>IF(AND(D$2+$E$2&gt;0,N126-SNAP!P126&gt;0),N126-SNAP!P126,0)</f>
        <v>0</v>
      </c>
      <c r="S126" s="20">
        <f t="shared" si="25"/>
        <v>3901</v>
      </c>
      <c r="T126" s="20">
        <f t="shared" si="19"/>
        <v>1170.3</v>
      </c>
      <c r="U126" s="20">
        <f>IF(AND('Total income package'!$A$18=TRUE,OR(H126="Yes",O126="Yes"),G126&lt;$G$2,$K$2-T126&gt;10),ROUNDDOWN($K$2-T126,0),0)</f>
        <v>400</v>
      </c>
      <c r="V126" s="176">
        <f t="shared" si="26"/>
        <v>400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Yes</v>
      </c>
      <c r="I127" s="20">
        <f t="shared" si="15"/>
        <v>1008.3333333333335</v>
      </c>
      <c r="J127" s="20">
        <f t="shared" si="16"/>
        <v>299</v>
      </c>
      <c r="K127" s="20">
        <f t="shared" si="17"/>
        <v>3934.3333333333339</v>
      </c>
      <c r="L127" s="20">
        <f t="shared" si="21"/>
        <v>0</v>
      </c>
      <c r="M127" s="20">
        <f>'Total income package'!$B$69</f>
        <v>500</v>
      </c>
      <c r="N127" s="20">
        <f t="shared" si="22"/>
        <v>500</v>
      </c>
      <c r="O127" s="344" t="str">
        <f t="shared" si="23"/>
        <v>Yes</v>
      </c>
      <c r="P127" s="20">
        <f t="shared" si="24"/>
        <v>1967.166666666667</v>
      </c>
      <c r="Q127" s="346">
        <f t="shared" si="18"/>
        <v>0</v>
      </c>
      <c r="R127" s="20">
        <f>IF(AND(D$2+$E$2&gt;0,N127-SNAP!P127&gt;0),N127-SNAP!P127,0)</f>
        <v>0</v>
      </c>
      <c r="S127" s="20">
        <f t="shared" si="25"/>
        <v>3934.3333333333339</v>
      </c>
      <c r="T127" s="20">
        <f t="shared" si="19"/>
        <v>1180.3000000000002</v>
      </c>
      <c r="U127" s="20">
        <f>IF(AND('Total income package'!$A$18=TRUE,OR(H127="Yes",O127="Yes"),G127&lt;$G$2,$K$2-T127&gt;10),ROUNDDOWN($K$2-T127,0),0)</f>
        <v>390</v>
      </c>
      <c r="V127" s="176">
        <f t="shared" si="26"/>
        <v>390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Yes</v>
      </c>
      <c r="I128" s="20">
        <f t="shared" si="15"/>
        <v>1016.6666666666666</v>
      </c>
      <c r="J128" s="20">
        <f t="shared" si="16"/>
        <v>299</v>
      </c>
      <c r="K128" s="20">
        <f t="shared" si="17"/>
        <v>3967.6666666666661</v>
      </c>
      <c r="L128" s="20">
        <f t="shared" si="21"/>
        <v>0</v>
      </c>
      <c r="M128" s="20">
        <f>'Total income package'!$B$69</f>
        <v>500</v>
      </c>
      <c r="N128" s="20">
        <f t="shared" si="22"/>
        <v>500</v>
      </c>
      <c r="O128" s="344" t="str">
        <f t="shared" si="23"/>
        <v>Yes</v>
      </c>
      <c r="P128" s="20">
        <f t="shared" si="24"/>
        <v>1983.833333333333</v>
      </c>
      <c r="Q128" s="346">
        <f t="shared" si="18"/>
        <v>0</v>
      </c>
      <c r="R128" s="20">
        <f>IF(AND(D$2+$E$2&gt;0,N128-SNAP!P128&gt;0),N128-SNAP!P128,0)</f>
        <v>0</v>
      </c>
      <c r="S128" s="20">
        <f t="shared" si="25"/>
        <v>3967.6666666666661</v>
      </c>
      <c r="T128" s="20">
        <f t="shared" si="19"/>
        <v>1190.2999999999997</v>
      </c>
      <c r="U128" s="20">
        <f>IF(AND('Total income package'!$A$18=TRUE,OR(H128="Yes",O128="Yes"),G128&lt;$G$2,$K$2-T128&gt;10),ROUNDDOWN($K$2-T128,0),0)</f>
        <v>380</v>
      </c>
      <c r="V128" s="176">
        <f t="shared" si="26"/>
        <v>380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Yes</v>
      </c>
      <c r="I129" s="20">
        <f t="shared" si="15"/>
        <v>1025</v>
      </c>
      <c r="J129" s="20">
        <f t="shared" si="16"/>
        <v>299</v>
      </c>
      <c r="K129" s="20">
        <f t="shared" si="17"/>
        <v>4001</v>
      </c>
      <c r="L129" s="20">
        <f t="shared" si="21"/>
        <v>0</v>
      </c>
      <c r="M129" s="20">
        <f>'Total income package'!$B$69</f>
        <v>500</v>
      </c>
      <c r="N129" s="20">
        <f t="shared" si="22"/>
        <v>500</v>
      </c>
      <c r="O129" s="344" t="str">
        <f t="shared" si="23"/>
        <v>Yes</v>
      </c>
      <c r="P129" s="20">
        <f t="shared" si="24"/>
        <v>2000.5</v>
      </c>
      <c r="Q129" s="346">
        <f t="shared" si="18"/>
        <v>0</v>
      </c>
      <c r="R129" s="20">
        <f>IF(AND(D$2+$E$2&gt;0,N129-SNAP!P129&gt;0),N129-SNAP!P129,0)</f>
        <v>0</v>
      </c>
      <c r="S129" s="20">
        <f t="shared" si="25"/>
        <v>4001</v>
      </c>
      <c r="T129" s="20">
        <f t="shared" si="19"/>
        <v>1200.3</v>
      </c>
      <c r="U129" s="20">
        <f>IF(AND('Total income package'!$A$18=TRUE,OR(H129="Yes",O129="Yes"),G129&lt;$G$2,$K$2-T129&gt;10),ROUNDDOWN($K$2-T129,0),0)</f>
        <v>370</v>
      </c>
      <c r="V129" s="176">
        <f t="shared" si="26"/>
        <v>370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Yes</v>
      </c>
      <c r="I130" s="20">
        <f t="shared" si="15"/>
        <v>1033.3333333333335</v>
      </c>
      <c r="J130" s="20">
        <f t="shared" si="16"/>
        <v>299</v>
      </c>
      <c r="K130" s="20">
        <f t="shared" si="17"/>
        <v>4034.3333333333339</v>
      </c>
      <c r="L130" s="20">
        <f t="shared" si="21"/>
        <v>0</v>
      </c>
      <c r="M130" s="20">
        <f>'Total income package'!$B$69</f>
        <v>500</v>
      </c>
      <c r="N130" s="20">
        <f t="shared" si="22"/>
        <v>500</v>
      </c>
      <c r="O130" s="344" t="str">
        <f t="shared" si="23"/>
        <v>Yes</v>
      </c>
      <c r="P130" s="20">
        <f t="shared" si="24"/>
        <v>2017.166666666667</v>
      </c>
      <c r="Q130" s="346">
        <f t="shared" si="18"/>
        <v>0</v>
      </c>
      <c r="R130" s="20">
        <f>IF(AND(D$2+$E$2&gt;0,N130-SNAP!P130&gt;0),N130-SNAP!P130,0)</f>
        <v>0</v>
      </c>
      <c r="S130" s="20">
        <f t="shared" si="25"/>
        <v>4034.3333333333339</v>
      </c>
      <c r="T130" s="20">
        <f t="shared" si="19"/>
        <v>1210.3000000000002</v>
      </c>
      <c r="U130" s="20">
        <f>IF(AND('Total income package'!$A$18=TRUE,OR(H130="Yes",O130="Yes"),G130&lt;$G$2,$K$2-T130&gt;10),ROUNDDOWN($K$2-T130,0),0)</f>
        <v>360</v>
      </c>
      <c r="V130" s="176">
        <f t="shared" si="26"/>
        <v>360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Yes</v>
      </c>
      <c r="I131" s="20">
        <f t="shared" si="15"/>
        <v>1041.6666666666667</v>
      </c>
      <c r="J131" s="20">
        <f t="shared" si="16"/>
        <v>299</v>
      </c>
      <c r="K131" s="20">
        <f t="shared" si="17"/>
        <v>4067.6666666666661</v>
      </c>
      <c r="L131" s="20">
        <f t="shared" si="21"/>
        <v>0</v>
      </c>
      <c r="M131" s="20">
        <f>'Total income package'!$B$69</f>
        <v>500</v>
      </c>
      <c r="N131" s="20">
        <f t="shared" si="22"/>
        <v>500</v>
      </c>
      <c r="O131" s="344" t="str">
        <f t="shared" si="23"/>
        <v>No</v>
      </c>
      <c r="P131" s="20">
        <f t="shared" si="24"/>
        <v>2033.833333333333</v>
      </c>
      <c r="Q131" s="346">
        <f t="shared" si="18"/>
        <v>0</v>
      </c>
      <c r="R131" s="20">
        <f>IF(AND(D$2+$E$2&gt;0,N131-SNAP!P131&gt;0),N131-SNAP!P131,0)</f>
        <v>0</v>
      </c>
      <c r="S131" s="20">
        <f t="shared" si="25"/>
        <v>4067.6666666666661</v>
      </c>
      <c r="T131" s="20">
        <f t="shared" si="19"/>
        <v>1220.2999999999997</v>
      </c>
      <c r="U131" s="20">
        <f>IF(AND('Total income package'!$A$18=TRUE,OR(H131="Yes",O131="Yes"),G131&lt;$G$2,$K$2-T131&gt;10),ROUNDDOWN($K$2-T131,0),0)</f>
        <v>350</v>
      </c>
      <c r="V131" s="176">
        <f t="shared" si="26"/>
        <v>350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Yes</v>
      </c>
      <c r="I132" s="20">
        <f t="shared" si="15"/>
        <v>1050</v>
      </c>
      <c r="J132" s="20">
        <f t="shared" si="16"/>
        <v>299</v>
      </c>
      <c r="K132" s="20">
        <f t="shared" si="17"/>
        <v>4101</v>
      </c>
      <c r="L132" s="20">
        <f t="shared" si="21"/>
        <v>0</v>
      </c>
      <c r="M132" s="20">
        <f>'Total income package'!$B$69</f>
        <v>500</v>
      </c>
      <c r="N132" s="20">
        <f t="shared" si="22"/>
        <v>500</v>
      </c>
      <c r="O132" s="344" t="str">
        <f t="shared" si="23"/>
        <v>No</v>
      </c>
      <c r="P132" s="20">
        <f t="shared" si="24"/>
        <v>2050.5</v>
      </c>
      <c r="Q132" s="346">
        <f t="shared" si="18"/>
        <v>0</v>
      </c>
      <c r="R132" s="20">
        <f>IF(AND(D$2+$E$2&gt;0,N132-SNAP!P132&gt;0),N132-SNAP!P132,0)</f>
        <v>0</v>
      </c>
      <c r="S132" s="20">
        <f t="shared" si="25"/>
        <v>4101</v>
      </c>
      <c r="T132" s="20">
        <f t="shared" si="19"/>
        <v>1230.3</v>
      </c>
      <c r="U132" s="20">
        <f>IF(AND('Total income package'!$A$18=TRUE,OR(H132="Yes",O132="Yes"),G132&lt;$G$2,$K$2-T132&gt;10),ROUNDDOWN($K$2-T132,0),0)</f>
        <v>340</v>
      </c>
      <c r="V132" s="176">
        <f>IF(AND(C128&lt;3,U132&gt;10,U132&lt;24),24,U132)</f>
        <v>340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Yes</v>
      </c>
      <c r="I133" s="20">
        <f t="shared" si="15"/>
        <v>1058.3333333333335</v>
      </c>
      <c r="J133" s="20">
        <f t="shared" si="16"/>
        <v>299</v>
      </c>
      <c r="K133" s="20">
        <f t="shared" si="17"/>
        <v>4134.3333333333339</v>
      </c>
      <c r="L133" s="20">
        <f t="shared" si="21"/>
        <v>0</v>
      </c>
      <c r="M133" s="20">
        <f>'Total income package'!$B$69</f>
        <v>500</v>
      </c>
      <c r="N133" s="20">
        <f t="shared" si="22"/>
        <v>500</v>
      </c>
      <c r="O133" s="344" t="str">
        <f t="shared" si="23"/>
        <v>No</v>
      </c>
      <c r="P133" s="20">
        <f t="shared" si="24"/>
        <v>2067.166666666667</v>
      </c>
      <c r="Q133" s="346">
        <f t="shared" si="18"/>
        <v>0</v>
      </c>
      <c r="R133" s="20">
        <f>IF(AND(D$2+$E$2&gt;0,N133-SNAP!P133&gt;0),N133-SNAP!P133,0)</f>
        <v>0</v>
      </c>
      <c r="S133" s="20">
        <f t="shared" si="25"/>
        <v>4134.3333333333339</v>
      </c>
      <c r="T133" s="20">
        <f t="shared" si="19"/>
        <v>1240.3000000000002</v>
      </c>
      <c r="U133" s="20">
        <f>IF(AND('Total income package'!$A$18=TRUE,OR(H133="Yes",O133="Yes"),G133&lt;$G$2,$K$2-T133&gt;10),ROUNDDOWN($K$2-T133,0),0)</f>
        <v>330</v>
      </c>
      <c r="V133" s="176">
        <f t="shared" si="26"/>
        <v>330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Yes</v>
      </c>
      <c r="I134" s="20">
        <f t="shared" ref="I134:I197" si="29">D134*0.2</f>
        <v>1066.6666666666667</v>
      </c>
      <c r="J134" s="20">
        <f t="shared" ref="J134:J197" si="30">$H$2</f>
        <v>299</v>
      </c>
      <c r="K134" s="20">
        <f t="shared" ref="K134:K197" si="31">IF(G134-I134-J134&gt;0,G134-I134-J134,0)</f>
        <v>4167.6666666666661</v>
      </c>
      <c r="L134" s="20">
        <f t="shared" si="21"/>
        <v>0</v>
      </c>
      <c r="M134" s="20">
        <f>'Total income package'!$B$69</f>
        <v>500</v>
      </c>
      <c r="N134" s="20">
        <f t="shared" si="22"/>
        <v>500</v>
      </c>
      <c r="O134" s="344" t="str">
        <f t="shared" si="23"/>
        <v>No</v>
      </c>
      <c r="P134" s="20">
        <f t="shared" si="24"/>
        <v>2083.833333333333</v>
      </c>
      <c r="Q134" s="346">
        <f t="shared" ref="Q134:Q197" si="32">IF(AND(D$2+$E$2=0,N134&lt;$L$2,N134-P134&gt;0),N134-P134,IF(AND(D$2+$E$2=0,N134&gt;$L$2),$L$2,0))</f>
        <v>0</v>
      </c>
      <c r="R134" s="20">
        <f>IF(AND(D$2+$E$2&gt;0,N134-SNAP!P134&gt;0),N134-SNAP!P134,0)</f>
        <v>0</v>
      </c>
      <c r="S134" s="20">
        <f t="shared" si="25"/>
        <v>4167.6666666666661</v>
      </c>
      <c r="T134" s="20">
        <f t="shared" ref="T134:T197" si="33">S134*0.3</f>
        <v>1250.2999999999997</v>
      </c>
      <c r="U134" s="20">
        <f>IF(AND('Total income package'!$A$18=TRUE,OR(H134="Yes",O134="Yes"),G134&lt;$G$2,$K$2-T134&gt;10),ROUNDDOWN($K$2-T134,0),0)</f>
        <v>320</v>
      </c>
      <c r="V134" s="176">
        <f t="shared" si="26"/>
        <v>320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Yes</v>
      </c>
      <c r="I135" s="20">
        <f t="shared" si="29"/>
        <v>1075</v>
      </c>
      <c r="J135" s="20">
        <f t="shared" si="30"/>
        <v>299</v>
      </c>
      <c r="K135" s="20">
        <f t="shared" si="31"/>
        <v>4201</v>
      </c>
      <c r="L135" s="20">
        <f t="shared" ref="L135:L198" si="35">$I$2</f>
        <v>0</v>
      </c>
      <c r="M135" s="20">
        <f>'Total income package'!$B$69</f>
        <v>500</v>
      </c>
      <c r="N135" s="20">
        <f t="shared" ref="N135:N198" si="36">L135+M135</f>
        <v>500</v>
      </c>
      <c r="O135" s="344" t="str">
        <f t="shared" ref="O135:O198" si="37">IF(AND($D$2+$E$2&gt;0,K135&lt;$J$2),"Yes","No")</f>
        <v>No</v>
      </c>
      <c r="P135" s="20">
        <f t="shared" ref="P135:P198" si="38">K135/2</f>
        <v>2100.5</v>
      </c>
      <c r="Q135" s="346">
        <f t="shared" si="32"/>
        <v>0</v>
      </c>
      <c r="R135" s="20">
        <f>IF(AND(D$2+$E$2&gt;0,N135-SNAP!P135&gt;0),N135-SNAP!P135,0)</f>
        <v>0</v>
      </c>
      <c r="S135" s="20">
        <f t="shared" ref="S135:S198" si="39">IF(AND($D$2+$E$2&gt;0,K135-R135&gt;0),K135-R135,IF(AND($D$2+$E$2=0,K135-Q135&gt;0),K135-Q135,0))</f>
        <v>4201</v>
      </c>
      <c r="T135" s="20">
        <f t="shared" si="33"/>
        <v>1260.3</v>
      </c>
      <c r="U135" s="20">
        <f>IF(AND('Total income package'!$A$18=TRUE,OR(H135="Yes",O135="Yes"),G135&lt;$G$2,$K$2-T135&gt;10),ROUNDDOWN($K$2-T135,0),0)</f>
        <v>310</v>
      </c>
      <c r="V135" s="176">
        <f t="shared" ref="V135:V198" si="40">IF(AND(C131&lt;3,U135&gt;10,U135&lt;24),24,U135)</f>
        <v>310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Yes</v>
      </c>
      <c r="I136" s="20">
        <f t="shared" si="29"/>
        <v>1083.3333333333335</v>
      </c>
      <c r="J136" s="20">
        <f t="shared" si="30"/>
        <v>299</v>
      </c>
      <c r="K136" s="20">
        <f t="shared" si="31"/>
        <v>4234.3333333333339</v>
      </c>
      <c r="L136" s="20">
        <f t="shared" si="35"/>
        <v>0</v>
      </c>
      <c r="M136" s="20">
        <f>'Total income package'!$B$69</f>
        <v>500</v>
      </c>
      <c r="N136" s="20">
        <f t="shared" si="36"/>
        <v>500</v>
      </c>
      <c r="O136" s="344" t="str">
        <f t="shared" si="37"/>
        <v>No</v>
      </c>
      <c r="P136" s="20">
        <f t="shared" si="38"/>
        <v>2117.166666666667</v>
      </c>
      <c r="Q136" s="346">
        <f t="shared" si="32"/>
        <v>0</v>
      </c>
      <c r="R136" s="20">
        <f>IF(AND(D$2+$E$2&gt;0,N136-SNAP!P136&gt;0),N136-SNAP!P136,0)</f>
        <v>0</v>
      </c>
      <c r="S136" s="20">
        <f t="shared" si="39"/>
        <v>4234.3333333333339</v>
      </c>
      <c r="T136" s="20">
        <f t="shared" si="33"/>
        <v>1270.3000000000002</v>
      </c>
      <c r="U136" s="20">
        <f>IF(AND('Total income package'!$A$18=TRUE,OR(H136="Yes",O136="Yes"),G136&lt;$G$2,$K$2-T136&gt;10),ROUNDDOWN($K$2-T136,0),0)</f>
        <v>300</v>
      </c>
      <c r="V136" s="176">
        <f t="shared" si="40"/>
        <v>300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Yes</v>
      </c>
      <c r="I137" s="20">
        <f t="shared" si="29"/>
        <v>1091.6666666666667</v>
      </c>
      <c r="J137" s="20">
        <f t="shared" si="30"/>
        <v>299</v>
      </c>
      <c r="K137" s="20">
        <f t="shared" si="31"/>
        <v>4267.6666666666661</v>
      </c>
      <c r="L137" s="20">
        <f t="shared" si="35"/>
        <v>0</v>
      </c>
      <c r="M137" s="20">
        <f>'Total income package'!$B$69</f>
        <v>500</v>
      </c>
      <c r="N137" s="20">
        <f t="shared" si="36"/>
        <v>500</v>
      </c>
      <c r="O137" s="344" t="str">
        <f t="shared" si="37"/>
        <v>No</v>
      </c>
      <c r="P137" s="20">
        <f t="shared" si="38"/>
        <v>2133.833333333333</v>
      </c>
      <c r="Q137" s="346">
        <f t="shared" si="32"/>
        <v>0</v>
      </c>
      <c r="R137" s="20">
        <f>IF(AND(D$2+$E$2&gt;0,N137-SNAP!P137&gt;0),N137-SNAP!P137,0)</f>
        <v>0</v>
      </c>
      <c r="S137" s="20">
        <f t="shared" si="39"/>
        <v>4267.6666666666661</v>
      </c>
      <c r="T137" s="20">
        <f t="shared" si="33"/>
        <v>1280.2999999999997</v>
      </c>
      <c r="U137" s="20">
        <f>IF(AND('Total income package'!$A$18=TRUE,OR(H137="Yes",O137="Yes"),G137&lt;$G$2,$K$2-T137&gt;10),ROUNDDOWN($K$2-T137,0),0)</f>
        <v>290</v>
      </c>
      <c r="V137" s="176">
        <f t="shared" si="40"/>
        <v>290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Yes</v>
      </c>
      <c r="I138" s="20">
        <f t="shared" si="29"/>
        <v>1100</v>
      </c>
      <c r="J138" s="20">
        <f t="shared" si="30"/>
        <v>299</v>
      </c>
      <c r="K138" s="20">
        <f t="shared" si="31"/>
        <v>4301</v>
      </c>
      <c r="L138" s="20">
        <f t="shared" si="35"/>
        <v>0</v>
      </c>
      <c r="M138" s="20">
        <f>'Total income package'!$B$69</f>
        <v>500</v>
      </c>
      <c r="N138" s="20">
        <f t="shared" si="36"/>
        <v>500</v>
      </c>
      <c r="O138" s="344" t="str">
        <f t="shared" si="37"/>
        <v>No</v>
      </c>
      <c r="P138" s="20">
        <f t="shared" si="38"/>
        <v>2150.5</v>
      </c>
      <c r="Q138" s="346">
        <f t="shared" si="32"/>
        <v>0</v>
      </c>
      <c r="R138" s="20">
        <f>IF(AND(D$2+$E$2&gt;0,N138-SNAP!P138&gt;0),N138-SNAP!P138,0)</f>
        <v>0</v>
      </c>
      <c r="S138" s="20">
        <f t="shared" si="39"/>
        <v>4301</v>
      </c>
      <c r="T138" s="20">
        <f t="shared" si="33"/>
        <v>1290.3</v>
      </c>
      <c r="U138" s="20">
        <f>IF(AND('Total income package'!$A$18=TRUE,OR(H138="Yes",O138="Yes"),G138&lt;$G$2,$K$2-T138&gt;10),ROUNDDOWN($K$2-T138,0),0)</f>
        <v>280</v>
      </c>
      <c r="V138" s="176">
        <f t="shared" si="40"/>
        <v>280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Yes</v>
      </c>
      <c r="I139" s="20">
        <f t="shared" si="29"/>
        <v>1108.3333333333335</v>
      </c>
      <c r="J139" s="20">
        <f t="shared" si="30"/>
        <v>299</v>
      </c>
      <c r="K139" s="20">
        <f t="shared" si="31"/>
        <v>4334.3333333333339</v>
      </c>
      <c r="L139" s="20">
        <f t="shared" si="35"/>
        <v>0</v>
      </c>
      <c r="M139" s="20">
        <f>'Total income package'!$B$69</f>
        <v>500</v>
      </c>
      <c r="N139" s="20">
        <f t="shared" si="36"/>
        <v>500</v>
      </c>
      <c r="O139" s="344" t="str">
        <f t="shared" si="37"/>
        <v>No</v>
      </c>
      <c r="P139" s="20">
        <f t="shared" si="38"/>
        <v>2167.166666666667</v>
      </c>
      <c r="Q139" s="346">
        <f t="shared" si="32"/>
        <v>0</v>
      </c>
      <c r="R139" s="20">
        <f>IF(AND(D$2+$E$2&gt;0,N139-SNAP!P139&gt;0),N139-SNAP!P139,0)</f>
        <v>0</v>
      </c>
      <c r="S139" s="20">
        <f t="shared" si="39"/>
        <v>4334.3333333333339</v>
      </c>
      <c r="T139" s="20">
        <f t="shared" si="33"/>
        <v>1300.3000000000002</v>
      </c>
      <c r="U139" s="20">
        <f>IF(AND('Total income package'!$A$18=TRUE,OR(H139="Yes",O139="Yes"),G139&lt;$G$2,$K$2-T139&gt;10),ROUNDDOWN($K$2-T139,0),0)</f>
        <v>270</v>
      </c>
      <c r="V139" s="176">
        <f t="shared" si="40"/>
        <v>270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Yes</v>
      </c>
      <c r="I140" s="20">
        <f t="shared" si="29"/>
        <v>1116.6666666666667</v>
      </c>
      <c r="J140" s="20">
        <f t="shared" si="30"/>
        <v>299</v>
      </c>
      <c r="K140" s="20">
        <f t="shared" si="31"/>
        <v>4367.6666666666661</v>
      </c>
      <c r="L140" s="20">
        <f t="shared" si="35"/>
        <v>0</v>
      </c>
      <c r="M140" s="20">
        <f>'Total income package'!$B$69</f>
        <v>500</v>
      </c>
      <c r="N140" s="20">
        <f t="shared" si="36"/>
        <v>500</v>
      </c>
      <c r="O140" s="344" t="str">
        <f t="shared" si="37"/>
        <v>No</v>
      </c>
      <c r="P140" s="20">
        <f t="shared" si="38"/>
        <v>2183.833333333333</v>
      </c>
      <c r="Q140" s="346">
        <f t="shared" si="32"/>
        <v>0</v>
      </c>
      <c r="R140" s="20">
        <f>IF(AND(D$2+$E$2&gt;0,N140-SNAP!P140&gt;0),N140-SNAP!P140,0)</f>
        <v>0</v>
      </c>
      <c r="S140" s="20">
        <f t="shared" si="39"/>
        <v>4367.6666666666661</v>
      </c>
      <c r="T140" s="20">
        <f t="shared" si="33"/>
        <v>1310.2999999999997</v>
      </c>
      <c r="U140" s="20">
        <f>IF(AND('Total income package'!$A$18=TRUE,OR(H140="Yes",O140="Yes"),G140&lt;$G$2,$K$2-T140&gt;10),ROUNDDOWN($K$2-T140,0),0)</f>
        <v>260</v>
      </c>
      <c r="V140" s="176">
        <f t="shared" si="40"/>
        <v>260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Yes</v>
      </c>
      <c r="I141" s="20">
        <f t="shared" si="29"/>
        <v>1125</v>
      </c>
      <c r="J141" s="20">
        <f t="shared" si="30"/>
        <v>299</v>
      </c>
      <c r="K141" s="20">
        <f t="shared" si="31"/>
        <v>4401</v>
      </c>
      <c r="L141" s="20">
        <f t="shared" si="35"/>
        <v>0</v>
      </c>
      <c r="M141" s="20">
        <f>'Total income package'!$B$69</f>
        <v>500</v>
      </c>
      <c r="N141" s="20">
        <f t="shared" si="36"/>
        <v>500</v>
      </c>
      <c r="O141" s="344" t="str">
        <f t="shared" si="37"/>
        <v>No</v>
      </c>
      <c r="P141" s="20">
        <f t="shared" si="38"/>
        <v>2200.5</v>
      </c>
      <c r="Q141" s="346">
        <f t="shared" si="32"/>
        <v>0</v>
      </c>
      <c r="R141" s="20">
        <f>IF(AND(D$2+$E$2&gt;0,N141-SNAP!P141&gt;0),N141-SNAP!P141,0)</f>
        <v>0</v>
      </c>
      <c r="S141" s="20">
        <f t="shared" si="39"/>
        <v>4401</v>
      </c>
      <c r="T141" s="20">
        <f t="shared" si="33"/>
        <v>1320.3</v>
      </c>
      <c r="U141" s="20">
        <f>IF(AND('Total income package'!$A$18=TRUE,OR(H141="Yes",O141="Yes"),G141&lt;$G$2,$K$2-T141&gt;10),ROUNDDOWN($K$2-T141,0),0)</f>
        <v>250</v>
      </c>
      <c r="V141" s="176">
        <f t="shared" si="40"/>
        <v>250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Yes</v>
      </c>
      <c r="I142" s="20">
        <f t="shared" si="29"/>
        <v>1133.3333333333335</v>
      </c>
      <c r="J142" s="20">
        <f t="shared" si="30"/>
        <v>299</v>
      </c>
      <c r="K142" s="20">
        <f t="shared" si="31"/>
        <v>4434.3333333333339</v>
      </c>
      <c r="L142" s="20">
        <f t="shared" si="35"/>
        <v>0</v>
      </c>
      <c r="M142" s="20">
        <f>'Total income package'!$B$69</f>
        <v>500</v>
      </c>
      <c r="N142" s="20">
        <f t="shared" si="36"/>
        <v>500</v>
      </c>
      <c r="O142" s="344" t="str">
        <f t="shared" si="37"/>
        <v>No</v>
      </c>
      <c r="P142" s="20">
        <f t="shared" si="38"/>
        <v>2217.166666666667</v>
      </c>
      <c r="Q142" s="346">
        <f t="shared" si="32"/>
        <v>0</v>
      </c>
      <c r="R142" s="20">
        <f>IF(AND(D$2+$E$2&gt;0,N142-SNAP!P142&gt;0),N142-SNAP!P142,0)</f>
        <v>0</v>
      </c>
      <c r="S142" s="20">
        <f t="shared" si="39"/>
        <v>4434.3333333333339</v>
      </c>
      <c r="T142" s="20">
        <f t="shared" si="33"/>
        <v>1330.3000000000002</v>
      </c>
      <c r="U142" s="20">
        <f>IF(AND('Total income package'!$A$18=TRUE,OR(H142="Yes",O142="Yes"),G142&lt;$G$2,$K$2-T142&gt;10),ROUNDDOWN($K$2-T142,0),0)</f>
        <v>240</v>
      </c>
      <c r="V142" s="176">
        <f t="shared" si="40"/>
        <v>240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Yes</v>
      </c>
      <c r="I143" s="20">
        <f t="shared" si="29"/>
        <v>1141.6666666666667</v>
      </c>
      <c r="J143" s="20">
        <f t="shared" si="30"/>
        <v>299</v>
      </c>
      <c r="K143" s="20">
        <f t="shared" si="31"/>
        <v>4467.6666666666661</v>
      </c>
      <c r="L143" s="20">
        <f t="shared" si="35"/>
        <v>0</v>
      </c>
      <c r="M143" s="20">
        <f>'Total income package'!$B$69</f>
        <v>500</v>
      </c>
      <c r="N143" s="20">
        <f t="shared" si="36"/>
        <v>500</v>
      </c>
      <c r="O143" s="344" t="str">
        <f t="shared" si="37"/>
        <v>No</v>
      </c>
      <c r="P143" s="20">
        <f t="shared" si="38"/>
        <v>2233.833333333333</v>
      </c>
      <c r="Q143" s="346">
        <f t="shared" si="32"/>
        <v>0</v>
      </c>
      <c r="R143" s="20">
        <f>IF(AND(D$2+$E$2&gt;0,N143-SNAP!P143&gt;0),N143-SNAP!P143,0)</f>
        <v>0</v>
      </c>
      <c r="S143" s="20">
        <f t="shared" si="39"/>
        <v>4467.6666666666661</v>
      </c>
      <c r="T143" s="20">
        <f t="shared" si="33"/>
        <v>1340.2999999999997</v>
      </c>
      <c r="U143" s="20">
        <f>IF(AND('Total income package'!$A$18=TRUE,OR(H143="Yes",O143="Yes"),G143&lt;$G$2,$K$2-T143&gt;10),ROUNDDOWN($K$2-T143,0),0)</f>
        <v>230</v>
      </c>
      <c r="V143" s="176">
        <f t="shared" si="40"/>
        <v>230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Yes</v>
      </c>
      <c r="I144" s="20">
        <f t="shared" si="29"/>
        <v>1150</v>
      </c>
      <c r="J144" s="20">
        <f t="shared" si="30"/>
        <v>299</v>
      </c>
      <c r="K144" s="20">
        <f t="shared" si="31"/>
        <v>4501</v>
      </c>
      <c r="L144" s="20">
        <f t="shared" si="35"/>
        <v>0</v>
      </c>
      <c r="M144" s="20">
        <f>'Total income package'!$B$69</f>
        <v>500</v>
      </c>
      <c r="N144" s="20">
        <f t="shared" si="36"/>
        <v>500</v>
      </c>
      <c r="O144" s="344" t="str">
        <f t="shared" si="37"/>
        <v>No</v>
      </c>
      <c r="P144" s="20">
        <f t="shared" si="38"/>
        <v>2250.5</v>
      </c>
      <c r="Q144" s="346">
        <f t="shared" si="32"/>
        <v>0</v>
      </c>
      <c r="R144" s="20">
        <f>IF(AND(D$2+$E$2&gt;0,N144-SNAP!P144&gt;0),N144-SNAP!P144,0)</f>
        <v>0</v>
      </c>
      <c r="S144" s="20">
        <f t="shared" si="39"/>
        <v>4501</v>
      </c>
      <c r="T144" s="20">
        <f t="shared" si="33"/>
        <v>1350.3</v>
      </c>
      <c r="U144" s="20">
        <f>IF(AND('Total income package'!$A$18=TRUE,OR(H144="Yes",O144="Yes"),G144&lt;$G$2,$K$2-T144&gt;10),ROUNDDOWN($K$2-T144,0),0)</f>
        <v>220</v>
      </c>
      <c r="V144" s="176">
        <f t="shared" si="40"/>
        <v>220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Yes</v>
      </c>
      <c r="I145" s="20">
        <f t="shared" si="29"/>
        <v>1158.3333333333335</v>
      </c>
      <c r="J145" s="20">
        <f t="shared" si="30"/>
        <v>299</v>
      </c>
      <c r="K145" s="20">
        <f t="shared" si="31"/>
        <v>4534.3333333333339</v>
      </c>
      <c r="L145" s="20">
        <f t="shared" si="35"/>
        <v>0</v>
      </c>
      <c r="M145" s="20">
        <f>'Total income package'!$B$69</f>
        <v>500</v>
      </c>
      <c r="N145" s="20">
        <f t="shared" si="36"/>
        <v>500</v>
      </c>
      <c r="O145" s="344" t="str">
        <f t="shared" si="37"/>
        <v>No</v>
      </c>
      <c r="P145" s="20">
        <f t="shared" si="38"/>
        <v>2267.166666666667</v>
      </c>
      <c r="Q145" s="346">
        <f t="shared" si="32"/>
        <v>0</v>
      </c>
      <c r="R145" s="20">
        <f>IF(AND(D$2+$E$2&gt;0,N145-SNAP!P145&gt;0),N145-SNAP!P145,0)</f>
        <v>0</v>
      </c>
      <c r="S145" s="20">
        <f t="shared" si="39"/>
        <v>4534.3333333333339</v>
      </c>
      <c r="T145" s="20">
        <f t="shared" si="33"/>
        <v>1360.3000000000002</v>
      </c>
      <c r="U145" s="20">
        <f>IF(AND('Total income package'!$A$18=TRUE,OR(H145="Yes",O145="Yes"),G145&lt;$G$2,$K$2-T145&gt;10),ROUNDDOWN($K$2-T145,0),0)</f>
        <v>210</v>
      </c>
      <c r="V145" s="176">
        <f t="shared" si="40"/>
        <v>210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Yes</v>
      </c>
      <c r="I146" s="20">
        <f t="shared" si="29"/>
        <v>1166.6666666666667</v>
      </c>
      <c r="J146" s="20">
        <f t="shared" si="30"/>
        <v>299</v>
      </c>
      <c r="K146" s="20">
        <f t="shared" si="31"/>
        <v>4567.6666666666661</v>
      </c>
      <c r="L146" s="20">
        <f t="shared" si="35"/>
        <v>0</v>
      </c>
      <c r="M146" s="20">
        <f>'Total income package'!$B$69</f>
        <v>500</v>
      </c>
      <c r="N146" s="20">
        <f t="shared" si="36"/>
        <v>500</v>
      </c>
      <c r="O146" s="344" t="str">
        <f t="shared" si="37"/>
        <v>No</v>
      </c>
      <c r="P146" s="20">
        <f t="shared" si="38"/>
        <v>2283.833333333333</v>
      </c>
      <c r="Q146" s="346">
        <f t="shared" si="32"/>
        <v>0</v>
      </c>
      <c r="R146" s="20">
        <f>IF(AND(D$2+$E$2&gt;0,N146-SNAP!P146&gt;0),N146-SNAP!P146,0)</f>
        <v>0</v>
      </c>
      <c r="S146" s="20">
        <f t="shared" si="39"/>
        <v>4567.6666666666661</v>
      </c>
      <c r="T146" s="20">
        <f t="shared" si="33"/>
        <v>1370.2999999999997</v>
      </c>
      <c r="U146" s="20">
        <f>IF(AND('Total income package'!$A$18=TRUE,OR(H146="Yes",O146="Yes"),G146&lt;$G$2,$K$2-T146&gt;10),ROUNDDOWN($K$2-T146,0),0)</f>
        <v>200</v>
      </c>
      <c r="V146" s="176">
        <f t="shared" si="40"/>
        <v>200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Yes</v>
      </c>
      <c r="I147" s="20">
        <f t="shared" si="29"/>
        <v>1175</v>
      </c>
      <c r="J147" s="20">
        <f t="shared" si="30"/>
        <v>299</v>
      </c>
      <c r="K147" s="20">
        <f t="shared" si="31"/>
        <v>4601</v>
      </c>
      <c r="L147" s="20">
        <f t="shared" si="35"/>
        <v>0</v>
      </c>
      <c r="M147" s="20">
        <f>'Total income package'!$B$69</f>
        <v>500</v>
      </c>
      <c r="N147" s="20">
        <f t="shared" si="36"/>
        <v>500</v>
      </c>
      <c r="O147" s="344" t="str">
        <f t="shared" si="37"/>
        <v>No</v>
      </c>
      <c r="P147" s="20">
        <f t="shared" si="38"/>
        <v>2300.5</v>
      </c>
      <c r="Q147" s="346">
        <f t="shared" si="32"/>
        <v>0</v>
      </c>
      <c r="R147" s="20">
        <f>IF(AND(D$2+$E$2&gt;0,N147-SNAP!P147&gt;0),N147-SNAP!P147,0)</f>
        <v>0</v>
      </c>
      <c r="S147" s="20">
        <f t="shared" si="39"/>
        <v>4601</v>
      </c>
      <c r="T147" s="20">
        <f t="shared" si="33"/>
        <v>1380.3</v>
      </c>
      <c r="U147" s="20">
        <f>IF(AND('Total income package'!$A$18=TRUE,OR(H147="Yes",O147="Yes"),G147&lt;$G$2,$K$2-T147&gt;10),ROUNDDOWN($K$2-T147,0),0)</f>
        <v>190</v>
      </c>
      <c r="V147" s="176">
        <f t="shared" si="40"/>
        <v>190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Yes</v>
      </c>
      <c r="I148" s="20">
        <f t="shared" si="29"/>
        <v>1183.3333333333335</v>
      </c>
      <c r="J148" s="20">
        <f t="shared" si="30"/>
        <v>299</v>
      </c>
      <c r="K148" s="20">
        <f t="shared" si="31"/>
        <v>4634.3333333333339</v>
      </c>
      <c r="L148" s="20">
        <f t="shared" si="35"/>
        <v>0</v>
      </c>
      <c r="M148" s="20">
        <f>'Total income package'!$B$69</f>
        <v>500</v>
      </c>
      <c r="N148" s="20">
        <f t="shared" si="36"/>
        <v>500</v>
      </c>
      <c r="O148" s="344" t="str">
        <f t="shared" si="37"/>
        <v>No</v>
      </c>
      <c r="P148" s="20">
        <f t="shared" si="38"/>
        <v>2317.166666666667</v>
      </c>
      <c r="Q148" s="346">
        <f t="shared" si="32"/>
        <v>0</v>
      </c>
      <c r="R148" s="20">
        <f>IF(AND(D$2+$E$2&gt;0,N148-SNAP!P148&gt;0),N148-SNAP!P148,0)</f>
        <v>0</v>
      </c>
      <c r="S148" s="20">
        <f t="shared" si="39"/>
        <v>4634.3333333333339</v>
      </c>
      <c r="T148" s="20">
        <f t="shared" si="33"/>
        <v>1390.3000000000002</v>
      </c>
      <c r="U148" s="20">
        <f>IF(AND('Total income package'!$A$18=TRUE,OR(H148="Yes",O148="Yes"),G148&lt;$G$2,$K$2-T148&gt;10),ROUNDDOWN($K$2-T148,0),0)</f>
        <v>180</v>
      </c>
      <c r="V148" s="176">
        <f t="shared" si="40"/>
        <v>180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Yes</v>
      </c>
      <c r="I149" s="20">
        <f t="shared" si="29"/>
        <v>1191.6666666666667</v>
      </c>
      <c r="J149" s="20">
        <f t="shared" si="30"/>
        <v>299</v>
      </c>
      <c r="K149" s="20">
        <f t="shared" si="31"/>
        <v>4667.6666666666661</v>
      </c>
      <c r="L149" s="20">
        <f t="shared" si="35"/>
        <v>0</v>
      </c>
      <c r="M149" s="20">
        <f>'Total income package'!$B$69</f>
        <v>500</v>
      </c>
      <c r="N149" s="20">
        <f t="shared" si="36"/>
        <v>500</v>
      </c>
      <c r="O149" s="344" t="str">
        <f t="shared" si="37"/>
        <v>No</v>
      </c>
      <c r="P149" s="20">
        <f t="shared" si="38"/>
        <v>2333.833333333333</v>
      </c>
      <c r="Q149" s="346">
        <f t="shared" si="32"/>
        <v>0</v>
      </c>
      <c r="R149" s="20">
        <f>IF(AND(D$2+$E$2&gt;0,N149-SNAP!P149&gt;0),N149-SNAP!P149,0)</f>
        <v>0</v>
      </c>
      <c r="S149" s="20">
        <f t="shared" si="39"/>
        <v>4667.6666666666661</v>
      </c>
      <c r="T149" s="20">
        <f t="shared" si="33"/>
        <v>1400.2999999999997</v>
      </c>
      <c r="U149" s="20">
        <f>IF(AND('Total income package'!$A$18=TRUE,OR(H149="Yes",O149="Yes"),G149&lt;$G$2,$K$2-T149&gt;10),ROUNDDOWN($K$2-T149,0),0)</f>
        <v>170</v>
      </c>
      <c r="V149" s="176">
        <f t="shared" si="40"/>
        <v>170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Yes</v>
      </c>
      <c r="I150" s="20">
        <f t="shared" si="29"/>
        <v>1200</v>
      </c>
      <c r="J150" s="20">
        <f t="shared" si="30"/>
        <v>299</v>
      </c>
      <c r="K150" s="20">
        <f t="shared" si="31"/>
        <v>4701</v>
      </c>
      <c r="L150" s="20">
        <f t="shared" si="35"/>
        <v>0</v>
      </c>
      <c r="M150" s="20">
        <f>'Total income package'!$B$69</f>
        <v>500</v>
      </c>
      <c r="N150" s="20">
        <f t="shared" si="36"/>
        <v>500</v>
      </c>
      <c r="O150" s="344" t="str">
        <f t="shared" si="37"/>
        <v>No</v>
      </c>
      <c r="P150" s="20">
        <f t="shared" si="38"/>
        <v>2350.5</v>
      </c>
      <c r="Q150" s="346">
        <f t="shared" si="32"/>
        <v>0</v>
      </c>
      <c r="R150" s="20">
        <f>IF(AND(D$2+$E$2&gt;0,N150-SNAP!P150&gt;0),N150-SNAP!P150,0)</f>
        <v>0</v>
      </c>
      <c r="S150" s="20">
        <f t="shared" si="39"/>
        <v>4701</v>
      </c>
      <c r="T150" s="20">
        <f t="shared" si="33"/>
        <v>1410.3</v>
      </c>
      <c r="U150" s="20">
        <f>IF(AND('Total income package'!$A$18=TRUE,OR(H150="Yes",O150="Yes"),G150&lt;$G$2,$K$2-T150&gt;10),ROUNDDOWN($K$2-T150,0),0)</f>
        <v>160</v>
      </c>
      <c r="V150" s="176">
        <f t="shared" si="40"/>
        <v>160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Yes</v>
      </c>
      <c r="I151" s="20">
        <f t="shared" si="29"/>
        <v>1208.3333333333335</v>
      </c>
      <c r="J151" s="20">
        <f t="shared" si="30"/>
        <v>299</v>
      </c>
      <c r="K151" s="20">
        <f t="shared" si="31"/>
        <v>4734.3333333333339</v>
      </c>
      <c r="L151" s="20">
        <f t="shared" si="35"/>
        <v>0</v>
      </c>
      <c r="M151" s="20">
        <f>'Total income package'!$B$69</f>
        <v>500</v>
      </c>
      <c r="N151" s="20">
        <f t="shared" si="36"/>
        <v>500</v>
      </c>
      <c r="O151" s="344" t="str">
        <f t="shared" si="37"/>
        <v>No</v>
      </c>
      <c r="P151" s="20">
        <f t="shared" si="38"/>
        <v>2367.166666666667</v>
      </c>
      <c r="Q151" s="346">
        <f t="shared" si="32"/>
        <v>0</v>
      </c>
      <c r="R151" s="20">
        <f>IF(AND(D$2+$E$2&gt;0,N151-SNAP!P151&gt;0),N151-SNAP!P151,0)</f>
        <v>0</v>
      </c>
      <c r="S151" s="20">
        <f t="shared" si="39"/>
        <v>4734.3333333333339</v>
      </c>
      <c r="T151" s="20">
        <f t="shared" si="33"/>
        <v>1420.3000000000002</v>
      </c>
      <c r="U151" s="20">
        <f>IF(AND('Total income package'!$A$18=TRUE,OR(H151="Yes",O151="Yes"),G151&lt;$G$2,$K$2-T151&gt;10),ROUNDDOWN($K$2-T151,0),0)</f>
        <v>150</v>
      </c>
      <c r="V151" s="176">
        <f t="shared" si="40"/>
        <v>150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Yes</v>
      </c>
      <c r="I152" s="20">
        <f t="shared" si="29"/>
        <v>1216.6666666666667</v>
      </c>
      <c r="J152" s="20">
        <f t="shared" si="30"/>
        <v>299</v>
      </c>
      <c r="K152" s="20">
        <f t="shared" si="31"/>
        <v>4767.6666666666661</v>
      </c>
      <c r="L152" s="20">
        <f t="shared" si="35"/>
        <v>0</v>
      </c>
      <c r="M152" s="20">
        <f>'Total income package'!$B$69</f>
        <v>500</v>
      </c>
      <c r="N152" s="20">
        <f t="shared" si="36"/>
        <v>500</v>
      </c>
      <c r="O152" s="344" t="str">
        <f t="shared" si="37"/>
        <v>No</v>
      </c>
      <c r="P152" s="20">
        <f t="shared" si="38"/>
        <v>2383.833333333333</v>
      </c>
      <c r="Q152" s="346">
        <f t="shared" si="32"/>
        <v>0</v>
      </c>
      <c r="R152" s="20">
        <f>IF(AND(D$2+$E$2&gt;0,N152-SNAP!P152&gt;0),N152-SNAP!P152,0)</f>
        <v>0</v>
      </c>
      <c r="S152" s="20">
        <f t="shared" si="39"/>
        <v>4767.6666666666661</v>
      </c>
      <c r="T152" s="20">
        <f t="shared" si="33"/>
        <v>1430.2999999999997</v>
      </c>
      <c r="U152" s="20">
        <f>IF(AND('Total income package'!$A$18=TRUE,OR(H152="Yes",O152="Yes"),G152&lt;$G$2,$K$2-T152&gt;10),ROUNDDOWN($K$2-T152,0),0)</f>
        <v>140</v>
      </c>
      <c r="V152" s="176">
        <f t="shared" si="40"/>
        <v>140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Yes</v>
      </c>
      <c r="I153" s="20">
        <f t="shared" si="29"/>
        <v>1225</v>
      </c>
      <c r="J153" s="20">
        <f t="shared" si="30"/>
        <v>299</v>
      </c>
      <c r="K153" s="20">
        <f t="shared" si="31"/>
        <v>4801</v>
      </c>
      <c r="L153" s="20">
        <f t="shared" si="35"/>
        <v>0</v>
      </c>
      <c r="M153" s="20">
        <f>'Total income package'!$B$69</f>
        <v>500</v>
      </c>
      <c r="N153" s="20">
        <f t="shared" si="36"/>
        <v>500</v>
      </c>
      <c r="O153" s="344" t="str">
        <f t="shared" si="37"/>
        <v>No</v>
      </c>
      <c r="P153" s="20">
        <f t="shared" si="38"/>
        <v>2400.5</v>
      </c>
      <c r="Q153" s="346">
        <f t="shared" si="32"/>
        <v>0</v>
      </c>
      <c r="R153" s="20">
        <f>IF(AND(D$2+$E$2&gt;0,N153-SNAP!P153&gt;0),N153-SNAP!P153,0)</f>
        <v>0</v>
      </c>
      <c r="S153" s="20">
        <f t="shared" si="39"/>
        <v>4801</v>
      </c>
      <c r="T153" s="20">
        <f t="shared" si="33"/>
        <v>1440.3</v>
      </c>
      <c r="U153" s="20">
        <f>IF(AND('Total income package'!$A$18=TRUE,OR(H153="Yes",O153="Yes"),G153&lt;$G$2,$K$2-T153&gt;10),ROUNDDOWN($K$2-T153,0),0)</f>
        <v>130</v>
      </c>
      <c r="V153" s="176">
        <f t="shared" si="40"/>
        <v>130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Yes</v>
      </c>
      <c r="I154" s="20">
        <f t="shared" si="29"/>
        <v>1233.3333333333335</v>
      </c>
      <c r="J154" s="20">
        <f t="shared" si="30"/>
        <v>299</v>
      </c>
      <c r="K154" s="20">
        <f t="shared" si="31"/>
        <v>4834.3333333333339</v>
      </c>
      <c r="L154" s="20">
        <f t="shared" si="35"/>
        <v>0</v>
      </c>
      <c r="M154" s="20">
        <f>'Total income package'!$B$69</f>
        <v>500</v>
      </c>
      <c r="N154" s="20">
        <f t="shared" si="36"/>
        <v>500</v>
      </c>
      <c r="O154" s="344" t="str">
        <f t="shared" si="37"/>
        <v>No</v>
      </c>
      <c r="P154" s="20">
        <f t="shared" si="38"/>
        <v>2417.166666666667</v>
      </c>
      <c r="Q154" s="346">
        <f t="shared" si="32"/>
        <v>0</v>
      </c>
      <c r="R154" s="20">
        <f>IF(AND(D$2+$E$2&gt;0,N154-SNAP!P154&gt;0),N154-SNAP!P154,0)</f>
        <v>0</v>
      </c>
      <c r="S154" s="20">
        <f t="shared" si="39"/>
        <v>4834.3333333333339</v>
      </c>
      <c r="T154" s="20">
        <f t="shared" si="33"/>
        <v>1450.3000000000002</v>
      </c>
      <c r="U154" s="20">
        <f>IF(AND('Total income package'!$A$18=TRUE,OR(H154="Yes",O154="Yes"),G154&lt;$G$2,$K$2-T154&gt;10),ROUNDDOWN($K$2-T154,0),0)</f>
        <v>120</v>
      </c>
      <c r="V154" s="176">
        <f t="shared" si="40"/>
        <v>120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Yes</v>
      </c>
      <c r="I155" s="20">
        <f t="shared" si="29"/>
        <v>1241.6666666666667</v>
      </c>
      <c r="J155" s="20">
        <f t="shared" si="30"/>
        <v>299</v>
      </c>
      <c r="K155" s="20">
        <f t="shared" si="31"/>
        <v>4867.6666666666661</v>
      </c>
      <c r="L155" s="20">
        <f t="shared" si="35"/>
        <v>0</v>
      </c>
      <c r="M155" s="20">
        <f>'Total income package'!$B$69</f>
        <v>500</v>
      </c>
      <c r="N155" s="20">
        <f t="shared" si="36"/>
        <v>500</v>
      </c>
      <c r="O155" s="344" t="str">
        <f t="shared" si="37"/>
        <v>No</v>
      </c>
      <c r="P155" s="20">
        <f t="shared" si="38"/>
        <v>2433.833333333333</v>
      </c>
      <c r="Q155" s="346">
        <f t="shared" si="32"/>
        <v>0</v>
      </c>
      <c r="R155" s="20">
        <f>IF(AND(D$2+$E$2&gt;0,N155-SNAP!P155&gt;0),N155-SNAP!P155,0)</f>
        <v>0</v>
      </c>
      <c r="S155" s="20">
        <f t="shared" si="39"/>
        <v>4867.6666666666661</v>
      </c>
      <c r="T155" s="20">
        <f t="shared" si="33"/>
        <v>1460.2999999999997</v>
      </c>
      <c r="U155" s="20">
        <f>IF(AND('Total income package'!$A$18=TRUE,OR(H155="Yes",O155="Yes"),G155&lt;$G$2,$K$2-T155&gt;10),ROUNDDOWN($K$2-T155,0),0)</f>
        <v>110</v>
      </c>
      <c r="V155" s="176">
        <f t="shared" si="40"/>
        <v>110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Yes</v>
      </c>
      <c r="I156" s="20">
        <f t="shared" si="29"/>
        <v>1250</v>
      </c>
      <c r="J156" s="20">
        <f t="shared" si="30"/>
        <v>299</v>
      </c>
      <c r="K156" s="20">
        <f t="shared" si="31"/>
        <v>4901</v>
      </c>
      <c r="L156" s="20">
        <f t="shared" si="35"/>
        <v>0</v>
      </c>
      <c r="M156" s="20">
        <f>'Total income package'!$B$69</f>
        <v>500</v>
      </c>
      <c r="N156" s="20">
        <f t="shared" si="36"/>
        <v>500</v>
      </c>
      <c r="O156" s="344" t="str">
        <f t="shared" si="37"/>
        <v>No</v>
      </c>
      <c r="P156" s="20">
        <f t="shared" si="38"/>
        <v>2450.5</v>
      </c>
      <c r="Q156" s="346">
        <f t="shared" si="32"/>
        <v>0</v>
      </c>
      <c r="R156" s="20">
        <f>IF(AND(D$2+$E$2&gt;0,N156-SNAP!P156&gt;0),N156-SNAP!P156,0)</f>
        <v>0</v>
      </c>
      <c r="S156" s="20">
        <f t="shared" si="39"/>
        <v>4901</v>
      </c>
      <c r="T156" s="20">
        <f t="shared" si="33"/>
        <v>1470.3</v>
      </c>
      <c r="U156" s="20">
        <f>IF(AND('Total income package'!$A$18=TRUE,OR(H156="Yes",O156="Yes"),G156&lt;$G$2,$K$2-T156&gt;10),ROUNDDOWN($K$2-T156,0),0)</f>
        <v>100</v>
      </c>
      <c r="V156" s="176">
        <f t="shared" si="40"/>
        <v>100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Yes</v>
      </c>
      <c r="I157" s="20">
        <f t="shared" si="29"/>
        <v>1258.3333333333335</v>
      </c>
      <c r="J157" s="20">
        <f t="shared" si="30"/>
        <v>299</v>
      </c>
      <c r="K157" s="20">
        <f t="shared" si="31"/>
        <v>4934.3333333333339</v>
      </c>
      <c r="L157" s="20">
        <f t="shared" si="35"/>
        <v>0</v>
      </c>
      <c r="M157" s="20">
        <f>'Total income package'!$B$69</f>
        <v>500</v>
      </c>
      <c r="N157" s="20">
        <f t="shared" si="36"/>
        <v>500</v>
      </c>
      <c r="O157" s="344" t="str">
        <f t="shared" si="37"/>
        <v>No</v>
      </c>
      <c r="P157" s="20">
        <f t="shared" si="38"/>
        <v>2467.166666666667</v>
      </c>
      <c r="Q157" s="346">
        <f t="shared" si="32"/>
        <v>0</v>
      </c>
      <c r="R157" s="20">
        <f>IF(AND(D$2+$E$2&gt;0,N157-SNAP!P157&gt;0),N157-SNAP!P157,0)</f>
        <v>0</v>
      </c>
      <c r="S157" s="20">
        <f t="shared" si="39"/>
        <v>4934.3333333333339</v>
      </c>
      <c r="T157" s="20">
        <f t="shared" si="33"/>
        <v>1480.3000000000002</v>
      </c>
      <c r="U157" s="20">
        <f>IF(AND('Total income package'!$A$18=TRUE,OR(H157="Yes",O157="Yes"),G157&lt;$G$2,$K$2-T157&gt;10),ROUNDDOWN($K$2-T157,0),0)</f>
        <v>90</v>
      </c>
      <c r="V157" s="176">
        <f t="shared" si="40"/>
        <v>90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Yes</v>
      </c>
      <c r="I158" s="20">
        <f t="shared" si="29"/>
        <v>1266.6666666666667</v>
      </c>
      <c r="J158" s="20">
        <f t="shared" si="30"/>
        <v>299</v>
      </c>
      <c r="K158" s="20">
        <f t="shared" si="31"/>
        <v>4967.6666666666661</v>
      </c>
      <c r="L158" s="20">
        <f t="shared" si="35"/>
        <v>0</v>
      </c>
      <c r="M158" s="20">
        <f>'Total income package'!$B$69</f>
        <v>500</v>
      </c>
      <c r="N158" s="20">
        <f t="shared" si="36"/>
        <v>500</v>
      </c>
      <c r="O158" s="344" t="str">
        <f t="shared" si="37"/>
        <v>No</v>
      </c>
      <c r="P158" s="20">
        <f t="shared" si="38"/>
        <v>2483.833333333333</v>
      </c>
      <c r="Q158" s="346">
        <f t="shared" si="32"/>
        <v>0</v>
      </c>
      <c r="R158" s="20">
        <f>IF(AND(D$2+$E$2&gt;0,N158-SNAP!P158&gt;0),N158-SNAP!P158,0)</f>
        <v>0</v>
      </c>
      <c r="S158" s="20">
        <f t="shared" si="39"/>
        <v>4967.6666666666661</v>
      </c>
      <c r="T158" s="20">
        <f t="shared" si="33"/>
        <v>1490.2999999999997</v>
      </c>
      <c r="U158" s="20">
        <f>IF(AND('Total income package'!$A$18=TRUE,OR(H158="Yes",O158="Yes"),G158&lt;$G$2,$K$2-T158&gt;10),ROUNDDOWN($K$2-T158,0),0)</f>
        <v>80</v>
      </c>
      <c r="V158" s="176">
        <f t="shared" si="40"/>
        <v>80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Yes</v>
      </c>
      <c r="I159" s="20">
        <f t="shared" si="29"/>
        <v>1275</v>
      </c>
      <c r="J159" s="20">
        <f t="shared" si="30"/>
        <v>299</v>
      </c>
      <c r="K159" s="20">
        <f t="shared" si="31"/>
        <v>5001</v>
      </c>
      <c r="L159" s="20">
        <f t="shared" si="35"/>
        <v>0</v>
      </c>
      <c r="M159" s="20">
        <f>'Total income package'!$B$69</f>
        <v>500</v>
      </c>
      <c r="N159" s="20">
        <f t="shared" si="36"/>
        <v>500</v>
      </c>
      <c r="O159" s="344" t="str">
        <f t="shared" si="37"/>
        <v>No</v>
      </c>
      <c r="P159" s="20">
        <f t="shared" si="38"/>
        <v>2500.5</v>
      </c>
      <c r="Q159" s="346">
        <f t="shared" si="32"/>
        <v>0</v>
      </c>
      <c r="R159" s="20">
        <f>IF(AND(D$2+$E$2&gt;0,N159-SNAP!P159&gt;0),N159-SNAP!P159,0)</f>
        <v>0</v>
      </c>
      <c r="S159" s="20">
        <f t="shared" si="39"/>
        <v>5001</v>
      </c>
      <c r="T159" s="20">
        <f t="shared" si="33"/>
        <v>1500.3</v>
      </c>
      <c r="U159" s="20">
        <f>IF(AND('Total income package'!$A$18=TRUE,OR(H159="Yes",O159="Yes"),G159&lt;$G$2,$K$2-T159&gt;10),ROUNDDOWN($K$2-T159,0),0)</f>
        <v>70</v>
      </c>
      <c r="V159" s="176">
        <f t="shared" si="40"/>
        <v>70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Yes</v>
      </c>
      <c r="I160" s="20">
        <f t="shared" si="29"/>
        <v>1283.3333333333335</v>
      </c>
      <c r="J160" s="20">
        <f t="shared" si="30"/>
        <v>299</v>
      </c>
      <c r="K160" s="20">
        <f t="shared" si="31"/>
        <v>5034.3333333333339</v>
      </c>
      <c r="L160" s="20">
        <f t="shared" si="35"/>
        <v>0</v>
      </c>
      <c r="M160" s="20">
        <f>'Total income package'!$B$69</f>
        <v>500</v>
      </c>
      <c r="N160" s="20">
        <f t="shared" si="36"/>
        <v>500</v>
      </c>
      <c r="O160" s="344" t="str">
        <f t="shared" si="37"/>
        <v>No</v>
      </c>
      <c r="P160" s="20">
        <f t="shared" si="38"/>
        <v>2517.166666666667</v>
      </c>
      <c r="Q160" s="346">
        <f t="shared" si="32"/>
        <v>0</v>
      </c>
      <c r="R160" s="20">
        <f>IF(AND(D$2+$E$2&gt;0,N160-SNAP!P160&gt;0),N160-SNAP!P160,0)</f>
        <v>0</v>
      </c>
      <c r="S160" s="20">
        <f t="shared" si="39"/>
        <v>5034.3333333333339</v>
      </c>
      <c r="T160" s="20">
        <f t="shared" si="33"/>
        <v>1510.3000000000002</v>
      </c>
      <c r="U160" s="20">
        <f>IF(AND('Total income package'!$A$18=TRUE,OR(H160="Yes",O160="Yes"),G160&lt;$G$2,$K$2-T160&gt;10),ROUNDDOWN($K$2-T160,0),0)</f>
        <v>60</v>
      </c>
      <c r="V160" s="176">
        <f t="shared" si="40"/>
        <v>60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Yes</v>
      </c>
      <c r="I161" s="20">
        <f t="shared" si="29"/>
        <v>1291.6666666666667</v>
      </c>
      <c r="J161" s="20">
        <f t="shared" si="30"/>
        <v>299</v>
      </c>
      <c r="K161" s="20">
        <f t="shared" si="31"/>
        <v>5067.6666666666661</v>
      </c>
      <c r="L161" s="20">
        <f t="shared" si="35"/>
        <v>0</v>
      </c>
      <c r="M161" s="20">
        <f>'Total income package'!$B$69</f>
        <v>500</v>
      </c>
      <c r="N161" s="20">
        <f t="shared" si="36"/>
        <v>500</v>
      </c>
      <c r="O161" s="344" t="str">
        <f t="shared" si="37"/>
        <v>No</v>
      </c>
      <c r="P161" s="20">
        <f t="shared" si="38"/>
        <v>2533.833333333333</v>
      </c>
      <c r="Q161" s="346">
        <f t="shared" si="32"/>
        <v>0</v>
      </c>
      <c r="R161" s="20">
        <f>IF(AND(D$2+$E$2&gt;0,N161-SNAP!P161&gt;0),N161-SNAP!P161,0)</f>
        <v>0</v>
      </c>
      <c r="S161" s="20">
        <f t="shared" si="39"/>
        <v>5067.6666666666661</v>
      </c>
      <c r="T161" s="20">
        <f t="shared" si="33"/>
        <v>1520.2999999999997</v>
      </c>
      <c r="U161" s="20">
        <f>IF(AND('Total income package'!$A$18=TRUE,OR(H161="Yes",O161="Yes"),G161&lt;$G$2,$K$2-T161&gt;10),ROUNDDOWN($K$2-T161,0),0)</f>
        <v>50</v>
      </c>
      <c r="V161" s="176">
        <f t="shared" si="40"/>
        <v>50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Yes</v>
      </c>
      <c r="I162" s="20">
        <f t="shared" si="29"/>
        <v>1300</v>
      </c>
      <c r="J162" s="20">
        <f t="shared" si="30"/>
        <v>299</v>
      </c>
      <c r="K162" s="20">
        <f t="shared" si="31"/>
        <v>5101</v>
      </c>
      <c r="L162" s="20">
        <f t="shared" si="35"/>
        <v>0</v>
      </c>
      <c r="M162" s="20">
        <f>'Total income package'!$B$69</f>
        <v>500</v>
      </c>
      <c r="N162" s="20">
        <f t="shared" si="36"/>
        <v>500</v>
      </c>
      <c r="O162" s="344" t="str">
        <f t="shared" si="37"/>
        <v>No</v>
      </c>
      <c r="P162" s="20">
        <f t="shared" si="38"/>
        <v>2550.5</v>
      </c>
      <c r="Q162" s="346">
        <f t="shared" si="32"/>
        <v>0</v>
      </c>
      <c r="R162" s="20">
        <f>IF(AND(D$2+$E$2&gt;0,N162-SNAP!P162&gt;0),N162-SNAP!P162,0)</f>
        <v>0</v>
      </c>
      <c r="S162" s="20">
        <f t="shared" si="39"/>
        <v>5101</v>
      </c>
      <c r="T162" s="20">
        <f t="shared" si="33"/>
        <v>1530.3</v>
      </c>
      <c r="U162" s="20">
        <f>IF(AND('Total income package'!$A$18=TRUE,OR(H162="Yes",O162="Yes"),G162&lt;$G$2,$K$2-T162&gt;10),ROUNDDOWN($K$2-T162,0),0)</f>
        <v>40</v>
      </c>
      <c r="V162" s="176">
        <f t="shared" si="40"/>
        <v>40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Yes</v>
      </c>
      <c r="I163" s="20">
        <f t="shared" si="29"/>
        <v>1308.3333333333335</v>
      </c>
      <c r="J163" s="20">
        <f t="shared" si="30"/>
        <v>299</v>
      </c>
      <c r="K163" s="20">
        <f t="shared" si="31"/>
        <v>5134.3333333333339</v>
      </c>
      <c r="L163" s="20">
        <f t="shared" si="35"/>
        <v>0</v>
      </c>
      <c r="M163" s="20">
        <f>'Total income package'!$B$69</f>
        <v>500</v>
      </c>
      <c r="N163" s="20">
        <f t="shared" si="36"/>
        <v>500</v>
      </c>
      <c r="O163" s="344" t="str">
        <f t="shared" si="37"/>
        <v>No</v>
      </c>
      <c r="P163" s="20">
        <f t="shared" si="38"/>
        <v>2567.166666666667</v>
      </c>
      <c r="Q163" s="346">
        <f t="shared" si="32"/>
        <v>0</v>
      </c>
      <c r="R163" s="20">
        <f>IF(AND(D$2+$E$2&gt;0,N163-SNAP!P163&gt;0),N163-SNAP!P163,0)</f>
        <v>0</v>
      </c>
      <c r="S163" s="20">
        <f t="shared" si="39"/>
        <v>5134.3333333333339</v>
      </c>
      <c r="T163" s="20">
        <f t="shared" si="33"/>
        <v>1540.3000000000002</v>
      </c>
      <c r="U163" s="20">
        <f>IF(AND('Total income package'!$A$18=TRUE,OR(H163="Yes",O163="Yes"),G163&lt;$G$2,$K$2-T163&gt;10),ROUNDDOWN($K$2-T163,0),0)</f>
        <v>30</v>
      </c>
      <c r="V163" s="176">
        <f t="shared" si="40"/>
        <v>30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Yes</v>
      </c>
      <c r="I164" s="20">
        <f t="shared" si="29"/>
        <v>1316.6666666666667</v>
      </c>
      <c r="J164" s="20">
        <f t="shared" si="30"/>
        <v>299</v>
      </c>
      <c r="K164" s="20">
        <f t="shared" si="31"/>
        <v>5167.6666666666661</v>
      </c>
      <c r="L164" s="20">
        <f t="shared" si="35"/>
        <v>0</v>
      </c>
      <c r="M164" s="20">
        <f>'Total income package'!$B$69</f>
        <v>500</v>
      </c>
      <c r="N164" s="20">
        <f t="shared" si="36"/>
        <v>500</v>
      </c>
      <c r="O164" s="344" t="str">
        <f t="shared" si="37"/>
        <v>No</v>
      </c>
      <c r="P164" s="20">
        <f t="shared" si="38"/>
        <v>2583.833333333333</v>
      </c>
      <c r="Q164" s="346">
        <f t="shared" si="32"/>
        <v>0</v>
      </c>
      <c r="R164" s="20">
        <f>IF(AND(D$2+$E$2&gt;0,N164-SNAP!P164&gt;0),N164-SNAP!P164,0)</f>
        <v>0</v>
      </c>
      <c r="S164" s="20">
        <f t="shared" si="39"/>
        <v>5167.6666666666661</v>
      </c>
      <c r="T164" s="20">
        <f t="shared" si="33"/>
        <v>1550.2999999999997</v>
      </c>
      <c r="U164" s="20">
        <f>IF(AND('Total income package'!$A$18=TRUE,OR(H164="Yes",O164="Yes"),G164&lt;$G$2,$K$2-T164&gt;10),ROUNDDOWN($K$2-T164,0),0)</f>
        <v>20</v>
      </c>
      <c r="V164" s="176">
        <f t="shared" si="40"/>
        <v>24</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Yes</v>
      </c>
      <c r="I165" s="20">
        <f t="shared" si="29"/>
        <v>1325</v>
      </c>
      <c r="J165" s="20">
        <f t="shared" si="30"/>
        <v>299</v>
      </c>
      <c r="K165" s="20">
        <f t="shared" si="31"/>
        <v>5201</v>
      </c>
      <c r="L165" s="20">
        <f t="shared" si="35"/>
        <v>0</v>
      </c>
      <c r="M165" s="20">
        <f>'Total income package'!$B$69</f>
        <v>500</v>
      </c>
      <c r="N165" s="20">
        <f t="shared" si="36"/>
        <v>500</v>
      </c>
      <c r="O165" s="344" t="str">
        <f t="shared" si="37"/>
        <v>No</v>
      </c>
      <c r="P165" s="20">
        <f t="shared" si="38"/>
        <v>2600.5</v>
      </c>
      <c r="Q165" s="346">
        <f t="shared" si="32"/>
        <v>0</v>
      </c>
      <c r="R165" s="20">
        <f>IF(AND(D$2+$E$2&gt;0,N165-SNAP!P165&gt;0),N165-SNAP!P165,0)</f>
        <v>0</v>
      </c>
      <c r="S165" s="20">
        <f t="shared" si="39"/>
        <v>5201</v>
      </c>
      <c r="T165" s="20">
        <f t="shared" si="33"/>
        <v>1560.3</v>
      </c>
      <c r="U165" s="20">
        <f>IF(AND('Total income package'!$A$18=TRUE,OR(H165="Yes",O165="Yes"),G165&lt;$G$2,$K$2-T165&gt;10),ROUNDDOWN($K$2-T165,0),0)</f>
        <v>10</v>
      </c>
      <c r="V165" s="176">
        <f t="shared" si="40"/>
        <v>10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Yes</v>
      </c>
      <c r="I166" s="20">
        <f t="shared" si="29"/>
        <v>1333.3333333333335</v>
      </c>
      <c r="J166" s="20">
        <f t="shared" si="30"/>
        <v>299</v>
      </c>
      <c r="K166" s="20">
        <f t="shared" si="31"/>
        <v>5234.3333333333339</v>
      </c>
      <c r="L166" s="20">
        <f t="shared" si="35"/>
        <v>0</v>
      </c>
      <c r="M166" s="20">
        <f>'Total income package'!$B$69</f>
        <v>500</v>
      </c>
      <c r="N166" s="20">
        <f t="shared" si="36"/>
        <v>500</v>
      </c>
      <c r="O166" s="344" t="str">
        <f t="shared" si="37"/>
        <v>No</v>
      </c>
      <c r="P166" s="20">
        <f t="shared" si="38"/>
        <v>2617.166666666667</v>
      </c>
      <c r="Q166" s="346">
        <f t="shared" si="32"/>
        <v>0</v>
      </c>
      <c r="R166" s="20">
        <f>IF(AND(D$2+$E$2&gt;0,N166-SNAP!P166&gt;0),N166-SNAP!P166,0)</f>
        <v>0</v>
      </c>
      <c r="S166" s="20">
        <f t="shared" si="39"/>
        <v>5234.3333333333339</v>
      </c>
      <c r="T166" s="20">
        <f t="shared" si="33"/>
        <v>1570.3000000000002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Yes</v>
      </c>
      <c r="I167" s="20">
        <f t="shared" si="29"/>
        <v>1341.6666666666667</v>
      </c>
      <c r="J167" s="20">
        <f t="shared" si="30"/>
        <v>299</v>
      </c>
      <c r="K167" s="20">
        <f t="shared" si="31"/>
        <v>5267.6666666666661</v>
      </c>
      <c r="L167" s="20">
        <f t="shared" si="35"/>
        <v>0</v>
      </c>
      <c r="M167" s="20">
        <f>'Total income package'!$B$69</f>
        <v>500</v>
      </c>
      <c r="N167" s="20">
        <f t="shared" si="36"/>
        <v>500</v>
      </c>
      <c r="O167" s="344" t="str">
        <f t="shared" si="37"/>
        <v>No</v>
      </c>
      <c r="P167" s="20">
        <f t="shared" si="38"/>
        <v>2633.833333333333</v>
      </c>
      <c r="Q167" s="346">
        <f t="shared" si="32"/>
        <v>0</v>
      </c>
      <c r="R167" s="20">
        <f>IF(AND(D$2+$E$2&gt;0,N167-SNAP!P167&gt;0),N167-SNAP!P167,0)</f>
        <v>0</v>
      </c>
      <c r="S167" s="20">
        <f t="shared" si="39"/>
        <v>5267.6666666666661</v>
      </c>
      <c r="T167" s="20">
        <f t="shared" si="33"/>
        <v>1580.2999999999997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Yes</v>
      </c>
      <c r="I168" s="20">
        <f t="shared" si="29"/>
        <v>1350</v>
      </c>
      <c r="J168" s="20">
        <f t="shared" si="30"/>
        <v>299</v>
      </c>
      <c r="K168" s="20">
        <f t="shared" si="31"/>
        <v>5301</v>
      </c>
      <c r="L168" s="20">
        <f t="shared" si="35"/>
        <v>0</v>
      </c>
      <c r="M168" s="20">
        <f>'Total income package'!$B$69</f>
        <v>500</v>
      </c>
      <c r="N168" s="20">
        <f t="shared" si="36"/>
        <v>500</v>
      </c>
      <c r="O168" s="344" t="str">
        <f t="shared" si="37"/>
        <v>No</v>
      </c>
      <c r="P168" s="20">
        <f t="shared" si="38"/>
        <v>2650.5</v>
      </c>
      <c r="Q168" s="346">
        <f t="shared" si="32"/>
        <v>0</v>
      </c>
      <c r="R168" s="20">
        <f>IF(AND(D$2+$E$2&gt;0,N168-SNAP!P168&gt;0),N168-SNAP!P168,0)</f>
        <v>0</v>
      </c>
      <c r="S168" s="20">
        <f t="shared" si="39"/>
        <v>5301</v>
      </c>
      <c r="T168" s="20">
        <f t="shared" si="33"/>
        <v>1590.3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Yes</v>
      </c>
      <c r="I169" s="20">
        <f t="shared" si="29"/>
        <v>1358.3333333333335</v>
      </c>
      <c r="J169" s="20">
        <f t="shared" si="30"/>
        <v>299</v>
      </c>
      <c r="K169" s="20">
        <f t="shared" si="31"/>
        <v>5334.3333333333339</v>
      </c>
      <c r="L169" s="20">
        <f t="shared" si="35"/>
        <v>0</v>
      </c>
      <c r="M169" s="20">
        <f>'Total income package'!$B$69</f>
        <v>500</v>
      </c>
      <c r="N169" s="20">
        <f t="shared" si="36"/>
        <v>500</v>
      </c>
      <c r="O169" s="344" t="str">
        <f t="shared" si="37"/>
        <v>No</v>
      </c>
      <c r="P169" s="20">
        <f t="shared" si="38"/>
        <v>2667.166666666667</v>
      </c>
      <c r="Q169" s="346">
        <f t="shared" si="32"/>
        <v>0</v>
      </c>
      <c r="R169" s="20">
        <f>IF(AND(D$2+$E$2&gt;0,N169-SNAP!P169&gt;0),N169-SNAP!P169,0)</f>
        <v>0</v>
      </c>
      <c r="S169" s="20">
        <f t="shared" si="39"/>
        <v>5334.3333333333339</v>
      </c>
      <c r="T169" s="20">
        <f t="shared" si="33"/>
        <v>1600.3000000000002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Yes</v>
      </c>
      <c r="I170" s="20">
        <f t="shared" si="29"/>
        <v>1366.6666666666667</v>
      </c>
      <c r="J170" s="20">
        <f t="shared" si="30"/>
        <v>299</v>
      </c>
      <c r="K170" s="20">
        <f t="shared" si="31"/>
        <v>5367.6666666666661</v>
      </c>
      <c r="L170" s="20">
        <f t="shared" si="35"/>
        <v>0</v>
      </c>
      <c r="M170" s="20">
        <f>'Total income package'!$B$69</f>
        <v>500</v>
      </c>
      <c r="N170" s="20">
        <f t="shared" si="36"/>
        <v>500</v>
      </c>
      <c r="O170" s="344" t="str">
        <f t="shared" si="37"/>
        <v>No</v>
      </c>
      <c r="P170" s="20">
        <f t="shared" si="38"/>
        <v>2683.833333333333</v>
      </c>
      <c r="Q170" s="346">
        <f t="shared" si="32"/>
        <v>0</v>
      </c>
      <c r="R170" s="20">
        <f>IF(AND(D$2+$E$2&gt;0,N170-SNAP!P170&gt;0),N170-SNAP!P170,0)</f>
        <v>0</v>
      </c>
      <c r="S170" s="20">
        <f t="shared" si="39"/>
        <v>5367.6666666666661</v>
      </c>
      <c r="T170" s="20">
        <f t="shared" si="33"/>
        <v>1610.2999999999997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Yes</v>
      </c>
      <c r="I171" s="20">
        <f t="shared" si="29"/>
        <v>1375</v>
      </c>
      <c r="J171" s="20">
        <f t="shared" si="30"/>
        <v>299</v>
      </c>
      <c r="K171" s="20">
        <f t="shared" si="31"/>
        <v>5401</v>
      </c>
      <c r="L171" s="20">
        <f t="shared" si="35"/>
        <v>0</v>
      </c>
      <c r="M171" s="20">
        <f>'Total income package'!$B$69</f>
        <v>500</v>
      </c>
      <c r="N171" s="20">
        <f t="shared" si="36"/>
        <v>500</v>
      </c>
      <c r="O171" s="344" t="str">
        <f t="shared" si="37"/>
        <v>No</v>
      </c>
      <c r="P171" s="20">
        <f t="shared" si="38"/>
        <v>2700.5</v>
      </c>
      <c r="Q171" s="346">
        <f t="shared" si="32"/>
        <v>0</v>
      </c>
      <c r="R171" s="20">
        <f>IF(AND(D$2+$E$2&gt;0,N171-SNAP!P171&gt;0),N171-SNAP!P171,0)</f>
        <v>0</v>
      </c>
      <c r="S171" s="20">
        <f t="shared" si="39"/>
        <v>5401</v>
      </c>
      <c r="T171" s="20">
        <f t="shared" si="33"/>
        <v>1620.3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Yes</v>
      </c>
      <c r="I172" s="20">
        <f t="shared" si="29"/>
        <v>1383.3333333333335</v>
      </c>
      <c r="J172" s="20">
        <f t="shared" si="30"/>
        <v>299</v>
      </c>
      <c r="K172" s="20">
        <f t="shared" si="31"/>
        <v>5434.3333333333339</v>
      </c>
      <c r="L172" s="20">
        <f t="shared" si="35"/>
        <v>0</v>
      </c>
      <c r="M172" s="20">
        <f>'Total income package'!$B$69</f>
        <v>500</v>
      </c>
      <c r="N172" s="20">
        <f t="shared" si="36"/>
        <v>500</v>
      </c>
      <c r="O172" s="344" t="str">
        <f t="shared" si="37"/>
        <v>No</v>
      </c>
      <c r="P172" s="20">
        <f t="shared" si="38"/>
        <v>2717.166666666667</v>
      </c>
      <c r="Q172" s="346">
        <f t="shared" si="32"/>
        <v>0</v>
      </c>
      <c r="R172" s="20">
        <f>IF(AND(D$2+$E$2&gt;0,N172-SNAP!P172&gt;0),N172-SNAP!P172,0)</f>
        <v>0</v>
      </c>
      <c r="S172" s="20">
        <f t="shared" si="39"/>
        <v>5434.3333333333339</v>
      </c>
      <c r="T172" s="20">
        <f t="shared" si="33"/>
        <v>1630.3000000000002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Yes</v>
      </c>
      <c r="I173" s="20">
        <f t="shared" si="29"/>
        <v>1391.6666666666667</v>
      </c>
      <c r="J173" s="20">
        <f t="shared" si="30"/>
        <v>299</v>
      </c>
      <c r="K173" s="20">
        <f t="shared" si="31"/>
        <v>5467.6666666666661</v>
      </c>
      <c r="L173" s="20">
        <f t="shared" si="35"/>
        <v>0</v>
      </c>
      <c r="M173" s="20">
        <f>'Total income package'!$B$69</f>
        <v>500</v>
      </c>
      <c r="N173" s="20">
        <f t="shared" si="36"/>
        <v>500</v>
      </c>
      <c r="O173" s="344" t="str">
        <f t="shared" si="37"/>
        <v>No</v>
      </c>
      <c r="P173" s="20">
        <f t="shared" si="38"/>
        <v>2733.833333333333</v>
      </c>
      <c r="Q173" s="346">
        <f t="shared" si="32"/>
        <v>0</v>
      </c>
      <c r="R173" s="20">
        <f>IF(AND(D$2+$E$2&gt;0,N173-SNAP!P173&gt;0),N173-SNAP!P173,0)</f>
        <v>0</v>
      </c>
      <c r="S173" s="20">
        <f t="shared" si="39"/>
        <v>5467.6666666666661</v>
      </c>
      <c r="T173" s="20">
        <f t="shared" si="33"/>
        <v>1640.2999999999997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Yes</v>
      </c>
      <c r="I174" s="20">
        <f t="shared" si="29"/>
        <v>1400</v>
      </c>
      <c r="J174" s="20">
        <f t="shared" si="30"/>
        <v>299</v>
      </c>
      <c r="K174" s="20">
        <f t="shared" si="31"/>
        <v>5501</v>
      </c>
      <c r="L174" s="20">
        <f t="shared" si="35"/>
        <v>0</v>
      </c>
      <c r="M174" s="20">
        <f>'Total income package'!$B$69</f>
        <v>500</v>
      </c>
      <c r="N174" s="20">
        <f t="shared" si="36"/>
        <v>500</v>
      </c>
      <c r="O174" s="344" t="str">
        <f t="shared" si="37"/>
        <v>No</v>
      </c>
      <c r="P174" s="20">
        <f t="shared" si="38"/>
        <v>2750.5</v>
      </c>
      <c r="Q174" s="346">
        <f t="shared" si="32"/>
        <v>0</v>
      </c>
      <c r="R174" s="20">
        <f>IF(AND(D$2+$E$2&gt;0,N174-SNAP!P174&gt;0),N174-SNAP!P174,0)</f>
        <v>0</v>
      </c>
      <c r="S174" s="20">
        <f t="shared" si="39"/>
        <v>5501</v>
      </c>
      <c r="T174" s="20">
        <f t="shared" si="33"/>
        <v>1650.3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Yes</v>
      </c>
      <c r="I175" s="20">
        <f t="shared" si="29"/>
        <v>1408.3333333333335</v>
      </c>
      <c r="J175" s="20">
        <f t="shared" si="30"/>
        <v>299</v>
      </c>
      <c r="K175" s="20">
        <f t="shared" si="31"/>
        <v>5534.3333333333339</v>
      </c>
      <c r="L175" s="20">
        <f t="shared" si="35"/>
        <v>0</v>
      </c>
      <c r="M175" s="20">
        <f>'Total income package'!$B$69</f>
        <v>500</v>
      </c>
      <c r="N175" s="20">
        <f t="shared" si="36"/>
        <v>500</v>
      </c>
      <c r="O175" s="344" t="str">
        <f t="shared" si="37"/>
        <v>No</v>
      </c>
      <c r="P175" s="20">
        <f t="shared" si="38"/>
        <v>2767.166666666667</v>
      </c>
      <c r="Q175" s="346">
        <f t="shared" si="32"/>
        <v>0</v>
      </c>
      <c r="R175" s="20">
        <f>IF(AND(D$2+$E$2&gt;0,N175-SNAP!P175&gt;0),N175-SNAP!P175,0)</f>
        <v>0</v>
      </c>
      <c r="S175" s="20">
        <f t="shared" si="39"/>
        <v>5534.3333333333339</v>
      </c>
      <c r="T175" s="20">
        <f t="shared" si="33"/>
        <v>1660.3000000000002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Yes</v>
      </c>
      <c r="I176" s="20">
        <f t="shared" si="29"/>
        <v>1416.6666666666667</v>
      </c>
      <c r="J176" s="20">
        <f t="shared" si="30"/>
        <v>299</v>
      </c>
      <c r="K176" s="20">
        <f t="shared" si="31"/>
        <v>5567.6666666666661</v>
      </c>
      <c r="L176" s="20">
        <f t="shared" si="35"/>
        <v>0</v>
      </c>
      <c r="M176" s="20">
        <f>'Total income package'!$B$69</f>
        <v>500</v>
      </c>
      <c r="N176" s="20">
        <f t="shared" si="36"/>
        <v>500</v>
      </c>
      <c r="O176" s="344" t="str">
        <f t="shared" si="37"/>
        <v>No</v>
      </c>
      <c r="P176" s="20">
        <f t="shared" si="38"/>
        <v>2783.833333333333</v>
      </c>
      <c r="Q176" s="346">
        <f t="shared" si="32"/>
        <v>0</v>
      </c>
      <c r="R176" s="20">
        <f>IF(AND(D$2+$E$2&gt;0,N176-SNAP!P176&gt;0),N176-SNAP!P176,0)</f>
        <v>0</v>
      </c>
      <c r="S176" s="20">
        <f t="shared" si="39"/>
        <v>5567.6666666666661</v>
      </c>
      <c r="T176" s="20">
        <f t="shared" si="33"/>
        <v>1670.2999999999997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Yes</v>
      </c>
      <c r="I177" s="20">
        <f t="shared" si="29"/>
        <v>1425</v>
      </c>
      <c r="J177" s="20">
        <f t="shared" si="30"/>
        <v>299</v>
      </c>
      <c r="K177" s="20">
        <f t="shared" si="31"/>
        <v>5601</v>
      </c>
      <c r="L177" s="20">
        <f t="shared" si="35"/>
        <v>0</v>
      </c>
      <c r="M177" s="20">
        <f>'Total income package'!$B$69</f>
        <v>500</v>
      </c>
      <c r="N177" s="20">
        <f t="shared" si="36"/>
        <v>500</v>
      </c>
      <c r="O177" s="344" t="str">
        <f t="shared" si="37"/>
        <v>No</v>
      </c>
      <c r="P177" s="20">
        <f t="shared" si="38"/>
        <v>2800.5</v>
      </c>
      <c r="Q177" s="346">
        <f t="shared" si="32"/>
        <v>0</v>
      </c>
      <c r="R177" s="20">
        <f>IF(AND(D$2+$E$2&gt;0,N177-SNAP!P177&gt;0),N177-SNAP!P177,0)</f>
        <v>0</v>
      </c>
      <c r="S177" s="20">
        <f>IF(AND($D$2+$E$2&gt;0,K177-R177&gt;0),K177-R177,IF(AND($D$2+$E$2=0,K177-Q177&gt;0),K177-Q177,0))</f>
        <v>5601</v>
      </c>
      <c r="T177" s="20">
        <f>S177*0.3</f>
        <v>1680.3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Yes</v>
      </c>
      <c r="I178" s="20">
        <f t="shared" si="29"/>
        <v>1433.3333333333335</v>
      </c>
      <c r="J178" s="20">
        <f t="shared" si="30"/>
        <v>299</v>
      </c>
      <c r="K178" s="20">
        <f t="shared" si="31"/>
        <v>5634.3333333333339</v>
      </c>
      <c r="L178" s="20">
        <f t="shared" si="35"/>
        <v>0</v>
      </c>
      <c r="M178" s="20">
        <f>'Total income package'!$B$69</f>
        <v>500</v>
      </c>
      <c r="N178" s="20">
        <f t="shared" si="36"/>
        <v>500</v>
      </c>
      <c r="O178" s="344" t="str">
        <f t="shared" si="37"/>
        <v>No</v>
      </c>
      <c r="P178" s="20">
        <f t="shared" si="38"/>
        <v>2817.166666666667</v>
      </c>
      <c r="Q178" s="346">
        <f t="shared" si="32"/>
        <v>0</v>
      </c>
      <c r="R178" s="20">
        <f>IF(AND(D$2+$E$2&gt;0,N178-SNAP!P178&gt;0),N178-SNAP!P178,0)</f>
        <v>0</v>
      </c>
      <c r="S178" s="20">
        <f t="shared" si="39"/>
        <v>5634.3333333333339</v>
      </c>
      <c r="T178" s="20">
        <f t="shared" si="33"/>
        <v>1690.3000000000002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Yes</v>
      </c>
      <c r="I179" s="20">
        <f t="shared" si="29"/>
        <v>1441.6666666666667</v>
      </c>
      <c r="J179" s="20">
        <f t="shared" si="30"/>
        <v>299</v>
      </c>
      <c r="K179" s="20">
        <f t="shared" si="31"/>
        <v>5667.6666666666661</v>
      </c>
      <c r="L179" s="20">
        <f t="shared" si="35"/>
        <v>0</v>
      </c>
      <c r="M179" s="20">
        <f>'Total income package'!$B$69</f>
        <v>500</v>
      </c>
      <c r="N179" s="20">
        <f t="shared" si="36"/>
        <v>500</v>
      </c>
      <c r="O179" s="344" t="str">
        <f t="shared" si="37"/>
        <v>No</v>
      </c>
      <c r="P179" s="20">
        <f t="shared" si="38"/>
        <v>2833.833333333333</v>
      </c>
      <c r="Q179" s="346">
        <f t="shared" si="32"/>
        <v>0</v>
      </c>
      <c r="R179" s="20">
        <f>IF(AND(D$2+$E$2&gt;0,N179-SNAP!P179&gt;0),N179-SNAP!P179,0)</f>
        <v>0</v>
      </c>
      <c r="S179" s="20">
        <f t="shared" si="39"/>
        <v>5667.6666666666661</v>
      </c>
      <c r="T179" s="20">
        <f t="shared" si="33"/>
        <v>1700.2999999999997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Yes</v>
      </c>
      <c r="I180" s="20">
        <f t="shared" si="29"/>
        <v>1450</v>
      </c>
      <c r="J180" s="20">
        <f t="shared" si="30"/>
        <v>299</v>
      </c>
      <c r="K180" s="20">
        <f t="shared" si="31"/>
        <v>5701</v>
      </c>
      <c r="L180" s="20">
        <f t="shared" si="35"/>
        <v>0</v>
      </c>
      <c r="M180" s="20">
        <f>'Total income package'!$B$69</f>
        <v>500</v>
      </c>
      <c r="N180" s="20">
        <f t="shared" si="36"/>
        <v>500</v>
      </c>
      <c r="O180" s="344" t="str">
        <f t="shared" si="37"/>
        <v>No</v>
      </c>
      <c r="P180" s="20">
        <f t="shared" si="38"/>
        <v>2850.5</v>
      </c>
      <c r="Q180" s="346">
        <f t="shared" si="32"/>
        <v>0</v>
      </c>
      <c r="R180" s="20">
        <f>IF(AND(D$2+$E$2&gt;0,N180-SNAP!P180&gt;0),N180-SNAP!P180,0)</f>
        <v>0</v>
      </c>
      <c r="S180" s="20">
        <f t="shared" si="39"/>
        <v>5701</v>
      </c>
      <c r="T180" s="20">
        <f t="shared" si="33"/>
        <v>1710.3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Yes</v>
      </c>
      <c r="I181" s="20">
        <f t="shared" si="29"/>
        <v>1458.3333333333335</v>
      </c>
      <c r="J181" s="20">
        <f t="shared" si="30"/>
        <v>299</v>
      </c>
      <c r="K181" s="20">
        <f t="shared" si="31"/>
        <v>5734.3333333333339</v>
      </c>
      <c r="L181" s="20">
        <f t="shared" si="35"/>
        <v>0</v>
      </c>
      <c r="M181" s="20">
        <f>'Total income package'!$B$69</f>
        <v>500</v>
      </c>
      <c r="N181" s="20">
        <f t="shared" si="36"/>
        <v>500</v>
      </c>
      <c r="O181" s="344" t="str">
        <f t="shared" si="37"/>
        <v>No</v>
      </c>
      <c r="P181" s="20">
        <f t="shared" si="38"/>
        <v>2867.166666666667</v>
      </c>
      <c r="Q181" s="346">
        <f t="shared" si="32"/>
        <v>0</v>
      </c>
      <c r="R181" s="20">
        <f>IF(AND(D$2+$E$2&gt;0,N181-SNAP!P181&gt;0),N181-SNAP!P181,0)</f>
        <v>0</v>
      </c>
      <c r="S181" s="20">
        <f t="shared" si="39"/>
        <v>5734.3333333333339</v>
      </c>
      <c r="T181" s="20">
        <f t="shared" si="33"/>
        <v>1720.3000000000002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Yes</v>
      </c>
      <c r="I182" s="20">
        <f t="shared" si="29"/>
        <v>1466.6666666666667</v>
      </c>
      <c r="J182" s="20">
        <f t="shared" si="30"/>
        <v>299</v>
      </c>
      <c r="K182" s="20">
        <f t="shared" si="31"/>
        <v>5767.6666666666661</v>
      </c>
      <c r="L182" s="20">
        <f t="shared" si="35"/>
        <v>0</v>
      </c>
      <c r="M182" s="20">
        <f>'Total income package'!$B$69</f>
        <v>500</v>
      </c>
      <c r="N182" s="20">
        <f t="shared" si="36"/>
        <v>500</v>
      </c>
      <c r="O182" s="344" t="str">
        <f t="shared" si="37"/>
        <v>No</v>
      </c>
      <c r="P182" s="20">
        <f t="shared" si="38"/>
        <v>2883.833333333333</v>
      </c>
      <c r="Q182" s="346">
        <f t="shared" si="32"/>
        <v>0</v>
      </c>
      <c r="R182" s="20">
        <f>IF(AND(D$2+$E$2&gt;0,N182-SNAP!P182&gt;0),N182-SNAP!P182,0)</f>
        <v>0</v>
      </c>
      <c r="S182" s="20">
        <f t="shared" si="39"/>
        <v>5767.6666666666661</v>
      </c>
      <c r="T182" s="20">
        <f t="shared" si="33"/>
        <v>1730.2999999999997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Yes</v>
      </c>
      <c r="I183" s="20">
        <f t="shared" si="29"/>
        <v>1475</v>
      </c>
      <c r="J183" s="20">
        <f t="shared" si="30"/>
        <v>299</v>
      </c>
      <c r="K183" s="20">
        <f t="shared" si="31"/>
        <v>5801</v>
      </c>
      <c r="L183" s="20">
        <f t="shared" si="35"/>
        <v>0</v>
      </c>
      <c r="M183" s="20">
        <f>'Total income package'!$B$69</f>
        <v>500</v>
      </c>
      <c r="N183" s="20">
        <f t="shared" si="36"/>
        <v>500</v>
      </c>
      <c r="O183" s="344" t="str">
        <f t="shared" si="37"/>
        <v>No</v>
      </c>
      <c r="P183" s="20">
        <f t="shared" si="38"/>
        <v>2900.5</v>
      </c>
      <c r="Q183" s="346">
        <f t="shared" si="32"/>
        <v>0</v>
      </c>
      <c r="R183" s="20">
        <f>IF(AND(D$2+$E$2&gt;0,N183-SNAP!P183&gt;0),N183-SNAP!P183,0)</f>
        <v>0</v>
      </c>
      <c r="S183" s="20">
        <f t="shared" si="39"/>
        <v>5801</v>
      </c>
      <c r="T183" s="20">
        <f t="shared" si="33"/>
        <v>1740.3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Yes</v>
      </c>
      <c r="I184" s="20">
        <f t="shared" si="29"/>
        <v>1483.3333333333335</v>
      </c>
      <c r="J184" s="20">
        <f t="shared" si="30"/>
        <v>299</v>
      </c>
      <c r="K184" s="20">
        <f t="shared" si="31"/>
        <v>5834.3333333333339</v>
      </c>
      <c r="L184" s="20">
        <f t="shared" si="35"/>
        <v>0</v>
      </c>
      <c r="M184" s="20">
        <f>'Total income package'!$B$69</f>
        <v>500</v>
      </c>
      <c r="N184" s="20">
        <f t="shared" si="36"/>
        <v>500</v>
      </c>
      <c r="O184" s="344" t="str">
        <f t="shared" si="37"/>
        <v>No</v>
      </c>
      <c r="P184" s="20">
        <f t="shared" si="38"/>
        <v>2917.166666666667</v>
      </c>
      <c r="Q184" s="346">
        <f t="shared" si="32"/>
        <v>0</v>
      </c>
      <c r="R184" s="20">
        <f>IF(AND(D$2+$E$2&gt;0,N184-SNAP!P184&gt;0),N184-SNAP!P184,0)</f>
        <v>0</v>
      </c>
      <c r="S184" s="20">
        <f t="shared" si="39"/>
        <v>5834.3333333333339</v>
      </c>
      <c r="T184" s="20">
        <f t="shared" si="33"/>
        <v>1750.3000000000002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Yes</v>
      </c>
      <c r="I185" s="20">
        <f t="shared" si="29"/>
        <v>1491.6666666666667</v>
      </c>
      <c r="J185" s="20">
        <f t="shared" si="30"/>
        <v>299</v>
      </c>
      <c r="K185" s="20">
        <f t="shared" si="31"/>
        <v>5867.6666666666661</v>
      </c>
      <c r="L185" s="20">
        <f t="shared" si="35"/>
        <v>0</v>
      </c>
      <c r="M185" s="20">
        <f>'Total income package'!$B$69</f>
        <v>500</v>
      </c>
      <c r="N185" s="20">
        <f t="shared" si="36"/>
        <v>500</v>
      </c>
      <c r="O185" s="344" t="str">
        <f t="shared" si="37"/>
        <v>No</v>
      </c>
      <c r="P185" s="20">
        <f t="shared" si="38"/>
        <v>2933.833333333333</v>
      </c>
      <c r="Q185" s="346">
        <f t="shared" si="32"/>
        <v>0</v>
      </c>
      <c r="R185" s="20">
        <f>IF(AND(D$2+$E$2&gt;0,N185-SNAP!P185&gt;0),N185-SNAP!P185,0)</f>
        <v>0</v>
      </c>
      <c r="S185" s="20">
        <f t="shared" si="39"/>
        <v>5867.6666666666661</v>
      </c>
      <c r="T185" s="20">
        <f t="shared" si="33"/>
        <v>1760.2999999999997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Yes</v>
      </c>
      <c r="I186" s="20">
        <f t="shared" si="29"/>
        <v>1500</v>
      </c>
      <c r="J186" s="20">
        <f t="shared" si="30"/>
        <v>299</v>
      </c>
      <c r="K186" s="20">
        <f t="shared" si="31"/>
        <v>5901</v>
      </c>
      <c r="L186" s="20">
        <f t="shared" si="35"/>
        <v>0</v>
      </c>
      <c r="M186" s="20">
        <f>'Total income package'!$B$69</f>
        <v>500</v>
      </c>
      <c r="N186" s="20">
        <f t="shared" si="36"/>
        <v>500</v>
      </c>
      <c r="O186" s="344" t="str">
        <f t="shared" si="37"/>
        <v>No</v>
      </c>
      <c r="P186" s="20">
        <f t="shared" si="38"/>
        <v>2950.5</v>
      </c>
      <c r="Q186" s="346">
        <f t="shared" si="32"/>
        <v>0</v>
      </c>
      <c r="R186" s="20">
        <f>IF(AND(D$2+$E$2&gt;0,N186-SNAP!P186&gt;0),N186-SNAP!P186,0)</f>
        <v>0</v>
      </c>
      <c r="S186" s="20">
        <f t="shared" si="39"/>
        <v>5901</v>
      </c>
      <c r="T186" s="20">
        <f t="shared" si="33"/>
        <v>1770.3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Yes</v>
      </c>
      <c r="I187" s="20">
        <f t="shared" si="29"/>
        <v>1508.3333333333335</v>
      </c>
      <c r="J187" s="20">
        <f t="shared" si="30"/>
        <v>299</v>
      </c>
      <c r="K187" s="20">
        <f t="shared" si="31"/>
        <v>5934.3333333333339</v>
      </c>
      <c r="L187" s="20">
        <f t="shared" si="35"/>
        <v>0</v>
      </c>
      <c r="M187" s="20">
        <f>'Total income package'!$B$69</f>
        <v>500</v>
      </c>
      <c r="N187" s="20">
        <f t="shared" si="36"/>
        <v>500</v>
      </c>
      <c r="O187" s="344" t="str">
        <f t="shared" si="37"/>
        <v>No</v>
      </c>
      <c r="P187" s="20">
        <f t="shared" si="38"/>
        <v>2967.166666666667</v>
      </c>
      <c r="Q187" s="346">
        <f t="shared" si="32"/>
        <v>0</v>
      </c>
      <c r="R187" s="20">
        <f>IF(AND(D$2+$E$2&gt;0,N187-SNAP!P187&gt;0),N187-SNAP!P187,0)</f>
        <v>0</v>
      </c>
      <c r="S187" s="20">
        <f t="shared" si="39"/>
        <v>5934.3333333333339</v>
      </c>
      <c r="T187" s="20">
        <f t="shared" si="33"/>
        <v>1780.3000000000002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Yes</v>
      </c>
      <c r="I188" s="20">
        <f t="shared" si="29"/>
        <v>1516.6666666666667</v>
      </c>
      <c r="J188" s="20">
        <f t="shared" si="30"/>
        <v>299</v>
      </c>
      <c r="K188" s="20">
        <f t="shared" si="31"/>
        <v>5967.6666666666661</v>
      </c>
      <c r="L188" s="20">
        <f t="shared" si="35"/>
        <v>0</v>
      </c>
      <c r="M188" s="20">
        <f>'Total income package'!$B$69</f>
        <v>500</v>
      </c>
      <c r="N188" s="20">
        <f t="shared" si="36"/>
        <v>500</v>
      </c>
      <c r="O188" s="344" t="str">
        <f t="shared" si="37"/>
        <v>No</v>
      </c>
      <c r="P188" s="20">
        <f t="shared" si="38"/>
        <v>2983.833333333333</v>
      </c>
      <c r="Q188" s="346">
        <f t="shared" si="32"/>
        <v>0</v>
      </c>
      <c r="R188" s="20">
        <f>IF(AND(D$2+$E$2&gt;0,N188-SNAP!P188&gt;0),N188-SNAP!P188,0)</f>
        <v>0</v>
      </c>
      <c r="S188" s="20">
        <f t="shared" si="39"/>
        <v>5967.6666666666661</v>
      </c>
      <c r="T188" s="20">
        <f t="shared" si="33"/>
        <v>1790.2999999999997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Yes</v>
      </c>
      <c r="I189" s="20">
        <f t="shared" si="29"/>
        <v>1525</v>
      </c>
      <c r="J189" s="20">
        <f t="shared" si="30"/>
        <v>299</v>
      </c>
      <c r="K189" s="20">
        <f t="shared" si="31"/>
        <v>6001</v>
      </c>
      <c r="L189" s="20">
        <f t="shared" si="35"/>
        <v>0</v>
      </c>
      <c r="M189" s="20">
        <f>'Total income package'!$B$69</f>
        <v>500</v>
      </c>
      <c r="N189" s="20">
        <f t="shared" si="36"/>
        <v>500</v>
      </c>
      <c r="O189" s="344" t="str">
        <f t="shared" si="37"/>
        <v>No</v>
      </c>
      <c r="P189" s="20">
        <f t="shared" si="38"/>
        <v>3000.5</v>
      </c>
      <c r="Q189" s="346">
        <f t="shared" si="32"/>
        <v>0</v>
      </c>
      <c r="R189" s="20">
        <f>IF(AND(D$2+$E$2&gt;0,N189-SNAP!P189&gt;0),N189-SNAP!P189,0)</f>
        <v>0</v>
      </c>
      <c r="S189" s="20">
        <f t="shared" si="39"/>
        <v>6001</v>
      </c>
      <c r="T189" s="20">
        <f t="shared" si="33"/>
        <v>1800.3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Yes</v>
      </c>
      <c r="I190" s="20">
        <f t="shared" si="29"/>
        <v>1533.3333333333335</v>
      </c>
      <c r="J190" s="20">
        <f t="shared" si="30"/>
        <v>299</v>
      </c>
      <c r="K190" s="20">
        <f t="shared" si="31"/>
        <v>6034.3333333333339</v>
      </c>
      <c r="L190" s="20">
        <f t="shared" si="35"/>
        <v>0</v>
      </c>
      <c r="M190" s="20">
        <f>'Total income package'!$B$69</f>
        <v>500</v>
      </c>
      <c r="N190" s="20">
        <f t="shared" si="36"/>
        <v>500</v>
      </c>
      <c r="O190" s="344" t="str">
        <f t="shared" si="37"/>
        <v>No</v>
      </c>
      <c r="P190" s="20">
        <f t="shared" si="38"/>
        <v>3017.166666666667</v>
      </c>
      <c r="Q190" s="346">
        <f t="shared" si="32"/>
        <v>0</v>
      </c>
      <c r="R190" s="20">
        <f>IF(AND(D$2+$E$2&gt;0,N190-SNAP!P190&gt;0),N190-SNAP!P190,0)</f>
        <v>0</v>
      </c>
      <c r="S190" s="20">
        <f t="shared" si="39"/>
        <v>6034.3333333333339</v>
      </c>
      <c r="T190" s="20">
        <f t="shared" si="33"/>
        <v>1810.3000000000002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Yes</v>
      </c>
      <c r="I191" s="20">
        <f t="shared" si="29"/>
        <v>1541.6666666666667</v>
      </c>
      <c r="J191" s="20">
        <f t="shared" si="30"/>
        <v>299</v>
      </c>
      <c r="K191" s="20">
        <f t="shared" si="31"/>
        <v>6067.6666666666661</v>
      </c>
      <c r="L191" s="20">
        <f t="shared" si="35"/>
        <v>0</v>
      </c>
      <c r="M191" s="20">
        <f>'Total income package'!$B$69</f>
        <v>500</v>
      </c>
      <c r="N191" s="20">
        <f t="shared" si="36"/>
        <v>500</v>
      </c>
      <c r="O191" s="344" t="str">
        <f t="shared" si="37"/>
        <v>No</v>
      </c>
      <c r="P191" s="20">
        <f t="shared" si="38"/>
        <v>3033.833333333333</v>
      </c>
      <c r="Q191" s="346">
        <f t="shared" si="32"/>
        <v>0</v>
      </c>
      <c r="R191" s="20">
        <f>IF(AND(D$2+$E$2&gt;0,N191-SNAP!P191&gt;0),N191-SNAP!P191,0)</f>
        <v>0</v>
      </c>
      <c r="S191" s="20">
        <f t="shared" si="39"/>
        <v>6067.6666666666661</v>
      </c>
      <c r="T191" s="20">
        <f t="shared" si="33"/>
        <v>1820.2999999999997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Yes</v>
      </c>
      <c r="I192" s="20">
        <f t="shared" si="29"/>
        <v>1550</v>
      </c>
      <c r="J192" s="20">
        <f t="shared" si="30"/>
        <v>299</v>
      </c>
      <c r="K192" s="20">
        <f t="shared" si="31"/>
        <v>6101</v>
      </c>
      <c r="L192" s="20">
        <f t="shared" si="35"/>
        <v>0</v>
      </c>
      <c r="M192" s="20">
        <f>'Total income package'!$B$69</f>
        <v>500</v>
      </c>
      <c r="N192" s="20">
        <f t="shared" si="36"/>
        <v>500</v>
      </c>
      <c r="O192" s="344" t="str">
        <f t="shared" si="37"/>
        <v>No</v>
      </c>
      <c r="P192" s="20">
        <f t="shared" si="38"/>
        <v>3050.5</v>
      </c>
      <c r="Q192" s="346">
        <f t="shared" si="32"/>
        <v>0</v>
      </c>
      <c r="R192" s="20">
        <f>IF(AND(D$2+$E$2&gt;0,N192-SNAP!P192&gt;0),N192-SNAP!P192,0)</f>
        <v>0</v>
      </c>
      <c r="S192" s="20">
        <f t="shared" si="39"/>
        <v>6101</v>
      </c>
      <c r="T192" s="20">
        <f t="shared" si="33"/>
        <v>1830.3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Yes</v>
      </c>
      <c r="I193" s="20">
        <f t="shared" si="29"/>
        <v>1558.3333333333335</v>
      </c>
      <c r="J193" s="20">
        <f t="shared" si="30"/>
        <v>299</v>
      </c>
      <c r="K193" s="20">
        <f t="shared" si="31"/>
        <v>6134.3333333333339</v>
      </c>
      <c r="L193" s="20">
        <f t="shared" si="35"/>
        <v>0</v>
      </c>
      <c r="M193" s="20">
        <f>'Total income package'!$B$69</f>
        <v>500</v>
      </c>
      <c r="N193" s="20">
        <f t="shared" si="36"/>
        <v>500</v>
      </c>
      <c r="O193" s="344" t="str">
        <f t="shared" si="37"/>
        <v>No</v>
      </c>
      <c r="P193" s="20">
        <f t="shared" si="38"/>
        <v>3067.166666666667</v>
      </c>
      <c r="Q193" s="346">
        <f t="shared" si="32"/>
        <v>0</v>
      </c>
      <c r="R193" s="20">
        <f>IF(AND(D$2+$E$2&gt;0,N193-SNAP!P193&gt;0),N193-SNAP!P193,0)</f>
        <v>0</v>
      </c>
      <c r="S193" s="20">
        <f t="shared" si="39"/>
        <v>6134.3333333333339</v>
      </c>
      <c r="T193" s="20">
        <f t="shared" si="33"/>
        <v>1840.3000000000002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Yes</v>
      </c>
      <c r="I194" s="20">
        <f t="shared" si="29"/>
        <v>1566.6666666666667</v>
      </c>
      <c r="J194" s="20">
        <f t="shared" si="30"/>
        <v>299</v>
      </c>
      <c r="K194" s="20">
        <f t="shared" si="31"/>
        <v>6167.6666666666661</v>
      </c>
      <c r="L194" s="20">
        <f t="shared" si="35"/>
        <v>0</v>
      </c>
      <c r="M194" s="20">
        <f>'Total income package'!$B$69</f>
        <v>500</v>
      </c>
      <c r="N194" s="20">
        <f t="shared" si="36"/>
        <v>500</v>
      </c>
      <c r="O194" s="344" t="str">
        <f t="shared" si="37"/>
        <v>No</v>
      </c>
      <c r="P194" s="20">
        <f t="shared" si="38"/>
        <v>3083.833333333333</v>
      </c>
      <c r="Q194" s="346">
        <f t="shared" si="32"/>
        <v>0</v>
      </c>
      <c r="R194" s="20">
        <f>IF(AND(D$2+$E$2&gt;0,N194-SNAP!P194&gt;0),N194-SNAP!P194,0)</f>
        <v>0</v>
      </c>
      <c r="S194" s="20">
        <f t="shared" si="39"/>
        <v>6167.6666666666661</v>
      </c>
      <c r="T194" s="20">
        <f t="shared" si="33"/>
        <v>1850.2999999999997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Yes</v>
      </c>
      <c r="I195" s="20">
        <f t="shared" si="29"/>
        <v>1575</v>
      </c>
      <c r="J195" s="20">
        <f t="shared" si="30"/>
        <v>299</v>
      </c>
      <c r="K195" s="20">
        <f t="shared" si="31"/>
        <v>6201</v>
      </c>
      <c r="L195" s="20">
        <f t="shared" si="35"/>
        <v>0</v>
      </c>
      <c r="M195" s="20">
        <f>'Total income package'!$B$69</f>
        <v>500</v>
      </c>
      <c r="N195" s="20">
        <f t="shared" si="36"/>
        <v>500</v>
      </c>
      <c r="O195" s="344" t="str">
        <f t="shared" si="37"/>
        <v>No</v>
      </c>
      <c r="P195" s="20">
        <f t="shared" si="38"/>
        <v>3100.5</v>
      </c>
      <c r="Q195" s="346">
        <f t="shared" si="32"/>
        <v>0</v>
      </c>
      <c r="R195" s="20">
        <f>IF(AND(D$2+$E$2&gt;0,N195-SNAP!P195&gt;0),N195-SNAP!P195,0)</f>
        <v>0</v>
      </c>
      <c r="S195" s="20">
        <f t="shared" si="39"/>
        <v>6201</v>
      </c>
      <c r="T195" s="20">
        <f t="shared" si="33"/>
        <v>1860.3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299</v>
      </c>
      <c r="K196" s="20">
        <f t="shared" si="31"/>
        <v>6234.3333333333339</v>
      </c>
      <c r="L196" s="20">
        <f t="shared" si="35"/>
        <v>0</v>
      </c>
      <c r="M196" s="20">
        <f>'Total income package'!$B$69</f>
        <v>500</v>
      </c>
      <c r="N196" s="20">
        <f t="shared" si="36"/>
        <v>500</v>
      </c>
      <c r="O196" s="344" t="str">
        <f t="shared" si="37"/>
        <v>No</v>
      </c>
      <c r="P196" s="20">
        <f t="shared" si="38"/>
        <v>3117.166666666667</v>
      </c>
      <c r="Q196" s="346">
        <f t="shared" si="32"/>
        <v>0</v>
      </c>
      <c r="R196" s="20">
        <f>IF(AND(D$2+$E$2&gt;0,N196-SNAP!P196&gt;0),N196-SNAP!P196,0)</f>
        <v>0</v>
      </c>
      <c r="S196" s="20">
        <f t="shared" si="39"/>
        <v>6234.3333333333339</v>
      </c>
      <c r="T196" s="20">
        <f t="shared" si="33"/>
        <v>1870.3000000000002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299</v>
      </c>
      <c r="K197" s="20">
        <f t="shared" si="31"/>
        <v>6267.6666666666661</v>
      </c>
      <c r="L197" s="20">
        <f t="shared" si="35"/>
        <v>0</v>
      </c>
      <c r="M197" s="20">
        <f>'Total income package'!$B$69</f>
        <v>500</v>
      </c>
      <c r="N197" s="20">
        <f t="shared" si="36"/>
        <v>500</v>
      </c>
      <c r="O197" s="344" t="str">
        <f t="shared" si="37"/>
        <v>No</v>
      </c>
      <c r="P197" s="20">
        <f t="shared" si="38"/>
        <v>3133.833333333333</v>
      </c>
      <c r="Q197" s="346">
        <f t="shared" si="32"/>
        <v>0</v>
      </c>
      <c r="R197" s="20">
        <f>IF(AND(D$2+$E$2&gt;0,N197-SNAP!P197&gt;0),N197-SNAP!P197,0)</f>
        <v>0</v>
      </c>
      <c r="S197" s="20">
        <f t="shared" si="39"/>
        <v>6267.6666666666661</v>
      </c>
      <c r="T197" s="20">
        <f t="shared" si="33"/>
        <v>1880.2999999999997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299</v>
      </c>
      <c r="K198" s="20">
        <f t="shared" ref="K198:K206" si="45">IF(G198-I198-J198&gt;0,G198-I198-J198,0)</f>
        <v>6301</v>
      </c>
      <c r="L198" s="20">
        <f t="shared" si="35"/>
        <v>0</v>
      </c>
      <c r="M198" s="20">
        <f>'Total income package'!$B$69</f>
        <v>500</v>
      </c>
      <c r="N198" s="20">
        <f t="shared" si="36"/>
        <v>500</v>
      </c>
      <c r="O198" s="344" t="str">
        <f t="shared" si="37"/>
        <v>No</v>
      </c>
      <c r="P198" s="20">
        <f t="shared" si="38"/>
        <v>3150.5</v>
      </c>
      <c r="Q198" s="346">
        <f t="shared" ref="Q198:Q206" si="46">IF(AND(D$2+$E$2=0,N198&lt;$L$2,N198-P198&gt;0),N198-P198,IF(AND(D$2+$E$2=0,N198&gt;$L$2),$L$2,0))</f>
        <v>0</v>
      </c>
      <c r="R198" s="20">
        <f>IF(AND(D$2+$E$2&gt;0,N198-SNAP!P198&gt;0),N198-SNAP!P198,0)</f>
        <v>0</v>
      </c>
      <c r="S198" s="20">
        <f t="shared" si="39"/>
        <v>6301</v>
      </c>
      <c r="T198" s="20">
        <f t="shared" ref="T198:T206" si="47">S198*0.3</f>
        <v>1890.3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299</v>
      </c>
      <c r="K199" s="20">
        <f t="shared" si="45"/>
        <v>6334.3333333333339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3167.166666666667</v>
      </c>
      <c r="Q199" s="346">
        <f t="shared" si="46"/>
        <v>0</v>
      </c>
      <c r="R199" s="20">
        <f>IF(AND(D$2+$E$2&gt;0,N199-SNAP!P199&gt;0),N199-SNAP!P199,0)</f>
        <v>0</v>
      </c>
      <c r="S199" s="20">
        <f t="shared" ref="S199:S206" si="53">IF(AND($D$2+$E$2&gt;0,K199-R199&gt;0),K199-R199,IF(AND($D$2+$E$2=0,K199-Q199&gt;0),K199-Q199,0))</f>
        <v>6334.3333333333339</v>
      </c>
      <c r="T199" s="20">
        <f t="shared" si="47"/>
        <v>1900.3000000000002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299</v>
      </c>
      <c r="K200" s="20">
        <f t="shared" si="45"/>
        <v>6367.6666666666652</v>
      </c>
      <c r="L200" s="20">
        <f t="shared" si="49"/>
        <v>0</v>
      </c>
      <c r="M200" s="20">
        <f>'Total income package'!$B$69</f>
        <v>500</v>
      </c>
      <c r="N200" s="20">
        <f t="shared" si="50"/>
        <v>500</v>
      </c>
      <c r="O200" s="344" t="str">
        <f t="shared" si="51"/>
        <v>No</v>
      </c>
      <c r="P200" s="20">
        <f t="shared" si="52"/>
        <v>3183.8333333333326</v>
      </c>
      <c r="Q200" s="346">
        <f t="shared" si="46"/>
        <v>0</v>
      </c>
      <c r="R200" s="20">
        <f>IF(AND(D$2+$E$2&gt;0,N200-SNAP!P200&gt;0),N200-SNAP!P200,0)</f>
        <v>0</v>
      </c>
      <c r="S200" s="20">
        <f t="shared" si="53"/>
        <v>6367.6666666666652</v>
      </c>
      <c r="T200" s="20">
        <f t="shared" si="47"/>
        <v>1910.2999999999995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299</v>
      </c>
      <c r="K201" s="20">
        <f t="shared" si="45"/>
        <v>6401</v>
      </c>
      <c r="L201" s="20">
        <f t="shared" si="49"/>
        <v>0</v>
      </c>
      <c r="M201" s="20">
        <f>'Total income package'!$B$69</f>
        <v>500</v>
      </c>
      <c r="N201" s="20">
        <f t="shared" si="50"/>
        <v>500</v>
      </c>
      <c r="O201" s="344" t="str">
        <f t="shared" si="51"/>
        <v>No</v>
      </c>
      <c r="P201" s="20">
        <f t="shared" si="52"/>
        <v>3200.5</v>
      </c>
      <c r="Q201" s="346">
        <f t="shared" si="46"/>
        <v>0</v>
      </c>
      <c r="R201" s="20">
        <f>IF(AND(D$2+$E$2&gt;0,N201-SNAP!P201&gt;0),N201-SNAP!P201,0)</f>
        <v>0</v>
      </c>
      <c r="S201" s="20">
        <f t="shared" si="53"/>
        <v>6401</v>
      </c>
      <c r="T201" s="20">
        <f t="shared" si="47"/>
        <v>1920.3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299</v>
      </c>
      <c r="K202" s="20">
        <f t="shared" si="45"/>
        <v>6434.3333333333339</v>
      </c>
      <c r="L202" s="20">
        <f t="shared" si="49"/>
        <v>0</v>
      </c>
      <c r="M202" s="20">
        <f>'Total income package'!$B$69</f>
        <v>500</v>
      </c>
      <c r="N202" s="20">
        <f t="shared" si="50"/>
        <v>500</v>
      </c>
      <c r="O202" s="344" t="str">
        <f t="shared" si="51"/>
        <v>No</v>
      </c>
      <c r="P202" s="20">
        <f t="shared" si="52"/>
        <v>3217.166666666667</v>
      </c>
      <c r="Q202" s="346">
        <f t="shared" si="46"/>
        <v>0</v>
      </c>
      <c r="R202" s="20">
        <f>IF(AND(D$2+$E$2&gt;0,N202-SNAP!P202&gt;0),N202-SNAP!P202,0)</f>
        <v>0</v>
      </c>
      <c r="S202" s="20">
        <f t="shared" si="53"/>
        <v>6434.3333333333339</v>
      </c>
      <c r="T202" s="20">
        <f t="shared" si="47"/>
        <v>1930.3000000000002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299</v>
      </c>
      <c r="K203" s="20">
        <f t="shared" si="45"/>
        <v>6467.666666666667</v>
      </c>
      <c r="L203" s="20">
        <f t="shared" si="49"/>
        <v>0</v>
      </c>
      <c r="M203" s="20">
        <f>'Total income package'!$B$69</f>
        <v>500</v>
      </c>
      <c r="N203" s="20">
        <f t="shared" si="50"/>
        <v>500</v>
      </c>
      <c r="O203" s="344" t="str">
        <f t="shared" si="51"/>
        <v>No</v>
      </c>
      <c r="P203" s="20">
        <f t="shared" si="52"/>
        <v>3233.8333333333335</v>
      </c>
      <c r="Q203" s="346">
        <f t="shared" si="46"/>
        <v>0</v>
      </c>
      <c r="R203" s="20">
        <f>IF(AND(D$2+$E$2&gt;0,N203-SNAP!P203&gt;0),N203-SNAP!P203,0)</f>
        <v>0</v>
      </c>
      <c r="S203" s="20">
        <f t="shared" si="53"/>
        <v>6467.666666666667</v>
      </c>
      <c r="T203" s="20">
        <f t="shared" si="47"/>
        <v>1940.3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299</v>
      </c>
      <c r="K204" s="20">
        <f t="shared" si="45"/>
        <v>6501</v>
      </c>
      <c r="L204" s="20">
        <f t="shared" si="49"/>
        <v>0</v>
      </c>
      <c r="M204" s="20">
        <f>'Total income package'!$B$69</f>
        <v>500</v>
      </c>
      <c r="N204" s="20">
        <f t="shared" si="50"/>
        <v>500</v>
      </c>
      <c r="O204" s="344" t="str">
        <f t="shared" si="51"/>
        <v>No</v>
      </c>
      <c r="P204" s="20">
        <f t="shared" si="52"/>
        <v>3250.5</v>
      </c>
      <c r="Q204" s="346">
        <f t="shared" si="46"/>
        <v>0</v>
      </c>
      <c r="R204" s="20">
        <f>IF(AND(D$2+$E$2&gt;0,N204-SNAP!P204&gt;0),N204-SNAP!P204,0)</f>
        <v>0</v>
      </c>
      <c r="S204" s="20">
        <f t="shared" si="53"/>
        <v>6501</v>
      </c>
      <c r="T204" s="20">
        <f t="shared" si="47"/>
        <v>1950.3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299</v>
      </c>
      <c r="K205" s="20">
        <f t="shared" si="45"/>
        <v>6534.333333333333</v>
      </c>
      <c r="L205" s="20">
        <f t="shared" si="49"/>
        <v>0</v>
      </c>
      <c r="M205" s="20">
        <f>'Total income package'!$B$69</f>
        <v>500</v>
      </c>
      <c r="N205" s="20">
        <f t="shared" si="50"/>
        <v>500</v>
      </c>
      <c r="O205" s="344" t="str">
        <f t="shared" si="51"/>
        <v>No</v>
      </c>
      <c r="P205" s="20">
        <f t="shared" si="52"/>
        <v>3267.1666666666665</v>
      </c>
      <c r="Q205" s="346">
        <f t="shared" si="46"/>
        <v>0</v>
      </c>
      <c r="R205" s="20">
        <f>IF(AND(D$2+$E$2&gt;0,N205-SNAP!P205&gt;0),N205-SNAP!P205,0)</f>
        <v>0</v>
      </c>
      <c r="S205" s="20">
        <f t="shared" si="53"/>
        <v>6534.333333333333</v>
      </c>
      <c r="T205" s="20">
        <f t="shared" si="47"/>
        <v>1960.2999999999997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299</v>
      </c>
      <c r="K206" s="20">
        <f t="shared" si="45"/>
        <v>6567.666666666667</v>
      </c>
      <c r="L206" s="20">
        <f t="shared" si="49"/>
        <v>0</v>
      </c>
      <c r="M206" s="20">
        <f>'Total income package'!$B$69</f>
        <v>500</v>
      </c>
      <c r="N206" s="20">
        <f t="shared" si="50"/>
        <v>500</v>
      </c>
      <c r="O206" s="344" t="str">
        <f t="shared" si="51"/>
        <v>No</v>
      </c>
      <c r="P206" s="20">
        <f t="shared" si="52"/>
        <v>3283.8333333333335</v>
      </c>
      <c r="Q206" s="346">
        <f t="shared" si="46"/>
        <v>0</v>
      </c>
      <c r="R206" s="20">
        <f>IF(AND(D$2+$E$2&gt;0,N206-SNAP!P206&gt;0),N206-SNAP!P206,0)</f>
        <v>0</v>
      </c>
      <c r="S206" s="20">
        <f t="shared" si="53"/>
        <v>6567.666666666667</v>
      </c>
      <c r="T206" s="20">
        <f t="shared" si="47"/>
        <v>1970.3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355.4</v>
      </c>
      <c r="D209" s="371">
        <f>'Total income package'!$B$90</f>
        <v>500</v>
      </c>
      <c r="E209" s="20">
        <f>'Total income package'!$D$80+'Total income package'!$D$86</f>
        <v>500</v>
      </c>
      <c r="F209" s="20">
        <f>'Total income package'!$H$61+'Total income package'!$F$66</f>
        <v>200</v>
      </c>
      <c r="G209" s="20">
        <f>D209+C209+E209+F209</f>
        <v>1555.4</v>
      </c>
      <c r="H209" s="20" t="str">
        <f>IF(G209&lt;$G$2,"Yes","No")</f>
        <v>Yes</v>
      </c>
      <c r="I209" s="20">
        <f>D209*0.2</f>
        <v>100</v>
      </c>
      <c r="J209" s="20">
        <f>$H$2</f>
        <v>299</v>
      </c>
      <c r="K209" s="20">
        <f>IF(G209-I209-J209&gt;0,G209-I209-J209,0)</f>
        <v>1156.4000000000001</v>
      </c>
      <c r="L209" s="20">
        <f t="shared" si="49"/>
        <v>0</v>
      </c>
      <c r="M209" s="20">
        <f>'Total income package'!$B$69</f>
        <v>500</v>
      </c>
      <c r="N209" s="20">
        <f t="shared" si="50"/>
        <v>500</v>
      </c>
      <c r="O209" s="344" t="str">
        <f t="shared" ref="O209:O211" si="56">IF(AND($D$2+$E$2&gt;0,K209&lt;$J$2),"Yes","No")</f>
        <v>Yes</v>
      </c>
      <c r="P209" s="20">
        <f>K209/2</f>
        <v>578.20000000000005</v>
      </c>
      <c r="Q209" s="346">
        <f>IF(AND(D$2+$E$2=0,N209&lt;$L$2,N209-P209&gt;0),N209-P209,IF(AND(D$2+$E$2=0,N209&gt;$L$2),$L$2,0))</f>
        <v>0</v>
      </c>
      <c r="R209" s="20">
        <f>IF(AND(D$2+$E$2&gt;0,N209-SNAP!P209&gt;0),N209-SNAP!P209,0)</f>
        <v>0</v>
      </c>
      <c r="S209" s="20">
        <f>IF(AND($D$2+$E$2&gt;0,K209-R209&gt;0),K209-R209,IF(AND($D$2+$E$2=0,K209-Q209&gt;0),K209-Q209,0))</f>
        <v>1156.4000000000001</v>
      </c>
      <c r="T209" s="20">
        <f>S209*0.3</f>
        <v>346.92</v>
      </c>
      <c r="U209" s="20">
        <f>IF(AND('Total income package'!$A$18=TRUE,OR(H209="Yes",O209="Yes"),G209&lt;$G$2,$K$2-T209&gt;10),ROUNDDOWN($K$2-T209,0),0)</f>
        <v>1224</v>
      </c>
      <c r="V209" s="176">
        <f t="shared" si="54"/>
        <v>1224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355.4</v>
      </c>
      <c r="D211" s="371">
        <f>'Total income package'!$B$91</f>
        <v>500</v>
      </c>
      <c r="E211" s="20">
        <f>'Total income package'!$D$80+'Total income package'!$D$86</f>
        <v>500</v>
      </c>
      <c r="F211" s="20">
        <f>'Total income package'!$H$61+'Total income package'!$F$66</f>
        <v>200</v>
      </c>
      <c r="G211" s="20">
        <f t="shared" ref="G211" si="57">D211+C211+E211+F211</f>
        <v>1555.4</v>
      </c>
      <c r="H211" s="20" t="str">
        <f>IF(G211&lt;$G$2,"Yes","No")</f>
        <v>Yes</v>
      </c>
      <c r="I211" s="20">
        <f>D211*0.2</f>
        <v>100</v>
      </c>
      <c r="J211" s="20">
        <f>$H$2</f>
        <v>299</v>
      </c>
      <c r="K211" s="20">
        <f>IF(G211-I211-J211&gt;0,G211-I211-J211,0)</f>
        <v>1156.4000000000001</v>
      </c>
      <c r="L211" s="20">
        <f t="shared" si="49"/>
        <v>0</v>
      </c>
      <c r="M211" s="20">
        <f>'Total income package'!$B$69</f>
        <v>500</v>
      </c>
      <c r="N211" s="20">
        <f t="shared" si="50"/>
        <v>500</v>
      </c>
      <c r="O211" s="344" t="str">
        <f t="shared" si="56"/>
        <v>Yes</v>
      </c>
      <c r="P211" s="20">
        <f t="shared" ref="P211" si="58">K211/2</f>
        <v>578.20000000000005</v>
      </c>
      <c r="Q211" s="346">
        <f>IF(AND(D$2+$E$2=0,N211&lt;$L$2,N211-P211&gt;0),N211-P211,IF(AND(D$2+$E$2=0,N211&gt;$L$2),$L$2,0))</f>
        <v>0</v>
      </c>
      <c r="R211" s="20">
        <f>IF(AND(D$2+$E$2&gt;0,N211-SNAP!P211&gt;0),N211-SNAP!P211,0)</f>
        <v>0</v>
      </c>
      <c r="S211" s="20">
        <f t="shared" ref="S211" si="59">IF(AND($D$2+$E$2&gt;0,K211-R211&gt;0),K211-R211,IF(AND($D$2+$E$2=0,K211-Q211&gt;0),K211-Q211,0))</f>
        <v>1156.4000000000001</v>
      </c>
      <c r="T211" s="20">
        <f t="shared" ref="T211" si="60">S211*0.3</f>
        <v>346.92</v>
      </c>
      <c r="U211" s="20">
        <f>IF(AND('Total income package'!$A$18=TRUE,OR(H211="Yes",O211="Yes"),G211&lt;$G$2,$K$2-T211&gt;10),ROUNDDOWN($K$2-T211,0),0)</f>
        <v>1224</v>
      </c>
      <c r="V211" s="176">
        <f t="shared" si="54"/>
        <v>1224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7</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500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500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7</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500</v>
      </c>
      <c r="C209" s="3">
        <f>'Total income package'!$D$80</f>
        <v>0</v>
      </c>
      <c r="D209" s="7">
        <f t="shared" ref="D209:D211" si="24">B209+C209</f>
        <v>500</v>
      </c>
      <c r="E209" s="7">
        <f t="shared" ref="E209:E211" si="25">D209-20</f>
        <v>480</v>
      </c>
      <c r="F209" s="7">
        <f>IF(B209-65&lt;0,0,B209-65)</f>
        <v>435</v>
      </c>
      <c r="G209" s="7">
        <f t="shared" ref="G209:G211" si="26">IF(F209/2&lt;0,0,F209/2)</f>
        <v>217.5</v>
      </c>
      <c r="H209" s="7">
        <f t="shared" ref="H209:H211" si="27">G209+C209</f>
        <v>217.5</v>
      </c>
      <c r="I209" s="7"/>
    </row>
    <row r="210" spans="1:9" x14ac:dyDescent="0.25">
      <c r="A210" s="116" t="s">
        <v>303</v>
      </c>
      <c r="B210" s="150"/>
      <c r="C210" s="3"/>
      <c r="D210" s="7"/>
      <c r="E210" s="7"/>
      <c r="F210" s="7"/>
      <c r="G210" s="7"/>
      <c r="H210" s="7"/>
      <c r="I210" s="7"/>
    </row>
    <row r="211" spans="1:9" x14ac:dyDescent="0.25">
      <c r="A211" s="7"/>
      <c r="B211" s="150">
        <f>'Total income package'!$B$91</f>
        <v>500</v>
      </c>
      <c r="C211" s="3">
        <f>'Total income package'!$D$80</f>
        <v>0</v>
      </c>
      <c r="D211" s="7">
        <f t="shared" si="24"/>
        <v>500</v>
      </c>
      <c r="E211" s="7">
        <f t="shared" si="25"/>
        <v>480</v>
      </c>
      <c r="F211" s="7">
        <f>IF(B211-65&lt;0,0,B211-65)</f>
        <v>435</v>
      </c>
      <c r="G211" s="7">
        <f t="shared" si="26"/>
        <v>217.5</v>
      </c>
      <c r="H211" s="7">
        <f t="shared" si="27"/>
        <v>217.5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7</v>
      </c>
      <c r="C2" s="148">
        <f>'Total income package'!D66</f>
        <v>1</v>
      </c>
      <c r="D2" s="78">
        <f>VLOOKUP($G$6,'Program specific data'!A35:B42,2)</f>
        <v>223</v>
      </c>
      <c r="E2" s="78">
        <f>VLOOKUP(G6,'Program specific data'!A6:D13,3)</f>
        <v>2750</v>
      </c>
      <c r="F2" s="129">
        <f>IF(A3=2,VLOOKUP(G6,'Program specific data'!A60:C67,2,FALSE),VLOOKUP(G6,'Program specific data'!A60:C67,3,FALSE))</f>
        <v>1152</v>
      </c>
      <c r="G2" s="311">
        <f>IF(A3=2,VLOOKUP(G6,'Program specific data'!A48:C55,2,FALSE),VLOOKUP(G6,'Program specific data'!A48:C55,3,FALSE))</f>
        <v>577</v>
      </c>
      <c r="H2" s="78">
        <f>VLOOKUP(G6,'Program specific data'!A6:C13,3,FALSE)</f>
        <v>2750</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4</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3</v>
      </c>
      <c r="C6" s="148">
        <f>'Total income package'!D61</f>
        <v>0</v>
      </c>
      <c r="D6" s="77">
        <f>C4-C6</f>
        <v>2</v>
      </c>
      <c r="E6" s="457">
        <f>B6-C2</f>
        <v>2</v>
      </c>
      <c r="F6" s="457"/>
      <c r="G6" s="457">
        <f>D6+E6</f>
        <v>4</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577</v>
      </c>
      <c r="L9" s="130">
        <f>IF('Total income package'!$A$20=TRUE,MIN(IF(K9&gt;9.99,K9,0),$I$2),0)</f>
        <v>577</v>
      </c>
      <c r="M9" s="14" t="str">
        <f t="shared" ref="M9:M25" si="2">IF(B9&lt;$H$2,"Yes","No")</f>
        <v>Yes</v>
      </c>
      <c r="N9" s="14" t="str">
        <f>IF(C9&lt;$G$2,"Yes","No")</f>
        <v>Yes</v>
      </c>
      <c r="O9" s="312">
        <f>IF(AND(M9="Yes",N9="Yes"),MIN($G$2,$I$2),0)</f>
        <v>577</v>
      </c>
      <c r="P9" s="63">
        <f t="shared" ref="P9:P72" si="3">I9+O9</f>
        <v>577</v>
      </c>
      <c r="Q9" s="312" t="str">
        <f>IF(P9&lt;$H$2,"Yes","No")</f>
        <v>Yes</v>
      </c>
      <c r="R9" s="312">
        <f>IF(P9&gt;$H$2,P9-$H$2,0)</f>
        <v>0</v>
      </c>
      <c r="S9" s="15">
        <f>IF(P9&gt;$H$2,O9-R9,O9)</f>
        <v>577</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577</v>
      </c>
      <c r="L10" s="130">
        <f>IF('Total income package'!$A$20=TRUE,MIN(IF(K10&gt;9.99,K10,0),$I$2),0)</f>
        <v>577</v>
      </c>
      <c r="M10" s="14" t="str">
        <f t="shared" si="2"/>
        <v>Yes</v>
      </c>
      <c r="N10" s="14" t="str">
        <f t="shared" ref="N10:N73" si="9">IF(C10&lt;$G$2,"Yes","No")</f>
        <v>Yes</v>
      </c>
      <c r="O10" s="312">
        <f t="shared" ref="O10:O73" si="10">IF(AND(M10="Yes",N10="Yes"),MIN($G$2,$I$2),0)</f>
        <v>577</v>
      </c>
      <c r="P10" s="63">
        <f t="shared" si="3"/>
        <v>577</v>
      </c>
      <c r="Q10" s="312" t="str">
        <f t="shared" ref="Q10:Q73" si="11">IF(P10&lt;$H$2,"Yes","No")</f>
        <v>Yes</v>
      </c>
      <c r="R10" s="312">
        <f t="shared" ref="R10:R73" si="12">IF(P10&gt;$H$2,P10-$H$2,0)</f>
        <v>0</v>
      </c>
      <c r="S10" s="15">
        <f t="shared" ref="S10:S73" si="13">IF(P10&gt;$H$2,O10-R10,O10)</f>
        <v>577</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577</v>
      </c>
      <c r="L11" s="130">
        <f>IF('Total income package'!$A$20=TRUE,MIN(IF(K11&gt;9.99,K11,0),$I$2),0)</f>
        <v>577</v>
      </c>
      <c r="M11" s="14" t="str">
        <f t="shared" si="2"/>
        <v>Yes</v>
      </c>
      <c r="N11" s="14" t="str">
        <f t="shared" si="9"/>
        <v>Yes</v>
      </c>
      <c r="O11" s="312">
        <f t="shared" si="10"/>
        <v>577</v>
      </c>
      <c r="P11" s="63">
        <f t="shared" si="3"/>
        <v>577</v>
      </c>
      <c r="Q11" s="312" t="str">
        <f t="shared" si="11"/>
        <v>Yes</v>
      </c>
      <c r="R11" s="312">
        <f t="shared" si="12"/>
        <v>0</v>
      </c>
      <c r="S11" s="15">
        <f t="shared" si="13"/>
        <v>577</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577</v>
      </c>
      <c r="L12" s="130">
        <f>IF('Total income package'!$A$20=TRUE,MIN(IF(K12&gt;9.99,K12,0),$I$2),0)</f>
        <v>577</v>
      </c>
      <c r="M12" s="14" t="str">
        <f t="shared" si="2"/>
        <v>Yes</v>
      </c>
      <c r="N12" s="14" t="str">
        <f t="shared" si="9"/>
        <v>Yes</v>
      </c>
      <c r="O12" s="312">
        <f t="shared" si="10"/>
        <v>577</v>
      </c>
      <c r="P12" s="63">
        <f t="shared" si="3"/>
        <v>577</v>
      </c>
      <c r="Q12" s="312" t="str">
        <f t="shared" si="11"/>
        <v>Yes</v>
      </c>
      <c r="R12" s="312">
        <f t="shared" si="12"/>
        <v>0</v>
      </c>
      <c r="S12" s="15">
        <f t="shared" si="13"/>
        <v>577</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577</v>
      </c>
      <c r="L13" s="130">
        <f>IF('Total income package'!$A$20=TRUE,MIN(IF(K13&gt;9.99,K13,0),$I$2),0)</f>
        <v>577</v>
      </c>
      <c r="M13" s="14" t="str">
        <f t="shared" si="2"/>
        <v>Yes</v>
      </c>
      <c r="N13" s="14" t="str">
        <f t="shared" si="9"/>
        <v>Yes</v>
      </c>
      <c r="O13" s="312">
        <f t="shared" si="10"/>
        <v>577</v>
      </c>
      <c r="P13" s="63">
        <f t="shared" si="3"/>
        <v>577</v>
      </c>
      <c r="Q13" s="312" t="str">
        <f t="shared" si="11"/>
        <v>Yes</v>
      </c>
      <c r="R13" s="312">
        <f t="shared" si="12"/>
        <v>0</v>
      </c>
      <c r="S13" s="15">
        <f t="shared" si="13"/>
        <v>577</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577</v>
      </c>
      <c r="L14" s="130">
        <f>IF('Total income package'!$A$20=TRUE,MIN(IF(K14&gt;9.99,K14,0),$I$2),0)</f>
        <v>577</v>
      </c>
      <c r="M14" s="14" t="str">
        <f t="shared" si="2"/>
        <v>Yes</v>
      </c>
      <c r="N14" s="14" t="str">
        <f t="shared" si="9"/>
        <v>Yes</v>
      </c>
      <c r="O14" s="312">
        <f t="shared" si="10"/>
        <v>577</v>
      </c>
      <c r="P14" s="63">
        <f t="shared" si="3"/>
        <v>577</v>
      </c>
      <c r="Q14" s="312" t="str">
        <f t="shared" si="11"/>
        <v>Yes</v>
      </c>
      <c r="R14" s="312">
        <f t="shared" si="12"/>
        <v>0</v>
      </c>
      <c r="S14" s="15">
        <f t="shared" si="13"/>
        <v>577</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27</v>
      </c>
      <c r="G15" s="63">
        <f>F15*0.2</f>
        <v>5.4</v>
      </c>
      <c r="H15" s="63">
        <f t="shared" si="6"/>
        <v>21.6</v>
      </c>
      <c r="I15" s="312">
        <f t="shared" si="7"/>
        <v>21.6</v>
      </c>
      <c r="J15" s="14" t="str">
        <f t="shared" si="8"/>
        <v>Yes</v>
      </c>
      <c r="K15" s="63">
        <f t="shared" si="1"/>
        <v>555.4</v>
      </c>
      <c r="L15" s="130">
        <f>IF('Total income package'!$A$20=TRUE,MIN(IF(K15&gt;9.99,K15,0),$I$2),0)</f>
        <v>555.4</v>
      </c>
      <c r="M15" s="14" t="str">
        <f t="shared" si="2"/>
        <v>Yes</v>
      </c>
      <c r="N15" s="14" t="str">
        <f t="shared" si="9"/>
        <v>Yes</v>
      </c>
      <c r="O15" s="312">
        <f t="shared" si="10"/>
        <v>577</v>
      </c>
      <c r="P15" s="63">
        <f t="shared" si="3"/>
        <v>598.6</v>
      </c>
      <c r="Q15" s="312" t="str">
        <f t="shared" si="11"/>
        <v>Yes</v>
      </c>
      <c r="R15" s="312">
        <f t="shared" si="12"/>
        <v>0</v>
      </c>
      <c r="S15" s="15">
        <f t="shared" si="13"/>
        <v>577</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68.666666666666686</v>
      </c>
      <c r="G16" s="63">
        <f t="shared" si="14"/>
        <v>13.733333333333338</v>
      </c>
      <c r="H16" s="63">
        <f t="shared" si="6"/>
        <v>54.933333333333351</v>
      </c>
      <c r="I16" s="312">
        <f t="shared" si="7"/>
        <v>54.933333333333351</v>
      </c>
      <c r="J16" s="14" t="str">
        <f t="shared" si="8"/>
        <v>Yes</v>
      </c>
      <c r="K16" s="63">
        <f t="shared" si="1"/>
        <v>522.06666666666661</v>
      </c>
      <c r="L16" s="130">
        <f>IF('Total income package'!$A$20=TRUE,MIN(IF(K16&gt;9.99,K16,0),$I$2),0)</f>
        <v>522.06666666666661</v>
      </c>
      <c r="M16" s="14" t="str">
        <f t="shared" si="2"/>
        <v>Yes</v>
      </c>
      <c r="N16" s="14" t="str">
        <f t="shared" si="9"/>
        <v>Yes</v>
      </c>
      <c r="O16" s="312">
        <f t="shared" si="10"/>
        <v>577</v>
      </c>
      <c r="P16" s="63">
        <f t="shared" si="3"/>
        <v>631.93333333333339</v>
      </c>
      <c r="Q16" s="312" t="str">
        <f t="shared" si="11"/>
        <v>Yes</v>
      </c>
      <c r="R16" s="312">
        <f t="shared" si="12"/>
        <v>0</v>
      </c>
      <c r="S16" s="15">
        <f t="shared" si="13"/>
        <v>577</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110.33333333333331</v>
      </c>
      <c r="G17" s="63">
        <f t="shared" si="14"/>
        <v>22.066666666666663</v>
      </c>
      <c r="H17" s="63">
        <f t="shared" si="6"/>
        <v>88.266666666666652</v>
      </c>
      <c r="I17" s="312">
        <f t="shared" si="7"/>
        <v>88.266666666666652</v>
      </c>
      <c r="J17" s="14" t="str">
        <f t="shared" si="8"/>
        <v>Yes</v>
      </c>
      <c r="K17" s="63">
        <f t="shared" si="1"/>
        <v>488.73333333333335</v>
      </c>
      <c r="L17" s="130">
        <f>IF('Total income package'!$A$20=TRUE,MIN(IF(K17&gt;9.99,K17,0),$I$2),0)</f>
        <v>488.73333333333335</v>
      </c>
      <c r="M17" s="14" t="str">
        <f t="shared" si="2"/>
        <v>Yes</v>
      </c>
      <c r="N17" s="14" t="str">
        <f t="shared" si="9"/>
        <v>Yes</v>
      </c>
      <c r="O17" s="312">
        <f t="shared" si="10"/>
        <v>577</v>
      </c>
      <c r="P17" s="63">
        <f t="shared" si="3"/>
        <v>665.26666666666665</v>
      </c>
      <c r="Q17" s="312" t="str">
        <f t="shared" si="11"/>
        <v>Yes</v>
      </c>
      <c r="R17" s="312">
        <f t="shared" si="12"/>
        <v>0</v>
      </c>
      <c r="S17" s="15">
        <f t="shared" si="13"/>
        <v>577</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152</v>
      </c>
      <c r="G18" s="63">
        <f t="shared" si="14"/>
        <v>30.400000000000002</v>
      </c>
      <c r="H18" s="63">
        <f t="shared" si="6"/>
        <v>121.6</v>
      </c>
      <c r="I18" s="312">
        <f t="shared" si="7"/>
        <v>121.6</v>
      </c>
      <c r="J18" s="14" t="str">
        <f t="shared" si="8"/>
        <v>Yes</v>
      </c>
      <c r="K18" s="63">
        <f t="shared" si="1"/>
        <v>455.4</v>
      </c>
      <c r="L18" s="130">
        <f>IF('Total income package'!$A$20=TRUE,MIN(IF(K18&gt;9.99,K18,0),$I$2),0)</f>
        <v>455.4</v>
      </c>
      <c r="M18" s="14" t="str">
        <f t="shared" si="2"/>
        <v>Yes</v>
      </c>
      <c r="N18" s="14" t="str">
        <f t="shared" si="9"/>
        <v>Yes</v>
      </c>
      <c r="O18" s="312">
        <f t="shared" si="10"/>
        <v>577</v>
      </c>
      <c r="P18" s="63">
        <f t="shared" si="3"/>
        <v>698.6</v>
      </c>
      <c r="Q18" s="312" t="str">
        <f t="shared" si="11"/>
        <v>Yes</v>
      </c>
      <c r="R18" s="312">
        <f t="shared" si="12"/>
        <v>0</v>
      </c>
      <c r="S18" s="15">
        <f t="shared" si="13"/>
        <v>577</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193.66666666666669</v>
      </c>
      <c r="G19" s="63">
        <f t="shared" si="14"/>
        <v>38.733333333333341</v>
      </c>
      <c r="H19" s="63">
        <f t="shared" si="6"/>
        <v>154.93333333333334</v>
      </c>
      <c r="I19" s="312">
        <f t="shared" si="7"/>
        <v>154.93333333333334</v>
      </c>
      <c r="J19" s="14" t="str">
        <f t="shared" si="8"/>
        <v>Yes</v>
      </c>
      <c r="K19" s="63">
        <f t="shared" si="1"/>
        <v>422.06666666666666</v>
      </c>
      <c r="L19" s="130">
        <f>IF('Total income package'!$A$20=TRUE,MIN(IF(K19&gt;9.99,K19,0),$I$2),0)</f>
        <v>422.06666666666666</v>
      </c>
      <c r="M19" s="14" t="str">
        <f t="shared" si="2"/>
        <v>Yes</v>
      </c>
      <c r="N19" s="14" t="str">
        <f t="shared" si="9"/>
        <v>Yes</v>
      </c>
      <c r="O19" s="312">
        <f t="shared" si="10"/>
        <v>577</v>
      </c>
      <c r="P19" s="63">
        <f t="shared" si="3"/>
        <v>731.93333333333339</v>
      </c>
      <c r="Q19" s="312" t="str">
        <f t="shared" si="11"/>
        <v>Yes</v>
      </c>
      <c r="R19" s="312">
        <f t="shared" si="12"/>
        <v>0</v>
      </c>
      <c r="S19" s="15">
        <f t="shared" si="13"/>
        <v>577</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235.33333333333331</v>
      </c>
      <c r="G20" s="63">
        <f t="shared" si="14"/>
        <v>47.066666666666663</v>
      </c>
      <c r="H20" s="63">
        <f t="shared" si="6"/>
        <v>188.26666666666665</v>
      </c>
      <c r="I20" s="312">
        <f t="shared" si="7"/>
        <v>188.26666666666665</v>
      </c>
      <c r="J20" s="14" t="str">
        <f t="shared" si="8"/>
        <v>Yes</v>
      </c>
      <c r="K20" s="63">
        <f t="shared" si="1"/>
        <v>388.73333333333335</v>
      </c>
      <c r="L20" s="130">
        <f>IF('Total income package'!$A$20=TRUE,MIN(IF(K20&gt;9.99,K20,0),$I$2),0)</f>
        <v>388.73333333333335</v>
      </c>
      <c r="M20" s="14" t="str">
        <f t="shared" si="2"/>
        <v>Yes</v>
      </c>
      <c r="N20" s="14" t="str">
        <f t="shared" si="9"/>
        <v>Yes</v>
      </c>
      <c r="O20" s="312">
        <f t="shared" si="10"/>
        <v>577</v>
      </c>
      <c r="P20" s="63">
        <f t="shared" si="3"/>
        <v>765.26666666666665</v>
      </c>
      <c r="Q20" s="312" t="str">
        <f t="shared" si="11"/>
        <v>Yes</v>
      </c>
      <c r="R20" s="312">
        <f t="shared" si="12"/>
        <v>0</v>
      </c>
      <c r="S20" s="15">
        <f t="shared" si="13"/>
        <v>577</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277</v>
      </c>
      <c r="G21" s="63">
        <f>F21*0.2</f>
        <v>55.400000000000006</v>
      </c>
      <c r="H21" s="63">
        <f t="shared" si="6"/>
        <v>221.6</v>
      </c>
      <c r="I21" s="312">
        <f t="shared" si="7"/>
        <v>221.6</v>
      </c>
      <c r="J21" s="14" t="str">
        <f t="shared" si="8"/>
        <v>Yes</v>
      </c>
      <c r="K21" s="63">
        <f t="shared" si="1"/>
        <v>355.4</v>
      </c>
      <c r="L21" s="130">
        <f>IF('Total income package'!$A$20=TRUE,MIN(IF(K21&gt;9.99,K21,0),$I$2),0)</f>
        <v>355.4</v>
      </c>
      <c r="M21" s="14" t="str">
        <f t="shared" si="2"/>
        <v>Yes</v>
      </c>
      <c r="N21" s="14" t="str">
        <f t="shared" si="9"/>
        <v>Yes</v>
      </c>
      <c r="O21" s="312">
        <f t="shared" si="10"/>
        <v>577</v>
      </c>
      <c r="P21" s="63">
        <f t="shared" si="3"/>
        <v>798.6</v>
      </c>
      <c r="Q21" s="312" t="str">
        <f t="shared" si="11"/>
        <v>Yes</v>
      </c>
      <c r="R21" s="312">
        <f t="shared" si="12"/>
        <v>0</v>
      </c>
      <c r="S21" s="15">
        <f t="shared" si="13"/>
        <v>577</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318.66666666666663</v>
      </c>
      <c r="G22" s="63">
        <f t="shared" si="14"/>
        <v>63.733333333333327</v>
      </c>
      <c r="H22" s="63">
        <f t="shared" si="6"/>
        <v>254.93333333333331</v>
      </c>
      <c r="I22" s="312">
        <f t="shared" si="7"/>
        <v>254.93333333333331</v>
      </c>
      <c r="J22" s="14" t="str">
        <f t="shared" si="8"/>
        <v>Yes</v>
      </c>
      <c r="K22" s="63">
        <f t="shared" si="1"/>
        <v>322.06666666666672</v>
      </c>
      <c r="L22" s="130">
        <f>IF('Total income package'!$A$20=TRUE,MIN(IF(K22&gt;9.99,K22,0),$I$2),0)</f>
        <v>322.06666666666672</v>
      </c>
      <c r="M22" s="14" t="str">
        <f t="shared" si="2"/>
        <v>Yes</v>
      </c>
      <c r="N22" s="14" t="str">
        <f t="shared" si="9"/>
        <v>Yes</v>
      </c>
      <c r="O22" s="312">
        <f t="shared" si="10"/>
        <v>577</v>
      </c>
      <c r="P22" s="63">
        <f t="shared" si="3"/>
        <v>831.93333333333328</v>
      </c>
      <c r="Q22" s="312" t="str">
        <f t="shared" si="11"/>
        <v>Yes</v>
      </c>
      <c r="R22" s="312">
        <f t="shared" si="12"/>
        <v>0</v>
      </c>
      <c r="S22" s="15">
        <f t="shared" si="13"/>
        <v>577</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360.33333333333337</v>
      </c>
      <c r="G23" s="63">
        <f t="shared" si="14"/>
        <v>72.066666666666677</v>
      </c>
      <c r="H23" s="63">
        <f t="shared" si="6"/>
        <v>288.26666666666671</v>
      </c>
      <c r="I23" s="312">
        <f t="shared" si="7"/>
        <v>288.26666666666671</v>
      </c>
      <c r="J23" s="14" t="str">
        <f t="shared" si="8"/>
        <v>Yes</v>
      </c>
      <c r="K23" s="63">
        <f t="shared" si="1"/>
        <v>288.73333333333329</v>
      </c>
      <c r="L23" s="130">
        <f>IF('Total income package'!$A$20=TRUE,MIN(IF(K23&gt;9.99,K23,0),$I$2),0)</f>
        <v>288.73333333333329</v>
      </c>
      <c r="M23" s="14" t="str">
        <f t="shared" si="2"/>
        <v>Yes</v>
      </c>
      <c r="N23" s="14" t="str">
        <f t="shared" si="9"/>
        <v>Yes</v>
      </c>
      <c r="O23" s="312">
        <f t="shared" si="10"/>
        <v>577</v>
      </c>
      <c r="P23" s="63">
        <f t="shared" si="3"/>
        <v>865.26666666666665</v>
      </c>
      <c r="Q23" s="312" t="str">
        <f t="shared" si="11"/>
        <v>Yes</v>
      </c>
      <c r="R23" s="312">
        <f t="shared" si="12"/>
        <v>0</v>
      </c>
      <c r="S23" s="15">
        <f t="shared" si="13"/>
        <v>577</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402</v>
      </c>
      <c r="G24" s="63">
        <f t="shared" si="14"/>
        <v>80.400000000000006</v>
      </c>
      <c r="H24" s="63">
        <f t="shared" si="6"/>
        <v>321.60000000000002</v>
      </c>
      <c r="I24" s="312">
        <f t="shared" si="7"/>
        <v>321.60000000000002</v>
      </c>
      <c r="J24" s="14" t="str">
        <f t="shared" si="8"/>
        <v>Yes</v>
      </c>
      <c r="K24" s="63">
        <f t="shared" si="1"/>
        <v>255.39999999999998</v>
      </c>
      <c r="L24" s="130">
        <f>IF('Total income package'!$A$20=TRUE,MIN(IF(K24&gt;9.99,K24,0),$I$2),0)</f>
        <v>255.39999999999998</v>
      </c>
      <c r="M24" s="14" t="str">
        <f t="shared" si="2"/>
        <v>Yes</v>
      </c>
      <c r="N24" s="14" t="str">
        <f t="shared" si="9"/>
        <v>Yes</v>
      </c>
      <c r="O24" s="312">
        <f t="shared" si="10"/>
        <v>577</v>
      </c>
      <c r="P24" s="63">
        <f t="shared" si="3"/>
        <v>898.6</v>
      </c>
      <c r="Q24" s="312" t="str">
        <f t="shared" si="11"/>
        <v>Yes</v>
      </c>
      <c r="R24" s="312">
        <f t="shared" si="12"/>
        <v>0</v>
      </c>
      <c r="S24" s="15">
        <f t="shared" si="13"/>
        <v>577</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443.66666666666663</v>
      </c>
      <c r="G25" s="63">
        <f t="shared" si="14"/>
        <v>88.733333333333334</v>
      </c>
      <c r="H25" s="63">
        <f t="shared" si="6"/>
        <v>354.93333333333328</v>
      </c>
      <c r="I25" s="312">
        <f t="shared" si="7"/>
        <v>354.93333333333328</v>
      </c>
      <c r="J25" s="14" t="str">
        <f t="shared" si="8"/>
        <v>Yes</v>
      </c>
      <c r="K25" s="63">
        <f t="shared" si="1"/>
        <v>222.06666666666672</v>
      </c>
      <c r="L25" s="130">
        <f>IF('Total income package'!$A$20=TRUE,MIN(IF(K25&gt;9.99,K25,0),$I$2),0)</f>
        <v>222.06666666666672</v>
      </c>
      <c r="M25" s="14" t="str">
        <f t="shared" si="2"/>
        <v>Yes</v>
      </c>
      <c r="N25" s="14" t="str">
        <f t="shared" si="9"/>
        <v>Yes</v>
      </c>
      <c r="O25" s="312">
        <f t="shared" si="10"/>
        <v>577</v>
      </c>
      <c r="P25" s="63">
        <f t="shared" si="3"/>
        <v>931.93333333333328</v>
      </c>
      <c r="Q25" s="312" t="str">
        <f t="shared" si="11"/>
        <v>Yes</v>
      </c>
      <c r="R25" s="312">
        <f t="shared" si="12"/>
        <v>0</v>
      </c>
      <c r="S25" s="15">
        <f t="shared" si="13"/>
        <v>577</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485.33333333333337</v>
      </c>
      <c r="G26" s="63">
        <f t="shared" si="14"/>
        <v>97.066666666666677</v>
      </c>
      <c r="H26" s="63">
        <f t="shared" si="6"/>
        <v>388.26666666666671</v>
      </c>
      <c r="I26" s="312">
        <f t="shared" si="7"/>
        <v>388.26666666666671</v>
      </c>
      <c r="J26" s="14" t="str">
        <f t="shared" si="8"/>
        <v>Yes</v>
      </c>
      <c r="K26" s="63">
        <f t="shared" si="1"/>
        <v>188.73333333333329</v>
      </c>
      <c r="L26" s="130">
        <f>IF('Total income package'!$A$20=TRUE,MIN(IF(K26&gt;9.99,K26,0),$I$2),0)</f>
        <v>188.73333333333329</v>
      </c>
      <c r="M26" s="14" t="str">
        <f>IF(D26&lt;$H$2,"Yes","No")</f>
        <v>Yes</v>
      </c>
      <c r="N26" s="14" t="str">
        <f t="shared" si="9"/>
        <v>Yes</v>
      </c>
      <c r="O26" s="312">
        <f t="shared" si="10"/>
        <v>577</v>
      </c>
      <c r="P26" s="63">
        <f t="shared" si="3"/>
        <v>965.26666666666665</v>
      </c>
      <c r="Q26" s="312" t="str">
        <f t="shared" si="11"/>
        <v>Yes</v>
      </c>
      <c r="R26" s="312">
        <f t="shared" si="12"/>
        <v>0</v>
      </c>
      <c r="S26" s="15">
        <f t="shared" si="13"/>
        <v>577</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527</v>
      </c>
      <c r="G27" s="63">
        <f t="shared" si="14"/>
        <v>105.4</v>
      </c>
      <c r="H27" s="63">
        <f t="shared" si="6"/>
        <v>421.6</v>
      </c>
      <c r="I27" s="312">
        <f t="shared" si="7"/>
        <v>421.6</v>
      </c>
      <c r="J27" s="14" t="str">
        <f t="shared" si="8"/>
        <v>Yes</v>
      </c>
      <c r="K27" s="63">
        <f t="shared" si="1"/>
        <v>155.39999999999998</v>
      </c>
      <c r="L27" s="130">
        <f>IF('Total income package'!$A$20=TRUE,MIN(IF(K27&gt;9.99,K27,0),$I$2),0)</f>
        <v>155.39999999999998</v>
      </c>
      <c r="M27" s="14" t="str">
        <f t="shared" ref="M27:M90" si="16">IF(D27&lt;$H$2,"Yes","No")</f>
        <v>Yes</v>
      </c>
      <c r="N27" s="14" t="str">
        <f t="shared" si="9"/>
        <v>Yes</v>
      </c>
      <c r="O27" s="312">
        <f t="shared" si="10"/>
        <v>577</v>
      </c>
      <c r="P27" s="63">
        <f t="shared" si="3"/>
        <v>998.6</v>
      </c>
      <c r="Q27" s="312" t="str">
        <f t="shared" si="11"/>
        <v>Yes</v>
      </c>
      <c r="R27" s="312">
        <f t="shared" si="12"/>
        <v>0</v>
      </c>
      <c r="S27" s="15">
        <f t="shared" si="13"/>
        <v>577</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568.66666666666663</v>
      </c>
      <c r="G28" s="63">
        <f t="shared" si="14"/>
        <v>113.73333333333333</v>
      </c>
      <c r="H28" s="63">
        <f t="shared" si="6"/>
        <v>454.93333333333328</v>
      </c>
      <c r="I28" s="312">
        <f t="shared" si="7"/>
        <v>454.93333333333328</v>
      </c>
      <c r="J28" s="14" t="str">
        <f t="shared" si="8"/>
        <v>Yes</v>
      </c>
      <c r="K28" s="63">
        <f t="shared" si="1"/>
        <v>122.06666666666672</v>
      </c>
      <c r="L28" s="130">
        <f>IF('Total income package'!$A$20=TRUE,MIN(IF(K28&gt;9.99,K28,0),$I$2),0)</f>
        <v>122.06666666666672</v>
      </c>
      <c r="M28" s="14" t="str">
        <f t="shared" si="16"/>
        <v>Yes</v>
      </c>
      <c r="N28" s="14" t="str">
        <f t="shared" si="9"/>
        <v>Yes</v>
      </c>
      <c r="O28" s="312">
        <f t="shared" si="10"/>
        <v>577</v>
      </c>
      <c r="P28" s="63">
        <f t="shared" si="3"/>
        <v>1031.9333333333334</v>
      </c>
      <c r="Q28" s="312" t="str">
        <f t="shared" si="11"/>
        <v>Yes</v>
      </c>
      <c r="R28" s="312">
        <f t="shared" si="12"/>
        <v>0</v>
      </c>
      <c r="S28" s="15">
        <f t="shared" si="13"/>
        <v>577</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610.33333333333337</v>
      </c>
      <c r="G29" s="63">
        <f t="shared" si="14"/>
        <v>122.06666666666668</v>
      </c>
      <c r="H29" s="63">
        <f t="shared" si="6"/>
        <v>488.26666666666671</v>
      </c>
      <c r="I29" s="312">
        <f t="shared" si="7"/>
        <v>488.26666666666671</v>
      </c>
      <c r="J29" s="14" t="str">
        <f t="shared" si="8"/>
        <v>Yes</v>
      </c>
      <c r="K29" s="63">
        <f t="shared" si="1"/>
        <v>88.733333333333292</v>
      </c>
      <c r="L29" s="130">
        <f>IF('Total income package'!$A$20=TRUE,MIN(IF(K29&gt;9.99,K29,0),$I$2),0)</f>
        <v>88.733333333333292</v>
      </c>
      <c r="M29" s="14" t="str">
        <f t="shared" si="16"/>
        <v>Yes</v>
      </c>
      <c r="N29" s="14" t="str">
        <f t="shared" si="9"/>
        <v>Yes</v>
      </c>
      <c r="O29" s="312">
        <f t="shared" si="10"/>
        <v>577</v>
      </c>
      <c r="P29" s="63">
        <f t="shared" si="3"/>
        <v>1065.2666666666667</v>
      </c>
      <c r="Q29" s="312" t="str">
        <f t="shared" si="11"/>
        <v>Yes</v>
      </c>
      <c r="R29" s="312">
        <f t="shared" si="12"/>
        <v>0</v>
      </c>
      <c r="S29" s="15">
        <f t="shared" si="13"/>
        <v>577</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652</v>
      </c>
      <c r="G30" s="63">
        <f t="shared" si="14"/>
        <v>130.4</v>
      </c>
      <c r="H30" s="63">
        <f t="shared" si="6"/>
        <v>521.6</v>
      </c>
      <c r="I30" s="312">
        <f t="shared" si="7"/>
        <v>521.6</v>
      </c>
      <c r="J30" s="14" t="str">
        <f t="shared" si="8"/>
        <v>Yes</v>
      </c>
      <c r="K30" s="63">
        <f t="shared" si="1"/>
        <v>55.399999999999977</v>
      </c>
      <c r="L30" s="130">
        <f>IF('Total income package'!$A$20=TRUE,MIN(IF(K30&gt;9.99,K30,0),$I$2),0)</f>
        <v>55.399999999999977</v>
      </c>
      <c r="M30" s="14" t="str">
        <f t="shared" si="16"/>
        <v>Yes</v>
      </c>
      <c r="N30" s="14" t="str">
        <f t="shared" si="9"/>
        <v>Yes</v>
      </c>
      <c r="O30" s="312">
        <f t="shared" si="10"/>
        <v>577</v>
      </c>
      <c r="P30" s="63">
        <f t="shared" si="3"/>
        <v>1098.5999999999999</v>
      </c>
      <c r="Q30" s="312" t="str">
        <f t="shared" si="11"/>
        <v>Yes</v>
      </c>
      <c r="R30" s="312">
        <f t="shared" si="12"/>
        <v>0</v>
      </c>
      <c r="S30" s="15">
        <f t="shared" si="13"/>
        <v>577</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693.66666666666663</v>
      </c>
      <c r="G31" s="63">
        <f t="shared" si="14"/>
        <v>138.73333333333332</v>
      </c>
      <c r="H31" s="63">
        <f t="shared" si="6"/>
        <v>554.93333333333328</v>
      </c>
      <c r="I31" s="312">
        <f t="shared" si="7"/>
        <v>554.93333333333328</v>
      </c>
      <c r="J31" s="14" t="str">
        <f t="shared" si="8"/>
        <v>Yes</v>
      </c>
      <c r="K31" s="63">
        <f t="shared" si="1"/>
        <v>22.06666666666672</v>
      </c>
      <c r="L31" s="130">
        <f>IF('Total income package'!$A$20=TRUE,MIN(IF(K31&gt;9.99,K31,0),$I$2),0)</f>
        <v>22.06666666666672</v>
      </c>
      <c r="M31" s="14" t="str">
        <f t="shared" si="16"/>
        <v>Yes</v>
      </c>
      <c r="N31" s="14" t="str">
        <f t="shared" si="9"/>
        <v>Yes</v>
      </c>
      <c r="O31" s="312">
        <f t="shared" si="10"/>
        <v>577</v>
      </c>
      <c r="P31" s="63">
        <f t="shared" si="3"/>
        <v>1131.9333333333334</v>
      </c>
      <c r="Q31" s="312" t="str">
        <f t="shared" si="11"/>
        <v>Yes</v>
      </c>
      <c r="R31" s="312">
        <f t="shared" si="12"/>
        <v>0</v>
      </c>
      <c r="S31" s="15">
        <f t="shared" si="13"/>
        <v>577</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735.33333333333337</v>
      </c>
      <c r="G32" s="63">
        <f>F32*0.2</f>
        <v>147.06666666666669</v>
      </c>
      <c r="H32" s="63">
        <f t="shared" si="6"/>
        <v>588.26666666666665</v>
      </c>
      <c r="I32" s="312">
        <f t="shared" si="7"/>
        <v>588.26666666666665</v>
      </c>
      <c r="J32" s="14" t="str">
        <f t="shared" si="8"/>
        <v>No</v>
      </c>
      <c r="K32" s="63">
        <f t="shared" si="1"/>
        <v>0</v>
      </c>
      <c r="L32" s="130">
        <f>IF('Total income package'!$A$20=TRUE,MIN(IF(K32&gt;9.99,K32,0),$I$2),0)</f>
        <v>0</v>
      </c>
      <c r="M32" s="14" t="str">
        <f t="shared" si="16"/>
        <v>Yes</v>
      </c>
      <c r="N32" s="14" t="str">
        <f t="shared" si="9"/>
        <v>Yes</v>
      </c>
      <c r="O32" s="312">
        <f t="shared" si="10"/>
        <v>577</v>
      </c>
      <c r="P32" s="63">
        <f t="shared" si="3"/>
        <v>1165.2666666666667</v>
      </c>
      <c r="Q32" s="312" t="str">
        <f t="shared" si="11"/>
        <v>Yes</v>
      </c>
      <c r="R32" s="312">
        <f t="shared" si="12"/>
        <v>0</v>
      </c>
      <c r="S32" s="15">
        <f t="shared" si="13"/>
        <v>577</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777</v>
      </c>
      <c r="G33" s="63">
        <f t="shared" si="14"/>
        <v>155.4</v>
      </c>
      <c r="H33" s="63">
        <f t="shared" si="6"/>
        <v>621.6</v>
      </c>
      <c r="I33" s="312">
        <f t="shared" si="7"/>
        <v>621.6</v>
      </c>
      <c r="J33" s="14" t="str">
        <f t="shared" si="8"/>
        <v>No</v>
      </c>
      <c r="K33" s="63">
        <f t="shared" si="1"/>
        <v>0</v>
      </c>
      <c r="L33" s="130">
        <f>IF('Total income package'!$A$20=TRUE,MIN(IF(K33&gt;9.99,K33,0),$I$2),0)</f>
        <v>0</v>
      </c>
      <c r="M33" s="14" t="str">
        <f t="shared" si="16"/>
        <v>Yes</v>
      </c>
      <c r="N33" s="14" t="str">
        <f t="shared" si="9"/>
        <v>Yes</v>
      </c>
      <c r="O33" s="312">
        <f t="shared" si="10"/>
        <v>577</v>
      </c>
      <c r="P33" s="63">
        <f t="shared" si="3"/>
        <v>1198.5999999999999</v>
      </c>
      <c r="Q33" s="312" t="str">
        <f t="shared" si="11"/>
        <v>Yes</v>
      </c>
      <c r="R33" s="312">
        <f t="shared" si="12"/>
        <v>0</v>
      </c>
      <c r="S33" s="15">
        <f t="shared" si="13"/>
        <v>577</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818.66666666666674</v>
      </c>
      <c r="G34" s="63">
        <f t="shared" si="14"/>
        <v>163.73333333333335</v>
      </c>
      <c r="H34" s="63">
        <f t="shared" si="6"/>
        <v>654.93333333333339</v>
      </c>
      <c r="I34" s="312">
        <f t="shared" si="7"/>
        <v>654.93333333333339</v>
      </c>
      <c r="J34" s="14" t="str">
        <f t="shared" si="8"/>
        <v>No</v>
      </c>
      <c r="K34" s="63">
        <f t="shared" si="1"/>
        <v>0</v>
      </c>
      <c r="L34" s="130">
        <f>IF('Total income package'!$A$20=TRUE,MIN(IF(K34&gt;9.99,K34,0),$I$2),0)</f>
        <v>0</v>
      </c>
      <c r="M34" s="14" t="str">
        <f t="shared" si="16"/>
        <v>Yes</v>
      </c>
      <c r="N34" s="14" t="str">
        <f t="shared" si="9"/>
        <v>Yes</v>
      </c>
      <c r="O34" s="312">
        <f t="shared" si="10"/>
        <v>577</v>
      </c>
      <c r="P34" s="63">
        <f t="shared" si="3"/>
        <v>1231.9333333333334</v>
      </c>
      <c r="Q34" s="312" t="str">
        <f t="shared" si="11"/>
        <v>Yes</v>
      </c>
      <c r="R34" s="312">
        <f t="shared" si="12"/>
        <v>0</v>
      </c>
      <c r="S34" s="15">
        <f t="shared" si="13"/>
        <v>577</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860.33333333333326</v>
      </c>
      <c r="G35" s="63">
        <f t="shared" si="14"/>
        <v>172.06666666666666</v>
      </c>
      <c r="H35" s="63">
        <f t="shared" si="6"/>
        <v>688.26666666666665</v>
      </c>
      <c r="I35" s="312">
        <f t="shared" si="7"/>
        <v>688.26666666666665</v>
      </c>
      <c r="J35" s="14" t="str">
        <f t="shared" si="8"/>
        <v>No</v>
      </c>
      <c r="K35" s="63">
        <f t="shared" si="1"/>
        <v>0</v>
      </c>
      <c r="L35" s="130">
        <f>IF('Total income package'!$A$20=TRUE,MIN(IF(K35&gt;9.99,K35,0),$I$2),0)</f>
        <v>0</v>
      </c>
      <c r="M35" s="14" t="str">
        <f t="shared" si="16"/>
        <v>Yes</v>
      </c>
      <c r="N35" s="14" t="str">
        <f t="shared" si="9"/>
        <v>Yes</v>
      </c>
      <c r="O35" s="312">
        <f t="shared" si="10"/>
        <v>577</v>
      </c>
      <c r="P35" s="63">
        <f t="shared" si="3"/>
        <v>1265.2666666666667</v>
      </c>
      <c r="Q35" s="312" t="str">
        <f t="shared" si="11"/>
        <v>Yes</v>
      </c>
      <c r="R35" s="312">
        <f t="shared" si="12"/>
        <v>0</v>
      </c>
      <c r="S35" s="15">
        <f t="shared" si="13"/>
        <v>577</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902</v>
      </c>
      <c r="G36" s="63">
        <f t="shared" si="14"/>
        <v>180.4</v>
      </c>
      <c r="H36" s="63">
        <f t="shared" si="6"/>
        <v>721.6</v>
      </c>
      <c r="I36" s="312">
        <f t="shared" si="7"/>
        <v>721.6</v>
      </c>
      <c r="J36" s="14" t="str">
        <f t="shared" si="8"/>
        <v>No</v>
      </c>
      <c r="K36" s="63">
        <f t="shared" si="1"/>
        <v>0</v>
      </c>
      <c r="L36" s="130">
        <f>IF('Total income package'!$A$20=TRUE,MIN(IF(K36&gt;9.99,K36,0),$I$2),0)</f>
        <v>0</v>
      </c>
      <c r="M36" s="14" t="str">
        <f t="shared" si="16"/>
        <v>Yes</v>
      </c>
      <c r="N36" s="14" t="str">
        <f t="shared" si="9"/>
        <v>Yes</v>
      </c>
      <c r="O36" s="312">
        <f t="shared" si="10"/>
        <v>577</v>
      </c>
      <c r="P36" s="63">
        <f t="shared" si="3"/>
        <v>1298.5999999999999</v>
      </c>
      <c r="Q36" s="312" t="str">
        <f t="shared" si="11"/>
        <v>Yes</v>
      </c>
      <c r="R36" s="312">
        <f t="shared" si="12"/>
        <v>0</v>
      </c>
      <c r="S36" s="15">
        <f t="shared" si="13"/>
        <v>577</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943.66666666666674</v>
      </c>
      <c r="G37" s="63">
        <f t="shared" si="14"/>
        <v>188.73333333333335</v>
      </c>
      <c r="H37" s="63">
        <f t="shared" si="6"/>
        <v>754.93333333333339</v>
      </c>
      <c r="I37" s="312">
        <f t="shared" si="7"/>
        <v>754.93333333333339</v>
      </c>
      <c r="J37" s="14" t="str">
        <f t="shared" si="8"/>
        <v>No</v>
      </c>
      <c r="K37" s="63">
        <f t="shared" si="1"/>
        <v>0</v>
      </c>
      <c r="L37" s="130">
        <f>IF('Total income package'!$A$20=TRUE,MIN(IF(K37&gt;9.99,K37,0),$I$2),0)</f>
        <v>0</v>
      </c>
      <c r="M37" s="14" t="str">
        <f t="shared" si="16"/>
        <v>Yes</v>
      </c>
      <c r="N37" s="14" t="str">
        <f t="shared" si="9"/>
        <v>Yes</v>
      </c>
      <c r="O37" s="312">
        <f t="shared" si="10"/>
        <v>577</v>
      </c>
      <c r="P37" s="63">
        <f t="shared" si="3"/>
        <v>1331.9333333333334</v>
      </c>
      <c r="Q37" s="312" t="str">
        <f t="shared" si="11"/>
        <v>Yes</v>
      </c>
      <c r="R37" s="312">
        <f t="shared" si="12"/>
        <v>0</v>
      </c>
      <c r="S37" s="15">
        <f t="shared" si="13"/>
        <v>577</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985.33333333333326</v>
      </c>
      <c r="G38" s="63">
        <f t="shared" si="14"/>
        <v>197.06666666666666</v>
      </c>
      <c r="H38" s="63">
        <f t="shared" si="6"/>
        <v>788.26666666666665</v>
      </c>
      <c r="I38" s="312">
        <f t="shared" si="7"/>
        <v>788.26666666666665</v>
      </c>
      <c r="J38" s="14" t="str">
        <f t="shared" si="8"/>
        <v>No</v>
      </c>
      <c r="K38" s="63">
        <f t="shared" si="1"/>
        <v>0</v>
      </c>
      <c r="L38" s="130">
        <f>IF('Total income package'!$A$20=TRUE,MIN(IF(K38&gt;9.99,K38,0),$I$2),0)</f>
        <v>0</v>
      </c>
      <c r="M38" s="14" t="str">
        <f t="shared" si="16"/>
        <v>Yes</v>
      </c>
      <c r="N38" s="14" t="str">
        <f t="shared" si="9"/>
        <v>Yes</v>
      </c>
      <c r="O38" s="312">
        <f t="shared" si="10"/>
        <v>577</v>
      </c>
      <c r="P38" s="63">
        <f t="shared" si="3"/>
        <v>1365.2666666666667</v>
      </c>
      <c r="Q38" s="312" t="str">
        <f t="shared" si="11"/>
        <v>Yes</v>
      </c>
      <c r="R38" s="312">
        <f t="shared" si="12"/>
        <v>0</v>
      </c>
      <c r="S38" s="15">
        <f t="shared" si="13"/>
        <v>577</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1027</v>
      </c>
      <c r="G39" s="63">
        <f t="shared" si="14"/>
        <v>205.4</v>
      </c>
      <c r="H39" s="63">
        <f t="shared" si="6"/>
        <v>821.6</v>
      </c>
      <c r="I39" s="312">
        <f t="shared" si="7"/>
        <v>821.6</v>
      </c>
      <c r="J39" s="14" t="str">
        <f t="shared" si="8"/>
        <v>No</v>
      </c>
      <c r="K39" s="63">
        <f t="shared" si="1"/>
        <v>0</v>
      </c>
      <c r="L39" s="130">
        <f>IF('Total income package'!$A$20=TRUE,MIN(IF(K39&gt;9.99,K39,0),$I$2),0)</f>
        <v>0</v>
      </c>
      <c r="M39" s="14" t="str">
        <f t="shared" si="16"/>
        <v>Yes</v>
      </c>
      <c r="N39" s="14" t="str">
        <f t="shared" si="9"/>
        <v>Yes</v>
      </c>
      <c r="O39" s="312">
        <f t="shared" si="10"/>
        <v>577</v>
      </c>
      <c r="P39" s="63">
        <f t="shared" si="3"/>
        <v>1398.6</v>
      </c>
      <c r="Q39" s="312" t="str">
        <f t="shared" si="11"/>
        <v>Yes</v>
      </c>
      <c r="R39" s="312">
        <f t="shared" si="12"/>
        <v>0</v>
      </c>
      <c r="S39" s="15">
        <f t="shared" si="13"/>
        <v>577</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1068.6666666666667</v>
      </c>
      <c r="G40" s="63">
        <f t="shared" si="14"/>
        <v>213.73333333333335</v>
      </c>
      <c r="H40" s="63">
        <f t="shared" si="6"/>
        <v>854.93333333333339</v>
      </c>
      <c r="I40" s="312">
        <f t="shared" si="7"/>
        <v>854.93333333333339</v>
      </c>
      <c r="J40" s="14" t="str">
        <f t="shared" si="8"/>
        <v>No</v>
      </c>
      <c r="K40" s="63">
        <f t="shared" si="1"/>
        <v>0</v>
      </c>
      <c r="L40" s="130">
        <f>IF('Total income package'!$A$20=TRUE,MIN(IF(K40&gt;9.99,K40,0),$I$2),0)</f>
        <v>0</v>
      </c>
      <c r="M40" s="14" t="str">
        <f t="shared" si="16"/>
        <v>Yes</v>
      </c>
      <c r="N40" s="14" t="str">
        <f t="shared" si="9"/>
        <v>Yes</v>
      </c>
      <c r="O40" s="312">
        <f t="shared" si="10"/>
        <v>577</v>
      </c>
      <c r="P40" s="63">
        <f t="shared" si="3"/>
        <v>1431.9333333333334</v>
      </c>
      <c r="Q40" s="312" t="str">
        <f t="shared" si="11"/>
        <v>Yes</v>
      </c>
      <c r="R40" s="312">
        <f t="shared" si="12"/>
        <v>0</v>
      </c>
      <c r="S40" s="15">
        <f t="shared" si="13"/>
        <v>577</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1110.3333333333333</v>
      </c>
      <c r="G41" s="63">
        <f t="shared" si="14"/>
        <v>222.06666666666666</v>
      </c>
      <c r="H41" s="63">
        <f t="shared" si="6"/>
        <v>888.26666666666665</v>
      </c>
      <c r="I41" s="312">
        <f t="shared" si="7"/>
        <v>888.26666666666665</v>
      </c>
      <c r="J41" s="14" t="str">
        <f t="shared" si="8"/>
        <v>No</v>
      </c>
      <c r="K41" s="63">
        <f t="shared" si="1"/>
        <v>0</v>
      </c>
      <c r="L41" s="130">
        <f>IF('Total income package'!$A$20=TRUE,MIN(IF(K41&gt;9.99,K41,0),$I$2),0)</f>
        <v>0</v>
      </c>
      <c r="M41" s="14" t="str">
        <f t="shared" si="16"/>
        <v>Yes</v>
      </c>
      <c r="N41" s="14" t="str">
        <f t="shared" si="9"/>
        <v>Yes</v>
      </c>
      <c r="O41" s="312">
        <f t="shared" si="10"/>
        <v>577</v>
      </c>
      <c r="P41" s="63">
        <f t="shared" si="3"/>
        <v>1465.2666666666667</v>
      </c>
      <c r="Q41" s="312" t="str">
        <f t="shared" si="11"/>
        <v>Yes</v>
      </c>
      <c r="R41" s="312">
        <f t="shared" si="12"/>
        <v>0</v>
      </c>
      <c r="S41" s="15">
        <f t="shared" si="13"/>
        <v>577</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1152</v>
      </c>
      <c r="G42" s="63">
        <f t="shared" si="14"/>
        <v>230.4</v>
      </c>
      <c r="H42" s="63">
        <f t="shared" si="6"/>
        <v>921.6</v>
      </c>
      <c r="I42" s="312">
        <f t="shared" si="7"/>
        <v>921.6</v>
      </c>
      <c r="J42" s="14" t="str">
        <f t="shared" si="8"/>
        <v>No</v>
      </c>
      <c r="K42" s="63">
        <f t="shared" si="1"/>
        <v>0</v>
      </c>
      <c r="L42" s="130">
        <f>IF('Total income package'!$A$20=TRUE,MIN(IF(K42&gt;9.99,K42,0),$I$2),0)</f>
        <v>0</v>
      </c>
      <c r="M42" s="14" t="str">
        <f t="shared" si="16"/>
        <v>Yes</v>
      </c>
      <c r="N42" s="14" t="str">
        <f t="shared" si="9"/>
        <v>Yes</v>
      </c>
      <c r="O42" s="312">
        <f t="shared" si="10"/>
        <v>577</v>
      </c>
      <c r="P42" s="63">
        <f t="shared" si="3"/>
        <v>1498.6</v>
      </c>
      <c r="Q42" s="312" t="str">
        <f t="shared" si="11"/>
        <v>Yes</v>
      </c>
      <c r="R42" s="312">
        <f t="shared" si="12"/>
        <v>0</v>
      </c>
      <c r="S42" s="15">
        <f t="shared" si="13"/>
        <v>577</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1193.6666666666667</v>
      </c>
      <c r="G43" s="63">
        <f t="shared" si="14"/>
        <v>238.73333333333335</v>
      </c>
      <c r="H43" s="63">
        <f t="shared" si="6"/>
        <v>954.93333333333339</v>
      </c>
      <c r="I43" s="312">
        <f t="shared" si="7"/>
        <v>954.93333333333339</v>
      </c>
      <c r="J43" s="14" t="str">
        <f t="shared" si="8"/>
        <v>No</v>
      </c>
      <c r="K43" s="63">
        <f t="shared" si="1"/>
        <v>0</v>
      </c>
      <c r="L43" s="130">
        <f>IF('Total income package'!$A$20=TRUE,MIN(IF(K43&gt;9.99,K43,0),$I$2),0)</f>
        <v>0</v>
      </c>
      <c r="M43" s="14" t="str">
        <f t="shared" si="16"/>
        <v>Yes</v>
      </c>
      <c r="N43" s="14" t="str">
        <f t="shared" si="9"/>
        <v>Yes</v>
      </c>
      <c r="O43" s="312">
        <f t="shared" si="10"/>
        <v>577</v>
      </c>
      <c r="P43" s="63">
        <f t="shared" si="3"/>
        <v>1531.9333333333334</v>
      </c>
      <c r="Q43" s="312" t="str">
        <f t="shared" si="11"/>
        <v>Yes</v>
      </c>
      <c r="R43" s="312">
        <f t="shared" si="12"/>
        <v>0</v>
      </c>
      <c r="S43" s="15">
        <f t="shared" si="13"/>
        <v>577</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1235.3333333333333</v>
      </c>
      <c r="G44" s="63">
        <f t="shared" si="14"/>
        <v>247.06666666666666</v>
      </c>
      <c r="H44" s="63">
        <f t="shared" si="6"/>
        <v>988.26666666666665</v>
      </c>
      <c r="I44" s="312">
        <f t="shared" si="7"/>
        <v>988.26666666666665</v>
      </c>
      <c r="J44" s="14" t="str">
        <f t="shared" si="8"/>
        <v>No</v>
      </c>
      <c r="K44" s="63">
        <f t="shared" si="1"/>
        <v>0</v>
      </c>
      <c r="L44" s="130">
        <f>IF('Total income package'!$A$20=TRUE,MIN(IF(K44&gt;9.99,K44,0),$I$2),0)</f>
        <v>0</v>
      </c>
      <c r="M44" s="14" t="str">
        <f t="shared" si="16"/>
        <v>Yes</v>
      </c>
      <c r="N44" s="14" t="str">
        <f t="shared" si="9"/>
        <v>Yes</v>
      </c>
      <c r="O44" s="312">
        <f t="shared" si="10"/>
        <v>577</v>
      </c>
      <c r="P44" s="63">
        <f t="shared" si="3"/>
        <v>1565.2666666666667</v>
      </c>
      <c r="Q44" s="312" t="str">
        <f t="shared" si="11"/>
        <v>Yes</v>
      </c>
      <c r="R44" s="312">
        <f t="shared" si="12"/>
        <v>0</v>
      </c>
      <c r="S44" s="15">
        <f t="shared" si="13"/>
        <v>577</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1277</v>
      </c>
      <c r="G45" s="63">
        <f t="shared" si="14"/>
        <v>255.4</v>
      </c>
      <c r="H45" s="63">
        <f t="shared" si="6"/>
        <v>1021.6</v>
      </c>
      <c r="I45" s="312">
        <f t="shared" si="7"/>
        <v>1021.6</v>
      </c>
      <c r="J45" s="14" t="str">
        <f t="shared" si="8"/>
        <v>No</v>
      </c>
      <c r="K45" s="63">
        <f t="shared" si="1"/>
        <v>0</v>
      </c>
      <c r="L45" s="130">
        <f>IF('Total income package'!$A$20=TRUE,MIN(IF(K45&gt;9.99,K45,0),$I$2),0)</f>
        <v>0</v>
      </c>
      <c r="M45" s="14" t="str">
        <f t="shared" si="16"/>
        <v>Yes</v>
      </c>
      <c r="N45" s="14" t="str">
        <f t="shared" si="9"/>
        <v>Yes</v>
      </c>
      <c r="O45" s="312">
        <f t="shared" si="10"/>
        <v>577</v>
      </c>
      <c r="P45" s="63">
        <f t="shared" si="3"/>
        <v>1598.6</v>
      </c>
      <c r="Q45" s="312" t="str">
        <f t="shared" si="11"/>
        <v>Yes</v>
      </c>
      <c r="R45" s="312">
        <f t="shared" si="12"/>
        <v>0</v>
      </c>
      <c r="S45" s="15">
        <f t="shared" si="13"/>
        <v>577</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1318.6666666666667</v>
      </c>
      <c r="G46" s="63">
        <f t="shared" si="14"/>
        <v>263.73333333333335</v>
      </c>
      <c r="H46" s="63">
        <f t="shared" si="6"/>
        <v>1054.9333333333334</v>
      </c>
      <c r="I46" s="312">
        <f t="shared" si="7"/>
        <v>1054.9333333333334</v>
      </c>
      <c r="J46" s="14" t="str">
        <f t="shared" si="8"/>
        <v>No</v>
      </c>
      <c r="K46" s="63">
        <f t="shared" si="1"/>
        <v>0</v>
      </c>
      <c r="L46" s="130">
        <f>IF('Total income package'!$A$20=TRUE,MIN(IF(K46&gt;9.99,K46,0),$I$2),0)</f>
        <v>0</v>
      </c>
      <c r="M46" s="14" t="str">
        <f t="shared" si="16"/>
        <v>Yes</v>
      </c>
      <c r="N46" s="14" t="str">
        <f t="shared" si="9"/>
        <v>Yes</v>
      </c>
      <c r="O46" s="312">
        <f t="shared" si="10"/>
        <v>577</v>
      </c>
      <c r="P46" s="63">
        <f t="shared" si="3"/>
        <v>1631.9333333333334</v>
      </c>
      <c r="Q46" s="312" t="str">
        <f t="shared" si="11"/>
        <v>Yes</v>
      </c>
      <c r="R46" s="312">
        <f t="shared" si="12"/>
        <v>0</v>
      </c>
      <c r="S46" s="15">
        <f t="shared" si="13"/>
        <v>577</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1360.3333333333333</v>
      </c>
      <c r="G47" s="63">
        <f t="shared" si="14"/>
        <v>272.06666666666666</v>
      </c>
      <c r="H47" s="63">
        <f t="shared" si="6"/>
        <v>1088.2666666666667</v>
      </c>
      <c r="I47" s="312">
        <f t="shared" si="7"/>
        <v>1088.2666666666667</v>
      </c>
      <c r="J47" s="14" t="str">
        <f t="shared" si="8"/>
        <v>No</v>
      </c>
      <c r="K47" s="63">
        <f t="shared" si="1"/>
        <v>0</v>
      </c>
      <c r="L47" s="130">
        <f>IF('Total income package'!$A$20=TRUE,MIN(IF(K47&gt;9.99,K47,0),$I$2),0)</f>
        <v>0</v>
      </c>
      <c r="M47" s="14" t="str">
        <f t="shared" si="16"/>
        <v>Yes</v>
      </c>
      <c r="N47" s="14" t="str">
        <f t="shared" si="9"/>
        <v>Yes</v>
      </c>
      <c r="O47" s="312">
        <f t="shared" si="10"/>
        <v>577</v>
      </c>
      <c r="P47" s="63">
        <f t="shared" si="3"/>
        <v>1665.2666666666667</v>
      </c>
      <c r="Q47" s="312" t="str">
        <f t="shared" si="11"/>
        <v>Yes</v>
      </c>
      <c r="R47" s="312">
        <f t="shared" si="12"/>
        <v>0</v>
      </c>
      <c r="S47" s="15">
        <f t="shared" si="13"/>
        <v>577</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1402</v>
      </c>
      <c r="G48" s="63">
        <f t="shared" si="14"/>
        <v>280.40000000000003</v>
      </c>
      <c r="H48" s="63">
        <f t="shared" si="6"/>
        <v>1121.5999999999999</v>
      </c>
      <c r="I48" s="312">
        <f t="shared" si="7"/>
        <v>1121.5999999999999</v>
      </c>
      <c r="J48" s="14" t="str">
        <f t="shared" si="8"/>
        <v>No</v>
      </c>
      <c r="K48" s="63">
        <f t="shared" si="1"/>
        <v>0</v>
      </c>
      <c r="L48" s="130">
        <f>IF('Total income package'!$A$20=TRUE,MIN(IF(K48&gt;9.99,K48,0),$I$2),0)</f>
        <v>0</v>
      </c>
      <c r="M48" s="14" t="str">
        <f t="shared" si="16"/>
        <v>Yes</v>
      </c>
      <c r="N48" s="14" t="str">
        <f t="shared" si="9"/>
        <v>Yes</v>
      </c>
      <c r="O48" s="312">
        <f t="shared" si="10"/>
        <v>577</v>
      </c>
      <c r="P48" s="63">
        <f t="shared" si="3"/>
        <v>1698.6</v>
      </c>
      <c r="Q48" s="312" t="str">
        <f t="shared" si="11"/>
        <v>Yes</v>
      </c>
      <c r="R48" s="312">
        <f t="shared" si="12"/>
        <v>0</v>
      </c>
      <c r="S48" s="15">
        <f t="shared" si="13"/>
        <v>577</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1443.6666666666667</v>
      </c>
      <c r="G49" s="63">
        <f t="shared" si="14"/>
        <v>288.73333333333335</v>
      </c>
      <c r="H49" s="63">
        <f t="shared" si="6"/>
        <v>1154.9333333333334</v>
      </c>
      <c r="I49" s="312">
        <f t="shared" si="7"/>
        <v>1154.9333333333334</v>
      </c>
      <c r="J49" s="14" t="str">
        <f t="shared" si="8"/>
        <v>No</v>
      </c>
      <c r="K49" s="63">
        <f t="shared" si="1"/>
        <v>0</v>
      </c>
      <c r="L49" s="130">
        <f>IF('Total income package'!$A$20=TRUE,MIN(IF(K49&gt;9.99,K49,0),$I$2),0)</f>
        <v>0</v>
      </c>
      <c r="M49" s="14" t="str">
        <f t="shared" si="16"/>
        <v>Yes</v>
      </c>
      <c r="N49" s="14" t="str">
        <f t="shared" si="9"/>
        <v>Yes</v>
      </c>
      <c r="O49" s="312">
        <f t="shared" si="10"/>
        <v>577</v>
      </c>
      <c r="P49" s="63">
        <f t="shared" si="3"/>
        <v>1731.9333333333334</v>
      </c>
      <c r="Q49" s="312" t="str">
        <f t="shared" si="11"/>
        <v>Yes</v>
      </c>
      <c r="R49" s="312">
        <f t="shared" si="12"/>
        <v>0</v>
      </c>
      <c r="S49" s="15">
        <f t="shared" si="13"/>
        <v>577</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1485.3333333333333</v>
      </c>
      <c r="G50" s="63">
        <f t="shared" si="14"/>
        <v>297.06666666666666</v>
      </c>
      <c r="H50" s="63">
        <f t="shared" si="6"/>
        <v>1188.2666666666667</v>
      </c>
      <c r="I50" s="312">
        <f t="shared" si="7"/>
        <v>1188.2666666666667</v>
      </c>
      <c r="J50" s="14" t="str">
        <f t="shared" si="8"/>
        <v>No</v>
      </c>
      <c r="K50" s="63">
        <f t="shared" si="1"/>
        <v>0</v>
      </c>
      <c r="L50" s="130">
        <f>IF('Total income package'!$A$20=TRUE,MIN(IF(K50&gt;9.99,K50,0),$I$2),0)</f>
        <v>0</v>
      </c>
      <c r="M50" s="14" t="str">
        <f t="shared" si="16"/>
        <v>Yes</v>
      </c>
      <c r="N50" s="14" t="str">
        <f t="shared" si="9"/>
        <v>Yes</v>
      </c>
      <c r="O50" s="312">
        <f t="shared" si="10"/>
        <v>577</v>
      </c>
      <c r="P50" s="63">
        <f t="shared" si="3"/>
        <v>1765.2666666666667</v>
      </c>
      <c r="Q50" s="312" t="str">
        <f t="shared" si="11"/>
        <v>Yes</v>
      </c>
      <c r="R50" s="312">
        <f t="shared" si="12"/>
        <v>0</v>
      </c>
      <c r="S50" s="15">
        <f t="shared" si="13"/>
        <v>577</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1527</v>
      </c>
      <c r="G51" s="63">
        <f t="shared" si="14"/>
        <v>305.40000000000003</v>
      </c>
      <c r="H51" s="63">
        <f t="shared" si="6"/>
        <v>1221.5999999999999</v>
      </c>
      <c r="I51" s="312">
        <f t="shared" si="7"/>
        <v>1221.5999999999999</v>
      </c>
      <c r="J51" s="14" t="str">
        <f t="shared" si="8"/>
        <v>No</v>
      </c>
      <c r="K51" s="63">
        <f t="shared" si="1"/>
        <v>0</v>
      </c>
      <c r="L51" s="130">
        <f>IF('Total income package'!$A$20=TRUE,MIN(IF(K51&gt;9.99,K51,0),$I$2),0)</f>
        <v>0</v>
      </c>
      <c r="M51" s="14" t="str">
        <f t="shared" si="16"/>
        <v>Yes</v>
      </c>
      <c r="N51" s="14" t="str">
        <f t="shared" si="9"/>
        <v>Yes</v>
      </c>
      <c r="O51" s="312">
        <f t="shared" si="10"/>
        <v>577</v>
      </c>
      <c r="P51" s="63">
        <f t="shared" si="3"/>
        <v>1798.6</v>
      </c>
      <c r="Q51" s="312" t="str">
        <f t="shared" si="11"/>
        <v>Yes</v>
      </c>
      <c r="R51" s="312">
        <f t="shared" si="12"/>
        <v>0</v>
      </c>
      <c r="S51" s="15">
        <f t="shared" si="13"/>
        <v>577</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1568.6666666666667</v>
      </c>
      <c r="G52" s="63">
        <f t="shared" si="14"/>
        <v>313.73333333333335</v>
      </c>
      <c r="H52" s="63">
        <f t="shared" si="6"/>
        <v>1254.9333333333334</v>
      </c>
      <c r="I52" s="312">
        <f t="shared" si="7"/>
        <v>1254.9333333333334</v>
      </c>
      <c r="J52" s="14" t="str">
        <f t="shared" si="8"/>
        <v>No</v>
      </c>
      <c r="K52" s="63">
        <f t="shared" si="1"/>
        <v>0</v>
      </c>
      <c r="L52" s="130">
        <f>IF('Total income package'!$A$20=TRUE,MIN(IF(K52&gt;9.99,K52,0),$I$2),0)</f>
        <v>0</v>
      </c>
      <c r="M52" s="14" t="str">
        <f t="shared" si="16"/>
        <v>Yes</v>
      </c>
      <c r="N52" s="14" t="str">
        <f t="shared" si="9"/>
        <v>Yes</v>
      </c>
      <c r="O52" s="312">
        <f t="shared" si="10"/>
        <v>577</v>
      </c>
      <c r="P52" s="63">
        <f t="shared" si="3"/>
        <v>1831.9333333333334</v>
      </c>
      <c r="Q52" s="312" t="str">
        <f t="shared" si="11"/>
        <v>Yes</v>
      </c>
      <c r="R52" s="312">
        <f t="shared" si="12"/>
        <v>0</v>
      </c>
      <c r="S52" s="15">
        <f t="shared" si="13"/>
        <v>577</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1610.3333333333333</v>
      </c>
      <c r="G53" s="63">
        <f t="shared" si="14"/>
        <v>322.06666666666666</v>
      </c>
      <c r="H53" s="63">
        <f t="shared" si="6"/>
        <v>1288.2666666666667</v>
      </c>
      <c r="I53" s="312">
        <f t="shared" si="7"/>
        <v>1288.2666666666667</v>
      </c>
      <c r="J53" s="14" t="str">
        <f t="shared" si="8"/>
        <v>No</v>
      </c>
      <c r="K53" s="63">
        <f t="shared" si="1"/>
        <v>0</v>
      </c>
      <c r="L53" s="130">
        <f>IF('Total income package'!$A$20=TRUE,MIN(IF(K53&gt;9.99,K53,0),$I$2),0)</f>
        <v>0</v>
      </c>
      <c r="M53" s="14" t="str">
        <f t="shared" si="16"/>
        <v>Yes</v>
      </c>
      <c r="N53" s="14" t="str">
        <f t="shared" si="9"/>
        <v>Yes</v>
      </c>
      <c r="O53" s="312">
        <f t="shared" si="10"/>
        <v>577</v>
      </c>
      <c r="P53" s="63">
        <f t="shared" si="3"/>
        <v>1865.2666666666667</v>
      </c>
      <c r="Q53" s="312" t="str">
        <f t="shared" si="11"/>
        <v>Yes</v>
      </c>
      <c r="R53" s="312">
        <f t="shared" si="12"/>
        <v>0</v>
      </c>
      <c r="S53" s="15">
        <f t="shared" si="13"/>
        <v>577</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1652</v>
      </c>
      <c r="G54" s="63">
        <f t="shared" si="14"/>
        <v>330.40000000000003</v>
      </c>
      <c r="H54" s="63">
        <f t="shared" si="6"/>
        <v>1321.6</v>
      </c>
      <c r="I54" s="312">
        <f t="shared" si="7"/>
        <v>1321.6</v>
      </c>
      <c r="J54" s="14" t="str">
        <f t="shared" si="8"/>
        <v>No</v>
      </c>
      <c r="K54" s="63">
        <f t="shared" si="1"/>
        <v>0</v>
      </c>
      <c r="L54" s="130">
        <f>IF('Total income package'!$A$20=TRUE,MIN(IF(K54&gt;9.99,K54,0),$I$2),0)</f>
        <v>0</v>
      </c>
      <c r="M54" s="14" t="str">
        <f t="shared" si="16"/>
        <v>Yes</v>
      </c>
      <c r="N54" s="14" t="str">
        <f t="shared" si="9"/>
        <v>Yes</v>
      </c>
      <c r="O54" s="312">
        <f t="shared" si="10"/>
        <v>577</v>
      </c>
      <c r="P54" s="63">
        <f t="shared" si="3"/>
        <v>1898.6</v>
      </c>
      <c r="Q54" s="312" t="str">
        <f t="shared" si="11"/>
        <v>Yes</v>
      </c>
      <c r="R54" s="312">
        <f t="shared" si="12"/>
        <v>0</v>
      </c>
      <c r="S54" s="15">
        <f t="shared" si="13"/>
        <v>577</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1693.6666666666667</v>
      </c>
      <c r="G55" s="63">
        <f t="shared" si="14"/>
        <v>338.73333333333335</v>
      </c>
      <c r="H55" s="63">
        <f t="shared" si="6"/>
        <v>1354.9333333333334</v>
      </c>
      <c r="I55" s="312">
        <f t="shared" si="7"/>
        <v>1354.9333333333334</v>
      </c>
      <c r="J55" s="14" t="str">
        <f t="shared" si="8"/>
        <v>No</v>
      </c>
      <c r="K55" s="63">
        <f t="shared" si="1"/>
        <v>0</v>
      </c>
      <c r="L55" s="130">
        <f>IF('Total income package'!$A$20=TRUE,MIN(IF(K55&gt;9.99,K55,0),$I$2),0)</f>
        <v>0</v>
      </c>
      <c r="M55" s="14" t="str">
        <f t="shared" si="16"/>
        <v>Yes</v>
      </c>
      <c r="N55" s="14" t="str">
        <f t="shared" si="9"/>
        <v>Yes</v>
      </c>
      <c r="O55" s="312">
        <f t="shared" si="10"/>
        <v>577</v>
      </c>
      <c r="P55" s="63">
        <f t="shared" si="3"/>
        <v>1931.9333333333334</v>
      </c>
      <c r="Q55" s="312" t="str">
        <f t="shared" si="11"/>
        <v>Yes</v>
      </c>
      <c r="R55" s="312">
        <f t="shared" si="12"/>
        <v>0</v>
      </c>
      <c r="S55" s="15">
        <f t="shared" si="13"/>
        <v>577</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1735.3333333333333</v>
      </c>
      <c r="G56" s="63">
        <f t="shared" si="14"/>
        <v>347.06666666666666</v>
      </c>
      <c r="H56" s="63">
        <f t="shared" si="6"/>
        <v>1388.2666666666667</v>
      </c>
      <c r="I56" s="312">
        <f t="shared" si="7"/>
        <v>1388.2666666666667</v>
      </c>
      <c r="J56" s="14" t="str">
        <f t="shared" si="8"/>
        <v>No</v>
      </c>
      <c r="K56" s="63">
        <f t="shared" si="1"/>
        <v>0</v>
      </c>
      <c r="L56" s="130">
        <f>IF('Total income package'!$A$20=TRUE,MIN(IF(K56&gt;9.99,K56,0),$I$2),0)</f>
        <v>0</v>
      </c>
      <c r="M56" s="14" t="str">
        <f t="shared" si="16"/>
        <v>Yes</v>
      </c>
      <c r="N56" s="14" t="str">
        <f t="shared" si="9"/>
        <v>Yes</v>
      </c>
      <c r="O56" s="312">
        <f t="shared" si="10"/>
        <v>577</v>
      </c>
      <c r="P56" s="63">
        <f t="shared" si="3"/>
        <v>1965.2666666666667</v>
      </c>
      <c r="Q56" s="312" t="str">
        <f t="shared" si="11"/>
        <v>Yes</v>
      </c>
      <c r="R56" s="312">
        <f t="shared" si="12"/>
        <v>0</v>
      </c>
      <c r="S56" s="15">
        <f t="shared" si="13"/>
        <v>577</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1777</v>
      </c>
      <c r="G57" s="63">
        <f t="shared" si="14"/>
        <v>355.40000000000003</v>
      </c>
      <c r="H57" s="63">
        <f t="shared" si="6"/>
        <v>1421.6</v>
      </c>
      <c r="I57" s="312">
        <f t="shared" si="7"/>
        <v>1421.6</v>
      </c>
      <c r="J57" s="14" t="str">
        <f t="shared" si="8"/>
        <v>No</v>
      </c>
      <c r="K57" s="63">
        <f t="shared" si="1"/>
        <v>0</v>
      </c>
      <c r="L57" s="130">
        <f>IF('Total income package'!$A$20=TRUE,MIN(IF(K57&gt;9.99,K57,0),$I$2),0)</f>
        <v>0</v>
      </c>
      <c r="M57" s="14" t="str">
        <f t="shared" si="16"/>
        <v>Yes</v>
      </c>
      <c r="N57" s="14" t="str">
        <f t="shared" si="9"/>
        <v>Yes</v>
      </c>
      <c r="O57" s="312">
        <f t="shared" si="10"/>
        <v>577</v>
      </c>
      <c r="P57" s="63">
        <f t="shared" si="3"/>
        <v>1998.6</v>
      </c>
      <c r="Q57" s="312" t="str">
        <f t="shared" si="11"/>
        <v>Yes</v>
      </c>
      <c r="R57" s="312">
        <f t="shared" si="12"/>
        <v>0</v>
      </c>
      <c r="S57" s="15">
        <f t="shared" si="13"/>
        <v>577</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1818.6666666666667</v>
      </c>
      <c r="G58" s="63">
        <f t="shared" si="14"/>
        <v>363.73333333333335</v>
      </c>
      <c r="H58" s="63">
        <f t="shared" si="6"/>
        <v>1454.9333333333334</v>
      </c>
      <c r="I58" s="312">
        <f t="shared" si="7"/>
        <v>1454.9333333333334</v>
      </c>
      <c r="J58" s="14" t="str">
        <f t="shared" si="8"/>
        <v>No</v>
      </c>
      <c r="K58" s="63">
        <f t="shared" si="1"/>
        <v>0</v>
      </c>
      <c r="L58" s="130">
        <f>IF('Total income package'!$A$20=TRUE,MIN(IF(K58&gt;9.99,K58,0),$I$2),0)</f>
        <v>0</v>
      </c>
      <c r="M58" s="14" t="str">
        <f t="shared" si="16"/>
        <v>Yes</v>
      </c>
      <c r="N58" s="14" t="str">
        <f t="shared" si="9"/>
        <v>Yes</v>
      </c>
      <c r="O58" s="312">
        <f t="shared" si="10"/>
        <v>577</v>
      </c>
      <c r="P58" s="63">
        <f t="shared" si="3"/>
        <v>2031.9333333333334</v>
      </c>
      <c r="Q58" s="312" t="str">
        <f t="shared" si="11"/>
        <v>Yes</v>
      </c>
      <c r="R58" s="312">
        <f t="shared" si="12"/>
        <v>0</v>
      </c>
      <c r="S58" s="15">
        <f t="shared" si="13"/>
        <v>577</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1860.3333333333335</v>
      </c>
      <c r="G59" s="63">
        <f t="shared" si="14"/>
        <v>372.06666666666672</v>
      </c>
      <c r="H59" s="63">
        <f t="shared" si="6"/>
        <v>1488.2666666666669</v>
      </c>
      <c r="I59" s="312">
        <f t="shared" si="7"/>
        <v>1488.2666666666669</v>
      </c>
      <c r="J59" s="14" t="str">
        <f t="shared" si="8"/>
        <v>No</v>
      </c>
      <c r="K59" s="63">
        <f t="shared" si="1"/>
        <v>0</v>
      </c>
      <c r="L59" s="130">
        <f>IF('Total income package'!$A$20=TRUE,MIN(IF(K59&gt;9.99,K59,0),$I$2),0)</f>
        <v>0</v>
      </c>
      <c r="M59" s="14" t="str">
        <f t="shared" si="16"/>
        <v>Yes</v>
      </c>
      <c r="N59" s="14" t="str">
        <f t="shared" si="9"/>
        <v>Yes</v>
      </c>
      <c r="O59" s="312">
        <f t="shared" si="10"/>
        <v>577</v>
      </c>
      <c r="P59" s="63">
        <f t="shared" si="3"/>
        <v>2065.2666666666669</v>
      </c>
      <c r="Q59" s="312" t="str">
        <f t="shared" si="11"/>
        <v>Yes</v>
      </c>
      <c r="R59" s="312">
        <f t="shared" si="12"/>
        <v>0</v>
      </c>
      <c r="S59" s="15">
        <f t="shared" si="13"/>
        <v>577</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1902</v>
      </c>
      <c r="G60" s="63">
        <f t="shared" si="14"/>
        <v>380.40000000000003</v>
      </c>
      <c r="H60" s="63">
        <f t="shared" si="6"/>
        <v>1521.6</v>
      </c>
      <c r="I60" s="312">
        <f t="shared" si="7"/>
        <v>1521.6</v>
      </c>
      <c r="J60" s="14" t="str">
        <f t="shared" si="8"/>
        <v>No</v>
      </c>
      <c r="K60" s="63">
        <f t="shared" si="1"/>
        <v>0</v>
      </c>
      <c r="L60" s="130">
        <f>IF('Total income package'!$A$20=TRUE,MIN(IF(K60&gt;9.99,K60,0),$I$2),0)</f>
        <v>0</v>
      </c>
      <c r="M60" s="14" t="str">
        <f t="shared" si="16"/>
        <v>Yes</v>
      </c>
      <c r="N60" s="14" t="str">
        <f t="shared" si="9"/>
        <v>Yes</v>
      </c>
      <c r="O60" s="312">
        <f t="shared" si="10"/>
        <v>577</v>
      </c>
      <c r="P60" s="63">
        <f t="shared" si="3"/>
        <v>2098.6</v>
      </c>
      <c r="Q60" s="312" t="str">
        <f t="shared" si="11"/>
        <v>Yes</v>
      </c>
      <c r="R60" s="312">
        <f t="shared" si="12"/>
        <v>0</v>
      </c>
      <c r="S60" s="15">
        <f t="shared" si="13"/>
        <v>577</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1943.6666666666665</v>
      </c>
      <c r="G61" s="63">
        <f t="shared" si="14"/>
        <v>388.73333333333335</v>
      </c>
      <c r="H61" s="63">
        <f t="shared" si="6"/>
        <v>1554.9333333333332</v>
      </c>
      <c r="I61" s="312">
        <f t="shared" si="7"/>
        <v>1554.9333333333332</v>
      </c>
      <c r="J61" s="14" t="str">
        <f t="shared" si="8"/>
        <v>No</v>
      </c>
      <c r="K61" s="63">
        <f t="shared" si="1"/>
        <v>0</v>
      </c>
      <c r="L61" s="130">
        <f>IF('Total income package'!$A$20=TRUE,MIN(IF(K61&gt;9.99,K61,0),$I$2),0)</f>
        <v>0</v>
      </c>
      <c r="M61" s="14" t="str">
        <f t="shared" si="16"/>
        <v>Yes</v>
      </c>
      <c r="N61" s="14" t="str">
        <f t="shared" si="9"/>
        <v>Yes</v>
      </c>
      <c r="O61" s="312">
        <f t="shared" si="10"/>
        <v>577</v>
      </c>
      <c r="P61" s="63">
        <f t="shared" si="3"/>
        <v>2131.9333333333334</v>
      </c>
      <c r="Q61" s="312" t="str">
        <f t="shared" si="11"/>
        <v>Yes</v>
      </c>
      <c r="R61" s="312">
        <f t="shared" si="12"/>
        <v>0</v>
      </c>
      <c r="S61" s="15">
        <f t="shared" si="13"/>
        <v>577</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1985.3333333333335</v>
      </c>
      <c r="G62" s="63">
        <f t="shared" si="14"/>
        <v>397.06666666666672</v>
      </c>
      <c r="H62" s="63">
        <f t="shared" si="6"/>
        <v>1588.2666666666669</v>
      </c>
      <c r="I62" s="312">
        <f t="shared" si="7"/>
        <v>1588.2666666666669</v>
      </c>
      <c r="J62" s="14" t="str">
        <f t="shared" si="8"/>
        <v>No</v>
      </c>
      <c r="K62" s="63">
        <f t="shared" si="1"/>
        <v>0</v>
      </c>
      <c r="L62" s="130">
        <f>IF('Total income package'!$A$20=TRUE,MIN(IF(K62&gt;9.99,K62,0),$I$2),0)</f>
        <v>0</v>
      </c>
      <c r="M62" s="14" t="str">
        <f t="shared" si="16"/>
        <v>Yes</v>
      </c>
      <c r="N62" s="14" t="str">
        <f t="shared" si="9"/>
        <v>Yes</v>
      </c>
      <c r="O62" s="312">
        <f t="shared" si="10"/>
        <v>577</v>
      </c>
      <c r="P62" s="63">
        <f t="shared" si="3"/>
        <v>2165.2666666666669</v>
      </c>
      <c r="Q62" s="312" t="str">
        <f t="shared" si="11"/>
        <v>Yes</v>
      </c>
      <c r="R62" s="312">
        <f t="shared" si="12"/>
        <v>0</v>
      </c>
      <c r="S62" s="15">
        <f t="shared" si="13"/>
        <v>577</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2027</v>
      </c>
      <c r="G63" s="63">
        <f t="shared" si="14"/>
        <v>405.40000000000003</v>
      </c>
      <c r="H63" s="63">
        <f t="shared" si="6"/>
        <v>1621.6</v>
      </c>
      <c r="I63" s="312">
        <f t="shared" si="7"/>
        <v>1621.6</v>
      </c>
      <c r="J63" s="14" t="str">
        <f t="shared" si="8"/>
        <v>No</v>
      </c>
      <c r="K63" s="63">
        <f t="shared" si="1"/>
        <v>0</v>
      </c>
      <c r="L63" s="130">
        <f>IF('Total income package'!$A$20=TRUE,MIN(IF(K63&gt;9.99,K63,0),$I$2),0)</f>
        <v>0</v>
      </c>
      <c r="M63" s="14" t="str">
        <f t="shared" si="16"/>
        <v>Yes</v>
      </c>
      <c r="N63" s="14" t="str">
        <f t="shared" si="9"/>
        <v>Yes</v>
      </c>
      <c r="O63" s="312">
        <f t="shared" si="10"/>
        <v>577</v>
      </c>
      <c r="P63" s="63">
        <f t="shared" si="3"/>
        <v>2198.6</v>
      </c>
      <c r="Q63" s="312" t="str">
        <f t="shared" si="11"/>
        <v>Yes</v>
      </c>
      <c r="R63" s="312">
        <f t="shared" si="12"/>
        <v>0</v>
      </c>
      <c r="S63" s="15">
        <f t="shared" si="13"/>
        <v>577</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2068.6666666666665</v>
      </c>
      <c r="G64" s="63">
        <f t="shared" si="14"/>
        <v>413.73333333333335</v>
      </c>
      <c r="H64" s="63">
        <f t="shared" si="6"/>
        <v>1654.9333333333332</v>
      </c>
      <c r="I64" s="312">
        <f t="shared" si="7"/>
        <v>1654.9333333333332</v>
      </c>
      <c r="J64" s="14" t="str">
        <f t="shared" si="8"/>
        <v>No</v>
      </c>
      <c r="K64" s="63">
        <f t="shared" si="1"/>
        <v>0</v>
      </c>
      <c r="L64" s="130">
        <f>IF('Total income package'!$A$20=TRUE,MIN(IF(K64&gt;9.99,K64,0),$I$2),0)</f>
        <v>0</v>
      </c>
      <c r="M64" s="14" t="str">
        <f t="shared" si="16"/>
        <v>Yes</v>
      </c>
      <c r="N64" s="14" t="str">
        <f t="shared" si="9"/>
        <v>Yes</v>
      </c>
      <c r="O64" s="312">
        <f t="shared" si="10"/>
        <v>577</v>
      </c>
      <c r="P64" s="63">
        <f t="shared" si="3"/>
        <v>2231.9333333333334</v>
      </c>
      <c r="Q64" s="312" t="str">
        <f t="shared" si="11"/>
        <v>Yes</v>
      </c>
      <c r="R64" s="312">
        <f t="shared" si="12"/>
        <v>0</v>
      </c>
      <c r="S64" s="15">
        <f t="shared" si="13"/>
        <v>577</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2110.3333333333335</v>
      </c>
      <c r="G65" s="63">
        <f t="shared" si="14"/>
        <v>422.06666666666672</v>
      </c>
      <c r="H65" s="63">
        <f t="shared" si="6"/>
        <v>1688.2666666666669</v>
      </c>
      <c r="I65" s="312">
        <f t="shared" si="7"/>
        <v>1688.2666666666669</v>
      </c>
      <c r="J65" s="14" t="str">
        <f t="shared" si="8"/>
        <v>No</v>
      </c>
      <c r="K65" s="63">
        <f t="shared" si="1"/>
        <v>0</v>
      </c>
      <c r="L65" s="130">
        <f>IF('Total income package'!$A$20=TRUE,MIN(IF(K65&gt;9.99,K65,0),$I$2),0)</f>
        <v>0</v>
      </c>
      <c r="M65" s="14" t="str">
        <f t="shared" si="16"/>
        <v>Yes</v>
      </c>
      <c r="N65" s="14" t="str">
        <f t="shared" si="9"/>
        <v>Yes</v>
      </c>
      <c r="O65" s="312">
        <f t="shared" si="10"/>
        <v>577</v>
      </c>
      <c r="P65" s="63">
        <f t="shared" si="3"/>
        <v>2265.2666666666669</v>
      </c>
      <c r="Q65" s="312" t="str">
        <f t="shared" si="11"/>
        <v>Yes</v>
      </c>
      <c r="R65" s="312">
        <f t="shared" si="12"/>
        <v>0</v>
      </c>
      <c r="S65" s="15">
        <f t="shared" si="13"/>
        <v>577</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2152</v>
      </c>
      <c r="G66" s="63">
        <f t="shared" si="14"/>
        <v>430.40000000000003</v>
      </c>
      <c r="H66" s="63">
        <f t="shared" si="6"/>
        <v>1721.6</v>
      </c>
      <c r="I66" s="312">
        <f t="shared" si="7"/>
        <v>1721.6</v>
      </c>
      <c r="J66" s="14" t="str">
        <f t="shared" si="8"/>
        <v>No</v>
      </c>
      <c r="K66" s="63">
        <f t="shared" si="1"/>
        <v>0</v>
      </c>
      <c r="L66" s="130">
        <f>IF('Total income package'!$A$20=TRUE,MIN(IF(K66&gt;9.99,K66,0),$I$2),0)</f>
        <v>0</v>
      </c>
      <c r="M66" s="14" t="str">
        <f t="shared" si="16"/>
        <v>Yes</v>
      </c>
      <c r="N66" s="14" t="str">
        <f t="shared" si="9"/>
        <v>Yes</v>
      </c>
      <c r="O66" s="312">
        <f t="shared" si="10"/>
        <v>577</v>
      </c>
      <c r="P66" s="63">
        <f t="shared" si="3"/>
        <v>2298.6</v>
      </c>
      <c r="Q66" s="312" t="str">
        <f t="shared" si="11"/>
        <v>Yes</v>
      </c>
      <c r="R66" s="312">
        <f t="shared" si="12"/>
        <v>0</v>
      </c>
      <c r="S66" s="15">
        <f t="shared" si="13"/>
        <v>577</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2193.6666666666665</v>
      </c>
      <c r="G67" s="63">
        <f t="shared" si="14"/>
        <v>438.73333333333335</v>
      </c>
      <c r="H67" s="63">
        <f t="shared" si="6"/>
        <v>1754.9333333333332</v>
      </c>
      <c r="I67" s="312">
        <f t="shared" si="7"/>
        <v>1754.9333333333332</v>
      </c>
      <c r="J67" s="14" t="str">
        <f t="shared" si="8"/>
        <v>No</v>
      </c>
      <c r="K67" s="63">
        <f t="shared" si="1"/>
        <v>0</v>
      </c>
      <c r="L67" s="130">
        <f>IF('Total income package'!$A$20=TRUE,MIN(IF(K67&gt;9.99,K67,0),$I$2),0)</f>
        <v>0</v>
      </c>
      <c r="M67" s="14" t="str">
        <f t="shared" si="16"/>
        <v>Yes</v>
      </c>
      <c r="N67" s="14" t="str">
        <f t="shared" si="9"/>
        <v>Yes</v>
      </c>
      <c r="O67" s="312">
        <f t="shared" si="10"/>
        <v>577</v>
      </c>
      <c r="P67" s="63">
        <f t="shared" si="3"/>
        <v>2331.9333333333334</v>
      </c>
      <c r="Q67" s="312" t="str">
        <f t="shared" si="11"/>
        <v>Yes</v>
      </c>
      <c r="R67" s="312">
        <f t="shared" si="12"/>
        <v>0</v>
      </c>
      <c r="S67" s="15">
        <f t="shared" si="13"/>
        <v>577</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2235.3333333333335</v>
      </c>
      <c r="G68" s="63">
        <f t="shared" si="14"/>
        <v>447.06666666666672</v>
      </c>
      <c r="H68" s="63">
        <f t="shared" si="6"/>
        <v>1788.2666666666669</v>
      </c>
      <c r="I68" s="312">
        <f t="shared" si="7"/>
        <v>1788.2666666666669</v>
      </c>
      <c r="J68" s="14" t="str">
        <f t="shared" si="8"/>
        <v>No</v>
      </c>
      <c r="K68" s="63">
        <f t="shared" si="1"/>
        <v>0</v>
      </c>
      <c r="L68" s="130">
        <f>IF('Total income package'!$A$20=TRUE,MIN(IF(K68&gt;9.99,K68,0),$I$2),0)</f>
        <v>0</v>
      </c>
      <c r="M68" s="14" t="str">
        <f t="shared" si="16"/>
        <v>Yes</v>
      </c>
      <c r="N68" s="14" t="str">
        <f t="shared" si="9"/>
        <v>Yes</v>
      </c>
      <c r="O68" s="312">
        <f t="shared" si="10"/>
        <v>577</v>
      </c>
      <c r="P68" s="63">
        <f t="shared" si="3"/>
        <v>2365.2666666666669</v>
      </c>
      <c r="Q68" s="312" t="str">
        <f t="shared" si="11"/>
        <v>Yes</v>
      </c>
      <c r="R68" s="312">
        <f t="shared" si="12"/>
        <v>0</v>
      </c>
      <c r="S68" s="15">
        <f t="shared" si="13"/>
        <v>577</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2277</v>
      </c>
      <c r="G69" s="63">
        <f t="shared" si="14"/>
        <v>455.40000000000003</v>
      </c>
      <c r="H69" s="63">
        <f t="shared" si="6"/>
        <v>1821.6</v>
      </c>
      <c r="I69" s="312">
        <f t="shared" si="7"/>
        <v>1821.6</v>
      </c>
      <c r="J69" s="14" t="str">
        <f t="shared" si="8"/>
        <v>No</v>
      </c>
      <c r="K69" s="63">
        <f t="shared" si="1"/>
        <v>0</v>
      </c>
      <c r="L69" s="130">
        <f>IF('Total income package'!$A$20=TRUE,MIN(IF(K69&gt;9.99,K69,0),$I$2),0)</f>
        <v>0</v>
      </c>
      <c r="M69" s="14" t="str">
        <f t="shared" si="16"/>
        <v>Yes</v>
      </c>
      <c r="N69" s="14" t="str">
        <f t="shared" si="9"/>
        <v>Yes</v>
      </c>
      <c r="O69" s="312">
        <f t="shared" si="10"/>
        <v>577</v>
      </c>
      <c r="P69" s="63">
        <f t="shared" si="3"/>
        <v>2398.6</v>
      </c>
      <c r="Q69" s="312" t="str">
        <f t="shared" si="11"/>
        <v>Yes</v>
      </c>
      <c r="R69" s="312">
        <f t="shared" si="12"/>
        <v>0</v>
      </c>
      <c r="S69" s="15">
        <f t="shared" si="13"/>
        <v>577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2318.6666666666665</v>
      </c>
      <c r="G70" s="63">
        <f t="shared" si="14"/>
        <v>463.73333333333335</v>
      </c>
      <c r="H70" s="63">
        <f t="shared" si="6"/>
        <v>1854.9333333333332</v>
      </c>
      <c r="I70" s="312">
        <f t="shared" si="7"/>
        <v>1854.9333333333332</v>
      </c>
      <c r="J70" s="14" t="str">
        <f t="shared" si="8"/>
        <v>No</v>
      </c>
      <c r="K70" s="63">
        <f t="shared" si="1"/>
        <v>0</v>
      </c>
      <c r="L70" s="130">
        <f>IF('Total income package'!$A$20=TRUE,MIN(IF(K70&gt;9.99,K70,0),$I$2),0)</f>
        <v>0</v>
      </c>
      <c r="M70" s="14" t="str">
        <f t="shared" si="16"/>
        <v>Yes</v>
      </c>
      <c r="N70" s="14" t="str">
        <f t="shared" si="9"/>
        <v>Yes</v>
      </c>
      <c r="O70" s="312">
        <f t="shared" si="10"/>
        <v>577</v>
      </c>
      <c r="P70" s="63">
        <f t="shared" si="3"/>
        <v>2431.9333333333334</v>
      </c>
      <c r="Q70" s="312" t="str">
        <f t="shared" si="11"/>
        <v>Yes</v>
      </c>
      <c r="R70" s="312">
        <f t="shared" si="12"/>
        <v>0</v>
      </c>
      <c r="S70" s="15">
        <f t="shared" si="13"/>
        <v>577</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2360.3333333333335</v>
      </c>
      <c r="G71" s="63">
        <f t="shared" si="14"/>
        <v>472.06666666666672</v>
      </c>
      <c r="H71" s="63">
        <f t="shared" si="6"/>
        <v>1888.2666666666669</v>
      </c>
      <c r="I71" s="312">
        <f t="shared" si="7"/>
        <v>1888.2666666666669</v>
      </c>
      <c r="J71" s="14" t="str">
        <f t="shared" si="8"/>
        <v>No</v>
      </c>
      <c r="K71" s="63">
        <f t="shared" si="1"/>
        <v>0</v>
      </c>
      <c r="L71" s="130">
        <f>IF('Total income package'!$A$20=TRUE,MIN(IF(K71&gt;9.99,K71,0),$I$2),0)</f>
        <v>0</v>
      </c>
      <c r="M71" s="14" t="str">
        <f t="shared" si="16"/>
        <v>Yes</v>
      </c>
      <c r="N71" s="14" t="str">
        <f t="shared" si="9"/>
        <v>Yes</v>
      </c>
      <c r="O71" s="312">
        <f t="shared" si="10"/>
        <v>577</v>
      </c>
      <c r="P71" s="63">
        <f t="shared" si="3"/>
        <v>2465.2666666666669</v>
      </c>
      <c r="Q71" s="312" t="str">
        <f t="shared" si="11"/>
        <v>Yes</v>
      </c>
      <c r="R71" s="312">
        <f t="shared" si="12"/>
        <v>0</v>
      </c>
      <c r="S71" s="15">
        <f t="shared" si="13"/>
        <v>577</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2402</v>
      </c>
      <c r="G72" s="63">
        <f t="shared" si="14"/>
        <v>480.40000000000003</v>
      </c>
      <c r="H72" s="63">
        <f t="shared" si="6"/>
        <v>1921.6</v>
      </c>
      <c r="I72" s="312">
        <f t="shared" si="7"/>
        <v>1921.6</v>
      </c>
      <c r="J72" s="14" t="str">
        <f t="shared" si="8"/>
        <v>No</v>
      </c>
      <c r="K72" s="63">
        <f t="shared" si="1"/>
        <v>0</v>
      </c>
      <c r="L72" s="130">
        <f>IF('Total income package'!$A$20=TRUE,MIN(IF(K72&gt;9.99,K72,0),$I$2),0)</f>
        <v>0</v>
      </c>
      <c r="M72" s="14" t="str">
        <f t="shared" si="16"/>
        <v>Yes</v>
      </c>
      <c r="N72" s="14" t="str">
        <f t="shared" si="9"/>
        <v>Yes</v>
      </c>
      <c r="O72" s="312">
        <f t="shared" si="10"/>
        <v>577</v>
      </c>
      <c r="P72" s="63">
        <f t="shared" si="3"/>
        <v>2498.6</v>
      </c>
      <c r="Q72" s="312" t="str">
        <f t="shared" si="11"/>
        <v>Yes</v>
      </c>
      <c r="R72" s="312">
        <f t="shared" si="12"/>
        <v>0</v>
      </c>
      <c r="S72" s="15">
        <f t="shared" si="13"/>
        <v>577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2443.6666666666665</v>
      </c>
      <c r="G73" s="63">
        <f t="shared" si="14"/>
        <v>488.73333333333335</v>
      </c>
      <c r="H73" s="63">
        <f t="shared" si="6"/>
        <v>1954.9333333333332</v>
      </c>
      <c r="I73" s="312">
        <f t="shared" si="7"/>
        <v>1954.9333333333332</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577</v>
      </c>
      <c r="P73" s="63">
        <f t="shared" ref="P73:P136" si="19">I73+O73</f>
        <v>2531.9333333333334</v>
      </c>
      <c r="Q73" s="312" t="str">
        <f t="shared" si="11"/>
        <v>Yes</v>
      </c>
      <c r="R73" s="312">
        <f t="shared" si="12"/>
        <v>0</v>
      </c>
      <c r="S73" s="15">
        <f t="shared" si="13"/>
        <v>577</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2485.3333333333335</v>
      </c>
      <c r="G74" s="63">
        <f t="shared" si="14"/>
        <v>497.06666666666672</v>
      </c>
      <c r="H74" s="63">
        <f t="shared" ref="H74:H137" si="22">F74-G74</f>
        <v>1988.2666666666669</v>
      </c>
      <c r="I74" s="312">
        <f t="shared" ref="I74:I137" si="23">C74+H74</f>
        <v>1988.2666666666669</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577</v>
      </c>
      <c r="P74" s="63">
        <f t="shared" si="19"/>
        <v>2565.2666666666669</v>
      </c>
      <c r="Q74" s="312" t="str">
        <f t="shared" ref="Q74:Q137" si="27">IF(P74&lt;$H$2,"Yes","No")</f>
        <v>Yes</v>
      </c>
      <c r="R74" s="312">
        <f t="shared" ref="R74:R137" si="28">IF(P74&gt;$H$2,P74-$H$2,0)</f>
        <v>0</v>
      </c>
      <c r="S74" s="15">
        <f t="shared" ref="S74:S137" si="29">IF(P74&gt;$H$2,O74-R74,O74)</f>
        <v>577</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2527</v>
      </c>
      <c r="G75" s="63">
        <f t="shared" ref="G75:G138" si="30">F75*0.2</f>
        <v>505.40000000000003</v>
      </c>
      <c r="H75" s="63">
        <f t="shared" si="22"/>
        <v>2021.6</v>
      </c>
      <c r="I75" s="312">
        <f t="shared" si="23"/>
        <v>2021.6</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2021.6</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2568.6666666666665</v>
      </c>
      <c r="G76" s="63">
        <f t="shared" si="30"/>
        <v>513.73333333333335</v>
      </c>
      <c r="H76" s="63">
        <f t="shared" si="22"/>
        <v>2054.9333333333334</v>
      </c>
      <c r="I76" s="312">
        <f t="shared" si="23"/>
        <v>2054.9333333333334</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2054.9333333333334</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2610.3333333333335</v>
      </c>
      <c r="G77" s="63">
        <f t="shared" si="30"/>
        <v>522.06666666666672</v>
      </c>
      <c r="H77" s="63">
        <f t="shared" si="22"/>
        <v>2088.2666666666669</v>
      </c>
      <c r="I77" s="312">
        <f t="shared" si="23"/>
        <v>2088.2666666666669</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2088.2666666666669</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2652</v>
      </c>
      <c r="G78" s="63">
        <f t="shared" si="30"/>
        <v>530.4</v>
      </c>
      <c r="H78" s="63">
        <f t="shared" si="22"/>
        <v>2121.6</v>
      </c>
      <c r="I78" s="312">
        <f t="shared" si="23"/>
        <v>2121.6</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2121.6</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2693.6666666666665</v>
      </c>
      <c r="G79" s="63">
        <f t="shared" si="30"/>
        <v>538.73333333333335</v>
      </c>
      <c r="H79" s="63">
        <f t="shared" si="22"/>
        <v>2154.9333333333334</v>
      </c>
      <c r="I79" s="312">
        <f t="shared" si="23"/>
        <v>2154.9333333333334</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2154.9333333333334</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2735.3333333333335</v>
      </c>
      <c r="G80" s="63">
        <f t="shared" si="30"/>
        <v>547.06666666666672</v>
      </c>
      <c r="H80" s="63">
        <f t="shared" si="22"/>
        <v>2188.2666666666669</v>
      </c>
      <c r="I80" s="312">
        <f t="shared" si="23"/>
        <v>2188.2666666666669</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2188.2666666666669</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2777</v>
      </c>
      <c r="G81" s="63">
        <f t="shared" si="30"/>
        <v>555.4</v>
      </c>
      <c r="H81" s="63">
        <f t="shared" si="22"/>
        <v>2221.6</v>
      </c>
      <c r="I81" s="312">
        <f t="shared" si="23"/>
        <v>2221.6</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2221.6</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2818.6666666666665</v>
      </c>
      <c r="G82" s="63">
        <f t="shared" si="30"/>
        <v>563.73333333333335</v>
      </c>
      <c r="H82" s="63">
        <f t="shared" si="22"/>
        <v>2254.9333333333334</v>
      </c>
      <c r="I82" s="312">
        <f t="shared" si="23"/>
        <v>2254.9333333333334</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2254.9333333333334</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2860.3333333333335</v>
      </c>
      <c r="G83" s="63">
        <f t="shared" si="30"/>
        <v>572.06666666666672</v>
      </c>
      <c r="H83" s="63">
        <f t="shared" si="22"/>
        <v>2288.2666666666669</v>
      </c>
      <c r="I83" s="312">
        <f t="shared" si="23"/>
        <v>2288.2666666666669</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2288.2666666666669</v>
      </c>
      <c r="Q83" s="312" t="str">
        <f t="shared" si="27"/>
        <v>Yes</v>
      </c>
      <c r="R83" s="312">
        <f t="shared" si="28"/>
        <v>0</v>
      </c>
      <c r="S83" s="15">
        <f t="shared" si="29"/>
        <v>0</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2902</v>
      </c>
      <c r="G84" s="63">
        <f t="shared" si="30"/>
        <v>580.4</v>
      </c>
      <c r="H84" s="63">
        <f t="shared" si="22"/>
        <v>2321.6</v>
      </c>
      <c r="I84" s="312">
        <f t="shared" si="23"/>
        <v>2321.6</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2321.6</v>
      </c>
      <c r="Q84" s="312" t="str">
        <f t="shared" si="27"/>
        <v>Yes</v>
      </c>
      <c r="R84" s="312">
        <f t="shared" si="28"/>
        <v>0</v>
      </c>
      <c r="S84" s="15">
        <f t="shared" si="29"/>
        <v>0</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2943.6666666666665</v>
      </c>
      <c r="G85" s="63">
        <f t="shared" si="30"/>
        <v>588.73333333333335</v>
      </c>
      <c r="H85" s="63">
        <f t="shared" si="22"/>
        <v>2354.9333333333334</v>
      </c>
      <c r="I85" s="312">
        <f t="shared" si="23"/>
        <v>2354.9333333333334</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2354.9333333333334</v>
      </c>
      <c r="Q85" s="312" t="str">
        <f t="shared" si="27"/>
        <v>Yes</v>
      </c>
      <c r="R85" s="312">
        <f t="shared" si="28"/>
        <v>0</v>
      </c>
      <c r="S85" s="15">
        <f t="shared" si="29"/>
        <v>0</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2985.3333333333335</v>
      </c>
      <c r="G86" s="63">
        <f t="shared" si="30"/>
        <v>597.06666666666672</v>
      </c>
      <c r="H86" s="63">
        <f t="shared" si="22"/>
        <v>2388.2666666666669</v>
      </c>
      <c r="I86" s="312">
        <f t="shared" si="23"/>
        <v>2388.2666666666669</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2388.2666666666669</v>
      </c>
      <c r="Q86" s="312" t="str">
        <f t="shared" si="27"/>
        <v>Yes</v>
      </c>
      <c r="R86" s="312">
        <f t="shared" si="28"/>
        <v>0</v>
      </c>
      <c r="S86" s="15">
        <f t="shared" si="29"/>
        <v>0</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3027</v>
      </c>
      <c r="G87" s="63">
        <f t="shared" si="30"/>
        <v>605.4</v>
      </c>
      <c r="H87" s="63">
        <f t="shared" si="22"/>
        <v>2421.6</v>
      </c>
      <c r="I87" s="312">
        <f t="shared" si="23"/>
        <v>2421.6</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2421.6</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3068.6666666666665</v>
      </c>
      <c r="G88" s="63">
        <f t="shared" si="30"/>
        <v>613.73333333333335</v>
      </c>
      <c r="H88" s="63">
        <f t="shared" si="22"/>
        <v>2454.9333333333334</v>
      </c>
      <c r="I88" s="312">
        <f t="shared" si="23"/>
        <v>2454.9333333333334</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2454.9333333333334</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3110.3333333333335</v>
      </c>
      <c r="G89" s="63">
        <f t="shared" si="30"/>
        <v>622.06666666666672</v>
      </c>
      <c r="H89" s="63">
        <f t="shared" si="22"/>
        <v>2488.2666666666669</v>
      </c>
      <c r="I89" s="312">
        <f t="shared" si="23"/>
        <v>2488.2666666666669</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2488.2666666666669</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3152</v>
      </c>
      <c r="G90" s="63">
        <f t="shared" si="30"/>
        <v>630.40000000000009</v>
      </c>
      <c r="H90" s="63">
        <f t="shared" si="22"/>
        <v>2521.6</v>
      </c>
      <c r="I90" s="312">
        <f t="shared" si="23"/>
        <v>2521.6</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2521.6</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3193.6666666666665</v>
      </c>
      <c r="G91" s="63">
        <f t="shared" si="30"/>
        <v>638.73333333333335</v>
      </c>
      <c r="H91" s="63">
        <f t="shared" si="22"/>
        <v>2554.9333333333334</v>
      </c>
      <c r="I91" s="312">
        <f t="shared" si="23"/>
        <v>2554.9333333333334</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2554.9333333333334</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3235.3333333333335</v>
      </c>
      <c r="G92" s="63">
        <f t="shared" si="30"/>
        <v>647.06666666666672</v>
      </c>
      <c r="H92" s="63">
        <f t="shared" si="22"/>
        <v>2588.2666666666669</v>
      </c>
      <c r="I92" s="312">
        <f t="shared" si="23"/>
        <v>2588.2666666666669</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2588.2666666666669</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3277</v>
      </c>
      <c r="G93" s="63">
        <f t="shared" si="30"/>
        <v>655.40000000000009</v>
      </c>
      <c r="H93" s="63">
        <f t="shared" si="22"/>
        <v>2621.6</v>
      </c>
      <c r="I93" s="312">
        <f t="shared" si="23"/>
        <v>2621.6</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2621.6</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3318.6666666666665</v>
      </c>
      <c r="G94" s="63">
        <f t="shared" si="30"/>
        <v>663.73333333333335</v>
      </c>
      <c r="H94" s="63">
        <f t="shared" si="22"/>
        <v>2654.9333333333334</v>
      </c>
      <c r="I94" s="312">
        <f t="shared" si="23"/>
        <v>2654.9333333333334</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2654.9333333333334</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3360.3333333333335</v>
      </c>
      <c r="G95" s="63">
        <f t="shared" si="30"/>
        <v>672.06666666666672</v>
      </c>
      <c r="H95" s="63">
        <f t="shared" si="22"/>
        <v>2688.2666666666669</v>
      </c>
      <c r="I95" s="312">
        <f t="shared" si="23"/>
        <v>2688.2666666666669</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2688.2666666666669</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3402</v>
      </c>
      <c r="G96" s="63">
        <f t="shared" si="30"/>
        <v>680.40000000000009</v>
      </c>
      <c r="H96" s="63">
        <f t="shared" si="22"/>
        <v>2721.6</v>
      </c>
      <c r="I96" s="312">
        <f t="shared" si="23"/>
        <v>2721.6</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2721.6</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3443.6666666666665</v>
      </c>
      <c r="G97" s="63">
        <f t="shared" si="30"/>
        <v>688.73333333333335</v>
      </c>
      <c r="H97" s="63">
        <f t="shared" si="22"/>
        <v>2754.9333333333334</v>
      </c>
      <c r="I97" s="312">
        <f t="shared" si="23"/>
        <v>2754.9333333333334</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2754.9333333333334</v>
      </c>
      <c r="Q97" s="312" t="str">
        <f t="shared" si="27"/>
        <v>No</v>
      </c>
      <c r="R97" s="312">
        <f t="shared" si="28"/>
        <v>4.933333333333394</v>
      </c>
      <c r="S97" s="15">
        <f t="shared" si="29"/>
        <v>-4.933333333333394</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3485.3333333333335</v>
      </c>
      <c r="G98" s="63">
        <f t="shared" si="30"/>
        <v>697.06666666666672</v>
      </c>
      <c r="H98" s="63">
        <f t="shared" si="22"/>
        <v>2788.2666666666669</v>
      </c>
      <c r="I98" s="312">
        <f t="shared" si="23"/>
        <v>2788.2666666666669</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2788.2666666666669</v>
      </c>
      <c r="Q98" s="312" t="str">
        <f t="shared" si="27"/>
        <v>No</v>
      </c>
      <c r="R98" s="312">
        <f t="shared" si="28"/>
        <v>38.266666666666879</v>
      </c>
      <c r="S98" s="15">
        <f t="shared" si="29"/>
        <v>-38.266666666666879</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3527</v>
      </c>
      <c r="G99" s="63">
        <f t="shared" si="30"/>
        <v>705.40000000000009</v>
      </c>
      <c r="H99" s="63">
        <f t="shared" si="22"/>
        <v>2821.6</v>
      </c>
      <c r="I99" s="312">
        <f t="shared" si="23"/>
        <v>2821.6</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2821.6</v>
      </c>
      <c r="Q99" s="312" t="str">
        <f t="shared" si="27"/>
        <v>No</v>
      </c>
      <c r="R99" s="312">
        <f t="shared" si="28"/>
        <v>71.599999999999909</v>
      </c>
      <c r="S99" s="15">
        <f t="shared" si="29"/>
        <v>-71.599999999999909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3568.6666666666665</v>
      </c>
      <c r="G100" s="63">
        <f t="shared" si="30"/>
        <v>713.73333333333335</v>
      </c>
      <c r="H100" s="63">
        <f t="shared" si="22"/>
        <v>2854.9333333333334</v>
      </c>
      <c r="I100" s="312">
        <f t="shared" si="23"/>
        <v>2854.9333333333334</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2854.9333333333334</v>
      </c>
      <c r="Q100" s="312" t="str">
        <f t="shared" si="27"/>
        <v>No</v>
      </c>
      <c r="R100" s="312">
        <f t="shared" si="28"/>
        <v>104.93333333333339</v>
      </c>
      <c r="S100" s="15">
        <f t="shared" si="29"/>
        <v>-104.93333333333339</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3610.3333333333335</v>
      </c>
      <c r="G101" s="63">
        <f t="shared" si="30"/>
        <v>722.06666666666672</v>
      </c>
      <c r="H101" s="63">
        <f t="shared" si="22"/>
        <v>2888.2666666666669</v>
      </c>
      <c r="I101" s="312">
        <f t="shared" si="23"/>
        <v>2888.2666666666669</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2888.2666666666669</v>
      </c>
      <c r="Q101" s="312" t="str">
        <f t="shared" si="27"/>
        <v>No</v>
      </c>
      <c r="R101" s="312">
        <f t="shared" si="28"/>
        <v>138.26666666666688</v>
      </c>
      <c r="S101" s="15">
        <f t="shared" si="29"/>
        <v>-138.26666666666688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3652</v>
      </c>
      <c r="G102" s="63">
        <f t="shared" si="30"/>
        <v>730.40000000000009</v>
      </c>
      <c r="H102" s="63">
        <f t="shared" si="22"/>
        <v>2921.6</v>
      </c>
      <c r="I102" s="312">
        <f t="shared" si="23"/>
        <v>2921.6</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2921.6</v>
      </c>
      <c r="Q102" s="312" t="str">
        <f t="shared" si="27"/>
        <v>No</v>
      </c>
      <c r="R102" s="312">
        <f t="shared" si="28"/>
        <v>171.59999999999991</v>
      </c>
      <c r="S102" s="15">
        <f t="shared" si="29"/>
        <v>-171.59999999999991</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3693.6666666666665</v>
      </c>
      <c r="G103" s="63">
        <f t="shared" si="30"/>
        <v>738.73333333333335</v>
      </c>
      <c r="H103" s="63">
        <f t="shared" si="22"/>
        <v>2954.9333333333334</v>
      </c>
      <c r="I103" s="312">
        <f t="shared" si="23"/>
        <v>2954.9333333333334</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2954.9333333333334</v>
      </c>
      <c r="Q103" s="312" t="str">
        <f t="shared" si="27"/>
        <v>No</v>
      </c>
      <c r="R103" s="312">
        <f t="shared" si="28"/>
        <v>204.93333333333339</v>
      </c>
      <c r="S103" s="15">
        <f t="shared" si="29"/>
        <v>-204.93333333333339</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3735.3333333333335</v>
      </c>
      <c r="G104" s="63">
        <f t="shared" si="30"/>
        <v>747.06666666666672</v>
      </c>
      <c r="H104" s="63">
        <f t="shared" si="22"/>
        <v>2988.2666666666669</v>
      </c>
      <c r="I104" s="312">
        <f t="shared" si="23"/>
        <v>2988.2666666666669</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2988.2666666666669</v>
      </c>
      <c r="Q104" s="312" t="str">
        <f t="shared" si="27"/>
        <v>No</v>
      </c>
      <c r="R104" s="312">
        <f t="shared" si="28"/>
        <v>238.26666666666688</v>
      </c>
      <c r="S104" s="15">
        <f t="shared" si="29"/>
        <v>-238.26666666666688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3777</v>
      </c>
      <c r="G105" s="63">
        <f t="shared" si="30"/>
        <v>755.40000000000009</v>
      </c>
      <c r="H105" s="63">
        <f t="shared" si="22"/>
        <v>3021.6</v>
      </c>
      <c r="I105" s="312">
        <f t="shared" si="23"/>
        <v>3021.6</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3021.6</v>
      </c>
      <c r="Q105" s="312" t="str">
        <f t="shared" si="27"/>
        <v>No</v>
      </c>
      <c r="R105" s="312">
        <f t="shared" si="28"/>
        <v>271.59999999999991</v>
      </c>
      <c r="S105" s="15">
        <f t="shared" si="29"/>
        <v>-271.59999999999991</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3818.6666666666665</v>
      </c>
      <c r="G106" s="63">
        <f t="shared" si="30"/>
        <v>763.73333333333335</v>
      </c>
      <c r="H106" s="63">
        <f t="shared" si="22"/>
        <v>3054.9333333333334</v>
      </c>
      <c r="I106" s="312">
        <f t="shared" si="23"/>
        <v>3054.9333333333334</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3054.9333333333334</v>
      </c>
      <c r="Q106" s="312" t="str">
        <f t="shared" si="27"/>
        <v>No</v>
      </c>
      <c r="R106" s="312">
        <f t="shared" si="28"/>
        <v>304.93333333333339</v>
      </c>
      <c r="S106" s="15">
        <f t="shared" si="29"/>
        <v>-304.93333333333339</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3860.3333333333335</v>
      </c>
      <c r="G107" s="63">
        <f t="shared" si="30"/>
        <v>772.06666666666672</v>
      </c>
      <c r="H107" s="63">
        <f t="shared" si="22"/>
        <v>3088.2666666666669</v>
      </c>
      <c r="I107" s="312">
        <f t="shared" si="23"/>
        <v>3088.2666666666669</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3088.2666666666669</v>
      </c>
      <c r="Q107" s="312" t="str">
        <f t="shared" si="27"/>
        <v>No</v>
      </c>
      <c r="R107" s="312">
        <f t="shared" si="28"/>
        <v>338.26666666666688</v>
      </c>
      <c r="S107" s="15">
        <f t="shared" si="29"/>
        <v>-338.26666666666688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3902</v>
      </c>
      <c r="G108" s="63">
        <f t="shared" si="30"/>
        <v>780.40000000000009</v>
      </c>
      <c r="H108" s="63">
        <f t="shared" si="22"/>
        <v>3121.6</v>
      </c>
      <c r="I108" s="312">
        <f t="shared" si="23"/>
        <v>3121.6</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3121.6</v>
      </c>
      <c r="Q108" s="312" t="str">
        <f t="shared" si="27"/>
        <v>No</v>
      </c>
      <c r="R108" s="312">
        <f t="shared" si="28"/>
        <v>371.59999999999991</v>
      </c>
      <c r="S108" s="15">
        <f t="shared" si="29"/>
        <v>-371.59999999999991</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3943.666666666667</v>
      </c>
      <c r="G109" s="63">
        <f t="shared" si="30"/>
        <v>788.73333333333346</v>
      </c>
      <c r="H109" s="63">
        <f t="shared" si="22"/>
        <v>3154.9333333333334</v>
      </c>
      <c r="I109" s="312">
        <f t="shared" si="23"/>
        <v>3154.9333333333334</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3154.9333333333334</v>
      </c>
      <c r="Q109" s="312" t="str">
        <f t="shared" si="27"/>
        <v>No</v>
      </c>
      <c r="R109" s="312">
        <f t="shared" si="28"/>
        <v>404.93333333333339</v>
      </c>
      <c r="S109" s="15">
        <f t="shared" si="29"/>
        <v>-404.93333333333339</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3985.333333333333</v>
      </c>
      <c r="G110" s="63">
        <f t="shared" si="30"/>
        <v>797.06666666666661</v>
      </c>
      <c r="H110" s="63">
        <f t="shared" si="22"/>
        <v>3188.2666666666664</v>
      </c>
      <c r="I110" s="312">
        <f t="shared" si="23"/>
        <v>3188.2666666666664</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3188.2666666666664</v>
      </c>
      <c r="Q110" s="312" t="str">
        <f t="shared" si="27"/>
        <v>No</v>
      </c>
      <c r="R110" s="312">
        <f t="shared" si="28"/>
        <v>438.26666666666642</v>
      </c>
      <c r="S110" s="15">
        <f t="shared" si="29"/>
        <v>-438.26666666666642</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4027</v>
      </c>
      <c r="G111" s="63">
        <f t="shared" si="30"/>
        <v>805.40000000000009</v>
      </c>
      <c r="H111" s="63">
        <f t="shared" si="22"/>
        <v>3221.6</v>
      </c>
      <c r="I111" s="312">
        <f t="shared" si="23"/>
        <v>3221.6</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3221.6</v>
      </c>
      <c r="Q111" s="312" t="str">
        <f t="shared" si="27"/>
        <v>No</v>
      </c>
      <c r="R111" s="312">
        <f t="shared" si="28"/>
        <v>471.59999999999991</v>
      </c>
      <c r="S111" s="15">
        <f t="shared" si="29"/>
        <v>-471.59999999999991</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4068.666666666667</v>
      </c>
      <c r="G112" s="63">
        <f t="shared" si="30"/>
        <v>813.73333333333346</v>
      </c>
      <c r="H112" s="63">
        <f t="shared" si="22"/>
        <v>3254.9333333333334</v>
      </c>
      <c r="I112" s="312">
        <f t="shared" si="23"/>
        <v>3254.9333333333334</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3254.9333333333334</v>
      </c>
      <c r="Q112" s="312" t="str">
        <f t="shared" si="27"/>
        <v>No</v>
      </c>
      <c r="R112" s="312">
        <f t="shared" si="28"/>
        <v>504.93333333333339</v>
      </c>
      <c r="S112" s="15">
        <f t="shared" si="29"/>
        <v>-504.93333333333339</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4110.333333333333</v>
      </c>
      <c r="G113" s="63">
        <f t="shared" si="30"/>
        <v>822.06666666666661</v>
      </c>
      <c r="H113" s="63">
        <f t="shared" si="22"/>
        <v>3288.2666666666664</v>
      </c>
      <c r="I113" s="312">
        <f t="shared" si="23"/>
        <v>3288.2666666666664</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3288.2666666666664</v>
      </c>
      <c r="Q113" s="312" t="str">
        <f t="shared" si="27"/>
        <v>No</v>
      </c>
      <c r="R113" s="312">
        <f t="shared" si="28"/>
        <v>538.26666666666642</v>
      </c>
      <c r="S113" s="15">
        <f t="shared" si="29"/>
        <v>-538.26666666666642</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4152</v>
      </c>
      <c r="G114" s="63">
        <f t="shared" si="30"/>
        <v>830.40000000000009</v>
      </c>
      <c r="H114" s="63">
        <f t="shared" si="22"/>
        <v>3321.6</v>
      </c>
      <c r="I114" s="312">
        <f t="shared" si="23"/>
        <v>3321.6</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3321.6</v>
      </c>
      <c r="Q114" s="312" t="str">
        <f t="shared" si="27"/>
        <v>No</v>
      </c>
      <c r="R114" s="312">
        <f t="shared" si="28"/>
        <v>571.59999999999991</v>
      </c>
      <c r="S114" s="15">
        <f t="shared" si="29"/>
        <v>-571.59999999999991</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4193.666666666667</v>
      </c>
      <c r="G115" s="63">
        <f t="shared" si="30"/>
        <v>838.73333333333346</v>
      </c>
      <c r="H115" s="63">
        <f t="shared" si="22"/>
        <v>3354.9333333333334</v>
      </c>
      <c r="I115" s="312">
        <f t="shared" si="23"/>
        <v>3354.9333333333334</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3354.9333333333334</v>
      </c>
      <c r="Q115" s="312" t="str">
        <f t="shared" si="27"/>
        <v>No</v>
      </c>
      <c r="R115" s="312">
        <f t="shared" si="28"/>
        <v>604.93333333333339</v>
      </c>
      <c r="S115" s="15">
        <f t="shared" si="29"/>
        <v>-604.93333333333339</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4235.333333333333</v>
      </c>
      <c r="G116" s="63">
        <f t="shared" si="30"/>
        <v>847.06666666666661</v>
      </c>
      <c r="H116" s="63">
        <f t="shared" si="22"/>
        <v>3388.2666666666664</v>
      </c>
      <c r="I116" s="312">
        <f t="shared" si="23"/>
        <v>3388.2666666666664</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3388.2666666666664</v>
      </c>
      <c r="Q116" s="312" t="str">
        <f t="shared" si="27"/>
        <v>No</v>
      </c>
      <c r="R116" s="312">
        <f t="shared" si="28"/>
        <v>638.26666666666642</v>
      </c>
      <c r="S116" s="15">
        <f t="shared" si="29"/>
        <v>-638.26666666666642</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4277</v>
      </c>
      <c r="G117" s="63">
        <f t="shared" si="30"/>
        <v>855.40000000000009</v>
      </c>
      <c r="H117" s="63">
        <f t="shared" si="22"/>
        <v>3421.6</v>
      </c>
      <c r="I117" s="312">
        <f t="shared" si="23"/>
        <v>3421.6</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3421.6</v>
      </c>
      <c r="Q117" s="312" t="str">
        <f t="shared" si="27"/>
        <v>No</v>
      </c>
      <c r="R117" s="312">
        <f t="shared" si="28"/>
        <v>671.59999999999991</v>
      </c>
      <c r="S117" s="15">
        <f t="shared" si="29"/>
        <v>-671.59999999999991</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4318.666666666667</v>
      </c>
      <c r="G118" s="63">
        <f t="shared" si="30"/>
        <v>863.73333333333346</v>
      </c>
      <c r="H118" s="63">
        <f t="shared" si="22"/>
        <v>3454.9333333333334</v>
      </c>
      <c r="I118" s="312">
        <f t="shared" si="23"/>
        <v>3454.9333333333334</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3454.9333333333334</v>
      </c>
      <c r="Q118" s="312" t="str">
        <f t="shared" si="27"/>
        <v>No</v>
      </c>
      <c r="R118" s="312">
        <f t="shared" si="28"/>
        <v>704.93333333333339</v>
      </c>
      <c r="S118" s="15">
        <f t="shared" si="29"/>
        <v>-704.93333333333339</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4360.333333333333</v>
      </c>
      <c r="G119" s="63">
        <f t="shared" si="30"/>
        <v>872.06666666666661</v>
      </c>
      <c r="H119" s="63">
        <f t="shared" si="22"/>
        <v>3488.2666666666664</v>
      </c>
      <c r="I119" s="312">
        <f t="shared" si="23"/>
        <v>3488.2666666666664</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3488.2666666666664</v>
      </c>
      <c r="Q119" s="312" t="str">
        <f t="shared" si="27"/>
        <v>No</v>
      </c>
      <c r="R119" s="312">
        <f t="shared" si="28"/>
        <v>738.26666666666642</v>
      </c>
      <c r="S119" s="15">
        <f t="shared" si="29"/>
        <v>-738.26666666666642</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4402</v>
      </c>
      <c r="G120" s="63">
        <f t="shared" si="30"/>
        <v>880.40000000000009</v>
      </c>
      <c r="H120" s="63">
        <f t="shared" si="22"/>
        <v>3521.6</v>
      </c>
      <c r="I120" s="312">
        <f t="shared" si="23"/>
        <v>3521.6</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3521.6</v>
      </c>
      <c r="Q120" s="312" t="str">
        <f t="shared" si="27"/>
        <v>No</v>
      </c>
      <c r="R120" s="312">
        <f t="shared" si="28"/>
        <v>771.59999999999991</v>
      </c>
      <c r="S120" s="15">
        <f t="shared" si="29"/>
        <v>-771.59999999999991</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4443.666666666667</v>
      </c>
      <c r="G121" s="63">
        <f t="shared" si="30"/>
        <v>888.73333333333346</v>
      </c>
      <c r="H121" s="63">
        <f t="shared" si="22"/>
        <v>3554.9333333333334</v>
      </c>
      <c r="I121" s="312">
        <f t="shared" si="23"/>
        <v>3554.9333333333334</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3554.9333333333334</v>
      </c>
      <c r="Q121" s="312" t="str">
        <f t="shared" si="27"/>
        <v>No</v>
      </c>
      <c r="R121" s="312">
        <f t="shared" si="28"/>
        <v>804.93333333333339</v>
      </c>
      <c r="S121" s="15">
        <f t="shared" si="29"/>
        <v>-804.93333333333339</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4485.333333333333</v>
      </c>
      <c r="G122" s="63">
        <f t="shared" si="30"/>
        <v>897.06666666666661</v>
      </c>
      <c r="H122" s="63">
        <f t="shared" si="22"/>
        <v>3588.2666666666664</v>
      </c>
      <c r="I122" s="312">
        <f t="shared" si="23"/>
        <v>3588.2666666666664</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3588.2666666666664</v>
      </c>
      <c r="Q122" s="312" t="str">
        <f t="shared" si="27"/>
        <v>No</v>
      </c>
      <c r="R122" s="312">
        <f t="shared" si="28"/>
        <v>838.26666666666642</v>
      </c>
      <c r="S122" s="15">
        <f t="shared" si="29"/>
        <v>-838.26666666666642</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4527</v>
      </c>
      <c r="G123" s="63">
        <f t="shared" si="30"/>
        <v>905.40000000000009</v>
      </c>
      <c r="H123" s="63">
        <f t="shared" si="22"/>
        <v>3621.6</v>
      </c>
      <c r="I123" s="312">
        <f t="shared" si="23"/>
        <v>3621.6</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3621.6</v>
      </c>
      <c r="Q123" s="312" t="str">
        <f t="shared" si="27"/>
        <v>No</v>
      </c>
      <c r="R123" s="312">
        <f t="shared" si="28"/>
        <v>871.59999999999991</v>
      </c>
      <c r="S123" s="15">
        <f t="shared" si="29"/>
        <v>-871.59999999999991</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4568.666666666667</v>
      </c>
      <c r="G124" s="63">
        <f t="shared" si="30"/>
        <v>913.73333333333346</v>
      </c>
      <c r="H124" s="63">
        <f t="shared" si="22"/>
        <v>3654.9333333333334</v>
      </c>
      <c r="I124" s="312">
        <f t="shared" si="23"/>
        <v>3654.9333333333334</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3654.9333333333334</v>
      </c>
      <c r="Q124" s="312" t="str">
        <f t="shared" si="27"/>
        <v>No</v>
      </c>
      <c r="R124" s="312">
        <f t="shared" si="28"/>
        <v>904.93333333333339</v>
      </c>
      <c r="S124" s="15">
        <f t="shared" si="29"/>
        <v>-904.93333333333339</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4610.333333333333</v>
      </c>
      <c r="G125" s="63">
        <f t="shared" si="30"/>
        <v>922.06666666666661</v>
      </c>
      <c r="H125" s="63">
        <f t="shared" si="22"/>
        <v>3688.2666666666664</v>
      </c>
      <c r="I125" s="312">
        <f t="shared" si="23"/>
        <v>3688.2666666666664</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3688.2666666666664</v>
      </c>
      <c r="Q125" s="312" t="str">
        <f t="shared" si="27"/>
        <v>No</v>
      </c>
      <c r="R125" s="312">
        <f t="shared" si="28"/>
        <v>938.26666666666642</v>
      </c>
      <c r="S125" s="15">
        <f t="shared" si="29"/>
        <v>-938.26666666666642</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4652</v>
      </c>
      <c r="G126" s="63">
        <f t="shared" si="30"/>
        <v>930.40000000000009</v>
      </c>
      <c r="H126" s="63">
        <f t="shared" si="22"/>
        <v>3721.6</v>
      </c>
      <c r="I126" s="312">
        <f t="shared" si="23"/>
        <v>3721.6</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3721.6</v>
      </c>
      <c r="Q126" s="312" t="str">
        <f t="shared" si="27"/>
        <v>No</v>
      </c>
      <c r="R126" s="312">
        <f t="shared" si="28"/>
        <v>971.59999999999991</v>
      </c>
      <c r="S126" s="15">
        <f t="shared" si="29"/>
        <v>-971.59999999999991</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4693.666666666667</v>
      </c>
      <c r="G127" s="63">
        <f t="shared" si="30"/>
        <v>938.73333333333346</v>
      </c>
      <c r="H127" s="63">
        <f t="shared" si="22"/>
        <v>3754.9333333333334</v>
      </c>
      <c r="I127" s="312">
        <f t="shared" si="23"/>
        <v>3754.9333333333334</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3754.9333333333334</v>
      </c>
      <c r="Q127" s="312" t="str">
        <f t="shared" si="27"/>
        <v>No</v>
      </c>
      <c r="R127" s="312">
        <f t="shared" si="28"/>
        <v>1004.9333333333334</v>
      </c>
      <c r="S127" s="15">
        <f t="shared" si="29"/>
        <v>-1004.9333333333334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4735.333333333333</v>
      </c>
      <c r="G128" s="63">
        <f t="shared" si="30"/>
        <v>947.06666666666661</v>
      </c>
      <c r="H128" s="63">
        <f t="shared" si="22"/>
        <v>3788.2666666666664</v>
      </c>
      <c r="I128" s="312">
        <f t="shared" si="23"/>
        <v>3788.2666666666664</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3788.2666666666664</v>
      </c>
      <c r="Q128" s="312" t="str">
        <f t="shared" si="27"/>
        <v>No</v>
      </c>
      <c r="R128" s="312">
        <f t="shared" si="28"/>
        <v>1038.2666666666664</v>
      </c>
      <c r="S128" s="15">
        <f t="shared" si="29"/>
        <v>-1038.2666666666664</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4777</v>
      </c>
      <c r="G129" s="63">
        <f t="shared" si="30"/>
        <v>955.40000000000009</v>
      </c>
      <c r="H129" s="63">
        <f t="shared" si="22"/>
        <v>3821.6</v>
      </c>
      <c r="I129" s="312">
        <f t="shared" si="23"/>
        <v>3821.6</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3821.6</v>
      </c>
      <c r="Q129" s="312" t="str">
        <f t="shared" si="27"/>
        <v>No</v>
      </c>
      <c r="R129" s="312">
        <f t="shared" si="28"/>
        <v>1071.5999999999999</v>
      </c>
      <c r="S129" s="15">
        <f t="shared" si="29"/>
        <v>-1071.5999999999999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4818.666666666667</v>
      </c>
      <c r="G130" s="63">
        <f t="shared" si="30"/>
        <v>963.73333333333346</v>
      </c>
      <c r="H130" s="63">
        <f t="shared" si="22"/>
        <v>3854.9333333333334</v>
      </c>
      <c r="I130" s="312">
        <f t="shared" si="23"/>
        <v>3854.9333333333334</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3854.9333333333334</v>
      </c>
      <c r="Q130" s="312" t="str">
        <f t="shared" si="27"/>
        <v>No</v>
      </c>
      <c r="R130" s="312">
        <f t="shared" si="28"/>
        <v>1104.9333333333334</v>
      </c>
      <c r="S130" s="15">
        <f t="shared" si="29"/>
        <v>-1104.9333333333334</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4860.333333333333</v>
      </c>
      <c r="G131" s="63">
        <f t="shared" si="30"/>
        <v>972.06666666666661</v>
      </c>
      <c r="H131" s="63">
        <f t="shared" si="22"/>
        <v>3888.2666666666664</v>
      </c>
      <c r="I131" s="312">
        <f t="shared" si="23"/>
        <v>3888.2666666666664</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3888.2666666666664</v>
      </c>
      <c r="Q131" s="312" t="str">
        <f t="shared" si="27"/>
        <v>No</v>
      </c>
      <c r="R131" s="312">
        <f t="shared" si="28"/>
        <v>1138.2666666666664</v>
      </c>
      <c r="S131" s="15">
        <f t="shared" si="29"/>
        <v>-1138.2666666666664</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4902</v>
      </c>
      <c r="G132" s="63">
        <f t="shared" si="30"/>
        <v>980.40000000000009</v>
      </c>
      <c r="H132" s="63">
        <f t="shared" si="22"/>
        <v>3921.6</v>
      </c>
      <c r="I132" s="312">
        <f t="shared" si="23"/>
        <v>3921.6</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3921.6</v>
      </c>
      <c r="Q132" s="312" t="str">
        <f t="shared" si="27"/>
        <v>No</v>
      </c>
      <c r="R132" s="312">
        <f t="shared" si="28"/>
        <v>1171.5999999999999</v>
      </c>
      <c r="S132" s="15">
        <f t="shared" si="29"/>
        <v>-1171.5999999999999</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4943.666666666667</v>
      </c>
      <c r="G133" s="63">
        <f t="shared" si="30"/>
        <v>988.73333333333346</v>
      </c>
      <c r="H133" s="63">
        <f t="shared" si="22"/>
        <v>3954.9333333333334</v>
      </c>
      <c r="I133" s="312">
        <f t="shared" si="23"/>
        <v>3954.9333333333334</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3954.9333333333334</v>
      </c>
      <c r="Q133" s="312" t="str">
        <f t="shared" si="27"/>
        <v>No</v>
      </c>
      <c r="R133" s="312">
        <f t="shared" si="28"/>
        <v>1204.9333333333334</v>
      </c>
      <c r="S133" s="15">
        <f t="shared" si="29"/>
        <v>-1204.9333333333334</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4985.333333333333</v>
      </c>
      <c r="G134" s="63">
        <f t="shared" si="30"/>
        <v>997.06666666666661</v>
      </c>
      <c r="H134" s="63">
        <f t="shared" si="22"/>
        <v>3988.2666666666664</v>
      </c>
      <c r="I134" s="312">
        <f t="shared" si="23"/>
        <v>3988.2666666666664</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3988.2666666666664</v>
      </c>
      <c r="Q134" s="312" t="str">
        <f t="shared" si="27"/>
        <v>No</v>
      </c>
      <c r="R134" s="312">
        <f t="shared" si="28"/>
        <v>1238.2666666666664</v>
      </c>
      <c r="S134" s="15">
        <f t="shared" si="29"/>
        <v>-1238.2666666666664</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5027</v>
      </c>
      <c r="G135" s="63">
        <f t="shared" si="30"/>
        <v>1005.4000000000001</v>
      </c>
      <c r="H135" s="63">
        <f t="shared" si="22"/>
        <v>4021.6</v>
      </c>
      <c r="I135" s="312">
        <f t="shared" si="23"/>
        <v>4021.6</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4021.6</v>
      </c>
      <c r="Q135" s="312" t="str">
        <f t="shared" si="27"/>
        <v>No</v>
      </c>
      <c r="R135" s="312">
        <f t="shared" si="28"/>
        <v>1271.5999999999999</v>
      </c>
      <c r="S135" s="15">
        <f t="shared" si="29"/>
        <v>-1271.5999999999999</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5068.666666666667</v>
      </c>
      <c r="G136" s="63">
        <f t="shared" si="30"/>
        <v>1013.7333333333335</v>
      </c>
      <c r="H136" s="63">
        <f t="shared" si="22"/>
        <v>4054.9333333333334</v>
      </c>
      <c r="I136" s="312">
        <f t="shared" si="23"/>
        <v>4054.9333333333334</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4054.9333333333334</v>
      </c>
      <c r="Q136" s="312" t="str">
        <f t="shared" si="27"/>
        <v>No</v>
      </c>
      <c r="R136" s="312">
        <f t="shared" si="28"/>
        <v>1304.9333333333334</v>
      </c>
      <c r="S136" s="15">
        <f t="shared" si="29"/>
        <v>-1304.9333333333334</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5110.333333333333</v>
      </c>
      <c r="G137" s="63">
        <f t="shared" si="30"/>
        <v>1022.0666666666666</v>
      </c>
      <c r="H137" s="63">
        <f t="shared" si="22"/>
        <v>4088.2666666666664</v>
      </c>
      <c r="I137" s="312">
        <f t="shared" si="23"/>
        <v>4088.2666666666664</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4088.2666666666664</v>
      </c>
      <c r="Q137" s="312" t="str">
        <f t="shared" si="27"/>
        <v>No</v>
      </c>
      <c r="R137" s="312">
        <f t="shared" si="28"/>
        <v>1338.2666666666664</v>
      </c>
      <c r="S137" s="15">
        <f t="shared" si="29"/>
        <v>-1338.2666666666664</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5152</v>
      </c>
      <c r="G138" s="63">
        <f t="shared" si="30"/>
        <v>1030.4000000000001</v>
      </c>
      <c r="H138" s="63">
        <f t="shared" ref="H138:H201" si="39">F138-G138</f>
        <v>4121.6000000000004</v>
      </c>
      <c r="I138" s="312">
        <f t="shared" ref="I138:I201" si="40">C138+H138</f>
        <v>4121.6000000000004</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4121.6000000000004</v>
      </c>
      <c r="Q138" s="312" t="str">
        <f t="shared" ref="Q138:Q201" si="44">IF(P138&lt;$H$2,"Yes","No")</f>
        <v>No</v>
      </c>
      <c r="R138" s="312">
        <f t="shared" ref="R138:R201" si="45">IF(P138&gt;$H$2,P138-$H$2,0)</f>
        <v>1371.6000000000004</v>
      </c>
      <c r="S138" s="15">
        <f t="shared" ref="S138:S201" si="46">IF(P138&gt;$H$2,O138-R138,O138)</f>
        <v>-1371.6000000000004</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5193.666666666667</v>
      </c>
      <c r="G139" s="63">
        <f t="shared" ref="G139:G202" si="47">F139*0.2</f>
        <v>1038.7333333333333</v>
      </c>
      <c r="H139" s="63">
        <f t="shared" si="39"/>
        <v>4154.9333333333334</v>
      </c>
      <c r="I139" s="312">
        <f t="shared" si="40"/>
        <v>4154.9333333333334</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4154.9333333333334</v>
      </c>
      <c r="Q139" s="312" t="str">
        <f t="shared" si="44"/>
        <v>No</v>
      </c>
      <c r="R139" s="312">
        <f t="shared" si="45"/>
        <v>1404.9333333333334</v>
      </c>
      <c r="S139" s="15">
        <f t="shared" si="46"/>
        <v>-1404.9333333333334</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5235.333333333333</v>
      </c>
      <c r="G140" s="63">
        <f t="shared" si="47"/>
        <v>1047.0666666666666</v>
      </c>
      <c r="H140" s="63">
        <f t="shared" si="39"/>
        <v>4188.2666666666664</v>
      </c>
      <c r="I140" s="312">
        <f t="shared" si="40"/>
        <v>4188.2666666666664</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4188.2666666666664</v>
      </c>
      <c r="Q140" s="312" t="str">
        <f t="shared" si="44"/>
        <v>No</v>
      </c>
      <c r="R140" s="312">
        <f t="shared" si="45"/>
        <v>1438.2666666666664</v>
      </c>
      <c r="S140" s="15">
        <f t="shared" si="46"/>
        <v>-1438.2666666666664</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5277</v>
      </c>
      <c r="G141" s="63">
        <f t="shared" si="47"/>
        <v>1055.4000000000001</v>
      </c>
      <c r="H141" s="63">
        <f t="shared" si="39"/>
        <v>4221.6000000000004</v>
      </c>
      <c r="I141" s="312">
        <f t="shared" si="40"/>
        <v>4221.6000000000004</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4221.6000000000004</v>
      </c>
      <c r="Q141" s="312" t="str">
        <f t="shared" si="44"/>
        <v>No</v>
      </c>
      <c r="R141" s="312">
        <f t="shared" si="45"/>
        <v>1471.6000000000004</v>
      </c>
      <c r="S141" s="15">
        <f t="shared" si="46"/>
        <v>-1471.6000000000004</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5318.666666666667</v>
      </c>
      <c r="G142" s="63">
        <f t="shared" si="47"/>
        <v>1063.7333333333333</v>
      </c>
      <c r="H142" s="63">
        <f t="shared" si="39"/>
        <v>4254.9333333333334</v>
      </c>
      <c r="I142" s="312">
        <f t="shared" si="40"/>
        <v>4254.9333333333334</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4254.9333333333334</v>
      </c>
      <c r="Q142" s="312" t="str">
        <f t="shared" si="44"/>
        <v>No</v>
      </c>
      <c r="R142" s="312">
        <f t="shared" si="45"/>
        <v>1504.9333333333334</v>
      </c>
      <c r="S142" s="15">
        <f t="shared" si="46"/>
        <v>-1504.9333333333334</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5360.333333333333</v>
      </c>
      <c r="G143" s="63">
        <f t="shared" si="47"/>
        <v>1072.0666666666666</v>
      </c>
      <c r="H143" s="63">
        <f t="shared" si="39"/>
        <v>4288.2666666666664</v>
      </c>
      <c r="I143" s="312">
        <f t="shared" si="40"/>
        <v>4288.2666666666664</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4288.2666666666664</v>
      </c>
      <c r="Q143" s="312" t="str">
        <f t="shared" si="44"/>
        <v>No</v>
      </c>
      <c r="R143" s="312">
        <f t="shared" si="45"/>
        <v>1538.2666666666664</v>
      </c>
      <c r="S143" s="15">
        <f t="shared" si="46"/>
        <v>-1538.2666666666664</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5402</v>
      </c>
      <c r="G144" s="63">
        <f t="shared" si="47"/>
        <v>1080.4000000000001</v>
      </c>
      <c r="H144" s="63">
        <f t="shared" si="39"/>
        <v>4321.6000000000004</v>
      </c>
      <c r="I144" s="312">
        <f t="shared" si="40"/>
        <v>4321.6000000000004</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4321.6000000000004</v>
      </c>
      <c r="Q144" s="312" t="str">
        <f t="shared" si="44"/>
        <v>No</v>
      </c>
      <c r="R144" s="312">
        <f t="shared" si="45"/>
        <v>1571.6000000000004</v>
      </c>
      <c r="S144" s="15">
        <f t="shared" si="46"/>
        <v>-1571.6000000000004</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5443.666666666667</v>
      </c>
      <c r="G145" s="63">
        <f t="shared" si="47"/>
        <v>1088.7333333333333</v>
      </c>
      <c r="H145" s="63">
        <f t="shared" si="39"/>
        <v>4354.9333333333334</v>
      </c>
      <c r="I145" s="312">
        <f t="shared" si="40"/>
        <v>4354.9333333333334</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4354.9333333333334</v>
      </c>
      <c r="Q145" s="312" t="str">
        <f t="shared" si="44"/>
        <v>No</v>
      </c>
      <c r="R145" s="312">
        <f t="shared" si="45"/>
        <v>1604.9333333333334</v>
      </c>
      <c r="S145" s="15">
        <f t="shared" si="46"/>
        <v>-1604.9333333333334</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5485.333333333333</v>
      </c>
      <c r="G146" s="63">
        <f t="shared" si="47"/>
        <v>1097.0666666666666</v>
      </c>
      <c r="H146" s="63">
        <f t="shared" si="39"/>
        <v>4388.2666666666664</v>
      </c>
      <c r="I146" s="312">
        <f t="shared" si="40"/>
        <v>4388.2666666666664</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4388.2666666666664</v>
      </c>
      <c r="Q146" s="312" t="str">
        <f t="shared" si="44"/>
        <v>No</v>
      </c>
      <c r="R146" s="312">
        <f t="shared" si="45"/>
        <v>1638.2666666666664</v>
      </c>
      <c r="S146" s="15">
        <f t="shared" si="46"/>
        <v>-1638.2666666666664</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5527</v>
      </c>
      <c r="G147" s="63">
        <f t="shared" si="47"/>
        <v>1105.4000000000001</v>
      </c>
      <c r="H147" s="63">
        <f t="shared" si="39"/>
        <v>4421.6000000000004</v>
      </c>
      <c r="I147" s="312">
        <f t="shared" si="40"/>
        <v>4421.6000000000004</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4421.6000000000004</v>
      </c>
      <c r="Q147" s="312" t="str">
        <f t="shared" si="44"/>
        <v>No</v>
      </c>
      <c r="R147" s="312">
        <f t="shared" si="45"/>
        <v>1671.6000000000004</v>
      </c>
      <c r="S147" s="15">
        <f t="shared" si="46"/>
        <v>-1671.6000000000004</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5568.666666666667</v>
      </c>
      <c r="G148" s="63">
        <f t="shared" si="47"/>
        <v>1113.7333333333333</v>
      </c>
      <c r="H148" s="63">
        <f t="shared" si="39"/>
        <v>4454.9333333333334</v>
      </c>
      <c r="I148" s="312">
        <f t="shared" si="40"/>
        <v>4454.9333333333334</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4454.9333333333334</v>
      </c>
      <c r="Q148" s="312" t="str">
        <f t="shared" si="44"/>
        <v>No</v>
      </c>
      <c r="R148" s="312">
        <f t="shared" si="45"/>
        <v>1704.9333333333334</v>
      </c>
      <c r="S148" s="15">
        <f t="shared" si="46"/>
        <v>-1704.9333333333334</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5610.333333333333</v>
      </c>
      <c r="G149" s="63">
        <f t="shared" si="47"/>
        <v>1122.0666666666666</v>
      </c>
      <c r="H149" s="63">
        <f t="shared" si="39"/>
        <v>4488.2666666666664</v>
      </c>
      <c r="I149" s="312">
        <f t="shared" si="40"/>
        <v>4488.2666666666664</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4488.2666666666664</v>
      </c>
      <c r="Q149" s="312" t="str">
        <f t="shared" si="44"/>
        <v>No</v>
      </c>
      <c r="R149" s="312">
        <f t="shared" si="45"/>
        <v>1738.2666666666664</v>
      </c>
      <c r="S149" s="15">
        <f t="shared" si="46"/>
        <v>-1738.2666666666664</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5652</v>
      </c>
      <c r="G150" s="63">
        <f t="shared" si="47"/>
        <v>1130.4000000000001</v>
      </c>
      <c r="H150" s="63">
        <f t="shared" si="39"/>
        <v>4521.6000000000004</v>
      </c>
      <c r="I150" s="312">
        <f t="shared" si="40"/>
        <v>4521.6000000000004</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4521.6000000000004</v>
      </c>
      <c r="Q150" s="312" t="str">
        <f t="shared" si="44"/>
        <v>No</v>
      </c>
      <c r="R150" s="312">
        <f t="shared" si="45"/>
        <v>1771.6000000000004</v>
      </c>
      <c r="S150" s="15">
        <f t="shared" si="46"/>
        <v>-1771.6000000000004</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5693.666666666667</v>
      </c>
      <c r="G151" s="63">
        <f t="shared" si="47"/>
        <v>1138.7333333333333</v>
      </c>
      <c r="H151" s="63">
        <f t="shared" si="39"/>
        <v>4554.9333333333334</v>
      </c>
      <c r="I151" s="312">
        <f t="shared" si="40"/>
        <v>4554.9333333333334</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4554.9333333333334</v>
      </c>
      <c r="Q151" s="312" t="str">
        <f t="shared" si="44"/>
        <v>No</v>
      </c>
      <c r="R151" s="312">
        <f t="shared" si="45"/>
        <v>1804.9333333333334</v>
      </c>
      <c r="S151" s="15">
        <f t="shared" si="46"/>
        <v>-1804.9333333333334</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5735.333333333333</v>
      </c>
      <c r="G152" s="63">
        <f t="shared" si="47"/>
        <v>1147.0666666666666</v>
      </c>
      <c r="H152" s="63">
        <f t="shared" si="39"/>
        <v>4588.2666666666664</v>
      </c>
      <c r="I152" s="312">
        <f t="shared" si="40"/>
        <v>4588.2666666666664</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4588.2666666666664</v>
      </c>
      <c r="Q152" s="312" t="str">
        <f t="shared" si="44"/>
        <v>No</v>
      </c>
      <c r="R152" s="312">
        <f t="shared" si="45"/>
        <v>1838.2666666666664</v>
      </c>
      <c r="S152" s="15">
        <f t="shared" si="46"/>
        <v>-1838.2666666666664</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5777</v>
      </c>
      <c r="G153" s="63">
        <f t="shared" si="47"/>
        <v>1155.4000000000001</v>
      </c>
      <c r="H153" s="63">
        <f t="shared" si="39"/>
        <v>4621.6000000000004</v>
      </c>
      <c r="I153" s="312">
        <f t="shared" si="40"/>
        <v>4621.6000000000004</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4621.6000000000004</v>
      </c>
      <c r="Q153" s="312" t="str">
        <f t="shared" si="44"/>
        <v>No</v>
      </c>
      <c r="R153" s="312">
        <f t="shared" si="45"/>
        <v>1871.6000000000004</v>
      </c>
      <c r="S153" s="15">
        <f t="shared" si="46"/>
        <v>-1871.6000000000004</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5818.666666666667</v>
      </c>
      <c r="G154" s="63">
        <f t="shared" si="47"/>
        <v>1163.7333333333333</v>
      </c>
      <c r="H154" s="63">
        <f t="shared" si="39"/>
        <v>4654.9333333333334</v>
      </c>
      <c r="I154" s="312">
        <f t="shared" si="40"/>
        <v>4654.9333333333334</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4654.9333333333334</v>
      </c>
      <c r="Q154" s="312" t="str">
        <f t="shared" si="44"/>
        <v>No</v>
      </c>
      <c r="R154" s="312">
        <f t="shared" si="45"/>
        <v>1904.9333333333334</v>
      </c>
      <c r="S154" s="15">
        <f t="shared" si="46"/>
        <v>-1904.9333333333334</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5860.333333333333</v>
      </c>
      <c r="G155" s="63">
        <f t="shared" si="47"/>
        <v>1172.0666666666666</v>
      </c>
      <c r="H155" s="63">
        <f t="shared" si="39"/>
        <v>4688.2666666666664</v>
      </c>
      <c r="I155" s="312">
        <f t="shared" si="40"/>
        <v>4688.2666666666664</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4688.2666666666664</v>
      </c>
      <c r="Q155" s="312" t="str">
        <f t="shared" si="44"/>
        <v>No</v>
      </c>
      <c r="R155" s="312">
        <f t="shared" si="45"/>
        <v>1938.2666666666664</v>
      </c>
      <c r="S155" s="15">
        <f t="shared" si="46"/>
        <v>-1938.2666666666664</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5902</v>
      </c>
      <c r="G156" s="63">
        <f t="shared" si="47"/>
        <v>1180.4000000000001</v>
      </c>
      <c r="H156" s="63">
        <f t="shared" si="39"/>
        <v>4721.6000000000004</v>
      </c>
      <c r="I156" s="312">
        <f t="shared" si="40"/>
        <v>4721.6000000000004</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4721.6000000000004</v>
      </c>
      <c r="Q156" s="312" t="str">
        <f t="shared" si="44"/>
        <v>No</v>
      </c>
      <c r="R156" s="312">
        <f t="shared" si="45"/>
        <v>1971.6000000000004</v>
      </c>
      <c r="S156" s="15">
        <f t="shared" si="46"/>
        <v>-1971.6000000000004</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5943.666666666667</v>
      </c>
      <c r="G157" s="63">
        <f t="shared" si="47"/>
        <v>1188.7333333333333</v>
      </c>
      <c r="H157" s="63">
        <f t="shared" si="39"/>
        <v>4754.9333333333334</v>
      </c>
      <c r="I157" s="312">
        <f t="shared" si="40"/>
        <v>4754.9333333333334</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4754.9333333333334</v>
      </c>
      <c r="Q157" s="312" t="str">
        <f t="shared" si="44"/>
        <v>No</v>
      </c>
      <c r="R157" s="312">
        <f t="shared" si="45"/>
        <v>2004.9333333333334</v>
      </c>
      <c r="S157" s="15">
        <f t="shared" si="46"/>
        <v>-2004.9333333333334</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5985.333333333333</v>
      </c>
      <c r="G158" s="63">
        <f t="shared" si="47"/>
        <v>1197.0666666666666</v>
      </c>
      <c r="H158" s="63">
        <f t="shared" si="39"/>
        <v>4788.2666666666664</v>
      </c>
      <c r="I158" s="312">
        <f t="shared" si="40"/>
        <v>4788.2666666666664</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4788.2666666666664</v>
      </c>
      <c r="Q158" s="312" t="str">
        <f t="shared" si="44"/>
        <v>No</v>
      </c>
      <c r="R158" s="312">
        <f t="shared" si="45"/>
        <v>2038.2666666666664</v>
      </c>
      <c r="S158" s="15">
        <f t="shared" si="46"/>
        <v>-2038.2666666666664</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6027</v>
      </c>
      <c r="G159" s="63">
        <f t="shared" si="47"/>
        <v>1205.4000000000001</v>
      </c>
      <c r="H159" s="63">
        <f t="shared" si="39"/>
        <v>4821.6000000000004</v>
      </c>
      <c r="I159" s="312">
        <f t="shared" si="40"/>
        <v>4821.6000000000004</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4821.6000000000004</v>
      </c>
      <c r="Q159" s="312" t="str">
        <f t="shared" si="44"/>
        <v>No</v>
      </c>
      <c r="R159" s="312">
        <f t="shared" si="45"/>
        <v>2071.6000000000004</v>
      </c>
      <c r="S159" s="15">
        <f t="shared" si="46"/>
        <v>-2071.6000000000004</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6068.666666666667</v>
      </c>
      <c r="G160" s="63">
        <f t="shared" si="47"/>
        <v>1213.7333333333333</v>
      </c>
      <c r="H160" s="63">
        <f t="shared" si="39"/>
        <v>4854.9333333333334</v>
      </c>
      <c r="I160" s="312">
        <f t="shared" si="40"/>
        <v>4854.9333333333334</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4854.9333333333334</v>
      </c>
      <c r="Q160" s="312" t="str">
        <f t="shared" si="44"/>
        <v>No</v>
      </c>
      <c r="R160" s="312">
        <f t="shared" si="45"/>
        <v>2104.9333333333334</v>
      </c>
      <c r="S160" s="15">
        <f t="shared" si="46"/>
        <v>-2104.9333333333334</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6110.333333333333</v>
      </c>
      <c r="G161" s="63">
        <f t="shared" si="47"/>
        <v>1222.0666666666666</v>
      </c>
      <c r="H161" s="63">
        <f t="shared" si="39"/>
        <v>4888.2666666666664</v>
      </c>
      <c r="I161" s="312">
        <f t="shared" si="40"/>
        <v>4888.2666666666664</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4888.2666666666664</v>
      </c>
      <c r="Q161" s="312" t="str">
        <f t="shared" si="44"/>
        <v>No</v>
      </c>
      <c r="R161" s="312">
        <f t="shared" si="45"/>
        <v>2138.2666666666664</v>
      </c>
      <c r="S161" s="15">
        <f t="shared" si="46"/>
        <v>-2138.2666666666664</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6152</v>
      </c>
      <c r="G162" s="63">
        <f t="shared" si="47"/>
        <v>1230.4000000000001</v>
      </c>
      <c r="H162" s="63">
        <f t="shared" si="39"/>
        <v>4921.6000000000004</v>
      </c>
      <c r="I162" s="312">
        <f t="shared" si="40"/>
        <v>4921.6000000000004</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4921.6000000000004</v>
      </c>
      <c r="Q162" s="312" t="str">
        <f t="shared" si="44"/>
        <v>No</v>
      </c>
      <c r="R162" s="312">
        <f t="shared" si="45"/>
        <v>2171.6000000000004</v>
      </c>
      <c r="S162" s="15">
        <f t="shared" si="46"/>
        <v>-2171.6000000000004</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6193.666666666667</v>
      </c>
      <c r="G163" s="63">
        <f t="shared" si="47"/>
        <v>1238.7333333333336</v>
      </c>
      <c r="H163" s="63">
        <f t="shared" si="39"/>
        <v>4954.9333333333334</v>
      </c>
      <c r="I163" s="312">
        <f t="shared" si="40"/>
        <v>4954.9333333333334</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4954.9333333333334</v>
      </c>
      <c r="Q163" s="312" t="str">
        <f t="shared" si="44"/>
        <v>No</v>
      </c>
      <c r="R163" s="312">
        <f t="shared" si="45"/>
        <v>2204.9333333333334</v>
      </c>
      <c r="S163" s="15">
        <f t="shared" si="46"/>
        <v>-2204.9333333333334</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6235.333333333333</v>
      </c>
      <c r="G164" s="63">
        <f t="shared" si="47"/>
        <v>1247.0666666666666</v>
      </c>
      <c r="H164" s="63">
        <f t="shared" si="39"/>
        <v>4988.2666666666664</v>
      </c>
      <c r="I164" s="312">
        <f t="shared" si="40"/>
        <v>4988.2666666666664</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4988.2666666666664</v>
      </c>
      <c r="Q164" s="312" t="str">
        <f t="shared" si="44"/>
        <v>No</v>
      </c>
      <c r="R164" s="312">
        <f t="shared" si="45"/>
        <v>2238.2666666666664</v>
      </c>
      <c r="S164" s="15">
        <f t="shared" si="46"/>
        <v>-2238.2666666666664</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6277</v>
      </c>
      <c r="G165" s="63">
        <f t="shared" si="47"/>
        <v>1255.4000000000001</v>
      </c>
      <c r="H165" s="63">
        <f t="shared" si="39"/>
        <v>5021.6000000000004</v>
      </c>
      <c r="I165" s="312">
        <f t="shared" si="40"/>
        <v>5021.6000000000004</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5021.6000000000004</v>
      </c>
      <c r="Q165" s="312" t="str">
        <f t="shared" si="44"/>
        <v>No</v>
      </c>
      <c r="R165" s="312">
        <f t="shared" si="45"/>
        <v>2271.6000000000004</v>
      </c>
      <c r="S165" s="15">
        <f t="shared" si="46"/>
        <v>-2271.6000000000004</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6318.666666666667</v>
      </c>
      <c r="G166" s="63">
        <f t="shared" si="47"/>
        <v>1263.7333333333336</v>
      </c>
      <c r="H166" s="63">
        <f t="shared" si="39"/>
        <v>5054.9333333333334</v>
      </c>
      <c r="I166" s="312">
        <f t="shared" si="40"/>
        <v>5054.9333333333334</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5054.9333333333334</v>
      </c>
      <c r="Q166" s="312" t="str">
        <f t="shared" si="44"/>
        <v>No</v>
      </c>
      <c r="R166" s="312">
        <f t="shared" si="45"/>
        <v>2304.9333333333334</v>
      </c>
      <c r="S166" s="15">
        <f t="shared" si="46"/>
        <v>-2304.9333333333334</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6360.333333333333</v>
      </c>
      <c r="G167" s="63">
        <f t="shared" si="47"/>
        <v>1272.0666666666666</v>
      </c>
      <c r="H167" s="63">
        <f t="shared" si="39"/>
        <v>5088.2666666666664</v>
      </c>
      <c r="I167" s="312">
        <f t="shared" si="40"/>
        <v>5088.2666666666664</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5088.2666666666664</v>
      </c>
      <c r="Q167" s="312" t="str">
        <f t="shared" si="44"/>
        <v>No</v>
      </c>
      <c r="R167" s="312">
        <f t="shared" si="45"/>
        <v>2338.2666666666664</v>
      </c>
      <c r="S167" s="15">
        <f t="shared" si="46"/>
        <v>-2338.2666666666664</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6402</v>
      </c>
      <c r="G168" s="63">
        <f t="shared" si="47"/>
        <v>1280.4000000000001</v>
      </c>
      <c r="H168" s="63">
        <f t="shared" si="39"/>
        <v>5121.6000000000004</v>
      </c>
      <c r="I168" s="312">
        <f t="shared" si="40"/>
        <v>5121.6000000000004</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5121.6000000000004</v>
      </c>
      <c r="Q168" s="312" t="str">
        <f t="shared" si="44"/>
        <v>No</v>
      </c>
      <c r="R168" s="312">
        <f t="shared" si="45"/>
        <v>2371.6000000000004</v>
      </c>
      <c r="S168" s="15">
        <f t="shared" si="46"/>
        <v>-2371.6000000000004</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6443.666666666667</v>
      </c>
      <c r="G169" s="63">
        <f t="shared" si="47"/>
        <v>1288.7333333333336</v>
      </c>
      <c r="H169" s="63">
        <f t="shared" si="39"/>
        <v>5154.9333333333334</v>
      </c>
      <c r="I169" s="312">
        <f t="shared" si="40"/>
        <v>5154.9333333333334</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5154.9333333333334</v>
      </c>
      <c r="Q169" s="312" t="str">
        <f t="shared" si="44"/>
        <v>No</v>
      </c>
      <c r="R169" s="312">
        <f t="shared" si="45"/>
        <v>2404.9333333333334</v>
      </c>
      <c r="S169" s="15">
        <f t="shared" si="46"/>
        <v>-2404.9333333333334</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6485.333333333333</v>
      </c>
      <c r="G170" s="63">
        <f t="shared" si="47"/>
        <v>1297.0666666666666</v>
      </c>
      <c r="H170" s="63">
        <f t="shared" si="39"/>
        <v>5188.2666666666664</v>
      </c>
      <c r="I170" s="312">
        <f t="shared" si="40"/>
        <v>5188.2666666666664</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5188.2666666666664</v>
      </c>
      <c r="Q170" s="312" t="str">
        <f t="shared" si="44"/>
        <v>No</v>
      </c>
      <c r="R170" s="312">
        <f t="shared" si="45"/>
        <v>2438.2666666666664</v>
      </c>
      <c r="S170" s="15">
        <f t="shared" si="46"/>
        <v>-2438.2666666666664</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6527</v>
      </c>
      <c r="G171" s="63">
        <f t="shared" si="47"/>
        <v>1305.4000000000001</v>
      </c>
      <c r="H171" s="63">
        <f t="shared" si="39"/>
        <v>5221.6000000000004</v>
      </c>
      <c r="I171" s="312">
        <f t="shared" si="40"/>
        <v>5221.6000000000004</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5221.6000000000004</v>
      </c>
      <c r="Q171" s="312" t="str">
        <f t="shared" si="44"/>
        <v>No</v>
      </c>
      <c r="R171" s="312">
        <f t="shared" si="45"/>
        <v>2471.6000000000004</v>
      </c>
      <c r="S171" s="15">
        <f t="shared" si="46"/>
        <v>-2471.6000000000004</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6568.666666666667</v>
      </c>
      <c r="G172" s="63">
        <f t="shared" si="47"/>
        <v>1313.7333333333336</v>
      </c>
      <c r="H172" s="63">
        <f t="shared" si="39"/>
        <v>5254.9333333333334</v>
      </c>
      <c r="I172" s="312">
        <f t="shared" si="40"/>
        <v>5254.9333333333334</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5254.9333333333334</v>
      </c>
      <c r="Q172" s="312" t="str">
        <f t="shared" si="44"/>
        <v>No</v>
      </c>
      <c r="R172" s="312">
        <f t="shared" si="45"/>
        <v>2504.9333333333334</v>
      </c>
      <c r="S172" s="15">
        <f t="shared" si="46"/>
        <v>-2504.9333333333334</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6610.333333333333</v>
      </c>
      <c r="G173" s="63">
        <f t="shared" si="47"/>
        <v>1322.0666666666666</v>
      </c>
      <c r="H173" s="63">
        <f t="shared" si="39"/>
        <v>5288.2666666666664</v>
      </c>
      <c r="I173" s="312">
        <f t="shared" si="40"/>
        <v>5288.2666666666664</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5288.2666666666664</v>
      </c>
      <c r="Q173" s="312" t="str">
        <f t="shared" si="44"/>
        <v>No</v>
      </c>
      <c r="R173" s="312">
        <f t="shared" si="45"/>
        <v>2538.2666666666664</v>
      </c>
      <c r="S173" s="15">
        <f t="shared" si="46"/>
        <v>-2538.2666666666664</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6652</v>
      </c>
      <c r="G174" s="63">
        <f t="shared" si="47"/>
        <v>1330.4</v>
      </c>
      <c r="H174" s="63">
        <f t="shared" si="39"/>
        <v>5321.6</v>
      </c>
      <c r="I174" s="312">
        <f t="shared" si="40"/>
        <v>5321.6</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5321.6</v>
      </c>
      <c r="Q174" s="312" t="str">
        <f t="shared" si="44"/>
        <v>No</v>
      </c>
      <c r="R174" s="312">
        <f t="shared" si="45"/>
        <v>2571.6000000000004</v>
      </c>
      <c r="S174" s="15">
        <f t="shared" si="46"/>
        <v>-2571.6000000000004</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6693.666666666667</v>
      </c>
      <c r="G175" s="63">
        <f t="shared" si="47"/>
        <v>1338.7333333333336</v>
      </c>
      <c r="H175" s="63">
        <f t="shared" si="39"/>
        <v>5354.9333333333334</v>
      </c>
      <c r="I175" s="312">
        <f t="shared" si="40"/>
        <v>5354.9333333333334</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5354.9333333333334</v>
      </c>
      <c r="Q175" s="312" t="str">
        <f t="shared" si="44"/>
        <v>No</v>
      </c>
      <c r="R175" s="312">
        <f t="shared" si="45"/>
        <v>2604.9333333333334</v>
      </c>
      <c r="S175" s="15">
        <f t="shared" si="46"/>
        <v>-2604.9333333333334</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6735.333333333333</v>
      </c>
      <c r="G176" s="63">
        <f t="shared" si="47"/>
        <v>1347.0666666666666</v>
      </c>
      <c r="H176" s="63">
        <f t="shared" si="39"/>
        <v>5388.2666666666664</v>
      </c>
      <c r="I176" s="312">
        <f t="shared" si="40"/>
        <v>5388.2666666666664</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5388.2666666666664</v>
      </c>
      <c r="Q176" s="312" t="str">
        <f t="shared" si="44"/>
        <v>No</v>
      </c>
      <c r="R176" s="312">
        <f t="shared" si="45"/>
        <v>2638.2666666666664</v>
      </c>
      <c r="S176" s="15">
        <f t="shared" si="46"/>
        <v>-2638.2666666666664</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6777</v>
      </c>
      <c r="G177" s="63">
        <f t="shared" si="47"/>
        <v>1355.4</v>
      </c>
      <c r="H177" s="63">
        <f t="shared" si="39"/>
        <v>5421.6</v>
      </c>
      <c r="I177" s="312">
        <f t="shared" si="40"/>
        <v>5421.6</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5421.6</v>
      </c>
      <c r="Q177" s="312" t="str">
        <f t="shared" si="44"/>
        <v>No</v>
      </c>
      <c r="R177" s="312">
        <f t="shared" si="45"/>
        <v>2671.6000000000004</v>
      </c>
      <c r="S177" s="15">
        <f t="shared" si="46"/>
        <v>-2671.6000000000004</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6818.666666666667</v>
      </c>
      <c r="G178" s="63">
        <f t="shared" si="47"/>
        <v>1363.7333333333336</v>
      </c>
      <c r="H178" s="63">
        <f t="shared" si="39"/>
        <v>5454.9333333333334</v>
      </c>
      <c r="I178" s="312">
        <f t="shared" si="40"/>
        <v>5454.9333333333334</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5454.9333333333334</v>
      </c>
      <c r="Q178" s="312" t="str">
        <f t="shared" si="44"/>
        <v>No</v>
      </c>
      <c r="R178" s="312">
        <f t="shared" si="45"/>
        <v>2704.9333333333334</v>
      </c>
      <c r="S178" s="15">
        <f t="shared" si="46"/>
        <v>-2704.9333333333334</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6860.333333333333</v>
      </c>
      <c r="G179" s="63">
        <f t="shared" si="47"/>
        <v>1372.0666666666666</v>
      </c>
      <c r="H179" s="63">
        <f t="shared" si="39"/>
        <v>5488.2666666666664</v>
      </c>
      <c r="I179" s="312">
        <f t="shared" si="40"/>
        <v>5488.2666666666664</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5488.2666666666664</v>
      </c>
      <c r="Q179" s="312" t="str">
        <f t="shared" si="44"/>
        <v>No</v>
      </c>
      <c r="R179" s="312">
        <f t="shared" si="45"/>
        <v>2738.2666666666664</v>
      </c>
      <c r="S179" s="15">
        <f t="shared" si="46"/>
        <v>-2738.2666666666664</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6902</v>
      </c>
      <c r="G180" s="63">
        <f t="shared" si="47"/>
        <v>1380.4</v>
      </c>
      <c r="H180" s="63">
        <f t="shared" si="39"/>
        <v>5521.6</v>
      </c>
      <c r="I180" s="312">
        <f t="shared" si="40"/>
        <v>5521.6</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5521.6</v>
      </c>
      <c r="Q180" s="312" t="str">
        <f t="shared" si="44"/>
        <v>No</v>
      </c>
      <c r="R180" s="312">
        <f t="shared" si="45"/>
        <v>2771.6000000000004</v>
      </c>
      <c r="S180" s="15">
        <f t="shared" si="46"/>
        <v>-2771.6000000000004</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6943.666666666667</v>
      </c>
      <c r="G181" s="63">
        <f t="shared" si="47"/>
        <v>1388.7333333333336</v>
      </c>
      <c r="H181" s="63">
        <f t="shared" si="39"/>
        <v>5554.9333333333334</v>
      </c>
      <c r="I181" s="312">
        <f t="shared" si="40"/>
        <v>5554.9333333333334</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5554.9333333333334</v>
      </c>
      <c r="Q181" s="312" t="str">
        <f t="shared" si="44"/>
        <v>No</v>
      </c>
      <c r="R181" s="312">
        <f t="shared" si="45"/>
        <v>2804.9333333333334</v>
      </c>
      <c r="S181" s="15">
        <f t="shared" si="46"/>
        <v>-2804.9333333333334</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6985.333333333333</v>
      </c>
      <c r="G182" s="63">
        <f t="shared" si="47"/>
        <v>1397.0666666666666</v>
      </c>
      <c r="H182" s="63">
        <f t="shared" si="39"/>
        <v>5588.2666666666664</v>
      </c>
      <c r="I182" s="312">
        <f t="shared" si="40"/>
        <v>5588.2666666666664</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5588.2666666666664</v>
      </c>
      <c r="Q182" s="312" t="str">
        <f t="shared" si="44"/>
        <v>No</v>
      </c>
      <c r="R182" s="312">
        <f t="shared" si="45"/>
        <v>2838.2666666666664</v>
      </c>
      <c r="S182" s="15">
        <f t="shared" si="46"/>
        <v>-2838.2666666666664</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7027</v>
      </c>
      <c r="G183" s="63">
        <f t="shared" si="47"/>
        <v>1405.4</v>
      </c>
      <c r="H183" s="63">
        <f t="shared" si="39"/>
        <v>5621.6</v>
      </c>
      <c r="I183" s="312">
        <f t="shared" si="40"/>
        <v>5621.6</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5621.6</v>
      </c>
      <c r="Q183" s="312" t="str">
        <f t="shared" si="44"/>
        <v>No</v>
      </c>
      <c r="R183" s="312">
        <f t="shared" si="45"/>
        <v>2871.6000000000004</v>
      </c>
      <c r="S183" s="15">
        <f t="shared" si="46"/>
        <v>-2871.6000000000004</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7068.666666666667</v>
      </c>
      <c r="G184" s="63">
        <f t="shared" si="47"/>
        <v>1413.7333333333336</v>
      </c>
      <c r="H184" s="63">
        <f t="shared" si="39"/>
        <v>5654.9333333333334</v>
      </c>
      <c r="I184" s="312">
        <f t="shared" si="40"/>
        <v>5654.9333333333334</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5654.9333333333334</v>
      </c>
      <c r="Q184" s="312" t="str">
        <f t="shared" si="44"/>
        <v>No</v>
      </c>
      <c r="R184" s="312">
        <f t="shared" si="45"/>
        <v>2904.9333333333334</v>
      </c>
      <c r="S184" s="15">
        <f t="shared" si="46"/>
        <v>-2904.9333333333334</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7110.333333333333</v>
      </c>
      <c r="G185" s="63">
        <f t="shared" si="47"/>
        <v>1422.0666666666666</v>
      </c>
      <c r="H185" s="63">
        <f t="shared" si="39"/>
        <v>5688.2666666666664</v>
      </c>
      <c r="I185" s="312">
        <f t="shared" si="40"/>
        <v>5688.2666666666664</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5688.2666666666664</v>
      </c>
      <c r="Q185" s="312" t="str">
        <f t="shared" si="44"/>
        <v>No</v>
      </c>
      <c r="R185" s="312">
        <f t="shared" si="45"/>
        <v>2938.2666666666664</v>
      </c>
      <c r="S185" s="15">
        <f t="shared" si="46"/>
        <v>-2938.2666666666664</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7152</v>
      </c>
      <c r="G186" s="63">
        <f t="shared" si="47"/>
        <v>1430.4</v>
      </c>
      <c r="H186" s="63">
        <f t="shared" si="39"/>
        <v>5721.6</v>
      </c>
      <c r="I186" s="312">
        <f t="shared" si="40"/>
        <v>5721.6</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5721.6</v>
      </c>
      <c r="Q186" s="312" t="str">
        <f t="shared" si="44"/>
        <v>No</v>
      </c>
      <c r="R186" s="312">
        <f t="shared" si="45"/>
        <v>2971.6000000000004</v>
      </c>
      <c r="S186" s="15">
        <f t="shared" si="46"/>
        <v>-2971.6000000000004</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7193.666666666667</v>
      </c>
      <c r="G187" s="63">
        <f t="shared" si="47"/>
        <v>1438.7333333333336</v>
      </c>
      <c r="H187" s="63">
        <f t="shared" si="39"/>
        <v>5754.9333333333334</v>
      </c>
      <c r="I187" s="312">
        <f t="shared" si="40"/>
        <v>5754.9333333333334</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5754.9333333333334</v>
      </c>
      <c r="Q187" s="312" t="str">
        <f t="shared" si="44"/>
        <v>No</v>
      </c>
      <c r="R187" s="312">
        <f t="shared" si="45"/>
        <v>3004.9333333333334</v>
      </c>
      <c r="S187" s="15">
        <f t="shared" si="46"/>
        <v>-3004.9333333333334</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7235.333333333333</v>
      </c>
      <c r="G188" s="63">
        <f t="shared" si="47"/>
        <v>1447.0666666666666</v>
      </c>
      <c r="H188" s="63">
        <f t="shared" si="39"/>
        <v>5788.2666666666664</v>
      </c>
      <c r="I188" s="312">
        <f t="shared" si="40"/>
        <v>5788.2666666666664</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5788.2666666666664</v>
      </c>
      <c r="Q188" s="312" t="str">
        <f t="shared" si="44"/>
        <v>No</v>
      </c>
      <c r="R188" s="312">
        <f t="shared" si="45"/>
        <v>3038.2666666666664</v>
      </c>
      <c r="S188" s="15">
        <f t="shared" si="46"/>
        <v>-3038.2666666666664</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7277</v>
      </c>
      <c r="G189" s="63">
        <f t="shared" si="47"/>
        <v>1455.4</v>
      </c>
      <c r="H189" s="63">
        <f t="shared" si="39"/>
        <v>5821.6</v>
      </c>
      <c r="I189" s="312">
        <f t="shared" si="40"/>
        <v>5821.6</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5821.6</v>
      </c>
      <c r="Q189" s="312" t="str">
        <f t="shared" si="44"/>
        <v>No</v>
      </c>
      <c r="R189" s="312">
        <f t="shared" si="45"/>
        <v>3071.6000000000004</v>
      </c>
      <c r="S189" s="15">
        <f t="shared" si="46"/>
        <v>-3071.6000000000004</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7318.666666666667</v>
      </c>
      <c r="G190" s="63">
        <f t="shared" si="47"/>
        <v>1463.7333333333336</v>
      </c>
      <c r="H190" s="63">
        <f t="shared" si="39"/>
        <v>5854.9333333333334</v>
      </c>
      <c r="I190" s="312">
        <f t="shared" si="40"/>
        <v>5854.9333333333334</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5854.9333333333334</v>
      </c>
      <c r="Q190" s="312" t="str">
        <f t="shared" si="44"/>
        <v>No</v>
      </c>
      <c r="R190" s="312">
        <f t="shared" si="45"/>
        <v>3104.9333333333334</v>
      </c>
      <c r="S190" s="15">
        <f t="shared" si="46"/>
        <v>-3104.9333333333334</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7360.333333333333</v>
      </c>
      <c r="G191" s="63">
        <f t="shared" si="47"/>
        <v>1472.0666666666666</v>
      </c>
      <c r="H191" s="63">
        <f t="shared" si="39"/>
        <v>5888.2666666666664</v>
      </c>
      <c r="I191" s="312">
        <f t="shared" si="40"/>
        <v>5888.2666666666664</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5888.2666666666664</v>
      </c>
      <c r="Q191" s="312" t="str">
        <f t="shared" si="44"/>
        <v>No</v>
      </c>
      <c r="R191" s="312">
        <f t="shared" si="45"/>
        <v>3138.2666666666664</v>
      </c>
      <c r="S191" s="15">
        <f t="shared" si="46"/>
        <v>-3138.2666666666664</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7402</v>
      </c>
      <c r="G192" s="63">
        <f t="shared" si="47"/>
        <v>1480.4</v>
      </c>
      <c r="H192" s="63">
        <f t="shared" si="39"/>
        <v>5921.6</v>
      </c>
      <c r="I192" s="312">
        <f t="shared" si="40"/>
        <v>5921.6</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5921.6</v>
      </c>
      <c r="Q192" s="312" t="str">
        <f t="shared" si="44"/>
        <v>No</v>
      </c>
      <c r="R192" s="312">
        <f t="shared" si="45"/>
        <v>3171.6000000000004</v>
      </c>
      <c r="S192" s="15">
        <f t="shared" si="46"/>
        <v>-3171.6000000000004</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7443.666666666667</v>
      </c>
      <c r="G193" s="63">
        <f t="shared" si="47"/>
        <v>1488.7333333333336</v>
      </c>
      <c r="H193" s="63">
        <f t="shared" si="39"/>
        <v>5954.9333333333334</v>
      </c>
      <c r="I193" s="312">
        <f t="shared" si="40"/>
        <v>5954.9333333333334</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5954.9333333333334</v>
      </c>
      <c r="Q193" s="312" t="str">
        <f t="shared" si="44"/>
        <v>No</v>
      </c>
      <c r="R193" s="312">
        <f t="shared" si="45"/>
        <v>3204.9333333333334</v>
      </c>
      <c r="S193" s="15">
        <f t="shared" si="46"/>
        <v>-3204.9333333333334</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7485.333333333333</v>
      </c>
      <c r="G194" s="63">
        <f t="shared" si="47"/>
        <v>1497.0666666666666</v>
      </c>
      <c r="H194" s="63">
        <f t="shared" si="39"/>
        <v>5988.2666666666664</v>
      </c>
      <c r="I194" s="312">
        <f t="shared" si="40"/>
        <v>5988.2666666666664</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5988.2666666666664</v>
      </c>
      <c r="Q194" s="312" t="str">
        <f t="shared" si="44"/>
        <v>No</v>
      </c>
      <c r="R194" s="312">
        <f t="shared" si="45"/>
        <v>3238.2666666666664</v>
      </c>
      <c r="S194" s="15">
        <f t="shared" si="46"/>
        <v>-3238.2666666666664</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7527</v>
      </c>
      <c r="G195" s="63">
        <f t="shared" si="47"/>
        <v>1505.4</v>
      </c>
      <c r="H195" s="63">
        <f t="shared" si="39"/>
        <v>6021.6</v>
      </c>
      <c r="I195" s="312">
        <f t="shared" si="40"/>
        <v>6021.6</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6021.6</v>
      </c>
      <c r="Q195" s="312" t="str">
        <f t="shared" si="44"/>
        <v>No</v>
      </c>
      <c r="R195" s="312">
        <f t="shared" si="45"/>
        <v>3271.6000000000004</v>
      </c>
      <c r="S195" s="15">
        <f t="shared" si="46"/>
        <v>-3271.6000000000004</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7568.666666666667</v>
      </c>
      <c r="G196" s="63">
        <f t="shared" si="47"/>
        <v>1513.7333333333336</v>
      </c>
      <c r="H196" s="63">
        <f t="shared" si="39"/>
        <v>6054.9333333333334</v>
      </c>
      <c r="I196" s="312">
        <f t="shared" si="40"/>
        <v>6054.9333333333334</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6054.9333333333334</v>
      </c>
      <c r="Q196" s="312" t="str">
        <f t="shared" si="44"/>
        <v>No</v>
      </c>
      <c r="R196" s="312">
        <f t="shared" si="45"/>
        <v>3304.9333333333334</v>
      </c>
      <c r="S196" s="15">
        <f t="shared" si="46"/>
        <v>-3304.9333333333334</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7610.333333333333</v>
      </c>
      <c r="G197" s="63">
        <f t="shared" si="47"/>
        <v>1522.0666666666666</v>
      </c>
      <c r="H197" s="63">
        <f t="shared" si="39"/>
        <v>6088.2666666666664</v>
      </c>
      <c r="I197" s="312">
        <f t="shared" si="40"/>
        <v>6088.2666666666664</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6088.2666666666664</v>
      </c>
      <c r="Q197" s="312" t="str">
        <f t="shared" si="44"/>
        <v>No</v>
      </c>
      <c r="R197" s="312">
        <f t="shared" si="45"/>
        <v>3338.2666666666664</v>
      </c>
      <c r="S197" s="15">
        <f t="shared" si="46"/>
        <v>-3338.2666666666664</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7652</v>
      </c>
      <c r="G198" s="63">
        <f t="shared" si="47"/>
        <v>1530.4</v>
      </c>
      <c r="H198" s="63">
        <f t="shared" si="39"/>
        <v>6121.6</v>
      </c>
      <c r="I198" s="312">
        <f t="shared" si="40"/>
        <v>6121.6</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6121.6</v>
      </c>
      <c r="Q198" s="312" t="str">
        <f t="shared" si="44"/>
        <v>No</v>
      </c>
      <c r="R198" s="312">
        <f t="shared" si="45"/>
        <v>3371.6000000000004</v>
      </c>
      <c r="S198" s="15">
        <f t="shared" si="46"/>
        <v>-3371.6000000000004</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7693.666666666667</v>
      </c>
      <c r="G199" s="63">
        <f t="shared" si="47"/>
        <v>1538.7333333333336</v>
      </c>
      <c r="H199" s="63">
        <f t="shared" si="39"/>
        <v>6154.9333333333334</v>
      </c>
      <c r="I199" s="312">
        <f t="shared" si="40"/>
        <v>6154.9333333333334</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6154.9333333333334</v>
      </c>
      <c r="Q199" s="312" t="str">
        <f t="shared" si="44"/>
        <v>No</v>
      </c>
      <c r="R199" s="312">
        <f t="shared" si="45"/>
        <v>3404.9333333333334</v>
      </c>
      <c r="S199" s="15">
        <f t="shared" si="46"/>
        <v>-3404.9333333333334</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7735.333333333333</v>
      </c>
      <c r="G200" s="63">
        <f t="shared" si="47"/>
        <v>1547.0666666666666</v>
      </c>
      <c r="H200" s="63">
        <f t="shared" si="39"/>
        <v>6188.2666666666664</v>
      </c>
      <c r="I200" s="312">
        <f t="shared" si="40"/>
        <v>6188.2666666666664</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6188.2666666666664</v>
      </c>
      <c r="Q200" s="312" t="str">
        <f t="shared" si="44"/>
        <v>No</v>
      </c>
      <c r="R200" s="312">
        <f t="shared" si="45"/>
        <v>3438.2666666666664</v>
      </c>
      <c r="S200" s="15">
        <f t="shared" si="46"/>
        <v>-3438.2666666666664</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7777</v>
      </c>
      <c r="G201" s="63">
        <f t="shared" si="47"/>
        <v>1555.4</v>
      </c>
      <c r="H201" s="63">
        <f t="shared" si="39"/>
        <v>6221.6</v>
      </c>
      <c r="I201" s="312">
        <f t="shared" si="40"/>
        <v>6221.6</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6221.6</v>
      </c>
      <c r="Q201" s="312" t="str">
        <f t="shared" si="44"/>
        <v>No</v>
      </c>
      <c r="R201" s="312">
        <f t="shared" si="45"/>
        <v>3471.6000000000004</v>
      </c>
      <c r="S201" s="15">
        <f t="shared" si="46"/>
        <v>-3471.6000000000004</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7818.666666666667</v>
      </c>
      <c r="G202" s="63">
        <f t="shared" si="47"/>
        <v>1563.7333333333336</v>
      </c>
      <c r="H202" s="63">
        <f t="shared" ref="H202:H209" si="55">F202-G202</f>
        <v>6254.9333333333334</v>
      </c>
      <c r="I202" s="312">
        <f t="shared" ref="I202:I209" si="56">C202+H202</f>
        <v>6254.9333333333334</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6254.9333333333334</v>
      </c>
      <c r="Q202" s="312" t="str">
        <f t="shared" ref="Q202:Q209" si="60">IF(P202&lt;$H$2,"Yes","No")</f>
        <v>No</v>
      </c>
      <c r="R202" s="312">
        <f t="shared" ref="R202:R209" si="61">IF(P202&gt;$H$2,P202-$H$2,0)</f>
        <v>3504.9333333333334</v>
      </c>
      <c r="S202" s="15">
        <f t="shared" ref="S202:S209" si="62">IF(P202&gt;$H$2,O202-R202,O202)</f>
        <v>-3504.9333333333334</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7860.333333333333</v>
      </c>
      <c r="G203" s="63">
        <f t="shared" ref="G203:G209" si="63">F203*0.2</f>
        <v>1572.0666666666666</v>
      </c>
      <c r="H203" s="63">
        <f t="shared" si="55"/>
        <v>6288.2666666666664</v>
      </c>
      <c r="I203" s="312">
        <f t="shared" si="56"/>
        <v>6288.2666666666664</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6288.2666666666664</v>
      </c>
      <c r="Q203" s="312" t="str">
        <f t="shared" si="60"/>
        <v>No</v>
      </c>
      <c r="R203" s="312">
        <f t="shared" si="61"/>
        <v>3538.2666666666664</v>
      </c>
      <c r="S203" s="15">
        <f t="shared" si="62"/>
        <v>-3538.2666666666664</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7902</v>
      </c>
      <c r="G204" s="63">
        <f t="shared" si="63"/>
        <v>1580.4</v>
      </c>
      <c r="H204" s="63">
        <f t="shared" si="55"/>
        <v>6321.6</v>
      </c>
      <c r="I204" s="312">
        <f t="shared" si="56"/>
        <v>6321.6</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6321.6</v>
      </c>
      <c r="Q204" s="312" t="str">
        <f t="shared" si="60"/>
        <v>No</v>
      </c>
      <c r="R204" s="312">
        <f t="shared" si="61"/>
        <v>3571.6000000000004</v>
      </c>
      <c r="S204" s="15">
        <f t="shared" si="62"/>
        <v>-3571.6000000000004</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7943.666666666667</v>
      </c>
      <c r="G205" s="63">
        <f t="shared" si="63"/>
        <v>1588.7333333333336</v>
      </c>
      <c r="H205" s="63">
        <f t="shared" si="55"/>
        <v>6354.9333333333334</v>
      </c>
      <c r="I205" s="312">
        <f t="shared" si="56"/>
        <v>6354.9333333333334</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6354.9333333333334</v>
      </c>
      <c r="Q205" s="312" t="str">
        <f t="shared" si="60"/>
        <v>No</v>
      </c>
      <c r="R205" s="312">
        <f t="shared" si="61"/>
        <v>3604.9333333333334</v>
      </c>
      <c r="S205" s="15">
        <f t="shared" si="62"/>
        <v>-3604.9333333333334</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7985.3333333333339</v>
      </c>
      <c r="G206" s="63">
        <f t="shared" si="63"/>
        <v>1597.0666666666668</v>
      </c>
      <c r="H206" s="63">
        <f t="shared" si="55"/>
        <v>6388.2666666666673</v>
      </c>
      <c r="I206" s="312">
        <f t="shared" si="56"/>
        <v>6388.2666666666673</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6388.2666666666673</v>
      </c>
      <c r="Q206" s="312" t="str">
        <f t="shared" si="60"/>
        <v>No</v>
      </c>
      <c r="R206" s="312">
        <f t="shared" si="61"/>
        <v>3638.2666666666673</v>
      </c>
      <c r="S206" s="15">
        <f t="shared" si="62"/>
        <v>-3638.2666666666673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8027</v>
      </c>
      <c r="G207" s="63">
        <f t="shared" si="63"/>
        <v>1605.4</v>
      </c>
      <c r="H207" s="63">
        <f t="shared" si="55"/>
        <v>6421.6</v>
      </c>
      <c r="I207" s="312">
        <f t="shared" si="56"/>
        <v>6421.6</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6421.6</v>
      </c>
      <c r="Q207" s="312" t="str">
        <f t="shared" si="60"/>
        <v>No</v>
      </c>
      <c r="R207" s="312">
        <f t="shared" si="61"/>
        <v>3671.6000000000004</v>
      </c>
      <c r="S207" s="15">
        <f t="shared" si="62"/>
        <v>-3671.6000000000004</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8068.6666666666661</v>
      </c>
      <c r="G208" s="63">
        <f t="shared" si="63"/>
        <v>1613.7333333333333</v>
      </c>
      <c r="H208" s="63">
        <f t="shared" si="55"/>
        <v>6454.9333333333325</v>
      </c>
      <c r="I208" s="312">
        <f t="shared" si="56"/>
        <v>6454.9333333333325</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6454.9333333333325</v>
      </c>
      <c r="Q208" s="312" t="str">
        <f t="shared" si="60"/>
        <v>No</v>
      </c>
      <c r="R208" s="312">
        <f t="shared" si="61"/>
        <v>3704.9333333333325</v>
      </c>
      <c r="S208" s="15">
        <f t="shared" si="62"/>
        <v>-3704.9333333333325</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8110.3333333333339</v>
      </c>
      <c r="G209" s="63">
        <f t="shared" si="63"/>
        <v>1622.0666666666668</v>
      </c>
      <c r="H209" s="63">
        <f t="shared" si="55"/>
        <v>6488.2666666666673</v>
      </c>
      <c r="I209" s="312">
        <f t="shared" si="56"/>
        <v>6488.2666666666673</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6488.2666666666673</v>
      </c>
      <c r="Q209" s="312" t="str">
        <f t="shared" si="60"/>
        <v>No</v>
      </c>
      <c r="R209" s="312">
        <f t="shared" si="61"/>
        <v>3738.2666666666673</v>
      </c>
      <c r="S209" s="15">
        <f t="shared" si="62"/>
        <v>-3738.2666666666673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500</v>
      </c>
      <c r="C212" s="63">
        <f>'Total income package'!$D$80</f>
        <v>0</v>
      </c>
      <c r="D212" s="63">
        <f t="shared" ref="D212:D214" si="64">B212+C212</f>
        <v>500</v>
      </c>
      <c r="E212" s="14" t="str">
        <f t="shared" ref="E212:E214" si="65">IF(D212&lt;=$F$2,"Yes","No")</f>
        <v>Yes</v>
      </c>
      <c r="F212" s="63">
        <f>IF(B212-$D$2&gt;0,B212-$D$2,0)</f>
        <v>277</v>
      </c>
      <c r="G212" s="63">
        <f>F212*0.2</f>
        <v>55.400000000000006</v>
      </c>
      <c r="H212" s="63">
        <f t="shared" ref="H212:H214" si="66">F212-G212</f>
        <v>221.6</v>
      </c>
      <c r="I212" s="312">
        <f t="shared" ref="I212:I214" si="67">C212+H212</f>
        <v>221.6</v>
      </c>
      <c r="J212" s="14" t="str">
        <f>IF(I212&lt;$G$2,"Yes","No")</f>
        <v>Yes</v>
      </c>
      <c r="K212" s="63">
        <f>IF(E212="Yes",MIN(IF($G$2-I212&gt;0,$G$2-I212,0),$I$2),0)</f>
        <v>355.4</v>
      </c>
      <c r="L212" s="130">
        <f>IF('Total income package'!$A$20=TRUE,MIN(IF(K212&gt;9.99,K212,0),$I$2),0)</f>
        <v>355.4</v>
      </c>
      <c r="M212" s="14" t="str">
        <f t="shared" ref="M212:M214" si="68">IF(D212&lt;$H$2,"Yes","No")</f>
        <v>Yes</v>
      </c>
      <c r="N212" s="14" t="str">
        <f t="shared" ref="N212:N214" si="69">IF(C212&lt;$G$2,"Yes","No")</f>
        <v>Yes</v>
      </c>
      <c r="O212" s="312">
        <f>IF(M212="Yes",MIN($G$2,$I$2),0)</f>
        <v>577</v>
      </c>
      <c r="P212" s="63">
        <f>I212+O212</f>
        <v>798.6</v>
      </c>
      <c r="Q212" s="312" t="str">
        <f>IF(P212&lt;$H$2,"Yes","No")</f>
        <v>Yes</v>
      </c>
      <c r="R212" s="312">
        <f>IF(P212&gt;$H$2,P212-$H$2,0)</f>
        <v>0</v>
      </c>
      <c r="S212" s="15">
        <f>IF(P212&gt;$H$2,O212-R212,O212)</f>
        <v>577</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500</v>
      </c>
      <c r="C214" s="63">
        <f>'Total income package'!$D$80</f>
        <v>0</v>
      </c>
      <c r="D214" s="63">
        <f t="shared" si="64"/>
        <v>500</v>
      </c>
      <c r="E214" s="14" t="str">
        <f t="shared" si="65"/>
        <v>Yes</v>
      </c>
      <c r="F214" s="63">
        <f>IF(B214-$D$2&gt;0,B214-$D$2,0)</f>
        <v>277</v>
      </c>
      <c r="G214" s="63">
        <f>F214*0.2</f>
        <v>55.400000000000006</v>
      </c>
      <c r="H214" s="63">
        <f t="shared" si="66"/>
        <v>221.6</v>
      </c>
      <c r="I214" s="312">
        <f t="shared" si="67"/>
        <v>221.6</v>
      </c>
      <c r="J214" s="14" t="str">
        <f>IF(I214&lt;$G$2,"Yes","No")</f>
        <v>Yes</v>
      </c>
      <c r="K214" s="63">
        <f>IF(E214="Yes",MIN(IF($G$2-I214&gt;0,$G$2-I214,0),$I$2),0)</f>
        <v>355.4</v>
      </c>
      <c r="L214" s="130">
        <f>IF('Total income package'!$A$20=TRUE,MIN(IF(K214&gt;9.99,K214,0),$I$2),0)</f>
        <v>355.4</v>
      </c>
      <c r="M214" s="14" t="str">
        <f t="shared" si="68"/>
        <v>Yes</v>
      </c>
      <c r="N214" s="14" t="str">
        <f t="shared" si="69"/>
        <v>Yes</v>
      </c>
      <c r="O214" s="312">
        <f>IF(M214="Yes",MIN($G$2,$I$2),0)</f>
        <v>577</v>
      </c>
      <c r="P214" s="63">
        <f>I214+O214</f>
        <v>798.6</v>
      </c>
      <c r="Q214" s="312" t="str">
        <f>IF(P214&lt;$H$2,"Yes","No")</f>
        <v>Yes</v>
      </c>
      <c r="R214" s="312">
        <f>IF(P214&gt;$H$2,P214-$H$2,0)</f>
        <v>0</v>
      </c>
      <c r="S214" s="15">
        <f>IF(P214&gt;$H$2,O214-R214,O214)</f>
        <v>577</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7</v>
      </c>
      <c r="C2" s="77">
        <f>COUNTIF('Total income package'!$B$48:$B$54,"Infant")</f>
        <v>1</v>
      </c>
      <c r="D2" s="77">
        <f>COUNTIF('Total income package'!$B$48:$B$54,"Toddler")</f>
        <v>0</v>
      </c>
      <c r="E2" s="77">
        <f>COUNTIF('Total income package'!$B$48:$B$54,"Two year old")</f>
        <v>1</v>
      </c>
      <c r="F2" s="77">
        <f>COUNTIF('Total income package'!$B$48:$B$54,"Preschool")</f>
        <v>0</v>
      </c>
      <c r="G2" s="77">
        <f>SUM(C2:F2)</f>
        <v>2</v>
      </c>
      <c r="H2" s="78">
        <f>'Total income package'!H61+'Total income package'!F66+'Total income package'!D80</f>
        <v>200</v>
      </c>
      <c r="I2" s="151">
        <f>VLOOKUP(B2,'Program specific data'!A109:B116,2)</f>
        <v>7501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200</v>
      </c>
      <c r="D8" s="20">
        <f>MAX('TANF-VIEW'!L9,'TANF-VIEW'!T9)</f>
        <v>577</v>
      </c>
      <c r="E8" s="20">
        <f>B8+C8+D8</f>
        <v>777</v>
      </c>
      <c r="F8" s="178">
        <f>IF(AND('Total income package'!$A$24=TRUE,E8&lt;$I$2),'Program specific data'!$B$119*WIC!$G$2,0)</f>
        <v>73.52</v>
      </c>
    </row>
    <row r="9" spans="1:17" x14ac:dyDescent="0.25">
      <c r="A9" s="19">
        <v>500</v>
      </c>
      <c r="B9" s="20">
        <f t="shared" si="0"/>
        <v>41.666666666666664</v>
      </c>
      <c r="C9" s="20">
        <f>$H$2</f>
        <v>200</v>
      </c>
      <c r="D9" s="20">
        <f>MAX('TANF-VIEW'!L10,'TANF-VIEW'!T10)</f>
        <v>577</v>
      </c>
      <c r="E9" s="20">
        <f t="shared" ref="E9:E72" si="1">B9+C9+D9</f>
        <v>818.66666666666663</v>
      </c>
      <c r="F9" s="178">
        <f>IF(AND('Total income package'!$A$24=TRUE,E9&lt;$I$2),'Program specific data'!$B$119*WIC!$G$2,0)</f>
        <v>73.52</v>
      </c>
    </row>
    <row r="10" spans="1:17" x14ac:dyDescent="0.25">
      <c r="A10" s="19">
        <v>1000</v>
      </c>
      <c r="B10" s="20">
        <f t="shared" si="0"/>
        <v>83.333333333333329</v>
      </c>
      <c r="C10" s="20">
        <f t="shared" ref="C10:C72" si="2">$H$2</f>
        <v>200</v>
      </c>
      <c r="D10" s="20">
        <f>MAX('TANF-VIEW'!L11,'TANF-VIEW'!T11)</f>
        <v>577</v>
      </c>
      <c r="E10" s="20">
        <f t="shared" si="1"/>
        <v>860.33333333333326</v>
      </c>
      <c r="F10" s="178">
        <f>IF(AND('Total income package'!$A$24=TRUE,E10&lt;$I$2),'Program specific data'!$B$119*WIC!$G$2,0)</f>
        <v>73.52</v>
      </c>
    </row>
    <row r="11" spans="1:17" x14ac:dyDescent="0.25">
      <c r="A11" s="19">
        <v>1500</v>
      </c>
      <c r="B11" s="20">
        <f t="shared" si="0"/>
        <v>125</v>
      </c>
      <c r="C11" s="20">
        <f t="shared" si="2"/>
        <v>200</v>
      </c>
      <c r="D11" s="20">
        <f>MAX('TANF-VIEW'!L12,'TANF-VIEW'!T12)</f>
        <v>577</v>
      </c>
      <c r="E11" s="20">
        <f t="shared" si="1"/>
        <v>902</v>
      </c>
      <c r="F11" s="178">
        <f>IF(AND('Total income package'!$A$24=TRUE,E11&lt;$I$2),'Program specific data'!$B$119*WIC!$G$2,0)</f>
        <v>73.52</v>
      </c>
    </row>
    <row r="12" spans="1:17" x14ac:dyDescent="0.25">
      <c r="A12" s="19">
        <v>2000</v>
      </c>
      <c r="B12" s="20">
        <f t="shared" si="0"/>
        <v>166.66666666666666</v>
      </c>
      <c r="C12" s="20">
        <f t="shared" si="2"/>
        <v>200</v>
      </c>
      <c r="D12" s="20">
        <f>MAX('TANF-VIEW'!L13,'TANF-VIEW'!T13)</f>
        <v>577</v>
      </c>
      <c r="E12" s="20">
        <f t="shared" si="1"/>
        <v>943.66666666666663</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200</v>
      </c>
      <c r="D13" s="20">
        <f>MAX('TANF-VIEW'!L14,'TANF-VIEW'!T14)</f>
        <v>577</v>
      </c>
      <c r="E13" s="20">
        <f t="shared" si="1"/>
        <v>985.33333333333337</v>
      </c>
      <c r="F13" s="178">
        <f>IF(AND('Total income package'!$A$24=TRUE,E13&lt;$I$2),'Program specific data'!$B$119*WIC!$G$2,0)</f>
        <v>73.52</v>
      </c>
      <c r="L13" s="17"/>
      <c r="Q13" s="7"/>
    </row>
    <row r="14" spans="1:17" x14ac:dyDescent="0.25">
      <c r="A14" s="19">
        <v>3000</v>
      </c>
      <c r="B14" s="20">
        <f t="shared" si="0"/>
        <v>250</v>
      </c>
      <c r="C14" s="20">
        <f t="shared" si="2"/>
        <v>200</v>
      </c>
      <c r="D14" s="20">
        <f>MAX('TANF-VIEW'!L15,'TANF-VIEW'!T15)</f>
        <v>555.4</v>
      </c>
      <c r="E14" s="20">
        <f t="shared" si="1"/>
        <v>1005.4</v>
      </c>
      <c r="F14" s="178">
        <f>IF(AND('Total income package'!$A$24=TRUE,E14&lt;$I$2),'Program specific data'!$B$119*WIC!$G$2,0)</f>
        <v>73.52</v>
      </c>
      <c r="M14" s="7"/>
      <c r="Q14" s="7"/>
    </row>
    <row r="15" spans="1:17" x14ac:dyDescent="0.25">
      <c r="A15" s="19">
        <v>3500</v>
      </c>
      <c r="B15" s="20">
        <f t="shared" si="0"/>
        <v>291.66666666666669</v>
      </c>
      <c r="C15" s="20">
        <f t="shared" si="2"/>
        <v>200</v>
      </c>
      <c r="D15" s="20">
        <f>MAX('TANF-VIEW'!L16,'TANF-VIEW'!T16)</f>
        <v>522.06666666666661</v>
      </c>
      <c r="E15" s="20">
        <f t="shared" si="1"/>
        <v>1013.7333333333333</v>
      </c>
      <c r="F15" s="178">
        <f>IF(AND('Total income package'!$A$24=TRUE,E15&lt;$I$2),'Program specific data'!$B$119*WIC!$G$2,0)</f>
        <v>73.52</v>
      </c>
      <c r="N15" s="7"/>
      <c r="O15" s="7"/>
      <c r="Q15" s="7"/>
    </row>
    <row r="16" spans="1:17" x14ac:dyDescent="0.25">
      <c r="A16" s="19">
        <v>4000</v>
      </c>
      <c r="B16" s="20">
        <f t="shared" si="0"/>
        <v>333.33333333333331</v>
      </c>
      <c r="C16" s="20">
        <f t="shared" si="2"/>
        <v>200</v>
      </c>
      <c r="D16" s="20">
        <f>MAX('TANF-VIEW'!L17,'TANF-VIEW'!T17)</f>
        <v>488.73333333333335</v>
      </c>
      <c r="E16" s="20">
        <f t="shared" si="1"/>
        <v>1022.0666666666666</v>
      </c>
      <c r="F16" s="178">
        <f>IF(AND('Total income package'!$A$24=TRUE,E16&lt;$I$2),'Program specific data'!$B$119*WIC!$G$2,0)</f>
        <v>73.52</v>
      </c>
    </row>
    <row r="17" spans="1:6" x14ac:dyDescent="0.25">
      <c r="A17" s="19">
        <v>4500</v>
      </c>
      <c r="B17" s="20">
        <f t="shared" si="0"/>
        <v>375</v>
      </c>
      <c r="C17" s="20">
        <f t="shared" si="2"/>
        <v>200</v>
      </c>
      <c r="D17" s="20">
        <f>MAX('TANF-VIEW'!L18,'TANF-VIEW'!T18)</f>
        <v>455.4</v>
      </c>
      <c r="E17" s="20">
        <f t="shared" si="1"/>
        <v>1030.4000000000001</v>
      </c>
      <c r="F17" s="178">
        <f>IF(AND('Total income package'!$A$24=TRUE,E17&lt;$I$2),'Program specific data'!$B$119*WIC!$G$2,0)</f>
        <v>73.52</v>
      </c>
    </row>
    <row r="18" spans="1:6" x14ac:dyDescent="0.25">
      <c r="A18" s="19">
        <v>5000</v>
      </c>
      <c r="B18" s="20">
        <f t="shared" si="0"/>
        <v>416.66666666666669</v>
      </c>
      <c r="C18" s="20">
        <f t="shared" si="2"/>
        <v>200</v>
      </c>
      <c r="D18" s="20">
        <f>MAX('TANF-VIEW'!L19,'TANF-VIEW'!T19)</f>
        <v>422.06666666666666</v>
      </c>
      <c r="E18" s="20">
        <f t="shared" si="1"/>
        <v>1038.7333333333333</v>
      </c>
      <c r="F18" s="178">
        <f>IF(AND('Total income package'!$A$24=TRUE,E18&lt;$I$2),'Program specific data'!$B$119*WIC!$G$2,0)</f>
        <v>73.52</v>
      </c>
    </row>
    <row r="19" spans="1:6" x14ac:dyDescent="0.25">
      <c r="A19" s="19">
        <v>5500</v>
      </c>
      <c r="B19" s="20">
        <f t="shared" si="0"/>
        <v>458.33333333333331</v>
      </c>
      <c r="C19" s="20">
        <f t="shared" si="2"/>
        <v>200</v>
      </c>
      <c r="D19" s="20">
        <f>MAX('TANF-VIEW'!L20,'TANF-VIEW'!T20)</f>
        <v>388.73333333333335</v>
      </c>
      <c r="E19" s="20">
        <f t="shared" si="1"/>
        <v>1047.0666666666666</v>
      </c>
      <c r="F19" s="178">
        <f>IF(AND('Total income package'!$A$24=TRUE,E19&lt;$I$2),'Program specific data'!$B$119*WIC!$G$2,0)</f>
        <v>73.52</v>
      </c>
    </row>
    <row r="20" spans="1:6" x14ac:dyDescent="0.25">
      <c r="A20" s="19">
        <v>6000</v>
      </c>
      <c r="B20" s="20">
        <f t="shared" si="0"/>
        <v>500</v>
      </c>
      <c r="C20" s="20">
        <f t="shared" si="2"/>
        <v>200</v>
      </c>
      <c r="D20" s="20">
        <f>MAX('TANF-VIEW'!L21,'TANF-VIEW'!T21)</f>
        <v>355.4</v>
      </c>
      <c r="E20" s="20">
        <f t="shared" si="1"/>
        <v>1055.4000000000001</v>
      </c>
      <c r="F20" s="178">
        <f>IF(AND('Total income package'!$A$24=TRUE,E20&lt;$I$2),'Program specific data'!$B$119*WIC!$G$2,0)</f>
        <v>73.52</v>
      </c>
    </row>
    <row r="21" spans="1:6" x14ac:dyDescent="0.25">
      <c r="A21" s="19">
        <v>6500</v>
      </c>
      <c r="B21" s="20">
        <f t="shared" si="0"/>
        <v>541.66666666666663</v>
      </c>
      <c r="C21" s="20">
        <f t="shared" si="2"/>
        <v>200</v>
      </c>
      <c r="D21" s="20">
        <f>MAX('TANF-VIEW'!L22,'TANF-VIEW'!T22)</f>
        <v>322.06666666666672</v>
      </c>
      <c r="E21" s="20">
        <f t="shared" si="1"/>
        <v>1063.7333333333333</v>
      </c>
      <c r="F21" s="178">
        <f>IF(AND('Total income package'!$A$24=TRUE,E21&lt;$I$2),'Program specific data'!$B$119*WIC!$G$2,0)</f>
        <v>73.52</v>
      </c>
    </row>
    <row r="22" spans="1:6" x14ac:dyDescent="0.25">
      <c r="A22" s="19">
        <v>7000</v>
      </c>
      <c r="B22" s="20">
        <f t="shared" si="0"/>
        <v>583.33333333333337</v>
      </c>
      <c r="C22" s="20">
        <f t="shared" si="2"/>
        <v>200</v>
      </c>
      <c r="D22" s="20">
        <f>MAX('TANF-VIEW'!L23,'TANF-VIEW'!T23)</f>
        <v>288.73333333333329</v>
      </c>
      <c r="E22" s="20">
        <f t="shared" si="1"/>
        <v>1072.0666666666666</v>
      </c>
      <c r="F22" s="178">
        <f>IF(AND('Total income package'!$A$24=TRUE,E22&lt;$I$2),'Program specific data'!$B$119*WIC!$G$2,0)</f>
        <v>73.52</v>
      </c>
    </row>
    <row r="23" spans="1:6" x14ac:dyDescent="0.25">
      <c r="A23" s="19">
        <v>7500</v>
      </c>
      <c r="B23" s="20">
        <f t="shared" si="0"/>
        <v>625</v>
      </c>
      <c r="C23" s="20">
        <f t="shared" si="2"/>
        <v>200</v>
      </c>
      <c r="D23" s="20">
        <f>MAX('TANF-VIEW'!L24,'TANF-VIEW'!T24)</f>
        <v>255.39999999999998</v>
      </c>
      <c r="E23" s="20">
        <f t="shared" si="1"/>
        <v>1080.4000000000001</v>
      </c>
      <c r="F23" s="178">
        <f>IF(AND('Total income package'!$A$24=TRUE,E23&lt;$I$2),'Program specific data'!$B$119*WIC!$G$2,0)</f>
        <v>73.52</v>
      </c>
    </row>
    <row r="24" spans="1:6" x14ac:dyDescent="0.25">
      <c r="A24" s="19">
        <v>8000</v>
      </c>
      <c r="B24" s="20">
        <f t="shared" si="0"/>
        <v>666.66666666666663</v>
      </c>
      <c r="C24" s="20">
        <f t="shared" si="2"/>
        <v>200</v>
      </c>
      <c r="D24" s="20">
        <f>MAX('TANF-VIEW'!L25,'TANF-VIEW'!T25)</f>
        <v>222.06666666666672</v>
      </c>
      <c r="E24" s="20">
        <f t="shared" si="1"/>
        <v>1088.7333333333333</v>
      </c>
      <c r="F24" s="178">
        <f>IF(AND('Total income package'!$A$24=TRUE,E24&lt;$I$2),'Program specific data'!$B$119*WIC!$G$2,0)</f>
        <v>73.52</v>
      </c>
    </row>
    <row r="25" spans="1:6" x14ac:dyDescent="0.25">
      <c r="A25" s="19">
        <v>8500</v>
      </c>
      <c r="B25" s="20">
        <f t="shared" si="0"/>
        <v>708.33333333333337</v>
      </c>
      <c r="C25" s="20">
        <f t="shared" si="2"/>
        <v>200</v>
      </c>
      <c r="D25" s="20">
        <f>MAX('TANF-VIEW'!L26,'TANF-VIEW'!T26)</f>
        <v>188.73333333333329</v>
      </c>
      <c r="E25" s="20">
        <f t="shared" si="1"/>
        <v>1097.0666666666666</v>
      </c>
      <c r="F25" s="178">
        <f>IF(AND('Total income package'!$A$24=TRUE,E25&lt;$I$2),'Program specific data'!$B$119*WIC!$G$2,0)</f>
        <v>73.52</v>
      </c>
    </row>
    <row r="26" spans="1:6" x14ac:dyDescent="0.25">
      <c r="A26" s="19">
        <v>9000</v>
      </c>
      <c r="B26" s="20">
        <f t="shared" si="0"/>
        <v>750</v>
      </c>
      <c r="C26" s="20">
        <f t="shared" si="2"/>
        <v>200</v>
      </c>
      <c r="D26" s="20">
        <f>MAX('TANF-VIEW'!L27,'TANF-VIEW'!T27)</f>
        <v>155.39999999999998</v>
      </c>
      <c r="E26" s="20">
        <f t="shared" si="1"/>
        <v>1105.4000000000001</v>
      </c>
      <c r="F26" s="178">
        <f>IF(AND('Total income package'!$A$24=TRUE,E26&lt;$I$2),'Program specific data'!$B$119*WIC!$G$2,0)</f>
        <v>73.52</v>
      </c>
    </row>
    <row r="27" spans="1:6" x14ac:dyDescent="0.25">
      <c r="A27" s="19">
        <v>9500</v>
      </c>
      <c r="B27" s="20">
        <f t="shared" si="0"/>
        <v>791.66666666666663</v>
      </c>
      <c r="C27" s="20">
        <f t="shared" si="2"/>
        <v>200</v>
      </c>
      <c r="D27" s="20">
        <f>MAX('TANF-VIEW'!L28,'TANF-VIEW'!T28)</f>
        <v>122.06666666666672</v>
      </c>
      <c r="E27" s="20">
        <f t="shared" si="1"/>
        <v>1113.7333333333333</v>
      </c>
      <c r="F27" s="178">
        <f>IF(AND('Total income package'!$A$24=TRUE,E27&lt;$I$2),'Program specific data'!$B$119*WIC!$G$2,0)</f>
        <v>73.52</v>
      </c>
    </row>
    <row r="28" spans="1:6" x14ac:dyDescent="0.25">
      <c r="A28" s="19">
        <v>10000</v>
      </c>
      <c r="B28" s="20">
        <f t="shared" si="0"/>
        <v>833.33333333333337</v>
      </c>
      <c r="C28" s="20">
        <f t="shared" si="2"/>
        <v>200</v>
      </c>
      <c r="D28" s="20">
        <f>MAX('TANF-VIEW'!L29,'TANF-VIEW'!T29)</f>
        <v>88.733333333333292</v>
      </c>
      <c r="E28" s="20">
        <f t="shared" si="1"/>
        <v>1122.0666666666668</v>
      </c>
      <c r="F28" s="178">
        <f>IF(AND('Total income package'!$A$24=TRUE,E28&lt;$I$2),'Program specific data'!$B$119*WIC!$G$2,0)</f>
        <v>73.52</v>
      </c>
    </row>
    <row r="29" spans="1:6" x14ac:dyDescent="0.25">
      <c r="A29" s="19">
        <v>10500</v>
      </c>
      <c r="B29" s="20">
        <f t="shared" si="0"/>
        <v>875</v>
      </c>
      <c r="C29" s="20">
        <f t="shared" si="2"/>
        <v>200</v>
      </c>
      <c r="D29" s="20">
        <f>MAX('TANF-VIEW'!L30,'TANF-VIEW'!T30)</f>
        <v>55.399999999999977</v>
      </c>
      <c r="E29" s="20">
        <f t="shared" si="1"/>
        <v>1130.4000000000001</v>
      </c>
      <c r="F29" s="178">
        <f>IF(AND('Total income package'!$A$24=TRUE,E29&lt;$I$2),'Program specific data'!$B$119*WIC!$G$2,0)</f>
        <v>73.52</v>
      </c>
    </row>
    <row r="30" spans="1:6" x14ac:dyDescent="0.25">
      <c r="A30" s="19">
        <v>11000</v>
      </c>
      <c r="B30" s="20">
        <f t="shared" si="0"/>
        <v>916.66666666666663</v>
      </c>
      <c r="C30" s="20">
        <f t="shared" si="2"/>
        <v>200</v>
      </c>
      <c r="D30" s="20">
        <f>MAX('TANF-VIEW'!L31,'TANF-VIEW'!T31)</f>
        <v>22.06666666666672</v>
      </c>
      <c r="E30" s="20">
        <f t="shared" si="1"/>
        <v>1138.7333333333331</v>
      </c>
      <c r="F30" s="178">
        <f>IF(AND('Total income package'!$A$24=TRUE,E30&lt;$I$2),'Program specific data'!$B$119*WIC!$G$2,0)</f>
        <v>73.52</v>
      </c>
    </row>
    <row r="31" spans="1:6" x14ac:dyDescent="0.25">
      <c r="A31" s="19">
        <v>11500</v>
      </c>
      <c r="B31" s="20">
        <f t="shared" si="0"/>
        <v>958.33333333333337</v>
      </c>
      <c r="C31" s="20">
        <f t="shared" si="2"/>
        <v>200</v>
      </c>
      <c r="D31" s="20">
        <f>MAX('TANF-VIEW'!L32,'TANF-VIEW'!T32)</f>
        <v>0</v>
      </c>
      <c r="E31" s="20">
        <f t="shared" si="1"/>
        <v>1158.3333333333335</v>
      </c>
      <c r="F31" s="178">
        <f>IF(AND('Total income package'!$A$24=TRUE,E31&lt;$I$2),'Program specific data'!$B$119*WIC!$G$2,0)</f>
        <v>73.52</v>
      </c>
    </row>
    <row r="32" spans="1:6" x14ac:dyDescent="0.25">
      <c r="A32" s="19">
        <v>12000</v>
      </c>
      <c r="B32" s="20">
        <f t="shared" si="0"/>
        <v>1000</v>
      </c>
      <c r="C32" s="20">
        <f t="shared" si="2"/>
        <v>200</v>
      </c>
      <c r="D32" s="20">
        <f>MAX('TANF-VIEW'!L33,'TANF-VIEW'!T33)</f>
        <v>0</v>
      </c>
      <c r="E32" s="20">
        <f t="shared" si="1"/>
        <v>1200</v>
      </c>
      <c r="F32" s="178">
        <f>IF(AND('Total income package'!$A$24=TRUE,E32&lt;$I$2),'Program specific data'!$B$119*WIC!$G$2,0)</f>
        <v>73.52</v>
      </c>
    </row>
    <row r="33" spans="1:6" x14ac:dyDescent="0.25">
      <c r="A33" s="19">
        <v>12500</v>
      </c>
      <c r="B33" s="20">
        <f t="shared" si="0"/>
        <v>1041.6666666666667</v>
      </c>
      <c r="C33" s="20">
        <f t="shared" si="2"/>
        <v>200</v>
      </c>
      <c r="D33" s="20">
        <f>MAX('TANF-VIEW'!L34,'TANF-VIEW'!T34)</f>
        <v>0</v>
      </c>
      <c r="E33" s="20">
        <f t="shared" si="1"/>
        <v>1241.6666666666667</v>
      </c>
      <c r="F33" s="178">
        <f>IF(AND('Total income package'!$A$24=TRUE,E33&lt;$I$2),'Program specific data'!$B$119*WIC!$G$2,0)</f>
        <v>73.52</v>
      </c>
    </row>
    <row r="34" spans="1:6" x14ac:dyDescent="0.25">
      <c r="A34" s="19">
        <v>13000</v>
      </c>
      <c r="B34" s="20">
        <f t="shared" si="0"/>
        <v>1083.3333333333333</v>
      </c>
      <c r="C34" s="20">
        <f t="shared" si="2"/>
        <v>200</v>
      </c>
      <c r="D34" s="20">
        <f>MAX('TANF-VIEW'!L35,'TANF-VIEW'!T35)</f>
        <v>0</v>
      </c>
      <c r="E34" s="20">
        <f t="shared" si="1"/>
        <v>1283.3333333333333</v>
      </c>
      <c r="F34" s="178">
        <f>IF(AND('Total income package'!$A$24=TRUE,E34&lt;$I$2),'Program specific data'!$B$119*WIC!$G$2,0)</f>
        <v>73.52</v>
      </c>
    </row>
    <row r="35" spans="1:6" x14ac:dyDescent="0.25">
      <c r="A35" s="19">
        <v>13500</v>
      </c>
      <c r="B35" s="20">
        <f t="shared" si="0"/>
        <v>1125</v>
      </c>
      <c r="C35" s="20">
        <f t="shared" si="2"/>
        <v>200</v>
      </c>
      <c r="D35" s="20">
        <f>MAX('TANF-VIEW'!L36,'TANF-VIEW'!T36)</f>
        <v>0</v>
      </c>
      <c r="E35" s="20">
        <f t="shared" si="1"/>
        <v>1325</v>
      </c>
      <c r="F35" s="178">
        <f>IF(AND('Total income package'!$A$24=TRUE,E35&lt;$I$2),'Program specific data'!$B$119*WIC!$G$2,0)</f>
        <v>73.52</v>
      </c>
    </row>
    <row r="36" spans="1:6" x14ac:dyDescent="0.25">
      <c r="A36" s="19">
        <v>14000</v>
      </c>
      <c r="B36" s="20">
        <f t="shared" si="0"/>
        <v>1166.6666666666667</v>
      </c>
      <c r="C36" s="20">
        <f t="shared" si="2"/>
        <v>200</v>
      </c>
      <c r="D36" s="20">
        <f>MAX('TANF-VIEW'!L37,'TANF-VIEW'!T37)</f>
        <v>0</v>
      </c>
      <c r="E36" s="20">
        <f t="shared" si="1"/>
        <v>1366.6666666666667</v>
      </c>
      <c r="F36" s="178">
        <f>IF(AND('Total income package'!$A$24=TRUE,E36&lt;$I$2),'Program specific data'!$B$119*WIC!$G$2,0)</f>
        <v>73.52</v>
      </c>
    </row>
    <row r="37" spans="1:6" x14ac:dyDescent="0.25">
      <c r="A37" s="19">
        <v>14500</v>
      </c>
      <c r="B37" s="20">
        <f t="shared" si="0"/>
        <v>1208.3333333333333</v>
      </c>
      <c r="C37" s="20">
        <f t="shared" si="2"/>
        <v>200</v>
      </c>
      <c r="D37" s="20">
        <f>MAX('TANF-VIEW'!L38,'TANF-VIEW'!T38)</f>
        <v>0</v>
      </c>
      <c r="E37" s="20">
        <f t="shared" si="1"/>
        <v>1408.3333333333333</v>
      </c>
      <c r="F37" s="178">
        <f>IF(AND('Total income package'!$A$24=TRUE,E37&lt;$I$2),'Program specific data'!$B$119*WIC!$G$2,0)</f>
        <v>73.52</v>
      </c>
    </row>
    <row r="38" spans="1:6" x14ac:dyDescent="0.25">
      <c r="A38" s="19">
        <v>15000</v>
      </c>
      <c r="B38" s="20">
        <f t="shared" si="0"/>
        <v>1250</v>
      </c>
      <c r="C38" s="20">
        <f t="shared" si="2"/>
        <v>200</v>
      </c>
      <c r="D38" s="20">
        <f>MAX('TANF-VIEW'!L39,'TANF-VIEW'!T39)</f>
        <v>0</v>
      </c>
      <c r="E38" s="20">
        <f t="shared" si="1"/>
        <v>1450</v>
      </c>
      <c r="F38" s="178">
        <f>IF(AND('Total income package'!$A$24=TRUE,E38&lt;$I$2),'Program specific data'!$B$119*WIC!$G$2,0)</f>
        <v>73.52</v>
      </c>
    </row>
    <row r="39" spans="1:6" x14ac:dyDescent="0.25">
      <c r="A39" s="19">
        <v>15500</v>
      </c>
      <c r="B39" s="20">
        <f t="shared" si="0"/>
        <v>1291.6666666666667</v>
      </c>
      <c r="C39" s="20">
        <f t="shared" si="2"/>
        <v>200</v>
      </c>
      <c r="D39" s="20">
        <f>MAX('TANF-VIEW'!L40,'TANF-VIEW'!T40)</f>
        <v>0</v>
      </c>
      <c r="E39" s="20">
        <f t="shared" si="1"/>
        <v>1491.6666666666667</v>
      </c>
      <c r="F39" s="178">
        <f>IF(AND('Total income package'!$A$24=TRUE,E39&lt;$I$2),'Program specific data'!$B$119*WIC!$G$2,0)</f>
        <v>73.52</v>
      </c>
    </row>
    <row r="40" spans="1:6" x14ac:dyDescent="0.25">
      <c r="A40" s="19">
        <v>16000</v>
      </c>
      <c r="B40" s="20">
        <f t="shared" si="0"/>
        <v>1333.3333333333333</v>
      </c>
      <c r="C40" s="20">
        <f t="shared" si="2"/>
        <v>200</v>
      </c>
      <c r="D40" s="20">
        <f>MAX('TANF-VIEW'!L41,'TANF-VIEW'!T41)</f>
        <v>0</v>
      </c>
      <c r="E40" s="20">
        <f t="shared" si="1"/>
        <v>1533.3333333333333</v>
      </c>
      <c r="F40" s="178">
        <f>IF(AND('Total income package'!$A$24=TRUE,E40&lt;$I$2),'Program specific data'!$B$119*WIC!$G$2,0)</f>
        <v>73.52</v>
      </c>
    </row>
    <row r="41" spans="1:6" x14ac:dyDescent="0.25">
      <c r="A41" s="19">
        <v>16500</v>
      </c>
      <c r="B41" s="20">
        <f t="shared" si="0"/>
        <v>1375</v>
      </c>
      <c r="C41" s="20">
        <f t="shared" si="2"/>
        <v>200</v>
      </c>
      <c r="D41" s="20">
        <f>MAX('TANF-VIEW'!L42,'TANF-VIEW'!T42)</f>
        <v>0</v>
      </c>
      <c r="E41" s="20">
        <f t="shared" si="1"/>
        <v>1575</v>
      </c>
      <c r="F41" s="178">
        <f>IF(AND('Total income package'!$A$24=TRUE,E41&lt;$I$2),'Program specific data'!$B$119*WIC!$G$2,0)</f>
        <v>73.52</v>
      </c>
    </row>
    <row r="42" spans="1:6" x14ac:dyDescent="0.25">
      <c r="A42" s="19">
        <v>17000</v>
      </c>
      <c r="B42" s="20">
        <f t="shared" si="0"/>
        <v>1416.6666666666667</v>
      </c>
      <c r="C42" s="20">
        <f t="shared" si="2"/>
        <v>200</v>
      </c>
      <c r="D42" s="20">
        <f>MAX('TANF-VIEW'!L43,'TANF-VIEW'!T43)</f>
        <v>0</v>
      </c>
      <c r="E42" s="20">
        <f t="shared" si="1"/>
        <v>1616.6666666666667</v>
      </c>
      <c r="F42" s="178">
        <f>IF(AND('Total income package'!$A$24=TRUE,E42&lt;$I$2),'Program specific data'!$B$119*WIC!$G$2,0)</f>
        <v>73.52</v>
      </c>
    </row>
    <row r="43" spans="1:6" x14ac:dyDescent="0.25">
      <c r="A43" s="19">
        <v>17500</v>
      </c>
      <c r="B43" s="20">
        <f t="shared" si="0"/>
        <v>1458.3333333333333</v>
      </c>
      <c r="C43" s="20">
        <f t="shared" si="2"/>
        <v>200</v>
      </c>
      <c r="D43" s="20">
        <f>MAX('TANF-VIEW'!L44,'TANF-VIEW'!T44)</f>
        <v>0</v>
      </c>
      <c r="E43" s="20">
        <f t="shared" si="1"/>
        <v>1658.3333333333333</v>
      </c>
      <c r="F43" s="178">
        <f>IF(AND('Total income package'!$A$24=TRUE,E43&lt;$I$2),'Program specific data'!$B$119*WIC!$G$2,0)</f>
        <v>73.52</v>
      </c>
    </row>
    <row r="44" spans="1:6" x14ac:dyDescent="0.25">
      <c r="A44" s="19">
        <v>18000</v>
      </c>
      <c r="B44" s="20">
        <f t="shared" si="0"/>
        <v>1500</v>
      </c>
      <c r="C44" s="20">
        <f t="shared" si="2"/>
        <v>200</v>
      </c>
      <c r="D44" s="20">
        <f>MAX('TANF-VIEW'!L45,'TANF-VIEW'!T45)</f>
        <v>0</v>
      </c>
      <c r="E44" s="20">
        <f t="shared" si="1"/>
        <v>1700</v>
      </c>
      <c r="F44" s="178">
        <f>IF(AND('Total income package'!$A$24=TRUE,E44&lt;$I$2),'Program specific data'!$B$119*WIC!$G$2,0)</f>
        <v>73.52</v>
      </c>
    </row>
    <row r="45" spans="1:6" x14ac:dyDescent="0.25">
      <c r="A45" s="19">
        <v>18500</v>
      </c>
      <c r="B45" s="20">
        <f t="shared" si="0"/>
        <v>1541.6666666666667</v>
      </c>
      <c r="C45" s="20">
        <f t="shared" si="2"/>
        <v>200</v>
      </c>
      <c r="D45" s="20">
        <f>MAX('TANF-VIEW'!L46,'TANF-VIEW'!T46)</f>
        <v>0</v>
      </c>
      <c r="E45" s="20">
        <f t="shared" si="1"/>
        <v>1741.6666666666667</v>
      </c>
      <c r="F45" s="178">
        <f>IF(AND('Total income package'!$A$24=TRUE,E45&lt;$I$2),'Program specific data'!$B$119*WIC!$G$2,0)</f>
        <v>73.52</v>
      </c>
    </row>
    <row r="46" spans="1:6" x14ac:dyDescent="0.25">
      <c r="A46" s="19">
        <v>19000</v>
      </c>
      <c r="B46" s="20">
        <f t="shared" si="0"/>
        <v>1583.3333333333333</v>
      </c>
      <c r="C46" s="20">
        <f t="shared" si="2"/>
        <v>200</v>
      </c>
      <c r="D46" s="20">
        <f>MAX('TANF-VIEW'!L47,'TANF-VIEW'!T47)</f>
        <v>0</v>
      </c>
      <c r="E46" s="20">
        <f t="shared" si="1"/>
        <v>1783.3333333333333</v>
      </c>
      <c r="F46" s="178">
        <f>IF(AND('Total income package'!$A$24=TRUE,E46&lt;$I$2),'Program specific data'!$B$119*WIC!$G$2,0)</f>
        <v>73.52</v>
      </c>
    </row>
    <row r="47" spans="1:6" x14ac:dyDescent="0.25">
      <c r="A47" s="19">
        <v>19500</v>
      </c>
      <c r="B47" s="20">
        <f t="shared" si="0"/>
        <v>1625</v>
      </c>
      <c r="C47" s="20">
        <f t="shared" si="2"/>
        <v>200</v>
      </c>
      <c r="D47" s="20">
        <f>MAX('TANF-VIEW'!L48,'TANF-VIEW'!T48)</f>
        <v>0</v>
      </c>
      <c r="E47" s="20">
        <f t="shared" si="1"/>
        <v>1825</v>
      </c>
      <c r="F47" s="178">
        <f>IF(AND('Total income package'!$A$24=TRUE,E47&lt;$I$2),'Program specific data'!$B$119*WIC!$G$2,0)</f>
        <v>73.52</v>
      </c>
    </row>
    <row r="48" spans="1:6" x14ac:dyDescent="0.25">
      <c r="A48" s="19">
        <v>20000</v>
      </c>
      <c r="B48" s="20">
        <f t="shared" si="0"/>
        <v>1666.6666666666667</v>
      </c>
      <c r="C48" s="20">
        <f t="shared" si="2"/>
        <v>200</v>
      </c>
      <c r="D48" s="20">
        <f>MAX('TANF-VIEW'!L49,'TANF-VIEW'!T49)</f>
        <v>0</v>
      </c>
      <c r="E48" s="20">
        <f t="shared" si="1"/>
        <v>1866.6666666666667</v>
      </c>
      <c r="F48" s="178">
        <f>IF(AND('Total income package'!$A$24=TRUE,E48&lt;$I$2),'Program specific data'!$B$119*WIC!$G$2,0)</f>
        <v>73.52</v>
      </c>
    </row>
    <row r="49" spans="1:6" x14ac:dyDescent="0.25">
      <c r="A49" s="19">
        <v>20500</v>
      </c>
      <c r="B49" s="20">
        <f t="shared" si="0"/>
        <v>1708.3333333333333</v>
      </c>
      <c r="C49" s="20">
        <f t="shared" si="2"/>
        <v>200</v>
      </c>
      <c r="D49" s="20">
        <f>MAX('TANF-VIEW'!L50,'TANF-VIEW'!T50)</f>
        <v>0</v>
      </c>
      <c r="E49" s="20">
        <f t="shared" si="1"/>
        <v>1908.3333333333333</v>
      </c>
      <c r="F49" s="178">
        <f>IF(AND('Total income package'!$A$24=TRUE,E49&lt;$I$2),'Program specific data'!$B$119*WIC!$G$2,0)</f>
        <v>73.52</v>
      </c>
    </row>
    <row r="50" spans="1:6" x14ac:dyDescent="0.25">
      <c r="A50" s="19">
        <v>21000</v>
      </c>
      <c r="B50" s="20">
        <f t="shared" si="0"/>
        <v>1750</v>
      </c>
      <c r="C50" s="20">
        <f t="shared" si="2"/>
        <v>200</v>
      </c>
      <c r="D50" s="20">
        <f>MAX('TANF-VIEW'!L51,'TANF-VIEW'!T51)</f>
        <v>0</v>
      </c>
      <c r="E50" s="20">
        <f t="shared" si="1"/>
        <v>1950</v>
      </c>
      <c r="F50" s="178">
        <f>IF(AND('Total income package'!$A$24=TRUE,E50&lt;$I$2),'Program specific data'!$B$119*WIC!$G$2,0)</f>
        <v>73.52</v>
      </c>
    </row>
    <row r="51" spans="1:6" x14ac:dyDescent="0.25">
      <c r="A51" s="19">
        <v>21500</v>
      </c>
      <c r="B51" s="20">
        <f t="shared" si="0"/>
        <v>1791.6666666666667</v>
      </c>
      <c r="C51" s="20">
        <f t="shared" si="2"/>
        <v>200</v>
      </c>
      <c r="D51" s="20">
        <f>MAX('TANF-VIEW'!L52,'TANF-VIEW'!T52)</f>
        <v>0</v>
      </c>
      <c r="E51" s="20">
        <f t="shared" si="1"/>
        <v>1991.6666666666667</v>
      </c>
      <c r="F51" s="178">
        <f>IF(AND('Total income package'!$A$24=TRUE,E51&lt;$I$2),'Program specific data'!$B$119*WIC!$G$2,0)</f>
        <v>73.52</v>
      </c>
    </row>
    <row r="52" spans="1:6" x14ac:dyDescent="0.25">
      <c r="A52" s="19">
        <v>22000</v>
      </c>
      <c r="B52" s="20">
        <f t="shared" si="0"/>
        <v>1833.3333333333333</v>
      </c>
      <c r="C52" s="20">
        <f t="shared" si="2"/>
        <v>200</v>
      </c>
      <c r="D52" s="20">
        <f>MAX('TANF-VIEW'!L53,'TANF-VIEW'!T53)</f>
        <v>0</v>
      </c>
      <c r="E52" s="20">
        <f t="shared" si="1"/>
        <v>2033.3333333333333</v>
      </c>
      <c r="F52" s="178">
        <f>IF(AND('Total income package'!$A$24=TRUE,E52&lt;$I$2),'Program specific data'!$B$119*WIC!$G$2,0)</f>
        <v>73.52</v>
      </c>
    </row>
    <row r="53" spans="1:6" x14ac:dyDescent="0.25">
      <c r="A53" s="19">
        <v>22500</v>
      </c>
      <c r="B53" s="20">
        <f t="shared" si="0"/>
        <v>1875</v>
      </c>
      <c r="C53" s="20">
        <f t="shared" si="2"/>
        <v>200</v>
      </c>
      <c r="D53" s="20">
        <f>MAX('TANF-VIEW'!L54,'TANF-VIEW'!T54)</f>
        <v>0</v>
      </c>
      <c r="E53" s="20">
        <f t="shared" si="1"/>
        <v>2075</v>
      </c>
      <c r="F53" s="178">
        <f>IF(AND('Total income package'!$A$24=TRUE,E53&lt;$I$2),'Program specific data'!$B$119*WIC!$G$2,0)</f>
        <v>73.52</v>
      </c>
    </row>
    <row r="54" spans="1:6" x14ac:dyDescent="0.25">
      <c r="A54" s="19">
        <v>23000</v>
      </c>
      <c r="B54" s="20">
        <f t="shared" si="0"/>
        <v>1916.6666666666667</v>
      </c>
      <c r="C54" s="20">
        <f t="shared" si="2"/>
        <v>200</v>
      </c>
      <c r="D54" s="20">
        <f>MAX('TANF-VIEW'!L55,'TANF-VIEW'!T55)</f>
        <v>0</v>
      </c>
      <c r="E54" s="20">
        <f t="shared" si="1"/>
        <v>2116.666666666667</v>
      </c>
      <c r="F54" s="178">
        <f>IF(AND('Total income package'!$A$24=TRUE,E54&lt;$I$2),'Program specific data'!$B$119*WIC!$G$2,0)</f>
        <v>73.52</v>
      </c>
    </row>
    <row r="55" spans="1:6" x14ac:dyDescent="0.25">
      <c r="A55" s="19">
        <v>23500</v>
      </c>
      <c r="B55" s="20">
        <f t="shared" si="0"/>
        <v>1958.3333333333333</v>
      </c>
      <c r="C55" s="20">
        <f t="shared" si="2"/>
        <v>200</v>
      </c>
      <c r="D55" s="20">
        <f>MAX('TANF-VIEW'!L56,'TANF-VIEW'!T56)</f>
        <v>0</v>
      </c>
      <c r="E55" s="20">
        <f t="shared" si="1"/>
        <v>2158.333333333333</v>
      </c>
      <c r="F55" s="178">
        <f>IF(AND('Total income package'!$A$24=TRUE,E55&lt;$I$2),'Program specific data'!$B$119*WIC!$G$2,0)</f>
        <v>73.52</v>
      </c>
    </row>
    <row r="56" spans="1:6" x14ac:dyDescent="0.25">
      <c r="A56" s="19">
        <v>24000</v>
      </c>
      <c r="B56" s="20">
        <f t="shared" si="0"/>
        <v>2000</v>
      </c>
      <c r="C56" s="20">
        <f t="shared" si="2"/>
        <v>200</v>
      </c>
      <c r="D56" s="20">
        <f>MAX('TANF-VIEW'!L57,'TANF-VIEW'!T57)</f>
        <v>0</v>
      </c>
      <c r="E56" s="20">
        <f t="shared" si="1"/>
        <v>2200</v>
      </c>
      <c r="F56" s="178">
        <f>IF(AND('Total income package'!$A$24=TRUE,E56&lt;$I$2),'Program specific data'!$B$119*WIC!$G$2,0)</f>
        <v>73.52</v>
      </c>
    </row>
    <row r="57" spans="1:6" x14ac:dyDescent="0.25">
      <c r="A57" s="19">
        <v>24500</v>
      </c>
      <c r="B57" s="20">
        <f t="shared" si="0"/>
        <v>2041.6666666666667</v>
      </c>
      <c r="C57" s="20">
        <f t="shared" si="2"/>
        <v>200</v>
      </c>
      <c r="D57" s="20">
        <f>MAX('TANF-VIEW'!L58,'TANF-VIEW'!T58)</f>
        <v>0</v>
      </c>
      <c r="E57" s="20">
        <f t="shared" si="1"/>
        <v>2241.666666666667</v>
      </c>
      <c r="F57" s="178">
        <f>IF(AND('Total income package'!$A$24=TRUE,E57&lt;$I$2),'Program specific data'!$B$119*WIC!$G$2,0)</f>
        <v>73.52</v>
      </c>
    </row>
    <row r="58" spans="1:6" x14ac:dyDescent="0.25">
      <c r="A58" s="19">
        <v>25000</v>
      </c>
      <c r="B58" s="20">
        <f t="shared" si="0"/>
        <v>2083.3333333333335</v>
      </c>
      <c r="C58" s="20">
        <f t="shared" si="2"/>
        <v>200</v>
      </c>
      <c r="D58" s="20">
        <f>MAX('TANF-VIEW'!L59,'TANF-VIEW'!T59)</f>
        <v>0</v>
      </c>
      <c r="E58" s="20">
        <f t="shared" si="1"/>
        <v>2283.3333333333335</v>
      </c>
      <c r="F58" s="178">
        <f>IF(AND('Total income package'!$A$24=TRUE,E58&lt;$I$2),'Program specific data'!$B$119*WIC!$G$2,0)</f>
        <v>73.52</v>
      </c>
    </row>
    <row r="59" spans="1:6" x14ac:dyDescent="0.25">
      <c r="A59" s="19">
        <v>25500</v>
      </c>
      <c r="B59" s="20">
        <f t="shared" si="0"/>
        <v>2125</v>
      </c>
      <c r="C59" s="20">
        <f t="shared" si="2"/>
        <v>200</v>
      </c>
      <c r="D59" s="20">
        <f>MAX('TANF-VIEW'!L60,'TANF-VIEW'!T60)</f>
        <v>0</v>
      </c>
      <c r="E59" s="20">
        <f t="shared" si="1"/>
        <v>2325</v>
      </c>
      <c r="F59" s="178">
        <f>IF(AND('Total income package'!$A$24=TRUE,E59&lt;$I$2),'Program specific data'!$B$119*WIC!$G$2,0)</f>
        <v>73.52</v>
      </c>
    </row>
    <row r="60" spans="1:6" x14ac:dyDescent="0.25">
      <c r="A60" s="19">
        <v>26000</v>
      </c>
      <c r="B60" s="20">
        <f t="shared" si="0"/>
        <v>2166.6666666666665</v>
      </c>
      <c r="C60" s="20">
        <f t="shared" si="2"/>
        <v>200</v>
      </c>
      <c r="D60" s="20">
        <f>MAX('TANF-VIEW'!L61,'TANF-VIEW'!T61)</f>
        <v>0</v>
      </c>
      <c r="E60" s="20">
        <f t="shared" si="1"/>
        <v>2366.6666666666665</v>
      </c>
      <c r="F60" s="178">
        <f>IF(AND('Total income package'!$A$24=TRUE,E60&lt;$I$2),'Program specific data'!$B$119*WIC!$G$2,0)</f>
        <v>73.52</v>
      </c>
    </row>
    <row r="61" spans="1:6" x14ac:dyDescent="0.25">
      <c r="A61" s="19">
        <v>26500</v>
      </c>
      <c r="B61" s="20">
        <f t="shared" si="0"/>
        <v>2208.3333333333335</v>
      </c>
      <c r="C61" s="20">
        <f t="shared" si="2"/>
        <v>200</v>
      </c>
      <c r="D61" s="20">
        <f>MAX('TANF-VIEW'!L62,'TANF-VIEW'!T62)</f>
        <v>0</v>
      </c>
      <c r="E61" s="20">
        <f t="shared" si="1"/>
        <v>2408.3333333333335</v>
      </c>
      <c r="F61" s="178">
        <f>IF(AND('Total income package'!$A$24=TRUE,E61&lt;$I$2),'Program specific data'!$B$119*WIC!$G$2,0)</f>
        <v>73.52</v>
      </c>
    </row>
    <row r="62" spans="1:6" x14ac:dyDescent="0.25">
      <c r="A62" s="19">
        <v>27000</v>
      </c>
      <c r="B62" s="20">
        <f t="shared" si="0"/>
        <v>2250</v>
      </c>
      <c r="C62" s="20">
        <f t="shared" si="2"/>
        <v>200</v>
      </c>
      <c r="D62" s="20">
        <f>MAX('TANF-VIEW'!L63,'TANF-VIEW'!T63)</f>
        <v>0</v>
      </c>
      <c r="E62" s="20">
        <f t="shared" si="1"/>
        <v>2450</v>
      </c>
      <c r="F62" s="178">
        <f>IF(AND('Total income package'!$A$24=TRUE,E62&lt;$I$2),'Program specific data'!$B$119*WIC!$G$2,0)</f>
        <v>73.52</v>
      </c>
    </row>
    <row r="63" spans="1:6" x14ac:dyDescent="0.25">
      <c r="A63" s="19">
        <v>27500</v>
      </c>
      <c r="B63" s="20">
        <f t="shared" si="0"/>
        <v>2291.6666666666665</v>
      </c>
      <c r="C63" s="20">
        <f t="shared" si="2"/>
        <v>200</v>
      </c>
      <c r="D63" s="20">
        <f>MAX('TANF-VIEW'!L64,'TANF-VIEW'!T64)</f>
        <v>0</v>
      </c>
      <c r="E63" s="20">
        <f t="shared" si="1"/>
        <v>2491.6666666666665</v>
      </c>
      <c r="F63" s="178">
        <f>IF(AND('Total income package'!$A$24=TRUE,E63&lt;$I$2),'Program specific data'!$B$119*WIC!$G$2,0)</f>
        <v>73.52</v>
      </c>
    </row>
    <row r="64" spans="1:6" x14ac:dyDescent="0.25">
      <c r="A64" s="19">
        <v>28000</v>
      </c>
      <c r="B64" s="20">
        <f t="shared" si="0"/>
        <v>2333.3333333333335</v>
      </c>
      <c r="C64" s="20">
        <f t="shared" si="2"/>
        <v>200</v>
      </c>
      <c r="D64" s="20">
        <f>MAX('TANF-VIEW'!L65,'TANF-VIEW'!T65)</f>
        <v>0</v>
      </c>
      <c r="E64" s="20">
        <f t="shared" si="1"/>
        <v>2533.3333333333335</v>
      </c>
      <c r="F64" s="178">
        <f>IF(AND('Total income package'!$A$24=TRUE,E64&lt;$I$2),'Program specific data'!$B$119*WIC!$G$2,0)</f>
        <v>73.52</v>
      </c>
    </row>
    <row r="65" spans="1:6" x14ac:dyDescent="0.25">
      <c r="A65" s="19">
        <v>28500</v>
      </c>
      <c r="B65" s="20">
        <f t="shared" si="0"/>
        <v>2375</v>
      </c>
      <c r="C65" s="20">
        <f t="shared" si="2"/>
        <v>200</v>
      </c>
      <c r="D65" s="20">
        <f>MAX('TANF-VIEW'!L66,'TANF-VIEW'!T66)</f>
        <v>0</v>
      </c>
      <c r="E65" s="20">
        <f t="shared" si="1"/>
        <v>2575</v>
      </c>
      <c r="F65" s="178">
        <f>IF(AND('Total income package'!$A$24=TRUE,E65&lt;$I$2),'Program specific data'!$B$119*WIC!$G$2,0)</f>
        <v>73.52</v>
      </c>
    </row>
    <row r="66" spans="1:6" x14ac:dyDescent="0.25">
      <c r="A66" s="19">
        <v>29000</v>
      </c>
      <c r="B66" s="20">
        <f t="shared" si="0"/>
        <v>2416.6666666666665</v>
      </c>
      <c r="C66" s="20">
        <f t="shared" si="2"/>
        <v>200</v>
      </c>
      <c r="D66" s="20">
        <f>MAX('TANF-VIEW'!L67,'TANF-VIEW'!T67)</f>
        <v>0</v>
      </c>
      <c r="E66" s="20">
        <f t="shared" si="1"/>
        <v>2616.6666666666665</v>
      </c>
      <c r="F66" s="178">
        <f>IF(AND('Total income package'!$A$24=TRUE,E66&lt;$I$2),'Program specific data'!$B$119*WIC!$G$2,0)</f>
        <v>73.52</v>
      </c>
    </row>
    <row r="67" spans="1:6" x14ac:dyDescent="0.25">
      <c r="A67" s="19">
        <v>29500</v>
      </c>
      <c r="B67" s="20">
        <f t="shared" si="0"/>
        <v>2458.3333333333335</v>
      </c>
      <c r="C67" s="20">
        <f t="shared" si="2"/>
        <v>200</v>
      </c>
      <c r="D67" s="20">
        <f>MAX('TANF-VIEW'!L68,'TANF-VIEW'!T68)</f>
        <v>0</v>
      </c>
      <c r="E67" s="20">
        <f t="shared" si="1"/>
        <v>2658.3333333333335</v>
      </c>
      <c r="F67" s="178">
        <f>IF(AND('Total income package'!$A$24=TRUE,E67&lt;$I$2),'Program specific data'!$B$119*WIC!$G$2,0)</f>
        <v>73.52</v>
      </c>
    </row>
    <row r="68" spans="1:6" x14ac:dyDescent="0.25">
      <c r="A68" s="19">
        <v>30000</v>
      </c>
      <c r="B68" s="20">
        <f t="shared" si="0"/>
        <v>2500</v>
      </c>
      <c r="C68" s="20">
        <f t="shared" si="2"/>
        <v>200</v>
      </c>
      <c r="D68" s="20">
        <f>MAX('TANF-VIEW'!L69,'TANF-VIEW'!T69)</f>
        <v>0</v>
      </c>
      <c r="E68" s="20">
        <f t="shared" si="1"/>
        <v>2700</v>
      </c>
      <c r="F68" s="178">
        <f>IF(AND('Total income package'!$A$24=TRUE,E68&lt;$I$2),'Program specific data'!$B$119*WIC!$G$2,0)</f>
        <v>73.52</v>
      </c>
    </row>
    <row r="69" spans="1:6" x14ac:dyDescent="0.25">
      <c r="A69" s="19">
        <v>30500</v>
      </c>
      <c r="B69" s="20">
        <f t="shared" si="0"/>
        <v>2541.6666666666665</v>
      </c>
      <c r="C69" s="20">
        <f t="shared" si="2"/>
        <v>200</v>
      </c>
      <c r="D69" s="20">
        <f>MAX('TANF-VIEW'!L70,'TANF-VIEW'!T70)</f>
        <v>0</v>
      </c>
      <c r="E69" s="20">
        <f t="shared" si="1"/>
        <v>2741.6666666666665</v>
      </c>
      <c r="F69" s="178">
        <f>IF(AND('Total income package'!$A$24=TRUE,E69&lt;$I$2),'Program specific data'!$B$119*WIC!$G$2,0)</f>
        <v>73.52</v>
      </c>
    </row>
    <row r="70" spans="1:6" x14ac:dyDescent="0.25">
      <c r="A70" s="19">
        <v>31000</v>
      </c>
      <c r="B70" s="20">
        <f t="shared" si="0"/>
        <v>2583.3333333333335</v>
      </c>
      <c r="C70" s="20">
        <f t="shared" si="2"/>
        <v>200</v>
      </c>
      <c r="D70" s="20">
        <f>MAX('TANF-VIEW'!L71,'TANF-VIEW'!T71)</f>
        <v>0</v>
      </c>
      <c r="E70" s="20">
        <f t="shared" si="1"/>
        <v>2783.3333333333335</v>
      </c>
      <c r="F70" s="178">
        <f>IF(AND('Total income package'!$A$24=TRUE,E70&lt;$I$2),'Program specific data'!$B$119*WIC!$G$2,0)</f>
        <v>73.52</v>
      </c>
    </row>
    <row r="71" spans="1:6" x14ac:dyDescent="0.25">
      <c r="A71" s="19">
        <v>31500</v>
      </c>
      <c r="B71" s="20">
        <f t="shared" si="0"/>
        <v>2625</v>
      </c>
      <c r="C71" s="20">
        <f t="shared" si="2"/>
        <v>200</v>
      </c>
      <c r="D71" s="20">
        <f>MAX('TANF-VIEW'!L72,'TANF-VIEW'!T72)</f>
        <v>0</v>
      </c>
      <c r="E71" s="20">
        <f t="shared" si="1"/>
        <v>2825</v>
      </c>
      <c r="F71" s="178">
        <f>IF(AND('Total income package'!$A$24=TRUE,E71&lt;$I$2),'Program specific data'!$B$119*WIC!$G$2,0)</f>
        <v>73.52</v>
      </c>
    </row>
    <row r="72" spans="1:6" x14ac:dyDescent="0.25">
      <c r="A72" s="19">
        <v>32000</v>
      </c>
      <c r="B72" s="20">
        <f t="shared" si="0"/>
        <v>2666.6666666666665</v>
      </c>
      <c r="C72" s="20">
        <f t="shared" si="2"/>
        <v>200</v>
      </c>
      <c r="D72" s="20">
        <f>MAX('TANF-VIEW'!L73,'TANF-VIEW'!T73)</f>
        <v>0</v>
      </c>
      <c r="E72" s="20">
        <f t="shared" si="1"/>
        <v>2866.6666666666665</v>
      </c>
      <c r="F72" s="178">
        <f>IF(AND('Total income package'!$A$24=TRUE,E72&lt;$I$2),'Program specific data'!$B$119*WIC!$G$2,0)</f>
        <v>73.52</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73.52</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73.52</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73.52</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73.52</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73.52</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73.52</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73.52</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73.52</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73.52</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73.52</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73.52</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73.52</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73.52</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73.52</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73.52</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73.52</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73.52</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73.52</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73.52</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73.52</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73.52</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73.52</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73.52</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73.52</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73.52</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73.52</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73.52</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73.52</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73.52</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73.52</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73.52</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73.52</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73.52</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73.52</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73.52</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73.52</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73.52</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73.52</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73.52</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73.52</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73.52</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73.52</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73.52</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73.52</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73.52</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73.52</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73.52</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73.52</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73.52</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73.52</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73.52</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73.52</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73.52</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73.52</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73.52</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73.52</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73.52</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73.52</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73.52</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73.52</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73.52</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73.52</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73.52</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73.52</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73.52</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73.52</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73.52</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73.52</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73.52</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73.52</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73.52</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73.52</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73.52</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73.52</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73.52</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73.52</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73.52</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73.52</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73.52</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73.52</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73.52</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73.52</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73.52</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73.52</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73.52</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73.52</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73.52</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73.52</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73.52</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73.52</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73.52</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73.52</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73.52</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73.52</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73.52</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73.52</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73.52</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73.52</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73.52</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73.52</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73.52</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73.52</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73.52</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73.52</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73.52</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73.52</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73.52</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73.52</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73.52</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73.52</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73.52</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500</v>
      </c>
      <c r="C211" s="7">
        <f t="shared" si="9"/>
        <v>200</v>
      </c>
      <c r="D211" s="4">
        <f>MAX('TANF-VIEW'!L212,'TANF-VIEW'!T212)</f>
        <v>355.4</v>
      </c>
      <c r="E211" s="4">
        <f>B211+C211+D211</f>
        <v>1055.4000000000001</v>
      </c>
      <c r="F211" s="179">
        <f>IF(AND('Total income package'!$A$24=TRUE,E211&lt;$I$2),'Program specific data'!$B$119*WIC!$G$2,0)</f>
        <v>73.52</v>
      </c>
    </row>
    <row r="212" spans="1:6" x14ac:dyDescent="0.25">
      <c r="A212" s="116" t="s">
        <v>303</v>
      </c>
      <c r="B212" s="7"/>
      <c r="C212" s="7"/>
    </row>
    <row r="213" spans="1:6" x14ac:dyDescent="0.25">
      <c r="A213" s="7"/>
      <c r="B213" s="7">
        <f>'Total income package'!$B$91</f>
        <v>500</v>
      </c>
      <c r="C213" s="7">
        <f t="shared" si="9"/>
        <v>200</v>
      </c>
      <c r="D213" s="4">
        <f>MAX('TANF-VIEW'!L214,'TANF-VIEW'!T214)</f>
        <v>355.4</v>
      </c>
      <c r="E213" s="4">
        <f>B213+C213+D213</f>
        <v>1055.4000000000001</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2026-05-29T17:40:46Z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