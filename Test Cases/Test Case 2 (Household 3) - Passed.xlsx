
<file path=[Content_Types].xml><?xml version="1.0" encoding="utf-8"?>
<Types xmlns="http://schemas.openxmlformats.org/package/2006/content-types">
  <Default Extension="bin" ContentType="application/vnd.openxmlformats-officedocument.spreadsheetml.printerSettings"/>
  <Default Extension="emf" ContentType="image/x-emf"/>
  <Default Extension="png" ContentType="image/png"/>
  <Default Extension="rels" ContentType="application/vnd.openxmlformats-package.relationships+xml"/>
  <Default Extension="vml" ContentType="application/vnd.openxmlformats-officedocument.vmlDrawing"/>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worksheets/sheet15.xml" ContentType="application/vnd.openxmlformats-officedocument.spreadsheetml.worksheet+xml"/>
  <Override PartName="/xl/worksheets/sheet16.xml" ContentType="application/vnd.openxmlformats-officedocument.spreadsheetml.worksheet+xml"/>
  <Override PartName="/xl/worksheets/sheet17.xml" ContentType="application/vnd.openxmlformats-officedocument.spreadsheetml.worksheet+xml"/>
  <Override PartName="/xl/worksheets/sheet18.xml" ContentType="application/vnd.openxmlformats-officedocument.spreadsheetml.worksheet+xml"/>
  <Override PartName="/xl/worksheets/sheet19.xml" ContentType="application/vnd.openxmlformats-officedocument.spreadsheetml.worksheet+xml"/>
  <Override PartName="/xl/worksheets/sheet20.xml" ContentType="application/vnd.openxmlformats-officedocument.spreadsheetml.worksheet+xml"/>
  <Override PartName="/xl/worksheets/sheet21.xml" ContentType="application/vnd.openxmlformats-officedocument.spreadsheetml.worksheet+xml"/>
  <Override PartName="/xl/worksheets/sheet22.xml" ContentType="application/vnd.openxmlformats-officedocument.spreadsheetml.worksheet+xml"/>
  <Override PartName="/xl/worksheets/sheet23.xml" ContentType="application/vnd.openxmlformats-officedocument.spreadsheetml.worksheet+xml"/>
  <Override PartName="/xl/worksheets/sheet24.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metadata.xml" ContentType="application/vnd.openxmlformats-officedocument.spreadsheetml.sheetMetadata+xml"/>
  <Override PartName="/xl/drawings/drawing1.xml" ContentType="application/vnd.openxmlformats-officedocument.drawing+xml"/>
  <Override PartName="/xl/activeX/activeX1.xml" ContentType="application/vnd.ms-office.activeX+xml"/>
  <Override PartName="/xl/activeX/activeX1.bin" ContentType="application/vnd.ms-office.activeX"/>
  <Override PartName="/xl/activeX/activeX2.xml" ContentType="application/vnd.ms-office.activeX+xml"/>
  <Override PartName="/xl/activeX/activeX2.bin" ContentType="application/vnd.ms-office.activeX"/>
  <Override PartName="/xl/activeX/activeX3.xml" ContentType="application/vnd.ms-office.activeX+xml"/>
  <Override PartName="/xl/activeX/activeX3.bin" ContentType="application/vnd.ms-office.activeX"/>
  <Override PartName="/xl/activeX/activeX4.xml" ContentType="application/vnd.ms-office.activeX+xml"/>
  <Override PartName="/xl/activeX/activeX4.bin" ContentType="application/vnd.ms-office.activeX"/>
  <Override PartName="/xl/activeX/activeX5.xml" ContentType="application/vnd.ms-office.activeX+xml"/>
  <Override PartName="/xl/activeX/activeX5.bin" ContentType="application/vnd.ms-office.activeX"/>
  <Override PartName="/xl/activeX/activeX6.xml" ContentType="application/vnd.ms-office.activeX+xml"/>
  <Override PartName="/xl/activeX/activeX6.bin" ContentType="application/vnd.ms-office.activeX"/>
  <Override PartName="/xl/activeX/activeX7.xml" ContentType="application/vnd.ms-office.activeX+xml"/>
  <Override PartName="/xl/activeX/activeX7.bin" ContentType="application/vnd.ms-office.activeX"/>
  <Override PartName="/xl/activeX/activeX8.xml" ContentType="application/vnd.ms-office.activeX+xml"/>
  <Override PartName="/xl/activeX/activeX8.bin" ContentType="application/vnd.ms-office.activeX"/>
  <Override PartName="/xl/activeX/activeX9.xml" ContentType="application/vnd.ms-office.activeX+xml"/>
  <Override PartName="/xl/activeX/activeX9.bin" ContentType="application/vnd.ms-office.activeX"/>
  <Override PartName="/xl/charts/chart1.xml" ContentType="application/vnd.openxmlformats-officedocument.drawingml.chart+xml"/>
  <Override PartName="/xl/charts/style1.xml" ContentType="application/vnd.ms-office.chartstyle+xml"/>
  <Override PartName="/xl/charts/colors1.xml" ContentType="application/vnd.ms-office.chartcolorstyle+xml"/>
  <Override PartName="/xl/drawings/drawing2.xml" ContentType="application/vnd.openxmlformats-officedocument.drawing+xml"/>
  <Override PartName="/xl/charts/chart2.xml" ContentType="application/vnd.openxmlformats-officedocument.drawingml.chart+xml"/>
  <Override PartName="/xl/charts/style2.xml" ContentType="application/vnd.ms-office.chartstyle+xml"/>
  <Override PartName="/xl/charts/colors2.xml" ContentType="application/vnd.ms-office.chartcolorstyle+xml"/>
  <Override PartName="/xl/charts/chart3.xml" ContentType="application/vnd.openxmlformats-officedocument.drawingml.chart+xml"/>
  <Override PartName="/xl/charts/style3.xml" ContentType="application/vnd.ms-office.chartstyle+xml"/>
  <Override PartName="/xl/charts/colors3.xml" ContentType="application/vnd.ms-office.chartcolorstyle+xml"/>
  <Override PartName="/xl/drawings/drawing3.xml" ContentType="application/vnd.openxmlformats-officedocument.drawingml.chartshapes+xml"/>
  <Override PartName="/xl/drawings/drawing4.xml" ContentType="application/vnd.openxmlformats-officedocument.drawing+xml"/>
  <Override PartName="/xl/drawings/drawing5.xml" ContentType="application/vnd.openxmlformats-officedocument.drawing+xml"/>
  <Override PartName="/xl/calcChain.xml" ContentType="application/vnd.openxmlformats-officedocument.spreadsheetml.calcChain+xml"/>
  <Override PartName="/customXml/itemProps1.xml" ContentType="application/vnd.openxmlformats-officedocument.customXmlProperties+xml"/>
  <Override PartName="/customXml/itemProps2.xml" ContentType="application/vnd.openxmlformats-officedocument.customXmlProperties+xml"/>
  <Override PartName="/customXml/itemProps3.xml" ContentType="application/vnd.openxmlformats-officedocument.customXmlProperties+xml"/>
  <Override PartName="/customXml/itemProps4.xml" ContentType="application/vnd.openxmlformats-officedocument.customXmlProperties+xml"/>
  <Override PartName="/docMetadata/LabelInfo.xml" ContentType="application/vnd.ms-office.classificationlabel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package/2006/relationships/metadata/core-properties" Target="docProps/core.xml"/><Relationship Id="rId2" Type="http://schemas.microsoft.com/office/2020/02/relationships/classificationlabels" Target="docMetadata/LabelInfo.xml"/><Relationship Id="rId1" Type="http://schemas.openxmlformats.org/officeDocument/2006/relationships/officeDocument" Target="xl/workbook.xml"/><Relationship Id="rId5" Type="http://schemas.openxmlformats.org/officeDocument/2006/relationships/custom-properties" Target="docProps/custom.xml"/><Relationship Id="rId4"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30026"/>
  <workbookPr codeName="ThisWorkbook" defaultThemeVersion="202300"/>
  <mc:AlternateContent xmlns:mc="http://schemas.openxmlformats.org/markup-compatibility/2006">
    <mc:Choice Requires="x15">
      <x15ac:absPath xmlns:x15ac="http://schemas.microsoft.com/office/spreadsheetml/2010/11/ac" url="C:\Users\Break\OneDrive\Desktop\Benefits Cliff Calculator\Cliff App\Test Cases\"/>
    </mc:Choice>
  </mc:AlternateContent>
  <xr:revisionPtr revIDLastSave="0" documentId="13_ncr:1_{4C21D046-854B-45ED-82ED-8B367B0B1D58}" xr6:coauthVersionLast="47" xr6:coauthVersionMax="47" xr10:uidLastSave="{00000000-0000-0000-0000-000000000000}"/>
  <bookViews>
    <workbookView xWindow="-28920" yWindow="-120" windowWidth="29040" windowHeight="15840" tabRatio="891" activeTab="1" xr2:uid="{58F49971-C106-409D-8AE6-606232E82A17}"/>
  </bookViews>
  <sheets>
    <sheet name="Instructions" sheetId="18" r:id="rId1"/>
    <sheet name="Total income package" sheetId="10" r:id="rId2"/>
    <sheet name="Income conversions" sheetId="29" r:id="rId3"/>
    <sheet name="Use this for graphs" sheetId="17" r:id="rId4"/>
    <sheet name="Data validation" sheetId="8" r:id="rId5"/>
    <sheet name="Graphs" sheetId="16" r:id="rId6"/>
    <sheet name="Child care subsidy" sheetId="13" r:id="rId7"/>
    <sheet name="EITC" sheetId="2" r:id="rId8"/>
    <sheet name="Health insurance subsidy " sheetId="14" r:id="rId9"/>
    <sheet name="Housing Voucher" sheetId="11" r:id="rId10"/>
    <sheet name="Medicaid" sheetId="3" r:id="rId11"/>
    <sheet name="SNAP" sheetId="6" r:id="rId12"/>
    <sheet name="SSDI" sheetId="28" r:id="rId13"/>
    <sheet name="SSI" sheetId="27" r:id="rId14"/>
    <sheet name="Program specific data" sheetId="20" r:id="rId15"/>
    <sheet name="TANF-VIEW" sheetId="4" r:id="rId16"/>
    <sheet name="WIC" sheetId="5" r:id="rId17"/>
    <sheet name="Location specific data" sheetId="9" r:id="rId18"/>
    <sheet name="EITC Rates" sheetId="24" r:id="rId19"/>
    <sheet name="IRS income tax tables" sheetId="23" r:id="rId20"/>
    <sheet name="Payroll taxes" sheetId="26" r:id="rId21"/>
    <sheet name="SLCSP premiums" sheetId="21" r:id="rId22"/>
    <sheet name="EITC (2)" sheetId="25" r:id="rId23"/>
    <sheet name="Data years-sources" sheetId="19" r:id="rId24"/>
  </sheets>
  <calcPr calcId="191028"/>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V209" i="6" l="1"/>
  <c r="E211" i="6"/>
  <c r="H2" i="5"/>
  <c r="C9" i="5" s="1"/>
  <c r="A2" i="13"/>
  <c r="B91" i="10"/>
  <c r="B90" i="10"/>
  <c r="C212" i="4"/>
  <c r="K207" i="2"/>
  <c r="C214" i="4" l="1"/>
  <c r="C85" i="20" l="1"/>
  <c r="C86" i="20"/>
  <c r="C87" i="20"/>
  <c r="C88" i="20"/>
  <c r="C89" i="20"/>
  <c r="C90" i="20"/>
  <c r="C91" i="20"/>
  <c r="C92" i="20"/>
  <c r="B85" i="20"/>
  <c r="B86" i="20"/>
  <c r="B87" i="20"/>
  <c r="B88" i="20"/>
  <c r="B89" i="20"/>
  <c r="B90" i="20"/>
  <c r="B91" i="20"/>
  <c r="B92" i="20"/>
  <c r="E86" i="20"/>
  <c r="E87" i="20"/>
  <c r="E92" i="20"/>
  <c r="G87" i="20"/>
  <c r="G88" i="20"/>
  <c r="G89" i="20"/>
  <c r="G90" i="20"/>
  <c r="G91" i="20"/>
  <c r="G85" i="20"/>
  <c r="Q7" i="20"/>
  <c r="Q8" i="20"/>
  <c r="Q9" i="20"/>
  <c r="Q10" i="20"/>
  <c r="Q11" i="20"/>
  <c r="Q12" i="20"/>
  <c r="Q13" i="20"/>
  <c r="Q6" i="20"/>
  <c r="C149" i="20"/>
  <c r="C151" i="20"/>
  <c r="C150" i="20"/>
  <c r="D5" i="2"/>
  <c r="G92" i="20" l="1"/>
  <c r="G86" i="20"/>
  <c r="N24" i="24"/>
  <c r="N23" i="24"/>
  <c r="N22" i="24"/>
  <c r="N21" i="24"/>
  <c r="N20" i="24"/>
  <c r="N19" i="24"/>
  <c r="N18" i="24"/>
  <c r="N17" i="24"/>
  <c r="E209" i="6" l="1"/>
  <c r="B10" i="29" l="1"/>
  <c r="B6" i="29"/>
  <c r="B5" i="29"/>
  <c r="C4" i="4"/>
  <c r="B6" i="4"/>
  <c r="B4" i="4"/>
  <c r="C2" i="4"/>
  <c r="C6" i="4"/>
  <c r="B32" i="10"/>
  <c r="E6" i="4" l="1"/>
  <c r="D209" i="6"/>
  <c r="D6" i="4"/>
  <c r="F209" i="6"/>
  <c r="F211" i="6"/>
  <c r="F7" i="6"/>
  <c r="F8" i="6"/>
  <c r="F9" i="6"/>
  <c r="F10" i="6"/>
  <c r="F11" i="6"/>
  <c r="F12" i="6"/>
  <c r="F13" i="6"/>
  <c r="F14" i="6"/>
  <c r="F15" i="6"/>
  <c r="F16" i="6"/>
  <c r="F17" i="6"/>
  <c r="F18" i="6"/>
  <c r="F19" i="6"/>
  <c r="F20" i="6"/>
  <c r="F21" i="6"/>
  <c r="F22" i="6"/>
  <c r="F23" i="6"/>
  <c r="F24" i="6"/>
  <c r="F25" i="6"/>
  <c r="F26" i="6"/>
  <c r="F27" i="6"/>
  <c r="F28" i="6"/>
  <c r="F29" i="6"/>
  <c r="F30" i="6"/>
  <c r="F31" i="6"/>
  <c r="F32" i="6"/>
  <c r="F33" i="6"/>
  <c r="F34" i="6"/>
  <c r="F35" i="6"/>
  <c r="F36" i="6"/>
  <c r="F37" i="6"/>
  <c r="F38" i="6"/>
  <c r="F39" i="6"/>
  <c r="F40" i="6"/>
  <c r="F41" i="6"/>
  <c r="F42" i="6"/>
  <c r="F43" i="6"/>
  <c r="F44" i="6"/>
  <c r="F45" i="6"/>
  <c r="F46" i="6"/>
  <c r="F47" i="6"/>
  <c r="F48" i="6"/>
  <c r="F49" i="6"/>
  <c r="F50" i="6"/>
  <c r="F51" i="6"/>
  <c r="F52" i="6"/>
  <c r="F53" i="6"/>
  <c r="F54" i="6"/>
  <c r="F55" i="6"/>
  <c r="F56" i="6"/>
  <c r="F57" i="6"/>
  <c r="F58" i="6"/>
  <c r="F59" i="6"/>
  <c r="F60" i="6"/>
  <c r="F61" i="6"/>
  <c r="F62" i="6"/>
  <c r="F63" i="6"/>
  <c r="F64" i="6"/>
  <c r="F65" i="6"/>
  <c r="F66" i="6"/>
  <c r="F67" i="6"/>
  <c r="F68" i="6"/>
  <c r="F69" i="6"/>
  <c r="F70" i="6"/>
  <c r="F71" i="6"/>
  <c r="F72" i="6"/>
  <c r="F73" i="6"/>
  <c r="F74" i="6"/>
  <c r="F75" i="6"/>
  <c r="F76" i="6"/>
  <c r="F77" i="6"/>
  <c r="F78" i="6"/>
  <c r="F79" i="6"/>
  <c r="F80" i="6"/>
  <c r="F81" i="6"/>
  <c r="F82" i="6"/>
  <c r="F83" i="6"/>
  <c r="F84" i="6"/>
  <c r="F85" i="6"/>
  <c r="F86" i="6"/>
  <c r="F87" i="6"/>
  <c r="F88" i="6"/>
  <c r="F89" i="6"/>
  <c r="F90" i="6"/>
  <c r="F91" i="6"/>
  <c r="F92" i="6"/>
  <c r="F93" i="6"/>
  <c r="F94" i="6"/>
  <c r="F95" i="6"/>
  <c r="F96" i="6"/>
  <c r="F97" i="6"/>
  <c r="F98" i="6"/>
  <c r="F99" i="6"/>
  <c r="F100" i="6"/>
  <c r="F101" i="6"/>
  <c r="F102" i="6"/>
  <c r="F103" i="6"/>
  <c r="F104" i="6"/>
  <c r="F105" i="6"/>
  <c r="F106" i="6"/>
  <c r="F107" i="6"/>
  <c r="F108" i="6"/>
  <c r="F109" i="6"/>
  <c r="F110" i="6"/>
  <c r="F111" i="6"/>
  <c r="F112" i="6"/>
  <c r="F113" i="6"/>
  <c r="F114" i="6"/>
  <c r="F115" i="6"/>
  <c r="F116" i="6"/>
  <c r="F117" i="6"/>
  <c r="F118" i="6"/>
  <c r="F119" i="6"/>
  <c r="F120" i="6"/>
  <c r="F121" i="6"/>
  <c r="F122" i="6"/>
  <c r="F123" i="6"/>
  <c r="F124" i="6"/>
  <c r="F125" i="6"/>
  <c r="F126" i="6"/>
  <c r="F127" i="6"/>
  <c r="F128" i="6"/>
  <c r="F129" i="6"/>
  <c r="F130" i="6"/>
  <c r="F131" i="6"/>
  <c r="F132" i="6"/>
  <c r="F133" i="6"/>
  <c r="F134" i="6"/>
  <c r="F135" i="6"/>
  <c r="F136" i="6"/>
  <c r="F137" i="6"/>
  <c r="F138" i="6"/>
  <c r="F139" i="6"/>
  <c r="F140" i="6"/>
  <c r="F141" i="6"/>
  <c r="F142" i="6"/>
  <c r="F143" i="6"/>
  <c r="F144" i="6"/>
  <c r="F145" i="6"/>
  <c r="F146" i="6"/>
  <c r="F147" i="6"/>
  <c r="F148" i="6"/>
  <c r="F149" i="6"/>
  <c r="F150" i="6"/>
  <c r="F151" i="6"/>
  <c r="F152" i="6"/>
  <c r="F153" i="6"/>
  <c r="F154" i="6"/>
  <c r="F155" i="6"/>
  <c r="F156" i="6"/>
  <c r="F157" i="6"/>
  <c r="F158" i="6"/>
  <c r="F159" i="6"/>
  <c r="F160" i="6"/>
  <c r="F161" i="6"/>
  <c r="F162" i="6"/>
  <c r="F163" i="6"/>
  <c r="F164" i="6"/>
  <c r="F165" i="6"/>
  <c r="F166" i="6"/>
  <c r="F167" i="6"/>
  <c r="F168" i="6"/>
  <c r="F169" i="6"/>
  <c r="F170" i="6"/>
  <c r="F171" i="6"/>
  <c r="F172" i="6"/>
  <c r="F173" i="6"/>
  <c r="F174" i="6"/>
  <c r="F175" i="6"/>
  <c r="F176" i="6"/>
  <c r="F177" i="6"/>
  <c r="F178" i="6"/>
  <c r="F179" i="6"/>
  <c r="F180" i="6"/>
  <c r="F181" i="6"/>
  <c r="F182" i="6"/>
  <c r="F183" i="6"/>
  <c r="F184" i="6"/>
  <c r="F185" i="6"/>
  <c r="F186" i="6"/>
  <c r="F187" i="6"/>
  <c r="F188" i="6"/>
  <c r="F189" i="6"/>
  <c r="F190" i="6"/>
  <c r="F191" i="6"/>
  <c r="F192" i="6"/>
  <c r="F193" i="6"/>
  <c r="F194" i="6"/>
  <c r="F195" i="6"/>
  <c r="F196" i="6"/>
  <c r="F197" i="6"/>
  <c r="F198" i="6"/>
  <c r="F199" i="6"/>
  <c r="F200" i="6"/>
  <c r="F201" i="6"/>
  <c r="F202" i="6"/>
  <c r="F203" i="6"/>
  <c r="F204" i="6"/>
  <c r="F205" i="6"/>
  <c r="F206" i="6"/>
  <c r="F6" i="6"/>
  <c r="E2" i="6"/>
  <c r="G2" i="3"/>
  <c r="G6" i="4" l="1"/>
  <c r="B212" i="4"/>
  <c r="D212" i="4" s="1"/>
  <c r="B214" i="4"/>
  <c r="D214" i="4" s="1"/>
  <c r="Q1" i="6"/>
  <c r="M7" i="6"/>
  <c r="M8" i="6"/>
  <c r="M9" i="6"/>
  <c r="M10" i="6"/>
  <c r="M11" i="6"/>
  <c r="M12" i="6"/>
  <c r="M13" i="6"/>
  <c r="M14" i="6"/>
  <c r="M15" i="6"/>
  <c r="M16" i="6"/>
  <c r="M17" i="6"/>
  <c r="M18" i="6"/>
  <c r="M19" i="6"/>
  <c r="M20" i="6"/>
  <c r="M21" i="6"/>
  <c r="M22" i="6"/>
  <c r="M23" i="6"/>
  <c r="M24" i="6"/>
  <c r="M25" i="6"/>
  <c r="M26" i="6"/>
  <c r="M27" i="6"/>
  <c r="M28" i="6"/>
  <c r="M29" i="6"/>
  <c r="M30" i="6"/>
  <c r="M31" i="6"/>
  <c r="M32" i="6"/>
  <c r="M33" i="6"/>
  <c r="M34" i="6"/>
  <c r="M35" i="6"/>
  <c r="M36" i="6"/>
  <c r="M37" i="6"/>
  <c r="M38" i="6"/>
  <c r="M39" i="6"/>
  <c r="M40" i="6"/>
  <c r="M41" i="6"/>
  <c r="M42" i="6"/>
  <c r="M43" i="6"/>
  <c r="M44" i="6"/>
  <c r="M45" i="6"/>
  <c r="M46" i="6"/>
  <c r="M47" i="6"/>
  <c r="M48" i="6"/>
  <c r="M49" i="6"/>
  <c r="M50" i="6"/>
  <c r="M51" i="6"/>
  <c r="M52" i="6"/>
  <c r="M53" i="6"/>
  <c r="M54" i="6"/>
  <c r="M55" i="6"/>
  <c r="M56" i="6"/>
  <c r="M57" i="6"/>
  <c r="M58" i="6"/>
  <c r="M59" i="6"/>
  <c r="M60" i="6"/>
  <c r="M61" i="6"/>
  <c r="M62" i="6"/>
  <c r="M63" i="6"/>
  <c r="M64" i="6"/>
  <c r="M65" i="6"/>
  <c r="M66" i="6"/>
  <c r="M67" i="6"/>
  <c r="M68" i="6"/>
  <c r="M69" i="6"/>
  <c r="M70" i="6"/>
  <c r="M71" i="6"/>
  <c r="M72" i="6"/>
  <c r="M73" i="6"/>
  <c r="M74" i="6"/>
  <c r="M75" i="6"/>
  <c r="M76" i="6"/>
  <c r="M77" i="6"/>
  <c r="M78" i="6"/>
  <c r="M79" i="6"/>
  <c r="M80" i="6"/>
  <c r="M81" i="6"/>
  <c r="M82" i="6"/>
  <c r="M83" i="6"/>
  <c r="M84" i="6"/>
  <c r="M85" i="6"/>
  <c r="M86" i="6"/>
  <c r="M87" i="6"/>
  <c r="M88" i="6"/>
  <c r="M89" i="6"/>
  <c r="M90" i="6"/>
  <c r="M91" i="6"/>
  <c r="M92" i="6"/>
  <c r="M93" i="6"/>
  <c r="M94" i="6"/>
  <c r="M95" i="6"/>
  <c r="M96" i="6"/>
  <c r="M97" i="6"/>
  <c r="M98" i="6"/>
  <c r="M99" i="6"/>
  <c r="M100" i="6"/>
  <c r="M101" i="6"/>
  <c r="M102" i="6"/>
  <c r="M103" i="6"/>
  <c r="M104" i="6"/>
  <c r="M105" i="6"/>
  <c r="M106" i="6"/>
  <c r="M107" i="6"/>
  <c r="M108" i="6"/>
  <c r="M109" i="6"/>
  <c r="M110" i="6"/>
  <c r="M111" i="6"/>
  <c r="M112" i="6"/>
  <c r="M113" i="6"/>
  <c r="M114" i="6"/>
  <c r="M115" i="6"/>
  <c r="M116" i="6"/>
  <c r="M117" i="6"/>
  <c r="M118" i="6"/>
  <c r="M119" i="6"/>
  <c r="M120" i="6"/>
  <c r="M121" i="6"/>
  <c r="M122" i="6"/>
  <c r="M123" i="6"/>
  <c r="M124" i="6"/>
  <c r="M125" i="6"/>
  <c r="M126" i="6"/>
  <c r="M127" i="6"/>
  <c r="M128" i="6"/>
  <c r="M129" i="6"/>
  <c r="M130" i="6"/>
  <c r="M131" i="6"/>
  <c r="M132" i="6"/>
  <c r="M133" i="6"/>
  <c r="M134" i="6"/>
  <c r="M135" i="6"/>
  <c r="M136" i="6"/>
  <c r="M137" i="6"/>
  <c r="M138" i="6"/>
  <c r="M139" i="6"/>
  <c r="M140" i="6"/>
  <c r="M141" i="6"/>
  <c r="M142" i="6"/>
  <c r="M143" i="6"/>
  <c r="M144" i="6"/>
  <c r="M145" i="6"/>
  <c r="M146" i="6"/>
  <c r="M147" i="6"/>
  <c r="M148" i="6"/>
  <c r="M149" i="6"/>
  <c r="M150" i="6"/>
  <c r="M151" i="6"/>
  <c r="M152" i="6"/>
  <c r="M153" i="6"/>
  <c r="M154" i="6"/>
  <c r="M155" i="6"/>
  <c r="M156" i="6"/>
  <c r="M157" i="6"/>
  <c r="M158" i="6"/>
  <c r="M159" i="6"/>
  <c r="M160" i="6"/>
  <c r="M161" i="6"/>
  <c r="M162" i="6"/>
  <c r="M163" i="6"/>
  <c r="M164" i="6"/>
  <c r="M165" i="6"/>
  <c r="M166" i="6"/>
  <c r="M167" i="6"/>
  <c r="M168" i="6"/>
  <c r="M169" i="6"/>
  <c r="M170" i="6"/>
  <c r="M171" i="6"/>
  <c r="M172" i="6"/>
  <c r="M173" i="6"/>
  <c r="M174" i="6"/>
  <c r="M175" i="6"/>
  <c r="M176" i="6"/>
  <c r="M177" i="6"/>
  <c r="M178" i="6"/>
  <c r="M179" i="6"/>
  <c r="M180" i="6"/>
  <c r="M181" i="6"/>
  <c r="M182" i="6"/>
  <c r="M183" i="6"/>
  <c r="M184" i="6"/>
  <c r="M185" i="6"/>
  <c r="M186" i="6"/>
  <c r="M187" i="6"/>
  <c r="M188" i="6"/>
  <c r="M189" i="6"/>
  <c r="M190" i="6"/>
  <c r="M191" i="6"/>
  <c r="M192" i="6"/>
  <c r="M193" i="6"/>
  <c r="M194" i="6"/>
  <c r="M195" i="6"/>
  <c r="M196" i="6"/>
  <c r="M197" i="6"/>
  <c r="M198" i="6"/>
  <c r="M199" i="6"/>
  <c r="M200" i="6"/>
  <c r="M201" i="6"/>
  <c r="M202" i="6"/>
  <c r="M203" i="6"/>
  <c r="M204" i="6"/>
  <c r="M205" i="6"/>
  <c r="M206" i="6"/>
  <c r="M209" i="6"/>
  <c r="M211" i="6"/>
  <c r="M6" i="6"/>
  <c r="B5" i="14" l="1"/>
  <c r="B6" i="14"/>
  <c r="B7" i="14"/>
  <c r="B8" i="14"/>
  <c r="B9" i="14"/>
  <c r="B10" i="14"/>
  <c r="B11" i="14"/>
  <c r="B4" i="14"/>
  <c r="C210" i="3"/>
  <c r="D210" i="3" s="1"/>
  <c r="C211" i="3"/>
  <c r="D211" i="3" s="1"/>
  <c r="C212" i="3"/>
  <c r="C213" i="3"/>
  <c r="D213" i="3" s="1"/>
  <c r="C214" i="3"/>
  <c r="C10" i="3"/>
  <c r="D10" i="3" s="1"/>
  <c r="C11" i="3"/>
  <c r="D11" i="3" s="1"/>
  <c r="C12" i="3"/>
  <c r="D12" i="3" s="1"/>
  <c r="C13" i="3"/>
  <c r="D13" i="3" s="1"/>
  <c r="C14" i="3"/>
  <c r="D14" i="3" s="1"/>
  <c r="C15" i="3"/>
  <c r="D15" i="3" s="1"/>
  <c r="C16" i="3"/>
  <c r="D16" i="3" s="1"/>
  <c r="C17" i="3"/>
  <c r="D17" i="3" s="1"/>
  <c r="C18" i="3"/>
  <c r="D18" i="3" s="1"/>
  <c r="C19" i="3"/>
  <c r="D19" i="3" s="1"/>
  <c r="C20" i="3"/>
  <c r="D20" i="3" s="1"/>
  <c r="C21" i="3"/>
  <c r="D21" i="3" s="1"/>
  <c r="C22" i="3"/>
  <c r="D22" i="3" s="1"/>
  <c r="C23" i="3"/>
  <c r="D23" i="3" s="1"/>
  <c r="C24" i="3"/>
  <c r="D24" i="3" s="1"/>
  <c r="C25" i="3"/>
  <c r="D25" i="3" s="1"/>
  <c r="C26" i="3"/>
  <c r="D26" i="3" s="1"/>
  <c r="C27" i="3"/>
  <c r="D27" i="3" s="1"/>
  <c r="C28" i="3"/>
  <c r="D28" i="3" s="1"/>
  <c r="C29" i="3"/>
  <c r="D29" i="3" s="1"/>
  <c r="C30" i="3"/>
  <c r="D30" i="3" s="1"/>
  <c r="C31" i="3"/>
  <c r="D31" i="3" s="1"/>
  <c r="C32" i="3"/>
  <c r="D32" i="3" s="1"/>
  <c r="C33" i="3"/>
  <c r="D33" i="3" s="1"/>
  <c r="C34" i="3"/>
  <c r="D34" i="3" s="1"/>
  <c r="C35" i="3"/>
  <c r="D35" i="3" s="1"/>
  <c r="C36" i="3"/>
  <c r="D36" i="3" s="1"/>
  <c r="C37" i="3"/>
  <c r="D37" i="3" s="1"/>
  <c r="C38" i="3"/>
  <c r="D38" i="3" s="1"/>
  <c r="C39" i="3"/>
  <c r="D39" i="3" s="1"/>
  <c r="C40" i="3"/>
  <c r="D40" i="3" s="1"/>
  <c r="C41" i="3"/>
  <c r="D41" i="3" s="1"/>
  <c r="C42" i="3"/>
  <c r="D42" i="3" s="1"/>
  <c r="C43" i="3"/>
  <c r="D43" i="3" s="1"/>
  <c r="C44" i="3"/>
  <c r="D44" i="3" s="1"/>
  <c r="C45" i="3"/>
  <c r="D45" i="3" s="1"/>
  <c r="C46" i="3"/>
  <c r="D46" i="3" s="1"/>
  <c r="C47" i="3"/>
  <c r="D47" i="3" s="1"/>
  <c r="C48" i="3"/>
  <c r="D48" i="3" s="1"/>
  <c r="C49" i="3"/>
  <c r="D49" i="3" s="1"/>
  <c r="C50" i="3"/>
  <c r="D50" i="3" s="1"/>
  <c r="C51" i="3"/>
  <c r="D51" i="3" s="1"/>
  <c r="C52" i="3"/>
  <c r="D52" i="3" s="1"/>
  <c r="C53" i="3"/>
  <c r="D53" i="3" s="1"/>
  <c r="C54" i="3"/>
  <c r="D54" i="3" s="1"/>
  <c r="C55" i="3"/>
  <c r="D55" i="3" s="1"/>
  <c r="C56" i="3"/>
  <c r="D56" i="3" s="1"/>
  <c r="C57" i="3"/>
  <c r="D57" i="3" s="1"/>
  <c r="C58" i="3"/>
  <c r="D58" i="3" s="1"/>
  <c r="C59" i="3"/>
  <c r="D59" i="3" s="1"/>
  <c r="C60" i="3"/>
  <c r="D60" i="3" s="1"/>
  <c r="C61" i="3"/>
  <c r="D61" i="3" s="1"/>
  <c r="C62" i="3"/>
  <c r="D62" i="3" s="1"/>
  <c r="C63" i="3"/>
  <c r="D63" i="3" s="1"/>
  <c r="C64" i="3"/>
  <c r="D64" i="3" s="1"/>
  <c r="C65" i="3"/>
  <c r="D65" i="3" s="1"/>
  <c r="C66" i="3"/>
  <c r="D66" i="3" s="1"/>
  <c r="C67" i="3"/>
  <c r="D67" i="3" s="1"/>
  <c r="C68" i="3"/>
  <c r="D68" i="3" s="1"/>
  <c r="C69" i="3"/>
  <c r="D69" i="3" s="1"/>
  <c r="C70" i="3"/>
  <c r="D70" i="3" s="1"/>
  <c r="C71" i="3"/>
  <c r="D71" i="3" s="1"/>
  <c r="C72" i="3"/>
  <c r="D72" i="3" s="1"/>
  <c r="C73" i="3"/>
  <c r="D73" i="3" s="1"/>
  <c r="C74" i="3"/>
  <c r="D74" i="3" s="1"/>
  <c r="C75" i="3"/>
  <c r="D75" i="3" s="1"/>
  <c r="C76" i="3"/>
  <c r="D76" i="3" s="1"/>
  <c r="C77" i="3"/>
  <c r="D77" i="3" s="1"/>
  <c r="C78" i="3"/>
  <c r="D78" i="3" s="1"/>
  <c r="C79" i="3"/>
  <c r="D79" i="3" s="1"/>
  <c r="C80" i="3"/>
  <c r="D80" i="3" s="1"/>
  <c r="C81" i="3"/>
  <c r="D81" i="3" s="1"/>
  <c r="C82" i="3"/>
  <c r="D82" i="3" s="1"/>
  <c r="C83" i="3"/>
  <c r="D83" i="3" s="1"/>
  <c r="C84" i="3"/>
  <c r="D84" i="3" s="1"/>
  <c r="C85" i="3"/>
  <c r="D85" i="3" s="1"/>
  <c r="C86" i="3"/>
  <c r="D86" i="3" s="1"/>
  <c r="C87" i="3"/>
  <c r="D87" i="3" s="1"/>
  <c r="C88" i="3"/>
  <c r="D88" i="3" s="1"/>
  <c r="C89" i="3"/>
  <c r="D89" i="3" s="1"/>
  <c r="C90" i="3"/>
  <c r="D90" i="3" s="1"/>
  <c r="C91" i="3"/>
  <c r="D91" i="3" s="1"/>
  <c r="C92" i="3"/>
  <c r="D92" i="3" s="1"/>
  <c r="C93" i="3"/>
  <c r="D93" i="3" s="1"/>
  <c r="C94" i="3"/>
  <c r="D94" i="3" s="1"/>
  <c r="C95" i="3"/>
  <c r="D95" i="3" s="1"/>
  <c r="C96" i="3"/>
  <c r="D96" i="3" s="1"/>
  <c r="C97" i="3"/>
  <c r="D97" i="3" s="1"/>
  <c r="C98" i="3"/>
  <c r="D98" i="3" s="1"/>
  <c r="C99" i="3"/>
  <c r="D99" i="3" s="1"/>
  <c r="C100" i="3"/>
  <c r="D100" i="3" s="1"/>
  <c r="C101" i="3"/>
  <c r="D101" i="3" s="1"/>
  <c r="C102" i="3"/>
  <c r="D102" i="3" s="1"/>
  <c r="C103" i="3"/>
  <c r="D103" i="3" s="1"/>
  <c r="C104" i="3"/>
  <c r="D104" i="3" s="1"/>
  <c r="C105" i="3"/>
  <c r="D105" i="3" s="1"/>
  <c r="C106" i="3"/>
  <c r="D106" i="3" s="1"/>
  <c r="C107" i="3"/>
  <c r="D107" i="3" s="1"/>
  <c r="C108" i="3"/>
  <c r="D108" i="3" s="1"/>
  <c r="C109" i="3"/>
  <c r="D109" i="3" s="1"/>
  <c r="C110" i="3"/>
  <c r="D110" i="3" s="1"/>
  <c r="C111" i="3"/>
  <c r="D111" i="3" s="1"/>
  <c r="C112" i="3"/>
  <c r="D112" i="3" s="1"/>
  <c r="C113" i="3"/>
  <c r="D113" i="3" s="1"/>
  <c r="C114" i="3"/>
  <c r="D114" i="3" s="1"/>
  <c r="C115" i="3"/>
  <c r="D115" i="3" s="1"/>
  <c r="C116" i="3"/>
  <c r="D116" i="3" s="1"/>
  <c r="C117" i="3"/>
  <c r="D117" i="3" s="1"/>
  <c r="C118" i="3"/>
  <c r="D118" i="3" s="1"/>
  <c r="C119" i="3"/>
  <c r="D119" i="3" s="1"/>
  <c r="C120" i="3"/>
  <c r="D120" i="3" s="1"/>
  <c r="C121" i="3"/>
  <c r="D121" i="3" s="1"/>
  <c r="C122" i="3"/>
  <c r="D122" i="3" s="1"/>
  <c r="C123" i="3"/>
  <c r="D123" i="3" s="1"/>
  <c r="C124" i="3"/>
  <c r="D124" i="3" s="1"/>
  <c r="C125" i="3"/>
  <c r="D125" i="3" s="1"/>
  <c r="C126" i="3"/>
  <c r="D126" i="3" s="1"/>
  <c r="C127" i="3"/>
  <c r="D127" i="3" s="1"/>
  <c r="C128" i="3"/>
  <c r="D128" i="3" s="1"/>
  <c r="C129" i="3"/>
  <c r="D129" i="3" s="1"/>
  <c r="C130" i="3"/>
  <c r="D130" i="3" s="1"/>
  <c r="C131" i="3"/>
  <c r="D131" i="3" s="1"/>
  <c r="C132" i="3"/>
  <c r="D132" i="3" s="1"/>
  <c r="C133" i="3"/>
  <c r="D133" i="3" s="1"/>
  <c r="C134" i="3"/>
  <c r="D134" i="3" s="1"/>
  <c r="C135" i="3"/>
  <c r="D135" i="3" s="1"/>
  <c r="C136" i="3"/>
  <c r="D136" i="3" s="1"/>
  <c r="C137" i="3"/>
  <c r="D137" i="3" s="1"/>
  <c r="C138" i="3"/>
  <c r="D138" i="3" s="1"/>
  <c r="C139" i="3"/>
  <c r="D139" i="3" s="1"/>
  <c r="C140" i="3"/>
  <c r="D140" i="3" s="1"/>
  <c r="C141" i="3"/>
  <c r="D141" i="3" s="1"/>
  <c r="C142" i="3"/>
  <c r="D142" i="3" s="1"/>
  <c r="C143" i="3"/>
  <c r="D143" i="3" s="1"/>
  <c r="C144" i="3"/>
  <c r="D144" i="3" s="1"/>
  <c r="C145" i="3"/>
  <c r="D145" i="3" s="1"/>
  <c r="C146" i="3"/>
  <c r="D146" i="3" s="1"/>
  <c r="C147" i="3"/>
  <c r="D147" i="3" s="1"/>
  <c r="C148" i="3"/>
  <c r="D148" i="3" s="1"/>
  <c r="C149" i="3"/>
  <c r="D149" i="3" s="1"/>
  <c r="C150" i="3"/>
  <c r="D150" i="3" s="1"/>
  <c r="C151" i="3"/>
  <c r="D151" i="3" s="1"/>
  <c r="C152" i="3"/>
  <c r="D152" i="3" s="1"/>
  <c r="C153" i="3"/>
  <c r="D153" i="3" s="1"/>
  <c r="C154" i="3"/>
  <c r="D154" i="3" s="1"/>
  <c r="C155" i="3"/>
  <c r="D155" i="3" s="1"/>
  <c r="C156" i="3"/>
  <c r="D156" i="3" s="1"/>
  <c r="C157" i="3"/>
  <c r="D157" i="3" s="1"/>
  <c r="C158" i="3"/>
  <c r="D158" i="3" s="1"/>
  <c r="C159" i="3"/>
  <c r="D159" i="3" s="1"/>
  <c r="C160" i="3"/>
  <c r="D160" i="3" s="1"/>
  <c r="C161" i="3"/>
  <c r="D161" i="3" s="1"/>
  <c r="C162" i="3"/>
  <c r="D162" i="3" s="1"/>
  <c r="C163" i="3"/>
  <c r="D163" i="3" s="1"/>
  <c r="C164" i="3"/>
  <c r="D164" i="3" s="1"/>
  <c r="C165" i="3"/>
  <c r="D165" i="3" s="1"/>
  <c r="C166" i="3"/>
  <c r="D166" i="3" s="1"/>
  <c r="C167" i="3"/>
  <c r="D167" i="3" s="1"/>
  <c r="C168" i="3"/>
  <c r="D168" i="3" s="1"/>
  <c r="C169" i="3"/>
  <c r="D169" i="3" s="1"/>
  <c r="C170" i="3"/>
  <c r="D170" i="3" s="1"/>
  <c r="C171" i="3"/>
  <c r="D171" i="3" s="1"/>
  <c r="C172" i="3"/>
  <c r="D172" i="3" s="1"/>
  <c r="C173" i="3"/>
  <c r="D173" i="3" s="1"/>
  <c r="C174" i="3"/>
  <c r="D174" i="3" s="1"/>
  <c r="C175" i="3"/>
  <c r="D175" i="3" s="1"/>
  <c r="C176" i="3"/>
  <c r="D176" i="3" s="1"/>
  <c r="C177" i="3"/>
  <c r="D177" i="3" s="1"/>
  <c r="C178" i="3"/>
  <c r="D178" i="3" s="1"/>
  <c r="C179" i="3"/>
  <c r="D179" i="3" s="1"/>
  <c r="C180" i="3"/>
  <c r="D180" i="3" s="1"/>
  <c r="C181" i="3"/>
  <c r="D181" i="3" s="1"/>
  <c r="C182" i="3"/>
  <c r="D182" i="3" s="1"/>
  <c r="C183" i="3"/>
  <c r="D183" i="3" s="1"/>
  <c r="C184" i="3"/>
  <c r="D184" i="3" s="1"/>
  <c r="C185" i="3"/>
  <c r="D185" i="3" s="1"/>
  <c r="C186" i="3"/>
  <c r="D186" i="3" s="1"/>
  <c r="C187" i="3"/>
  <c r="D187" i="3" s="1"/>
  <c r="C188" i="3"/>
  <c r="D188" i="3" s="1"/>
  <c r="C189" i="3"/>
  <c r="D189" i="3" s="1"/>
  <c r="C190" i="3"/>
  <c r="D190" i="3" s="1"/>
  <c r="C191" i="3"/>
  <c r="D191" i="3" s="1"/>
  <c r="C192" i="3"/>
  <c r="D192" i="3" s="1"/>
  <c r="C193" i="3"/>
  <c r="D193" i="3" s="1"/>
  <c r="C194" i="3"/>
  <c r="D194" i="3" s="1"/>
  <c r="C195" i="3"/>
  <c r="D195" i="3" s="1"/>
  <c r="C196" i="3"/>
  <c r="D196" i="3" s="1"/>
  <c r="C197" i="3"/>
  <c r="D197" i="3" s="1"/>
  <c r="C198" i="3"/>
  <c r="D198" i="3" s="1"/>
  <c r="C199" i="3"/>
  <c r="D199" i="3" s="1"/>
  <c r="C200" i="3"/>
  <c r="D200" i="3" s="1"/>
  <c r="C201" i="3"/>
  <c r="D201" i="3" s="1"/>
  <c r="C202" i="3"/>
  <c r="D202" i="3" s="1"/>
  <c r="C203" i="3"/>
  <c r="D203" i="3" s="1"/>
  <c r="C204" i="3"/>
  <c r="D204" i="3" s="1"/>
  <c r="C205" i="3"/>
  <c r="D205" i="3" s="1"/>
  <c r="C206" i="3"/>
  <c r="D206" i="3" s="1"/>
  <c r="C207" i="3"/>
  <c r="D207" i="3" s="1"/>
  <c r="C208" i="3"/>
  <c r="D208" i="3" s="1"/>
  <c r="C209" i="3"/>
  <c r="D209" i="3" s="1"/>
  <c r="C9" i="3"/>
  <c r="D9" i="3" s="1"/>
  <c r="D2" i="3"/>
  <c r="C8" i="5"/>
  <c r="D2" i="6"/>
  <c r="S1" i="13"/>
  <c r="E7" i="6"/>
  <c r="E8" i="6"/>
  <c r="E9" i="6"/>
  <c r="E10" i="6"/>
  <c r="E11" i="6"/>
  <c r="E12" i="6"/>
  <c r="E13" i="6"/>
  <c r="E14" i="6"/>
  <c r="E15" i="6"/>
  <c r="E16" i="6"/>
  <c r="E17" i="6"/>
  <c r="E18" i="6"/>
  <c r="E19" i="6"/>
  <c r="E20" i="6"/>
  <c r="E21" i="6"/>
  <c r="E22" i="6"/>
  <c r="E23" i="6"/>
  <c r="E24" i="6"/>
  <c r="E25" i="6"/>
  <c r="E26" i="6"/>
  <c r="E27" i="6"/>
  <c r="E28" i="6"/>
  <c r="E29" i="6"/>
  <c r="E30" i="6"/>
  <c r="E31" i="6"/>
  <c r="E32" i="6"/>
  <c r="E33" i="6"/>
  <c r="E34" i="6"/>
  <c r="E35" i="6"/>
  <c r="E36" i="6"/>
  <c r="E37" i="6"/>
  <c r="E38" i="6"/>
  <c r="E39" i="6"/>
  <c r="E40" i="6"/>
  <c r="E41" i="6"/>
  <c r="E42" i="6"/>
  <c r="E43" i="6"/>
  <c r="E44" i="6"/>
  <c r="E45" i="6"/>
  <c r="E46" i="6"/>
  <c r="E47" i="6"/>
  <c r="E48" i="6"/>
  <c r="E49" i="6"/>
  <c r="E50" i="6"/>
  <c r="E51" i="6"/>
  <c r="E52" i="6"/>
  <c r="E53" i="6"/>
  <c r="E54" i="6"/>
  <c r="E55" i="6"/>
  <c r="E56" i="6"/>
  <c r="E57" i="6"/>
  <c r="E58" i="6"/>
  <c r="E59" i="6"/>
  <c r="E60" i="6"/>
  <c r="E61" i="6"/>
  <c r="E62" i="6"/>
  <c r="E63" i="6"/>
  <c r="E64" i="6"/>
  <c r="E65" i="6"/>
  <c r="E66" i="6"/>
  <c r="E67" i="6"/>
  <c r="E68" i="6"/>
  <c r="E69" i="6"/>
  <c r="E70" i="6"/>
  <c r="E71" i="6"/>
  <c r="E72" i="6"/>
  <c r="E73" i="6"/>
  <c r="E74" i="6"/>
  <c r="E75" i="6"/>
  <c r="E76" i="6"/>
  <c r="E77" i="6"/>
  <c r="E78" i="6"/>
  <c r="E79" i="6"/>
  <c r="E80" i="6"/>
  <c r="E81" i="6"/>
  <c r="E82" i="6"/>
  <c r="E83" i="6"/>
  <c r="E84" i="6"/>
  <c r="E85" i="6"/>
  <c r="E86" i="6"/>
  <c r="E87" i="6"/>
  <c r="E88" i="6"/>
  <c r="E89" i="6"/>
  <c r="E90" i="6"/>
  <c r="E91" i="6"/>
  <c r="E92" i="6"/>
  <c r="E93" i="6"/>
  <c r="E94" i="6"/>
  <c r="E95" i="6"/>
  <c r="E96" i="6"/>
  <c r="E97" i="6"/>
  <c r="E98" i="6"/>
  <c r="E99" i="6"/>
  <c r="E100" i="6"/>
  <c r="E101" i="6"/>
  <c r="E102" i="6"/>
  <c r="E103" i="6"/>
  <c r="E104" i="6"/>
  <c r="E105" i="6"/>
  <c r="E106" i="6"/>
  <c r="E107" i="6"/>
  <c r="E108" i="6"/>
  <c r="E109" i="6"/>
  <c r="E110" i="6"/>
  <c r="E111" i="6"/>
  <c r="E112" i="6"/>
  <c r="E113" i="6"/>
  <c r="E114" i="6"/>
  <c r="E115" i="6"/>
  <c r="E116" i="6"/>
  <c r="E117" i="6"/>
  <c r="E118" i="6"/>
  <c r="E119" i="6"/>
  <c r="E120" i="6"/>
  <c r="E121" i="6"/>
  <c r="E122" i="6"/>
  <c r="E123" i="6"/>
  <c r="E124" i="6"/>
  <c r="E125" i="6"/>
  <c r="E126" i="6"/>
  <c r="E127" i="6"/>
  <c r="E128" i="6"/>
  <c r="E129" i="6"/>
  <c r="E130" i="6"/>
  <c r="E131" i="6"/>
  <c r="E132" i="6"/>
  <c r="E133" i="6"/>
  <c r="E134" i="6"/>
  <c r="E135" i="6"/>
  <c r="E136" i="6"/>
  <c r="E137" i="6"/>
  <c r="E138" i="6"/>
  <c r="E139" i="6"/>
  <c r="E140" i="6"/>
  <c r="E141" i="6"/>
  <c r="E142" i="6"/>
  <c r="E143" i="6"/>
  <c r="E144" i="6"/>
  <c r="E145" i="6"/>
  <c r="E146" i="6"/>
  <c r="E147" i="6"/>
  <c r="E148" i="6"/>
  <c r="E149" i="6"/>
  <c r="E150" i="6"/>
  <c r="E151" i="6"/>
  <c r="E152" i="6"/>
  <c r="E153" i="6"/>
  <c r="E154" i="6"/>
  <c r="E155" i="6"/>
  <c r="E156" i="6"/>
  <c r="E157" i="6"/>
  <c r="E158" i="6"/>
  <c r="E159" i="6"/>
  <c r="E160" i="6"/>
  <c r="E161" i="6"/>
  <c r="E162" i="6"/>
  <c r="E163" i="6"/>
  <c r="E164" i="6"/>
  <c r="E165" i="6"/>
  <c r="E166" i="6"/>
  <c r="E167" i="6"/>
  <c r="E168" i="6"/>
  <c r="E169" i="6"/>
  <c r="E170" i="6"/>
  <c r="E171" i="6"/>
  <c r="E172" i="6"/>
  <c r="E173" i="6"/>
  <c r="E174" i="6"/>
  <c r="E175" i="6"/>
  <c r="E176" i="6"/>
  <c r="E177" i="6"/>
  <c r="E178" i="6"/>
  <c r="E179" i="6"/>
  <c r="E180" i="6"/>
  <c r="E181" i="6"/>
  <c r="E182" i="6"/>
  <c r="E183" i="6"/>
  <c r="E184" i="6"/>
  <c r="E185" i="6"/>
  <c r="E186" i="6"/>
  <c r="E187" i="6"/>
  <c r="E188" i="6"/>
  <c r="E189" i="6"/>
  <c r="E190" i="6"/>
  <c r="E191" i="6"/>
  <c r="E192" i="6"/>
  <c r="E193" i="6"/>
  <c r="E194" i="6"/>
  <c r="E195" i="6"/>
  <c r="E196" i="6"/>
  <c r="E197" i="6"/>
  <c r="E198" i="6"/>
  <c r="E199" i="6"/>
  <c r="E200" i="6"/>
  <c r="E201" i="6"/>
  <c r="E202" i="6"/>
  <c r="E203" i="6"/>
  <c r="E204" i="6"/>
  <c r="E205" i="6"/>
  <c r="E206" i="6"/>
  <c r="E6" i="6"/>
  <c r="E2" i="3" l="1"/>
  <c r="I21" i="3" l="1"/>
  <c r="I117" i="3"/>
  <c r="I22" i="3"/>
  <c r="I42" i="3"/>
  <c r="I62" i="3"/>
  <c r="I82" i="3"/>
  <c r="I102" i="3"/>
  <c r="I122" i="3"/>
  <c r="I142" i="3"/>
  <c r="I162" i="3"/>
  <c r="I182" i="3"/>
  <c r="I202" i="3"/>
  <c r="I23" i="3"/>
  <c r="I43" i="3"/>
  <c r="I63" i="3"/>
  <c r="I83" i="3"/>
  <c r="I103" i="3"/>
  <c r="I123" i="3"/>
  <c r="I143" i="3"/>
  <c r="I163" i="3"/>
  <c r="I183" i="3"/>
  <c r="I203" i="3"/>
  <c r="I24" i="3"/>
  <c r="I44" i="3"/>
  <c r="I64" i="3"/>
  <c r="I84" i="3"/>
  <c r="I104" i="3"/>
  <c r="I124" i="3"/>
  <c r="I144" i="3"/>
  <c r="I164" i="3"/>
  <c r="I184" i="3"/>
  <c r="I204" i="3"/>
  <c r="I134" i="3"/>
  <c r="I55" i="3"/>
  <c r="I96" i="3"/>
  <c r="I97" i="3"/>
  <c r="I78" i="3"/>
  <c r="I25" i="3"/>
  <c r="I45" i="3"/>
  <c r="I65" i="3"/>
  <c r="I85" i="3"/>
  <c r="I105" i="3"/>
  <c r="I125" i="3"/>
  <c r="I145" i="3"/>
  <c r="I165" i="3"/>
  <c r="I185" i="3"/>
  <c r="I205" i="3"/>
  <c r="I12" i="3"/>
  <c r="I73" i="3"/>
  <c r="I173" i="3"/>
  <c r="I14" i="3"/>
  <c r="I16" i="3"/>
  <c r="I156" i="3"/>
  <c r="I176" i="3"/>
  <c r="I17" i="3"/>
  <c r="I118" i="3"/>
  <c r="I26" i="3"/>
  <c r="I46" i="3"/>
  <c r="I66" i="3"/>
  <c r="I86" i="3"/>
  <c r="I106" i="3"/>
  <c r="I126" i="3"/>
  <c r="I146" i="3"/>
  <c r="I166" i="3"/>
  <c r="I186" i="3"/>
  <c r="I206" i="3"/>
  <c r="I71" i="3"/>
  <c r="I52" i="3"/>
  <c r="I152" i="3"/>
  <c r="I192" i="3"/>
  <c r="I53" i="3"/>
  <c r="I193" i="3"/>
  <c r="I34" i="3"/>
  <c r="I116" i="3"/>
  <c r="I37" i="3"/>
  <c r="I38" i="3"/>
  <c r="I138" i="3"/>
  <c r="I178" i="3"/>
  <c r="I198" i="3"/>
  <c r="I27" i="3"/>
  <c r="I47" i="3"/>
  <c r="I67" i="3"/>
  <c r="I87" i="3"/>
  <c r="I107" i="3"/>
  <c r="I127" i="3"/>
  <c r="I147" i="3"/>
  <c r="I167" i="3"/>
  <c r="I187" i="3"/>
  <c r="I207" i="3"/>
  <c r="I72" i="3"/>
  <c r="I33" i="3"/>
  <c r="I133" i="3"/>
  <c r="I153" i="3"/>
  <c r="I54" i="3"/>
  <c r="I154" i="3"/>
  <c r="I174" i="3"/>
  <c r="I194" i="3"/>
  <c r="I214" i="3"/>
  <c r="I15" i="3"/>
  <c r="I95" i="3"/>
  <c r="I135" i="3"/>
  <c r="I155" i="3"/>
  <c r="I175" i="3"/>
  <c r="I195" i="3"/>
  <c r="I36" i="3"/>
  <c r="I196" i="3"/>
  <c r="I57" i="3"/>
  <c r="I157" i="3"/>
  <c r="I177" i="3"/>
  <c r="I197" i="3"/>
  <c r="I18" i="3"/>
  <c r="I158" i="3"/>
  <c r="I28" i="3"/>
  <c r="I48" i="3"/>
  <c r="I68" i="3"/>
  <c r="I88" i="3"/>
  <c r="I108" i="3"/>
  <c r="I128" i="3"/>
  <c r="I148" i="3"/>
  <c r="I168" i="3"/>
  <c r="I188" i="3"/>
  <c r="I208" i="3"/>
  <c r="I31" i="3"/>
  <c r="I91" i="3"/>
  <c r="I111" i="3"/>
  <c r="I131" i="3"/>
  <c r="I151" i="3"/>
  <c r="I171" i="3"/>
  <c r="I191" i="3"/>
  <c r="I211" i="3"/>
  <c r="I32" i="3"/>
  <c r="I132" i="3"/>
  <c r="I172" i="3"/>
  <c r="I212" i="3"/>
  <c r="I13" i="3"/>
  <c r="I213" i="3"/>
  <c r="I74" i="3"/>
  <c r="I35" i="3"/>
  <c r="I9" i="3"/>
  <c r="I29" i="3"/>
  <c r="I49" i="3"/>
  <c r="I69" i="3"/>
  <c r="I89" i="3"/>
  <c r="I109" i="3"/>
  <c r="I129" i="3"/>
  <c r="I149" i="3"/>
  <c r="I169" i="3"/>
  <c r="I189" i="3"/>
  <c r="I209" i="3"/>
  <c r="I11" i="3"/>
  <c r="I112" i="3"/>
  <c r="I113" i="3"/>
  <c r="I114" i="3"/>
  <c r="I75" i="3"/>
  <c r="I56" i="3"/>
  <c r="I10" i="3"/>
  <c r="I30" i="3"/>
  <c r="I50" i="3"/>
  <c r="I70" i="3"/>
  <c r="I90" i="3"/>
  <c r="I110" i="3"/>
  <c r="I130" i="3"/>
  <c r="I150" i="3"/>
  <c r="I170" i="3"/>
  <c r="I190" i="3"/>
  <c r="I210" i="3"/>
  <c r="I51" i="3"/>
  <c r="I92" i="3"/>
  <c r="I93" i="3"/>
  <c r="I94" i="3"/>
  <c r="I115" i="3"/>
  <c r="I136" i="3"/>
  <c r="I77" i="3"/>
  <c r="I98" i="3"/>
  <c r="I76" i="3"/>
  <c r="I19" i="3"/>
  <c r="I39" i="3"/>
  <c r="I59" i="3"/>
  <c r="I79" i="3"/>
  <c r="I99" i="3"/>
  <c r="I119" i="3"/>
  <c r="I139" i="3"/>
  <c r="I159" i="3"/>
  <c r="I179" i="3"/>
  <c r="I199" i="3"/>
  <c r="I20" i="3"/>
  <c r="I40" i="3"/>
  <c r="I60" i="3"/>
  <c r="I80" i="3"/>
  <c r="I100" i="3"/>
  <c r="I120" i="3"/>
  <c r="I140" i="3"/>
  <c r="I160" i="3"/>
  <c r="I180" i="3"/>
  <c r="I200" i="3"/>
  <c r="I41" i="3"/>
  <c r="I61" i="3"/>
  <c r="I81" i="3"/>
  <c r="I101" i="3"/>
  <c r="I121" i="3"/>
  <c r="I141" i="3"/>
  <c r="I161" i="3"/>
  <c r="I181" i="3"/>
  <c r="I201" i="3"/>
  <c r="I137" i="3"/>
  <c r="I58" i="3"/>
  <c r="E209" i="11"/>
  <c r="E211" i="11"/>
  <c r="E7" i="11"/>
  <c r="E8" i="11"/>
  <c r="E9" i="11"/>
  <c r="E10" i="11"/>
  <c r="E11" i="11"/>
  <c r="E12" i="11"/>
  <c r="E13" i="11"/>
  <c r="E14" i="11"/>
  <c r="E15" i="11"/>
  <c r="E16" i="11"/>
  <c r="E17" i="11"/>
  <c r="E18" i="11"/>
  <c r="E19" i="11"/>
  <c r="E20" i="11"/>
  <c r="E21" i="11"/>
  <c r="E22" i="11"/>
  <c r="E23" i="11"/>
  <c r="E24" i="11"/>
  <c r="E25" i="11"/>
  <c r="E26" i="11"/>
  <c r="E27" i="11"/>
  <c r="E28" i="11"/>
  <c r="E29" i="11"/>
  <c r="E30" i="11"/>
  <c r="E31" i="11"/>
  <c r="E32" i="11"/>
  <c r="E33" i="11"/>
  <c r="E34" i="11"/>
  <c r="E35" i="11"/>
  <c r="E36" i="11"/>
  <c r="E37" i="11"/>
  <c r="E38" i="11"/>
  <c r="E39" i="11"/>
  <c r="E40" i="11"/>
  <c r="E41" i="11"/>
  <c r="E42" i="11"/>
  <c r="E43" i="11"/>
  <c r="E44" i="11"/>
  <c r="E45" i="11"/>
  <c r="E46" i="11"/>
  <c r="E47" i="11"/>
  <c r="E48" i="11"/>
  <c r="E49" i="11"/>
  <c r="E50" i="11"/>
  <c r="E51" i="11"/>
  <c r="E52" i="11"/>
  <c r="E53" i="11"/>
  <c r="E54" i="11"/>
  <c r="E55" i="11"/>
  <c r="E56" i="11"/>
  <c r="E57" i="11"/>
  <c r="E58" i="11"/>
  <c r="E59" i="11"/>
  <c r="E60" i="11"/>
  <c r="E61" i="11"/>
  <c r="E62" i="11"/>
  <c r="E63" i="11"/>
  <c r="E64" i="11"/>
  <c r="E65" i="11"/>
  <c r="E66" i="11"/>
  <c r="E67" i="11"/>
  <c r="E68" i="11"/>
  <c r="E69" i="11"/>
  <c r="E70" i="11"/>
  <c r="E71" i="11"/>
  <c r="E72" i="11"/>
  <c r="E73" i="11"/>
  <c r="E74" i="11"/>
  <c r="E75" i="11"/>
  <c r="E76" i="11"/>
  <c r="E77" i="11"/>
  <c r="E78" i="11"/>
  <c r="E79" i="11"/>
  <c r="E80" i="11"/>
  <c r="E81" i="11"/>
  <c r="E82" i="11"/>
  <c r="E83" i="11"/>
  <c r="E84" i="11"/>
  <c r="E85" i="11"/>
  <c r="E86" i="11"/>
  <c r="E87" i="11"/>
  <c r="E88" i="11"/>
  <c r="E89" i="11"/>
  <c r="E90" i="11"/>
  <c r="E91" i="11"/>
  <c r="E92" i="11"/>
  <c r="E93" i="11"/>
  <c r="E94" i="11"/>
  <c r="E95" i="11"/>
  <c r="E96" i="11"/>
  <c r="E97" i="11"/>
  <c r="E98" i="11"/>
  <c r="E99" i="11"/>
  <c r="E100" i="11"/>
  <c r="E101" i="11"/>
  <c r="E102" i="11"/>
  <c r="E103" i="11"/>
  <c r="E104" i="11"/>
  <c r="E105" i="11"/>
  <c r="E106" i="11"/>
  <c r="E107" i="11"/>
  <c r="E108" i="11"/>
  <c r="E109" i="11"/>
  <c r="E110" i="11"/>
  <c r="E111" i="11"/>
  <c r="E112" i="11"/>
  <c r="E113" i="11"/>
  <c r="E114" i="11"/>
  <c r="E115" i="11"/>
  <c r="E116" i="11"/>
  <c r="E117" i="11"/>
  <c r="E118" i="11"/>
  <c r="E119" i="11"/>
  <c r="E120" i="11"/>
  <c r="E121" i="11"/>
  <c r="E122" i="11"/>
  <c r="E123" i="11"/>
  <c r="E124" i="11"/>
  <c r="E125" i="11"/>
  <c r="E126" i="11"/>
  <c r="E127" i="11"/>
  <c r="E128" i="11"/>
  <c r="E129" i="11"/>
  <c r="E130" i="11"/>
  <c r="E131" i="11"/>
  <c r="E132" i="11"/>
  <c r="E133" i="11"/>
  <c r="E134" i="11"/>
  <c r="E135" i="11"/>
  <c r="E136" i="11"/>
  <c r="E137" i="11"/>
  <c r="E138" i="11"/>
  <c r="E139" i="11"/>
  <c r="E140" i="11"/>
  <c r="E141" i="11"/>
  <c r="E142" i="11"/>
  <c r="E143" i="11"/>
  <c r="E144" i="11"/>
  <c r="E145" i="11"/>
  <c r="E146" i="11"/>
  <c r="E147" i="11"/>
  <c r="E148" i="11"/>
  <c r="E149" i="11"/>
  <c r="E150" i="11"/>
  <c r="E151" i="11"/>
  <c r="E152" i="11"/>
  <c r="E153" i="11"/>
  <c r="E154" i="11"/>
  <c r="E155" i="11"/>
  <c r="E156" i="11"/>
  <c r="E157" i="11"/>
  <c r="E158" i="11"/>
  <c r="E159" i="11"/>
  <c r="E160" i="11"/>
  <c r="E161" i="11"/>
  <c r="E162" i="11"/>
  <c r="E163" i="11"/>
  <c r="E164" i="11"/>
  <c r="E165" i="11"/>
  <c r="E166" i="11"/>
  <c r="E167" i="11"/>
  <c r="E168" i="11"/>
  <c r="E169" i="11"/>
  <c r="E170" i="11"/>
  <c r="E171" i="11"/>
  <c r="E172" i="11"/>
  <c r="E173" i="11"/>
  <c r="E174" i="11"/>
  <c r="E175" i="11"/>
  <c r="E176" i="11"/>
  <c r="E177" i="11"/>
  <c r="E178" i="11"/>
  <c r="E179" i="11"/>
  <c r="E180" i="11"/>
  <c r="E181" i="11"/>
  <c r="E182" i="11"/>
  <c r="E183" i="11"/>
  <c r="E184" i="11"/>
  <c r="E185" i="11"/>
  <c r="E186" i="11"/>
  <c r="E187" i="11"/>
  <c r="E188" i="11"/>
  <c r="E189" i="11"/>
  <c r="E190" i="11"/>
  <c r="E191" i="11"/>
  <c r="E192" i="11"/>
  <c r="E193" i="11"/>
  <c r="E194" i="11"/>
  <c r="E195" i="11"/>
  <c r="E196" i="11"/>
  <c r="E197" i="11"/>
  <c r="E198" i="11"/>
  <c r="E199" i="11"/>
  <c r="E200" i="11"/>
  <c r="E201" i="11"/>
  <c r="E202" i="11"/>
  <c r="E203" i="11"/>
  <c r="E204" i="11"/>
  <c r="E205" i="11"/>
  <c r="E206" i="11"/>
  <c r="E6" i="11"/>
  <c r="I2" i="11"/>
  <c r="J2" i="11"/>
  <c r="H2" i="11"/>
  <c r="D209" i="11"/>
  <c r="D211" i="11"/>
  <c r="D7" i="11"/>
  <c r="D8" i="11"/>
  <c r="D9" i="11"/>
  <c r="D10" i="11"/>
  <c r="D11" i="11"/>
  <c r="D12" i="11"/>
  <c r="D13" i="11"/>
  <c r="D14" i="11"/>
  <c r="D15" i="11"/>
  <c r="D16" i="11"/>
  <c r="D17" i="11"/>
  <c r="D18" i="11"/>
  <c r="D19" i="11"/>
  <c r="D20" i="11"/>
  <c r="D21" i="11"/>
  <c r="D22" i="11"/>
  <c r="D23" i="11"/>
  <c r="D24" i="11"/>
  <c r="D25" i="11"/>
  <c r="D26" i="11"/>
  <c r="D27" i="11"/>
  <c r="D28" i="11"/>
  <c r="D29" i="11"/>
  <c r="D30" i="11"/>
  <c r="D31" i="11"/>
  <c r="D32" i="11"/>
  <c r="D33" i="11"/>
  <c r="D34" i="11"/>
  <c r="D35" i="11"/>
  <c r="D36" i="11"/>
  <c r="D37" i="11"/>
  <c r="D38" i="11"/>
  <c r="D39" i="11"/>
  <c r="D40" i="11"/>
  <c r="D41" i="11"/>
  <c r="D42" i="11"/>
  <c r="D43" i="11"/>
  <c r="D44" i="11"/>
  <c r="D45" i="11"/>
  <c r="D46" i="11"/>
  <c r="D47" i="11"/>
  <c r="D48" i="11"/>
  <c r="D49" i="11"/>
  <c r="D50" i="11"/>
  <c r="D51" i="11"/>
  <c r="D52" i="11"/>
  <c r="D53" i="11"/>
  <c r="D54" i="11"/>
  <c r="D55" i="11"/>
  <c r="D56" i="11"/>
  <c r="D57" i="11"/>
  <c r="D58" i="11"/>
  <c r="D59" i="11"/>
  <c r="D60" i="11"/>
  <c r="D61" i="11"/>
  <c r="D62" i="11"/>
  <c r="D63" i="11"/>
  <c r="D64" i="11"/>
  <c r="D65" i="11"/>
  <c r="D66" i="11"/>
  <c r="D67" i="11"/>
  <c r="D68" i="11"/>
  <c r="D69" i="11"/>
  <c r="D70" i="11"/>
  <c r="D71" i="11"/>
  <c r="D72" i="11"/>
  <c r="D73" i="11"/>
  <c r="D74" i="11"/>
  <c r="D75" i="11"/>
  <c r="D76" i="11"/>
  <c r="D77" i="11"/>
  <c r="D78" i="11"/>
  <c r="D79" i="11"/>
  <c r="D80" i="11"/>
  <c r="D81" i="11"/>
  <c r="D82" i="11"/>
  <c r="D83" i="11"/>
  <c r="D84" i="11"/>
  <c r="D85" i="11"/>
  <c r="D86" i="11"/>
  <c r="D87" i="11"/>
  <c r="D88" i="11"/>
  <c r="D89" i="11"/>
  <c r="D90" i="11"/>
  <c r="D91" i="11"/>
  <c r="D92" i="11"/>
  <c r="D93" i="11"/>
  <c r="D94" i="11"/>
  <c r="D95" i="11"/>
  <c r="D96" i="11"/>
  <c r="D97" i="11"/>
  <c r="D98" i="11"/>
  <c r="D99" i="11"/>
  <c r="D100" i="11"/>
  <c r="D101" i="11"/>
  <c r="D102" i="11"/>
  <c r="D103" i="11"/>
  <c r="D104" i="11"/>
  <c r="D105" i="11"/>
  <c r="D106" i="11"/>
  <c r="D107" i="11"/>
  <c r="D108" i="11"/>
  <c r="D109" i="11"/>
  <c r="D110" i="11"/>
  <c r="D111" i="11"/>
  <c r="D112" i="11"/>
  <c r="D113" i="11"/>
  <c r="D114" i="11"/>
  <c r="D115" i="11"/>
  <c r="D116" i="11"/>
  <c r="D117" i="11"/>
  <c r="D118" i="11"/>
  <c r="D119" i="11"/>
  <c r="D120" i="11"/>
  <c r="D121" i="11"/>
  <c r="D122" i="11"/>
  <c r="D123" i="11"/>
  <c r="D124" i="11"/>
  <c r="D125" i="11"/>
  <c r="D126" i="11"/>
  <c r="D127" i="11"/>
  <c r="D128" i="11"/>
  <c r="D129" i="11"/>
  <c r="D130" i="11"/>
  <c r="D131" i="11"/>
  <c r="D132" i="11"/>
  <c r="D133" i="11"/>
  <c r="D134" i="11"/>
  <c r="D135" i="11"/>
  <c r="D136" i="11"/>
  <c r="D137" i="11"/>
  <c r="D138" i="11"/>
  <c r="D139" i="11"/>
  <c r="D140" i="11"/>
  <c r="D141" i="11"/>
  <c r="D142" i="11"/>
  <c r="D143" i="11"/>
  <c r="D144" i="11"/>
  <c r="D145" i="11"/>
  <c r="D146" i="11"/>
  <c r="D147" i="11"/>
  <c r="D148" i="11"/>
  <c r="D149" i="11"/>
  <c r="D150" i="11"/>
  <c r="D151" i="11"/>
  <c r="D152" i="11"/>
  <c r="D153" i="11"/>
  <c r="D154" i="11"/>
  <c r="D155" i="11"/>
  <c r="D156" i="11"/>
  <c r="D157" i="11"/>
  <c r="D158" i="11"/>
  <c r="D159" i="11"/>
  <c r="D160" i="11"/>
  <c r="D161" i="11"/>
  <c r="D162" i="11"/>
  <c r="D163" i="11"/>
  <c r="D164" i="11"/>
  <c r="D165" i="11"/>
  <c r="D166" i="11"/>
  <c r="D167" i="11"/>
  <c r="D168" i="11"/>
  <c r="D169" i="11"/>
  <c r="D170" i="11"/>
  <c r="D171" i="11"/>
  <c r="D172" i="11"/>
  <c r="D173" i="11"/>
  <c r="D174" i="11"/>
  <c r="D175" i="11"/>
  <c r="D176" i="11"/>
  <c r="D177" i="11"/>
  <c r="D178" i="11"/>
  <c r="D179" i="11"/>
  <c r="D180" i="11"/>
  <c r="D181" i="11"/>
  <c r="D182" i="11"/>
  <c r="D183" i="11"/>
  <c r="D184" i="11"/>
  <c r="D185" i="11"/>
  <c r="D186" i="11"/>
  <c r="D187" i="11"/>
  <c r="D188" i="11"/>
  <c r="D189" i="11"/>
  <c r="D190" i="11"/>
  <c r="D191" i="11"/>
  <c r="D192" i="11"/>
  <c r="D193" i="11"/>
  <c r="D194" i="11"/>
  <c r="D195" i="11"/>
  <c r="D196" i="11"/>
  <c r="D197" i="11"/>
  <c r="D198" i="11"/>
  <c r="D199" i="11"/>
  <c r="D200" i="11"/>
  <c r="D201" i="11"/>
  <c r="D202" i="11"/>
  <c r="D203" i="11"/>
  <c r="D204" i="11"/>
  <c r="D205" i="11"/>
  <c r="D206" i="11"/>
  <c r="D6" i="11"/>
  <c r="G2" i="11"/>
  <c r="C205" i="13"/>
  <c r="C208" i="13"/>
  <c r="C210" i="13"/>
  <c r="C6" i="13"/>
  <c r="D6" i="13" s="1"/>
  <c r="C7" i="13"/>
  <c r="D7" i="13" s="1"/>
  <c r="C8" i="13"/>
  <c r="D8" i="13" s="1"/>
  <c r="C9" i="13"/>
  <c r="D9" i="13" s="1"/>
  <c r="C10" i="13"/>
  <c r="D10" i="13" s="1"/>
  <c r="C11" i="13"/>
  <c r="D11" i="13" s="1"/>
  <c r="C12" i="13"/>
  <c r="D12" i="13" s="1"/>
  <c r="C13" i="13"/>
  <c r="D13" i="13" s="1"/>
  <c r="C14" i="13"/>
  <c r="D14" i="13" s="1"/>
  <c r="C15" i="13"/>
  <c r="D15" i="13" s="1"/>
  <c r="C16" i="13"/>
  <c r="D16" i="13" s="1"/>
  <c r="C17" i="13"/>
  <c r="D17" i="13" s="1"/>
  <c r="C18" i="13"/>
  <c r="D18" i="13" s="1"/>
  <c r="C19" i="13"/>
  <c r="D19" i="13" s="1"/>
  <c r="C20" i="13"/>
  <c r="C21" i="13"/>
  <c r="D21" i="13" s="1"/>
  <c r="C22" i="13"/>
  <c r="D22" i="13" s="1"/>
  <c r="C23" i="13"/>
  <c r="D23" i="13" s="1"/>
  <c r="C24" i="13"/>
  <c r="D24" i="13" s="1"/>
  <c r="C25" i="13"/>
  <c r="D25" i="13" s="1"/>
  <c r="C26" i="13"/>
  <c r="D26" i="13" s="1"/>
  <c r="C27" i="13"/>
  <c r="D27" i="13" s="1"/>
  <c r="C28" i="13"/>
  <c r="D28" i="13" s="1"/>
  <c r="C29" i="13"/>
  <c r="D29" i="13" s="1"/>
  <c r="C30" i="13"/>
  <c r="D30" i="13" s="1"/>
  <c r="C31" i="13"/>
  <c r="D31" i="13" s="1"/>
  <c r="C32" i="13"/>
  <c r="D32" i="13" s="1"/>
  <c r="C33" i="13"/>
  <c r="D33" i="13" s="1"/>
  <c r="C34" i="13"/>
  <c r="D34" i="13" s="1"/>
  <c r="C35" i="13"/>
  <c r="D35" i="13" s="1"/>
  <c r="C36" i="13"/>
  <c r="D36" i="13" s="1"/>
  <c r="C37" i="13"/>
  <c r="D37" i="13" s="1"/>
  <c r="C38" i="13"/>
  <c r="D38" i="13" s="1"/>
  <c r="C39" i="13"/>
  <c r="D39" i="13" s="1"/>
  <c r="C40" i="13"/>
  <c r="D40" i="13" s="1"/>
  <c r="C41" i="13"/>
  <c r="D41" i="13" s="1"/>
  <c r="C42" i="13"/>
  <c r="D42" i="13" s="1"/>
  <c r="C43" i="13"/>
  <c r="D43" i="13" s="1"/>
  <c r="C44" i="13"/>
  <c r="D44" i="13" s="1"/>
  <c r="C45" i="13"/>
  <c r="D45" i="13" s="1"/>
  <c r="C46" i="13"/>
  <c r="D46" i="13" s="1"/>
  <c r="C47" i="13"/>
  <c r="D47" i="13" s="1"/>
  <c r="C48" i="13"/>
  <c r="D48" i="13" s="1"/>
  <c r="C49" i="13"/>
  <c r="D49" i="13" s="1"/>
  <c r="C50" i="13"/>
  <c r="D50" i="13" s="1"/>
  <c r="C51" i="13"/>
  <c r="D51" i="13" s="1"/>
  <c r="C52" i="13"/>
  <c r="D52" i="13" s="1"/>
  <c r="C53" i="13"/>
  <c r="D53" i="13" s="1"/>
  <c r="C54" i="13"/>
  <c r="D54" i="13" s="1"/>
  <c r="C55" i="13"/>
  <c r="D55" i="13" s="1"/>
  <c r="C56" i="13"/>
  <c r="D56" i="13" s="1"/>
  <c r="C57" i="13"/>
  <c r="D57" i="13" s="1"/>
  <c r="C58" i="13"/>
  <c r="D58" i="13" s="1"/>
  <c r="C59" i="13"/>
  <c r="D59" i="13" s="1"/>
  <c r="C60" i="13"/>
  <c r="D60" i="13" s="1"/>
  <c r="C61" i="13"/>
  <c r="D61" i="13" s="1"/>
  <c r="C62" i="13"/>
  <c r="D62" i="13" s="1"/>
  <c r="C63" i="13"/>
  <c r="D63" i="13" s="1"/>
  <c r="C64" i="13"/>
  <c r="D64" i="13" s="1"/>
  <c r="C65" i="13"/>
  <c r="D65" i="13" s="1"/>
  <c r="C66" i="13"/>
  <c r="D66" i="13" s="1"/>
  <c r="C67" i="13"/>
  <c r="D67" i="13" s="1"/>
  <c r="C68" i="13"/>
  <c r="D68" i="13" s="1"/>
  <c r="C69" i="13"/>
  <c r="D69" i="13" s="1"/>
  <c r="C70" i="13"/>
  <c r="D70" i="13" s="1"/>
  <c r="C71" i="13"/>
  <c r="D71" i="13" s="1"/>
  <c r="C72" i="13"/>
  <c r="D72" i="13" s="1"/>
  <c r="C73" i="13"/>
  <c r="D73" i="13" s="1"/>
  <c r="C74" i="13"/>
  <c r="D74" i="13" s="1"/>
  <c r="C75" i="13"/>
  <c r="D75" i="13" s="1"/>
  <c r="C76" i="13"/>
  <c r="D76" i="13" s="1"/>
  <c r="C77" i="13"/>
  <c r="D77" i="13" s="1"/>
  <c r="C78" i="13"/>
  <c r="D78" i="13" s="1"/>
  <c r="C79" i="13"/>
  <c r="D79" i="13" s="1"/>
  <c r="C80" i="13"/>
  <c r="D80" i="13" s="1"/>
  <c r="C81" i="13"/>
  <c r="D81" i="13" s="1"/>
  <c r="C82" i="13"/>
  <c r="D82" i="13" s="1"/>
  <c r="C83" i="13"/>
  <c r="D83" i="13" s="1"/>
  <c r="C84" i="13"/>
  <c r="D84" i="13" s="1"/>
  <c r="C85" i="13"/>
  <c r="C86" i="13"/>
  <c r="D86" i="13" s="1"/>
  <c r="C87" i="13"/>
  <c r="D87" i="13" s="1"/>
  <c r="C88" i="13"/>
  <c r="D88" i="13" s="1"/>
  <c r="C89" i="13"/>
  <c r="D89" i="13" s="1"/>
  <c r="C90" i="13"/>
  <c r="D90" i="13" s="1"/>
  <c r="C91" i="13"/>
  <c r="D91" i="13" s="1"/>
  <c r="C92" i="13"/>
  <c r="D92" i="13" s="1"/>
  <c r="C93" i="13"/>
  <c r="D93" i="13" s="1"/>
  <c r="C94" i="13"/>
  <c r="D94" i="13" s="1"/>
  <c r="C95" i="13"/>
  <c r="D95" i="13" s="1"/>
  <c r="C96" i="13"/>
  <c r="D96" i="13" s="1"/>
  <c r="C97" i="13"/>
  <c r="D97" i="13" s="1"/>
  <c r="C98" i="13"/>
  <c r="D98" i="13" s="1"/>
  <c r="C99" i="13"/>
  <c r="D99" i="13" s="1"/>
  <c r="C100" i="13"/>
  <c r="D100" i="13" s="1"/>
  <c r="C101" i="13"/>
  <c r="D101" i="13" s="1"/>
  <c r="C102" i="13"/>
  <c r="D102" i="13" s="1"/>
  <c r="C103" i="13"/>
  <c r="D103" i="13" s="1"/>
  <c r="C104" i="13"/>
  <c r="D104" i="13" s="1"/>
  <c r="C105" i="13"/>
  <c r="D105" i="13" s="1"/>
  <c r="C106" i="13"/>
  <c r="D106" i="13" s="1"/>
  <c r="C107" i="13"/>
  <c r="D107" i="13" s="1"/>
  <c r="C108" i="13"/>
  <c r="C109" i="13"/>
  <c r="D109" i="13" s="1"/>
  <c r="C110" i="13"/>
  <c r="D110" i="13" s="1"/>
  <c r="C111" i="13"/>
  <c r="D111" i="13" s="1"/>
  <c r="C112" i="13"/>
  <c r="D112" i="13" s="1"/>
  <c r="C113" i="13"/>
  <c r="D113" i="13" s="1"/>
  <c r="C114" i="13"/>
  <c r="D114" i="13" s="1"/>
  <c r="C115" i="13"/>
  <c r="D115" i="13" s="1"/>
  <c r="C116" i="13"/>
  <c r="D116" i="13" s="1"/>
  <c r="C117" i="13"/>
  <c r="D117" i="13" s="1"/>
  <c r="C118" i="13"/>
  <c r="D118" i="13" s="1"/>
  <c r="C119" i="13"/>
  <c r="D119" i="13" s="1"/>
  <c r="C120" i="13"/>
  <c r="D120" i="13" s="1"/>
  <c r="C121" i="13"/>
  <c r="D121" i="13" s="1"/>
  <c r="C122" i="13"/>
  <c r="D122" i="13" s="1"/>
  <c r="C123" i="13"/>
  <c r="D123" i="13" s="1"/>
  <c r="C124" i="13"/>
  <c r="D124" i="13" s="1"/>
  <c r="C125" i="13"/>
  <c r="D125" i="13" s="1"/>
  <c r="C126" i="13"/>
  <c r="D126" i="13" s="1"/>
  <c r="C127" i="13"/>
  <c r="D127" i="13" s="1"/>
  <c r="C128" i="13"/>
  <c r="D128" i="13" s="1"/>
  <c r="C129" i="13"/>
  <c r="D129" i="13" s="1"/>
  <c r="C130" i="13"/>
  <c r="D130" i="13" s="1"/>
  <c r="C131" i="13"/>
  <c r="D131" i="13" s="1"/>
  <c r="C132" i="13"/>
  <c r="D132" i="13" s="1"/>
  <c r="C133" i="13"/>
  <c r="D133" i="13" s="1"/>
  <c r="C134" i="13"/>
  <c r="D134" i="13" s="1"/>
  <c r="C135" i="13"/>
  <c r="D135" i="13" s="1"/>
  <c r="C136" i="13"/>
  <c r="D136" i="13" s="1"/>
  <c r="C137" i="13"/>
  <c r="D137" i="13" s="1"/>
  <c r="C138" i="13"/>
  <c r="D138" i="13" s="1"/>
  <c r="C139" i="13"/>
  <c r="D139" i="13" s="1"/>
  <c r="C140" i="13"/>
  <c r="D140" i="13" s="1"/>
  <c r="C141" i="13"/>
  <c r="D141" i="13" s="1"/>
  <c r="C142" i="13"/>
  <c r="D142" i="13" s="1"/>
  <c r="C143" i="13"/>
  <c r="D143" i="13" s="1"/>
  <c r="C144" i="13"/>
  <c r="D144" i="13" s="1"/>
  <c r="C145" i="13"/>
  <c r="D145" i="13" s="1"/>
  <c r="C146" i="13"/>
  <c r="D146" i="13" s="1"/>
  <c r="C147" i="13"/>
  <c r="D147" i="13" s="1"/>
  <c r="C148" i="13"/>
  <c r="D148" i="13" s="1"/>
  <c r="C149" i="13"/>
  <c r="D149" i="13" s="1"/>
  <c r="C150" i="13"/>
  <c r="D150" i="13" s="1"/>
  <c r="C151" i="13"/>
  <c r="D151" i="13" s="1"/>
  <c r="C152" i="13"/>
  <c r="D152" i="13" s="1"/>
  <c r="C153" i="13"/>
  <c r="D153" i="13" s="1"/>
  <c r="C154" i="13"/>
  <c r="D154" i="13" s="1"/>
  <c r="C155" i="13"/>
  <c r="D155" i="13" s="1"/>
  <c r="C156" i="13"/>
  <c r="D156" i="13" s="1"/>
  <c r="C157" i="13"/>
  <c r="D157" i="13" s="1"/>
  <c r="C158" i="13"/>
  <c r="D158" i="13" s="1"/>
  <c r="C159" i="13"/>
  <c r="D159" i="13" s="1"/>
  <c r="C160" i="13"/>
  <c r="D160" i="13" s="1"/>
  <c r="C161" i="13"/>
  <c r="D161" i="13" s="1"/>
  <c r="C162" i="13"/>
  <c r="D162" i="13" s="1"/>
  <c r="C163" i="13"/>
  <c r="D163" i="13" s="1"/>
  <c r="C164" i="13"/>
  <c r="D164" i="13" s="1"/>
  <c r="C165" i="13"/>
  <c r="D165" i="13" s="1"/>
  <c r="C166" i="13"/>
  <c r="D166" i="13" s="1"/>
  <c r="C167" i="13"/>
  <c r="D167" i="13" s="1"/>
  <c r="C168" i="13"/>
  <c r="D168" i="13" s="1"/>
  <c r="C169" i="13"/>
  <c r="D169" i="13" s="1"/>
  <c r="C170" i="13"/>
  <c r="D170" i="13" s="1"/>
  <c r="C171" i="13"/>
  <c r="D171" i="13" s="1"/>
  <c r="C172" i="13"/>
  <c r="D172" i="13" s="1"/>
  <c r="C173" i="13"/>
  <c r="D173" i="13" s="1"/>
  <c r="C174" i="13"/>
  <c r="D174" i="13" s="1"/>
  <c r="C175" i="13"/>
  <c r="D175" i="13" s="1"/>
  <c r="C176" i="13"/>
  <c r="D176" i="13" s="1"/>
  <c r="C177" i="13"/>
  <c r="D177" i="13" s="1"/>
  <c r="C178" i="13"/>
  <c r="D178" i="13" s="1"/>
  <c r="C179" i="13"/>
  <c r="D179" i="13" s="1"/>
  <c r="C180" i="13"/>
  <c r="D180" i="13" s="1"/>
  <c r="C181" i="13"/>
  <c r="D181" i="13" s="1"/>
  <c r="C182" i="13"/>
  <c r="D182" i="13" s="1"/>
  <c r="C183" i="13"/>
  <c r="D183" i="13" s="1"/>
  <c r="C184" i="13"/>
  <c r="D184" i="13" s="1"/>
  <c r="C185" i="13"/>
  <c r="D185" i="13" s="1"/>
  <c r="C186" i="13"/>
  <c r="D186" i="13" s="1"/>
  <c r="C187" i="13"/>
  <c r="D187" i="13" s="1"/>
  <c r="C188" i="13"/>
  <c r="D188" i="13" s="1"/>
  <c r="C189" i="13"/>
  <c r="D189" i="13" s="1"/>
  <c r="C190" i="13"/>
  <c r="D190" i="13" s="1"/>
  <c r="C191" i="13"/>
  <c r="D191" i="13" s="1"/>
  <c r="C192" i="13"/>
  <c r="D192" i="13" s="1"/>
  <c r="C193" i="13"/>
  <c r="D193" i="13" s="1"/>
  <c r="C194" i="13"/>
  <c r="D194" i="13" s="1"/>
  <c r="C195" i="13"/>
  <c r="D195" i="13" s="1"/>
  <c r="C196" i="13"/>
  <c r="D196" i="13" s="1"/>
  <c r="C197" i="13"/>
  <c r="D197" i="13" s="1"/>
  <c r="C198" i="13"/>
  <c r="D198" i="13" s="1"/>
  <c r="C199" i="13"/>
  <c r="D199" i="13" s="1"/>
  <c r="C200" i="13"/>
  <c r="D200" i="13" s="1"/>
  <c r="C201" i="13"/>
  <c r="D201" i="13" s="1"/>
  <c r="C202" i="13"/>
  <c r="D202" i="13" s="1"/>
  <c r="C203" i="13"/>
  <c r="D203" i="13" s="1"/>
  <c r="C204" i="13"/>
  <c r="D204" i="13" s="1"/>
  <c r="C5" i="13"/>
  <c r="C10" i="4"/>
  <c r="C11" i="4"/>
  <c r="C12" i="4"/>
  <c r="C13" i="4"/>
  <c r="C14" i="4"/>
  <c r="C15" i="4"/>
  <c r="C16" i="4"/>
  <c r="C17" i="4"/>
  <c r="C18" i="4"/>
  <c r="C19" i="4"/>
  <c r="C20" i="4"/>
  <c r="C21" i="4"/>
  <c r="C22" i="4"/>
  <c r="C23" i="4"/>
  <c r="C24" i="4"/>
  <c r="C25" i="4"/>
  <c r="C26" i="4"/>
  <c r="C27" i="4"/>
  <c r="C28" i="4"/>
  <c r="C29" i="4"/>
  <c r="C30" i="4"/>
  <c r="C31" i="4"/>
  <c r="C32" i="4"/>
  <c r="C33" i="4"/>
  <c r="C34" i="4"/>
  <c r="C35" i="4"/>
  <c r="C36" i="4"/>
  <c r="C37" i="4"/>
  <c r="C38" i="4"/>
  <c r="C39" i="4"/>
  <c r="C40" i="4"/>
  <c r="C41" i="4"/>
  <c r="C42" i="4"/>
  <c r="C43" i="4"/>
  <c r="C44" i="4"/>
  <c r="C45" i="4"/>
  <c r="C46" i="4"/>
  <c r="C47" i="4"/>
  <c r="C48" i="4"/>
  <c r="C49" i="4"/>
  <c r="C50" i="4"/>
  <c r="C51" i="4"/>
  <c r="C52" i="4"/>
  <c r="C53" i="4"/>
  <c r="C54" i="4"/>
  <c r="C55" i="4"/>
  <c r="C56" i="4"/>
  <c r="C57" i="4"/>
  <c r="C58" i="4"/>
  <c r="C59" i="4"/>
  <c r="C60" i="4"/>
  <c r="C61" i="4"/>
  <c r="C62" i="4"/>
  <c r="C63" i="4"/>
  <c r="C64" i="4"/>
  <c r="C65" i="4"/>
  <c r="C66" i="4"/>
  <c r="C67" i="4"/>
  <c r="C68" i="4"/>
  <c r="C69" i="4"/>
  <c r="C70" i="4"/>
  <c r="C71" i="4"/>
  <c r="C72" i="4"/>
  <c r="C73" i="4"/>
  <c r="C74" i="4"/>
  <c r="C75" i="4"/>
  <c r="C76" i="4"/>
  <c r="C77" i="4"/>
  <c r="C78" i="4"/>
  <c r="C79" i="4"/>
  <c r="C80" i="4"/>
  <c r="C81" i="4"/>
  <c r="C82" i="4"/>
  <c r="C83" i="4"/>
  <c r="C84" i="4"/>
  <c r="C85" i="4"/>
  <c r="C86" i="4"/>
  <c r="C87" i="4"/>
  <c r="C88" i="4"/>
  <c r="C89" i="4"/>
  <c r="C90" i="4"/>
  <c r="C91" i="4"/>
  <c r="C92" i="4"/>
  <c r="C93" i="4"/>
  <c r="C94" i="4"/>
  <c r="C95" i="4"/>
  <c r="C96" i="4"/>
  <c r="C97" i="4"/>
  <c r="C98" i="4"/>
  <c r="C99" i="4"/>
  <c r="C100" i="4"/>
  <c r="C101" i="4"/>
  <c r="C102" i="4"/>
  <c r="C103" i="4"/>
  <c r="C104" i="4"/>
  <c r="C105" i="4"/>
  <c r="C106" i="4"/>
  <c r="C107" i="4"/>
  <c r="C108" i="4"/>
  <c r="C109" i="4"/>
  <c r="C110" i="4"/>
  <c r="C111" i="4"/>
  <c r="C112" i="4"/>
  <c r="C113" i="4"/>
  <c r="C114" i="4"/>
  <c r="C115" i="4"/>
  <c r="C116" i="4"/>
  <c r="C117" i="4"/>
  <c r="C118" i="4"/>
  <c r="C119" i="4"/>
  <c r="C120" i="4"/>
  <c r="C121" i="4"/>
  <c r="C122" i="4"/>
  <c r="C123" i="4"/>
  <c r="C124" i="4"/>
  <c r="C125" i="4"/>
  <c r="C126" i="4"/>
  <c r="C127" i="4"/>
  <c r="C128" i="4"/>
  <c r="C129" i="4"/>
  <c r="C130" i="4"/>
  <c r="C131" i="4"/>
  <c r="C132" i="4"/>
  <c r="C133" i="4"/>
  <c r="C134" i="4"/>
  <c r="C135" i="4"/>
  <c r="C136" i="4"/>
  <c r="C137" i="4"/>
  <c r="C138" i="4"/>
  <c r="C139" i="4"/>
  <c r="C140" i="4"/>
  <c r="C141" i="4"/>
  <c r="C142" i="4"/>
  <c r="C143" i="4"/>
  <c r="C144" i="4"/>
  <c r="C145" i="4"/>
  <c r="C146" i="4"/>
  <c r="C147" i="4"/>
  <c r="C148" i="4"/>
  <c r="C149" i="4"/>
  <c r="C150" i="4"/>
  <c r="C151" i="4"/>
  <c r="C152" i="4"/>
  <c r="C153" i="4"/>
  <c r="C154" i="4"/>
  <c r="C155" i="4"/>
  <c r="C156" i="4"/>
  <c r="C157" i="4"/>
  <c r="C158" i="4"/>
  <c r="C159" i="4"/>
  <c r="C160" i="4"/>
  <c r="C161" i="4"/>
  <c r="C162" i="4"/>
  <c r="C163" i="4"/>
  <c r="C164" i="4"/>
  <c r="C165" i="4"/>
  <c r="C166" i="4"/>
  <c r="C167" i="4"/>
  <c r="C168" i="4"/>
  <c r="C169" i="4"/>
  <c r="C170" i="4"/>
  <c r="C171" i="4"/>
  <c r="C172" i="4"/>
  <c r="C173" i="4"/>
  <c r="C174" i="4"/>
  <c r="C175" i="4"/>
  <c r="C176" i="4"/>
  <c r="C177" i="4"/>
  <c r="C178" i="4"/>
  <c r="C179" i="4"/>
  <c r="C180" i="4"/>
  <c r="C181" i="4"/>
  <c r="C182" i="4"/>
  <c r="C183" i="4"/>
  <c r="C184" i="4"/>
  <c r="C185" i="4"/>
  <c r="C186" i="4"/>
  <c r="C187" i="4"/>
  <c r="C188" i="4"/>
  <c r="C189" i="4"/>
  <c r="C190" i="4"/>
  <c r="C191" i="4"/>
  <c r="C192" i="4"/>
  <c r="C193" i="4"/>
  <c r="C194" i="4"/>
  <c r="C195" i="4"/>
  <c r="C196" i="4"/>
  <c r="C197" i="4"/>
  <c r="C198" i="4"/>
  <c r="C199" i="4"/>
  <c r="C200" i="4"/>
  <c r="C201" i="4"/>
  <c r="C202" i="4"/>
  <c r="C203" i="4"/>
  <c r="C204" i="4"/>
  <c r="C205" i="4"/>
  <c r="C206" i="4"/>
  <c r="C207" i="4"/>
  <c r="C208" i="4"/>
  <c r="C209" i="4"/>
  <c r="C9" i="4"/>
  <c r="D9" i="4" s="1"/>
  <c r="B209" i="28"/>
  <c r="B206" i="28"/>
  <c r="B205" i="28"/>
  <c r="B204" i="28"/>
  <c r="B203" i="28"/>
  <c r="B202" i="28"/>
  <c r="B201" i="28"/>
  <c r="B200" i="28"/>
  <c r="B199" i="28"/>
  <c r="B198" i="28"/>
  <c r="B197" i="28"/>
  <c r="B196" i="28"/>
  <c r="B195" i="28"/>
  <c r="B194" i="28"/>
  <c r="B193" i="28"/>
  <c r="B192" i="28"/>
  <c r="B191" i="28"/>
  <c r="B190" i="28"/>
  <c r="B189" i="28"/>
  <c r="B188" i="28"/>
  <c r="B187" i="28"/>
  <c r="B186" i="28"/>
  <c r="B185" i="28"/>
  <c r="B184" i="28"/>
  <c r="B183" i="28"/>
  <c r="B182" i="28"/>
  <c r="B181" i="28"/>
  <c r="B180" i="28"/>
  <c r="B179" i="28"/>
  <c r="B178" i="28"/>
  <c r="B177" i="28"/>
  <c r="B176" i="28"/>
  <c r="B175" i="28"/>
  <c r="B174" i="28"/>
  <c r="B173" i="28"/>
  <c r="B172" i="28"/>
  <c r="B171" i="28"/>
  <c r="B170" i="28"/>
  <c r="B169" i="28"/>
  <c r="B168" i="28"/>
  <c r="B167" i="28"/>
  <c r="B166" i="28"/>
  <c r="B165" i="28"/>
  <c r="B164" i="28"/>
  <c r="B163" i="28"/>
  <c r="B162" i="28"/>
  <c r="B161" i="28"/>
  <c r="B160" i="28"/>
  <c r="B159" i="28"/>
  <c r="B158" i="28"/>
  <c r="B157" i="28"/>
  <c r="B156" i="28"/>
  <c r="B155" i="28"/>
  <c r="B154" i="28"/>
  <c r="B153" i="28"/>
  <c r="B152" i="28"/>
  <c r="B151" i="28"/>
  <c r="B150" i="28"/>
  <c r="B149" i="28"/>
  <c r="B148" i="28"/>
  <c r="B147" i="28"/>
  <c r="B146" i="28"/>
  <c r="B145" i="28"/>
  <c r="B144" i="28"/>
  <c r="B143" i="28"/>
  <c r="B142" i="28"/>
  <c r="B141" i="28"/>
  <c r="B140" i="28"/>
  <c r="B139" i="28"/>
  <c r="B138" i="28"/>
  <c r="B137" i="28"/>
  <c r="B136" i="28"/>
  <c r="B135" i="28"/>
  <c r="B134" i="28"/>
  <c r="B133" i="28"/>
  <c r="B132" i="28"/>
  <c r="B131" i="28"/>
  <c r="B130" i="28"/>
  <c r="B129" i="28"/>
  <c r="B128" i="28"/>
  <c r="B127" i="28"/>
  <c r="B126" i="28"/>
  <c r="B125" i="28"/>
  <c r="B124" i="28"/>
  <c r="B123" i="28"/>
  <c r="B122" i="28"/>
  <c r="B121" i="28"/>
  <c r="B120" i="28"/>
  <c r="B119" i="28"/>
  <c r="B118" i="28"/>
  <c r="B117" i="28"/>
  <c r="B116" i="28"/>
  <c r="B115" i="28"/>
  <c r="B114" i="28"/>
  <c r="B113" i="28"/>
  <c r="B112" i="28"/>
  <c r="B111" i="28"/>
  <c r="B110" i="28"/>
  <c r="B109" i="28"/>
  <c r="B108" i="28"/>
  <c r="B107" i="28"/>
  <c r="B106" i="28"/>
  <c r="B105" i="28"/>
  <c r="B104" i="28"/>
  <c r="B103" i="28"/>
  <c r="B102" i="28"/>
  <c r="B101" i="28"/>
  <c r="B100" i="28"/>
  <c r="B99" i="28"/>
  <c r="B98" i="28"/>
  <c r="B97" i="28"/>
  <c r="B96" i="28"/>
  <c r="B95" i="28"/>
  <c r="B94" i="28"/>
  <c r="B93" i="28"/>
  <c r="B92" i="28"/>
  <c r="B91" i="28"/>
  <c r="B90" i="28"/>
  <c r="B89" i="28"/>
  <c r="B88" i="28"/>
  <c r="B87" i="28"/>
  <c r="B86" i="28"/>
  <c r="B85" i="28"/>
  <c r="B84" i="28"/>
  <c r="B83" i="28"/>
  <c r="B82" i="28"/>
  <c r="B81" i="28"/>
  <c r="B80" i="28"/>
  <c r="B79" i="28"/>
  <c r="B78" i="28"/>
  <c r="B77" i="28"/>
  <c r="B76" i="28"/>
  <c r="B75" i="28"/>
  <c r="B74" i="28"/>
  <c r="B73" i="28"/>
  <c r="B72" i="28"/>
  <c r="B71" i="28"/>
  <c r="B70" i="28"/>
  <c r="B69" i="28"/>
  <c r="B68" i="28"/>
  <c r="B67" i="28"/>
  <c r="B66" i="28"/>
  <c r="B65" i="28"/>
  <c r="B64" i="28"/>
  <c r="B63" i="28"/>
  <c r="B62" i="28"/>
  <c r="B61" i="28"/>
  <c r="B60" i="28"/>
  <c r="B59" i="28"/>
  <c r="B58" i="28"/>
  <c r="B57" i="28"/>
  <c r="B56" i="28"/>
  <c r="B55" i="28"/>
  <c r="B54" i="28"/>
  <c r="B53" i="28"/>
  <c r="B52" i="28"/>
  <c r="B51" i="28"/>
  <c r="B50" i="28"/>
  <c r="B49" i="28"/>
  <c r="B48" i="28"/>
  <c r="B47" i="28"/>
  <c r="B46" i="28"/>
  <c r="B45" i="28"/>
  <c r="B44" i="28"/>
  <c r="B43" i="28"/>
  <c r="B42" i="28"/>
  <c r="B41" i="28"/>
  <c r="B40" i="28"/>
  <c r="B39" i="28"/>
  <c r="B38" i="28"/>
  <c r="B37" i="28"/>
  <c r="B36" i="28"/>
  <c r="B35" i="28"/>
  <c r="B34" i="28"/>
  <c r="B33" i="28"/>
  <c r="B32" i="28"/>
  <c r="B31" i="28"/>
  <c r="B30" i="28"/>
  <c r="B29" i="28"/>
  <c r="B28" i="28"/>
  <c r="B27" i="28"/>
  <c r="B26" i="28"/>
  <c r="B25" i="28"/>
  <c r="B24" i="28"/>
  <c r="B23" i="28"/>
  <c r="B22" i="28"/>
  <c r="B21" i="28"/>
  <c r="B20" i="28"/>
  <c r="B19" i="28"/>
  <c r="B18" i="28"/>
  <c r="B17" i="28"/>
  <c r="B16" i="28"/>
  <c r="B15" i="28"/>
  <c r="B14" i="28"/>
  <c r="B13" i="28"/>
  <c r="B12" i="28"/>
  <c r="B11" i="28"/>
  <c r="B10" i="28"/>
  <c r="B9" i="28"/>
  <c r="B8" i="28"/>
  <c r="B7" i="28"/>
  <c r="A2" i="28"/>
  <c r="C209" i="27"/>
  <c r="C211" i="27"/>
  <c r="C7" i="27"/>
  <c r="C8" i="27"/>
  <c r="C9" i="27"/>
  <c r="D9" i="27" s="1"/>
  <c r="C10" i="27"/>
  <c r="D10" i="27" s="1"/>
  <c r="C11" i="27"/>
  <c r="D11" i="27" s="1"/>
  <c r="C12" i="27"/>
  <c r="D12" i="27" s="1"/>
  <c r="C13" i="27"/>
  <c r="D13" i="27" s="1"/>
  <c r="C14" i="27"/>
  <c r="D14" i="27" s="1"/>
  <c r="C15" i="27"/>
  <c r="D15" i="27" s="1"/>
  <c r="C16" i="27"/>
  <c r="D16" i="27" s="1"/>
  <c r="C17" i="27"/>
  <c r="D17" i="27" s="1"/>
  <c r="C18" i="27"/>
  <c r="D18" i="27" s="1"/>
  <c r="C19" i="27"/>
  <c r="D19" i="27" s="1"/>
  <c r="C20" i="27"/>
  <c r="D20" i="27" s="1"/>
  <c r="C21" i="27"/>
  <c r="D21" i="27" s="1"/>
  <c r="C22" i="27"/>
  <c r="D22" i="27" s="1"/>
  <c r="C23" i="27"/>
  <c r="D23" i="27" s="1"/>
  <c r="C24" i="27"/>
  <c r="D24" i="27" s="1"/>
  <c r="C25" i="27"/>
  <c r="D25" i="27" s="1"/>
  <c r="C26" i="27"/>
  <c r="D26" i="27" s="1"/>
  <c r="C27" i="27"/>
  <c r="D27" i="27" s="1"/>
  <c r="C28" i="27"/>
  <c r="D28" i="27" s="1"/>
  <c r="C29" i="27"/>
  <c r="D29" i="27" s="1"/>
  <c r="C30" i="27"/>
  <c r="D30" i="27" s="1"/>
  <c r="C31" i="27"/>
  <c r="D31" i="27" s="1"/>
  <c r="C32" i="27"/>
  <c r="D32" i="27" s="1"/>
  <c r="C33" i="27"/>
  <c r="D33" i="27" s="1"/>
  <c r="C34" i="27"/>
  <c r="D34" i="27" s="1"/>
  <c r="C35" i="27"/>
  <c r="D35" i="27" s="1"/>
  <c r="C36" i="27"/>
  <c r="D36" i="27" s="1"/>
  <c r="C37" i="27"/>
  <c r="D37" i="27" s="1"/>
  <c r="C38" i="27"/>
  <c r="D38" i="27" s="1"/>
  <c r="C39" i="27"/>
  <c r="D39" i="27" s="1"/>
  <c r="C40" i="27"/>
  <c r="D40" i="27" s="1"/>
  <c r="C41" i="27"/>
  <c r="D41" i="27" s="1"/>
  <c r="C42" i="27"/>
  <c r="D42" i="27" s="1"/>
  <c r="C43" i="27"/>
  <c r="D43" i="27" s="1"/>
  <c r="C44" i="27"/>
  <c r="D44" i="27" s="1"/>
  <c r="C45" i="27"/>
  <c r="D45" i="27" s="1"/>
  <c r="C46" i="27"/>
  <c r="D46" i="27" s="1"/>
  <c r="C47" i="27"/>
  <c r="D47" i="27" s="1"/>
  <c r="C48" i="27"/>
  <c r="D48" i="27" s="1"/>
  <c r="C49" i="27"/>
  <c r="D49" i="27" s="1"/>
  <c r="C50" i="27"/>
  <c r="D50" i="27" s="1"/>
  <c r="C51" i="27"/>
  <c r="D51" i="27" s="1"/>
  <c r="C52" i="27"/>
  <c r="D52" i="27" s="1"/>
  <c r="C53" i="27"/>
  <c r="D53" i="27" s="1"/>
  <c r="C54" i="27"/>
  <c r="D54" i="27" s="1"/>
  <c r="C55" i="27"/>
  <c r="D55" i="27" s="1"/>
  <c r="C56" i="27"/>
  <c r="D56" i="27" s="1"/>
  <c r="C57" i="27"/>
  <c r="D57" i="27" s="1"/>
  <c r="C58" i="27"/>
  <c r="D58" i="27" s="1"/>
  <c r="C59" i="27"/>
  <c r="D59" i="27" s="1"/>
  <c r="C60" i="27"/>
  <c r="D60" i="27" s="1"/>
  <c r="C61" i="27"/>
  <c r="D61" i="27" s="1"/>
  <c r="C62" i="27"/>
  <c r="D62" i="27" s="1"/>
  <c r="C63" i="27"/>
  <c r="D63" i="27" s="1"/>
  <c r="C64" i="27"/>
  <c r="D64" i="27" s="1"/>
  <c r="C65" i="27"/>
  <c r="D65" i="27" s="1"/>
  <c r="C66" i="27"/>
  <c r="D66" i="27" s="1"/>
  <c r="C67" i="27"/>
  <c r="D67" i="27" s="1"/>
  <c r="C68" i="27"/>
  <c r="D68" i="27" s="1"/>
  <c r="C69" i="27"/>
  <c r="D69" i="27" s="1"/>
  <c r="C70" i="27"/>
  <c r="D70" i="27" s="1"/>
  <c r="C71" i="27"/>
  <c r="D71" i="27" s="1"/>
  <c r="C72" i="27"/>
  <c r="D72" i="27" s="1"/>
  <c r="C73" i="27"/>
  <c r="D73" i="27" s="1"/>
  <c r="C74" i="27"/>
  <c r="D74" i="27" s="1"/>
  <c r="C75" i="27"/>
  <c r="D75" i="27" s="1"/>
  <c r="C76" i="27"/>
  <c r="D76" i="27" s="1"/>
  <c r="C77" i="27"/>
  <c r="D77" i="27" s="1"/>
  <c r="C78" i="27"/>
  <c r="D78" i="27" s="1"/>
  <c r="C79" i="27"/>
  <c r="D79" i="27" s="1"/>
  <c r="C80" i="27"/>
  <c r="D80" i="27" s="1"/>
  <c r="C81" i="27"/>
  <c r="D81" i="27" s="1"/>
  <c r="C82" i="27"/>
  <c r="D82" i="27" s="1"/>
  <c r="C83" i="27"/>
  <c r="D83" i="27" s="1"/>
  <c r="C84" i="27"/>
  <c r="D84" i="27" s="1"/>
  <c r="C85" i="27"/>
  <c r="D85" i="27" s="1"/>
  <c r="C86" i="27"/>
  <c r="D86" i="27" s="1"/>
  <c r="C87" i="27"/>
  <c r="D87" i="27" s="1"/>
  <c r="C88" i="27"/>
  <c r="D88" i="27" s="1"/>
  <c r="C89" i="27"/>
  <c r="D89" i="27" s="1"/>
  <c r="C90" i="27"/>
  <c r="D90" i="27" s="1"/>
  <c r="C91" i="27"/>
  <c r="D91" i="27" s="1"/>
  <c r="C92" i="27"/>
  <c r="D92" i="27" s="1"/>
  <c r="C93" i="27"/>
  <c r="D93" i="27" s="1"/>
  <c r="C94" i="27"/>
  <c r="D94" i="27" s="1"/>
  <c r="C95" i="27"/>
  <c r="D95" i="27" s="1"/>
  <c r="C96" i="27"/>
  <c r="D96" i="27" s="1"/>
  <c r="C97" i="27"/>
  <c r="D97" i="27" s="1"/>
  <c r="C98" i="27"/>
  <c r="C99" i="27"/>
  <c r="D99" i="27" s="1"/>
  <c r="C100" i="27"/>
  <c r="D100" i="27" s="1"/>
  <c r="C101" i="27"/>
  <c r="D101" i="27" s="1"/>
  <c r="C102" i="27"/>
  <c r="D102" i="27" s="1"/>
  <c r="C103" i="27"/>
  <c r="D103" i="27" s="1"/>
  <c r="C104" i="27"/>
  <c r="D104" i="27" s="1"/>
  <c r="C105" i="27"/>
  <c r="D105" i="27" s="1"/>
  <c r="C106" i="27"/>
  <c r="D106" i="27" s="1"/>
  <c r="C107" i="27"/>
  <c r="C108" i="27"/>
  <c r="D108" i="27" s="1"/>
  <c r="C109" i="27"/>
  <c r="D109" i="27" s="1"/>
  <c r="C110" i="27"/>
  <c r="D110" i="27" s="1"/>
  <c r="C111" i="27"/>
  <c r="D111" i="27" s="1"/>
  <c r="C112" i="27"/>
  <c r="D112" i="27" s="1"/>
  <c r="C113" i="27"/>
  <c r="D113" i="27" s="1"/>
  <c r="C114" i="27"/>
  <c r="D114" i="27" s="1"/>
  <c r="C115" i="27"/>
  <c r="D115" i="27" s="1"/>
  <c r="C116" i="27"/>
  <c r="D116" i="27" s="1"/>
  <c r="C117" i="27"/>
  <c r="D117" i="27" s="1"/>
  <c r="C118" i="27"/>
  <c r="D118" i="27" s="1"/>
  <c r="C119" i="27"/>
  <c r="D119" i="27" s="1"/>
  <c r="C120" i="27"/>
  <c r="D120" i="27" s="1"/>
  <c r="C121" i="27"/>
  <c r="D121" i="27" s="1"/>
  <c r="C122" i="27"/>
  <c r="D122" i="27" s="1"/>
  <c r="C123" i="27"/>
  <c r="D123" i="27" s="1"/>
  <c r="C124" i="27"/>
  <c r="D124" i="27" s="1"/>
  <c r="C125" i="27"/>
  <c r="D125" i="27" s="1"/>
  <c r="C126" i="27"/>
  <c r="D126" i="27" s="1"/>
  <c r="C127" i="27"/>
  <c r="D127" i="27" s="1"/>
  <c r="C128" i="27"/>
  <c r="D128" i="27" s="1"/>
  <c r="C129" i="27"/>
  <c r="D129" i="27" s="1"/>
  <c r="C130" i="27"/>
  <c r="D130" i="27" s="1"/>
  <c r="C131" i="27"/>
  <c r="D131" i="27" s="1"/>
  <c r="C132" i="27"/>
  <c r="D132" i="27" s="1"/>
  <c r="C133" i="27"/>
  <c r="D133" i="27" s="1"/>
  <c r="C134" i="27"/>
  <c r="D134" i="27" s="1"/>
  <c r="C135" i="27"/>
  <c r="D135" i="27" s="1"/>
  <c r="C136" i="27"/>
  <c r="D136" i="27" s="1"/>
  <c r="C137" i="27"/>
  <c r="D137" i="27" s="1"/>
  <c r="C138" i="27"/>
  <c r="D138" i="27" s="1"/>
  <c r="C139" i="27"/>
  <c r="D139" i="27" s="1"/>
  <c r="C140" i="27"/>
  <c r="D140" i="27" s="1"/>
  <c r="C141" i="27"/>
  <c r="D141" i="27" s="1"/>
  <c r="C142" i="27"/>
  <c r="D142" i="27" s="1"/>
  <c r="C143" i="27"/>
  <c r="D143" i="27" s="1"/>
  <c r="C144" i="27"/>
  <c r="D144" i="27" s="1"/>
  <c r="C145" i="27"/>
  <c r="D145" i="27" s="1"/>
  <c r="C146" i="27"/>
  <c r="D146" i="27" s="1"/>
  <c r="C147" i="27"/>
  <c r="D147" i="27" s="1"/>
  <c r="C148" i="27"/>
  <c r="D148" i="27" s="1"/>
  <c r="C149" i="27"/>
  <c r="D149" i="27" s="1"/>
  <c r="C150" i="27"/>
  <c r="D150" i="27" s="1"/>
  <c r="C151" i="27"/>
  <c r="D151" i="27" s="1"/>
  <c r="C152" i="27"/>
  <c r="D152" i="27" s="1"/>
  <c r="C153" i="27"/>
  <c r="D153" i="27" s="1"/>
  <c r="C154" i="27"/>
  <c r="D154" i="27" s="1"/>
  <c r="C155" i="27"/>
  <c r="D155" i="27" s="1"/>
  <c r="C156" i="27"/>
  <c r="D156" i="27" s="1"/>
  <c r="C157" i="27"/>
  <c r="D157" i="27" s="1"/>
  <c r="C158" i="27"/>
  <c r="D158" i="27" s="1"/>
  <c r="C159" i="27"/>
  <c r="D159" i="27" s="1"/>
  <c r="C160" i="27"/>
  <c r="D160" i="27" s="1"/>
  <c r="C161" i="27"/>
  <c r="D161" i="27" s="1"/>
  <c r="C162" i="27"/>
  <c r="D162" i="27" s="1"/>
  <c r="C163" i="27"/>
  <c r="D163" i="27" s="1"/>
  <c r="C164" i="27"/>
  <c r="D164" i="27" s="1"/>
  <c r="C165" i="27"/>
  <c r="D165" i="27" s="1"/>
  <c r="C166" i="27"/>
  <c r="D166" i="27" s="1"/>
  <c r="C167" i="27"/>
  <c r="D167" i="27" s="1"/>
  <c r="C168" i="27"/>
  <c r="D168" i="27" s="1"/>
  <c r="C169" i="27"/>
  <c r="D169" i="27" s="1"/>
  <c r="C170" i="27"/>
  <c r="D170" i="27" s="1"/>
  <c r="C171" i="27"/>
  <c r="D171" i="27" s="1"/>
  <c r="C172" i="27"/>
  <c r="D172" i="27" s="1"/>
  <c r="C173" i="27"/>
  <c r="D173" i="27" s="1"/>
  <c r="C174" i="27"/>
  <c r="D174" i="27" s="1"/>
  <c r="C175" i="27"/>
  <c r="D175" i="27" s="1"/>
  <c r="C176" i="27"/>
  <c r="D176" i="27" s="1"/>
  <c r="C177" i="27"/>
  <c r="D177" i="27" s="1"/>
  <c r="C178" i="27"/>
  <c r="D178" i="27" s="1"/>
  <c r="C179" i="27"/>
  <c r="D179" i="27" s="1"/>
  <c r="C180" i="27"/>
  <c r="D180" i="27" s="1"/>
  <c r="C181" i="27"/>
  <c r="D181" i="27" s="1"/>
  <c r="C182" i="27"/>
  <c r="D182" i="27" s="1"/>
  <c r="C183" i="27"/>
  <c r="D183" i="27" s="1"/>
  <c r="C184" i="27"/>
  <c r="D184" i="27" s="1"/>
  <c r="C185" i="27"/>
  <c r="D185" i="27" s="1"/>
  <c r="C186" i="27"/>
  <c r="D186" i="27" s="1"/>
  <c r="C187" i="27"/>
  <c r="D187" i="27" s="1"/>
  <c r="C188" i="27"/>
  <c r="D188" i="27" s="1"/>
  <c r="C189" i="27"/>
  <c r="D189" i="27" s="1"/>
  <c r="C190" i="27"/>
  <c r="D190" i="27" s="1"/>
  <c r="C191" i="27"/>
  <c r="D191" i="27" s="1"/>
  <c r="C192" i="27"/>
  <c r="D192" i="27" s="1"/>
  <c r="C193" i="27"/>
  <c r="D193" i="27" s="1"/>
  <c r="C194" i="27"/>
  <c r="D194" i="27" s="1"/>
  <c r="C195" i="27"/>
  <c r="D195" i="27" s="1"/>
  <c r="C196" i="27"/>
  <c r="D196" i="27" s="1"/>
  <c r="C197" i="27"/>
  <c r="D197" i="27" s="1"/>
  <c r="C198" i="27"/>
  <c r="D198" i="27" s="1"/>
  <c r="C199" i="27"/>
  <c r="D199" i="27" s="1"/>
  <c r="C200" i="27"/>
  <c r="D200" i="27" s="1"/>
  <c r="C201" i="27"/>
  <c r="D201" i="27" s="1"/>
  <c r="C202" i="27"/>
  <c r="D202" i="27" s="1"/>
  <c r="C203" i="27"/>
  <c r="D203" i="27" s="1"/>
  <c r="C204" i="27"/>
  <c r="D204" i="27" s="1"/>
  <c r="C205" i="27"/>
  <c r="D205" i="27" s="1"/>
  <c r="C206" i="27"/>
  <c r="D206" i="27" s="1"/>
  <c r="C6" i="27"/>
  <c r="D6" i="27" s="1"/>
  <c r="F20" i="27"/>
  <c r="G20" i="27" s="1"/>
  <c r="F23" i="27"/>
  <c r="G23" i="27" s="1"/>
  <c r="F24" i="27"/>
  <c r="G24" i="27" s="1"/>
  <c r="F25" i="27"/>
  <c r="G25" i="27" s="1"/>
  <c r="F26" i="27"/>
  <c r="G26" i="27" s="1"/>
  <c r="F40" i="27"/>
  <c r="G40" i="27" s="1"/>
  <c r="F43" i="27"/>
  <c r="G43" i="27" s="1"/>
  <c r="F63" i="27"/>
  <c r="G63" i="27" s="1"/>
  <c r="F66" i="27"/>
  <c r="G66" i="27" s="1"/>
  <c r="F67" i="27"/>
  <c r="G67" i="27" s="1"/>
  <c r="F80" i="27"/>
  <c r="G80" i="27" s="1"/>
  <c r="F83" i="27"/>
  <c r="G83" i="27" s="1"/>
  <c r="F84" i="27"/>
  <c r="G84" i="27" s="1"/>
  <c r="F100" i="27"/>
  <c r="G100" i="27" s="1"/>
  <c r="F120" i="27"/>
  <c r="G120" i="27" s="1"/>
  <c r="F125" i="27"/>
  <c r="G125" i="27" s="1"/>
  <c r="F126" i="27"/>
  <c r="G126" i="27" s="1"/>
  <c r="F127" i="27"/>
  <c r="G127" i="27" s="1"/>
  <c r="F133" i="27"/>
  <c r="G133" i="27" s="1"/>
  <c r="F140" i="27"/>
  <c r="G140" i="27" s="1"/>
  <c r="F147" i="27"/>
  <c r="G147" i="27" s="1"/>
  <c r="F163" i="27"/>
  <c r="G163" i="27" s="1"/>
  <c r="F167" i="27"/>
  <c r="G167" i="27" s="1"/>
  <c r="F175" i="27"/>
  <c r="G175" i="27" s="1"/>
  <c r="F180" i="27"/>
  <c r="G180" i="27" s="1"/>
  <c r="F183" i="27"/>
  <c r="G183" i="27" s="1"/>
  <c r="F184" i="27"/>
  <c r="G184" i="27" s="1"/>
  <c r="F185" i="27"/>
  <c r="G185" i="27" s="1"/>
  <c r="F198" i="27"/>
  <c r="G198" i="27" s="1"/>
  <c r="F203" i="27"/>
  <c r="G203" i="27" s="1"/>
  <c r="F6" i="27"/>
  <c r="G6" i="27" s="1"/>
  <c r="G42" i="27"/>
  <c r="G61" i="27"/>
  <c r="G62" i="27"/>
  <c r="G81" i="27"/>
  <c r="G102" i="27"/>
  <c r="G103" i="27"/>
  <c r="G197" i="27"/>
  <c r="B209" i="27"/>
  <c r="B206" i="27"/>
  <c r="F206" i="27" s="1"/>
  <c r="G206" i="27" s="1"/>
  <c r="B205" i="27"/>
  <c r="F205" i="27" s="1"/>
  <c r="G205" i="27" s="1"/>
  <c r="B204" i="27"/>
  <c r="F204" i="27" s="1"/>
  <c r="G204" i="27" s="1"/>
  <c r="B203" i="27"/>
  <c r="B202" i="27"/>
  <c r="F202" i="27" s="1"/>
  <c r="G202" i="27" s="1"/>
  <c r="B201" i="27"/>
  <c r="F201" i="27" s="1"/>
  <c r="G201" i="27" s="1"/>
  <c r="B200" i="27"/>
  <c r="F200" i="27" s="1"/>
  <c r="G200" i="27" s="1"/>
  <c r="B199" i="27"/>
  <c r="F199" i="27" s="1"/>
  <c r="G199" i="27" s="1"/>
  <c r="B198" i="27"/>
  <c r="B197" i="27"/>
  <c r="F197" i="27" s="1"/>
  <c r="B196" i="27"/>
  <c r="F196" i="27" s="1"/>
  <c r="G196" i="27" s="1"/>
  <c r="B195" i="27"/>
  <c r="F195" i="27" s="1"/>
  <c r="G195" i="27" s="1"/>
  <c r="B194" i="27"/>
  <c r="F194" i="27" s="1"/>
  <c r="G194" i="27" s="1"/>
  <c r="B193" i="27"/>
  <c r="F193" i="27" s="1"/>
  <c r="G193" i="27" s="1"/>
  <c r="B192" i="27"/>
  <c r="F192" i="27" s="1"/>
  <c r="G192" i="27" s="1"/>
  <c r="B191" i="27"/>
  <c r="F191" i="27" s="1"/>
  <c r="G191" i="27" s="1"/>
  <c r="B190" i="27"/>
  <c r="F190" i="27" s="1"/>
  <c r="G190" i="27" s="1"/>
  <c r="B189" i="27"/>
  <c r="F189" i="27" s="1"/>
  <c r="G189" i="27" s="1"/>
  <c r="B188" i="27"/>
  <c r="F188" i="27" s="1"/>
  <c r="G188" i="27" s="1"/>
  <c r="B187" i="27"/>
  <c r="F187" i="27" s="1"/>
  <c r="G187" i="27" s="1"/>
  <c r="B186" i="27"/>
  <c r="F186" i="27" s="1"/>
  <c r="G186" i="27" s="1"/>
  <c r="B185" i="27"/>
  <c r="B184" i="27"/>
  <c r="B183" i="27"/>
  <c r="B182" i="27"/>
  <c r="F182" i="27" s="1"/>
  <c r="G182" i="27" s="1"/>
  <c r="B181" i="27"/>
  <c r="F181" i="27" s="1"/>
  <c r="G181" i="27" s="1"/>
  <c r="B180" i="27"/>
  <c r="B179" i="27"/>
  <c r="F179" i="27" s="1"/>
  <c r="G179" i="27" s="1"/>
  <c r="B178" i="27"/>
  <c r="F178" i="27" s="1"/>
  <c r="G178" i="27" s="1"/>
  <c r="B177" i="27"/>
  <c r="F177" i="27" s="1"/>
  <c r="G177" i="27" s="1"/>
  <c r="B176" i="27"/>
  <c r="F176" i="27" s="1"/>
  <c r="G176" i="27" s="1"/>
  <c r="B175" i="27"/>
  <c r="B174" i="27"/>
  <c r="F174" i="27" s="1"/>
  <c r="G174" i="27" s="1"/>
  <c r="B173" i="27"/>
  <c r="F173" i="27" s="1"/>
  <c r="G173" i="27" s="1"/>
  <c r="B172" i="27"/>
  <c r="F172" i="27" s="1"/>
  <c r="G172" i="27" s="1"/>
  <c r="B171" i="27"/>
  <c r="F171" i="27" s="1"/>
  <c r="G171" i="27" s="1"/>
  <c r="B170" i="27"/>
  <c r="F170" i="27" s="1"/>
  <c r="G170" i="27" s="1"/>
  <c r="B169" i="27"/>
  <c r="F169" i="27" s="1"/>
  <c r="G169" i="27" s="1"/>
  <c r="B168" i="27"/>
  <c r="F168" i="27" s="1"/>
  <c r="G168" i="27" s="1"/>
  <c r="B167" i="27"/>
  <c r="B166" i="27"/>
  <c r="F166" i="27" s="1"/>
  <c r="G166" i="27" s="1"/>
  <c r="B165" i="27"/>
  <c r="F165" i="27" s="1"/>
  <c r="G165" i="27" s="1"/>
  <c r="B164" i="27"/>
  <c r="F164" i="27" s="1"/>
  <c r="G164" i="27" s="1"/>
  <c r="B163" i="27"/>
  <c r="B162" i="27"/>
  <c r="F162" i="27" s="1"/>
  <c r="G162" i="27" s="1"/>
  <c r="B161" i="27"/>
  <c r="F161" i="27" s="1"/>
  <c r="G161" i="27" s="1"/>
  <c r="B160" i="27"/>
  <c r="F160" i="27" s="1"/>
  <c r="G160" i="27" s="1"/>
  <c r="B159" i="27"/>
  <c r="F159" i="27" s="1"/>
  <c r="G159" i="27" s="1"/>
  <c r="B158" i="27"/>
  <c r="F158" i="27" s="1"/>
  <c r="G158" i="27" s="1"/>
  <c r="B157" i="27"/>
  <c r="F157" i="27" s="1"/>
  <c r="G157" i="27" s="1"/>
  <c r="B156" i="27"/>
  <c r="F156" i="27" s="1"/>
  <c r="G156" i="27" s="1"/>
  <c r="B155" i="27"/>
  <c r="F155" i="27" s="1"/>
  <c r="G155" i="27" s="1"/>
  <c r="B154" i="27"/>
  <c r="F154" i="27" s="1"/>
  <c r="G154" i="27" s="1"/>
  <c r="B153" i="27"/>
  <c r="F153" i="27" s="1"/>
  <c r="G153" i="27" s="1"/>
  <c r="B152" i="27"/>
  <c r="F152" i="27" s="1"/>
  <c r="G152" i="27" s="1"/>
  <c r="B151" i="27"/>
  <c r="F151" i="27" s="1"/>
  <c r="G151" i="27" s="1"/>
  <c r="B150" i="27"/>
  <c r="F150" i="27" s="1"/>
  <c r="G150" i="27" s="1"/>
  <c r="B149" i="27"/>
  <c r="F149" i="27" s="1"/>
  <c r="G149" i="27" s="1"/>
  <c r="B148" i="27"/>
  <c r="F148" i="27" s="1"/>
  <c r="G148" i="27" s="1"/>
  <c r="B147" i="27"/>
  <c r="B146" i="27"/>
  <c r="F146" i="27" s="1"/>
  <c r="G146" i="27" s="1"/>
  <c r="B145" i="27"/>
  <c r="F145" i="27" s="1"/>
  <c r="G145" i="27" s="1"/>
  <c r="B144" i="27"/>
  <c r="F144" i="27" s="1"/>
  <c r="G144" i="27" s="1"/>
  <c r="B143" i="27"/>
  <c r="F143" i="27" s="1"/>
  <c r="G143" i="27" s="1"/>
  <c r="B142" i="27"/>
  <c r="F142" i="27" s="1"/>
  <c r="G142" i="27" s="1"/>
  <c r="B141" i="27"/>
  <c r="F141" i="27" s="1"/>
  <c r="G141" i="27" s="1"/>
  <c r="B140" i="27"/>
  <c r="B139" i="27"/>
  <c r="F139" i="27" s="1"/>
  <c r="G139" i="27" s="1"/>
  <c r="B138" i="27"/>
  <c r="F138" i="27" s="1"/>
  <c r="G138" i="27" s="1"/>
  <c r="B137" i="27"/>
  <c r="F137" i="27" s="1"/>
  <c r="G137" i="27" s="1"/>
  <c r="B136" i="27"/>
  <c r="F136" i="27" s="1"/>
  <c r="G136" i="27" s="1"/>
  <c r="B135" i="27"/>
  <c r="F135" i="27" s="1"/>
  <c r="G135" i="27" s="1"/>
  <c r="B134" i="27"/>
  <c r="F134" i="27" s="1"/>
  <c r="G134" i="27" s="1"/>
  <c r="B133" i="27"/>
  <c r="B132" i="27"/>
  <c r="F132" i="27" s="1"/>
  <c r="G132" i="27" s="1"/>
  <c r="B131" i="27"/>
  <c r="F131" i="27" s="1"/>
  <c r="G131" i="27" s="1"/>
  <c r="B130" i="27"/>
  <c r="F130" i="27" s="1"/>
  <c r="G130" i="27" s="1"/>
  <c r="B129" i="27"/>
  <c r="F129" i="27" s="1"/>
  <c r="G129" i="27" s="1"/>
  <c r="B128" i="27"/>
  <c r="F128" i="27" s="1"/>
  <c r="G128" i="27" s="1"/>
  <c r="B127" i="27"/>
  <c r="B126" i="27"/>
  <c r="B125" i="27"/>
  <c r="B124" i="27"/>
  <c r="F124" i="27" s="1"/>
  <c r="G124" i="27" s="1"/>
  <c r="B123" i="27"/>
  <c r="F123" i="27" s="1"/>
  <c r="G123" i="27" s="1"/>
  <c r="B122" i="27"/>
  <c r="F122" i="27" s="1"/>
  <c r="G122" i="27" s="1"/>
  <c r="B121" i="27"/>
  <c r="F121" i="27" s="1"/>
  <c r="G121" i="27" s="1"/>
  <c r="B120" i="27"/>
  <c r="B119" i="27"/>
  <c r="F119" i="27" s="1"/>
  <c r="G119" i="27" s="1"/>
  <c r="B118" i="27"/>
  <c r="F118" i="27" s="1"/>
  <c r="G118" i="27" s="1"/>
  <c r="B117" i="27"/>
  <c r="F117" i="27" s="1"/>
  <c r="G117" i="27" s="1"/>
  <c r="B116" i="27"/>
  <c r="F116" i="27" s="1"/>
  <c r="G116" i="27" s="1"/>
  <c r="B115" i="27"/>
  <c r="F115" i="27" s="1"/>
  <c r="G115" i="27" s="1"/>
  <c r="B114" i="27"/>
  <c r="F114" i="27" s="1"/>
  <c r="G114" i="27" s="1"/>
  <c r="B113" i="27"/>
  <c r="F113" i="27" s="1"/>
  <c r="G113" i="27" s="1"/>
  <c r="B112" i="27"/>
  <c r="F112" i="27" s="1"/>
  <c r="G112" i="27" s="1"/>
  <c r="B111" i="27"/>
  <c r="F111" i="27" s="1"/>
  <c r="G111" i="27" s="1"/>
  <c r="B110" i="27"/>
  <c r="F110" i="27" s="1"/>
  <c r="G110" i="27" s="1"/>
  <c r="B109" i="27"/>
  <c r="F109" i="27" s="1"/>
  <c r="G109" i="27" s="1"/>
  <c r="B108" i="27"/>
  <c r="F108" i="27" s="1"/>
  <c r="G108" i="27" s="1"/>
  <c r="B107" i="27"/>
  <c r="B106" i="27"/>
  <c r="F106" i="27" s="1"/>
  <c r="G106" i="27" s="1"/>
  <c r="B105" i="27"/>
  <c r="F105" i="27" s="1"/>
  <c r="G105" i="27" s="1"/>
  <c r="B104" i="27"/>
  <c r="F104" i="27" s="1"/>
  <c r="G104" i="27" s="1"/>
  <c r="B103" i="27"/>
  <c r="F103" i="27" s="1"/>
  <c r="B102" i="27"/>
  <c r="F102" i="27" s="1"/>
  <c r="B101" i="27"/>
  <c r="F101" i="27" s="1"/>
  <c r="G101" i="27" s="1"/>
  <c r="B100" i="27"/>
  <c r="B99" i="27"/>
  <c r="F99" i="27" s="1"/>
  <c r="G99" i="27" s="1"/>
  <c r="B98" i="27"/>
  <c r="B97" i="27"/>
  <c r="F97" i="27" s="1"/>
  <c r="G97" i="27" s="1"/>
  <c r="B96" i="27"/>
  <c r="F96" i="27" s="1"/>
  <c r="G96" i="27" s="1"/>
  <c r="B95" i="27"/>
  <c r="F95" i="27" s="1"/>
  <c r="G95" i="27" s="1"/>
  <c r="B94" i="27"/>
  <c r="F94" i="27" s="1"/>
  <c r="G94" i="27" s="1"/>
  <c r="B93" i="27"/>
  <c r="F93" i="27" s="1"/>
  <c r="G93" i="27" s="1"/>
  <c r="B92" i="27"/>
  <c r="F92" i="27" s="1"/>
  <c r="G92" i="27" s="1"/>
  <c r="B91" i="27"/>
  <c r="F91" i="27" s="1"/>
  <c r="G91" i="27" s="1"/>
  <c r="B90" i="27"/>
  <c r="F90" i="27" s="1"/>
  <c r="G90" i="27" s="1"/>
  <c r="B89" i="27"/>
  <c r="F89" i="27" s="1"/>
  <c r="G89" i="27" s="1"/>
  <c r="B88" i="27"/>
  <c r="F88" i="27" s="1"/>
  <c r="G88" i="27" s="1"/>
  <c r="B87" i="27"/>
  <c r="F87" i="27" s="1"/>
  <c r="G87" i="27" s="1"/>
  <c r="B86" i="27"/>
  <c r="F86" i="27" s="1"/>
  <c r="G86" i="27" s="1"/>
  <c r="B85" i="27"/>
  <c r="F85" i="27" s="1"/>
  <c r="G85" i="27" s="1"/>
  <c r="B84" i="27"/>
  <c r="B83" i="27"/>
  <c r="B82" i="27"/>
  <c r="F82" i="27" s="1"/>
  <c r="G82" i="27" s="1"/>
  <c r="B81" i="27"/>
  <c r="F81" i="27" s="1"/>
  <c r="B80" i="27"/>
  <c r="B79" i="27"/>
  <c r="F79" i="27" s="1"/>
  <c r="G79" i="27" s="1"/>
  <c r="B78" i="27"/>
  <c r="F78" i="27" s="1"/>
  <c r="G78" i="27" s="1"/>
  <c r="B77" i="27"/>
  <c r="F77" i="27" s="1"/>
  <c r="G77" i="27" s="1"/>
  <c r="B76" i="27"/>
  <c r="F76" i="27" s="1"/>
  <c r="G76" i="27" s="1"/>
  <c r="B75" i="27"/>
  <c r="F75" i="27" s="1"/>
  <c r="G75" i="27" s="1"/>
  <c r="B74" i="27"/>
  <c r="F74" i="27" s="1"/>
  <c r="G74" i="27" s="1"/>
  <c r="B73" i="27"/>
  <c r="F73" i="27" s="1"/>
  <c r="G73" i="27" s="1"/>
  <c r="B72" i="27"/>
  <c r="F72" i="27" s="1"/>
  <c r="G72" i="27" s="1"/>
  <c r="B71" i="27"/>
  <c r="F71" i="27" s="1"/>
  <c r="G71" i="27" s="1"/>
  <c r="B70" i="27"/>
  <c r="F70" i="27" s="1"/>
  <c r="G70" i="27" s="1"/>
  <c r="B69" i="27"/>
  <c r="F69" i="27" s="1"/>
  <c r="G69" i="27" s="1"/>
  <c r="B68" i="27"/>
  <c r="F68" i="27" s="1"/>
  <c r="G68" i="27" s="1"/>
  <c r="B67" i="27"/>
  <c r="B66" i="27"/>
  <c r="B65" i="27"/>
  <c r="F65" i="27" s="1"/>
  <c r="G65" i="27" s="1"/>
  <c r="B64" i="27"/>
  <c r="F64" i="27" s="1"/>
  <c r="G64" i="27" s="1"/>
  <c r="B63" i="27"/>
  <c r="B62" i="27"/>
  <c r="F62" i="27" s="1"/>
  <c r="B61" i="27"/>
  <c r="F61" i="27" s="1"/>
  <c r="B60" i="27"/>
  <c r="F60" i="27" s="1"/>
  <c r="G60" i="27" s="1"/>
  <c r="B59" i="27"/>
  <c r="F59" i="27" s="1"/>
  <c r="G59" i="27" s="1"/>
  <c r="B58" i="27"/>
  <c r="F58" i="27" s="1"/>
  <c r="G58" i="27" s="1"/>
  <c r="B57" i="27"/>
  <c r="F57" i="27" s="1"/>
  <c r="G57" i="27" s="1"/>
  <c r="B56" i="27"/>
  <c r="F56" i="27" s="1"/>
  <c r="G56" i="27" s="1"/>
  <c r="B55" i="27"/>
  <c r="F55" i="27" s="1"/>
  <c r="G55" i="27" s="1"/>
  <c r="B54" i="27"/>
  <c r="F54" i="27" s="1"/>
  <c r="G54" i="27" s="1"/>
  <c r="B53" i="27"/>
  <c r="F53" i="27" s="1"/>
  <c r="G53" i="27" s="1"/>
  <c r="B52" i="27"/>
  <c r="F52" i="27" s="1"/>
  <c r="G52" i="27" s="1"/>
  <c r="B51" i="27"/>
  <c r="F51" i="27" s="1"/>
  <c r="G51" i="27" s="1"/>
  <c r="B50" i="27"/>
  <c r="F50" i="27" s="1"/>
  <c r="G50" i="27" s="1"/>
  <c r="B49" i="27"/>
  <c r="F49" i="27" s="1"/>
  <c r="G49" i="27" s="1"/>
  <c r="B48" i="27"/>
  <c r="F48" i="27" s="1"/>
  <c r="G48" i="27" s="1"/>
  <c r="B47" i="27"/>
  <c r="F47" i="27" s="1"/>
  <c r="G47" i="27" s="1"/>
  <c r="B46" i="27"/>
  <c r="F46" i="27" s="1"/>
  <c r="G46" i="27" s="1"/>
  <c r="B45" i="27"/>
  <c r="F45" i="27" s="1"/>
  <c r="G45" i="27" s="1"/>
  <c r="B44" i="27"/>
  <c r="F44" i="27" s="1"/>
  <c r="G44" i="27" s="1"/>
  <c r="B43" i="27"/>
  <c r="B42" i="27"/>
  <c r="F42" i="27" s="1"/>
  <c r="B41" i="27"/>
  <c r="F41" i="27" s="1"/>
  <c r="G41" i="27" s="1"/>
  <c r="B40" i="27"/>
  <c r="B39" i="27"/>
  <c r="F39" i="27" s="1"/>
  <c r="G39" i="27" s="1"/>
  <c r="B38" i="27"/>
  <c r="F38" i="27" s="1"/>
  <c r="G38" i="27" s="1"/>
  <c r="B37" i="27"/>
  <c r="F37" i="27" s="1"/>
  <c r="G37" i="27" s="1"/>
  <c r="B36" i="27"/>
  <c r="F36" i="27" s="1"/>
  <c r="G36" i="27" s="1"/>
  <c r="B35" i="27"/>
  <c r="F35" i="27" s="1"/>
  <c r="G35" i="27" s="1"/>
  <c r="B34" i="27"/>
  <c r="F34" i="27" s="1"/>
  <c r="G34" i="27" s="1"/>
  <c r="B33" i="27"/>
  <c r="F33" i="27" s="1"/>
  <c r="G33" i="27" s="1"/>
  <c r="B32" i="27"/>
  <c r="F32" i="27" s="1"/>
  <c r="G32" i="27" s="1"/>
  <c r="B31" i="27"/>
  <c r="F31" i="27" s="1"/>
  <c r="G31" i="27" s="1"/>
  <c r="B30" i="27"/>
  <c r="F30" i="27" s="1"/>
  <c r="G30" i="27" s="1"/>
  <c r="B29" i="27"/>
  <c r="F29" i="27" s="1"/>
  <c r="G29" i="27" s="1"/>
  <c r="B28" i="27"/>
  <c r="F28" i="27" s="1"/>
  <c r="G28" i="27" s="1"/>
  <c r="B27" i="27"/>
  <c r="F27" i="27" s="1"/>
  <c r="G27" i="27" s="1"/>
  <c r="B26" i="27"/>
  <c r="B25" i="27"/>
  <c r="B24" i="27"/>
  <c r="B23" i="27"/>
  <c r="B22" i="27"/>
  <c r="F22" i="27" s="1"/>
  <c r="G22" i="27" s="1"/>
  <c r="B21" i="27"/>
  <c r="F21" i="27" s="1"/>
  <c r="G21" i="27" s="1"/>
  <c r="B20" i="27"/>
  <c r="B19" i="27"/>
  <c r="F19" i="27" s="1"/>
  <c r="G19" i="27" s="1"/>
  <c r="B18" i="27"/>
  <c r="F18" i="27" s="1"/>
  <c r="G18" i="27" s="1"/>
  <c r="B17" i="27"/>
  <c r="F17" i="27" s="1"/>
  <c r="G17" i="27" s="1"/>
  <c r="B16" i="27"/>
  <c r="F16" i="27" s="1"/>
  <c r="G16" i="27" s="1"/>
  <c r="B15" i="27"/>
  <c r="F15" i="27" s="1"/>
  <c r="G15" i="27" s="1"/>
  <c r="B14" i="27"/>
  <c r="F14" i="27" s="1"/>
  <c r="G14" i="27" s="1"/>
  <c r="B13" i="27"/>
  <c r="F13" i="27" s="1"/>
  <c r="G13" i="27" s="1"/>
  <c r="B12" i="27"/>
  <c r="F12" i="27" s="1"/>
  <c r="G12" i="27" s="1"/>
  <c r="B11" i="27"/>
  <c r="F11" i="27" s="1"/>
  <c r="G11" i="27" s="1"/>
  <c r="B10" i="27"/>
  <c r="F10" i="27" s="1"/>
  <c r="G10" i="27" s="1"/>
  <c r="B9" i="27"/>
  <c r="F9" i="27" s="1"/>
  <c r="G9" i="27" s="1"/>
  <c r="B8" i="27"/>
  <c r="B7" i="27"/>
  <c r="A2" i="27"/>
  <c r="S9" i="27"/>
  <c r="Q5" i="27"/>
  <c r="P5" i="27"/>
  <c r="M13" i="27" s="1"/>
  <c r="O5" i="27"/>
  <c r="H46" i="27" l="1"/>
  <c r="H86" i="27"/>
  <c r="I6" i="11"/>
  <c r="I15" i="11"/>
  <c r="I31" i="11"/>
  <c r="I66" i="11"/>
  <c r="I166" i="11"/>
  <c r="I171" i="11"/>
  <c r="I115" i="11"/>
  <c r="I114" i="11"/>
  <c r="I71" i="11"/>
  <c r="I112" i="11"/>
  <c r="I209" i="11"/>
  <c r="I145" i="11"/>
  <c r="I191" i="11"/>
  <c r="I186" i="11"/>
  <c r="I176" i="11"/>
  <c r="I132" i="11"/>
  <c r="I76" i="11"/>
  <c r="I32" i="11"/>
  <c r="I65" i="11"/>
  <c r="I12" i="11"/>
  <c r="I55" i="11"/>
  <c r="I154" i="11"/>
  <c r="I105" i="11"/>
  <c r="I96" i="11"/>
  <c r="I95" i="11"/>
  <c r="I94" i="11"/>
  <c r="I92" i="11"/>
  <c r="I135" i="11"/>
  <c r="I34" i="11"/>
  <c r="I185" i="11"/>
  <c r="I133" i="11"/>
  <c r="I175" i="11"/>
  <c r="I131" i="11"/>
  <c r="I75" i="11"/>
  <c r="I7" i="11"/>
  <c r="I27" i="11"/>
  <c r="I47" i="11"/>
  <c r="I67" i="11"/>
  <c r="I87" i="11"/>
  <c r="I107" i="11"/>
  <c r="I127" i="11"/>
  <c r="I147" i="11"/>
  <c r="I167" i="11"/>
  <c r="I187" i="11"/>
  <c r="I8" i="11"/>
  <c r="I28" i="11"/>
  <c r="I48" i="11"/>
  <c r="I68" i="11"/>
  <c r="I88" i="11"/>
  <c r="I108" i="11"/>
  <c r="I128" i="11"/>
  <c r="I148" i="11"/>
  <c r="I168" i="11"/>
  <c r="I188" i="11"/>
  <c r="I9" i="11"/>
  <c r="I29" i="11"/>
  <c r="I49" i="11"/>
  <c r="I69" i="11"/>
  <c r="I89" i="11"/>
  <c r="I109" i="11"/>
  <c r="I129" i="11"/>
  <c r="I149" i="11"/>
  <c r="I169" i="11"/>
  <c r="I189" i="11"/>
  <c r="I10" i="11"/>
  <c r="I30" i="11"/>
  <c r="I50" i="11"/>
  <c r="I70" i="11"/>
  <c r="I90" i="11"/>
  <c r="I110" i="11"/>
  <c r="I130" i="11"/>
  <c r="I150" i="11"/>
  <c r="I170" i="11"/>
  <c r="I190" i="11"/>
  <c r="I11" i="11"/>
  <c r="I17" i="11"/>
  <c r="I37" i="11"/>
  <c r="I57" i="11"/>
  <c r="I77" i="11"/>
  <c r="I97" i="11"/>
  <c r="I117" i="11"/>
  <c r="I137" i="11"/>
  <c r="I157" i="11"/>
  <c r="I177" i="11"/>
  <c r="I197" i="11"/>
  <c r="I61" i="11"/>
  <c r="I42" i="11"/>
  <c r="I63" i="11"/>
  <c r="I44" i="11"/>
  <c r="I18" i="11"/>
  <c r="I38" i="11"/>
  <c r="I58" i="11"/>
  <c r="I78" i="11"/>
  <c r="I98" i="11"/>
  <c r="I118" i="11"/>
  <c r="I138" i="11"/>
  <c r="I158" i="11"/>
  <c r="I178" i="11"/>
  <c r="I198" i="11"/>
  <c r="I40" i="11"/>
  <c r="I60" i="11"/>
  <c r="I80" i="11"/>
  <c r="I100" i="11"/>
  <c r="I120" i="11"/>
  <c r="I160" i="11"/>
  <c r="I200" i="11"/>
  <c r="I21" i="11"/>
  <c r="I121" i="11"/>
  <c r="I201" i="11"/>
  <c r="I22" i="11"/>
  <c r="I82" i="11"/>
  <c r="I102" i="11"/>
  <c r="I122" i="11"/>
  <c r="I142" i="11"/>
  <c r="I162" i="11"/>
  <c r="I182" i="11"/>
  <c r="I202" i="11"/>
  <c r="I23" i="11"/>
  <c r="I83" i="11"/>
  <c r="I103" i="11"/>
  <c r="I123" i="11"/>
  <c r="I143" i="11"/>
  <c r="I163" i="11"/>
  <c r="I183" i="11"/>
  <c r="I203" i="11"/>
  <c r="I24" i="11"/>
  <c r="I124" i="11"/>
  <c r="I204" i="11"/>
  <c r="I19" i="11"/>
  <c r="I39" i="11"/>
  <c r="I59" i="11"/>
  <c r="I79" i="11"/>
  <c r="I99" i="11"/>
  <c r="I119" i="11"/>
  <c r="I139" i="11"/>
  <c r="I159" i="11"/>
  <c r="I179" i="11"/>
  <c r="I199" i="11"/>
  <c r="I20" i="11"/>
  <c r="I140" i="11"/>
  <c r="I180" i="11"/>
  <c r="I41" i="11"/>
  <c r="I81" i="11"/>
  <c r="I101" i="11"/>
  <c r="I141" i="11"/>
  <c r="I161" i="11"/>
  <c r="I181" i="11"/>
  <c r="I62" i="11"/>
  <c r="I43" i="11"/>
  <c r="I64" i="11"/>
  <c r="I84" i="11"/>
  <c r="I104" i="11"/>
  <c r="I144" i="11"/>
  <c r="I164" i="11"/>
  <c r="I184" i="11"/>
  <c r="I113" i="11"/>
  <c r="I56" i="11"/>
  <c r="I155" i="11"/>
  <c r="I54" i="11"/>
  <c r="I205" i="11"/>
  <c r="I196" i="11"/>
  <c r="I51" i="11"/>
  <c r="I146" i="11"/>
  <c r="I45" i="11"/>
  <c r="I192" i="11"/>
  <c r="I35" i="11"/>
  <c r="I134" i="11"/>
  <c r="I33" i="11"/>
  <c r="I174" i="11"/>
  <c r="I126" i="11"/>
  <c r="I74" i="11"/>
  <c r="I26" i="11"/>
  <c r="I14" i="11"/>
  <c r="I165" i="11"/>
  <c r="I156" i="11"/>
  <c r="I111" i="11"/>
  <c r="I106" i="11"/>
  <c r="I153" i="11"/>
  <c r="I152" i="11"/>
  <c r="I151" i="11"/>
  <c r="I46" i="11"/>
  <c r="I93" i="11"/>
  <c r="I136" i="11"/>
  <c r="I91" i="11"/>
  <c r="I86" i="11"/>
  <c r="I85" i="11"/>
  <c r="I173" i="11"/>
  <c r="I125" i="11"/>
  <c r="I73" i="11"/>
  <c r="I25" i="11"/>
  <c r="I13" i="11"/>
  <c r="I211" i="11"/>
  <c r="I206" i="11"/>
  <c r="I53" i="11"/>
  <c r="I52" i="11"/>
  <c r="I195" i="11"/>
  <c r="I194" i="11"/>
  <c r="I193" i="11"/>
  <c r="I36" i="11"/>
  <c r="I172" i="11"/>
  <c r="I116" i="11"/>
  <c r="I72" i="11"/>
  <c r="I16" i="11"/>
  <c r="H100" i="27"/>
  <c r="H106" i="27"/>
  <c r="H146" i="27"/>
  <c r="H166" i="27"/>
  <c r="H186" i="27"/>
  <c r="H206" i="27"/>
  <c r="H45" i="27"/>
  <c r="H65" i="27"/>
  <c r="H85" i="27"/>
  <c r="H105" i="27"/>
  <c r="H145" i="27"/>
  <c r="H165" i="27"/>
  <c r="H205" i="27"/>
  <c r="H147" i="27"/>
  <c r="H102" i="27"/>
  <c r="H26" i="27"/>
  <c r="H25" i="27"/>
  <c r="H167" i="27"/>
  <c r="H24" i="27"/>
  <c r="H81" i="27"/>
  <c r="H120" i="27"/>
  <c r="H17" i="27"/>
  <c r="H37" i="27"/>
  <c r="H57" i="27"/>
  <c r="H77" i="27"/>
  <c r="H97" i="27"/>
  <c r="H117" i="27"/>
  <c r="H137" i="27"/>
  <c r="H157" i="27"/>
  <c r="H177" i="27"/>
  <c r="H18" i="27"/>
  <c r="H38" i="27"/>
  <c r="H58" i="27"/>
  <c r="H78" i="27"/>
  <c r="H118" i="27"/>
  <c r="H138" i="27"/>
  <c r="H158" i="27"/>
  <c r="H178" i="27"/>
  <c r="H39" i="27"/>
  <c r="H59" i="27"/>
  <c r="H79" i="27"/>
  <c r="H99" i="27"/>
  <c r="H119" i="27"/>
  <c r="H139" i="27"/>
  <c r="H159" i="27"/>
  <c r="H179" i="27"/>
  <c r="H199" i="27"/>
  <c r="H183" i="27"/>
  <c r="H40" i="27"/>
  <c r="H180" i="27"/>
  <c r="H163" i="27"/>
  <c r="H140" i="27"/>
  <c r="H197" i="27"/>
  <c r="H103" i="27"/>
  <c r="H9" i="27"/>
  <c r="H49" i="27"/>
  <c r="H89" i="27"/>
  <c r="H109" i="27"/>
  <c r="H149" i="27"/>
  <c r="H189" i="27"/>
  <c r="H61" i="27"/>
  <c r="H14" i="27"/>
  <c r="H34" i="27"/>
  <c r="H54" i="27"/>
  <c r="H74" i="27"/>
  <c r="H94" i="27"/>
  <c r="H114" i="27"/>
  <c r="H134" i="27"/>
  <c r="H154" i="27"/>
  <c r="H174" i="27"/>
  <c r="H194" i="27"/>
  <c r="H15" i="27"/>
  <c r="H35" i="27"/>
  <c r="H55" i="27"/>
  <c r="H75" i="27"/>
  <c r="H95" i="27"/>
  <c r="H115" i="27"/>
  <c r="H135" i="27"/>
  <c r="H155" i="27"/>
  <c r="H16" i="27"/>
  <c r="H36" i="27"/>
  <c r="H56" i="27"/>
  <c r="H76" i="27"/>
  <c r="H96" i="27"/>
  <c r="H116" i="27"/>
  <c r="H136" i="27"/>
  <c r="H156" i="27"/>
  <c r="H176" i="27"/>
  <c r="H196" i="27"/>
  <c r="H187" i="27"/>
  <c r="H19" i="27"/>
  <c r="H23" i="27"/>
  <c r="H20" i="27"/>
  <c r="H27" i="27"/>
  <c r="H47" i="27"/>
  <c r="H87" i="27"/>
  <c r="H28" i="27"/>
  <c r="H48" i="27"/>
  <c r="H68" i="27"/>
  <c r="H88" i="27"/>
  <c r="H108" i="27"/>
  <c r="H128" i="27"/>
  <c r="H148" i="27"/>
  <c r="H168" i="27"/>
  <c r="H188" i="27"/>
  <c r="H175" i="27"/>
  <c r="H29" i="27"/>
  <c r="H69" i="27"/>
  <c r="H129" i="27"/>
  <c r="H169" i="27"/>
  <c r="H170" i="27"/>
  <c r="H62" i="27"/>
  <c r="H195" i="27"/>
  <c r="H11" i="27"/>
  <c r="H71" i="27"/>
  <c r="H131" i="27"/>
  <c r="H171" i="27"/>
  <c r="H12" i="27"/>
  <c r="H72" i="27"/>
  <c r="H132" i="27"/>
  <c r="H192" i="27"/>
  <c r="H13" i="27"/>
  <c r="H73" i="27"/>
  <c r="H153" i="27"/>
  <c r="H127" i="27"/>
  <c r="H126" i="27"/>
  <c r="H125" i="27"/>
  <c r="F98" i="27"/>
  <c r="G98" i="27" s="1"/>
  <c r="H98" i="27" s="1"/>
  <c r="D98" i="27"/>
  <c r="H83" i="27"/>
  <c r="H60" i="27"/>
  <c r="H200" i="27"/>
  <c r="H80" i="27"/>
  <c r="H141" i="27"/>
  <c r="H201" i="27"/>
  <c r="H67" i="27"/>
  <c r="H162" i="27"/>
  <c r="H182" i="27"/>
  <c r="H202" i="27"/>
  <c r="H198" i="27"/>
  <c r="H66" i="27"/>
  <c r="F7" i="27"/>
  <c r="G7" i="27" s="1"/>
  <c r="H7" i="27" s="1"/>
  <c r="D7" i="27"/>
  <c r="F107" i="27"/>
  <c r="G107" i="27" s="1"/>
  <c r="H107" i="27" s="1"/>
  <c r="D107" i="27"/>
  <c r="F209" i="27"/>
  <c r="G209" i="27" s="1"/>
  <c r="H209" i="27" s="1"/>
  <c r="D209" i="27"/>
  <c r="F8" i="27"/>
  <c r="G8" i="27" s="1"/>
  <c r="H8" i="27" s="1"/>
  <c r="D8" i="27"/>
  <c r="H10" i="27"/>
  <c r="H50" i="27"/>
  <c r="H90" i="27"/>
  <c r="H130" i="27"/>
  <c r="H190" i="27"/>
  <c r="H31" i="27"/>
  <c r="H91" i="27"/>
  <c r="H151" i="27"/>
  <c r="H32" i="27"/>
  <c r="H92" i="27"/>
  <c r="H152" i="27"/>
  <c r="H53" i="27"/>
  <c r="H113" i="27"/>
  <c r="H193" i="27"/>
  <c r="H42" i="27"/>
  <c r="H160" i="27"/>
  <c r="H41" i="27"/>
  <c r="H101" i="27"/>
  <c r="H181" i="27"/>
  <c r="H22" i="27"/>
  <c r="H142" i="27"/>
  <c r="H123" i="27"/>
  <c r="H143" i="27"/>
  <c r="H185" i="27"/>
  <c r="H63" i="27"/>
  <c r="H30" i="27"/>
  <c r="H70" i="27"/>
  <c r="H110" i="27"/>
  <c r="H150" i="27"/>
  <c r="H51" i="27"/>
  <c r="H111" i="27"/>
  <c r="H191" i="27"/>
  <c r="H52" i="27"/>
  <c r="H112" i="27"/>
  <c r="H172" i="27"/>
  <c r="H133" i="27"/>
  <c r="H33" i="27"/>
  <c r="H93" i="27"/>
  <c r="H173" i="27"/>
  <c r="H84" i="27"/>
  <c r="H6" i="27"/>
  <c r="H21" i="27"/>
  <c r="H121" i="27"/>
  <c r="H161" i="27"/>
  <c r="H203" i="27"/>
  <c r="H82" i="27"/>
  <c r="H122" i="27"/>
  <c r="H44" i="27"/>
  <c r="H64" i="27"/>
  <c r="H104" i="27"/>
  <c r="H124" i="27"/>
  <c r="H144" i="27"/>
  <c r="H164" i="27"/>
  <c r="H204" i="27"/>
  <c r="H184" i="27"/>
  <c r="H43" i="27"/>
  <c r="L17" i="27"/>
  <c r="L21" i="27"/>
  <c r="P17" i="27"/>
  <c r="O17" i="27" s="1"/>
  <c r="K13" i="27"/>
  <c r="L13" i="27"/>
  <c r="K17" i="27"/>
  <c r="M17" i="27" s="1"/>
  <c r="Q9" i="27" l="1"/>
  <c r="N17" i="27"/>
  <c r="K21" i="27" s="1"/>
  <c r="R9" i="27"/>
  <c r="K24" i="27" s="1"/>
  <c r="P5" i="20" l="1"/>
  <c r="H2" i="13"/>
  <c r="A3" i="13"/>
  <c r="O5" i="20"/>
  <c r="C130" i="5" l="1"/>
  <c r="B211" i="27" l="1"/>
  <c r="F211" i="27" s="1"/>
  <c r="G211" i="27" s="1"/>
  <c r="H211" i="27" s="1"/>
  <c r="B211" i="28"/>
  <c r="C128" i="5"/>
  <c r="C129" i="5"/>
  <c r="C110" i="5"/>
  <c r="C109" i="5"/>
  <c r="C108" i="5"/>
  <c r="C90" i="5"/>
  <c r="C88" i="5"/>
  <c r="C70" i="5"/>
  <c r="C208" i="5"/>
  <c r="C69" i="5"/>
  <c r="C190" i="5"/>
  <c r="C68" i="5"/>
  <c r="C50" i="5"/>
  <c r="C188" i="5"/>
  <c r="C49" i="5"/>
  <c r="C187" i="5"/>
  <c r="C48" i="5"/>
  <c r="C170" i="5"/>
  <c r="C29" i="5"/>
  <c r="C28" i="5"/>
  <c r="C150" i="5"/>
  <c r="C10" i="5"/>
  <c r="C168" i="5"/>
  <c r="C149" i="5"/>
  <c r="C30" i="5"/>
  <c r="C148" i="5"/>
  <c r="C213" i="5"/>
  <c r="C189" i="5"/>
  <c r="C169" i="5"/>
  <c r="C11" i="5"/>
  <c r="C31" i="5"/>
  <c r="C51" i="5"/>
  <c r="C71" i="5"/>
  <c r="C91" i="5"/>
  <c r="C111" i="5"/>
  <c r="C131" i="5"/>
  <c r="C151" i="5"/>
  <c r="C171" i="5"/>
  <c r="C191" i="5"/>
  <c r="C12" i="5"/>
  <c r="C32" i="5"/>
  <c r="C52" i="5"/>
  <c r="C72" i="5"/>
  <c r="C92" i="5"/>
  <c r="C112" i="5"/>
  <c r="C132" i="5"/>
  <c r="C152" i="5"/>
  <c r="C172" i="5"/>
  <c r="C192" i="5"/>
  <c r="C13" i="5"/>
  <c r="C33" i="5"/>
  <c r="C53" i="5"/>
  <c r="C73" i="5"/>
  <c r="C93" i="5"/>
  <c r="C113" i="5"/>
  <c r="C133" i="5"/>
  <c r="C153" i="5"/>
  <c r="C173" i="5"/>
  <c r="C193" i="5"/>
  <c r="C38" i="5"/>
  <c r="C98" i="5"/>
  <c r="C138" i="5"/>
  <c r="C178" i="5"/>
  <c r="C19" i="5"/>
  <c r="C39" i="5"/>
  <c r="C99" i="5"/>
  <c r="C119" i="5"/>
  <c r="C159" i="5"/>
  <c r="C199" i="5"/>
  <c r="C47" i="5"/>
  <c r="C107" i="5"/>
  <c r="C167" i="5"/>
  <c r="C207" i="5"/>
  <c r="C14" i="5"/>
  <c r="C34" i="5"/>
  <c r="C54" i="5"/>
  <c r="C74" i="5"/>
  <c r="C94" i="5"/>
  <c r="C114" i="5"/>
  <c r="C134" i="5"/>
  <c r="C154" i="5"/>
  <c r="C174" i="5"/>
  <c r="C194" i="5"/>
  <c r="C15" i="5"/>
  <c r="C35" i="5"/>
  <c r="C55" i="5"/>
  <c r="C75" i="5"/>
  <c r="C95" i="5"/>
  <c r="C115" i="5"/>
  <c r="C135" i="5"/>
  <c r="C155" i="5"/>
  <c r="C175" i="5"/>
  <c r="C195" i="5"/>
  <c r="C17" i="5"/>
  <c r="C37" i="5"/>
  <c r="C57" i="5"/>
  <c r="C97" i="5"/>
  <c r="C117" i="5"/>
  <c r="C137" i="5"/>
  <c r="C157" i="5"/>
  <c r="C177" i="5"/>
  <c r="C18" i="5"/>
  <c r="C78" i="5"/>
  <c r="C118" i="5"/>
  <c r="C158" i="5"/>
  <c r="C59" i="5"/>
  <c r="C139" i="5"/>
  <c r="C179" i="5"/>
  <c r="C186" i="5"/>
  <c r="C27" i="5"/>
  <c r="C16" i="5"/>
  <c r="C36" i="5"/>
  <c r="C56" i="5"/>
  <c r="C76" i="5"/>
  <c r="C96" i="5"/>
  <c r="C116" i="5"/>
  <c r="C136" i="5"/>
  <c r="C156" i="5"/>
  <c r="C176" i="5"/>
  <c r="C196" i="5"/>
  <c r="C77" i="5"/>
  <c r="C197" i="5"/>
  <c r="C58" i="5"/>
  <c r="C198" i="5"/>
  <c r="C79" i="5"/>
  <c r="C147" i="5"/>
  <c r="C20" i="5"/>
  <c r="C40" i="5"/>
  <c r="C60" i="5"/>
  <c r="C80" i="5"/>
  <c r="C100" i="5"/>
  <c r="C120" i="5"/>
  <c r="C140" i="5"/>
  <c r="C160" i="5"/>
  <c r="C180" i="5"/>
  <c r="C200" i="5"/>
  <c r="C21" i="5"/>
  <c r="C41" i="5"/>
  <c r="C61" i="5"/>
  <c r="C81" i="5"/>
  <c r="C101" i="5"/>
  <c r="C121" i="5"/>
  <c r="C141" i="5"/>
  <c r="C161" i="5"/>
  <c r="C181" i="5"/>
  <c r="C201" i="5"/>
  <c r="C124" i="5"/>
  <c r="C204" i="5"/>
  <c r="C65" i="5"/>
  <c r="C105" i="5"/>
  <c r="C145" i="5"/>
  <c r="C185" i="5"/>
  <c r="C86" i="5"/>
  <c r="C166" i="5"/>
  <c r="C87" i="5"/>
  <c r="C22" i="5"/>
  <c r="C42" i="5"/>
  <c r="C62" i="5"/>
  <c r="C82" i="5"/>
  <c r="C102" i="5"/>
  <c r="C122" i="5"/>
  <c r="C142" i="5"/>
  <c r="C162" i="5"/>
  <c r="C182" i="5"/>
  <c r="C202" i="5"/>
  <c r="C23" i="5"/>
  <c r="C43" i="5"/>
  <c r="C63" i="5"/>
  <c r="C83" i="5"/>
  <c r="C103" i="5"/>
  <c r="C123" i="5"/>
  <c r="C143" i="5"/>
  <c r="C163" i="5"/>
  <c r="C183" i="5"/>
  <c r="C203" i="5"/>
  <c r="C24" i="5"/>
  <c r="C44" i="5"/>
  <c r="C64" i="5"/>
  <c r="C84" i="5"/>
  <c r="C104" i="5"/>
  <c r="C144" i="5"/>
  <c r="C164" i="5"/>
  <c r="C184" i="5"/>
  <c r="C25" i="5"/>
  <c r="C45" i="5"/>
  <c r="C85" i="5"/>
  <c r="C125" i="5"/>
  <c r="C165" i="5"/>
  <c r="C205" i="5"/>
  <c r="C26" i="5"/>
  <c r="C46" i="5"/>
  <c r="C66" i="5"/>
  <c r="C106" i="5"/>
  <c r="C126" i="5"/>
  <c r="C146" i="5"/>
  <c r="C206" i="5"/>
  <c r="C211" i="5"/>
  <c r="C67" i="5"/>
  <c r="C127" i="5"/>
  <c r="C89" i="5"/>
  <c r="D211" i="27" l="1"/>
  <c r="B2" i="27"/>
  <c r="B2" i="28"/>
  <c r="B222" i="14"/>
  <c r="C222" i="14" s="1"/>
  <c r="B4" i="26"/>
  <c r="B5" i="26"/>
  <c r="B6" i="26"/>
  <c r="B7" i="26"/>
  <c r="B8" i="26"/>
  <c r="B9" i="26"/>
  <c r="B10" i="26"/>
  <c r="B11" i="26"/>
  <c r="B12" i="26"/>
  <c r="B13" i="26"/>
  <c r="B14" i="26"/>
  <c r="B15" i="26"/>
  <c r="B16" i="26"/>
  <c r="B17" i="26"/>
  <c r="B18" i="26"/>
  <c r="B19" i="26"/>
  <c r="B20" i="26"/>
  <c r="B21" i="26"/>
  <c r="B22" i="26"/>
  <c r="B23" i="26"/>
  <c r="B24" i="26"/>
  <c r="B25" i="26"/>
  <c r="B26" i="26"/>
  <c r="B27" i="26"/>
  <c r="B28" i="26"/>
  <c r="B29" i="26"/>
  <c r="B30" i="26"/>
  <c r="B31" i="26"/>
  <c r="B32" i="26"/>
  <c r="B33" i="26"/>
  <c r="B34" i="26"/>
  <c r="B35" i="26"/>
  <c r="B36" i="26"/>
  <c r="B37" i="26"/>
  <c r="B38" i="26"/>
  <c r="B39" i="26"/>
  <c r="B40" i="26"/>
  <c r="B41" i="26"/>
  <c r="B42" i="26"/>
  <c r="B43" i="26"/>
  <c r="B44" i="26"/>
  <c r="B45" i="26"/>
  <c r="B46" i="26"/>
  <c r="B47" i="26"/>
  <c r="B48" i="26"/>
  <c r="B49" i="26"/>
  <c r="B50" i="26"/>
  <c r="B51" i="26"/>
  <c r="B52" i="26"/>
  <c r="B53" i="26"/>
  <c r="B54" i="26"/>
  <c r="B55" i="26"/>
  <c r="B56" i="26"/>
  <c r="B57" i="26"/>
  <c r="B58" i="26"/>
  <c r="B59" i="26"/>
  <c r="B60" i="26"/>
  <c r="B61" i="26"/>
  <c r="B62" i="26"/>
  <c r="B63" i="26"/>
  <c r="B64" i="26"/>
  <c r="B65" i="26"/>
  <c r="B66" i="26"/>
  <c r="B67" i="26"/>
  <c r="B68" i="26"/>
  <c r="B69" i="26"/>
  <c r="B70" i="26"/>
  <c r="B71" i="26"/>
  <c r="B72" i="26"/>
  <c r="B73" i="26"/>
  <c r="B74" i="26"/>
  <c r="B75" i="26"/>
  <c r="B76" i="26"/>
  <c r="B77" i="26"/>
  <c r="B78" i="26"/>
  <c r="B79" i="26"/>
  <c r="B80" i="26"/>
  <c r="B81" i="26"/>
  <c r="B82" i="26"/>
  <c r="B83" i="26"/>
  <c r="B84" i="26"/>
  <c r="B85" i="26"/>
  <c r="B86" i="26"/>
  <c r="B87" i="26"/>
  <c r="B88" i="26"/>
  <c r="B89" i="26"/>
  <c r="B90" i="26"/>
  <c r="B91" i="26"/>
  <c r="B92" i="26"/>
  <c r="B93" i="26"/>
  <c r="B94" i="26"/>
  <c r="B95" i="26"/>
  <c r="B96" i="26"/>
  <c r="B97" i="26"/>
  <c r="B98" i="26"/>
  <c r="B99" i="26"/>
  <c r="B100" i="26"/>
  <c r="B101" i="26"/>
  <c r="B102" i="26"/>
  <c r="B103" i="26"/>
  <c r="B104" i="26"/>
  <c r="B105" i="26"/>
  <c r="B106" i="26"/>
  <c r="B107" i="26"/>
  <c r="B108" i="26"/>
  <c r="B109" i="26"/>
  <c r="B110" i="26"/>
  <c r="B111" i="26"/>
  <c r="B112" i="26"/>
  <c r="B113" i="26"/>
  <c r="B114" i="26"/>
  <c r="B115" i="26"/>
  <c r="B116" i="26"/>
  <c r="B117" i="26"/>
  <c r="B118" i="26"/>
  <c r="B119" i="26"/>
  <c r="B120" i="26"/>
  <c r="B121" i="26"/>
  <c r="B122" i="26"/>
  <c r="B123" i="26"/>
  <c r="B124" i="26"/>
  <c r="B125" i="26"/>
  <c r="B126" i="26"/>
  <c r="B127" i="26"/>
  <c r="B128" i="26"/>
  <c r="B129" i="26"/>
  <c r="B130" i="26"/>
  <c r="B131" i="26"/>
  <c r="B132" i="26"/>
  <c r="B133" i="26"/>
  <c r="B134" i="26"/>
  <c r="B135" i="26"/>
  <c r="B136" i="26"/>
  <c r="B137" i="26"/>
  <c r="B138" i="26"/>
  <c r="B139" i="26"/>
  <c r="B140" i="26"/>
  <c r="B141" i="26"/>
  <c r="B142" i="26"/>
  <c r="B143" i="26"/>
  <c r="B144" i="26"/>
  <c r="B145" i="26"/>
  <c r="B146" i="26"/>
  <c r="B147" i="26"/>
  <c r="B148" i="26"/>
  <c r="B149" i="26"/>
  <c r="B150" i="26"/>
  <c r="B151" i="26"/>
  <c r="B152" i="26"/>
  <c r="B153" i="26"/>
  <c r="B154" i="26"/>
  <c r="B155" i="26"/>
  <c r="B156" i="26"/>
  <c r="B157" i="26"/>
  <c r="B158" i="26"/>
  <c r="B159" i="26"/>
  <c r="B160" i="26"/>
  <c r="B161" i="26"/>
  <c r="B162" i="26"/>
  <c r="B163" i="26"/>
  <c r="B164" i="26"/>
  <c r="B165" i="26"/>
  <c r="B166" i="26"/>
  <c r="B167" i="26"/>
  <c r="B168" i="26"/>
  <c r="B169" i="26"/>
  <c r="B170" i="26"/>
  <c r="B171" i="26"/>
  <c r="B172" i="26"/>
  <c r="B173" i="26"/>
  <c r="B174" i="26"/>
  <c r="B175" i="26"/>
  <c r="B176" i="26"/>
  <c r="B177" i="26"/>
  <c r="B178" i="26"/>
  <c r="B179" i="26"/>
  <c r="B180" i="26"/>
  <c r="B181" i="26"/>
  <c r="B182" i="26"/>
  <c r="B183" i="26"/>
  <c r="B184" i="26"/>
  <c r="B185" i="26"/>
  <c r="B186" i="26"/>
  <c r="B187" i="26"/>
  <c r="B188" i="26"/>
  <c r="B189" i="26"/>
  <c r="B190" i="26"/>
  <c r="B191" i="26"/>
  <c r="B192" i="26"/>
  <c r="B193" i="26"/>
  <c r="B194" i="26"/>
  <c r="B195" i="26"/>
  <c r="B196" i="26"/>
  <c r="B197" i="26"/>
  <c r="B198" i="26"/>
  <c r="B199" i="26"/>
  <c r="B200" i="26"/>
  <c r="B201" i="26"/>
  <c r="B202" i="26"/>
  <c r="B203" i="26"/>
  <c r="B3" i="26"/>
  <c r="B220" i="14"/>
  <c r="C220" i="14" s="1"/>
  <c r="M12" i="23"/>
  <c r="M13" i="23"/>
  <c r="M14" i="23"/>
  <c r="M15" i="23"/>
  <c r="M16" i="23"/>
  <c r="M17" i="23"/>
  <c r="M18" i="23"/>
  <c r="M19" i="23"/>
  <c r="M20" i="23"/>
  <c r="M21" i="23"/>
  <c r="M22" i="23"/>
  <c r="M23" i="23"/>
  <c r="M24" i="23"/>
  <c r="M25" i="23"/>
  <c r="M26" i="23"/>
  <c r="M27" i="23"/>
  <c r="M28" i="23"/>
  <c r="M29" i="23"/>
  <c r="M30" i="23"/>
  <c r="M31" i="23"/>
  <c r="M32" i="23"/>
  <c r="M33" i="23"/>
  <c r="M34" i="23"/>
  <c r="M35" i="23"/>
  <c r="M36" i="23"/>
  <c r="M37" i="23"/>
  <c r="M38" i="23"/>
  <c r="M39" i="23"/>
  <c r="M40" i="23"/>
  <c r="M41" i="23"/>
  <c r="M42" i="23"/>
  <c r="M43" i="23"/>
  <c r="M44" i="23"/>
  <c r="M45" i="23"/>
  <c r="M46" i="23"/>
  <c r="M47" i="23"/>
  <c r="M48" i="23"/>
  <c r="M49" i="23"/>
  <c r="M50" i="23"/>
  <c r="M51" i="23"/>
  <c r="M52" i="23"/>
  <c r="M53" i="23"/>
  <c r="M54" i="23"/>
  <c r="M55" i="23"/>
  <c r="M56" i="23"/>
  <c r="M57" i="23"/>
  <c r="M58" i="23"/>
  <c r="M59" i="23"/>
  <c r="M60" i="23"/>
  <c r="M61" i="23"/>
  <c r="M62" i="23"/>
  <c r="M63" i="23"/>
  <c r="M64" i="23"/>
  <c r="M65" i="23"/>
  <c r="M66" i="23"/>
  <c r="M67" i="23"/>
  <c r="M68" i="23"/>
  <c r="M69" i="23"/>
  <c r="M70" i="23"/>
  <c r="M71" i="23"/>
  <c r="M72" i="23"/>
  <c r="M73" i="23"/>
  <c r="M74" i="23"/>
  <c r="M75" i="23"/>
  <c r="M76" i="23"/>
  <c r="M77" i="23"/>
  <c r="M78" i="23"/>
  <c r="M79" i="23"/>
  <c r="M80" i="23"/>
  <c r="M81" i="23"/>
  <c r="M82" i="23"/>
  <c r="M83" i="23"/>
  <c r="M84" i="23"/>
  <c r="M85" i="23"/>
  <c r="M86" i="23"/>
  <c r="M87" i="23"/>
  <c r="M88" i="23"/>
  <c r="M89" i="23"/>
  <c r="M90" i="23"/>
  <c r="M91" i="23"/>
  <c r="M92" i="23"/>
  <c r="M93" i="23"/>
  <c r="M94" i="23"/>
  <c r="M95" i="23"/>
  <c r="M96" i="23"/>
  <c r="M97" i="23"/>
  <c r="M98" i="23"/>
  <c r="M99" i="23"/>
  <c r="M100" i="23"/>
  <c r="M101" i="23"/>
  <c r="M102" i="23"/>
  <c r="M103" i="23"/>
  <c r="M104" i="23"/>
  <c r="M105" i="23"/>
  <c r="M106" i="23"/>
  <c r="M107" i="23"/>
  <c r="M108" i="23"/>
  <c r="M109" i="23"/>
  <c r="M110" i="23"/>
  <c r="M111" i="23"/>
  <c r="M112" i="23"/>
  <c r="M113" i="23"/>
  <c r="M114" i="23"/>
  <c r="M115" i="23"/>
  <c r="M116" i="23"/>
  <c r="M117" i="23"/>
  <c r="M118" i="23"/>
  <c r="M119" i="23"/>
  <c r="M120" i="23"/>
  <c r="M121" i="23"/>
  <c r="M122" i="23"/>
  <c r="M123" i="23"/>
  <c r="M124" i="23"/>
  <c r="M125" i="23"/>
  <c r="M126" i="23"/>
  <c r="M127" i="23"/>
  <c r="M128" i="23"/>
  <c r="M129" i="23"/>
  <c r="M130" i="23"/>
  <c r="M131" i="23"/>
  <c r="M132" i="23"/>
  <c r="M133" i="23"/>
  <c r="M134" i="23"/>
  <c r="M135" i="23"/>
  <c r="M136" i="23"/>
  <c r="M137" i="23"/>
  <c r="M138" i="23"/>
  <c r="M139" i="23"/>
  <c r="M140" i="23"/>
  <c r="M141" i="23"/>
  <c r="M142" i="23"/>
  <c r="M143" i="23"/>
  <c r="M144" i="23"/>
  <c r="M145" i="23"/>
  <c r="M146" i="23"/>
  <c r="M147" i="23"/>
  <c r="M148" i="23"/>
  <c r="M149" i="23"/>
  <c r="M150" i="23"/>
  <c r="M151" i="23"/>
  <c r="M152" i="23"/>
  <c r="M153" i="23"/>
  <c r="M154" i="23"/>
  <c r="M155" i="23"/>
  <c r="M156" i="23"/>
  <c r="M157" i="23"/>
  <c r="M158" i="23"/>
  <c r="M159" i="23"/>
  <c r="M160" i="23"/>
  <c r="M161" i="23"/>
  <c r="M162" i="23"/>
  <c r="M163" i="23"/>
  <c r="M164" i="23"/>
  <c r="M165" i="23"/>
  <c r="M166" i="23"/>
  <c r="M167" i="23"/>
  <c r="M168" i="23"/>
  <c r="M169" i="23"/>
  <c r="M170" i="23"/>
  <c r="M171" i="23"/>
  <c r="M172" i="23"/>
  <c r="M173" i="23"/>
  <c r="M174" i="23"/>
  <c r="M175" i="23"/>
  <c r="M176" i="23"/>
  <c r="M177" i="23"/>
  <c r="M178" i="23"/>
  <c r="M179" i="23"/>
  <c r="M180" i="23"/>
  <c r="M181" i="23"/>
  <c r="M182" i="23"/>
  <c r="M183" i="23"/>
  <c r="M184" i="23"/>
  <c r="M185" i="23"/>
  <c r="M186" i="23"/>
  <c r="M187" i="23"/>
  <c r="M188" i="23"/>
  <c r="M189" i="23"/>
  <c r="M190" i="23"/>
  <c r="M191" i="23"/>
  <c r="M192" i="23"/>
  <c r="M193" i="23"/>
  <c r="M194" i="23"/>
  <c r="M195" i="23"/>
  <c r="M196" i="23"/>
  <c r="M197" i="23"/>
  <c r="M198" i="23"/>
  <c r="M199" i="23"/>
  <c r="M200" i="23"/>
  <c r="M201" i="23"/>
  <c r="M202" i="23"/>
  <c r="M203" i="23"/>
  <c r="M204" i="23"/>
  <c r="M205" i="23"/>
  <c r="M206" i="23"/>
  <c r="M207" i="23"/>
  <c r="M208" i="23"/>
  <c r="M209" i="23"/>
  <c r="M210" i="23"/>
  <c r="M211" i="23"/>
  <c r="M11" i="23"/>
  <c r="L12" i="23"/>
  <c r="L13" i="23"/>
  <c r="L14" i="23"/>
  <c r="L15" i="23"/>
  <c r="L16" i="23"/>
  <c r="L17" i="23"/>
  <c r="L18" i="23"/>
  <c r="L19" i="23"/>
  <c r="L20" i="23"/>
  <c r="L21" i="23"/>
  <c r="L22" i="23"/>
  <c r="L23" i="23"/>
  <c r="L24" i="23"/>
  <c r="L25" i="23"/>
  <c r="L26" i="23"/>
  <c r="L27" i="23"/>
  <c r="L28" i="23"/>
  <c r="L29" i="23"/>
  <c r="L30" i="23"/>
  <c r="L31" i="23"/>
  <c r="L32" i="23"/>
  <c r="L33" i="23"/>
  <c r="L34" i="23"/>
  <c r="L35" i="23"/>
  <c r="L36" i="23"/>
  <c r="L37" i="23"/>
  <c r="L38" i="23"/>
  <c r="L39" i="23"/>
  <c r="L40" i="23"/>
  <c r="L41" i="23"/>
  <c r="L42" i="23"/>
  <c r="L43" i="23"/>
  <c r="L44" i="23"/>
  <c r="L45" i="23"/>
  <c r="L46" i="23"/>
  <c r="L47" i="23"/>
  <c r="L48" i="23"/>
  <c r="L49" i="23"/>
  <c r="L50" i="23"/>
  <c r="L51" i="23"/>
  <c r="L52" i="23"/>
  <c r="L53" i="23"/>
  <c r="L54" i="23"/>
  <c r="L55" i="23"/>
  <c r="L56" i="23"/>
  <c r="L57" i="23"/>
  <c r="L58" i="23"/>
  <c r="L59" i="23"/>
  <c r="L60" i="23"/>
  <c r="L61" i="23"/>
  <c r="L62" i="23"/>
  <c r="L63" i="23"/>
  <c r="L64" i="23"/>
  <c r="L65" i="23"/>
  <c r="L66" i="23"/>
  <c r="L67" i="23"/>
  <c r="L68" i="23"/>
  <c r="L69" i="23"/>
  <c r="L70" i="23"/>
  <c r="L71" i="23"/>
  <c r="L72" i="23"/>
  <c r="L73" i="23"/>
  <c r="L74" i="23"/>
  <c r="L75" i="23"/>
  <c r="L76" i="23"/>
  <c r="L77" i="23"/>
  <c r="L78" i="23"/>
  <c r="L79" i="23"/>
  <c r="L80" i="23"/>
  <c r="L81" i="23"/>
  <c r="L82" i="23"/>
  <c r="L83" i="23"/>
  <c r="L84" i="23"/>
  <c r="L85" i="23"/>
  <c r="L86" i="23"/>
  <c r="L87" i="23"/>
  <c r="L88" i="23"/>
  <c r="L89" i="23"/>
  <c r="L90" i="23"/>
  <c r="L91" i="23"/>
  <c r="L92" i="23"/>
  <c r="L93" i="23"/>
  <c r="L94" i="23"/>
  <c r="L95" i="23"/>
  <c r="L96" i="23"/>
  <c r="L97" i="23"/>
  <c r="L98" i="23"/>
  <c r="L99" i="23"/>
  <c r="L100" i="23"/>
  <c r="L101" i="23"/>
  <c r="L102" i="23"/>
  <c r="L103" i="23"/>
  <c r="L104" i="23"/>
  <c r="L105" i="23"/>
  <c r="L106" i="23"/>
  <c r="L107" i="23"/>
  <c r="L108" i="23"/>
  <c r="L109" i="23"/>
  <c r="L110" i="23"/>
  <c r="L111" i="23"/>
  <c r="L112" i="23"/>
  <c r="L113" i="23"/>
  <c r="L114" i="23"/>
  <c r="L115" i="23"/>
  <c r="L116" i="23"/>
  <c r="L117" i="23"/>
  <c r="L118" i="23"/>
  <c r="L119" i="23"/>
  <c r="L120" i="23"/>
  <c r="L121" i="23"/>
  <c r="L122" i="23"/>
  <c r="L123" i="23"/>
  <c r="L124" i="23"/>
  <c r="L125" i="23"/>
  <c r="L126" i="23"/>
  <c r="L127" i="23"/>
  <c r="L128" i="23"/>
  <c r="L129" i="23"/>
  <c r="L130" i="23"/>
  <c r="L131" i="23"/>
  <c r="L132" i="23"/>
  <c r="L133" i="23"/>
  <c r="L134" i="23"/>
  <c r="L135" i="23"/>
  <c r="L136" i="23"/>
  <c r="L137" i="23"/>
  <c r="L138" i="23"/>
  <c r="L139" i="23"/>
  <c r="L140" i="23"/>
  <c r="L141" i="23"/>
  <c r="L142" i="23"/>
  <c r="L143" i="23"/>
  <c r="L144" i="23"/>
  <c r="L145" i="23"/>
  <c r="L146" i="23"/>
  <c r="L147" i="23"/>
  <c r="L148" i="23"/>
  <c r="L149" i="23"/>
  <c r="L150" i="23"/>
  <c r="L151" i="23"/>
  <c r="L152" i="23"/>
  <c r="L153" i="23"/>
  <c r="L154" i="23"/>
  <c r="L155" i="23"/>
  <c r="L156" i="23"/>
  <c r="L157" i="23"/>
  <c r="L158" i="23"/>
  <c r="L159" i="23"/>
  <c r="L160" i="23"/>
  <c r="L161" i="23"/>
  <c r="L162" i="23"/>
  <c r="L163" i="23"/>
  <c r="L164" i="23"/>
  <c r="L165" i="23"/>
  <c r="L166" i="23"/>
  <c r="L167" i="23"/>
  <c r="L168" i="23"/>
  <c r="L169" i="23"/>
  <c r="L170" i="23"/>
  <c r="L171" i="23"/>
  <c r="L172" i="23"/>
  <c r="L173" i="23"/>
  <c r="L174" i="23"/>
  <c r="L175" i="23"/>
  <c r="L176" i="23"/>
  <c r="L177" i="23"/>
  <c r="L178" i="23"/>
  <c r="L179" i="23"/>
  <c r="L180" i="23"/>
  <c r="L181" i="23"/>
  <c r="L182" i="23"/>
  <c r="L183" i="23"/>
  <c r="L184" i="23"/>
  <c r="L185" i="23"/>
  <c r="L186" i="23"/>
  <c r="L187" i="23"/>
  <c r="L188" i="23"/>
  <c r="L189" i="23"/>
  <c r="L190" i="23"/>
  <c r="L191" i="23"/>
  <c r="L192" i="23"/>
  <c r="L193" i="23"/>
  <c r="L194" i="23"/>
  <c r="L195" i="23"/>
  <c r="L196" i="23"/>
  <c r="L197" i="23"/>
  <c r="L198" i="23"/>
  <c r="L199" i="23"/>
  <c r="L200" i="23"/>
  <c r="L201" i="23"/>
  <c r="L202" i="23"/>
  <c r="L203" i="23"/>
  <c r="L204" i="23"/>
  <c r="L205" i="23"/>
  <c r="L206" i="23"/>
  <c r="L207" i="23"/>
  <c r="L208" i="23"/>
  <c r="L209" i="23"/>
  <c r="L210" i="23"/>
  <c r="L211" i="23"/>
  <c r="L11" i="23"/>
  <c r="K12" i="23"/>
  <c r="K13" i="23"/>
  <c r="K14" i="23"/>
  <c r="K15" i="23"/>
  <c r="K16" i="23"/>
  <c r="K17" i="23"/>
  <c r="K18" i="23"/>
  <c r="K19" i="23"/>
  <c r="K20" i="23"/>
  <c r="K21" i="23"/>
  <c r="K22" i="23"/>
  <c r="K23" i="23"/>
  <c r="K24" i="23"/>
  <c r="K25" i="23"/>
  <c r="K26" i="23"/>
  <c r="K27" i="23"/>
  <c r="K28" i="23"/>
  <c r="K29" i="23"/>
  <c r="K30" i="23"/>
  <c r="K31" i="23"/>
  <c r="K32" i="23"/>
  <c r="K33" i="23"/>
  <c r="K34" i="23"/>
  <c r="K35" i="23"/>
  <c r="K36" i="23"/>
  <c r="K37" i="23"/>
  <c r="K38" i="23"/>
  <c r="K39" i="23"/>
  <c r="K40" i="23"/>
  <c r="K41" i="23"/>
  <c r="K42" i="23"/>
  <c r="K43" i="23"/>
  <c r="K44" i="23"/>
  <c r="K45" i="23"/>
  <c r="K46" i="23"/>
  <c r="K47" i="23"/>
  <c r="K48" i="23"/>
  <c r="K49" i="23"/>
  <c r="K50" i="23"/>
  <c r="K51" i="23"/>
  <c r="K52" i="23"/>
  <c r="K53" i="23"/>
  <c r="K54" i="23"/>
  <c r="K55" i="23"/>
  <c r="K56" i="23"/>
  <c r="K57" i="23"/>
  <c r="K58" i="23"/>
  <c r="K59" i="23"/>
  <c r="K60" i="23"/>
  <c r="K61" i="23"/>
  <c r="K62" i="23"/>
  <c r="K63" i="23"/>
  <c r="K64" i="23"/>
  <c r="K65" i="23"/>
  <c r="K66" i="23"/>
  <c r="K67" i="23"/>
  <c r="K68" i="23"/>
  <c r="K69" i="23"/>
  <c r="K70" i="23"/>
  <c r="K71" i="23"/>
  <c r="K72" i="23"/>
  <c r="K73" i="23"/>
  <c r="K74" i="23"/>
  <c r="K75" i="23"/>
  <c r="K76" i="23"/>
  <c r="K77" i="23"/>
  <c r="K78" i="23"/>
  <c r="K79" i="23"/>
  <c r="K80" i="23"/>
  <c r="K81" i="23"/>
  <c r="K82" i="23"/>
  <c r="K83" i="23"/>
  <c r="K84" i="23"/>
  <c r="K85" i="23"/>
  <c r="K86" i="23"/>
  <c r="K87" i="23"/>
  <c r="K88" i="23"/>
  <c r="K89" i="23"/>
  <c r="K90" i="23"/>
  <c r="K91" i="23"/>
  <c r="K92" i="23"/>
  <c r="K93" i="23"/>
  <c r="K94" i="23"/>
  <c r="K95" i="23"/>
  <c r="K96" i="23"/>
  <c r="K97" i="23"/>
  <c r="K98" i="23"/>
  <c r="K99" i="23"/>
  <c r="K100" i="23"/>
  <c r="K101" i="23"/>
  <c r="K102" i="23"/>
  <c r="K103" i="23"/>
  <c r="K104" i="23"/>
  <c r="K105" i="23"/>
  <c r="K106" i="23"/>
  <c r="K107" i="23"/>
  <c r="K108" i="23"/>
  <c r="K109" i="23"/>
  <c r="K110" i="23"/>
  <c r="K111" i="23"/>
  <c r="K112" i="23"/>
  <c r="K113" i="23"/>
  <c r="K114" i="23"/>
  <c r="K115" i="23"/>
  <c r="K116" i="23"/>
  <c r="K117" i="23"/>
  <c r="K118" i="23"/>
  <c r="K119" i="23"/>
  <c r="K120" i="23"/>
  <c r="K121" i="23"/>
  <c r="K122" i="23"/>
  <c r="K123" i="23"/>
  <c r="K124" i="23"/>
  <c r="K125" i="23"/>
  <c r="K126" i="23"/>
  <c r="K127" i="23"/>
  <c r="K128" i="23"/>
  <c r="K129" i="23"/>
  <c r="K130" i="23"/>
  <c r="K131" i="23"/>
  <c r="K132" i="23"/>
  <c r="K133" i="23"/>
  <c r="K134" i="23"/>
  <c r="K135" i="23"/>
  <c r="K136" i="23"/>
  <c r="K137" i="23"/>
  <c r="K138" i="23"/>
  <c r="K139" i="23"/>
  <c r="K140" i="23"/>
  <c r="K141" i="23"/>
  <c r="K142" i="23"/>
  <c r="K143" i="23"/>
  <c r="K144" i="23"/>
  <c r="K145" i="23"/>
  <c r="K146" i="23"/>
  <c r="K147" i="23"/>
  <c r="K148" i="23"/>
  <c r="K149" i="23"/>
  <c r="K150" i="23"/>
  <c r="K151" i="23"/>
  <c r="K152" i="23"/>
  <c r="K153" i="23"/>
  <c r="K154" i="23"/>
  <c r="K155" i="23"/>
  <c r="K156" i="23"/>
  <c r="K157" i="23"/>
  <c r="K158" i="23"/>
  <c r="K159" i="23"/>
  <c r="K160" i="23"/>
  <c r="K161" i="23"/>
  <c r="K162" i="23"/>
  <c r="K163" i="23"/>
  <c r="K164" i="23"/>
  <c r="K165" i="23"/>
  <c r="K166" i="23"/>
  <c r="K167" i="23"/>
  <c r="K168" i="23"/>
  <c r="K169" i="23"/>
  <c r="K170" i="23"/>
  <c r="K171" i="23"/>
  <c r="K172" i="23"/>
  <c r="K173" i="23"/>
  <c r="K174" i="23"/>
  <c r="K175" i="23"/>
  <c r="K176" i="23"/>
  <c r="K177" i="23"/>
  <c r="K178" i="23"/>
  <c r="K179" i="23"/>
  <c r="K180" i="23"/>
  <c r="K181" i="23"/>
  <c r="K182" i="23"/>
  <c r="K183" i="23"/>
  <c r="K184" i="23"/>
  <c r="K185" i="23"/>
  <c r="K186" i="23"/>
  <c r="K187" i="23"/>
  <c r="K188" i="23"/>
  <c r="K189" i="23"/>
  <c r="K190" i="23"/>
  <c r="K191" i="23"/>
  <c r="K192" i="23"/>
  <c r="K193" i="23"/>
  <c r="K194" i="23"/>
  <c r="K195" i="23"/>
  <c r="K196" i="23"/>
  <c r="K197" i="23"/>
  <c r="K198" i="23"/>
  <c r="K199" i="23"/>
  <c r="K200" i="23"/>
  <c r="K201" i="23"/>
  <c r="K202" i="23"/>
  <c r="K203" i="23"/>
  <c r="K204" i="23"/>
  <c r="K205" i="23"/>
  <c r="K206" i="23"/>
  <c r="K207" i="23"/>
  <c r="K208" i="23"/>
  <c r="K209" i="23"/>
  <c r="K210" i="23"/>
  <c r="K211" i="23"/>
  <c r="K11" i="23"/>
  <c r="J12" i="23"/>
  <c r="J13" i="23"/>
  <c r="J14" i="23"/>
  <c r="J15" i="23"/>
  <c r="J16" i="23"/>
  <c r="J17" i="23"/>
  <c r="J18" i="23"/>
  <c r="J19" i="23"/>
  <c r="J20" i="23"/>
  <c r="J21" i="23"/>
  <c r="J22" i="23"/>
  <c r="J23" i="23"/>
  <c r="J24" i="23"/>
  <c r="J25" i="23"/>
  <c r="J26" i="23"/>
  <c r="J27" i="23"/>
  <c r="J28" i="23"/>
  <c r="J29" i="23"/>
  <c r="J30" i="23"/>
  <c r="J31" i="23"/>
  <c r="J32" i="23"/>
  <c r="J33" i="23"/>
  <c r="J34" i="23"/>
  <c r="J35" i="23"/>
  <c r="J36" i="23"/>
  <c r="J37" i="23"/>
  <c r="J38" i="23"/>
  <c r="J39" i="23"/>
  <c r="J40" i="23"/>
  <c r="J41" i="23"/>
  <c r="J42" i="23"/>
  <c r="J43" i="23"/>
  <c r="J44" i="23"/>
  <c r="J45" i="23"/>
  <c r="J46" i="23"/>
  <c r="J47" i="23"/>
  <c r="J48" i="23"/>
  <c r="J49" i="23"/>
  <c r="J50" i="23"/>
  <c r="J51" i="23"/>
  <c r="J52" i="23"/>
  <c r="J53" i="23"/>
  <c r="J54" i="23"/>
  <c r="J55" i="23"/>
  <c r="J56" i="23"/>
  <c r="J57" i="23"/>
  <c r="J58" i="23"/>
  <c r="J59" i="23"/>
  <c r="J60" i="23"/>
  <c r="J61" i="23"/>
  <c r="J62" i="23"/>
  <c r="J63" i="23"/>
  <c r="J64" i="23"/>
  <c r="J65" i="23"/>
  <c r="J66" i="23"/>
  <c r="J67" i="23"/>
  <c r="J68" i="23"/>
  <c r="J69" i="23"/>
  <c r="J70" i="23"/>
  <c r="J71" i="23"/>
  <c r="J72" i="23"/>
  <c r="J73" i="23"/>
  <c r="J74" i="23"/>
  <c r="J75" i="23"/>
  <c r="J76" i="23"/>
  <c r="J77" i="23"/>
  <c r="J78" i="23"/>
  <c r="J79" i="23"/>
  <c r="J80" i="23"/>
  <c r="J81" i="23"/>
  <c r="J82" i="23"/>
  <c r="J83" i="23"/>
  <c r="J84" i="23"/>
  <c r="J85" i="23"/>
  <c r="J86" i="23"/>
  <c r="J87" i="23"/>
  <c r="J88" i="23"/>
  <c r="J89" i="23"/>
  <c r="J90" i="23"/>
  <c r="J91" i="23"/>
  <c r="J92" i="23"/>
  <c r="J93" i="23"/>
  <c r="J94" i="23"/>
  <c r="J95" i="23"/>
  <c r="J96" i="23"/>
  <c r="J97" i="23"/>
  <c r="J98" i="23"/>
  <c r="J99" i="23"/>
  <c r="J100" i="23"/>
  <c r="J101" i="23"/>
  <c r="J102" i="23"/>
  <c r="J103" i="23"/>
  <c r="J104" i="23"/>
  <c r="J105" i="23"/>
  <c r="J106" i="23"/>
  <c r="J107" i="23"/>
  <c r="J108" i="23"/>
  <c r="J109" i="23"/>
  <c r="J110" i="23"/>
  <c r="J111" i="23"/>
  <c r="J112" i="23"/>
  <c r="J113" i="23"/>
  <c r="J114" i="23"/>
  <c r="J115" i="23"/>
  <c r="J116" i="23"/>
  <c r="J117" i="23"/>
  <c r="J118" i="23"/>
  <c r="J119" i="23"/>
  <c r="J120" i="23"/>
  <c r="J121" i="23"/>
  <c r="J122" i="23"/>
  <c r="J123" i="23"/>
  <c r="J124" i="23"/>
  <c r="J125" i="23"/>
  <c r="J126" i="23"/>
  <c r="J127" i="23"/>
  <c r="J128" i="23"/>
  <c r="J129" i="23"/>
  <c r="J130" i="23"/>
  <c r="J131" i="23"/>
  <c r="J132" i="23"/>
  <c r="J133" i="23"/>
  <c r="J134" i="23"/>
  <c r="J135" i="23"/>
  <c r="J136" i="23"/>
  <c r="J137" i="23"/>
  <c r="J138" i="23"/>
  <c r="J139" i="23"/>
  <c r="J140" i="23"/>
  <c r="J141" i="23"/>
  <c r="J142" i="23"/>
  <c r="J143" i="23"/>
  <c r="J144" i="23"/>
  <c r="J145" i="23"/>
  <c r="J146" i="23"/>
  <c r="J147" i="23"/>
  <c r="J148" i="23"/>
  <c r="J149" i="23"/>
  <c r="J150" i="23"/>
  <c r="J151" i="23"/>
  <c r="J152" i="23"/>
  <c r="J153" i="23"/>
  <c r="J154" i="23"/>
  <c r="J155" i="23"/>
  <c r="J156" i="23"/>
  <c r="J157" i="23"/>
  <c r="J158" i="23"/>
  <c r="J159" i="23"/>
  <c r="J160" i="23"/>
  <c r="J161" i="23"/>
  <c r="J162" i="23"/>
  <c r="J163" i="23"/>
  <c r="J164" i="23"/>
  <c r="J165" i="23"/>
  <c r="J166" i="23"/>
  <c r="J167" i="23"/>
  <c r="J168" i="23"/>
  <c r="J169" i="23"/>
  <c r="J170" i="23"/>
  <c r="J171" i="23"/>
  <c r="J172" i="23"/>
  <c r="J173" i="23"/>
  <c r="J174" i="23"/>
  <c r="J175" i="23"/>
  <c r="J176" i="23"/>
  <c r="J177" i="23"/>
  <c r="J178" i="23"/>
  <c r="J179" i="23"/>
  <c r="J180" i="23"/>
  <c r="J181" i="23"/>
  <c r="J182" i="23"/>
  <c r="J183" i="23"/>
  <c r="J184" i="23"/>
  <c r="J185" i="23"/>
  <c r="J186" i="23"/>
  <c r="J187" i="23"/>
  <c r="J188" i="23"/>
  <c r="J189" i="23"/>
  <c r="J190" i="23"/>
  <c r="J191" i="23"/>
  <c r="J192" i="23"/>
  <c r="J193" i="23"/>
  <c r="J194" i="23"/>
  <c r="J195" i="23"/>
  <c r="J196" i="23"/>
  <c r="J197" i="23"/>
  <c r="J198" i="23"/>
  <c r="J199" i="23"/>
  <c r="J200" i="23"/>
  <c r="J201" i="23"/>
  <c r="J202" i="23"/>
  <c r="J203" i="23"/>
  <c r="J204" i="23"/>
  <c r="J205" i="23"/>
  <c r="J206" i="23"/>
  <c r="J207" i="23"/>
  <c r="J208" i="23"/>
  <c r="J209" i="23"/>
  <c r="J210" i="23"/>
  <c r="J211" i="23"/>
  <c r="J11" i="23"/>
  <c r="L10" i="23"/>
  <c r="K10" i="23"/>
  <c r="J10" i="23"/>
  <c r="L8" i="23"/>
  <c r="L7" i="23"/>
  <c r="L6" i="23"/>
  <c r="L5" i="23"/>
  <c r="L4" i="23"/>
  <c r="L3" i="23"/>
  <c r="E12" i="23"/>
  <c r="E13" i="23"/>
  <c r="E14" i="23"/>
  <c r="E15" i="23"/>
  <c r="E16" i="23"/>
  <c r="E17" i="23"/>
  <c r="E18" i="23"/>
  <c r="E19" i="23"/>
  <c r="E20" i="23"/>
  <c r="E21" i="23"/>
  <c r="E22" i="23"/>
  <c r="E23" i="23"/>
  <c r="E24" i="23"/>
  <c r="E25" i="23"/>
  <c r="E26" i="23"/>
  <c r="E27" i="23"/>
  <c r="E28" i="23"/>
  <c r="E29" i="23"/>
  <c r="E30" i="23"/>
  <c r="E31" i="23"/>
  <c r="E32" i="23"/>
  <c r="E33" i="23"/>
  <c r="E34" i="23"/>
  <c r="E35" i="23"/>
  <c r="E36" i="23"/>
  <c r="E37" i="23"/>
  <c r="E38" i="23"/>
  <c r="E39" i="23"/>
  <c r="E40" i="23"/>
  <c r="E41" i="23"/>
  <c r="E42" i="23"/>
  <c r="E43" i="23"/>
  <c r="E44" i="23"/>
  <c r="E45" i="23"/>
  <c r="E46" i="23"/>
  <c r="E47" i="23"/>
  <c r="E48" i="23"/>
  <c r="E49" i="23"/>
  <c r="E50" i="23"/>
  <c r="E51" i="23"/>
  <c r="E52" i="23"/>
  <c r="E53" i="23"/>
  <c r="E54" i="23"/>
  <c r="E55" i="23"/>
  <c r="E56" i="23"/>
  <c r="E57" i="23"/>
  <c r="E58" i="23"/>
  <c r="E59" i="23"/>
  <c r="E60" i="23"/>
  <c r="E61" i="23"/>
  <c r="E62" i="23"/>
  <c r="E63" i="23"/>
  <c r="E64" i="23"/>
  <c r="E65" i="23"/>
  <c r="E66" i="23"/>
  <c r="E67" i="23"/>
  <c r="E68" i="23"/>
  <c r="E69" i="23"/>
  <c r="E70" i="23"/>
  <c r="E71" i="23"/>
  <c r="E72" i="23"/>
  <c r="E73" i="23"/>
  <c r="E74" i="23"/>
  <c r="E75" i="23"/>
  <c r="E76" i="23"/>
  <c r="E77" i="23"/>
  <c r="E78" i="23"/>
  <c r="E79" i="23"/>
  <c r="E80" i="23"/>
  <c r="E81" i="23"/>
  <c r="E82" i="23"/>
  <c r="E83" i="23"/>
  <c r="E84" i="23"/>
  <c r="E85" i="23"/>
  <c r="E86" i="23"/>
  <c r="E87" i="23"/>
  <c r="E88" i="23"/>
  <c r="E89" i="23"/>
  <c r="E90" i="23"/>
  <c r="E91" i="23"/>
  <c r="E92" i="23"/>
  <c r="E93" i="23"/>
  <c r="E94" i="23"/>
  <c r="E95" i="23"/>
  <c r="E96" i="23"/>
  <c r="E97" i="23"/>
  <c r="E98" i="23"/>
  <c r="E99" i="23"/>
  <c r="E100" i="23"/>
  <c r="E101" i="23"/>
  <c r="E102" i="23"/>
  <c r="E103" i="23"/>
  <c r="E104" i="23"/>
  <c r="E105" i="23"/>
  <c r="E106" i="23"/>
  <c r="E107" i="23"/>
  <c r="E108" i="23"/>
  <c r="E109" i="23"/>
  <c r="E110" i="23"/>
  <c r="E111" i="23"/>
  <c r="E112" i="23"/>
  <c r="E113" i="23"/>
  <c r="E114" i="23"/>
  <c r="E115" i="23"/>
  <c r="E116" i="23"/>
  <c r="E117" i="23"/>
  <c r="E118" i="23"/>
  <c r="E119" i="23"/>
  <c r="E120" i="23"/>
  <c r="E121" i="23"/>
  <c r="E122" i="23"/>
  <c r="E123" i="23"/>
  <c r="E124" i="23"/>
  <c r="E125" i="23"/>
  <c r="E126" i="23"/>
  <c r="E127" i="23"/>
  <c r="E128" i="23"/>
  <c r="E129" i="23"/>
  <c r="E130" i="23"/>
  <c r="E131" i="23"/>
  <c r="E132" i="23"/>
  <c r="E133" i="23"/>
  <c r="E134" i="23"/>
  <c r="E135" i="23"/>
  <c r="E136" i="23"/>
  <c r="E137" i="23"/>
  <c r="E138" i="23"/>
  <c r="E139" i="23"/>
  <c r="E140" i="23"/>
  <c r="E141" i="23"/>
  <c r="E142" i="23"/>
  <c r="E143" i="23"/>
  <c r="E144" i="23"/>
  <c r="E145" i="23"/>
  <c r="E146" i="23"/>
  <c r="E147" i="23"/>
  <c r="E148" i="23"/>
  <c r="E149" i="23"/>
  <c r="E150" i="23"/>
  <c r="E151" i="23"/>
  <c r="E152" i="23"/>
  <c r="E153" i="23"/>
  <c r="E154" i="23"/>
  <c r="E155" i="23"/>
  <c r="E156" i="23"/>
  <c r="E157" i="23"/>
  <c r="E158" i="23"/>
  <c r="E159" i="23"/>
  <c r="E160" i="23"/>
  <c r="E161" i="23"/>
  <c r="E162" i="23"/>
  <c r="E163" i="23"/>
  <c r="E164" i="23"/>
  <c r="E165" i="23"/>
  <c r="E166" i="23"/>
  <c r="E167" i="23"/>
  <c r="E168" i="23"/>
  <c r="E169" i="23"/>
  <c r="E170" i="23"/>
  <c r="E171" i="23"/>
  <c r="E172" i="23"/>
  <c r="E173" i="23"/>
  <c r="E174" i="23"/>
  <c r="E175" i="23"/>
  <c r="E176" i="23"/>
  <c r="E177" i="23"/>
  <c r="E178" i="23"/>
  <c r="E179" i="23"/>
  <c r="E180" i="23"/>
  <c r="E181" i="23"/>
  <c r="E182" i="23"/>
  <c r="E183" i="23"/>
  <c r="E184" i="23"/>
  <c r="E185" i="23"/>
  <c r="E186" i="23"/>
  <c r="E187" i="23"/>
  <c r="E188" i="23"/>
  <c r="E189" i="23"/>
  <c r="E190" i="23"/>
  <c r="E191" i="23"/>
  <c r="E192" i="23"/>
  <c r="E193" i="23"/>
  <c r="E194" i="23"/>
  <c r="E195" i="23"/>
  <c r="E196" i="23"/>
  <c r="E197" i="23"/>
  <c r="E198" i="23"/>
  <c r="E199" i="23"/>
  <c r="E200" i="23"/>
  <c r="E201" i="23"/>
  <c r="E202" i="23"/>
  <c r="E203" i="23"/>
  <c r="E204" i="23"/>
  <c r="E205" i="23"/>
  <c r="E206" i="23"/>
  <c r="E207" i="23"/>
  <c r="E208" i="23"/>
  <c r="E209" i="23"/>
  <c r="E210" i="23"/>
  <c r="E211" i="23"/>
  <c r="E11" i="23"/>
  <c r="D12" i="23"/>
  <c r="D13" i="23"/>
  <c r="D14" i="23"/>
  <c r="D15" i="23"/>
  <c r="D16" i="23"/>
  <c r="D17" i="23"/>
  <c r="D18" i="23"/>
  <c r="D19" i="23"/>
  <c r="D20" i="23"/>
  <c r="D21" i="23"/>
  <c r="D22" i="23"/>
  <c r="D23" i="23"/>
  <c r="D24" i="23"/>
  <c r="D25" i="23"/>
  <c r="D26" i="23"/>
  <c r="D27" i="23"/>
  <c r="D28" i="23"/>
  <c r="D29" i="23"/>
  <c r="D30" i="23"/>
  <c r="D31" i="23"/>
  <c r="D32" i="23"/>
  <c r="D33" i="23"/>
  <c r="D34" i="23"/>
  <c r="D35" i="23"/>
  <c r="D36" i="23"/>
  <c r="D37" i="23"/>
  <c r="D38" i="23"/>
  <c r="D39" i="23"/>
  <c r="D40" i="23"/>
  <c r="D41" i="23"/>
  <c r="D42" i="23"/>
  <c r="D43" i="23"/>
  <c r="D44" i="23"/>
  <c r="D45" i="23"/>
  <c r="D46" i="23"/>
  <c r="D47" i="23"/>
  <c r="D48" i="23"/>
  <c r="D49" i="23"/>
  <c r="D50" i="23"/>
  <c r="D51" i="23"/>
  <c r="D52" i="23"/>
  <c r="D53" i="23"/>
  <c r="D54" i="23"/>
  <c r="D55" i="23"/>
  <c r="D56" i="23"/>
  <c r="D57" i="23"/>
  <c r="D58" i="23"/>
  <c r="D59" i="23"/>
  <c r="D60" i="23"/>
  <c r="D61" i="23"/>
  <c r="D62" i="23"/>
  <c r="D63" i="23"/>
  <c r="D64" i="23"/>
  <c r="D65" i="23"/>
  <c r="D66" i="23"/>
  <c r="D67" i="23"/>
  <c r="D68" i="23"/>
  <c r="D69" i="23"/>
  <c r="D70" i="23"/>
  <c r="D71" i="23"/>
  <c r="D72" i="23"/>
  <c r="D73" i="23"/>
  <c r="D74" i="23"/>
  <c r="D75" i="23"/>
  <c r="D76" i="23"/>
  <c r="D77" i="23"/>
  <c r="D78" i="23"/>
  <c r="D79" i="23"/>
  <c r="D80" i="23"/>
  <c r="D81" i="23"/>
  <c r="D82" i="23"/>
  <c r="D83" i="23"/>
  <c r="D84" i="23"/>
  <c r="D85" i="23"/>
  <c r="D86" i="23"/>
  <c r="D87" i="23"/>
  <c r="D88" i="23"/>
  <c r="D89" i="23"/>
  <c r="D90" i="23"/>
  <c r="D91" i="23"/>
  <c r="D92" i="23"/>
  <c r="D93" i="23"/>
  <c r="D94" i="23"/>
  <c r="D95" i="23"/>
  <c r="D96" i="23"/>
  <c r="D97" i="23"/>
  <c r="D98" i="23"/>
  <c r="D99" i="23"/>
  <c r="D100" i="23"/>
  <c r="D101" i="23"/>
  <c r="D102" i="23"/>
  <c r="D103" i="23"/>
  <c r="D104" i="23"/>
  <c r="D105" i="23"/>
  <c r="D106" i="23"/>
  <c r="D107" i="23"/>
  <c r="D108" i="23"/>
  <c r="D109" i="23"/>
  <c r="D110" i="23"/>
  <c r="D111" i="23"/>
  <c r="D112" i="23"/>
  <c r="D113" i="23"/>
  <c r="D114" i="23"/>
  <c r="D115" i="23"/>
  <c r="D116" i="23"/>
  <c r="D117" i="23"/>
  <c r="D118" i="23"/>
  <c r="D119" i="23"/>
  <c r="D120" i="23"/>
  <c r="D121" i="23"/>
  <c r="D122" i="23"/>
  <c r="D123" i="23"/>
  <c r="D124" i="23"/>
  <c r="D125" i="23"/>
  <c r="D126" i="23"/>
  <c r="D127" i="23"/>
  <c r="D128" i="23"/>
  <c r="D129" i="23"/>
  <c r="D130" i="23"/>
  <c r="D131" i="23"/>
  <c r="D132" i="23"/>
  <c r="D133" i="23"/>
  <c r="D134" i="23"/>
  <c r="D135" i="23"/>
  <c r="D136" i="23"/>
  <c r="D137" i="23"/>
  <c r="D138" i="23"/>
  <c r="D139" i="23"/>
  <c r="D140" i="23"/>
  <c r="D141" i="23"/>
  <c r="D142" i="23"/>
  <c r="D143" i="23"/>
  <c r="D144" i="23"/>
  <c r="D145" i="23"/>
  <c r="D146" i="23"/>
  <c r="D147" i="23"/>
  <c r="D148" i="23"/>
  <c r="D149" i="23"/>
  <c r="D150" i="23"/>
  <c r="D151" i="23"/>
  <c r="D152" i="23"/>
  <c r="D153" i="23"/>
  <c r="D154" i="23"/>
  <c r="D155" i="23"/>
  <c r="D156" i="23"/>
  <c r="D157" i="23"/>
  <c r="D158" i="23"/>
  <c r="D159" i="23"/>
  <c r="D160" i="23"/>
  <c r="D161" i="23"/>
  <c r="D162" i="23"/>
  <c r="D163" i="23"/>
  <c r="D164" i="23"/>
  <c r="D165" i="23"/>
  <c r="D166" i="23"/>
  <c r="D167" i="23"/>
  <c r="D168" i="23"/>
  <c r="D169" i="23"/>
  <c r="D170" i="23"/>
  <c r="D171" i="23"/>
  <c r="D172" i="23"/>
  <c r="D173" i="23"/>
  <c r="D174" i="23"/>
  <c r="D175" i="23"/>
  <c r="D176" i="23"/>
  <c r="D177" i="23"/>
  <c r="D178" i="23"/>
  <c r="D179" i="23"/>
  <c r="D180" i="23"/>
  <c r="D181" i="23"/>
  <c r="D182" i="23"/>
  <c r="D183" i="23"/>
  <c r="D184" i="23"/>
  <c r="D185" i="23"/>
  <c r="D186" i="23"/>
  <c r="D187" i="23"/>
  <c r="D188" i="23"/>
  <c r="D189" i="23"/>
  <c r="D190" i="23"/>
  <c r="D191" i="23"/>
  <c r="D192" i="23"/>
  <c r="D193" i="23"/>
  <c r="D194" i="23"/>
  <c r="D195" i="23"/>
  <c r="D196" i="23"/>
  <c r="D197" i="23"/>
  <c r="D198" i="23"/>
  <c r="D199" i="23"/>
  <c r="D200" i="23"/>
  <c r="D201" i="23"/>
  <c r="D202" i="23"/>
  <c r="D203" i="23"/>
  <c r="D204" i="23"/>
  <c r="D205" i="23"/>
  <c r="D206" i="23"/>
  <c r="D207" i="23"/>
  <c r="D208" i="23"/>
  <c r="D209" i="23"/>
  <c r="D210" i="23"/>
  <c r="D211" i="23"/>
  <c r="D11" i="23"/>
  <c r="D10" i="23"/>
  <c r="C12" i="23"/>
  <c r="C13" i="23"/>
  <c r="C14" i="23"/>
  <c r="C15" i="23"/>
  <c r="C16" i="23"/>
  <c r="C17" i="23"/>
  <c r="C18" i="23"/>
  <c r="C19" i="23"/>
  <c r="C20" i="23"/>
  <c r="C21" i="23"/>
  <c r="C22" i="23"/>
  <c r="C23" i="23"/>
  <c r="C24" i="23"/>
  <c r="C25" i="23"/>
  <c r="C26" i="23"/>
  <c r="C27" i="23"/>
  <c r="C28" i="23"/>
  <c r="C29" i="23"/>
  <c r="C30" i="23"/>
  <c r="C31" i="23"/>
  <c r="C32" i="23"/>
  <c r="C33" i="23"/>
  <c r="C34" i="23"/>
  <c r="C35" i="23"/>
  <c r="C36" i="23"/>
  <c r="C37" i="23"/>
  <c r="C38" i="23"/>
  <c r="C39" i="23"/>
  <c r="C40" i="23"/>
  <c r="C41" i="23"/>
  <c r="C42" i="23"/>
  <c r="C43" i="23"/>
  <c r="C44" i="23"/>
  <c r="C45" i="23"/>
  <c r="C46" i="23"/>
  <c r="C47" i="23"/>
  <c r="C48" i="23"/>
  <c r="C49" i="23"/>
  <c r="C50" i="23"/>
  <c r="C51" i="23"/>
  <c r="C52" i="23"/>
  <c r="C53" i="23"/>
  <c r="C54" i="23"/>
  <c r="C55" i="23"/>
  <c r="C56" i="23"/>
  <c r="C57" i="23"/>
  <c r="C58" i="23"/>
  <c r="C59" i="23"/>
  <c r="C60" i="23"/>
  <c r="C61" i="23"/>
  <c r="C62" i="23"/>
  <c r="C63" i="23"/>
  <c r="C64" i="23"/>
  <c r="C65" i="23"/>
  <c r="C66" i="23"/>
  <c r="C67" i="23"/>
  <c r="C68" i="23"/>
  <c r="C69" i="23"/>
  <c r="C70" i="23"/>
  <c r="C71" i="23"/>
  <c r="C72" i="23"/>
  <c r="C73" i="23"/>
  <c r="C74" i="23"/>
  <c r="C75" i="23"/>
  <c r="C76" i="23"/>
  <c r="C77" i="23"/>
  <c r="C78" i="23"/>
  <c r="C79" i="23"/>
  <c r="C80" i="23"/>
  <c r="C81" i="23"/>
  <c r="C82" i="23"/>
  <c r="C83" i="23"/>
  <c r="C84" i="23"/>
  <c r="C85" i="23"/>
  <c r="C86" i="23"/>
  <c r="C87" i="23"/>
  <c r="C88" i="23"/>
  <c r="C89" i="23"/>
  <c r="C90" i="23"/>
  <c r="C91" i="23"/>
  <c r="C92" i="23"/>
  <c r="C93" i="23"/>
  <c r="C94" i="23"/>
  <c r="C95" i="23"/>
  <c r="C96" i="23"/>
  <c r="C97" i="23"/>
  <c r="C98" i="23"/>
  <c r="C99" i="23"/>
  <c r="C100" i="23"/>
  <c r="C101" i="23"/>
  <c r="C102" i="23"/>
  <c r="C103" i="23"/>
  <c r="C104" i="23"/>
  <c r="C105" i="23"/>
  <c r="C106" i="23"/>
  <c r="C107" i="23"/>
  <c r="C108" i="23"/>
  <c r="C109" i="23"/>
  <c r="C110" i="23"/>
  <c r="C111" i="23"/>
  <c r="C112" i="23"/>
  <c r="C113" i="23"/>
  <c r="C114" i="23"/>
  <c r="C115" i="23"/>
  <c r="C116" i="23"/>
  <c r="C117" i="23"/>
  <c r="C118" i="23"/>
  <c r="C119" i="23"/>
  <c r="C120" i="23"/>
  <c r="C121" i="23"/>
  <c r="C122" i="23"/>
  <c r="C123" i="23"/>
  <c r="C124" i="23"/>
  <c r="C125" i="23"/>
  <c r="C126" i="23"/>
  <c r="C127" i="23"/>
  <c r="C128" i="23"/>
  <c r="C129" i="23"/>
  <c r="C130" i="23"/>
  <c r="C131" i="23"/>
  <c r="C132" i="23"/>
  <c r="C133" i="23"/>
  <c r="C134" i="23"/>
  <c r="C135" i="23"/>
  <c r="C136" i="23"/>
  <c r="C137" i="23"/>
  <c r="C138" i="23"/>
  <c r="C139" i="23"/>
  <c r="C140" i="23"/>
  <c r="C141" i="23"/>
  <c r="C142" i="23"/>
  <c r="C143" i="23"/>
  <c r="C144" i="23"/>
  <c r="C145" i="23"/>
  <c r="C146" i="23"/>
  <c r="C147" i="23"/>
  <c r="C148" i="23"/>
  <c r="C149" i="23"/>
  <c r="C150" i="23"/>
  <c r="C151" i="23"/>
  <c r="C152" i="23"/>
  <c r="C153" i="23"/>
  <c r="C154" i="23"/>
  <c r="C155" i="23"/>
  <c r="C156" i="23"/>
  <c r="C157" i="23"/>
  <c r="C158" i="23"/>
  <c r="C159" i="23"/>
  <c r="C160" i="23"/>
  <c r="C161" i="23"/>
  <c r="C162" i="23"/>
  <c r="C163" i="23"/>
  <c r="C164" i="23"/>
  <c r="C165" i="23"/>
  <c r="C166" i="23"/>
  <c r="C167" i="23"/>
  <c r="C168" i="23"/>
  <c r="C169" i="23"/>
  <c r="C170" i="23"/>
  <c r="C171" i="23"/>
  <c r="C172" i="23"/>
  <c r="C173" i="23"/>
  <c r="C174" i="23"/>
  <c r="C175" i="23"/>
  <c r="C176" i="23"/>
  <c r="C177" i="23"/>
  <c r="C178" i="23"/>
  <c r="C179" i="23"/>
  <c r="C180" i="23"/>
  <c r="C181" i="23"/>
  <c r="C182" i="23"/>
  <c r="C183" i="23"/>
  <c r="C184" i="23"/>
  <c r="C185" i="23"/>
  <c r="C186" i="23"/>
  <c r="C187" i="23"/>
  <c r="C188" i="23"/>
  <c r="C189" i="23"/>
  <c r="C190" i="23"/>
  <c r="C191" i="23"/>
  <c r="C192" i="23"/>
  <c r="C193" i="23"/>
  <c r="C194" i="23"/>
  <c r="C195" i="23"/>
  <c r="C196" i="23"/>
  <c r="C197" i="23"/>
  <c r="C198" i="23"/>
  <c r="C199" i="23"/>
  <c r="C200" i="23"/>
  <c r="C201" i="23"/>
  <c r="C202" i="23"/>
  <c r="C203" i="23"/>
  <c r="C204" i="23"/>
  <c r="C205" i="23"/>
  <c r="C206" i="23"/>
  <c r="C207" i="23"/>
  <c r="C208" i="23"/>
  <c r="C209" i="23"/>
  <c r="C210" i="23"/>
  <c r="C211" i="23"/>
  <c r="C11" i="23"/>
  <c r="B12" i="23"/>
  <c r="B13" i="23"/>
  <c r="B14" i="23"/>
  <c r="B15" i="23"/>
  <c r="B16" i="23"/>
  <c r="B17" i="23"/>
  <c r="B18" i="23"/>
  <c r="B19" i="23"/>
  <c r="B20" i="23"/>
  <c r="B21" i="23"/>
  <c r="B22" i="23"/>
  <c r="B23" i="23"/>
  <c r="B24" i="23"/>
  <c r="B25" i="23"/>
  <c r="B26" i="23"/>
  <c r="B27" i="23"/>
  <c r="B28" i="23"/>
  <c r="B29" i="23"/>
  <c r="B30" i="23"/>
  <c r="B31" i="23"/>
  <c r="B32" i="23"/>
  <c r="B33" i="23"/>
  <c r="B34" i="23"/>
  <c r="B35" i="23"/>
  <c r="B36" i="23"/>
  <c r="B37" i="23"/>
  <c r="B38" i="23"/>
  <c r="B39" i="23"/>
  <c r="B40" i="23"/>
  <c r="B41" i="23"/>
  <c r="B42" i="23"/>
  <c r="B43" i="23"/>
  <c r="B44" i="23"/>
  <c r="B45" i="23"/>
  <c r="B46" i="23"/>
  <c r="B47" i="23"/>
  <c r="B48" i="23"/>
  <c r="B49" i="23"/>
  <c r="B50" i="23"/>
  <c r="B51" i="23"/>
  <c r="B52" i="23"/>
  <c r="B53" i="23"/>
  <c r="B54" i="23"/>
  <c r="B55" i="23"/>
  <c r="B56" i="23"/>
  <c r="B57" i="23"/>
  <c r="B58" i="23"/>
  <c r="B59" i="23"/>
  <c r="B60" i="23"/>
  <c r="B61" i="23"/>
  <c r="B62" i="23"/>
  <c r="B63" i="23"/>
  <c r="B64" i="23"/>
  <c r="B65" i="23"/>
  <c r="B66" i="23"/>
  <c r="B67" i="23"/>
  <c r="B68" i="23"/>
  <c r="B69" i="23"/>
  <c r="B70" i="23"/>
  <c r="B71" i="23"/>
  <c r="B72" i="23"/>
  <c r="B73" i="23"/>
  <c r="B74" i="23"/>
  <c r="B75" i="23"/>
  <c r="B76" i="23"/>
  <c r="B77" i="23"/>
  <c r="B78" i="23"/>
  <c r="B79" i="23"/>
  <c r="B80" i="23"/>
  <c r="B81" i="23"/>
  <c r="B82" i="23"/>
  <c r="B83" i="23"/>
  <c r="B84" i="23"/>
  <c r="B85" i="23"/>
  <c r="B86" i="23"/>
  <c r="B87" i="23"/>
  <c r="B88" i="23"/>
  <c r="B89" i="23"/>
  <c r="B90" i="23"/>
  <c r="B91" i="23"/>
  <c r="B92" i="23"/>
  <c r="B93" i="23"/>
  <c r="B94" i="23"/>
  <c r="B95" i="23"/>
  <c r="B96" i="23"/>
  <c r="B97" i="23"/>
  <c r="B98" i="23"/>
  <c r="B99" i="23"/>
  <c r="B100" i="23"/>
  <c r="B101" i="23"/>
  <c r="B102" i="23"/>
  <c r="B103" i="23"/>
  <c r="B104" i="23"/>
  <c r="B105" i="23"/>
  <c r="B106" i="23"/>
  <c r="B107" i="23"/>
  <c r="B108" i="23"/>
  <c r="B109" i="23"/>
  <c r="B110" i="23"/>
  <c r="B111" i="23"/>
  <c r="B112" i="23"/>
  <c r="B113" i="23"/>
  <c r="B114" i="23"/>
  <c r="B115" i="23"/>
  <c r="B116" i="23"/>
  <c r="B117" i="23"/>
  <c r="B118" i="23"/>
  <c r="B119" i="23"/>
  <c r="B120" i="23"/>
  <c r="B121" i="23"/>
  <c r="B122" i="23"/>
  <c r="B123" i="23"/>
  <c r="B124" i="23"/>
  <c r="B125" i="23"/>
  <c r="B126" i="23"/>
  <c r="B127" i="23"/>
  <c r="B128" i="23"/>
  <c r="B129" i="23"/>
  <c r="B130" i="23"/>
  <c r="B131" i="23"/>
  <c r="B132" i="23"/>
  <c r="B133" i="23"/>
  <c r="B134" i="23"/>
  <c r="B135" i="23"/>
  <c r="B136" i="23"/>
  <c r="B137" i="23"/>
  <c r="B138" i="23"/>
  <c r="B139" i="23"/>
  <c r="B140" i="23"/>
  <c r="B141" i="23"/>
  <c r="B142" i="23"/>
  <c r="B143" i="23"/>
  <c r="B144" i="23"/>
  <c r="B145" i="23"/>
  <c r="B146" i="23"/>
  <c r="B147" i="23"/>
  <c r="B148" i="23"/>
  <c r="B149" i="23"/>
  <c r="B150" i="23"/>
  <c r="B151" i="23"/>
  <c r="B152" i="23"/>
  <c r="B153" i="23"/>
  <c r="B154" i="23"/>
  <c r="B155" i="23"/>
  <c r="B156" i="23"/>
  <c r="B157" i="23"/>
  <c r="B158" i="23"/>
  <c r="B159" i="23"/>
  <c r="B160" i="23"/>
  <c r="B161" i="23"/>
  <c r="B162" i="23"/>
  <c r="B163" i="23"/>
  <c r="B164" i="23"/>
  <c r="B165" i="23"/>
  <c r="B166" i="23"/>
  <c r="B167" i="23"/>
  <c r="B168" i="23"/>
  <c r="B169" i="23"/>
  <c r="B170" i="23"/>
  <c r="B171" i="23"/>
  <c r="B172" i="23"/>
  <c r="B173" i="23"/>
  <c r="B174" i="23"/>
  <c r="B175" i="23"/>
  <c r="B176" i="23"/>
  <c r="B177" i="23"/>
  <c r="B178" i="23"/>
  <c r="B179" i="23"/>
  <c r="B180" i="23"/>
  <c r="B181" i="23"/>
  <c r="B182" i="23"/>
  <c r="B183" i="23"/>
  <c r="B184" i="23"/>
  <c r="B185" i="23"/>
  <c r="B186" i="23"/>
  <c r="B187" i="23"/>
  <c r="B188" i="23"/>
  <c r="B189" i="23"/>
  <c r="B190" i="23"/>
  <c r="B191" i="23"/>
  <c r="B192" i="23"/>
  <c r="B193" i="23"/>
  <c r="B194" i="23"/>
  <c r="B195" i="23"/>
  <c r="B196" i="23"/>
  <c r="B197" i="23"/>
  <c r="B198" i="23"/>
  <c r="B199" i="23"/>
  <c r="B200" i="23"/>
  <c r="B201" i="23"/>
  <c r="B202" i="23"/>
  <c r="B203" i="23"/>
  <c r="B204" i="23"/>
  <c r="B205" i="23"/>
  <c r="B206" i="23"/>
  <c r="B207" i="23"/>
  <c r="B208" i="23"/>
  <c r="B209" i="23"/>
  <c r="B210" i="23"/>
  <c r="B211" i="23"/>
  <c r="B11" i="23"/>
  <c r="D8" i="23"/>
  <c r="D7" i="23"/>
  <c r="D6" i="23"/>
  <c r="D5" i="23"/>
  <c r="D4" i="23"/>
  <c r="D3" i="23"/>
  <c r="C10" i="23"/>
  <c r="B10" i="23"/>
  <c r="B119" i="14"/>
  <c r="C119" i="14" s="1"/>
  <c r="B120" i="14"/>
  <c r="C120" i="14" s="1"/>
  <c r="B121" i="14"/>
  <c r="C121" i="14" s="1"/>
  <c r="B122" i="14"/>
  <c r="C122" i="14" s="1"/>
  <c r="B123" i="14"/>
  <c r="C123" i="14" s="1"/>
  <c r="B124" i="14"/>
  <c r="C124" i="14" s="1"/>
  <c r="B125" i="14"/>
  <c r="C125" i="14" s="1"/>
  <c r="B126" i="14"/>
  <c r="C126" i="14" s="1"/>
  <c r="B127" i="14"/>
  <c r="C127" i="14" s="1"/>
  <c r="B128" i="14"/>
  <c r="C128" i="14" s="1"/>
  <c r="B129" i="14"/>
  <c r="C129" i="14" s="1"/>
  <c r="B130" i="14"/>
  <c r="C130" i="14" s="1"/>
  <c r="B131" i="14"/>
  <c r="C131" i="14" s="1"/>
  <c r="B132" i="14"/>
  <c r="C132" i="14" s="1"/>
  <c r="B133" i="14"/>
  <c r="C133" i="14" s="1"/>
  <c r="B134" i="14"/>
  <c r="C134" i="14" s="1"/>
  <c r="B135" i="14"/>
  <c r="C135" i="14" s="1"/>
  <c r="B136" i="14"/>
  <c r="C136" i="14" s="1"/>
  <c r="B137" i="14"/>
  <c r="C137" i="14" s="1"/>
  <c r="B138" i="14"/>
  <c r="C138" i="14" s="1"/>
  <c r="B139" i="14"/>
  <c r="C139" i="14" s="1"/>
  <c r="B140" i="14"/>
  <c r="C140" i="14" s="1"/>
  <c r="B141" i="14"/>
  <c r="C141" i="14" s="1"/>
  <c r="B142" i="14"/>
  <c r="C142" i="14" s="1"/>
  <c r="B143" i="14"/>
  <c r="C143" i="14" s="1"/>
  <c r="B144" i="14"/>
  <c r="C144" i="14" s="1"/>
  <c r="B145" i="14"/>
  <c r="C145" i="14" s="1"/>
  <c r="B146" i="14"/>
  <c r="C146" i="14" s="1"/>
  <c r="B147" i="14"/>
  <c r="C147" i="14" s="1"/>
  <c r="B148" i="14"/>
  <c r="C148" i="14" s="1"/>
  <c r="B149" i="14"/>
  <c r="C149" i="14" s="1"/>
  <c r="B150" i="14"/>
  <c r="C150" i="14" s="1"/>
  <c r="B151" i="14"/>
  <c r="C151" i="14" s="1"/>
  <c r="B152" i="14"/>
  <c r="C152" i="14" s="1"/>
  <c r="B153" i="14"/>
  <c r="C153" i="14" s="1"/>
  <c r="B154" i="14"/>
  <c r="C154" i="14" s="1"/>
  <c r="B155" i="14"/>
  <c r="C155" i="14" s="1"/>
  <c r="B156" i="14"/>
  <c r="C156" i="14" s="1"/>
  <c r="B157" i="14"/>
  <c r="C157" i="14" s="1"/>
  <c r="B158" i="14"/>
  <c r="C158" i="14" s="1"/>
  <c r="B159" i="14"/>
  <c r="C159" i="14" s="1"/>
  <c r="B160" i="14"/>
  <c r="C160" i="14" s="1"/>
  <c r="B161" i="14"/>
  <c r="C161" i="14" s="1"/>
  <c r="B162" i="14"/>
  <c r="C162" i="14" s="1"/>
  <c r="B163" i="14"/>
  <c r="C163" i="14" s="1"/>
  <c r="B164" i="14"/>
  <c r="C164" i="14" s="1"/>
  <c r="B165" i="14"/>
  <c r="C165" i="14" s="1"/>
  <c r="B166" i="14"/>
  <c r="C166" i="14" s="1"/>
  <c r="B167" i="14"/>
  <c r="C167" i="14" s="1"/>
  <c r="B168" i="14"/>
  <c r="C168" i="14" s="1"/>
  <c r="B169" i="14"/>
  <c r="C169" i="14" s="1"/>
  <c r="B170" i="14"/>
  <c r="C170" i="14" s="1"/>
  <c r="B171" i="14"/>
  <c r="C171" i="14" s="1"/>
  <c r="B172" i="14"/>
  <c r="C172" i="14" s="1"/>
  <c r="B173" i="14"/>
  <c r="C173" i="14" s="1"/>
  <c r="B174" i="14"/>
  <c r="C174" i="14" s="1"/>
  <c r="B175" i="14"/>
  <c r="C175" i="14" s="1"/>
  <c r="B176" i="14"/>
  <c r="C176" i="14" s="1"/>
  <c r="B177" i="14"/>
  <c r="C177" i="14" s="1"/>
  <c r="B178" i="14"/>
  <c r="C178" i="14" s="1"/>
  <c r="B179" i="14"/>
  <c r="C179" i="14" s="1"/>
  <c r="B180" i="14"/>
  <c r="C180" i="14" s="1"/>
  <c r="B181" i="14"/>
  <c r="C181" i="14" s="1"/>
  <c r="B182" i="14"/>
  <c r="C182" i="14" s="1"/>
  <c r="B183" i="14"/>
  <c r="C183" i="14" s="1"/>
  <c r="B184" i="14"/>
  <c r="C184" i="14" s="1"/>
  <c r="B185" i="14"/>
  <c r="C185" i="14" s="1"/>
  <c r="B186" i="14"/>
  <c r="C186" i="14" s="1"/>
  <c r="B187" i="14"/>
  <c r="C187" i="14" s="1"/>
  <c r="B188" i="14"/>
  <c r="C188" i="14" s="1"/>
  <c r="B189" i="14"/>
  <c r="C189" i="14" s="1"/>
  <c r="B190" i="14"/>
  <c r="C190" i="14" s="1"/>
  <c r="B191" i="14"/>
  <c r="C191" i="14" s="1"/>
  <c r="B192" i="14"/>
  <c r="C192" i="14" s="1"/>
  <c r="B193" i="14"/>
  <c r="C193" i="14" s="1"/>
  <c r="B194" i="14"/>
  <c r="C194" i="14" s="1"/>
  <c r="B195" i="14"/>
  <c r="C195" i="14" s="1"/>
  <c r="B196" i="14"/>
  <c r="C196" i="14" s="1"/>
  <c r="B197" i="14"/>
  <c r="C197" i="14" s="1"/>
  <c r="B198" i="14"/>
  <c r="C198" i="14" s="1"/>
  <c r="B199" i="14"/>
  <c r="C199" i="14" s="1"/>
  <c r="B200" i="14"/>
  <c r="C200" i="14" s="1"/>
  <c r="B201" i="14"/>
  <c r="C201" i="14" s="1"/>
  <c r="B202" i="14"/>
  <c r="C202" i="14" s="1"/>
  <c r="B203" i="14"/>
  <c r="C203" i="14" s="1"/>
  <c r="B204" i="14"/>
  <c r="C204" i="14" s="1"/>
  <c r="B205" i="14"/>
  <c r="C205" i="14" s="1"/>
  <c r="B206" i="14"/>
  <c r="C206" i="14" s="1"/>
  <c r="B207" i="14"/>
  <c r="C207" i="14" s="1"/>
  <c r="B208" i="14"/>
  <c r="C208" i="14" s="1"/>
  <c r="B209" i="14"/>
  <c r="C209" i="14" s="1"/>
  <c r="B210" i="14"/>
  <c r="C210" i="14" s="1"/>
  <c r="B211" i="14"/>
  <c r="C211" i="14" s="1"/>
  <c r="B212" i="14"/>
  <c r="C212" i="14" s="1"/>
  <c r="B213" i="14"/>
  <c r="C213" i="14" s="1"/>
  <c r="B214" i="14"/>
  <c r="C214" i="14" s="1"/>
  <c r="B215" i="14"/>
  <c r="C215" i="14" s="1"/>
  <c r="B216" i="14"/>
  <c r="C216" i="14" s="1"/>
  <c r="B217" i="14"/>
  <c r="C217" i="14" s="1"/>
  <c r="B212" i="3" l="1"/>
  <c r="D212" i="3" s="1"/>
  <c r="B214" i="3"/>
  <c r="D214" i="3" s="1"/>
  <c r="C152" i="20"/>
  <c r="C148" i="20"/>
  <c r="N5" i="20"/>
  <c r="J6" i="20"/>
  <c r="J7" i="20"/>
  <c r="J8" i="20"/>
  <c r="J9" i="20"/>
  <c r="J10" i="20"/>
  <c r="J11" i="20"/>
  <c r="J12" i="20"/>
  <c r="J13" i="20"/>
  <c r="J5" i="20"/>
  <c r="A3" i="3"/>
  <c r="B10" i="3"/>
  <c r="B111" i="3"/>
  <c r="B112" i="3"/>
  <c r="B113" i="3"/>
  <c r="B114" i="3"/>
  <c r="B115" i="3"/>
  <c r="B116" i="3"/>
  <c r="B117" i="3"/>
  <c r="B118" i="3"/>
  <c r="B119" i="3"/>
  <c r="B120" i="3"/>
  <c r="B121" i="3"/>
  <c r="B122" i="3"/>
  <c r="B123" i="3"/>
  <c r="B124" i="3"/>
  <c r="B125" i="3"/>
  <c r="B126" i="3"/>
  <c r="B127" i="3"/>
  <c r="B128" i="3"/>
  <c r="B129" i="3"/>
  <c r="B130" i="3"/>
  <c r="B131" i="3"/>
  <c r="B132" i="3"/>
  <c r="B133" i="3"/>
  <c r="B134" i="3"/>
  <c r="B135" i="3"/>
  <c r="B136" i="3"/>
  <c r="B137" i="3"/>
  <c r="B138" i="3"/>
  <c r="B139" i="3"/>
  <c r="B140" i="3"/>
  <c r="B141" i="3"/>
  <c r="B142" i="3"/>
  <c r="B143" i="3"/>
  <c r="B144" i="3"/>
  <c r="B145" i="3"/>
  <c r="B146" i="3"/>
  <c r="B147" i="3"/>
  <c r="B148" i="3"/>
  <c r="B149" i="3"/>
  <c r="B150" i="3"/>
  <c r="B151" i="3"/>
  <c r="B152" i="3"/>
  <c r="B153" i="3"/>
  <c r="B154" i="3"/>
  <c r="B155" i="3"/>
  <c r="B156" i="3"/>
  <c r="B157" i="3"/>
  <c r="B158" i="3"/>
  <c r="B159" i="3"/>
  <c r="B160" i="3"/>
  <c r="B161" i="3"/>
  <c r="B162" i="3"/>
  <c r="B163" i="3"/>
  <c r="B164" i="3"/>
  <c r="B165" i="3"/>
  <c r="B166" i="3"/>
  <c r="B167" i="3"/>
  <c r="B168" i="3"/>
  <c r="B169" i="3"/>
  <c r="B170" i="3"/>
  <c r="B171" i="3"/>
  <c r="B172" i="3"/>
  <c r="B173" i="3"/>
  <c r="B174" i="3"/>
  <c r="B175" i="3"/>
  <c r="B176" i="3"/>
  <c r="B177" i="3"/>
  <c r="B178" i="3"/>
  <c r="B179" i="3"/>
  <c r="B180" i="3"/>
  <c r="B181" i="3"/>
  <c r="B182" i="3"/>
  <c r="B183" i="3"/>
  <c r="B184" i="3"/>
  <c r="B185" i="3"/>
  <c r="B186" i="3"/>
  <c r="B187" i="3"/>
  <c r="B188" i="3"/>
  <c r="B189" i="3"/>
  <c r="B190" i="3"/>
  <c r="B191" i="3"/>
  <c r="B192" i="3"/>
  <c r="B193" i="3"/>
  <c r="B194" i="3"/>
  <c r="B195" i="3"/>
  <c r="B196" i="3"/>
  <c r="B197" i="3"/>
  <c r="B198" i="3"/>
  <c r="B199" i="3"/>
  <c r="B200" i="3"/>
  <c r="B201" i="3"/>
  <c r="B202" i="3"/>
  <c r="B203" i="3"/>
  <c r="B204" i="3"/>
  <c r="B205" i="3"/>
  <c r="B206" i="3"/>
  <c r="B207" i="3"/>
  <c r="B208" i="3"/>
  <c r="B209" i="3"/>
  <c r="M5" i="20"/>
  <c r="L5" i="20"/>
  <c r="K5" i="20"/>
  <c r="I5" i="20"/>
  <c r="H5" i="20"/>
  <c r="G5" i="20"/>
  <c r="F5" i="20"/>
  <c r="F2" i="3"/>
  <c r="P2" i="3" s="1"/>
  <c r="C2" i="3"/>
  <c r="A2" i="3"/>
  <c r="B104" i="17"/>
  <c r="B105" i="17"/>
  <c r="B106" i="17"/>
  <c r="B107" i="17"/>
  <c r="B108" i="17"/>
  <c r="B109" i="17"/>
  <c r="B110" i="17"/>
  <c r="B111" i="17"/>
  <c r="B112" i="17"/>
  <c r="B113" i="17"/>
  <c r="B114" i="17"/>
  <c r="B115" i="17"/>
  <c r="B116" i="17"/>
  <c r="B117" i="17"/>
  <c r="B118" i="17"/>
  <c r="B119" i="17"/>
  <c r="B120" i="17"/>
  <c r="B121" i="17"/>
  <c r="B122" i="17"/>
  <c r="B123" i="17"/>
  <c r="B124" i="17"/>
  <c r="B125" i="17"/>
  <c r="B126" i="17"/>
  <c r="B127" i="17"/>
  <c r="B128" i="17"/>
  <c r="B129" i="17"/>
  <c r="B130" i="17"/>
  <c r="B131" i="17"/>
  <c r="B132" i="17"/>
  <c r="B133" i="17"/>
  <c r="B134" i="17"/>
  <c r="B135" i="17"/>
  <c r="B136" i="17"/>
  <c r="B137" i="17"/>
  <c r="B138" i="17"/>
  <c r="B139" i="17"/>
  <c r="B140" i="17"/>
  <c r="B141" i="17"/>
  <c r="B142" i="17"/>
  <c r="B143" i="17"/>
  <c r="B144" i="17"/>
  <c r="B145" i="17"/>
  <c r="B146" i="17"/>
  <c r="B147" i="17"/>
  <c r="B148" i="17"/>
  <c r="B149" i="17"/>
  <c r="B150" i="17"/>
  <c r="B151" i="17"/>
  <c r="B152" i="17"/>
  <c r="B153" i="17"/>
  <c r="B154" i="17"/>
  <c r="B155" i="17"/>
  <c r="B156" i="17"/>
  <c r="B157" i="17"/>
  <c r="B158" i="17"/>
  <c r="B159" i="17"/>
  <c r="B160" i="17"/>
  <c r="B161" i="17"/>
  <c r="B162" i="17"/>
  <c r="B163" i="17"/>
  <c r="B164" i="17"/>
  <c r="B165" i="17"/>
  <c r="B166" i="17"/>
  <c r="B167" i="17"/>
  <c r="B168" i="17"/>
  <c r="B169" i="17"/>
  <c r="B170" i="17"/>
  <c r="B171" i="17"/>
  <c r="B172" i="17"/>
  <c r="B173" i="17"/>
  <c r="B174" i="17"/>
  <c r="B175" i="17"/>
  <c r="B176" i="17"/>
  <c r="B177" i="17"/>
  <c r="B178" i="17"/>
  <c r="B179" i="17"/>
  <c r="B180" i="17"/>
  <c r="B181" i="17"/>
  <c r="B182" i="17"/>
  <c r="B183" i="17"/>
  <c r="B184" i="17"/>
  <c r="B185" i="17"/>
  <c r="B186" i="17"/>
  <c r="B187" i="17"/>
  <c r="B188" i="17"/>
  <c r="B189" i="17"/>
  <c r="B190" i="17"/>
  <c r="B191" i="17"/>
  <c r="B192" i="17"/>
  <c r="B193" i="17"/>
  <c r="B194" i="17"/>
  <c r="B195" i="17"/>
  <c r="B196" i="17"/>
  <c r="B197" i="17"/>
  <c r="B198" i="17"/>
  <c r="B199" i="17"/>
  <c r="B200" i="17"/>
  <c r="B201" i="17"/>
  <c r="B202" i="17"/>
  <c r="B2" i="17"/>
  <c r="B3" i="17"/>
  <c r="B213" i="5"/>
  <c r="B211" i="5"/>
  <c r="B110" i="5"/>
  <c r="B111" i="5"/>
  <c r="B112" i="5"/>
  <c r="B113" i="5"/>
  <c r="B114" i="5"/>
  <c r="B115" i="5"/>
  <c r="B116" i="5"/>
  <c r="B117" i="5"/>
  <c r="B118" i="5"/>
  <c r="B119" i="5"/>
  <c r="B120" i="5"/>
  <c r="B121" i="5"/>
  <c r="B122" i="5"/>
  <c r="B123" i="5"/>
  <c r="B124" i="5"/>
  <c r="B125" i="5"/>
  <c r="B126" i="5"/>
  <c r="B127" i="5"/>
  <c r="B128" i="5"/>
  <c r="B129" i="5"/>
  <c r="B130" i="5"/>
  <c r="B131" i="5"/>
  <c r="B132" i="5"/>
  <c r="B133" i="5"/>
  <c r="B134" i="5"/>
  <c r="B135" i="5"/>
  <c r="B136" i="5"/>
  <c r="B137" i="5"/>
  <c r="B138" i="5"/>
  <c r="B139" i="5"/>
  <c r="B140" i="5"/>
  <c r="B141" i="5"/>
  <c r="B142" i="5"/>
  <c r="B143" i="5"/>
  <c r="B144" i="5"/>
  <c r="B145" i="5"/>
  <c r="B146" i="5"/>
  <c r="B147" i="5"/>
  <c r="B148" i="5"/>
  <c r="B149" i="5"/>
  <c r="B150" i="5"/>
  <c r="B151" i="5"/>
  <c r="B152" i="5"/>
  <c r="B153" i="5"/>
  <c r="B154" i="5"/>
  <c r="B155" i="5"/>
  <c r="B156" i="5"/>
  <c r="B157" i="5"/>
  <c r="B158" i="5"/>
  <c r="B159" i="5"/>
  <c r="B160" i="5"/>
  <c r="B161" i="5"/>
  <c r="B162" i="5"/>
  <c r="B163" i="5"/>
  <c r="B164" i="5"/>
  <c r="B165" i="5"/>
  <c r="B166" i="5"/>
  <c r="B167" i="5"/>
  <c r="B168" i="5"/>
  <c r="B169" i="5"/>
  <c r="B170" i="5"/>
  <c r="B171" i="5"/>
  <c r="B172" i="5"/>
  <c r="B173" i="5"/>
  <c r="B174" i="5"/>
  <c r="B175" i="5"/>
  <c r="B176" i="5"/>
  <c r="B177" i="5"/>
  <c r="B178" i="5"/>
  <c r="B179" i="5"/>
  <c r="B180" i="5"/>
  <c r="B181" i="5"/>
  <c r="B182" i="5"/>
  <c r="B183" i="5"/>
  <c r="B184" i="5"/>
  <c r="B185" i="5"/>
  <c r="B186" i="5"/>
  <c r="B187" i="5"/>
  <c r="B188" i="5"/>
  <c r="B189" i="5"/>
  <c r="B190" i="5"/>
  <c r="B191" i="5"/>
  <c r="B192" i="5"/>
  <c r="B193" i="5"/>
  <c r="B194" i="5"/>
  <c r="B195" i="5"/>
  <c r="B196" i="5"/>
  <c r="B197" i="5"/>
  <c r="B198" i="5"/>
  <c r="B199" i="5"/>
  <c r="B200" i="5"/>
  <c r="B201" i="5"/>
  <c r="B202" i="5"/>
  <c r="B203" i="5"/>
  <c r="B204" i="5"/>
  <c r="B205" i="5"/>
  <c r="B206" i="5"/>
  <c r="B207" i="5"/>
  <c r="B208" i="5"/>
  <c r="B10" i="5"/>
  <c r="B11" i="5"/>
  <c r="B12" i="5"/>
  <c r="B13" i="5"/>
  <c r="B14" i="5"/>
  <c r="B15" i="5"/>
  <c r="B16" i="5"/>
  <c r="B17" i="5"/>
  <c r="B18" i="5"/>
  <c r="B19" i="5"/>
  <c r="B20" i="5"/>
  <c r="B21" i="5"/>
  <c r="B22" i="5"/>
  <c r="B23" i="5"/>
  <c r="B24" i="5"/>
  <c r="B25" i="5"/>
  <c r="B26" i="5"/>
  <c r="B27" i="5"/>
  <c r="B28" i="5"/>
  <c r="B29" i="5"/>
  <c r="B30" i="5"/>
  <c r="B31" i="5"/>
  <c r="B32" i="5"/>
  <c r="B33" i="5"/>
  <c r="B34" i="5"/>
  <c r="B35" i="5"/>
  <c r="B36" i="5"/>
  <c r="B37" i="5"/>
  <c r="B38" i="5"/>
  <c r="B39" i="5"/>
  <c r="B40" i="5"/>
  <c r="B41" i="5"/>
  <c r="B42" i="5"/>
  <c r="B43" i="5"/>
  <c r="B44" i="5"/>
  <c r="B45" i="5"/>
  <c r="B46" i="5"/>
  <c r="B47" i="5"/>
  <c r="B48" i="5"/>
  <c r="B49" i="5"/>
  <c r="B50" i="5"/>
  <c r="B51" i="5"/>
  <c r="B52" i="5"/>
  <c r="B53" i="5"/>
  <c r="B54" i="5"/>
  <c r="B55" i="5"/>
  <c r="B56" i="5"/>
  <c r="B57" i="5"/>
  <c r="B58" i="5"/>
  <c r="B59" i="5"/>
  <c r="B60" i="5"/>
  <c r="B61" i="5"/>
  <c r="B62" i="5"/>
  <c r="B63" i="5"/>
  <c r="B64" i="5"/>
  <c r="B65" i="5"/>
  <c r="B66" i="5"/>
  <c r="B67" i="5"/>
  <c r="B68" i="5"/>
  <c r="B69" i="5"/>
  <c r="B70" i="5"/>
  <c r="B71" i="5"/>
  <c r="B72" i="5"/>
  <c r="B73" i="5"/>
  <c r="B74" i="5"/>
  <c r="B75" i="5"/>
  <c r="B76" i="5"/>
  <c r="B77" i="5"/>
  <c r="B78" i="5"/>
  <c r="B79" i="5"/>
  <c r="B80" i="5"/>
  <c r="B81" i="5"/>
  <c r="B82" i="5"/>
  <c r="B83" i="5"/>
  <c r="B84" i="5"/>
  <c r="B85" i="5"/>
  <c r="B86" i="5"/>
  <c r="B87" i="5"/>
  <c r="B88" i="5"/>
  <c r="B89" i="5"/>
  <c r="B90" i="5"/>
  <c r="B91" i="5"/>
  <c r="B92" i="5"/>
  <c r="B93" i="5"/>
  <c r="B94" i="5"/>
  <c r="B95" i="5"/>
  <c r="B96" i="5"/>
  <c r="B97" i="5"/>
  <c r="B98" i="5"/>
  <c r="B99" i="5"/>
  <c r="B100" i="5"/>
  <c r="B101" i="5"/>
  <c r="B102" i="5"/>
  <c r="B103" i="5"/>
  <c r="B104" i="5"/>
  <c r="B105" i="5"/>
  <c r="B106" i="5"/>
  <c r="B107" i="5"/>
  <c r="B108" i="5"/>
  <c r="B109" i="5"/>
  <c r="B9" i="5"/>
  <c r="E5" i="20"/>
  <c r="F2" i="5"/>
  <c r="E2" i="5"/>
  <c r="D2" i="5"/>
  <c r="C2" i="5"/>
  <c r="A2" i="5"/>
  <c r="D211" i="6"/>
  <c r="E4" i="3" l="1"/>
  <c r="D4" i="3"/>
  <c r="M2" i="3"/>
  <c r="I211" i="6"/>
  <c r="I209" i="6"/>
  <c r="G2" i="5"/>
  <c r="B2" i="6" l="1"/>
  <c r="D108" i="6"/>
  <c r="D109" i="6"/>
  <c r="D110" i="6"/>
  <c r="D111" i="6"/>
  <c r="D112" i="6"/>
  <c r="D113" i="6"/>
  <c r="D114" i="6"/>
  <c r="D115" i="6"/>
  <c r="D116" i="6"/>
  <c r="D117" i="6"/>
  <c r="D118" i="6"/>
  <c r="D119" i="6"/>
  <c r="D120" i="6"/>
  <c r="D121" i="6"/>
  <c r="D122" i="6"/>
  <c r="D123" i="6"/>
  <c r="D124" i="6"/>
  <c r="D125" i="6"/>
  <c r="D126" i="6"/>
  <c r="D127" i="6"/>
  <c r="D128" i="6"/>
  <c r="D129" i="6"/>
  <c r="D130" i="6"/>
  <c r="D131" i="6"/>
  <c r="D132" i="6"/>
  <c r="D133" i="6"/>
  <c r="D134" i="6"/>
  <c r="D135" i="6"/>
  <c r="D136" i="6"/>
  <c r="D137" i="6"/>
  <c r="D138" i="6"/>
  <c r="D139" i="6"/>
  <c r="D140" i="6"/>
  <c r="D141" i="6"/>
  <c r="D142" i="6"/>
  <c r="D143" i="6"/>
  <c r="D144" i="6"/>
  <c r="D145" i="6"/>
  <c r="D146" i="6"/>
  <c r="D147" i="6"/>
  <c r="D148" i="6"/>
  <c r="D149" i="6"/>
  <c r="D150" i="6"/>
  <c r="D151" i="6"/>
  <c r="D152" i="6"/>
  <c r="D153" i="6"/>
  <c r="D154" i="6"/>
  <c r="D155" i="6"/>
  <c r="D156" i="6"/>
  <c r="D157" i="6"/>
  <c r="D158" i="6"/>
  <c r="D159" i="6"/>
  <c r="D160" i="6"/>
  <c r="D161" i="6"/>
  <c r="D162" i="6"/>
  <c r="D163" i="6"/>
  <c r="D164" i="6"/>
  <c r="D165" i="6"/>
  <c r="D166" i="6"/>
  <c r="D167" i="6"/>
  <c r="D168" i="6"/>
  <c r="D169" i="6"/>
  <c r="D170" i="6"/>
  <c r="D171" i="6"/>
  <c r="D172" i="6"/>
  <c r="D173" i="6"/>
  <c r="D174" i="6"/>
  <c r="D175" i="6"/>
  <c r="D176" i="6"/>
  <c r="D177" i="6"/>
  <c r="D178" i="6"/>
  <c r="D179" i="6"/>
  <c r="D180" i="6"/>
  <c r="D181" i="6"/>
  <c r="D182" i="6"/>
  <c r="D183" i="6"/>
  <c r="D184" i="6"/>
  <c r="D185" i="6"/>
  <c r="D186" i="6"/>
  <c r="D187" i="6"/>
  <c r="D188" i="6"/>
  <c r="D189" i="6"/>
  <c r="D190" i="6"/>
  <c r="D191" i="6"/>
  <c r="D192" i="6"/>
  <c r="D193" i="6"/>
  <c r="D194" i="6"/>
  <c r="D195" i="6"/>
  <c r="D196" i="6"/>
  <c r="D197" i="6"/>
  <c r="D198" i="6"/>
  <c r="D199" i="6"/>
  <c r="D200" i="6"/>
  <c r="D201" i="6"/>
  <c r="D202" i="6"/>
  <c r="D203" i="6"/>
  <c r="D204" i="6"/>
  <c r="D205" i="6"/>
  <c r="D206" i="6"/>
  <c r="D7" i="6"/>
  <c r="B107" i="2"/>
  <c r="B108" i="2"/>
  <c r="B109" i="2"/>
  <c r="B110" i="2"/>
  <c r="B111" i="2"/>
  <c r="B112" i="2"/>
  <c r="B113" i="2"/>
  <c r="B114" i="2"/>
  <c r="B115" i="2"/>
  <c r="B116" i="2"/>
  <c r="B117" i="2"/>
  <c r="B118" i="2"/>
  <c r="B119" i="2"/>
  <c r="B120" i="2"/>
  <c r="B121" i="2"/>
  <c r="B122" i="2"/>
  <c r="B123" i="2"/>
  <c r="B124" i="2"/>
  <c r="B125" i="2"/>
  <c r="B126" i="2"/>
  <c r="B127" i="2"/>
  <c r="B128" i="2"/>
  <c r="B129" i="2"/>
  <c r="B130" i="2"/>
  <c r="B131" i="2"/>
  <c r="B132" i="2"/>
  <c r="B133" i="2"/>
  <c r="B134" i="2"/>
  <c r="B135" i="2"/>
  <c r="B136" i="2"/>
  <c r="B137" i="2"/>
  <c r="B138" i="2"/>
  <c r="B139" i="2"/>
  <c r="B140" i="2"/>
  <c r="B141" i="2"/>
  <c r="B142" i="2"/>
  <c r="B143" i="2"/>
  <c r="B144" i="2"/>
  <c r="B145" i="2"/>
  <c r="B146" i="2"/>
  <c r="B147" i="2"/>
  <c r="B148" i="2"/>
  <c r="B149" i="2"/>
  <c r="B150" i="2"/>
  <c r="B151" i="2"/>
  <c r="B152" i="2"/>
  <c r="B153" i="2"/>
  <c r="B154" i="2"/>
  <c r="B155" i="2"/>
  <c r="B156" i="2"/>
  <c r="B157" i="2"/>
  <c r="B158" i="2"/>
  <c r="B159" i="2"/>
  <c r="B160" i="2"/>
  <c r="B161" i="2"/>
  <c r="B162" i="2"/>
  <c r="B163" i="2"/>
  <c r="B164" i="2"/>
  <c r="B165" i="2"/>
  <c r="B166" i="2"/>
  <c r="B167" i="2"/>
  <c r="B168" i="2"/>
  <c r="B169" i="2"/>
  <c r="B170" i="2"/>
  <c r="B171" i="2"/>
  <c r="B172" i="2"/>
  <c r="B173" i="2"/>
  <c r="B174" i="2"/>
  <c r="B175" i="2"/>
  <c r="B176" i="2"/>
  <c r="B177" i="2"/>
  <c r="B178" i="2"/>
  <c r="B179" i="2"/>
  <c r="B180" i="2"/>
  <c r="B181" i="2"/>
  <c r="B182" i="2"/>
  <c r="B183" i="2"/>
  <c r="B184" i="2"/>
  <c r="B185" i="2"/>
  <c r="B186" i="2"/>
  <c r="B187" i="2"/>
  <c r="B188" i="2"/>
  <c r="B189" i="2"/>
  <c r="B190" i="2"/>
  <c r="B191" i="2"/>
  <c r="B192" i="2"/>
  <c r="B193" i="2"/>
  <c r="B194" i="2"/>
  <c r="B195" i="2"/>
  <c r="B196" i="2"/>
  <c r="B197" i="2"/>
  <c r="B198" i="2"/>
  <c r="B199" i="2"/>
  <c r="B200" i="2"/>
  <c r="B201" i="2"/>
  <c r="B202" i="2"/>
  <c r="B203" i="2"/>
  <c r="B204" i="2"/>
  <c r="B205" i="2"/>
  <c r="B8" i="2"/>
  <c r="B9" i="2"/>
  <c r="B10" i="2"/>
  <c r="B11" i="2"/>
  <c r="B12" i="2"/>
  <c r="B13" i="2"/>
  <c r="B14" i="2"/>
  <c r="B15" i="2"/>
  <c r="B16" i="2"/>
  <c r="B17" i="2"/>
  <c r="B18" i="2"/>
  <c r="B19" i="2"/>
  <c r="B20" i="2"/>
  <c r="B21" i="2"/>
  <c r="B22" i="2"/>
  <c r="B23" i="2"/>
  <c r="B24" i="2"/>
  <c r="B25" i="2"/>
  <c r="B26" i="2"/>
  <c r="B27" i="2"/>
  <c r="B28" i="2"/>
  <c r="B29" i="2"/>
  <c r="B30" i="2"/>
  <c r="B31" i="2"/>
  <c r="B32" i="2"/>
  <c r="B33" i="2"/>
  <c r="B34" i="2"/>
  <c r="B35" i="2"/>
  <c r="B36" i="2"/>
  <c r="B37" i="2"/>
  <c r="B38" i="2"/>
  <c r="B39" i="2"/>
  <c r="B40" i="2"/>
  <c r="B41" i="2"/>
  <c r="B42" i="2"/>
  <c r="B43" i="2"/>
  <c r="B44" i="2"/>
  <c r="B45" i="2"/>
  <c r="B46" i="2"/>
  <c r="B47" i="2"/>
  <c r="B48" i="2"/>
  <c r="B49" i="2"/>
  <c r="B50" i="2"/>
  <c r="B51" i="2"/>
  <c r="B52" i="2"/>
  <c r="B53" i="2"/>
  <c r="B54" i="2"/>
  <c r="B55" i="2"/>
  <c r="B56" i="2"/>
  <c r="B57" i="2"/>
  <c r="B58" i="2"/>
  <c r="B59" i="2"/>
  <c r="B60" i="2"/>
  <c r="B61" i="2"/>
  <c r="B62" i="2"/>
  <c r="B63" i="2"/>
  <c r="B64" i="2"/>
  <c r="B65" i="2"/>
  <c r="B66" i="2"/>
  <c r="B67" i="2"/>
  <c r="B68" i="2"/>
  <c r="B69" i="2"/>
  <c r="B70" i="2"/>
  <c r="B71" i="2"/>
  <c r="B72" i="2"/>
  <c r="B73" i="2"/>
  <c r="B74" i="2"/>
  <c r="B75" i="2"/>
  <c r="B76" i="2"/>
  <c r="B77" i="2"/>
  <c r="B78" i="2"/>
  <c r="B79" i="2"/>
  <c r="B80" i="2"/>
  <c r="B81" i="2"/>
  <c r="B82" i="2"/>
  <c r="B83" i="2"/>
  <c r="B84" i="2"/>
  <c r="B85" i="2"/>
  <c r="B86" i="2"/>
  <c r="B87" i="2"/>
  <c r="B88" i="2"/>
  <c r="B89" i="2"/>
  <c r="B90" i="2"/>
  <c r="B91" i="2"/>
  <c r="B92" i="2"/>
  <c r="B93" i="2"/>
  <c r="B94" i="2"/>
  <c r="B95" i="2"/>
  <c r="B96" i="2"/>
  <c r="B97" i="2"/>
  <c r="B98" i="2"/>
  <c r="B99" i="2"/>
  <c r="B100" i="2"/>
  <c r="B101" i="2"/>
  <c r="B102" i="2"/>
  <c r="B103" i="2"/>
  <c r="B104" i="2"/>
  <c r="B105" i="2"/>
  <c r="B106" i="2"/>
  <c r="B6" i="2"/>
  <c r="B210" i="2"/>
  <c r="A210" i="2" s="1"/>
  <c r="B208" i="2"/>
  <c r="A208" i="2" s="1"/>
  <c r="E5" i="2"/>
  <c r="H2" i="17" s="1"/>
  <c r="G24" i="25"/>
  <c r="G23" i="25"/>
  <c r="G22" i="25"/>
  <c r="G21" i="25"/>
  <c r="G20" i="25"/>
  <c r="G19" i="25"/>
  <c r="G18" i="25"/>
  <c r="G17" i="25"/>
  <c r="E2" i="2"/>
  <c r="D2" i="2"/>
  <c r="C2" i="2"/>
  <c r="A2" i="2"/>
  <c r="B18" i="14"/>
  <c r="C18" i="14" s="1"/>
  <c r="N7" i="14"/>
  <c r="D2" i="14"/>
  <c r="B13" i="14" s="1"/>
  <c r="C2" i="14"/>
  <c r="A2" i="14"/>
  <c r="B210" i="13"/>
  <c r="D210" i="13" s="1"/>
  <c r="B208" i="13"/>
  <c r="G2" i="2" l="1"/>
  <c r="K2" i="2"/>
  <c r="J2" i="2"/>
  <c r="I2" i="2"/>
  <c r="H2" i="2"/>
  <c r="F2" i="2"/>
  <c r="C11" i="14"/>
  <c r="C5" i="14"/>
  <c r="C13" i="14"/>
  <c r="C6" i="14"/>
  <c r="C7" i="14"/>
  <c r="C4" i="14"/>
  <c r="C8" i="14"/>
  <c r="C9" i="14"/>
  <c r="C10" i="14"/>
  <c r="P208" i="13"/>
  <c r="D208" i="13"/>
  <c r="P210" i="13"/>
  <c r="I126" i="6"/>
  <c r="I205" i="6"/>
  <c r="I124" i="6"/>
  <c r="I183" i="6"/>
  <c r="I122" i="6"/>
  <c r="I181" i="6"/>
  <c r="I120" i="6"/>
  <c r="I179" i="6"/>
  <c r="I138" i="6"/>
  <c r="I197" i="6"/>
  <c r="I136" i="6"/>
  <c r="I194" i="6"/>
  <c r="I174" i="6"/>
  <c r="I154" i="6"/>
  <c r="I134" i="6"/>
  <c r="I114" i="6"/>
  <c r="I165" i="6"/>
  <c r="I143" i="6"/>
  <c r="I201" i="6"/>
  <c r="I139" i="6"/>
  <c r="I157" i="6"/>
  <c r="I135" i="6"/>
  <c r="I193" i="6"/>
  <c r="I173" i="6"/>
  <c r="I153" i="6"/>
  <c r="I133" i="6"/>
  <c r="I113" i="6"/>
  <c r="I185" i="6"/>
  <c r="I184" i="6"/>
  <c r="I142" i="6"/>
  <c r="I140" i="6"/>
  <c r="I158" i="6"/>
  <c r="I156" i="6"/>
  <c r="I155" i="6"/>
  <c r="I192" i="6"/>
  <c r="I172" i="6"/>
  <c r="I152" i="6"/>
  <c r="I132" i="6"/>
  <c r="I112" i="6"/>
  <c r="I186" i="6"/>
  <c r="I204" i="6"/>
  <c r="I182" i="6"/>
  <c r="I160" i="6"/>
  <c r="I178" i="6"/>
  <c r="I177" i="6"/>
  <c r="I115" i="6"/>
  <c r="I191" i="6"/>
  <c r="I171" i="6"/>
  <c r="I151" i="6"/>
  <c r="I131" i="6"/>
  <c r="I111" i="6"/>
  <c r="I110" i="6"/>
  <c r="I146" i="6"/>
  <c r="I144" i="6"/>
  <c r="I203" i="6"/>
  <c r="I202" i="6"/>
  <c r="I141" i="6"/>
  <c r="I180" i="6"/>
  <c r="I159" i="6"/>
  <c r="I118" i="6"/>
  <c r="I116" i="6"/>
  <c r="I130" i="6"/>
  <c r="I189" i="6"/>
  <c r="I169" i="6"/>
  <c r="I149" i="6"/>
  <c r="I129" i="6"/>
  <c r="I109" i="6"/>
  <c r="I206" i="6"/>
  <c r="I125" i="6"/>
  <c r="I164" i="6"/>
  <c r="I163" i="6"/>
  <c r="I162" i="6"/>
  <c r="I121" i="6"/>
  <c r="I119" i="6"/>
  <c r="I117" i="6"/>
  <c r="I196" i="6"/>
  <c r="I195" i="6"/>
  <c r="I190" i="6"/>
  <c r="I170" i="6"/>
  <c r="I188" i="6"/>
  <c r="I168" i="6"/>
  <c r="I148" i="6"/>
  <c r="I128" i="6"/>
  <c r="I108" i="6"/>
  <c r="I166" i="6"/>
  <c r="I145" i="6"/>
  <c r="I123" i="6"/>
  <c r="I161" i="6"/>
  <c r="I200" i="6"/>
  <c r="I199" i="6"/>
  <c r="I198" i="6"/>
  <c r="I137" i="6"/>
  <c r="I176" i="6"/>
  <c r="I175" i="6"/>
  <c r="I150" i="6"/>
  <c r="I7" i="6"/>
  <c r="I187" i="6"/>
  <c r="I167" i="6"/>
  <c r="I147" i="6"/>
  <c r="I127" i="6"/>
  <c r="C208" i="2" l="1"/>
  <c r="G208" i="2" s="1"/>
  <c r="C7" i="2"/>
  <c r="D7" i="2" s="1"/>
  <c r="C9" i="2"/>
  <c r="D9" i="2" s="1"/>
  <c r="C43" i="2"/>
  <c r="D43" i="2" s="1"/>
  <c r="C40" i="2"/>
  <c r="D40" i="2" s="1"/>
  <c r="C12" i="14"/>
  <c r="C210" i="2"/>
  <c r="C153" i="2"/>
  <c r="D153" i="2" s="1"/>
  <c r="C173" i="2"/>
  <c r="D173" i="2" s="1"/>
  <c r="C193" i="2"/>
  <c r="D193" i="2" s="1"/>
  <c r="C108" i="2"/>
  <c r="D108" i="2" s="1"/>
  <c r="C128" i="2"/>
  <c r="D128" i="2" s="1"/>
  <c r="C86" i="2"/>
  <c r="D86" i="2" s="1"/>
  <c r="C56" i="2"/>
  <c r="D56" i="2" s="1"/>
  <c r="C35" i="2"/>
  <c r="D35" i="2" s="1"/>
  <c r="C10" i="2"/>
  <c r="D10" i="2" s="1"/>
  <c r="C30" i="2"/>
  <c r="D30" i="2" s="1"/>
  <c r="C156" i="2"/>
  <c r="D156" i="2" s="1"/>
  <c r="C176" i="2"/>
  <c r="D176" i="2" s="1"/>
  <c r="C196" i="2"/>
  <c r="D196" i="2" s="1"/>
  <c r="C111" i="2"/>
  <c r="D111" i="2" s="1"/>
  <c r="C131" i="2"/>
  <c r="D131" i="2" s="1"/>
  <c r="C89" i="2"/>
  <c r="D89" i="2" s="1"/>
  <c r="C59" i="2"/>
  <c r="D59" i="2" s="1"/>
  <c r="C38" i="2"/>
  <c r="D38" i="2" s="1"/>
  <c r="C13" i="2"/>
  <c r="D13" i="2" s="1"/>
  <c r="C8" i="2"/>
  <c r="D8" i="2" s="1"/>
  <c r="C154" i="2"/>
  <c r="D154" i="2" s="1"/>
  <c r="C174" i="2"/>
  <c r="D174" i="2" s="1"/>
  <c r="C194" i="2"/>
  <c r="D194" i="2" s="1"/>
  <c r="C109" i="2"/>
  <c r="D109" i="2" s="1"/>
  <c r="C129" i="2"/>
  <c r="D129" i="2" s="1"/>
  <c r="C87" i="2"/>
  <c r="D87" i="2" s="1"/>
  <c r="C57" i="2"/>
  <c r="D57" i="2" s="1"/>
  <c r="C36" i="2"/>
  <c r="D36" i="2" s="1"/>
  <c r="C11" i="2"/>
  <c r="D11" i="2" s="1"/>
  <c r="C31" i="2"/>
  <c r="D31" i="2" s="1"/>
  <c r="C155" i="2"/>
  <c r="D155" i="2" s="1"/>
  <c r="C175" i="2"/>
  <c r="D175" i="2" s="1"/>
  <c r="C195" i="2"/>
  <c r="D195" i="2" s="1"/>
  <c r="C110" i="2"/>
  <c r="D110" i="2" s="1"/>
  <c r="C130" i="2"/>
  <c r="D130" i="2" s="1"/>
  <c r="C88" i="2"/>
  <c r="D88" i="2" s="1"/>
  <c r="C58" i="2"/>
  <c r="D58" i="2" s="1"/>
  <c r="C37" i="2"/>
  <c r="D37" i="2" s="1"/>
  <c r="C12" i="2"/>
  <c r="D12" i="2" s="1"/>
  <c r="C157" i="2"/>
  <c r="D157" i="2" s="1"/>
  <c r="C177" i="2"/>
  <c r="D177" i="2" s="1"/>
  <c r="C197" i="2"/>
  <c r="D197" i="2" s="1"/>
  <c r="C112" i="2"/>
  <c r="D112" i="2" s="1"/>
  <c r="C132" i="2"/>
  <c r="D132" i="2" s="1"/>
  <c r="C90" i="2"/>
  <c r="D90" i="2" s="1"/>
  <c r="C60" i="2"/>
  <c r="D60" i="2" s="1"/>
  <c r="C39" i="2"/>
  <c r="D39" i="2" s="1"/>
  <c r="C14" i="2"/>
  <c r="D14" i="2" s="1"/>
  <c r="C139" i="2"/>
  <c r="D139" i="2" s="1"/>
  <c r="C159" i="2"/>
  <c r="D159" i="2" s="1"/>
  <c r="C179" i="2"/>
  <c r="D179" i="2" s="1"/>
  <c r="C199" i="2"/>
  <c r="D199" i="2" s="1"/>
  <c r="C114" i="2"/>
  <c r="D114" i="2" s="1"/>
  <c r="C134" i="2"/>
  <c r="D134" i="2" s="1"/>
  <c r="C92" i="2"/>
  <c r="D92" i="2" s="1"/>
  <c r="C62" i="2"/>
  <c r="D62" i="2" s="1"/>
  <c r="C41" i="2"/>
  <c r="D41" i="2" s="1"/>
  <c r="C16" i="2"/>
  <c r="D16" i="2" s="1"/>
  <c r="C140" i="2"/>
  <c r="D140" i="2" s="1"/>
  <c r="C160" i="2"/>
  <c r="D160" i="2" s="1"/>
  <c r="C180" i="2"/>
  <c r="D180" i="2" s="1"/>
  <c r="C200" i="2"/>
  <c r="D200" i="2" s="1"/>
  <c r="C115" i="2"/>
  <c r="D115" i="2" s="1"/>
  <c r="C73" i="2"/>
  <c r="D73" i="2" s="1"/>
  <c r="C93" i="2"/>
  <c r="D93" i="2" s="1"/>
  <c r="C63" i="2"/>
  <c r="D63" i="2" s="1"/>
  <c r="C42" i="2"/>
  <c r="D42" i="2" s="1"/>
  <c r="C17" i="2"/>
  <c r="D17" i="2" s="1"/>
  <c r="C141" i="2"/>
  <c r="D141" i="2" s="1"/>
  <c r="C161" i="2"/>
  <c r="D161" i="2" s="1"/>
  <c r="C181" i="2"/>
  <c r="D181" i="2" s="1"/>
  <c r="C201" i="2"/>
  <c r="D201" i="2" s="1"/>
  <c r="C116" i="2"/>
  <c r="D116" i="2" s="1"/>
  <c r="C74" i="2"/>
  <c r="D74" i="2" s="1"/>
  <c r="C94" i="2"/>
  <c r="D94" i="2" s="1"/>
  <c r="C64" i="2"/>
  <c r="D64" i="2" s="1"/>
  <c r="C18" i="2"/>
  <c r="D18" i="2" s="1"/>
  <c r="C142" i="2"/>
  <c r="D142" i="2" s="1"/>
  <c r="C162" i="2"/>
  <c r="D162" i="2" s="1"/>
  <c r="C182" i="2"/>
  <c r="D182" i="2" s="1"/>
  <c r="C202" i="2"/>
  <c r="D202" i="2" s="1"/>
  <c r="C117" i="2"/>
  <c r="D117" i="2" s="1"/>
  <c r="C75" i="2"/>
  <c r="D75" i="2" s="1"/>
  <c r="C95" i="2"/>
  <c r="D95" i="2" s="1"/>
  <c r="C65" i="2"/>
  <c r="D65" i="2" s="1"/>
  <c r="C44" i="2"/>
  <c r="D44" i="2" s="1"/>
  <c r="C19" i="2"/>
  <c r="D19" i="2" s="1"/>
  <c r="C143" i="2"/>
  <c r="D143" i="2" s="1"/>
  <c r="C163" i="2"/>
  <c r="D163" i="2" s="1"/>
  <c r="C183" i="2"/>
  <c r="D183" i="2" s="1"/>
  <c r="C203" i="2"/>
  <c r="D203" i="2" s="1"/>
  <c r="C118" i="2"/>
  <c r="D118" i="2" s="1"/>
  <c r="C76" i="2"/>
  <c r="D76" i="2" s="1"/>
  <c r="C96" i="2"/>
  <c r="D96" i="2" s="1"/>
  <c r="C66" i="2"/>
  <c r="D66" i="2" s="1"/>
  <c r="C45" i="2"/>
  <c r="D45" i="2" s="1"/>
  <c r="C20" i="2"/>
  <c r="D20" i="2" s="1"/>
  <c r="C144" i="2"/>
  <c r="D144" i="2" s="1"/>
  <c r="C164" i="2"/>
  <c r="D164" i="2" s="1"/>
  <c r="C184" i="2"/>
  <c r="D184" i="2" s="1"/>
  <c r="C204" i="2"/>
  <c r="D204" i="2" s="1"/>
  <c r="C119" i="2"/>
  <c r="D119" i="2" s="1"/>
  <c r="C77" i="2"/>
  <c r="D77" i="2" s="1"/>
  <c r="C97" i="2"/>
  <c r="D97" i="2" s="1"/>
  <c r="C67" i="2"/>
  <c r="D67" i="2" s="1"/>
  <c r="C46" i="2"/>
  <c r="D46" i="2" s="1"/>
  <c r="C21" i="2"/>
  <c r="D21" i="2" s="1"/>
  <c r="C145" i="2"/>
  <c r="D145" i="2" s="1"/>
  <c r="C165" i="2"/>
  <c r="D165" i="2" s="1"/>
  <c r="C185" i="2"/>
  <c r="D185" i="2" s="1"/>
  <c r="C205" i="2"/>
  <c r="D205" i="2" s="1"/>
  <c r="C120" i="2"/>
  <c r="D120" i="2" s="1"/>
  <c r="C78" i="2"/>
  <c r="D78" i="2" s="1"/>
  <c r="C98" i="2"/>
  <c r="D98" i="2" s="1"/>
  <c r="C68" i="2"/>
  <c r="D68" i="2" s="1"/>
  <c r="C47" i="2"/>
  <c r="D47" i="2" s="1"/>
  <c r="C22" i="2"/>
  <c r="D22" i="2" s="1"/>
  <c r="C146" i="2"/>
  <c r="D146" i="2" s="1"/>
  <c r="C166" i="2"/>
  <c r="D166" i="2" s="1"/>
  <c r="C186" i="2"/>
  <c r="D186" i="2" s="1"/>
  <c r="C135" i="2"/>
  <c r="D135" i="2" s="1"/>
  <c r="C121" i="2"/>
  <c r="D121" i="2" s="1"/>
  <c r="C158" i="2"/>
  <c r="D158" i="2" s="1"/>
  <c r="C178" i="2"/>
  <c r="D178" i="2" s="1"/>
  <c r="C198" i="2"/>
  <c r="D198" i="2" s="1"/>
  <c r="C113" i="2"/>
  <c r="D113" i="2" s="1"/>
  <c r="C133" i="2"/>
  <c r="D133" i="2" s="1"/>
  <c r="C91" i="2"/>
  <c r="D91" i="2" s="1"/>
  <c r="C61" i="2"/>
  <c r="D61" i="2" s="1"/>
  <c r="C15" i="2"/>
  <c r="D15" i="2" s="1"/>
  <c r="C6" i="2"/>
  <c r="D6" i="2" s="1"/>
  <c r="C148" i="2"/>
  <c r="D148" i="2" s="1"/>
  <c r="C168" i="2"/>
  <c r="D168" i="2" s="1"/>
  <c r="C188" i="2"/>
  <c r="D188" i="2" s="1"/>
  <c r="C137" i="2"/>
  <c r="D137" i="2" s="1"/>
  <c r="C123" i="2"/>
  <c r="D123" i="2" s="1"/>
  <c r="C81" i="2"/>
  <c r="D81" i="2" s="1"/>
  <c r="C101" i="2"/>
  <c r="D101" i="2" s="1"/>
  <c r="C71" i="2"/>
  <c r="D71" i="2" s="1"/>
  <c r="C50" i="2"/>
  <c r="D50" i="2" s="1"/>
  <c r="C25" i="2"/>
  <c r="D25" i="2" s="1"/>
  <c r="C149" i="2"/>
  <c r="D149" i="2" s="1"/>
  <c r="C169" i="2"/>
  <c r="D169" i="2" s="1"/>
  <c r="C189" i="2"/>
  <c r="D189" i="2" s="1"/>
  <c r="C138" i="2"/>
  <c r="D138" i="2" s="1"/>
  <c r="C124" i="2"/>
  <c r="D124" i="2" s="1"/>
  <c r="C82" i="2"/>
  <c r="D82" i="2" s="1"/>
  <c r="C102" i="2"/>
  <c r="D102" i="2" s="1"/>
  <c r="C72" i="2"/>
  <c r="D72" i="2" s="1"/>
  <c r="C51" i="2"/>
  <c r="D51" i="2" s="1"/>
  <c r="C26" i="2"/>
  <c r="D26" i="2" s="1"/>
  <c r="C150" i="2"/>
  <c r="D150" i="2" s="1"/>
  <c r="C170" i="2"/>
  <c r="D170" i="2" s="1"/>
  <c r="C190" i="2"/>
  <c r="D190" i="2" s="1"/>
  <c r="C105" i="2"/>
  <c r="D105" i="2" s="1"/>
  <c r="C125" i="2"/>
  <c r="D125" i="2" s="1"/>
  <c r="C83" i="2"/>
  <c r="D83" i="2" s="1"/>
  <c r="C103" i="2"/>
  <c r="D103" i="2" s="1"/>
  <c r="C32" i="2"/>
  <c r="D32" i="2" s="1"/>
  <c r="C52" i="2"/>
  <c r="D52" i="2" s="1"/>
  <c r="C27" i="2"/>
  <c r="D27" i="2" s="1"/>
  <c r="C151" i="2"/>
  <c r="D151" i="2" s="1"/>
  <c r="C171" i="2"/>
  <c r="D171" i="2" s="1"/>
  <c r="C191" i="2"/>
  <c r="D191" i="2" s="1"/>
  <c r="C106" i="2"/>
  <c r="D106" i="2" s="1"/>
  <c r="C126" i="2"/>
  <c r="D126" i="2" s="1"/>
  <c r="C84" i="2"/>
  <c r="D84" i="2" s="1"/>
  <c r="C104" i="2"/>
  <c r="D104" i="2" s="1"/>
  <c r="C33" i="2"/>
  <c r="D33" i="2" s="1"/>
  <c r="C53" i="2"/>
  <c r="D53" i="2" s="1"/>
  <c r="C28" i="2"/>
  <c r="D28" i="2" s="1"/>
  <c r="C100" i="2"/>
  <c r="D100" i="2" s="1"/>
  <c r="C55" i="2"/>
  <c r="D55" i="2" s="1"/>
  <c r="C69" i="2"/>
  <c r="D69" i="2" s="1"/>
  <c r="C70" i="2"/>
  <c r="D70" i="2" s="1"/>
  <c r="C34" i="2"/>
  <c r="D34" i="2" s="1"/>
  <c r="C48" i="2"/>
  <c r="D48" i="2" s="1"/>
  <c r="C147" i="2"/>
  <c r="D147" i="2" s="1"/>
  <c r="C49" i="2"/>
  <c r="D49" i="2" s="1"/>
  <c r="C152" i="2"/>
  <c r="D152" i="2" s="1"/>
  <c r="C54" i="2"/>
  <c r="D54" i="2" s="1"/>
  <c r="C167" i="2"/>
  <c r="D167" i="2" s="1"/>
  <c r="C23" i="2"/>
  <c r="D23" i="2" s="1"/>
  <c r="C172" i="2"/>
  <c r="D172" i="2" s="1"/>
  <c r="C24" i="2"/>
  <c r="D24" i="2" s="1"/>
  <c r="C187" i="2"/>
  <c r="D187" i="2" s="1"/>
  <c r="C29" i="2"/>
  <c r="D29" i="2" s="1"/>
  <c r="C192" i="2"/>
  <c r="D192" i="2" s="1"/>
  <c r="C136" i="2"/>
  <c r="D136" i="2" s="1"/>
  <c r="C107" i="2"/>
  <c r="D107" i="2" s="1"/>
  <c r="C122" i="2"/>
  <c r="D122" i="2" s="1"/>
  <c r="C127" i="2"/>
  <c r="D127" i="2" s="1"/>
  <c r="C79" i="2"/>
  <c r="D79" i="2" s="1"/>
  <c r="C80" i="2"/>
  <c r="D80" i="2" s="1"/>
  <c r="C85" i="2"/>
  <c r="D85" i="2" s="1"/>
  <c r="C99" i="2"/>
  <c r="D99" i="2" s="1"/>
  <c r="A3" i="4"/>
  <c r="B111" i="4"/>
  <c r="D111" i="4" s="1"/>
  <c r="B112" i="4"/>
  <c r="D112" i="4" s="1"/>
  <c r="B113" i="4"/>
  <c r="D113" i="4" s="1"/>
  <c r="B114" i="4"/>
  <c r="D114" i="4" s="1"/>
  <c r="B115" i="4"/>
  <c r="D115" i="4" s="1"/>
  <c r="B116" i="4"/>
  <c r="D116" i="4" s="1"/>
  <c r="B117" i="4"/>
  <c r="D117" i="4" s="1"/>
  <c r="B118" i="4"/>
  <c r="D118" i="4" s="1"/>
  <c r="B119" i="4"/>
  <c r="D119" i="4" s="1"/>
  <c r="B120" i="4"/>
  <c r="D120" i="4" s="1"/>
  <c r="B121" i="4"/>
  <c r="D121" i="4" s="1"/>
  <c r="B122" i="4"/>
  <c r="D122" i="4" s="1"/>
  <c r="B123" i="4"/>
  <c r="D123" i="4" s="1"/>
  <c r="B124" i="4"/>
  <c r="D124" i="4" s="1"/>
  <c r="B125" i="4"/>
  <c r="D125" i="4" s="1"/>
  <c r="B126" i="4"/>
  <c r="D126" i="4" s="1"/>
  <c r="B127" i="4"/>
  <c r="D127" i="4" s="1"/>
  <c r="B128" i="4"/>
  <c r="D128" i="4" s="1"/>
  <c r="B129" i="4"/>
  <c r="D129" i="4" s="1"/>
  <c r="B130" i="4"/>
  <c r="D130" i="4" s="1"/>
  <c r="B131" i="4"/>
  <c r="D131" i="4" s="1"/>
  <c r="B132" i="4"/>
  <c r="D132" i="4" s="1"/>
  <c r="B133" i="4"/>
  <c r="D133" i="4" s="1"/>
  <c r="B134" i="4"/>
  <c r="D134" i="4" s="1"/>
  <c r="B135" i="4"/>
  <c r="D135" i="4" s="1"/>
  <c r="B136" i="4"/>
  <c r="D136" i="4" s="1"/>
  <c r="B137" i="4"/>
  <c r="D137" i="4" s="1"/>
  <c r="B138" i="4"/>
  <c r="D138" i="4" s="1"/>
  <c r="B139" i="4"/>
  <c r="D139" i="4" s="1"/>
  <c r="B140" i="4"/>
  <c r="D140" i="4" s="1"/>
  <c r="B141" i="4"/>
  <c r="D141" i="4" s="1"/>
  <c r="B142" i="4"/>
  <c r="D142" i="4" s="1"/>
  <c r="B143" i="4"/>
  <c r="D143" i="4" s="1"/>
  <c r="B144" i="4"/>
  <c r="D144" i="4" s="1"/>
  <c r="B145" i="4"/>
  <c r="D145" i="4" s="1"/>
  <c r="B146" i="4"/>
  <c r="D146" i="4" s="1"/>
  <c r="B147" i="4"/>
  <c r="D147" i="4" s="1"/>
  <c r="B148" i="4"/>
  <c r="D148" i="4" s="1"/>
  <c r="B149" i="4"/>
  <c r="D149" i="4" s="1"/>
  <c r="B150" i="4"/>
  <c r="D150" i="4" s="1"/>
  <c r="B151" i="4"/>
  <c r="D151" i="4" s="1"/>
  <c r="B152" i="4"/>
  <c r="D152" i="4" s="1"/>
  <c r="B153" i="4"/>
  <c r="D153" i="4" s="1"/>
  <c r="B154" i="4"/>
  <c r="D154" i="4" s="1"/>
  <c r="B155" i="4"/>
  <c r="D155" i="4" s="1"/>
  <c r="B156" i="4"/>
  <c r="D156" i="4" s="1"/>
  <c r="B157" i="4"/>
  <c r="D157" i="4" s="1"/>
  <c r="B158" i="4"/>
  <c r="D158" i="4" s="1"/>
  <c r="B159" i="4"/>
  <c r="D159" i="4" s="1"/>
  <c r="B160" i="4"/>
  <c r="D160" i="4" s="1"/>
  <c r="B161" i="4"/>
  <c r="D161" i="4" s="1"/>
  <c r="B162" i="4"/>
  <c r="D162" i="4" s="1"/>
  <c r="B163" i="4"/>
  <c r="D163" i="4" s="1"/>
  <c r="B164" i="4"/>
  <c r="D164" i="4" s="1"/>
  <c r="B165" i="4"/>
  <c r="D165" i="4" s="1"/>
  <c r="B166" i="4"/>
  <c r="D166" i="4" s="1"/>
  <c r="B167" i="4"/>
  <c r="D167" i="4" s="1"/>
  <c r="B168" i="4"/>
  <c r="D168" i="4" s="1"/>
  <c r="B169" i="4"/>
  <c r="D169" i="4" s="1"/>
  <c r="B170" i="4"/>
  <c r="D170" i="4" s="1"/>
  <c r="B171" i="4"/>
  <c r="D171" i="4" s="1"/>
  <c r="B172" i="4"/>
  <c r="D172" i="4" s="1"/>
  <c r="B173" i="4"/>
  <c r="D173" i="4" s="1"/>
  <c r="B174" i="4"/>
  <c r="D174" i="4" s="1"/>
  <c r="B175" i="4"/>
  <c r="D175" i="4" s="1"/>
  <c r="B176" i="4"/>
  <c r="D176" i="4" s="1"/>
  <c r="B177" i="4"/>
  <c r="D177" i="4" s="1"/>
  <c r="B178" i="4"/>
  <c r="D178" i="4" s="1"/>
  <c r="B179" i="4"/>
  <c r="D179" i="4" s="1"/>
  <c r="B180" i="4"/>
  <c r="D180" i="4" s="1"/>
  <c r="B181" i="4"/>
  <c r="D181" i="4" s="1"/>
  <c r="B182" i="4"/>
  <c r="D182" i="4" s="1"/>
  <c r="B183" i="4"/>
  <c r="D183" i="4" s="1"/>
  <c r="B184" i="4"/>
  <c r="D184" i="4" s="1"/>
  <c r="B185" i="4"/>
  <c r="D185" i="4" s="1"/>
  <c r="B186" i="4"/>
  <c r="D186" i="4" s="1"/>
  <c r="B187" i="4"/>
  <c r="D187" i="4" s="1"/>
  <c r="B188" i="4"/>
  <c r="D188" i="4" s="1"/>
  <c r="B189" i="4"/>
  <c r="D189" i="4" s="1"/>
  <c r="B190" i="4"/>
  <c r="D190" i="4" s="1"/>
  <c r="B191" i="4"/>
  <c r="D191" i="4" s="1"/>
  <c r="B192" i="4"/>
  <c r="D192" i="4" s="1"/>
  <c r="B193" i="4"/>
  <c r="D193" i="4" s="1"/>
  <c r="B194" i="4"/>
  <c r="D194" i="4" s="1"/>
  <c r="B195" i="4"/>
  <c r="D195" i="4" s="1"/>
  <c r="B196" i="4"/>
  <c r="D196" i="4" s="1"/>
  <c r="B197" i="4"/>
  <c r="D197" i="4" s="1"/>
  <c r="B198" i="4"/>
  <c r="D198" i="4" s="1"/>
  <c r="B199" i="4"/>
  <c r="D199" i="4" s="1"/>
  <c r="B200" i="4"/>
  <c r="D200" i="4" s="1"/>
  <c r="B201" i="4"/>
  <c r="D201" i="4" s="1"/>
  <c r="B202" i="4"/>
  <c r="D202" i="4" s="1"/>
  <c r="B203" i="4"/>
  <c r="D203" i="4" s="1"/>
  <c r="B204" i="4"/>
  <c r="D204" i="4" s="1"/>
  <c r="B205" i="4"/>
  <c r="D205" i="4" s="1"/>
  <c r="B206" i="4"/>
  <c r="D206" i="4" s="1"/>
  <c r="B207" i="4"/>
  <c r="D207" i="4" s="1"/>
  <c r="B208" i="4"/>
  <c r="D208" i="4" s="1"/>
  <c r="B209" i="4"/>
  <c r="D209" i="4" s="1"/>
  <c r="B10" i="4"/>
  <c r="D10" i="4" s="1"/>
  <c r="G2" i="4" l="1"/>
  <c r="F2" i="4"/>
  <c r="I2" i="4"/>
  <c r="E12" i="2"/>
  <c r="H9" i="17" s="1"/>
  <c r="E42" i="2"/>
  <c r="H39" i="17" s="1"/>
  <c r="E177" i="2"/>
  <c r="H174" i="17" s="1"/>
  <c r="E10" i="2"/>
  <c r="H7" i="17" s="1"/>
  <c r="E117" i="2"/>
  <c r="H114" i="17" s="1"/>
  <c r="E84" i="2"/>
  <c r="H81" i="17" s="1"/>
  <c r="E118" i="2"/>
  <c r="H115" i="17" s="1"/>
  <c r="E167" i="2"/>
  <c r="H164" i="17" s="1"/>
  <c r="E61" i="2"/>
  <c r="H58" i="17" s="1"/>
  <c r="E202" i="2"/>
  <c r="H199" i="17" s="1"/>
  <c r="E85" i="2"/>
  <c r="H82" i="17" s="1"/>
  <c r="E60" i="2"/>
  <c r="H57" i="17" s="1"/>
  <c r="E58" i="2"/>
  <c r="H55" i="17" s="1"/>
  <c r="E107" i="2"/>
  <c r="H104" i="17" s="1"/>
  <c r="E75" i="2"/>
  <c r="H72" i="17" s="1"/>
  <c r="E181" i="2"/>
  <c r="H178" i="17" s="1"/>
  <c r="E152" i="2"/>
  <c r="H149" i="17" s="1"/>
  <c r="E191" i="2"/>
  <c r="H188" i="17" s="1"/>
  <c r="E93" i="2"/>
  <c r="H90" i="17" s="1"/>
  <c r="E131" i="2"/>
  <c r="H128" i="17" s="1"/>
  <c r="E73" i="2"/>
  <c r="H70" i="17" s="1"/>
  <c r="E132" i="2"/>
  <c r="H129" i="17" s="1"/>
  <c r="E53" i="2"/>
  <c r="H50" i="17" s="1"/>
  <c r="E109" i="2"/>
  <c r="H106" i="17" s="1"/>
  <c r="E87" i="2"/>
  <c r="H84" i="17" s="1"/>
  <c r="E168" i="2"/>
  <c r="H165" i="17" s="1"/>
  <c r="E204" i="2"/>
  <c r="H201" i="17" s="1"/>
  <c r="E106" i="2"/>
  <c r="H103" i="17" s="1"/>
  <c r="E9" i="2"/>
  <c r="H6" i="17" s="1"/>
  <c r="E100" i="2"/>
  <c r="H97" i="17" s="1"/>
  <c r="E67" i="2"/>
  <c r="H64" i="17" s="1"/>
  <c r="E26" i="2"/>
  <c r="H23" i="17" s="1"/>
  <c r="E91" i="2"/>
  <c r="H88" i="17" s="1"/>
  <c r="E113" i="2"/>
  <c r="H110" i="17" s="1"/>
  <c r="E125" i="2"/>
  <c r="H122" i="17" s="1"/>
  <c r="E200" i="2"/>
  <c r="H197" i="17" s="1"/>
  <c r="E182" i="2"/>
  <c r="H179" i="17" s="1"/>
  <c r="E162" i="2"/>
  <c r="H159" i="17" s="1"/>
  <c r="E195" i="2"/>
  <c r="H192" i="17" s="1"/>
  <c r="E92" i="2"/>
  <c r="H89" i="17" s="1"/>
  <c r="E41" i="2"/>
  <c r="H38" i="17" s="1"/>
  <c r="E142" i="2"/>
  <c r="H139" i="17" s="1"/>
  <c r="E194" i="2"/>
  <c r="H191" i="17" s="1"/>
  <c r="E39" i="2"/>
  <c r="H36" i="17" s="1"/>
  <c r="E193" i="2"/>
  <c r="H190" i="17" s="1"/>
  <c r="E94" i="2"/>
  <c r="H91" i="17" s="1"/>
  <c r="E154" i="2"/>
  <c r="H151" i="17" s="1"/>
  <c r="E89" i="2"/>
  <c r="H86" i="17" s="1"/>
  <c r="E134" i="2"/>
  <c r="H131" i="17" s="1"/>
  <c r="E115" i="2"/>
  <c r="H112" i="17" s="1"/>
  <c r="E155" i="2"/>
  <c r="H152" i="17" s="1"/>
  <c r="E153" i="2"/>
  <c r="H150" i="17" s="1"/>
  <c r="E90" i="2"/>
  <c r="H87" i="17" s="1"/>
  <c r="E50" i="2"/>
  <c r="H47" i="17" s="1"/>
  <c r="E25" i="2"/>
  <c r="H22" i="17" s="1"/>
  <c r="E71" i="2"/>
  <c r="H68" i="17" s="1"/>
  <c r="E192" i="2"/>
  <c r="H189" i="17" s="1"/>
  <c r="E112" i="2"/>
  <c r="H109" i="17" s="1"/>
  <c r="E180" i="2"/>
  <c r="H177" i="17" s="1"/>
  <c r="E122" i="2"/>
  <c r="H119" i="17" s="1"/>
  <c r="E196" i="2"/>
  <c r="H193" i="17" s="1"/>
  <c r="E23" i="2"/>
  <c r="H20" i="17" s="1"/>
  <c r="E197" i="2"/>
  <c r="H194" i="17" s="1"/>
  <c r="E157" i="2"/>
  <c r="H154" i="17" s="1"/>
  <c r="E79" i="2"/>
  <c r="H76" i="17" s="1"/>
  <c r="E30" i="2"/>
  <c r="H27" i="17" s="1"/>
  <c r="E78" i="2"/>
  <c r="H75" i="17" s="1"/>
  <c r="E18" i="2"/>
  <c r="H15" i="17" s="1"/>
  <c r="E97" i="2"/>
  <c r="H94" i="17" s="1"/>
  <c r="E54" i="2"/>
  <c r="H51" i="17" s="1"/>
  <c r="E22" i="2"/>
  <c r="H19" i="17" s="1"/>
  <c r="E133" i="2"/>
  <c r="H130" i="17" s="1"/>
  <c r="E81" i="2"/>
  <c r="H78" i="17" s="1"/>
  <c r="E145" i="2"/>
  <c r="H142" i="17" s="1"/>
  <c r="E62" i="2"/>
  <c r="H59" i="17" s="1"/>
  <c r="E104" i="2"/>
  <c r="H101" i="17" s="1"/>
  <c r="E51" i="2"/>
  <c r="H48" i="17" s="1"/>
  <c r="E171" i="2"/>
  <c r="H168" i="17" s="1"/>
  <c r="E151" i="2"/>
  <c r="H148" i="17" s="1"/>
  <c r="E160" i="2"/>
  <c r="H157" i="17" s="1"/>
  <c r="E198" i="2"/>
  <c r="H195" i="17" s="1"/>
  <c r="E176" i="2"/>
  <c r="H173" i="17" s="1"/>
  <c r="E184" i="2"/>
  <c r="H181" i="17" s="1"/>
  <c r="E46" i="2"/>
  <c r="H43" i="17" s="1"/>
  <c r="E174" i="2"/>
  <c r="H171" i="17" s="1"/>
  <c r="E76" i="2"/>
  <c r="H73" i="17" s="1"/>
  <c r="E183" i="2"/>
  <c r="H180" i="17" s="1"/>
  <c r="E52" i="2"/>
  <c r="H49" i="17" s="1"/>
  <c r="E199" i="2"/>
  <c r="H196" i="17" s="1"/>
  <c r="E95" i="2"/>
  <c r="H92" i="17" s="1"/>
  <c r="E201" i="2"/>
  <c r="H198" i="17" s="1"/>
  <c r="E56" i="2"/>
  <c r="H53" i="17" s="1"/>
  <c r="E159" i="2"/>
  <c r="H156" i="17" s="1"/>
  <c r="E83" i="2"/>
  <c r="H80" i="17" s="1"/>
  <c r="E186" i="2"/>
  <c r="H183" i="17" s="1"/>
  <c r="E49" i="2"/>
  <c r="H46" i="17" s="1"/>
  <c r="E166" i="2"/>
  <c r="H163" i="17" s="1"/>
  <c r="E102" i="2"/>
  <c r="H99" i="17" s="1"/>
  <c r="E111" i="2"/>
  <c r="H108" i="17" s="1"/>
  <c r="E82" i="2"/>
  <c r="H79" i="17" s="1"/>
  <c r="E126" i="2"/>
  <c r="H123" i="17" s="1"/>
  <c r="E34" i="2"/>
  <c r="H31" i="17" s="1"/>
  <c r="E205" i="2"/>
  <c r="H202" i="17" s="1"/>
  <c r="E14" i="2"/>
  <c r="H11" i="17" s="1"/>
  <c r="E108" i="2"/>
  <c r="H105" i="17" s="1"/>
  <c r="E32" i="2"/>
  <c r="H29" i="17" s="1"/>
  <c r="E164" i="2"/>
  <c r="H161" i="17" s="1"/>
  <c r="E70" i="2"/>
  <c r="H67" i="17" s="1"/>
  <c r="E163" i="2"/>
  <c r="H160" i="17" s="1"/>
  <c r="E20" i="2"/>
  <c r="H17" i="17" s="1"/>
  <c r="E69" i="2"/>
  <c r="H66" i="17" s="1"/>
  <c r="E29" i="2"/>
  <c r="E8" i="2"/>
  <c r="H5" i="17" s="1"/>
  <c r="E19" i="2"/>
  <c r="H16" i="17" s="1"/>
  <c r="E80" i="2"/>
  <c r="H77" i="17" s="1"/>
  <c r="E64" i="2"/>
  <c r="H61" i="17" s="1"/>
  <c r="E31" i="2"/>
  <c r="H28" i="17" s="1"/>
  <c r="E110" i="2"/>
  <c r="H107" i="17" s="1"/>
  <c r="E190" i="2"/>
  <c r="H187" i="17" s="1"/>
  <c r="E140" i="2"/>
  <c r="H137" i="17" s="1"/>
  <c r="E178" i="2"/>
  <c r="H175" i="17" s="1"/>
  <c r="E156" i="2"/>
  <c r="H153" i="17" s="1"/>
  <c r="E86" i="2"/>
  <c r="H83" i="17" s="1"/>
  <c r="E187" i="2"/>
  <c r="H184" i="17" s="1"/>
  <c r="E63" i="2"/>
  <c r="H60" i="17" s="1"/>
  <c r="E123" i="2"/>
  <c r="H120" i="17" s="1"/>
  <c r="E72" i="2"/>
  <c r="H69" i="17" s="1"/>
  <c r="E173" i="2"/>
  <c r="H170" i="17" s="1"/>
  <c r="E36" i="2"/>
  <c r="H33" i="17" s="1"/>
  <c r="E127" i="2"/>
  <c r="H124" i="17" s="1"/>
  <c r="E137" i="2"/>
  <c r="H134" i="17" s="1"/>
  <c r="E6" i="2"/>
  <c r="H3" i="17" s="1"/>
  <c r="E35" i="2"/>
  <c r="H32" i="17" s="1"/>
  <c r="E161" i="2"/>
  <c r="H158" i="17" s="1"/>
  <c r="E141" i="2"/>
  <c r="H138" i="17" s="1"/>
  <c r="E74" i="2"/>
  <c r="H71" i="17" s="1"/>
  <c r="E146" i="2"/>
  <c r="H143" i="17" s="1"/>
  <c r="E48" i="2"/>
  <c r="H45" i="17" s="1"/>
  <c r="E150" i="2"/>
  <c r="H147" i="17" s="1"/>
  <c r="E43" i="2"/>
  <c r="H40" i="17" s="1"/>
  <c r="E7" i="2"/>
  <c r="H4" i="17" s="1"/>
  <c r="E189" i="2"/>
  <c r="H186" i="17" s="1"/>
  <c r="E33" i="2"/>
  <c r="H30" i="17" s="1"/>
  <c r="E128" i="2"/>
  <c r="H125" i="17" s="1"/>
  <c r="E27" i="2"/>
  <c r="H24" i="17" s="1"/>
  <c r="E124" i="2"/>
  <c r="H121" i="17" s="1"/>
  <c r="E203" i="2"/>
  <c r="H200" i="17" s="1"/>
  <c r="E68" i="2"/>
  <c r="H65" i="17" s="1"/>
  <c r="E28" i="2"/>
  <c r="H25" i="17" s="1"/>
  <c r="E98" i="2"/>
  <c r="H95" i="17" s="1"/>
  <c r="E59" i="2"/>
  <c r="H56" i="17" s="1"/>
  <c r="E24" i="2"/>
  <c r="H21" i="17" s="1"/>
  <c r="D208" i="2"/>
  <c r="E208" i="2" s="1"/>
  <c r="E149" i="2"/>
  <c r="H146" i="17" s="1"/>
  <c r="E130" i="2"/>
  <c r="H127" i="17" s="1"/>
  <c r="E120" i="2"/>
  <c r="H117" i="17" s="1"/>
  <c r="E158" i="2"/>
  <c r="H155" i="17" s="1"/>
  <c r="E136" i="2"/>
  <c r="H133" i="17" s="1"/>
  <c r="E77" i="2"/>
  <c r="H74" i="17" s="1"/>
  <c r="E148" i="2"/>
  <c r="H145" i="17" s="1"/>
  <c r="E17" i="2"/>
  <c r="H14" i="17" s="1"/>
  <c r="E144" i="2"/>
  <c r="H141" i="17" s="1"/>
  <c r="E105" i="2"/>
  <c r="H102" i="17" s="1"/>
  <c r="E147" i="2"/>
  <c r="H144" i="17" s="1"/>
  <c r="E40" i="2"/>
  <c r="H37" i="17" s="1"/>
  <c r="E135" i="2"/>
  <c r="H132" i="17" s="1"/>
  <c r="E45" i="2"/>
  <c r="H42" i="17" s="1"/>
  <c r="E179" i="2"/>
  <c r="H176" i="17" s="1"/>
  <c r="E44" i="2"/>
  <c r="H41" i="17" s="1"/>
  <c r="E175" i="2"/>
  <c r="H172" i="17" s="1"/>
  <c r="E55" i="2"/>
  <c r="H52" i="17" s="1"/>
  <c r="E139" i="2"/>
  <c r="H136" i="17" s="1"/>
  <c r="E15" i="2"/>
  <c r="H12" i="17" s="1"/>
  <c r="E119" i="2"/>
  <c r="H116" i="17" s="1"/>
  <c r="E88" i="2"/>
  <c r="H85" i="17" s="1"/>
  <c r="E121" i="2"/>
  <c r="H118" i="17" s="1"/>
  <c r="E37" i="2"/>
  <c r="H34" i="17" s="1"/>
  <c r="E170" i="2"/>
  <c r="H167" i="17" s="1"/>
  <c r="E96" i="2"/>
  <c r="H93" i="17" s="1"/>
  <c r="E129" i="2"/>
  <c r="H126" i="17" s="1"/>
  <c r="E101" i="2"/>
  <c r="H98" i="17" s="1"/>
  <c r="E185" i="2"/>
  <c r="H182" i="17" s="1"/>
  <c r="E13" i="2"/>
  <c r="H10" i="17" s="1"/>
  <c r="E165" i="2"/>
  <c r="H162" i="17" s="1"/>
  <c r="E21" i="2"/>
  <c r="H18" i="17" s="1"/>
  <c r="E114" i="2"/>
  <c r="H111" i="17" s="1"/>
  <c r="E143" i="2"/>
  <c r="H140" i="17" s="1"/>
  <c r="E65" i="2"/>
  <c r="H62" i="17" s="1"/>
  <c r="E99" i="2"/>
  <c r="H96" i="17" s="1"/>
  <c r="E11" i="2"/>
  <c r="H8" i="17" s="1"/>
  <c r="E16" i="2"/>
  <c r="H13" i="17" s="1"/>
  <c r="E66" i="2"/>
  <c r="H63" i="17" s="1"/>
  <c r="E47" i="2"/>
  <c r="H44" i="17" s="1"/>
  <c r="E38" i="2"/>
  <c r="H35" i="17" s="1"/>
  <c r="E57" i="2"/>
  <c r="H54" i="17" s="1"/>
  <c r="E103" i="2"/>
  <c r="H100" i="17" s="1"/>
  <c r="D210" i="2"/>
  <c r="E210" i="2" s="1"/>
  <c r="F91" i="10" s="1"/>
  <c r="E188" i="2"/>
  <c r="H185" i="17" s="1"/>
  <c r="E169" i="2"/>
  <c r="H166" i="17" s="1"/>
  <c r="E172" i="2"/>
  <c r="H169" i="17" s="1"/>
  <c r="E138" i="2"/>
  <c r="H135" i="17" s="1"/>
  <c r="E116" i="2"/>
  <c r="H113" i="17" s="1"/>
  <c r="C2" i="11"/>
  <c r="E2" i="11" s="1"/>
  <c r="F90" i="10" l="1"/>
  <c r="H208" i="2"/>
  <c r="H26" i="17"/>
  <c r="D2" i="11"/>
  <c r="B209" i="11"/>
  <c r="B211" i="11"/>
  <c r="B107" i="11"/>
  <c r="B108" i="11"/>
  <c r="B109" i="11"/>
  <c r="B110" i="11"/>
  <c r="B111" i="11"/>
  <c r="B112" i="11"/>
  <c r="B113" i="11"/>
  <c r="B114" i="11"/>
  <c r="B115" i="11"/>
  <c r="B116" i="11"/>
  <c r="B117" i="11"/>
  <c r="B118" i="11"/>
  <c r="B119" i="11"/>
  <c r="B120" i="11"/>
  <c r="B121" i="11"/>
  <c r="B122" i="11"/>
  <c r="B123" i="11"/>
  <c r="B124" i="11"/>
  <c r="B125" i="11"/>
  <c r="B126" i="11"/>
  <c r="B127" i="11"/>
  <c r="B128" i="11"/>
  <c r="B129" i="11"/>
  <c r="B130" i="11"/>
  <c r="B131" i="11"/>
  <c r="B132" i="11"/>
  <c r="B133" i="11"/>
  <c r="B134" i="11"/>
  <c r="B135" i="11"/>
  <c r="B136" i="11"/>
  <c r="B137" i="11"/>
  <c r="B138" i="11"/>
  <c r="B139" i="11"/>
  <c r="B140" i="11"/>
  <c r="B141" i="11"/>
  <c r="B142" i="11"/>
  <c r="B143" i="11"/>
  <c r="B144" i="11"/>
  <c r="B145" i="11"/>
  <c r="B146" i="11"/>
  <c r="B147" i="11"/>
  <c r="B148" i="11"/>
  <c r="B149" i="11"/>
  <c r="B150" i="11"/>
  <c r="B151" i="11"/>
  <c r="B152" i="11"/>
  <c r="B153" i="11"/>
  <c r="B154" i="11"/>
  <c r="B155" i="11"/>
  <c r="B156" i="11"/>
  <c r="B157" i="11"/>
  <c r="B158" i="11"/>
  <c r="B159" i="11"/>
  <c r="B160" i="11"/>
  <c r="B161" i="11"/>
  <c r="B162" i="11"/>
  <c r="B163" i="11"/>
  <c r="B164" i="11"/>
  <c r="B165" i="11"/>
  <c r="B166" i="11"/>
  <c r="B167" i="11"/>
  <c r="B168" i="11"/>
  <c r="B169" i="11"/>
  <c r="B170" i="11"/>
  <c r="B171" i="11"/>
  <c r="B172" i="11"/>
  <c r="B173" i="11"/>
  <c r="B174" i="11"/>
  <c r="B175" i="11"/>
  <c r="B176" i="11"/>
  <c r="B177" i="11"/>
  <c r="B178" i="11"/>
  <c r="B179" i="11"/>
  <c r="B180" i="11"/>
  <c r="B181" i="11"/>
  <c r="B182" i="11"/>
  <c r="B183" i="11"/>
  <c r="B184" i="11"/>
  <c r="B185" i="11"/>
  <c r="B186" i="11"/>
  <c r="B187" i="11"/>
  <c r="B188" i="11"/>
  <c r="B189" i="11"/>
  <c r="B190" i="11"/>
  <c r="B191" i="11"/>
  <c r="B192" i="11"/>
  <c r="B193" i="11"/>
  <c r="B194" i="11"/>
  <c r="B195" i="11"/>
  <c r="B196" i="11"/>
  <c r="B197" i="11"/>
  <c r="B198" i="11"/>
  <c r="B199" i="11"/>
  <c r="B200" i="11"/>
  <c r="B201" i="11"/>
  <c r="B202" i="11"/>
  <c r="B203" i="11"/>
  <c r="B204" i="11"/>
  <c r="B205" i="11"/>
  <c r="B206" i="11"/>
  <c r="H23" i="11" l="1"/>
  <c r="H24" i="11"/>
  <c r="H44" i="11"/>
  <c r="H64" i="11"/>
  <c r="H84" i="11"/>
  <c r="H104" i="11"/>
  <c r="H124" i="11"/>
  <c r="H144" i="11"/>
  <c r="H164" i="11"/>
  <c r="H184" i="11"/>
  <c r="H204" i="11"/>
  <c r="H209" i="11"/>
  <c r="H25" i="11"/>
  <c r="H45" i="11"/>
  <c r="H65" i="11"/>
  <c r="H85" i="11"/>
  <c r="H105" i="11"/>
  <c r="H125" i="11"/>
  <c r="H145" i="11"/>
  <c r="H165" i="11"/>
  <c r="H185" i="11"/>
  <c r="H205" i="11"/>
  <c r="H211" i="11"/>
  <c r="H26" i="11"/>
  <c r="H46" i="11"/>
  <c r="H66" i="11"/>
  <c r="H86" i="11"/>
  <c r="H106" i="11"/>
  <c r="H126" i="11"/>
  <c r="H146" i="11"/>
  <c r="H166" i="11"/>
  <c r="H186" i="11"/>
  <c r="H206" i="11"/>
  <c r="H7" i="11"/>
  <c r="H27" i="11"/>
  <c r="H47" i="11"/>
  <c r="H67" i="11"/>
  <c r="H87" i="11"/>
  <c r="H107" i="11"/>
  <c r="H127" i="11"/>
  <c r="H147" i="11"/>
  <c r="H167" i="11"/>
  <c r="H187" i="11"/>
  <c r="H6" i="11"/>
  <c r="H8" i="11"/>
  <c r="H28" i="11"/>
  <c r="H48" i="11"/>
  <c r="H68" i="11"/>
  <c r="H88" i="11"/>
  <c r="H108" i="11"/>
  <c r="H128" i="11"/>
  <c r="H148" i="11"/>
  <c r="H168" i="11"/>
  <c r="H188" i="11"/>
  <c r="H29" i="11"/>
  <c r="H89" i="11"/>
  <c r="H129" i="11"/>
  <c r="H169" i="11"/>
  <c r="H50" i="11"/>
  <c r="H71" i="11"/>
  <c r="H111" i="11"/>
  <c r="H131" i="11"/>
  <c r="H151" i="11"/>
  <c r="H171" i="11"/>
  <c r="H32" i="11"/>
  <c r="H72" i="11"/>
  <c r="H92" i="11"/>
  <c r="H112" i="11"/>
  <c r="H132" i="11"/>
  <c r="H152" i="11"/>
  <c r="H172" i="11"/>
  <c r="H192" i="11"/>
  <c r="H36" i="11"/>
  <c r="H57" i="11"/>
  <c r="H58" i="11"/>
  <c r="H101" i="11"/>
  <c r="H82" i="11"/>
  <c r="H63" i="11"/>
  <c r="H69" i="11"/>
  <c r="H109" i="11"/>
  <c r="H149" i="11"/>
  <c r="H189" i="11"/>
  <c r="H30" i="11"/>
  <c r="H70" i="11"/>
  <c r="H90" i="11"/>
  <c r="H110" i="11"/>
  <c r="H130" i="11"/>
  <c r="H150" i="11"/>
  <c r="H170" i="11"/>
  <c r="H190" i="11"/>
  <c r="H31" i="11"/>
  <c r="H191" i="11"/>
  <c r="H52" i="11"/>
  <c r="H33" i="11"/>
  <c r="H53" i="11"/>
  <c r="H73" i="11"/>
  <c r="H93" i="11"/>
  <c r="H113" i="11"/>
  <c r="H133" i="11"/>
  <c r="H153" i="11"/>
  <c r="H173" i="11"/>
  <c r="H193" i="11"/>
  <c r="H34" i="11"/>
  <c r="H54" i="11"/>
  <c r="H74" i="11"/>
  <c r="H94" i="11"/>
  <c r="H114" i="11"/>
  <c r="H134" i="11"/>
  <c r="H154" i="11"/>
  <c r="H174" i="11"/>
  <c r="H194" i="11"/>
  <c r="H35" i="11"/>
  <c r="H75" i="11"/>
  <c r="H95" i="11"/>
  <c r="H115" i="11"/>
  <c r="H135" i="11"/>
  <c r="H155" i="11"/>
  <c r="H175" i="11"/>
  <c r="H195" i="11"/>
  <c r="H56" i="11"/>
  <c r="H97" i="11"/>
  <c r="H98" i="11"/>
  <c r="H61" i="11"/>
  <c r="H161" i="11"/>
  <c r="H201" i="11"/>
  <c r="H62" i="11"/>
  <c r="H142" i="11"/>
  <c r="H162" i="11"/>
  <c r="H182" i="11"/>
  <c r="H202" i="11"/>
  <c r="H43" i="11"/>
  <c r="H49" i="11"/>
  <c r="H91" i="11"/>
  <c r="H51" i="11"/>
  <c r="H9" i="11"/>
  <c r="H55" i="11"/>
  <c r="H76" i="11"/>
  <c r="H96" i="11"/>
  <c r="H116" i="11"/>
  <c r="H136" i="11"/>
  <c r="H156" i="11"/>
  <c r="H176" i="11"/>
  <c r="H196" i="11"/>
  <c r="H37" i="11"/>
  <c r="H78" i="11"/>
  <c r="H118" i="11"/>
  <c r="H138" i="11"/>
  <c r="H158" i="11"/>
  <c r="H178" i="11"/>
  <c r="H198" i="11"/>
  <c r="H81" i="11"/>
  <c r="H102" i="11"/>
  <c r="H103" i="11"/>
  <c r="H10" i="11"/>
  <c r="H11" i="11"/>
  <c r="H12" i="11"/>
  <c r="H13" i="11"/>
  <c r="H14" i="11"/>
  <c r="H15" i="11"/>
  <c r="H77" i="11"/>
  <c r="H117" i="11"/>
  <c r="H137" i="11"/>
  <c r="H157" i="11"/>
  <c r="H177" i="11"/>
  <c r="H197" i="11"/>
  <c r="H38" i="11"/>
  <c r="H41" i="11"/>
  <c r="H141" i="11"/>
  <c r="H181" i="11"/>
  <c r="H42" i="11"/>
  <c r="H83" i="11"/>
  <c r="H16" i="11"/>
  <c r="H17" i="11"/>
  <c r="H18" i="11"/>
  <c r="H19" i="11"/>
  <c r="H39" i="11"/>
  <c r="H59" i="11"/>
  <c r="H79" i="11"/>
  <c r="H99" i="11"/>
  <c r="H119" i="11"/>
  <c r="H139" i="11"/>
  <c r="H159" i="11"/>
  <c r="H179" i="11"/>
  <c r="H199" i="11"/>
  <c r="H40" i="11"/>
  <c r="H60" i="11"/>
  <c r="H80" i="11"/>
  <c r="H100" i="11"/>
  <c r="H120" i="11"/>
  <c r="H140" i="11"/>
  <c r="H160" i="11"/>
  <c r="H180" i="11"/>
  <c r="H200" i="11"/>
  <c r="H121" i="11"/>
  <c r="H122" i="11"/>
  <c r="H123" i="11"/>
  <c r="H143" i="11"/>
  <c r="H163" i="11"/>
  <c r="H183" i="11"/>
  <c r="H203" i="11"/>
  <c r="H20" i="11"/>
  <c r="H21" i="11"/>
  <c r="H22" i="11"/>
  <c r="F2" i="11"/>
  <c r="O211" i="11" l="1" a="1"/>
  <c r="O211" i="11" s="1"/>
  <c r="P209" i="11" a="1"/>
  <c r="P209" i="11" s="1"/>
  <c r="O209" i="11" a="1"/>
  <c r="O209" i="11" s="1"/>
  <c r="P211" i="11" a="1"/>
  <c r="P211" i="11" s="1"/>
  <c r="P19" i="11" a="1"/>
  <c r="P19" i="11" s="1"/>
  <c r="P37" i="11" a="1"/>
  <c r="P37" i="11" s="1"/>
  <c r="P56" i="11" a="1"/>
  <c r="P56" i="11" s="1"/>
  <c r="P74" i="11" a="1"/>
  <c r="P74" i="11" s="1"/>
  <c r="P92" i="11" a="1"/>
  <c r="P92" i="11" s="1"/>
  <c r="P109" i="11" a="1"/>
  <c r="P109" i="11" s="1"/>
  <c r="P123" i="11" a="1"/>
  <c r="P123" i="11" s="1"/>
  <c r="P139" i="11" a="1"/>
  <c r="P139" i="11" s="1"/>
  <c r="P156" i="11" a="1"/>
  <c r="P156" i="11" s="1"/>
  <c r="P175" i="11" a="1"/>
  <c r="P175" i="11" s="1"/>
  <c r="P194" i="11" a="1"/>
  <c r="P194" i="11" s="1"/>
  <c r="O11" i="11" a="1"/>
  <c r="O11" i="11" s="1"/>
  <c r="O27" i="11" a="1"/>
  <c r="O27" i="11" s="1"/>
  <c r="O43" i="11" a="1"/>
  <c r="O43" i="11" s="1"/>
  <c r="O61" i="11" a="1"/>
  <c r="O61" i="11" s="1"/>
  <c r="O78" i="11" a="1"/>
  <c r="O78" i="11" s="1"/>
  <c r="O97" i="11" a="1"/>
  <c r="O97" i="11" s="1"/>
  <c r="O115" i="11" a="1"/>
  <c r="O115" i="11" s="1"/>
  <c r="O132" i="11" a="1"/>
  <c r="O132" i="11" s="1"/>
  <c r="O150" i="11" a="1"/>
  <c r="O150" i="11" s="1"/>
  <c r="O169" i="11" a="1"/>
  <c r="O169" i="11" s="1"/>
  <c r="O188" i="11" a="1"/>
  <c r="O188" i="11" s="1"/>
  <c r="P46" i="11" a="1"/>
  <c r="P46" i="11" s="1"/>
  <c r="O18" i="11" a="1"/>
  <c r="O18" i="11" s="1"/>
  <c r="O87" i="11" a="1"/>
  <c r="O87" i="11" s="1"/>
  <c r="O141" i="11" a="1"/>
  <c r="O141" i="11" s="1"/>
  <c r="O196" i="11" a="1"/>
  <c r="O196" i="11" s="1"/>
  <c r="P84" i="11" a="1"/>
  <c r="P84" i="11" s="1"/>
  <c r="O162" i="11" a="1"/>
  <c r="O162" i="11" s="1"/>
  <c r="P14" i="11" a="1"/>
  <c r="P14" i="11" s="1"/>
  <c r="P205" i="11" a="1"/>
  <c r="P205" i="11" s="1"/>
  <c r="O72" i="11" a="1"/>
  <c r="O72" i="11" s="1"/>
  <c r="O109" i="11" a="1"/>
  <c r="O109" i="11" s="1"/>
  <c r="O200" i="11" a="1"/>
  <c r="O200" i="11" s="1"/>
  <c r="P169" i="11" a="1"/>
  <c r="P169" i="11" s="1"/>
  <c r="P206" i="11" a="1"/>
  <c r="P206" i="11" s="1"/>
  <c r="O92" i="11" a="1"/>
  <c r="O92" i="11" s="1"/>
  <c r="O127" i="11" a="1"/>
  <c r="O127" i="11" s="1"/>
  <c r="O182" i="11" a="1"/>
  <c r="O182" i="11" s="1"/>
  <c r="P15" i="11" a="1"/>
  <c r="P15" i="11" s="1"/>
  <c r="P135" i="11" a="1"/>
  <c r="P135" i="11" s="1"/>
  <c r="P190" i="11" a="1"/>
  <c r="P190" i="11" s="1"/>
  <c r="O23" i="11" a="1"/>
  <c r="O23" i="11" s="1"/>
  <c r="O39" i="11" a="1"/>
  <c r="O39" i="11" s="1"/>
  <c r="O74" i="11" a="1"/>
  <c r="O74" i="11" s="1"/>
  <c r="O111" i="11" a="1"/>
  <c r="O111" i="11" s="1"/>
  <c r="O202" i="11" a="1"/>
  <c r="O202" i="11" s="1"/>
  <c r="P35" i="11" a="1"/>
  <c r="P35" i="11" s="1"/>
  <c r="O26" i="11" a="1"/>
  <c r="O26" i="11" s="1"/>
  <c r="O113" i="11" a="1"/>
  <c r="O113" i="11" s="1"/>
  <c r="O148" i="11" a="1"/>
  <c r="O148" i="11" s="1"/>
  <c r="P18" i="11" a="1"/>
  <c r="P18" i="11" s="1"/>
  <c r="P108" i="11" a="1"/>
  <c r="P108" i="11" s="1"/>
  <c r="O10" i="11" a="1"/>
  <c r="O10" i="11" s="1"/>
  <c r="O60" i="11" a="1"/>
  <c r="O60" i="11" s="1"/>
  <c r="O114" i="11" a="1"/>
  <c r="O114" i="11" s="1"/>
  <c r="O168" i="11" a="1"/>
  <c r="O168" i="11" s="1"/>
  <c r="P20" i="11" a="1"/>
  <c r="P20" i="11" s="1"/>
  <c r="P38" i="11" a="1"/>
  <c r="P38" i="11" s="1"/>
  <c r="P57" i="11" a="1"/>
  <c r="P57" i="11" s="1"/>
  <c r="P75" i="11" a="1"/>
  <c r="P75" i="11" s="1"/>
  <c r="P93" i="11" a="1"/>
  <c r="P93" i="11" s="1"/>
  <c r="P157" i="11" a="1"/>
  <c r="P157" i="11" s="1"/>
  <c r="P176" i="11" a="1"/>
  <c r="P176" i="11" s="1"/>
  <c r="P195" i="11" a="1"/>
  <c r="P195" i="11" s="1"/>
  <c r="O12" i="11" a="1"/>
  <c r="O12" i="11" s="1"/>
  <c r="O62" i="11" a="1"/>
  <c r="O62" i="11" s="1"/>
  <c r="O79" i="11" a="1"/>
  <c r="O79" i="11" s="1"/>
  <c r="O98" i="11" a="1"/>
  <c r="O98" i="11" s="1"/>
  <c r="O116" i="11" a="1"/>
  <c r="O116" i="11" s="1"/>
  <c r="O133" i="11" a="1"/>
  <c r="O133" i="11" s="1"/>
  <c r="O151" i="11" a="1"/>
  <c r="O151" i="11" s="1"/>
  <c r="O170" i="11" a="1"/>
  <c r="O170" i="11" s="1"/>
  <c r="O189" i="11" a="1"/>
  <c r="O189" i="11" s="1"/>
  <c r="O206" i="11" a="1"/>
  <c r="O206" i="11" s="1"/>
  <c r="P64" i="11" a="1"/>
  <c r="P64" i="11" s="1"/>
  <c r="O177" i="11" a="1"/>
  <c r="O177" i="11" s="1"/>
  <c r="O54" i="11" a="1"/>
  <c r="O54" i="11" s="1"/>
  <c r="O181" i="11" a="1"/>
  <c r="O181" i="11" s="1"/>
  <c r="P51" i="11" a="1"/>
  <c r="P51" i="11" s="1"/>
  <c r="O38" i="11" a="1"/>
  <c r="O38" i="11" s="1"/>
  <c r="O164" i="11" a="1"/>
  <c r="O164" i="11" s="1"/>
  <c r="P52" i="11" a="1"/>
  <c r="P52" i="11" s="1"/>
  <c r="P21" i="11" a="1"/>
  <c r="P21" i="11" s="1"/>
  <c r="P39" i="11" a="1"/>
  <c r="P39" i="11" s="1"/>
  <c r="P58" i="11" a="1"/>
  <c r="P58" i="11" s="1"/>
  <c r="P76" i="11" a="1"/>
  <c r="P76" i="11" s="1"/>
  <c r="P110" i="11" a="1"/>
  <c r="P110" i="11" s="1"/>
  <c r="P124" i="11" a="1"/>
  <c r="P124" i="11" s="1"/>
  <c r="P140" i="11" a="1"/>
  <c r="P140" i="11" s="1"/>
  <c r="P158" i="11" a="1"/>
  <c r="P158" i="11" s="1"/>
  <c r="P177" i="11" a="1"/>
  <c r="P177" i="11" s="1"/>
  <c r="P196" i="11" a="1"/>
  <c r="P196" i="11" s="1"/>
  <c r="O28" i="11" a="1"/>
  <c r="O28" i="11" s="1"/>
  <c r="O44" i="11" a="1"/>
  <c r="O44" i="11" s="1"/>
  <c r="O63" i="11" a="1"/>
  <c r="O63" i="11" s="1"/>
  <c r="O80" i="11" a="1"/>
  <c r="O80" i="11" s="1"/>
  <c r="O99" i="11" a="1"/>
  <c r="O99" i="11" s="1"/>
  <c r="O117" i="11" a="1"/>
  <c r="O117" i="11" s="1"/>
  <c r="O134" i="11" a="1"/>
  <c r="O134" i="11" s="1"/>
  <c r="O152" i="11" a="1"/>
  <c r="O152" i="11" s="1"/>
  <c r="O171" i="11" a="1"/>
  <c r="O171" i="11" s="1"/>
  <c r="O190" i="11" a="1"/>
  <c r="O190" i="11" s="1"/>
  <c r="O6" i="11" a="1"/>
  <c r="O6" i="11" s="1"/>
  <c r="P83" i="11" a="1"/>
  <c r="P83" i="11" s="1"/>
  <c r="P151" i="11" a="1"/>
  <c r="P151" i="11" s="1"/>
  <c r="P72" i="11" a="1"/>
  <c r="P72" i="11" s="1"/>
  <c r="P22" i="11" a="1"/>
  <c r="P22" i="11" s="1"/>
  <c r="P40" i="11" a="1"/>
  <c r="P40" i="11" s="1"/>
  <c r="P59" i="11" a="1"/>
  <c r="P59" i="11" s="1"/>
  <c r="P77" i="11" a="1"/>
  <c r="P77" i="11" s="1"/>
  <c r="P94" i="11" a="1"/>
  <c r="P94" i="11" s="1"/>
  <c r="P111" i="11" a="1"/>
  <c r="P111" i="11" s="1"/>
  <c r="P125" i="11" a="1"/>
  <c r="P125" i="11" s="1"/>
  <c r="P141" i="11" a="1"/>
  <c r="P141" i="11" s="1"/>
  <c r="P159" i="11" a="1"/>
  <c r="P159" i="11" s="1"/>
  <c r="P178" i="11" a="1"/>
  <c r="P178" i="11" s="1"/>
  <c r="P197" i="11" a="1"/>
  <c r="P197" i="11" s="1"/>
  <c r="O13" i="11" a="1"/>
  <c r="O13" i="11" s="1"/>
  <c r="O29" i="11" a="1"/>
  <c r="O29" i="11" s="1"/>
  <c r="O45" i="11" a="1"/>
  <c r="O45" i="11" s="1"/>
  <c r="O64" i="11" a="1"/>
  <c r="O64" i="11" s="1"/>
  <c r="O81" i="11" a="1"/>
  <c r="O81" i="11" s="1"/>
  <c r="O100" i="11" a="1"/>
  <c r="O100" i="11" s="1"/>
  <c r="O118" i="11" a="1"/>
  <c r="O118" i="11" s="1"/>
  <c r="O135" i="11" a="1"/>
  <c r="O135" i="11" s="1"/>
  <c r="O153" i="11" a="1"/>
  <c r="O153" i="11" s="1"/>
  <c r="O172" i="11" a="1"/>
  <c r="O172" i="11" s="1"/>
  <c r="O191" i="11" a="1"/>
  <c r="O191" i="11" s="1"/>
  <c r="P130" i="11" a="1"/>
  <c r="P130" i="11" s="1"/>
  <c r="P102" i="11" a="1"/>
  <c r="P102" i="11" s="1"/>
  <c r="P152" i="11" a="1"/>
  <c r="P152" i="11" s="1"/>
  <c r="P173" i="11" a="1"/>
  <c r="P173" i="11" s="1"/>
  <c r="P23" i="11" a="1"/>
  <c r="P23" i="11" s="1"/>
  <c r="P41" i="11" a="1"/>
  <c r="P41" i="11" s="1"/>
  <c r="P78" i="11" a="1"/>
  <c r="P78" i="11" s="1"/>
  <c r="P95" i="11" a="1"/>
  <c r="P95" i="11" s="1"/>
  <c r="P126" i="11" a="1"/>
  <c r="P126" i="11" s="1"/>
  <c r="P142" i="11" a="1"/>
  <c r="P142" i="11" s="1"/>
  <c r="P160" i="11" a="1"/>
  <c r="P160" i="11" s="1"/>
  <c r="P179" i="11" a="1"/>
  <c r="P179" i="11" s="1"/>
  <c r="P198" i="11" a="1"/>
  <c r="P198" i="11" s="1"/>
  <c r="O30" i="11" a="1"/>
  <c r="O30" i="11" s="1"/>
  <c r="O46" i="11" a="1"/>
  <c r="O46" i="11" s="1"/>
  <c r="O82" i="11" a="1"/>
  <c r="O82" i="11" s="1"/>
  <c r="O101" i="11" a="1"/>
  <c r="O101" i="11" s="1"/>
  <c r="O119" i="11" a="1"/>
  <c r="O119" i="11" s="1"/>
  <c r="O136" i="11" a="1"/>
  <c r="O136" i="11" s="1"/>
  <c r="O154" i="11" a="1"/>
  <c r="O154" i="11" s="1"/>
  <c r="O173" i="11" a="1"/>
  <c r="O173" i="11" s="1"/>
  <c r="O192" i="11" a="1"/>
  <c r="O192" i="11" s="1"/>
  <c r="P115" i="11" a="1"/>
  <c r="P115" i="11" s="1"/>
  <c r="P7" i="11" a="1"/>
  <c r="P7" i="11" s="1"/>
  <c r="P24" i="11" a="1"/>
  <c r="P24" i="11" s="1"/>
  <c r="P42" i="11" a="1"/>
  <c r="P42" i="11" s="1"/>
  <c r="P60" i="11" a="1"/>
  <c r="P60" i="11" s="1"/>
  <c r="P79" i="11" a="1"/>
  <c r="P79" i="11" s="1"/>
  <c r="P96" i="11" a="1"/>
  <c r="P96" i="11" s="1"/>
  <c r="P112" i="11" a="1"/>
  <c r="P112" i="11" s="1"/>
  <c r="P143" i="11" a="1"/>
  <c r="P143" i="11" s="1"/>
  <c r="P161" i="11" a="1"/>
  <c r="P161" i="11" s="1"/>
  <c r="P180" i="11" a="1"/>
  <c r="P180" i="11" s="1"/>
  <c r="P199" i="11" a="1"/>
  <c r="P199" i="11" s="1"/>
  <c r="O14" i="11" a="1"/>
  <c r="O14" i="11" s="1"/>
  <c r="O31" i="11" a="1"/>
  <c r="O31" i="11" s="1"/>
  <c r="O47" i="11" a="1"/>
  <c r="O47" i="11" s="1"/>
  <c r="O65" i="11" a="1"/>
  <c r="O65" i="11" s="1"/>
  <c r="O83" i="11" a="1"/>
  <c r="O83" i="11" s="1"/>
  <c r="O102" i="11" a="1"/>
  <c r="O102" i="11" s="1"/>
  <c r="O120" i="11" a="1"/>
  <c r="O120" i="11" s="1"/>
  <c r="O137" i="11" a="1"/>
  <c r="O137" i="11" s="1"/>
  <c r="O155" i="11" a="1"/>
  <c r="O155" i="11" s="1"/>
  <c r="O174" i="11" a="1"/>
  <c r="O174" i="11" s="1"/>
  <c r="P147" i="11" a="1"/>
  <c r="P147" i="11" s="1"/>
  <c r="P118" i="11" a="1"/>
  <c r="P118" i="11" s="1"/>
  <c r="P134" i="11" a="1"/>
  <c r="P134" i="11" s="1"/>
  <c r="P90" i="11" a="1"/>
  <c r="P90" i="11" s="1"/>
  <c r="P8" i="11" a="1"/>
  <c r="P8" i="11" s="1"/>
  <c r="P25" i="11" a="1"/>
  <c r="P25" i="11" s="1"/>
  <c r="P43" i="11" a="1"/>
  <c r="P43" i="11" s="1"/>
  <c r="P61" i="11" a="1"/>
  <c r="P61" i="11" s="1"/>
  <c r="P80" i="11" a="1"/>
  <c r="P80" i="11" s="1"/>
  <c r="P127" i="11" a="1"/>
  <c r="P127" i="11" s="1"/>
  <c r="P144" i="11" a="1"/>
  <c r="P144" i="11" s="1"/>
  <c r="P162" i="11" a="1"/>
  <c r="P162" i="11" s="1"/>
  <c r="P181" i="11" a="1"/>
  <c r="P181" i="11" s="1"/>
  <c r="O15" i="11" a="1"/>
  <c r="O15" i="11" s="1"/>
  <c r="O32" i="11" a="1"/>
  <c r="O32" i="11" s="1"/>
  <c r="O48" i="11" a="1"/>
  <c r="O48" i="11" s="1"/>
  <c r="O66" i="11" a="1"/>
  <c r="O66" i="11" s="1"/>
  <c r="O84" i="11" a="1"/>
  <c r="O84" i="11" s="1"/>
  <c r="O103" i="11" a="1"/>
  <c r="O103" i="11" s="1"/>
  <c r="O121" i="11" a="1"/>
  <c r="O121" i="11" s="1"/>
  <c r="O138" i="11" a="1"/>
  <c r="O138" i="11" s="1"/>
  <c r="O156" i="11" a="1"/>
  <c r="O156" i="11" s="1"/>
  <c r="O193" i="11" a="1"/>
  <c r="O193" i="11" s="1"/>
  <c r="P99" i="11" a="1"/>
  <c r="P99" i="11" s="1"/>
  <c r="P119" i="11" a="1"/>
  <c r="P119" i="11" s="1"/>
  <c r="P107" i="11" a="1"/>
  <c r="P107" i="11" s="1"/>
  <c r="P9" i="11" a="1"/>
  <c r="P9" i="11" s="1"/>
  <c r="P26" i="11" a="1"/>
  <c r="P26" i="11" s="1"/>
  <c r="P44" i="11" a="1"/>
  <c r="P44" i="11" s="1"/>
  <c r="P62" i="11" a="1"/>
  <c r="P62" i="11" s="1"/>
  <c r="P81" i="11" a="1"/>
  <c r="P81" i="11" s="1"/>
  <c r="P97" i="11" a="1"/>
  <c r="P97" i="11" s="1"/>
  <c r="P113" i="11" a="1"/>
  <c r="P113" i="11" s="1"/>
  <c r="P128" i="11" a="1"/>
  <c r="P128" i="11" s="1"/>
  <c r="P145" i="11" a="1"/>
  <c r="P145" i="11" s="1"/>
  <c r="P182" i="11" a="1"/>
  <c r="P182" i="11" s="1"/>
  <c r="P200" i="11" a="1"/>
  <c r="P200" i="11" s="1"/>
  <c r="O16" i="11" a="1"/>
  <c r="O16" i="11" s="1"/>
  <c r="O33" i="11" a="1"/>
  <c r="O33" i="11" s="1"/>
  <c r="O49" i="11" a="1"/>
  <c r="O49" i="11" s="1"/>
  <c r="O67" i="11" a="1"/>
  <c r="O67" i="11" s="1"/>
  <c r="O85" i="11" a="1"/>
  <c r="O85" i="11" s="1"/>
  <c r="O122" i="11" a="1"/>
  <c r="O122" i="11" s="1"/>
  <c r="O139" i="11" a="1"/>
  <c r="O139" i="11" s="1"/>
  <c r="O157" i="11" a="1"/>
  <c r="O157" i="11" s="1"/>
  <c r="O175" i="11" a="1"/>
  <c r="O175" i="11" s="1"/>
  <c r="O194" i="11" a="1"/>
  <c r="O194" i="11" s="1"/>
  <c r="P28" i="11" a="1"/>
  <c r="P28" i="11" s="1"/>
  <c r="O105" i="11" a="1"/>
  <c r="O105" i="11" s="1"/>
  <c r="O20" i="11" a="1"/>
  <c r="O20" i="11" s="1"/>
  <c r="P68" i="11" a="1"/>
  <c r="P68" i="11" s="1"/>
  <c r="P69" i="11" a="1"/>
  <c r="P69" i="11" s="1"/>
  <c r="P70" i="11" a="1"/>
  <c r="P70" i="11" s="1"/>
  <c r="P138" i="11" a="1"/>
  <c r="P138" i="11" s="1"/>
  <c r="P10" i="11" a="1"/>
  <c r="P10" i="11" s="1"/>
  <c r="P27" i="11" a="1"/>
  <c r="P27" i="11" s="1"/>
  <c r="P45" i="11" a="1"/>
  <c r="P45" i="11" s="1"/>
  <c r="P63" i="11" a="1"/>
  <c r="P63" i="11" s="1"/>
  <c r="P82" i="11" a="1"/>
  <c r="P82" i="11" s="1"/>
  <c r="P98" i="11" a="1"/>
  <c r="P98" i="11" s="1"/>
  <c r="P114" i="11" a="1"/>
  <c r="P114" i="11" s="1"/>
  <c r="P129" i="11" a="1"/>
  <c r="P129" i="11" s="1"/>
  <c r="P146" i="11" a="1"/>
  <c r="P146" i="11" s="1"/>
  <c r="P163" i="11" a="1"/>
  <c r="P163" i="11" s="1"/>
  <c r="P183" i="11" a="1"/>
  <c r="P183" i="11" s="1"/>
  <c r="P201" i="11" a="1"/>
  <c r="P201" i="11" s="1"/>
  <c r="O17" i="11" a="1"/>
  <c r="O17" i="11" s="1"/>
  <c r="O50" i="11" a="1"/>
  <c r="O50" i="11" s="1"/>
  <c r="O86" i="11" a="1"/>
  <c r="O86" i="11" s="1"/>
  <c r="O104" i="11" a="1"/>
  <c r="O104" i="11" s="1"/>
  <c r="O123" i="11" a="1"/>
  <c r="O123" i="11" s="1"/>
  <c r="O140" i="11" a="1"/>
  <c r="O140" i="11" s="1"/>
  <c r="O158" i="11" a="1"/>
  <c r="O158" i="11" s="1"/>
  <c r="O176" i="11" a="1"/>
  <c r="O176" i="11" s="1"/>
  <c r="O195" i="11" a="1"/>
  <c r="O195" i="11" s="1"/>
  <c r="P11" i="11" a="1"/>
  <c r="P11" i="11" s="1"/>
  <c r="P164" i="11" a="1"/>
  <c r="P164" i="11" s="1"/>
  <c r="P184" i="11" a="1"/>
  <c r="P184" i="11" s="1"/>
  <c r="P202" i="11" a="1"/>
  <c r="P202" i="11" s="1"/>
  <c r="O34" i="11" a="1"/>
  <c r="O34" i="11" s="1"/>
  <c r="O51" i="11" a="1"/>
  <c r="O51" i="11" s="1"/>
  <c r="O68" i="11" a="1"/>
  <c r="O68" i="11" s="1"/>
  <c r="O124" i="11" a="1"/>
  <c r="O124" i="11" s="1"/>
  <c r="O159" i="11" a="1"/>
  <c r="O159" i="11" s="1"/>
  <c r="P66" i="11" a="1"/>
  <c r="P66" i="11" s="1"/>
  <c r="O143" i="11" a="1"/>
  <c r="O143" i="11" s="1"/>
  <c r="P31" i="11" a="1"/>
  <c r="P31" i="11" s="1"/>
  <c r="O22" i="11" a="1"/>
  <c r="O22" i="11" s="1"/>
  <c r="O37" i="11" a="1"/>
  <c r="O37" i="11" s="1"/>
  <c r="O91" i="11" a="1"/>
  <c r="O91" i="11" s="1"/>
  <c r="O163" i="11" a="1"/>
  <c r="O163" i="11" s="1"/>
  <c r="P189" i="11" a="1"/>
  <c r="P189" i="11" s="1"/>
  <c r="O55" i="11" a="1"/>
  <c r="O55" i="11" s="1"/>
  <c r="O110" i="11" a="1"/>
  <c r="O110" i="11" s="1"/>
  <c r="O144" i="11" a="1"/>
  <c r="O144" i="11" s="1"/>
  <c r="O201" i="11" a="1"/>
  <c r="O201" i="11" s="1"/>
  <c r="P32" i="11" a="1"/>
  <c r="P32" i="11" s="1"/>
  <c r="P104" i="11" a="1"/>
  <c r="P104" i="11" s="1"/>
  <c r="P170" i="11" a="1"/>
  <c r="P170" i="11" s="1"/>
  <c r="P6" i="11" a="1"/>
  <c r="P6" i="11" s="1"/>
  <c r="O56" i="11" a="1"/>
  <c r="O56" i="11" s="1"/>
  <c r="O145" i="11" a="1"/>
  <c r="O145" i="11" s="1"/>
  <c r="O183" i="11" a="1"/>
  <c r="O183" i="11" s="1"/>
  <c r="P54" i="11" a="1"/>
  <c r="P54" i="11" s="1"/>
  <c r="O9" i="11" a="1"/>
  <c r="O9" i="11" s="1"/>
  <c r="O59" i="11" a="1"/>
  <c r="O59" i="11" s="1"/>
  <c r="O130" i="11" a="1"/>
  <c r="O130" i="11" s="1"/>
  <c r="O186" i="11" a="1"/>
  <c r="O186" i="11" s="1"/>
  <c r="P36" i="11" a="1"/>
  <c r="P36" i="11" s="1"/>
  <c r="P91" i="11" a="1"/>
  <c r="P91" i="11" s="1"/>
  <c r="P122" i="11" a="1"/>
  <c r="P122" i="11" s="1"/>
  <c r="P174" i="11" a="1"/>
  <c r="P174" i="11" s="1"/>
  <c r="O77" i="11" a="1"/>
  <c r="O77" i="11" s="1"/>
  <c r="O131" i="11" a="1"/>
  <c r="O131" i="11" s="1"/>
  <c r="O149" i="11" a="1"/>
  <c r="O149" i="11" s="1"/>
  <c r="O205" i="11" a="1"/>
  <c r="O205" i="11" s="1"/>
  <c r="P12" i="11" a="1"/>
  <c r="P12" i="11" s="1"/>
  <c r="P29" i="11" a="1"/>
  <c r="P29" i="11" s="1"/>
  <c r="P47" i="11" a="1"/>
  <c r="P47" i="11" s="1"/>
  <c r="P65" i="11" a="1"/>
  <c r="P65" i="11" s="1"/>
  <c r="P116" i="11" a="1"/>
  <c r="P116" i="11" s="1"/>
  <c r="P131" i="11" a="1"/>
  <c r="P131" i="11" s="1"/>
  <c r="P148" i="11" a="1"/>
  <c r="P148" i="11" s="1"/>
  <c r="P165" i="11" a="1"/>
  <c r="P165" i="11" s="1"/>
  <c r="P185" i="11" a="1"/>
  <c r="P185" i="11" s="1"/>
  <c r="P203" i="11" a="1"/>
  <c r="P203" i="11" s="1"/>
  <c r="O19" i="11" a="1"/>
  <c r="O19" i="11" s="1"/>
  <c r="O35" i="11" a="1"/>
  <c r="O35" i="11" s="1"/>
  <c r="O52" i="11" a="1"/>
  <c r="O52" i="11" s="1"/>
  <c r="O69" i="11" a="1"/>
  <c r="O69" i="11" s="1"/>
  <c r="O88" i="11" a="1"/>
  <c r="O88" i="11" s="1"/>
  <c r="O106" i="11" a="1"/>
  <c r="O106" i="11" s="1"/>
  <c r="O142" i="11" a="1"/>
  <c r="O142" i="11" s="1"/>
  <c r="O160" i="11" a="1"/>
  <c r="O160" i="11" s="1"/>
  <c r="O178" i="11" a="1"/>
  <c r="O178" i="11" s="1"/>
  <c r="O197" i="11" a="1"/>
  <c r="O197" i="11" s="1"/>
  <c r="O70" i="11" a="1"/>
  <c r="O70" i="11" s="1"/>
  <c r="O107" i="11" a="1"/>
  <c r="O107" i="11" s="1"/>
  <c r="O125" i="11" a="1"/>
  <c r="O125" i="11" s="1"/>
  <c r="O161" i="11" a="1"/>
  <c r="O161" i="11" s="1"/>
  <c r="O198" i="11" a="1"/>
  <c r="O198" i="11" s="1"/>
  <c r="P168" i="11" a="1"/>
  <c r="P168" i="11" s="1"/>
  <c r="P86" i="11" a="1"/>
  <c r="P86" i="11" s="1"/>
  <c r="P87" i="11" a="1"/>
  <c r="P87" i="11" s="1"/>
  <c r="P73" i="11" a="1"/>
  <c r="P73" i="11" s="1"/>
  <c r="P13" i="11" a="1"/>
  <c r="P13" i="11" s="1"/>
  <c r="P48" i="11" a="1"/>
  <c r="P48" i="11" s="1"/>
  <c r="P100" i="11" a="1"/>
  <c r="P100" i="11" s="1"/>
  <c r="P132" i="11" a="1"/>
  <c r="P132" i="11" s="1"/>
  <c r="P149" i="11" a="1"/>
  <c r="P149" i="11" s="1"/>
  <c r="P166" i="11" a="1"/>
  <c r="P166" i="11" s="1"/>
  <c r="P186" i="11" a="1"/>
  <c r="P186" i="11" s="1"/>
  <c r="O36" i="11" a="1"/>
  <c r="O36" i="11" s="1"/>
  <c r="O89" i="11" a="1"/>
  <c r="O89" i="11" s="1"/>
  <c r="O179" i="11" a="1"/>
  <c r="O179" i="11" s="1"/>
  <c r="P188" i="11" a="1"/>
  <c r="P188" i="11" s="1"/>
  <c r="O73" i="11" a="1"/>
  <c r="O73" i="11" s="1"/>
  <c r="P155" i="11" a="1"/>
  <c r="P155" i="11" s="1"/>
  <c r="P30" i="11" a="1"/>
  <c r="P30" i="11" s="1"/>
  <c r="P49" i="11" a="1"/>
  <c r="P49" i="11" s="1"/>
  <c r="P67" i="11" a="1"/>
  <c r="P67" i="11" s="1"/>
  <c r="P85" i="11" a="1"/>
  <c r="P85" i="11" s="1"/>
  <c r="P101" i="11" a="1"/>
  <c r="P101" i="11" s="1"/>
  <c r="P117" i="11" a="1"/>
  <c r="P117" i="11" s="1"/>
  <c r="P133" i="11" a="1"/>
  <c r="P133" i="11" s="1"/>
  <c r="P150" i="11" a="1"/>
  <c r="P150" i="11" s="1"/>
  <c r="P167" i="11" a="1"/>
  <c r="P167" i="11" s="1"/>
  <c r="P187" i="11" a="1"/>
  <c r="P187" i="11" s="1"/>
  <c r="P204" i="11" a="1"/>
  <c r="P204" i="11" s="1"/>
  <c r="O21" i="11" a="1"/>
  <c r="O21" i="11" s="1"/>
  <c r="O53" i="11" a="1"/>
  <c r="O53" i="11" s="1"/>
  <c r="O71" i="11" a="1"/>
  <c r="O71" i="11" s="1"/>
  <c r="O90" i="11" a="1"/>
  <c r="O90" i="11" s="1"/>
  <c r="O108" i="11" a="1"/>
  <c r="O108" i="11" s="1"/>
  <c r="O126" i="11" a="1"/>
  <c r="O126" i="11" s="1"/>
  <c r="O180" i="11" a="1"/>
  <c r="O180" i="11" s="1"/>
  <c r="O199" i="11" a="1"/>
  <c r="O199" i="11" s="1"/>
  <c r="P50" i="11" a="1"/>
  <c r="P50" i="11" s="1"/>
  <c r="P103" i="11" a="1"/>
  <c r="P103" i="11" s="1"/>
  <c r="O167" i="11" a="1"/>
  <c r="O167" i="11" s="1"/>
  <c r="P33" i="11" a="1"/>
  <c r="P33" i="11" s="1"/>
  <c r="P53" i="11" a="1"/>
  <c r="P53" i="11" s="1"/>
  <c r="P71" i="11" a="1"/>
  <c r="P71" i="11" s="1"/>
  <c r="P88" i="11" a="1"/>
  <c r="P88" i="11" s="1"/>
  <c r="P105" i="11" a="1"/>
  <c r="P105" i="11" s="1"/>
  <c r="P120" i="11" a="1"/>
  <c r="P120" i="11" s="1"/>
  <c r="P153" i="11" a="1"/>
  <c r="P153" i="11" s="1"/>
  <c r="P171" i="11" a="1"/>
  <c r="P171" i="11" s="1"/>
  <c r="P191" i="11" a="1"/>
  <c r="P191" i="11" s="1"/>
  <c r="O7" i="11" a="1"/>
  <c r="O7" i="11" s="1"/>
  <c r="O24" i="11" a="1"/>
  <c r="O24" i="11" s="1"/>
  <c r="O40" i="11" a="1"/>
  <c r="O40" i="11" s="1"/>
  <c r="O57" i="11" a="1"/>
  <c r="O57" i="11" s="1"/>
  <c r="O75" i="11" a="1"/>
  <c r="O75" i="11" s="1"/>
  <c r="O93" i="11" a="1"/>
  <c r="O93" i="11" s="1"/>
  <c r="O112" i="11" a="1"/>
  <c r="O112" i="11" s="1"/>
  <c r="O128" i="11" a="1"/>
  <c r="O128" i="11" s="1"/>
  <c r="O146" i="11" a="1"/>
  <c r="O146" i="11" s="1"/>
  <c r="O165" i="11" a="1"/>
  <c r="O165" i="11" s="1"/>
  <c r="O184" i="11" a="1"/>
  <c r="O184" i="11" s="1"/>
  <c r="O203" i="11" a="1"/>
  <c r="O203" i="11" s="1"/>
  <c r="P16" i="11" a="1"/>
  <c r="P16" i="11" s="1"/>
  <c r="P34" i="11" a="1"/>
  <c r="P34" i="11" s="1"/>
  <c r="P89" i="11" a="1"/>
  <c r="P89" i="11" s="1"/>
  <c r="P106" i="11" a="1"/>
  <c r="P106" i="11" s="1"/>
  <c r="P121" i="11" a="1"/>
  <c r="P121" i="11" s="1"/>
  <c r="P136" i="11" a="1"/>
  <c r="P136" i="11" s="1"/>
  <c r="P154" i="11" a="1"/>
  <c r="P154" i="11" s="1"/>
  <c r="P172" i="11" a="1"/>
  <c r="P172" i="11" s="1"/>
  <c r="P192" i="11" a="1"/>
  <c r="P192" i="11" s="1"/>
  <c r="O8" i="11" a="1"/>
  <c r="O8" i="11" s="1"/>
  <c r="O25" i="11" a="1"/>
  <c r="O25" i="11" s="1"/>
  <c r="O41" i="11" a="1"/>
  <c r="O41" i="11" s="1"/>
  <c r="O58" i="11" a="1"/>
  <c r="O58" i="11" s="1"/>
  <c r="O76" i="11" a="1"/>
  <c r="O76" i="11" s="1"/>
  <c r="O94" i="11" a="1"/>
  <c r="O94" i="11" s="1"/>
  <c r="O129" i="11" a="1"/>
  <c r="O129" i="11" s="1"/>
  <c r="O147" i="11" a="1"/>
  <c r="O147" i="11" s="1"/>
  <c r="O166" i="11" a="1"/>
  <c r="O166" i="11" s="1"/>
  <c r="O185" i="11" a="1"/>
  <c r="O185" i="11" s="1"/>
  <c r="O204" i="11" a="1"/>
  <c r="O204" i="11" s="1"/>
  <c r="P17" i="11" a="1"/>
  <c r="P17" i="11" s="1"/>
  <c r="P137" i="11" a="1"/>
  <c r="P137" i="11" s="1"/>
  <c r="P193" i="11" a="1"/>
  <c r="P193" i="11" s="1"/>
  <c r="O42" i="11" a="1"/>
  <c r="O42" i="11" s="1"/>
  <c r="O95" i="11" a="1"/>
  <c r="O95" i="11" s="1"/>
  <c r="P55" i="11" a="1"/>
  <c r="P55" i="11" s="1"/>
  <c r="O96" i="11" a="1"/>
  <c r="O96" i="11" s="1"/>
  <c r="O187" i="11" a="1"/>
  <c r="O187" i="11" s="1"/>
  <c r="B205" i="13" l="1"/>
  <c r="D205" i="13" s="1"/>
  <c r="B109" i="13"/>
  <c r="P109" i="13" s="1"/>
  <c r="B110" i="13"/>
  <c r="P110" i="13" s="1"/>
  <c r="B111" i="13"/>
  <c r="P111" i="13" s="1"/>
  <c r="B112" i="13"/>
  <c r="P112" i="13" s="1"/>
  <c r="B113" i="13"/>
  <c r="P113" i="13" s="1"/>
  <c r="B114" i="13"/>
  <c r="P114" i="13" s="1"/>
  <c r="B115" i="13"/>
  <c r="P115" i="13" s="1"/>
  <c r="B116" i="13"/>
  <c r="P116" i="13" s="1"/>
  <c r="B117" i="13"/>
  <c r="P117" i="13" s="1"/>
  <c r="B118" i="13"/>
  <c r="P118" i="13" s="1"/>
  <c r="B119" i="13"/>
  <c r="P119" i="13" s="1"/>
  <c r="B120" i="13"/>
  <c r="P120" i="13" s="1"/>
  <c r="B121" i="13"/>
  <c r="P121" i="13" s="1"/>
  <c r="B122" i="13"/>
  <c r="P122" i="13" s="1"/>
  <c r="B123" i="13"/>
  <c r="P123" i="13" s="1"/>
  <c r="B124" i="13"/>
  <c r="P124" i="13" s="1"/>
  <c r="B125" i="13"/>
  <c r="P125" i="13" s="1"/>
  <c r="B126" i="13"/>
  <c r="P126" i="13" s="1"/>
  <c r="B127" i="13"/>
  <c r="P127" i="13" s="1"/>
  <c r="B128" i="13"/>
  <c r="P128" i="13" s="1"/>
  <c r="B129" i="13"/>
  <c r="P129" i="13" s="1"/>
  <c r="B130" i="13"/>
  <c r="P130" i="13" s="1"/>
  <c r="B131" i="13"/>
  <c r="P131" i="13" s="1"/>
  <c r="B132" i="13"/>
  <c r="P132" i="13" s="1"/>
  <c r="B133" i="13"/>
  <c r="P133" i="13" s="1"/>
  <c r="B134" i="13"/>
  <c r="P134" i="13" s="1"/>
  <c r="B135" i="13"/>
  <c r="P135" i="13" s="1"/>
  <c r="B136" i="13"/>
  <c r="P136" i="13" s="1"/>
  <c r="B137" i="13"/>
  <c r="P137" i="13" s="1"/>
  <c r="B138" i="13"/>
  <c r="P138" i="13" s="1"/>
  <c r="B139" i="13"/>
  <c r="P139" i="13" s="1"/>
  <c r="B140" i="13"/>
  <c r="P140" i="13" s="1"/>
  <c r="B141" i="13"/>
  <c r="P141" i="13" s="1"/>
  <c r="B142" i="13"/>
  <c r="P142" i="13" s="1"/>
  <c r="B143" i="13"/>
  <c r="P143" i="13" s="1"/>
  <c r="B144" i="13"/>
  <c r="P144" i="13" s="1"/>
  <c r="B145" i="13"/>
  <c r="P145" i="13" s="1"/>
  <c r="B146" i="13"/>
  <c r="P146" i="13" s="1"/>
  <c r="B147" i="13"/>
  <c r="P147" i="13" s="1"/>
  <c r="B148" i="13"/>
  <c r="P148" i="13" s="1"/>
  <c r="B149" i="13"/>
  <c r="P149" i="13" s="1"/>
  <c r="B150" i="13"/>
  <c r="P150" i="13" s="1"/>
  <c r="B151" i="13"/>
  <c r="P151" i="13" s="1"/>
  <c r="B152" i="13"/>
  <c r="P152" i="13" s="1"/>
  <c r="B153" i="13"/>
  <c r="P153" i="13" s="1"/>
  <c r="B154" i="13"/>
  <c r="P154" i="13" s="1"/>
  <c r="B155" i="13"/>
  <c r="P155" i="13" s="1"/>
  <c r="B156" i="13"/>
  <c r="P156" i="13" s="1"/>
  <c r="B157" i="13"/>
  <c r="P157" i="13" s="1"/>
  <c r="B158" i="13"/>
  <c r="P158" i="13" s="1"/>
  <c r="B159" i="13"/>
  <c r="P159" i="13" s="1"/>
  <c r="B160" i="13"/>
  <c r="P160" i="13" s="1"/>
  <c r="B161" i="13"/>
  <c r="P161" i="13" s="1"/>
  <c r="B162" i="13"/>
  <c r="P162" i="13" s="1"/>
  <c r="B163" i="13"/>
  <c r="P163" i="13" s="1"/>
  <c r="B164" i="13"/>
  <c r="P164" i="13" s="1"/>
  <c r="B165" i="13"/>
  <c r="P165" i="13" s="1"/>
  <c r="B166" i="13"/>
  <c r="P166" i="13" s="1"/>
  <c r="B167" i="13"/>
  <c r="P167" i="13" s="1"/>
  <c r="B168" i="13"/>
  <c r="P168" i="13" s="1"/>
  <c r="B169" i="13"/>
  <c r="P169" i="13" s="1"/>
  <c r="B170" i="13"/>
  <c r="P170" i="13" s="1"/>
  <c r="B171" i="13"/>
  <c r="P171" i="13" s="1"/>
  <c r="B172" i="13"/>
  <c r="P172" i="13" s="1"/>
  <c r="B173" i="13"/>
  <c r="P173" i="13" s="1"/>
  <c r="B174" i="13"/>
  <c r="P174" i="13" s="1"/>
  <c r="B175" i="13"/>
  <c r="P175" i="13" s="1"/>
  <c r="B176" i="13"/>
  <c r="P176" i="13" s="1"/>
  <c r="B177" i="13"/>
  <c r="P177" i="13" s="1"/>
  <c r="B178" i="13"/>
  <c r="P178" i="13" s="1"/>
  <c r="B179" i="13"/>
  <c r="P179" i="13" s="1"/>
  <c r="B180" i="13"/>
  <c r="P180" i="13" s="1"/>
  <c r="B181" i="13"/>
  <c r="P181" i="13" s="1"/>
  <c r="B182" i="13"/>
  <c r="P182" i="13" s="1"/>
  <c r="B183" i="13"/>
  <c r="P183" i="13" s="1"/>
  <c r="B184" i="13"/>
  <c r="P184" i="13" s="1"/>
  <c r="B185" i="13"/>
  <c r="P185" i="13" s="1"/>
  <c r="B186" i="13"/>
  <c r="P186" i="13" s="1"/>
  <c r="B187" i="13"/>
  <c r="P187" i="13" s="1"/>
  <c r="B188" i="13"/>
  <c r="P188" i="13" s="1"/>
  <c r="B189" i="13"/>
  <c r="P189" i="13" s="1"/>
  <c r="B190" i="13"/>
  <c r="P190" i="13" s="1"/>
  <c r="B191" i="13"/>
  <c r="P191" i="13" s="1"/>
  <c r="B192" i="13"/>
  <c r="P192" i="13" s="1"/>
  <c r="B193" i="13"/>
  <c r="P193" i="13" s="1"/>
  <c r="B194" i="13"/>
  <c r="P194" i="13" s="1"/>
  <c r="B195" i="13"/>
  <c r="P195" i="13" s="1"/>
  <c r="B196" i="13"/>
  <c r="P196" i="13" s="1"/>
  <c r="B197" i="13"/>
  <c r="B198" i="13"/>
  <c r="B199" i="13"/>
  <c r="B200" i="13"/>
  <c r="B201" i="13"/>
  <c r="B202" i="13"/>
  <c r="B203" i="13"/>
  <c r="B204" i="13"/>
  <c r="B108" i="13"/>
  <c r="B85" i="13"/>
  <c r="B20" i="13"/>
  <c r="B6" i="13"/>
  <c r="B7" i="13"/>
  <c r="P7" i="13" s="1"/>
  <c r="B8" i="13"/>
  <c r="P8" i="13" s="1"/>
  <c r="B9" i="13"/>
  <c r="P9" i="13" s="1"/>
  <c r="B10" i="13"/>
  <c r="P10" i="13" s="1"/>
  <c r="B11" i="13"/>
  <c r="P11" i="13" s="1"/>
  <c r="B12" i="13"/>
  <c r="P12" i="13" s="1"/>
  <c r="B13" i="13"/>
  <c r="P13" i="13" s="1"/>
  <c r="B14" i="13"/>
  <c r="P14" i="13" s="1"/>
  <c r="B15" i="13"/>
  <c r="P15" i="13" s="1"/>
  <c r="B16" i="13"/>
  <c r="P16" i="13" s="1"/>
  <c r="B17" i="13"/>
  <c r="P17" i="13" s="1"/>
  <c r="B18" i="13"/>
  <c r="P18" i="13" s="1"/>
  <c r="B19" i="13"/>
  <c r="P19" i="13" s="1"/>
  <c r="B21" i="13"/>
  <c r="P21" i="13" s="1"/>
  <c r="B22" i="13"/>
  <c r="P22" i="13" s="1"/>
  <c r="B23" i="13"/>
  <c r="P23" i="13" s="1"/>
  <c r="B24" i="13"/>
  <c r="P24" i="13" s="1"/>
  <c r="B25" i="13"/>
  <c r="P25" i="13" s="1"/>
  <c r="B26" i="13"/>
  <c r="P26" i="13" s="1"/>
  <c r="B27" i="13"/>
  <c r="P27" i="13" s="1"/>
  <c r="B28" i="13"/>
  <c r="P28" i="13" s="1"/>
  <c r="B29" i="13"/>
  <c r="P29" i="13" s="1"/>
  <c r="B30" i="13"/>
  <c r="P30" i="13" s="1"/>
  <c r="B31" i="13"/>
  <c r="P31" i="13" s="1"/>
  <c r="B32" i="13"/>
  <c r="P32" i="13" s="1"/>
  <c r="B33" i="13"/>
  <c r="P33" i="13" s="1"/>
  <c r="B34" i="13"/>
  <c r="P34" i="13" s="1"/>
  <c r="B35" i="13"/>
  <c r="P35" i="13" s="1"/>
  <c r="B36" i="13"/>
  <c r="P36" i="13" s="1"/>
  <c r="B37" i="13"/>
  <c r="P37" i="13" s="1"/>
  <c r="B38" i="13"/>
  <c r="P38" i="13" s="1"/>
  <c r="B39" i="13"/>
  <c r="P39" i="13" s="1"/>
  <c r="B40" i="13"/>
  <c r="P40" i="13" s="1"/>
  <c r="B41" i="13"/>
  <c r="P41" i="13" s="1"/>
  <c r="B42" i="13"/>
  <c r="P42" i="13" s="1"/>
  <c r="B43" i="13"/>
  <c r="P43" i="13" s="1"/>
  <c r="B44" i="13"/>
  <c r="P44" i="13" s="1"/>
  <c r="B45" i="13"/>
  <c r="P45" i="13" s="1"/>
  <c r="B46" i="13"/>
  <c r="P46" i="13" s="1"/>
  <c r="B47" i="13"/>
  <c r="P47" i="13" s="1"/>
  <c r="B48" i="13"/>
  <c r="P48" i="13" s="1"/>
  <c r="B49" i="13"/>
  <c r="P49" i="13" s="1"/>
  <c r="B50" i="13"/>
  <c r="P50" i="13" s="1"/>
  <c r="B51" i="13"/>
  <c r="P51" i="13" s="1"/>
  <c r="B52" i="13"/>
  <c r="P52" i="13" s="1"/>
  <c r="B53" i="13"/>
  <c r="P53" i="13" s="1"/>
  <c r="B54" i="13"/>
  <c r="P54" i="13" s="1"/>
  <c r="B55" i="13"/>
  <c r="P55" i="13" s="1"/>
  <c r="B56" i="13"/>
  <c r="P56" i="13" s="1"/>
  <c r="B57" i="13"/>
  <c r="P57" i="13" s="1"/>
  <c r="B58" i="13"/>
  <c r="P58" i="13" s="1"/>
  <c r="B59" i="13"/>
  <c r="P59" i="13" s="1"/>
  <c r="B60" i="13"/>
  <c r="P60" i="13" s="1"/>
  <c r="B61" i="13"/>
  <c r="P61" i="13" s="1"/>
  <c r="B62" i="13"/>
  <c r="P62" i="13" s="1"/>
  <c r="B63" i="13"/>
  <c r="P63" i="13" s="1"/>
  <c r="B64" i="13"/>
  <c r="P64" i="13" s="1"/>
  <c r="B65" i="13"/>
  <c r="P65" i="13" s="1"/>
  <c r="B66" i="13"/>
  <c r="P66" i="13" s="1"/>
  <c r="B67" i="13"/>
  <c r="P67" i="13" s="1"/>
  <c r="B68" i="13"/>
  <c r="P68" i="13" s="1"/>
  <c r="B69" i="13"/>
  <c r="P69" i="13" s="1"/>
  <c r="B70" i="13"/>
  <c r="P70" i="13" s="1"/>
  <c r="B71" i="13"/>
  <c r="P71" i="13" s="1"/>
  <c r="B72" i="13"/>
  <c r="P72" i="13" s="1"/>
  <c r="B73" i="13"/>
  <c r="P73" i="13" s="1"/>
  <c r="B74" i="13"/>
  <c r="P74" i="13" s="1"/>
  <c r="B75" i="13"/>
  <c r="P75" i="13" s="1"/>
  <c r="B76" i="13"/>
  <c r="P76" i="13" s="1"/>
  <c r="B77" i="13"/>
  <c r="P77" i="13" s="1"/>
  <c r="B78" i="13"/>
  <c r="P78" i="13" s="1"/>
  <c r="B79" i="13"/>
  <c r="P79" i="13" s="1"/>
  <c r="B80" i="13"/>
  <c r="P80" i="13" s="1"/>
  <c r="B81" i="13"/>
  <c r="P81" i="13" s="1"/>
  <c r="B82" i="13"/>
  <c r="P82" i="13" s="1"/>
  <c r="B83" i="13"/>
  <c r="P83" i="13" s="1"/>
  <c r="B84" i="13"/>
  <c r="P84" i="13" s="1"/>
  <c r="B86" i="13"/>
  <c r="P86" i="13" s="1"/>
  <c r="B87" i="13"/>
  <c r="P87" i="13" s="1"/>
  <c r="B88" i="13"/>
  <c r="P88" i="13" s="1"/>
  <c r="B89" i="13"/>
  <c r="P89" i="13" s="1"/>
  <c r="B90" i="13"/>
  <c r="P90" i="13" s="1"/>
  <c r="B91" i="13"/>
  <c r="P91" i="13" s="1"/>
  <c r="B92" i="13"/>
  <c r="P92" i="13" s="1"/>
  <c r="B93" i="13"/>
  <c r="P93" i="13" s="1"/>
  <c r="B94" i="13"/>
  <c r="P94" i="13" s="1"/>
  <c r="B95" i="13"/>
  <c r="P95" i="13" s="1"/>
  <c r="B96" i="13"/>
  <c r="P96" i="13" s="1"/>
  <c r="B97" i="13"/>
  <c r="P97" i="13" s="1"/>
  <c r="B98" i="13"/>
  <c r="P98" i="13" s="1"/>
  <c r="B99" i="13"/>
  <c r="P99" i="13" s="1"/>
  <c r="B100" i="13"/>
  <c r="P100" i="13" s="1"/>
  <c r="B101" i="13"/>
  <c r="P101" i="13" s="1"/>
  <c r="B102" i="13"/>
  <c r="P102" i="13" s="1"/>
  <c r="B103" i="13"/>
  <c r="P103" i="13" s="1"/>
  <c r="B104" i="13"/>
  <c r="P104" i="13" s="1"/>
  <c r="B105" i="13"/>
  <c r="P105" i="13" s="1"/>
  <c r="B106" i="13"/>
  <c r="P106" i="13" s="1"/>
  <c r="B107" i="13"/>
  <c r="P107" i="13" s="1"/>
  <c r="B5" i="13"/>
  <c r="D5" i="13" s="1"/>
  <c r="P20" i="13" l="1"/>
  <c r="D20" i="13"/>
  <c r="P108" i="13"/>
  <c r="D108" i="13"/>
  <c r="P85" i="13"/>
  <c r="D85" i="13"/>
  <c r="P198" i="13"/>
  <c r="P197" i="13"/>
  <c r="P204" i="13"/>
  <c r="P203" i="13"/>
  <c r="P202" i="13"/>
  <c r="P200" i="13"/>
  <c r="P199" i="13"/>
  <c r="P201" i="13"/>
  <c r="P6" i="13"/>
  <c r="P5" i="13"/>
  <c r="P205" i="13"/>
  <c r="D5" i="20"/>
  <c r="A2" i="4"/>
  <c r="A2" i="11" l="1"/>
  <c r="G2" i="13"/>
  <c r="F2" i="13"/>
  <c r="E2" i="13"/>
  <c r="D2" i="13"/>
  <c r="C2" i="13"/>
  <c r="B2" i="5" l="1"/>
  <c r="I2" i="5" s="1"/>
  <c r="B2" i="3"/>
  <c r="C2" i="6"/>
  <c r="B2" i="14"/>
  <c r="B2" i="2"/>
  <c r="B2" i="13"/>
  <c r="B2" i="4"/>
  <c r="B2" i="11"/>
  <c r="L2" i="11" s="1" a="1"/>
  <c r="L2" i="11" s="1"/>
  <c r="I2" i="6" l="1"/>
  <c r="L126" i="6" s="1"/>
  <c r="N126" i="6" s="1"/>
  <c r="N2" i="13"/>
  <c r="G2" i="6"/>
  <c r="F2" i="6"/>
  <c r="K2" i="6"/>
  <c r="J2" i="6"/>
  <c r="H2" i="6"/>
  <c r="I2" i="3"/>
  <c r="J2" i="13"/>
  <c r="L58" i="6" l="1"/>
  <c r="N58" i="6" s="1"/>
  <c r="L44" i="6"/>
  <c r="N44" i="6" s="1"/>
  <c r="L201" i="6"/>
  <c r="N201" i="6" s="1"/>
  <c r="L157" i="6"/>
  <c r="N157" i="6" s="1"/>
  <c r="L162" i="6"/>
  <c r="N162" i="6" s="1"/>
  <c r="L62" i="6"/>
  <c r="N62" i="6" s="1"/>
  <c r="L120" i="6"/>
  <c r="N120" i="6" s="1"/>
  <c r="L76" i="6"/>
  <c r="N76" i="6" s="1"/>
  <c r="L183" i="6"/>
  <c r="N183" i="6" s="1"/>
  <c r="L41" i="6"/>
  <c r="N41" i="6" s="1"/>
  <c r="L90" i="6"/>
  <c r="N90" i="6" s="1"/>
  <c r="L116" i="6"/>
  <c r="N116" i="6" s="1"/>
  <c r="L114" i="6"/>
  <c r="N114" i="6" s="1"/>
  <c r="L184" i="6"/>
  <c r="N184" i="6" s="1"/>
  <c r="L144" i="6"/>
  <c r="N144" i="6" s="1"/>
  <c r="L182" i="6"/>
  <c r="N182" i="6" s="1"/>
  <c r="L36" i="6"/>
  <c r="N36" i="6" s="1"/>
  <c r="L119" i="6"/>
  <c r="N119" i="6" s="1"/>
  <c r="L194" i="6"/>
  <c r="N194" i="6" s="1"/>
  <c r="L50" i="6"/>
  <c r="N50" i="6" s="1"/>
  <c r="L93" i="6"/>
  <c r="N93" i="6" s="1"/>
  <c r="L104" i="6"/>
  <c r="N104" i="6" s="1"/>
  <c r="L42" i="6"/>
  <c r="N42" i="6" s="1"/>
  <c r="L82" i="6"/>
  <c r="N82" i="6" s="1"/>
  <c r="L20" i="6"/>
  <c r="N20" i="6" s="1"/>
  <c r="L198" i="6"/>
  <c r="N198" i="6" s="1"/>
  <c r="L131" i="6"/>
  <c r="N131" i="6" s="1"/>
  <c r="L70" i="6"/>
  <c r="N70" i="6" s="1"/>
  <c r="L9" i="6"/>
  <c r="N9" i="6" s="1"/>
  <c r="L13" i="6"/>
  <c r="N13" i="6" s="1"/>
  <c r="L96" i="6"/>
  <c r="N96" i="6" s="1"/>
  <c r="L101" i="6"/>
  <c r="N101" i="6" s="1"/>
  <c r="L140" i="6"/>
  <c r="N140" i="6" s="1"/>
  <c r="L115" i="6"/>
  <c r="N115" i="6" s="1"/>
  <c r="L142" i="6"/>
  <c r="N142" i="6" s="1"/>
  <c r="L24" i="6"/>
  <c r="N24" i="6" s="1"/>
  <c r="L51" i="6"/>
  <c r="N51" i="6" s="1"/>
  <c r="L55" i="6"/>
  <c r="N55" i="6" s="1"/>
  <c r="L80" i="6"/>
  <c r="N80" i="6" s="1"/>
  <c r="L171" i="6"/>
  <c r="N171" i="6" s="1"/>
  <c r="L197" i="6"/>
  <c r="N197" i="6" s="1"/>
  <c r="L111" i="6"/>
  <c r="N111" i="6" s="1"/>
  <c r="L181" i="6"/>
  <c r="N181" i="6" s="1"/>
  <c r="L63" i="6"/>
  <c r="N63" i="6" s="1"/>
  <c r="L188" i="6"/>
  <c r="N188" i="6" s="1"/>
  <c r="L154" i="6"/>
  <c r="N154" i="6" s="1"/>
  <c r="L99" i="6"/>
  <c r="N99" i="6" s="1"/>
  <c r="L23" i="6"/>
  <c r="N23" i="6" s="1"/>
  <c r="L130" i="6"/>
  <c r="N130" i="6" s="1"/>
  <c r="L60" i="6"/>
  <c r="N60" i="6" s="1"/>
  <c r="L175" i="6"/>
  <c r="N175" i="6" s="1"/>
  <c r="L22" i="6"/>
  <c r="N22" i="6" s="1"/>
  <c r="L107" i="6"/>
  <c r="N107" i="6" s="1"/>
  <c r="L83" i="6"/>
  <c r="N83" i="6" s="1"/>
  <c r="L110" i="6"/>
  <c r="N110" i="6" s="1"/>
  <c r="L159" i="6"/>
  <c r="N159" i="6" s="1"/>
  <c r="L97" i="6"/>
  <c r="N97" i="6" s="1"/>
  <c r="L69" i="6"/>
  <c r="N69" i="6" s="1"/>
  <c r="L19" i="6"/>
  <c r="N19" i="6" s="1"/>
  <c r="L195" i="6"/>
  <c r="N195" i="6" s="1"/>
  <c r="L56" i="6"/>
  <c r="N56" i="6" s="1"/>
  <c r="L49" i="6"/>
  <c r="N49" i="6" s="1"/>
  <c r="L158" i="6"/>
  <c r="N158" i="6" s="1"/>
  <c r="L75" i="6"/>
  <c r="N75" i="6" s="1"/>
  <c r="L155" i="6"/>
  <c r="N155" i="6" s="1"/>
  <c r="L29" i="6"/>
  <c r="N29" i="6" s="1"/>
  <c r="L136" i="6"/>
  <c r="N136" i="6" s="1"/>
  <c r="L143" i="6"/>
  <c r="N143" i="6" s="1"/>
  <c r="L53" i="6"/>
  <c r="N53" i="6" s="1"/>
  <c r="L57" i="6"/>
  <c r="N57" i="6" s="1"/>
  <c r="L102" i="6"/>
  <c r="N102" i="6" s="1"/>
  <c r="L172" i="6"/>
  <c r="N172" i="6" s="1"/>
  <c r="L176" i="6"/>
  <c r="N176" i="6" s="1"/>
  <c r="L196" i="6"/>
  <c r="N196" i="6" s="1"/>
  <c r="L112" i="6"/>
  <c r="N112" i="6" s="1"/>
  <c r="L71" i="6"/>
  <c r="N71" i="6" s="1"/>
  <c r="L40" i="6"/>
  <c r="N40" i="6" s="1"/>
  <c r="L91" i="6"/>
  <c r="N91" i="6" s="1"/>
  <c r="L38" i="6"/>
  <c r="N38" i="6" s="1"/>
  <c r="L170" i="6"/>
  <c r="N170" i="6" s="1"/>
  <c r="L139" i="6"/>
  <c r="N139" i="6" s="1"/>
  <c r="L168" i="6"/>
  <c r="N168" i="6" s="1"/>
  <c r="L177" i="6"/>
  <c r="N177" i="6" s="1"/>
  <c r="L150" i="6"/>
  <c r="N150" i="6" s="1"/>
  <c r="L156" i="6"/>
  <c r="N156" i="6" s="1"/>
  <c r="L128" i="6"/>
  <c r="N128" i="6" s="1"/>
  <c r="L88" i="6"/>
  <c r="N88" i="6" s="1"/>
  <c r="L179" i="6"/>
  <c r="N179" i="6" s="1"/>
  <c r="L30" i="6"/>
  <c r="N30" i="6" s="1"/>
  <c r="L132" i="6"/>
  <c r="N132" i="6" s="1"/>
  <c r="L166" i="6"/>
  <c r="N166" i="6" s="1"/>
  <c r="L98" i="6"/>
  <c r="N98" i="6" s="1"/>
  <c r="L59" i="6"/>
  <c r="N59" i="6" s="1"/>
  <c r="L89" i="6"/>
  <c r="N89" i="6" s="1"/>
  <c r="L52" i="6"/>
  <c r="N52" i="6" s="1"/>
  <c r="L146" i="6"/>
  <c r="N146" i="6" s="1"/>
  <c r="L87" i="6"/>
  <c r="N87" i="6" s="1"/>
  <c r="L106" i="6"/>
  <c r="N106" i="6" s="1"/>
  <c r="L35" i="6"/>
  <c r="N35" i="6" s="1"/>
  <c r="L31" i="6"/>
  <c r="N31" i="6" s="1"/>
  <c r="L21" i="6"/>
  <c r="N21" i="6" s="1"/>
  <c r="L67" i="6"/>
  <c r="N67" i="6" s="1"/>
  <c r="L86" i="6"/>
  <c r="N86" i="6" s="1"/>
  <c r="L141" i="6"/>
  <c r="N141" i="6" s="1"/>
  <c r="L174" i="6"/>
  <c r="N174" i="6" s="1"/>
  <c r="L11" i="6"/>
  <c r="N11" i="6" s="1"/>
  <c r="L160" i="6"/>
  <c r="N160" i="6" s="1"/>
  <c r="L27" i="6"/>
  <c r="N27" i="6" s="1"/>
  <c r="L66" i="6"/>
  <c r="N66" i="6" s="1"/>
  <c r="L200" i="6"/>
  <c r="N200" i="6" s="1"/>
  <c r="L94" i="6"/>
  <c r="N94" i="6" s="1"/>
  <c r="L190" i="6"/>
  <c r="N190" i="6" s="1"/>
  <c r="L199" i="6"/>
  <c r="N199" i="6" s="1"/>
  <c r="L7" i="6"/>
  <c r="N7" i="6" s="1"/>
  <c r="L46" i="6"/>
  <c r="N46" i="6" s="1"/>
  <c r="L81" i="6"/>
  <c r="N81" i="6" s="1"/>
  <c r="L26" i="6"/>
  <c r="N26" i="6" s="1"/>
  <c r="L61" i="6"/>
  <c r="N61" i="6" s="1"/>
  <c r="L180" i="6"/>
  <c r="N180" i="6" s="1"/>
  <c r="L205" i="6"/>
  <c r="N205" i="6" s="1"/>
  <c r="L121" i="6"/>
  <c r="N121" i="6" s="1"/>
  <c r="L72" i="6"/>
  <c r="N72" i="6" s="1"/>
  <c r="L133" i="6"/>
  <c r="N133" i="6" s="1"/>
  <c r="L189" i="6"/>
  <c r="N189" i="6" s="1"/>
  <c r="L54" i="6"/>
  <c r="N54" i="6" s="1"/>
  <c r="L108" i="6"/>
  <c r="N108" i="6" s="1"/>
  <c r="L135" i="6"/>
  <c r="N135" i="6" s="1"/>
  <c r="L185" i="6"/>
  <c r="N185" i="6" s="1"/>
  <c r="L153" i="6"/>
  <c r="N153" i="6" s="1"/>
  <c r="L68" i="6"/>
  <c r="N68" i="6" s="1"/>
  <c r="L134" i="6"/>
  <c r="N134" i="6" s="1"/>
  <c r="L165" i="6"/>
  <c r="N165" i="6" s="1"/>
  <c r="L8" i="6"/>
  <c r="N8" i="6" s="1"/>
  <c r="L14" i="6"/>
  <c r="N14" i="6" s="1"/>
  <c r="L145" i="6"/>
  <c r="N145" i="6" s="1"/>
  <c r="L10" i="6"/>
  <c r="N10" i="6" s="1"/>
  <c r="L16" i="6"/>
  <c r="N16" i="6" s="1"/>
  <c r="L100" i="6"/>
  <c r="N100" i="6" s="1"/>
  <c r="L169" i="6"/>
  <c r="N169" i="6" s="1"/>
  <c r="L164" i="6"/>
  <c r="N164" i="6" s="1"/>
  <c r="L64" i="6"/>
  <c r="N64" i="6" s="1"/>
  <c r="L149" i="6"/>
  <c r="N149" i="6" s="1"/>
  <c r="L48" i="6"/>
  <c r="N48" i="6" s="1"/>
  <c r="L118" i="6"/>
  <c r="N118" i="6" s="1"/>
  <c r="L84" i="6"/>
  <c r="N84" i="6" s="1"/>
  <c r="L163" i="6"/>
  <c r="N163" i="6" s="1"/>
  <c r="L92" i="6"/>
  <c r="N92" i="6" s="1"/>
  <c r="L129" i="6"/>
  <c r="N129" i="6" s="1"/>
  <c r="L124" i="6"/>
  <c r="N124" i="6" s="1"/>
  <c r="L6" i="6"/>
  <c r="N6" i="6" s="1"/>
  <c r="L193" i="6"/>
  <c r="N193" i="6" s="1"/>
  <c r="L125" i="6"/>
  <c r="N125" i="6" s="1"/>
  <c r="L34" i="6"/>
  <c r="N34" i="6" s="1"/>
  <c r="L95" i="6"/>
  <c r="N95" i="6" s="1"/>
  <c r="L148" i="6"/>
  <c r="N148" i="6" s="1"/>
  <c r="L192" i="6"/>
  <c r="N192" i="6" s="1"/>
  <c r="L204" i="6"/>
  <c r="N204" i="6" s="1"/>
  <c r="L33" i="6"/>
  <c r="N33" i="6" s="1"/>
  <c r="L79" i="6"/>
  <c r="N79" i="6" s="1"/>
  <c r="L152" i="6"/>
  <c r="N152" i="6" s="1"/>
  <c r="L117" i="6"/>
  <c r="N117" i="6" s="1"/>
  <c r="L203" i="6"/>
  <c r="N203" i="6" s="1"/>
  <c r="L43" i="6"/>
  <c r="N43" i="6" s="1"/>
  <c r="L12" i="6"/>
  <c r="N12" i="6" s="1"/>
  <c r="L109" i="6"/>
  <c r="N109" i="6" s="1"/>
  <c r="L123" i="6"/>
  <c r="N123" i="6" s="1"/>
  <c r="L127" i="6"/>
  <c r="N127" i="6" s="1"/>
  <c r="L113" i="6"/>
  <c r="N113" i="6" s="1"/>
  <c r="L105" i="6"/>
  <c r="N105" i="6" s="1"/>
  <c r="L39" i="6"/>
  <c r="N39" i="6" s="1"/>
  <c r="L74" i="6"/>
  <c r="N74" i="6" s="1"/>
  <c r="L103" i="6"/>
  <c r="N103" i="6" s="1"/>
  <c r="L32" i="6"/>
  <c r="N32" i="6" s="1"/>
  <c r="L85" i="6"/>
  <c r="N85" i="6" s="1"/>
  <c r="L138" i="6"/>
  <c r="N138" i="6" s="1"/>
  <c r="L173" i="6"/>
  <c r="N173" i="6" s="1"/>
  <c r="L202" i="6"/>
  <c r="N202" i="6" s="1"/>
  <c r="L191" i="6"/>
  <c r="N191" i="6" s="1"/>
  <c r="L65" i="6"/>
  <c r="N65" i="6" s="1"/>
  <c r="L17" i="6"/>
  <c r="N17" i="6" s="1"/>
  <c r="L73" i="6"/>
  <c r="N73" i="6" s="1"/>
  <c r="L122" i="6"/>
  <c r="N122" i="6" s="1"/>
  <c r="L151" i="6"/>
  <c r="N151" i="6" s="1"/>
  <c r="L45" i="6"/>
  <c r="N45" i="6" s="1"/>
  <c r="L161" i="6"/>
  <c r="N161" i="6" s="1"/>
  <c r="L178" i="6"/>
  <c r="N178" i="6" s="1"/>
  <c r="L187" i="6"/>
  <c r="N187" i="6" s="1"/>
  <c r="L18" i="6"/>
  <c r="N18" i="6" s="1"/>
  <c r="L28" i="6"/>
  <c r="N28" i="6" s="1"/>
  <c r="L25" i="6"/>
  <c r="N25" i="6" s="1"/>
  <c r="L78" i="6"/>
  <c r="N78" i="6" s="1"/>
  <c r="L167" i="6"/>
  <c r="N167" i="6" s="1"/>
  <c r="L137" i="6"/>
  <c r="N137" i="6" s="1"/>
  <c r="L206" i="6"/>
  <c r="N206" i="6" s="1"/>
  <c r="L211" i="6"/>
  <c r="N211" i="6" s="1"/>
  <c r="L77" i="6"/>
  <c r="N77" i="6" s="1"/>
  <c r="L147" i="6"/>
  <c r="N147" i="6" s="1"/>
  <c r="L37" i="6"/>
  <c r="N37" i="6" s="1"/>
  <c r="L186" i="6"/>
  <c r="N186" i="6" s="1"/>
  <c r="L209" i="6"/>
  <c r="N209" i="6" s="1"/>
  <c r="L47" i="6"/>
  <c r="N47" i="6" s="1"/>
  <c r="L15" i="6"/>
  <c r="N15" i="6" s="1"/>
  <c r="L22" i="13"/>
  <c r="F182" i="13"/>
  <c r="M164" i="13"/>
  <c r="D2" i="4"/>
  <c r="E9" i="4"/>
  <c r="E212" i="4"/>
  <c r="E214" i="4"/>
  <c r="E194" i="4"/>
  <c r="K194" i="4" s="1"/>
  <c r="L194" i="4" s="1"/>
  <c r="E166" i="4"/>
  <c r="K166" i="4" s="1"/>
  <c r="L166" i="4" s="1"/>
  <c r="E164" i="4"/>
  <c r="K164" i="4" s="1"/>
  <c r="L164" i="4" s="1"/>
  <c r="E162" i="4"/>
  <c r="K162" i="4" s="1"/>
  <c r="L162" i="4" s="1"/>
  <c r="E160" i="4"/>
  <c r="K160" i="4" s="1"/>
  <c r="L160" i="4" s="1"/>
  <c r="E158" i="4"/>
  <c r="K158" i="4" s="1"/>
  <c r="L158" i="4" s="1"/>
  <c r="E156" i="4"/>
  <c r="K156" i="4" s="1"/>
  <c r="L156" i="4" s="1"/>
  <c r="E152" i="4"/>
  <c r="K152" i="4" s="1"/>
  <c r="L152" i="4" s="1"/>
  <c r="E170" i="4"/>
  <c r="K170" i="4" s="1"/>
  <c r="L170" i="4" s="1"/>
  <c r="E209" i="4"/>
  <c r="K209" i="4" s="1"/>
  <c r="L209" i="4" s="1"/>
  <c r="E144" i="4"/>
  <c r="K144" i="4" s="1"/>
  <c r="L144" i="4" s="1"/>
  <c r="E142" i="4"/>
  <c r="K142" i="4" s="1"/>
  <c r="L142" i="4" s="1"/>
  <c r="E136" i="4"/>
  <c r="K136" i="4" s="1"/>
  <c r="L136" i="4" s="1"/>
  <c r="E174" i="4"/>
  <c r="K174" i="4" s="1"/>
  <c r="L174" i="4" s="1"/>
  <c r="E132" i="4"/>
  <c r="K132" i="4" s="1"/>
  <c r="L132" i="4" s="1"/>
  <c r="E150" i="4"/>
  <c r="K150" i="4" s="1"/>
  <c r="L150" i="4" s="1"/>
  <c r="E146" i="4"/>
  <c r="K146" i="4" s="1"/>
  <c r="L146" i="4" s="1"/>
  <c r="E140" i="4"/>
  <c r="K140" i="4" s="1"/>
  <c r="L140" i="4" s="1"/>
  <c r="E138" i="4"/>
  <c r="K138" i="4" s="1"/>
  <c r="L138" i="4" s="1"/>
  <c r="E189" i="4"/>
  <c r="K189" i="4" s="1"/>
  <c r="L189" i="4" s="1"/>
  <c r="E134" i="4"/>
  <c r="K134" i="4" s="1"/>
  <c r="L134" i="4" s="1"/>
  <c r="E124" i="4"/>
  <c r="K124" i="4" s="1"/>
  <c r="L124" i="4" s="1"/>
  <c r="E122" i="4"/>
  <c r="K122" i="4" s="1"/>
  <c r="L122" i="4" s="1"/>
  <c r="E112" i="4"/>
  <c r="K112" i="4" s="1"/>
  <c r="L112" i="4" s="1"/>
  <c r="E130" i="4"/>
  <c r="K130" i="4" s="1"/>
  <c r="L130" i="4" s="1"/>
  <c r="E126" i="4"/>
  <c r="K126" i="4" s="1"/>
  <c r="L126" i="4" s="1"/>
  <c r="E120" i="4"/>
  <c r="K120" i="4" s="1"/>
  <c r="L120" i="4" s="1"/>
  <c r="E118" i="4"/>
  <c r="K118" i="4" s="1"/>
  <c r="L118" i="4" s="1"/>
  <c r="E116" i="4"/>
  <c r="K116" i="4" s="1"/>
  <c r="L116" i="4" s="1"/>
  <c r="E169" i="4"/>
  <c r="K169" i="4" s="1"/>
  <c r="L169" i="4" s="1"/>
  <c r="E207" i="4"/>
  <c r="K207" i="4" s="1"/>
  <c r="L207" i="4" s="1"/>
  <c r="E205" i="4"/>
  <c r="K205" i="4" s="1"/>
  <c r="L205" i="4" s="1"/>
  <c r="E203" i="4"/>
  <c r="K203" i="4" s="1"/>
  <c r="L203" i="4" s="1"/>
  <c r="E201" i="4"/>
  <c r="K201" i="4" s="1"/>
  <c r="L201" i="4" s="1"/>
  <c r="E195" i="4"/>
  <c r="K195" i="4" s="1"/>
  <c r="L195" i="4" s="1"/>
  <c r="E192" i="4"/>
  <c r="K192" i="4" s="1"/>
  <c r="L192" i="4" s="1"/>
  <c r="E148" i="4"/>
  <c r="K148" i="4" s="1"/>
  <c r="L148" i="4" s="1"/>
  <c r="E184" i="4"/>
  <c r="K184" i="4" s="1"/>
  <c r="L184" i="4" s="1"/>
  <c r="E182" i="4"/>
  <c r="K182" i="4" s="1"/>
  <c r="L182" i="4" s="1"/>
  <c r="E178" i="4"/>
  <c r="K178" i="4" s="1"/>
  <c r="L178" i="4" s="1"/>
  <c r="E176" i="4"/>
  <c r="K176" i="4" s="1"/>
  <c r="L176" i="4" s="1"/>
  <c r="E128" i="4"/>
  <c r="K128" i="4" s="1"/>
  <c r="L128" i="4" s="1"/>
  <c r="E172" i="4"/>
  <c r="K172" i="4" s="1"/>
  <c r="L172" i="4" s="1"/>
  <c r="E114" i="4"/>
  <c r="K114" i="4" s="1"/>
  <c r="L114" i="4" s="1"/>
  <c r="E191" i="4"/>
  <c r="K191" i="4" s="1"/>
  <c r="L191" i="4" s="1"/>
  <c r="E199" i="4"/>
  <c r="K199" i="4" s="1"/>
  <c r="L199" i="4" s="1"/>
  <c r="E197" i="4"/>
  <c r="K197" i="4" s="1"/>
  <c r="L197" i="4" s="1"/>
  <c r="E149" i="4"/>
  <c r="K149" i="4" s="1"/>
  <c r="L149" i="4" s="1"/>
  <c r="E185" i="4"/>
  <c r="K185" i="4" s="1"/>
  <c r="L185" i="4" s="1"/>
  <c r="E183" i="4"/>
  <c r="K183" i="4" s="1"/>
  <c r="L183" i="4" s="1"/>
  <c r="E177" i="4"/>
  <c r="K177" i="4" s="1"/>
  <c r="L177" i="4" s="1"/>
  <c r="E173" i="4"/>
  <c r="K173" i="4" s="1"/>
  <c r="L173" i="4" s="1"/>
  <c r="E171" i="4"/>
  <c r="K171" i="4" s="1"/>
  <c r="L171" i="4" s="1"/>
  <c r="E187" i="4"/>
  <c r="K187" i="4" s="1"/>
  <c r="L187" i="4" s="1"/>
  <c r="E181" i="4"/>
  <c r="K181" i="4" s="1"/>
  <c r="L181" i="4" s="1"/>
  <c r="E179" i="4"/>
  <c r="K179" i="4" s="1"/>
  <c r="L179" i="4" s="1"/>
  <c r="E175" i="4"/>
  <c r="K175" i="4" s="1"/>
  <c r="L175" i="4" s="1"/>
  <c r="E129" i="4"/>
  <c r="K129" i="4" s="1"/>
  <c r="L129" i="4" s="1"/>
  <c r="E153" i="4"/>
  <c r="K153" i="4" s="1"/>
  <c r="L153" i="4" s="1"/>
  <c r="E167" i="4"/>
  <c r="K167" i="4" s="1"/>
  <c r="L167" i="4" s="1"/>
  <c r="E165" i="4"/>
  <c r="K165" i="4" s="1"/>
  <c r="L165" i="4" s="1"/>
  <c r="E163" i="4"/>
  <c r="K163" i="4" s="1"/>
  <c r="L163" i="4" s="1"/>
  <c r="E159" i="4"/>
  <c r="K159" i="4" s="1"/>
  <c r="L159" i="4" s="1"/>
  <c r="E208" i="4"/>
  <c r="K208" i="4" s="1"/>
  <c r="L208" i="4" s="1"/>
  <c r="E151" i="4"/>
  <c r="K151" i="4" s="1"/>
  <c r="L151" i="4" s="1"/>
  <c r="E161" i="4"/>
  <c r="K161" i="4" s="1"/>
  <c r="L161" i="4" s="1"/>
  <c r="E157" i="4"/>
  <c r="K157" i="4" s="1"/>
  <c r="L157" i="4" s="1"/>
  <c r="E155" i="4"/>
  <c r="K155" i="4" s="1"/>
  <c r="L155" i="4" s="1"/>
  <c r="E133" i="4"/>
  <c r="K133" i="4" s="1"/>
  <c r="L133" i="4" s="1"/>
  <c r="E145" i="4"/>
  <c r="K145" i="4" s="1"/>
  <c r="L145" i="4" s="1"/>
  <c r="E143" i="4"/>
  <c r="K143" i="4" s="1"/>
  <c r="L143" i="4" s="1"/>
  <c r="E188" i="4"/>
  <c r="K188" i="4" s="1"/>
  <c r="L188" i="4" s="1"/>
  <c r="E131" i="4"/>
  <c r="K131" i="4" s="1"/>
  <c r="L131" i="4" s="1"/>
  <c r="E147" i="4"/>
  <c r="K147" i="4" s="1"/>
  <c r="L147" i="4" s="1"/>
  <c r="E141" i="4"/>
  <c r="K141" i="4" s="1"/>
  <c r="L141" i="4" s="1"/>
  <c r="E139" i="4"/>
  <c r="K139" i="4" s="1"/>
  <c r="L139" i="4" s="1"/>
  <c r="E137" i="4"/>
  <c r="K137" i="4" s="1"/>
  <c r="L137" i="4" s="1"/>
  <c r="E135" i="4"/>
  <c r="K135" i="4" s="1"/>
  <c r="L135" i="4" s="1"/>
  <c r="E127" i="4"/>
  <c r="K127" i="4" s="1"/>
  <c r="L127" i="4" s="1"/>
  <c r="E125" i="4"/>
  <c r="K125" i="4" s="1"/>
  <c r="L125" i="4" s="1"/>
  <c r="E123" i="4"/>
  <c r="K123" i="4" s="1"/>
  <c r="L123" i="4" s="1"/>
  <c r="E115" i="4"/>
  <c r="K115" i="4" s="1"/>
  <c r="L115" i="4" s="1"/>
  <c r="E113" i="4"/>
  <c r="K113" i="4" s="1"/>
  <c r="L113" i="4" s="1"/>
  <c r="E111" i="4"/>
  <c r="K111" i="4" s="1"/>
  <c r="L111" i="4" s="1"/>
  <c r="E121" i="4"/>
  <c r="K121" i="4" s="1"/>
  <c r="L121" i="4" s="1"/>
  <c r="E119" i="4"/>
  <c r="K119" i="4" s="1"/>
  <c r="L119" i="4" s="1"/>
  <c r="E117" i="4"/>
  <c r="K117" i="4" s="1"/>
  <c r="L117" i="4" s="1"/>
  <c r="E168" i="4"/>
  <c r="K168" i="4" s="1"/>
  <c r="L168" i="4" s="1"/>
  <c r="E206" i="4"/>
  <c r="K206" i="4" s="1"/>
  <c r="L206" i="4" s="1"/>
  <c r="E204" i="4"/>
  <c r="K204" i="4" s="1"/>
  <c r="L204" i="4" s="1"/>
  <c r="E202" i="4"/>
  <c r="K202" i="4" s="1"/>
  <c r="L202" i="4" s="1"/>
  <c r="E154" i="4"/>
  <c r="K154" i="4" s="1"/>
  <c r="L154" i="4" s="1"/>
  <c r="E10" i="4"/>
  <c r="E200" i="4"/>
  <c r="K200" i="4" s="1"/>
  <c r="L200" i="4" s="1"/>
  <c r="E198" i="4"/>
  <c r="K198" i="4" s="1"/>
  <c r="L198" i="4" s="1"/>
  <c r="E196" i="4"/>
  <c r="K196" i="4" s="1"/>
  <c r="L196" i="4" s="1"/>
  <c r="E190" i="4"/>
  <c r="K190" i="4" s="1"/>
  <c r="L190" i="4" s="1"/>
  <c r="E186" i="4"/>
  <c r="K186" i="4" s="1"/>
  <c r="L186" i="4" s="1"/>
  <c r="E180" i="4"/>
  <c r="K180" i="4" s="1"/>
  <c r="L180" i="4" s="1"/>
  <c r="E193" i="4"/>
  <c r="K193" i="4" s="1"/>
  <c r="L193" i="4" s="1"/>
  <c r="M133" i="13"/>
  <c r="L156" i="13"/>
  <c r="K22" i="13"/>
  <c r="F27" i="13"/>
  <c r="F20" i="13"/>
  <c r="K210" i="13"/>
  <c r="K208" i="13"/>
  <c r="F210" i="13"/>
  <c r="J6" i="13"/>
  <c r="F187" i="13"/>
  <c r="F186" i="13"/>
  <c r="F93" i="13"/>
  <c r="F185" i="13"/>
  <c r="F111" i="13"/>
  <c r="F45" i="13"/>
  <c r="F76" i="13"/>
  <c r="F89" i="13"/>
  <c r="F53" i="13"/>
  <c r="F57" i="13"/>
  <c r="F159" i="13"/>
  <c r="F84" i="13"/>
  <c r="F156" i="13"/>
  <c r="F154" i="13"/>
  <c r="J88" i="13"/>
  <c r="F134" i="13"/>
  <c r="J56" i="13"/>
  <c r="F74" i="13"/>
  <c r="F140" i="13"/>
  <c r="J83" i="13"/>
  <c r="L210" i="13"/>
  <c r="F6" i="13"/>
  <c r="J177" i="13"/>
  <c r="F121" i="13"/>
  <c r="J78" i="13"/>
  <c r="M184" i="13"/>
  <c r="M210" i="13"/>
  <c r="F135" i="13"/>
  <c r="F72" i="13"/>
  <c r="F155" i="13"/>
  <c r="F85" i="13"/>
  <c r="K117" i="13"/>
  <c r="F92" i="13"/>
  <c r="F64" i="13"/>
  <c r="F59" i="13"/>
  <c r="F198" i="13"/>
  <c r="L67" i="13"/>
  <c r="L183" i="13"/>
  <c r="M138" i="13"/>
  <c r="F152" i="13"/>
  <c r="F196" i="13"/>
  <c r="F115" i="13"/>
  <c r="F176" i="13"/>
  <c r="J192" i="13"/>
  <c r="F132" i="13"/>
  <c r="F96" i="13"/>
  <c r="F39" i="13"/>
  <c r="F12" i="13"/>
  <c r="F56" i="13"/>
  <c r="F166" i="13"/>
  <c r="F173" i="13"/>
  <c r="F36" i="13"/>
  <c r="K59" i="13"/>
  <c r="F48" i="13"/>
  <c r="M104" i="13"/>
  <c r="M172" i="13"/>
  <c r="F194" i="13"/>
  <c r="F141" i="13"/>
  <c r="F16" i="13"/>
  <c r="K122" i="13"/>
  <c r="L98" i="13"/>
  <c r="F78" i="13"/>
  <c r="F114" i="13"/>
  <c r="F199" i="13"/>
  <c r="K115" i="13"/>
  <c r="F127" i="13"/>
  <c r="F19" i="13"/>
  <c r="F24" i="13"/>
  <c r="L193" i="13"/>
  <c r="J87" i="13"/>
  <c r="J52" i="13"/>
  <c r="L30" i="13"/>
  <c r="F34" i="13"/>
  <c r="F51" i="13"/>
  <c r="F42" i="13"/>
  <c r="K162" i="13"/>
  <c r="K96" i="13"/>
  <c r="F8" i="13"/>
  <c r="F123" i="13"/>
  <c r="F22" i="13"/>
  <c r="J183" i="13"/>
  <c r="M16" i="13"/>
  <c r="L17" i="13"/>
  <c r="J116" i="13"/>
  <c r="K201" i="13"/>
  <c r="J51" i="13"/>
  <c r="J171" i="13"/>
  <c r="M64" i="13"/>
  <c r="F81" i="13"/>
  <c r="J63" i="13"/>
  <c r="F90" i="13"/>
  <c r="F13" i="13"/>
  <c r="F158" i="13"/>
  <c r="K127" i="13"/>
  <c r="M150" i="13"/>
  <c r="J186" i="13"/>
  <c r="F21" i="13"/>
  <c r="F179" i="13"/>
  <c r="K107" i="13"/>
  <c r="M70" i="13"/>
  <c r="J100" i="13"/>
  <c r="F148" i="13"/>
  <c r="F178" i="13"/>
  <c r="M111" i="13"/>
  <c r="J30" i="13"/>
  <c r="F174" i="13"/>
  <c r="F184" i="13"/>
  <c r="F142" i="13"/>
  <c r="F62" i="13"/>
  <c r="K65" i="13"/>
  <c r="L83" i="13"/>
  <c r="L93" i="13"/>
  <c r="L51" i="13"/>
  <c r="L108" i="13"/>
  <c r="M15" i="13"/>
  <c r="K143" i="13"/>
  <c r="K29" i="13"/>
  <c r="J174" i="13"/>
  <c r="K95" i="13"/>
  <c r="K20" i="13"/>
  <c r="M58" i="13"/>
  <c r="K142" i="13"/>
  <c r="J21" i="13"/>
  <c r="K111" i="13"/>
  <c r="M146" i="13"/>
  <c r="M148" i="13"/>
  <c r="K102" i="13"/>
  <c r="K160" i="13"/>
  <c r="L201" i="13"/>
  <c r="L150" i="13"/>
  <c r="L128" i="13"/>
  <c r="L158" i="13"/>
  <c r="L117" i="13"/>
  <c r="L27" i="13"/>
  <c r="J10" i="13"/>
  <c r="M18" i="13"/>
  <c r="J114" i="13"/>
  <c r="J31" i="13"/>
  <c r="M42" i="13"/>
  <c r="K124" i="13"/>
  <c r="L159" i="13"/>
  <c r="K194" i="13"/>
  <c r="K67" i="13"/>
  <c r="L168" i="13"/>
  <c r="K193" i="13"/>
  <c r="J84" i="13"/>
  <c r="M115" i="13"/>
  <c r="J76" i="13"/>
  <c r="K87" i="13"/>
  <c r="M63" i="13"/>
  <c r="L136" i="13"/>
  <c r="K135" i="13"/>
  <c r="J94" i="13"/>
  <c r="J82" i="13"/>
  <c r="F147" i="13"/>
  <c r="F139" i="13"/>
  <c r="L56" i="13"/>
  <c r="M202" i="13"/>
  <c r="J39" i="13"/>
  <c r="F113" i="13"/>
  <c r="F73" i="13"/>
  <c r="J195" i="13"/>
  <c r="L123" i="13"/>
  <c r="F99" i="13"/>
  <c r="J161" i="13"/>
  <c r="F125" i="13"/>
  <c r="F157" i="13"/>
  <c r="J122" i="13"/>
  <c r="M114" i="13"/>
  <c r="F108" i="13"/>
  <c r="F124" i="13"/>
  <c r="F31" i="13"/>
  <c r="F106" i="13"/>
  <c r="F137" i="13"/>
  <c r="F95" i="13"/>
  <c r="J80" i="13"/>
  <c r="K110" i="13"/>
  <c r="K79" i="13"/>
  <c r="L96" i="13"/>
  <c r="J98" i="13"/>
  <c r="J105" i="13"/>
  <c r="M8" i="13"/>
  <c r="F38" i="13"/>
  <c r="F7" i="13"/>
  <c r="M173" i="13"/>
  <c r="L43" i="13"/>
  <c r="F204" i="13"/>
  <c r="F83" i="13"/>
  <c r="L88" i="13"/>
  <c r="L54" i="13"/>
  <c r="F202" i="13"/>
  <c r="F40" i="13"/>
  <c r="F130" i="13"/>
  <c r="K116" i="13"/>
  <c r="J67" i="13"/>
  <c r="L29" i="13"/>
  <c r="F162" i="13"/>
  <c r="M87" i="13"/>
  <c r="K171" i="13"/>
  <c r="F128" i="13"/>
  <c r="F94" i="13"/>
  <c r="F61" i="13"/>
  <c r="F180" i="13"/>
  <c r="F102" i="13"/>
  <c r="F55" i="13"/>
  <c r="K180" i="13"/>
  <c r="J108" i="13"/>
  <c r="J134" i="13"/>
  <c r="K77" i="13"/>
  <c r="M142" i="13"/>
  <c r="J120" i="13"/>
  <c r="M106" i="13"/>
  <c r="K94" i="13"/>
  <c r="F33" i="13"/>
  <c r="F190" i="13"/>
  <c r="J145" i="13"/>
  <c r="L164" i="13"/>
  <c r="F163" i="13"/>
  <c r="F170" i="13"/>
  <c r="K97" i="13"/>
  <c r="J71" i="13"/>
  <c r="J50" i="13"/>
  <c r="F100" i="13"/>
  <c r="F23" i="13"/>
  <c r="K49" i="13"/>
  <c r="M195" i="13"/>
  <c r="F195" i="13"/>
  <c r="F133" i="13"/>
  <c r="F110" i="13"/>
  <c r="K185" i="13"/>
  <c r="J130" i="13"/>
  <c r="K91" i="13"/>
  <c r="F71" i="13"/>
  <c r="F29" i="13"/>
  <c r="F188" i="13"/>
  <c r="F160" i="13"/>
  <c r="F82" i="13"/>
  <c r="F35" i="13"/>
  <c r="M67" i="13"/>
  <c r="M44" i="13"/>
  <c r="K196" i="13"/>
  <c r="J17" i="13"/>
  <c r="L182" i="13"/>
  <c r="L76" i="13"/>
  <c r="J184" i="13"/>
  <c r="L101" i="13"/>
  <c r="J28" i="13"/>
  <c r="M179" i="13"/>
  <c r="L84" i="13"/>
  <c r="L15" i="13"/>
  <c r="J182" i="13"/>
  <c r="K147" i="13"/>
  <c r="J55" i="13"/>
  <c r="J106" i="13"/>
  <c r="J104" i="13"/>
  <c r="M56" i="13"/>
  <c r="K169" i="13"/>
  <c r="J111" i="13"/>
  <c r="M130" i="13"/>
  <c r="J169" i="13"/>
  <c r="K74" i="13"/>
  <c r="K136" i="13"/>
  <c r="M145" i="13"/>
  <c r="L55" i="13"/>
  <c r="L92" i="13"/>
  <c r="K141" i="13"/>
  <c r="J90" i="13"/>
  <c r="L162" i="13"/>
  <c r="J203" i="13"/>
  <c r="M144" i="13"/>
  <c r="L85" i="13"/>
  <c r="J93" i="13"/>
  <c r="M93" i="13"/>
  <c r="M177" i="13"/>
  <c r="L200" i="13"/>
  <c r="J133" i="13"/>
  <c r="K61" i="13"/>
  <c r="M131" i="13"/>
  <c r="J139" i="13"/>
  <c r="M52" i="13"/>
  <c r="M101" i="13"/>
  <c r="J15" i="13"/>
  <c r="M143" i="13"/>
  <c r="M193" i="13"/>
  <c r="L49" i="13"/>
  <c r="J194" i="13"/>
  <c r="K144" i="13"/>
  <c r="K183" i="13"/>
  <c r="F205" i="13"/>
  <c r="F183" i="13"/>
  <c r="F50" i="13"/>
  <c r="F66" i="13"/>
  <c r="F138" i="13"/>
  <c r="F136" i="13"/>
  <c r="F15" i="13"/>
  <c r="K131" i="13"/>
  <c r="L19" i="13"/>
  <c r="M153" i="13"/>
  <c r="M9" i="13"/>
  <c r="J58" i="13"/>
  <c r="L73" i="13"/>
  <c r="J62" i="13"/>
  <c r="L166" i="13"/>
  <c r="L94" i="13"/>
  <c r="M105" i="13"/>
  <c r="J140" i="13"/>
  <c r="L5" i="13"/>
  <c r="L66" i="13"/>
  <c r="M39" i="13"/>
  <c r="K27" i="13"/>
  <c r="L140" i="13"/>
  <c r="F126" i="13"/>
  <c r="F146" i="13"/>
  <c r="F14" i="13"/>
  <c r="F46" i="13"/>
  <c r="F118" i="13"/>
  <c r="F116" i="13"/>
  <c r="F189" i="13"/>
  <c r="L99" i="13"/>
  <c r="L202" i="13"/>
  <c r="M166" i="13"/>
  <c r="L176" i="13"/>
  <c r="J107" i="13"/>
  <c r="J103" i="13"/>
  <c r="L62" i="13"/>
  <c r="K191" i="13"/>
  <c r="L186" i="13"/>
  <c r="J24" i="13"/>
  <c r="M38" i="13"/>
  <c r="L197" i="13"/>
  <c r="K192" i="13"/>
  <c r="F69" i="13"/>
  <c r="F201" i="13"/>
  <c r="F165" i="13"/>
  <c r="F9" i="13"/>
  <c r="F68" i="13"/>
  <c r="F88" i="13"/>
  <c r="F11" i="13"/>
  <c r="F26" i="13"/>
  <c r="F65" i="13"/>
  <c r="F17" i="13"/>
  <c r="F129" i="13"/>
  <c r="M59" i="13"/>
  <c r="L188" i="13"/>
  <c r="L104" i="13"/>
  <c r="L127" i="13"/>
  <c r="M23" i="13"/>
  <c r="J119" i="13"/>
  <c r="M140" i="13"/>
  <c r="K88" i="13"/>
  <c r="J110" i="13"/>
  <c r="L95" i="13"/>
  <c r="M11" i="13"/>
  <c r="L28" i="13"/>
  <c r="J178" i="13"/>
  <c r="M110" i="13"/>
  <c r="L129" i="13"/>
  <c r="F101" i="13"/>
  <c r="F172" i="13"/>
  <c r="F193" i="13"/>
  <c r="F52" i="13"/>
  <c r="F80" i="13"/>
  <c r="F200" i="13"/>
  <c r="F25" i="13"/>
  <c r="F151" i="13"/>
  <c r="F109" i="13"/>
  <c r="K138" i="13"/>
  <c r="K56" i="13"/>
  <c r="L177" i="13"/>
  <c r="K200" i="13"/>
  <c r="L175" i="13"/>
  <c r="L116" i="13"/>
  <c r="M152" i="13"/>
  <c r="J92" i="13"/>
  <c r="M127" i="13"/>
  <c r="K163" i="13"/>
  <c r="L137" i="13"/>
  <c r="K81" i="13"/>
  <c r="J181" i="13"/>
  <c r="K80" i="13"/>
  <c r="L120" i="13"/>
  <c r="J42" i="13"/>
  <c r="J147" i="13"/>
  <c r="L115" i="13"/>
  <c r="M201" i="13"/>
  <c r="J59" i="13"/>
  <c r="M203" i="13"/>
  <c r="K17" i="13"/>
  <c r="K204" i="13"/>
  <c r="K101" i="13"/>
  <c r="M149" i="13"/>
  <c r="L174" i="13"/>
  <c r="F47" i="13"/>
  <c r="F32" i="13"/>
  <c r="F30" i="13"/>
  <c r="F18" i="13"/>
  <c r="F10" i="13"/>
  <c r="F120" i="13"/>
  <c r="F63" i="13"/>
  <c r="F37" i="13"/>
  <c r="F107" i="13"/>
  <c r="F192" i="13"/>
  <c r="F60" i="13"/>
  <c r="F144" i="13"/>
  <c r="F79" i="13"/>
  <c r="F161" i="13"/>
  <c r="F43" i="13"/>
  <c r="F131" i="13"/>
  <c r="J29" i="13"/>
  <c r="J193" i="13"/>
  <c r="J191" i="13"/>
  <c r="M194" i="13"/>
  <c r="L152" i="13"/>
  <c r="M178" i="13"/>
  <c r="J27" i="13"/>
  <c r="K43" i="13"/>
  <c r="K85" i="13"/>
  <c r="K76" i="13"/>
  <c r="K128" i="13"/>
  <c r="M170" i="13"/>
  <c r="L50" i="13"/>
  <c r="M54" i="13"/>
  <c r="K145" i="13"/>
  <c r="K8" i="13"/>
  <c r="K72" i="13"/>
  <c r="J123" i="13"/>
  <c r="J179" i="13"/>
  <c r="K46" i="13"/>
  <c r="M78" i="13"/>
  <c r="L38" i="13"/>
  <c r="L184" i="13"/>
  <c r="L187" i="13"/>
  <c r="J168" i="13"/>
  <c r="M128" i="13"/>
  <c r="J5" i="13"/>
  <c r="K45" i="13"/>
  <c r="M132" i="13"/>
  <c r="K104" i="13"/>
  <c r="F208" i="13"/>
  <c r="L153" i="13"/>
  <c r="J11" i="13"/>
  <c r="K106" i="13"/>
  <c r="M90" i="13"/>
  <c r="J198" i="13"/>
  <c r="K190" i="13"/>
  <c r="L31" i="13"/>
  <c r="J128" i="13"/>
  <c r="J199" i="13"/>
  <c r="L125" i="13"/>
  <c r="J135" i="13"/>
  <c r="M107" i="13"/>
  <c r="J57" i="13"/>
  <c r="J118" i="13"/>
  <c r="L79" i="13"/>
  <c r="K121" i="13"/>
  <c r="J115" i="13"/>
  <c r="L40" i="13"/>
  <c r="M100" i="13"/>
  <c r="J138" i="13"/>
  <c r="L196" i="13"/>
  <c r="K130" i="13"/>
  <c r="J164" i="13"/>
  <c r="M91" i="13"/>
  <c r="L70" i="13"/>
  <c r="K137" i="13"/>
  <c r="K24" i="13"/>
  <c r="M113" i="13"/>
  <c r="K47" i="13"/>
  <c r="K164" i="13"/>
  <c r="M73" i="13"/>
  <c r="M125" i="13"/>
  <c r="M96" i="13"/>
  <c r="M154" i="13"/>
  <c r="L20" i="13"/>
  <c r="M186" i="13"/>
  <c r="J124" i="13"/>
  <c r="M123" i="13"/>
  <c r="M28" i="13"/>
  <c r="K99" i="13"/>
  <c r="J159" i="13"/>
  <c r="K66" i="13"/>
  <c r="L59" i="13"/>
  <c r="J208" i="13"/>
  <c r="L14" i="13"/>
  <c r="J9" i="13"/>
  <c r="L141" i="13"/>
  <c r="K70" i="13"/>
  <c r="L80" i="13"/>
  <c r="K184" i="13"/>
  <c r="K54" i="13"/>
  <c r="K9" i="13"/>
  <c r="M161" i="13"/>
  <c r="J40" i="13"/>
  <c r="K179" i="13"/>
  <c r="L146" i="13"/>
  <c r="J197" i="13"/>
  <c r="J148" i="13"/>
  <c r="M108" i="13"/>
  <c r="K48" i="13"/>
  <c r="J97" i="13"/>
  <c r="J43" i="13"/>
  <c r="M75" i="13"/>
  <c r="K44" i="13"/>
  <c r="L190" i="13"/>
  <c r="K166" i="13"/>
  <c r="L191" i="13"/>
  <c r="K186" i="13"/>
  <c r="L63" i="13"/>
  <c r="M198" i="13"/>
  <c r="J158" i="13"/>
  <c r="M188" i="13"/>
  <c r="M137" i="13"/>
  <c r="M22" i="13"/>
  <c r="M162" i="13"/>
  <c r="K112" i="13"/>
  <c r="M53" i="13"/>
  <c r="M165" i="13"/>
  <c r="L142" i="13"/>
  <c r="K126" i="13"/>
  <c r="J77" i="13"/>
  <c r="J196" i="13"/>
  <c r="L189" i="13"/>
  <c r="K16" i="13"/>
  <c r="K82" i="13"/>
  <c r="J180" i="13"/>
  <c r="K100" i="13"/>
  <c r="J45" i="13"/>
  <c r="M122" i="13"/>
  <c r="K146" i="13"/>
  <c r="M82" i="13"/>
  <c r="M182" i="13"/>
  <c r="L61" i="13"/>
  <c r="L114" i="13"/>
  <c r="K38" i="13"/>
  <c r="M30" i="13"/>
  <c r="M200" i="13"/>
  <c r="J7" i="13"/>
  <c r="L77" i="13"/>
  <c r="L90" i="13"/>
  <c r="M57" i="13"/>
  <c r="M94" i="13"/>
  <c r="M141" i="13"/>
  <c r="L165" i="13"/>
  <c r="M24" i="13"/>
  <c r="L143" i="13"/>
  <c r="J155" i="13"/>
  <c r="M62" i="13"/>
  <c r="J153" i="13"/>
  <c r="M181" i="13"/>
  <c r="J23" i="13"/>
  <c r="K40" i="13"/>
  <c r="L181" i="13"/>
  <c r="L42" i="13"/>
  <c r="K63" i="13"/>
  <c r="K120" i="13"/>
  <c r="L91" i="13"/>
  <c r="M47" i="13"/>
  <c r="M136" i="13"/>
  <c r="L198" i="13"/>
  <c r="K41" i="13"/>
  <c r="M37" i="13"/>
  <c r="M92" i="13"/>
  <c r="M129" i="13"/>
  <c r="L97" i="13"/>
  <c r="L138" i="13"/>
  <c r="J25" i="13"/>
  <c r="F5" i="13"/>
  <c r="L134" i="13"/>
  <c r="K30" i="13"/>
  <c r="K172" i="13"/>
  <c r="M88" i="13"/>
  <c r="J172" i="13"/>
  <c r="M20" i="13"/>
  <c r="K68" i="13"/>
  <c r="J127" i="13"/>
  <c r="K57" i="13"/>
  <c r="L148" i="13"/>
  <c r="L16" i="13"/>
  <c r="K133" i="13"/>
  <c r="L121" i="13"/>
  <c r="M86" i="13"/>
  <c r="L145" i="13"/>
  <c r="J176" i="13"/>
  <c r="J121" i="13"/>
  <c r="M36" i="13"/>
  <c r="J13" i="13"/>
  <c r="F41" i="13"/>
  <c r="F98" i="13"/>
  <c r="F67" i="13"/>
  <c r="F112" i="13"/>
  <c r="F153" i="13"/>
  <c r="F168" i="13"/>
  <c r="F105" i="13"/>
  <c r="F103" i="13"/>
  <c r="F77" i="13"/>
  <c r="F75" i="13"/>
  <c r="L179" i="13"/>
  <c r="K21" i="13"/>
  <c r="K69" i="13"/>
  <c r="L36" i="13"/>
  <c r="M49" i="13"/>
  <c r="M29" i="13"/>
  <c r="K52" i="13"/>
  <c r="J96" i="13"/>
  <c r="L47" i="13"/>
  <c r="K32" i="13"/>
  <c r="L118" i="13"/>
  <c r="L172" i="13"/>
  <c r="J202" i="13"/>
  <c r="M27" i="13"/>
  <c r="L78" i="13"/>
  <c r="J35" i="13"/>
  <c r="K25" i="13"/>
  <c r="K151" i="13"/>
  <c r="L170" i="13"/>
  <c r="L133" i="13"/>
  <c r="K10" i="13"/>
  <c r="L44" i="13"/>
  <c r="L39" i="13"/>
  <c r="J48" i="13"/>
  <c r="M43" i="13"/>
  <c r="J60" i="13"/>
  <c r="M147" i="13"/>
  <c r="F145" i="13"/>
  <c r="F175" i="13"/>
  <c r="F203" i="13"/>
  <c r="F119" i="13"/>
  <c r="F197" i="13"/>
  <c r="F150" i="13"/>
  <c r="F169" i="13"/>
  <c r="K199" i="13"/>
  <c r="M135" i="13"/>
  <c r="J68" i="13"/>
  <c r="L75" i="13"/>
  <c r="L171" i="13"/>
  <c r="K175" i="13"/>
  <c r="J44" i="13"/>
  <c r="L132" i="13"/>
  <c r="K90" i="13"/>
  <c r="J131" i="13"/>
  <c r="K188" i="13"/>
  <c r="K173" i="13"/>
  <c r="M171" i="13"/>
  <c r="M199" i="13"/>
  <c r="K154" i="13"/>
  <c r="M157" i="13"/>
  <c r="M81" i="13"/>
  <c r="J165" i="13"/>
  <c r="K119" i="13"/>
  <c r="K14" i="13"/>
  <c r="J154" i="13"/>
  <c r="K182" i="13"/>
  <c r="K37" i="13"/>
  <c r="M66" i="13"/>
  <c r="M95" i="13"/>
  <c r="L144" i="13"/>
  <c r="L167" i="13"/>
  <c r="F164" i="13"/>
  <c r="F58" i="13"/>
  <c r="F122" i="13"/>
  <c r="F87" i="13"/>
  <c r="F143" i="13"/>
  <c r="F167" i="13"/>
  <c r="F104" i="13"/>
  <c r="F177" i="13"/>
  <c r="F97" i="13"/>
  <c r="F149" i="13"/>
  <c r="L135" i="13"/>
  <c r="M19" i="13"/>
  <c r="M71" i="13"/>
  <c r="L52" i="13"/>
  <c r="L68" i="13"/>
  <c r="K42" i="13"/>
  <c r="J151" i="13"/>
  <c r="J37" i="13"/>
  <c r="J185" i="13"/>
  <c r="M97" i="13"/>
  <c r="J144" i="13"/>
  <c r="K168" i="13"/>
  <c r="M48" i="13"/>
  <c r="M190" i="13"/>
  <c r="J143" i="13"/>
  <c r="L113" i="13"/>
  <c r="M68" i="13"/>
  <c r="J72" i="13"/>
  <c r="K150" i="13"/>
  <c r="K11" i="13"/>
  <c r="J95" i="13"/>
  <c r="K118" i="13"/>
  <c r="K155" i="13"/>
  <c r="L204" i="13"/>
  <c r="M85" i="13"/>
  <c r="L64" i="13"/>
  <c r="L6" i="13"/>
  <c r="F70" i="13"/>
  <c r="F54" i="13"/>
  <c r="F28" i="13"/>
  <c r="F181" i="13"/>
  <c r="F49" i="13"/>
  <c r="F86" i="13"/>
  <c r="F44" i="13"/>
  <c r="F117" i="13"/>
  <c r="F171" i="13"/>
  <c r="F91" i="13"/>
  <c r="M61" i="13"/>
  <c r="M139" i="13"/>
  <c r="J204" i="13"/>
  <c r="K35" i="13"/>
  <c r="K158" i="13"/>
  <c r="M99" i="13"/>
  <c r="L21" i="13"/>
  <c r="L139" i="13"/>
  <c r="J75" i="13"/>
  <c r="L87" i="13"/>
  <c r="J47" i="13"/>
  <c r="J150" i="13"/>
  <c r="K60" i="13"/>
  <c r="J173" i="13"/>
  <c r="L102" i="13"/>
  <c r="M7" i="13"/>
  <c r="K108" i="13"/>
  <c r="J170" i="13"/>
  <c r="J19" i="13"/>
  <c r="J99" i="13"/>
  <c r="M121" i="13"/>
  <c r="J38" i="13"/>
  <c r="K86" i="13"/>
  <c r="L194" i="13"/>
  <c r="M46" i="13"/>
  <c r="L32" i="13"/>
  <c r="K6" i="13"/>
  <c r="L100" i="13"/>
  <c r="L89" i="13"/>
  <c r="J22" i="13"/>
  <c r="J117" i="13"/>
  <c r="L46" i="13"/>
  <c r="L26" i="13"/>
  <c r="K178" i="13"/>
  <c r="K132" i="13"/>
  <c r="J188" i="13"/>
  <c r="M196" i="13"/>
  <c r="K36" i="13"/>
  <c r="J91" i="13"/>
  <c r="M51" i="13"/>
  <c r="J20" i="13"/>
  <c r="L57" i="13"/>
  <c r="K62" i="13"/>
  <c r="M102" i="13"/>
  <c r="J32" i="13"/>
  <c r="L119" i="13"/>
  <c r="L192" i="13"/>
  <c r="L105" i="13"/>
  <c r="M25" i="13"/>
  <c r="J200" i="13"/>
  <c r="J126" i="13"/>
  <c r="K113" i="13"/>
  <c r="K203" i="13"/>
  <c r="M74" i="13"/>
  <c r="J73" i="13"/>
  <c r="K176" i="13"/>
  <c r="K125" i="13"/>
  <c r="J81" i="13"/>
  <c r="M83" i="13"/>
  <c r="M176" i="13"/>
  <c r="K51" i="13"/>
  <c r="J14" i="13"/>
  <c r="L74" i="13"/>
  <c r="J152" i="13"/>
  <c r="L112" i="13"/>
  <c r="J141" i="13"/>
  <c r="K18" i="13"/>
  <c r="K195" i="13"/>
  <c r="L41" i="13"/>
  <c r="M13" i="13"/>
  <c r="J102" i="13"/>
  <c r="M124" i="13"/>
  <c r="K28" i="13"/>
  <c r="K39" i="13"/>
  <c r="M72" i="13"/>
  <c r="J149" i="13"/>
  <c r="K159" i="13"/>
  <c r="J64" i="13"/>
  <c r="J137" i="13"/>
  <c r="M197" i="13"/>
  <c r="K148" i="13"/>
  <c r="L11" i="13"/>
  <c r="M134" i="13"/>
  <c r="M79" i="13"/>
  <c r="K189" i="13"/>
  <c r="L161" i="13"/>
  <c r="M17" i="13"/>
  <c r="K123" i="13"/>
  <c r="M45" i="13"/>
  <c r="J65" i="13"/>
  <c r="J112" i="13"/>
  <c r="K167" i="13"/>
  <c r="N132" i="13"/>
  <c r="N114" i="13"/>
  <c r="N105" i="13"/>
  <c r="N8" i="13"/>
  <c r="N109" i="13"/>
  <c r="N137" i="13"/>
  <c r="N167" i="13"/>
  <c r="N141" i="13"/>
  <c r="N45" i="13"/>
  <c r="N55" i="13"/>
  <c r="N172" i="13"/>
  <c r="N59" i="13"/>
  <c r="N186" i="13"/>
  <c r="N96" i="13"/>
  <c r="N174" i="13"/>
  <c r="N108" i="13"/>
  <c r="N70" i="13"/>
  <c r="N121" i="13"/>
  <c r="N159" i="13"/>
  <c r="N78" i="13"/>
  <c r="N53" i="13"/>
  <c r="N19" i="13"/>
  <c r="N73" i="13"/>
  <c r="N82" i="13"/>
  <c r="N147" i="13"/>
  <c r="N15" i="13"/>
  <c r="N204" i="13"/>
  <c r="N85" i="13"/>
  <c r="N102" i="13"/>
  <c r="N80" i="13"/>
  <c r="N75" i="13"/>
  <c r="N143" i="13"/>
  <c r="N208" i="13"/>
  <c r="N157" i="13"/>
  <c r="N148" i="13"/>
  <c r="N88" i="13"/>
  <c r="N205" i="13"/>
  <c r="N152" i="13"/>
  <c r="N134" i="13"/>
  <c r="N129" i="13"/>
  <c r="N35" i="13"/>
  <c r="N161" i="13"/>
  <c r="N162" i="13"/>
  <c r="N68" i="13"/>
  <c r="N165" i="13"/>
  <c r="N69" i="13"/>
  <c r="N178" i="13"/>
  <c r="N154" i="13"/>
  <c r="N95" i="13"/>
  <c r="N168" i="13"/>
  <c r="N189" i="13"/>
  <c r="N179" i="13"/>
  <c r="N192" i="13"/>
  <c r="N181" i="13"/>
  <c r="N111" i="13"/>
  <c r="N17" i="13"/>
  <c r="N77" i="13"/>
  <c r="N202" i="13"/>
  <c r="N97" i="13"/>
  <c r="N24" i="13"/>
  <c r="N203" i="13"/>
  <c r="N20" i="13"/>
  <c r="N184" i="13"/>
  <c r="N124" i="13"/>
  <c r="N79" i="13"/>
  <c r="N125" i="13"/>
  <c r="N40" i="13"/>
  <c r="N18" i="13"/>
  <c r="N60" i="13"/>
  <c r="N11" i="13"/>
  <c r="N126" i="13"/>
  <c r="N113" i="13"/>
  <c r="N136" i="13"/>
  <c r="N38" i="13"/>
  <c r="N103" i="13"/>
  <c r="N100" i="13"/>
  <c r="N119" i="13"/>
  <c r="N191" i="13"/>
  <c r="N156" i="13"/>
  <c r="N196" i="13"/>
  <c r="N142" i="13"/>
  <c r="N23" i="13"/>
  <c r="N171" i="13"/>
  <c r="N93" i="13"/>
  <c r="N67" i="13"/>
  <c r="N130" i="13"/>
  <c r="N64" i="13"/>
  <c r="N133" i="13"/>
  <c r="N63" i="13"/>
  <c r="N13" i="13"/>
  <c r="N194" i="13"/>
  <c r="N6" i="13"/>
  <c r="N135" i="13"/>
  <c r="N199" i="13"/>
  <c r="N117" i="13"/>
  <c r="N71" i="13"/>
  <c r="N66" i="13"/>
  <c r="N145" i="13"/>
  <c r="N104" i="13"/>
  <c r="N33" i="13"/>
  <c r="N30" i="13"/>
  <c r="N118" i="13"/>
  <c r="N57" i="13"/>
  <c r="N190" i="13"/>
  <c r="N36" i="13"/>
  <c r="N101" i="13"/>
  <c r="N106" i="13"/>
  <c r="N201" i="13"/>
  <c r="N39" i="13"/>
  <c r="N140" i="13"/>
  <c r="N200" i="13"/>
  <c r="N90" i="13"/>
  <c r="N198" i="13"/>
  <c r="N21" i="13"/>
  <c r="N180" i="13"/>
  <c r="N127" i="13"/>
  <c r="N84" i="13"/>
  <c r="N128" i="13"/>
  <c r="N12" i="13"/>
  <c r="N9" i="13"/>
  <c r="N25" i="13"/>
  <c r="N61" i="13"/>
  <c r="N26" i="13"/>
  <c r="N52" i="13"/>
  <c r="N185" i="13"/>
  <c r="N27" i="13"/>
  <c r="N72" i="13"/>
  <c r="N197" i="13"/>
  <c r="N195" i="13"/>
  <c r="N7" i="13"/>
  <c r="N41" i="13"/>
  <c r="N10" i="13"/>
  <c r="N89" i="13"/>
  <c r="N193" i="13"/>
  <c r="N116" i="13"/>
  <c r="N86" i="13"/>
  <c r="N131" i="13"/>
  <c r="N155" i="13"/>
  <c r="N34" i="13"/>
  <c r="N183" i="13"/>
  <c r="N170" i="13"/>
  <c r="N169" i="13"/>
  <c r="N94" i="13"/>
  <c r="N123" i="13"/>
  <c r="N48" i="13"/>
  <c r="N160" i="13"/>
  <c r="N98" i="13"/>
  <c r="N166" i="13"/>
  <c r="N99" i="13"/>
  <c r="N43" i="13"/>
  <c r="N5" i="13"/>
  <c r="N91" i="13"/>
  <c r="N210" i="13"/>
  <c r="N115" i="13"/>
  <c r="N32" i="13"/>
  <c r="N29" i="13"/>
  <c r="N139" i="13"/>
  <c r="N56" i="13"/>
  <c r="N164" i="13"/>
  <c r="N81" i="13"/>
  <c r="N188" i="13"/>
  <c r="N92" i="13"/>
  <c r="N16" i="13"/>
  <c r="N112" i="13"/>
  <c r="N50" i="13"/>
  <c r="N31" i="13"/>
  <c r="N173" i="13"/>
  <c r="N149" i="13"/>
  <c r="N62" i="13"/>
  <c r="N14" i="13"/>
  <c r="N110" i="13"/>
  <c r="N158" i="13"/>
  <c r="N54" i="13"/>
  <c r="N47" i="13"/>
  <c r="N187" i="13"/>
  <c r="N122" i="13"/>
  <c r="N65" i="13"/>
  <c r="N37" i="13"/>
  <c r="N150" i="13"/>
  <c r="N151" i="13"/>
  <c r="N46" i="13"/>
  <c r="N176" i="13"/>
  <c r="N74" i="13"/>
  <c r="N177" i="13"/>
  <c r="N76" i="13"/>
  <c r="N120" i="13"/>
  <c r="N28" i="13"/>
  <c r="N182" i="13"/>
  <c r="N49" i="13"/>
  <c r="N146" i="13"/>
  <c r="N153" i="13"/>
  <c r="N51" i="13"/>
  <c r="N58" i="13"/>
  <c r="N83" i="13"/>
  <c r="N107" i="13"/>
  <c r="N44" i="13"/>
  <c r="N144" i="13"/>
  <c r="N87" i="13"/>
  <c r="N175" i="13"/>
  <c r="N138" i="13"/>
  <c r="N163" i="13"/>
  <c r="N22" i="13"/>
  <c r="N42" i="13"/>
  <c r="L24" i="13"/>
  <c r="K71" i="13"/>
  <c r="J36" i="13"/>
  <c r="J54" i="13"/>
  <c r="L110" i="13"/>
  <c r="K153" i="13"/>
  <c r="J175" i="13"/>
  <c r="L35" i="13"/>
  <c r="M35" i="13"/>
  <c r="L173" i="13"/>
  <c r="M180" i="13"/>
  <c r="L34" i="13"/>
  <c r="M33" i="13"/>
  <c r="J125" i="13"/>
  <c r="K78" i="13"/>
  <c r="L157" i="13"/>
  <c r="M112" i="13"/>
  <c r="J79" i="13"/>
  <c r="L13" i="13"/>
  <c r="L81" i="13"/>
  <c r="K73" i="13"/>
  <c r="M109" i="13"/>
  <c r="J70" i="13"/>
  <c r="J109" i="13"/>
  <c r="J89" i="13"/>
  <c r="L195" i="13"/>
  <c r="J201" i="13"/>
  <c r="J160" i="13"/>
  <c r="J41" i="13"/>
  <c r="L7" i="13"/>
  <c r="J34" i="13"/>
  <c r="J12" i="13"/>
  <c r="L107" i="13"/>
  <c r="M151" i="13"/>
  <c r="K152" i="13"/>
  <c r="L82" i="13"/>
  <c r="L9" i="13"/>
  <c r="M31" i="13"/>
  <c r="J157" i="13"/>
  <c r="K134" i="13"/>
  <c r="K75" i="13"/>
  <c r="M169" i="13"/>
  <c r="J61" i="13"/>
  <c r="K174" i="13"/>
  <c r="K105" i="13"/>
  <c r="K149" i="13"/>
  <c r="M187" i="13"/>
  <c r="M21" i="13"/>
  <c r="J187" i="13"/>
  <c r="J167" i="13"/>
  <c r="M55" i="13"/>
  <c r="K55" i="13"/>
  <c r="L124" i="13"/>
  <c r="K12" i="13"/>
  <c r="J74" i="13"/>
  <c r="M118" i="13"/>
  <c r="K34" i="13"/>
  <c r="M160" i="13"/>
  <c r="K156" i="13"/>
  <c r="L53" i="13"/>
  <c r="L106" i="13"/>
  <c r="M120" i="13"/>
  <c r="K83" i="13"/>
  <c r="L25" i="13"/>
  <c r="J16" i="13"/>
  <c r="K92" i="13"/>
  <c r="M32" i="13"/>
  <c r="J101" i="13"/>
  <c r="M6" i="13"/>
  <c r="M76" i="13"/>
  <c r="K31" i="13"/>
  <c r="M80" i="13"/>
  <c r="K84" i="13"/>
  <c r="L48" i="13"/>
  <c r="K15" i="13"/>
  <c r="M41" i="13"/>
  <c r="K93" i="13"/>
  <c r="M183" i="13"/>
  <c r="L178" i="13"/>
  <c r="J162" i="13"/>
  <c r="M163" i="13"/>
  <c r="K129" i="13"/>
  <c r="M89" i="13"/>
  <c r="J33" i="13"/>
  <c r="L199" i="13"/>
  <c r="J205" i="13"/>
  <c r="L18" i="13"/>
  <c r="J46" i="13"/>
  <c r="L154" i="13"/>
  <c r="J26" i="13"/>
  <c r="M14" i="13"/>
  <c r="J156" i="13"/>
  <c r="M117" i="13"/>
  <c r="L203" i="13"/>
  <c r="F191" i="13"/>
  <c r="J18" i="13"/>
  <c r="L151" i="13"/>
  <c r="L155" i="13"/>
  <c r="M174" i="13"/>
  <c r="L111" i="13"/>
  <c r="M192" i="13"/>
  <c r="M155" i="13"/>
  <c r="K114" i="13"/>
  <c r="J163" i="13"/>
  <c r="K140" i="13"/>
  <c r="M191" i="13"/>
  <c r="L160" i="13"/>
  <c r="L37" i="13"/>
  <c r="M10" i="13"/>
  <c r="L71" i="13"/>
  <c r="M175" i="13"/>
  <c r="J69" i="13"/>
  <c r="L180" i="13"/>
  <c r="L60" i="13"/>
  <c r="M60" i="13"/>
  <c r="J49" i="13"/>
  <c r="L122" i="13"/>
  <c r="J136" i="13"/>
  <c r="M50" i="13"/>
  <c r="K50" i="13"/>
  <c r="K139" i="13"/>
  <c r="L33" i="13"/>
  <c r="J113" i="13"/>
  <c r="L149" i="13"/>
  <c r="J86" i="13"/>
  <c r="M119" i="13"/>
  <c r="K161" i="13"/>
  <c r="M126" i="13"/>
  <c r="M116" i="13"/>
  <c r="K19" i="13"/>
  <c r="M98" i="13"/>
  <c r="K33" i="13"/>
  <c r="L12" i="13"/>
  <c r="M208" i="13"/>
  <c r="J132" i="13"/>
  <c r="L147" i="13"/>
  <c r="L131" i="13"/>
  <c r="L185" i="13"/>
  <c r="K165" i="13"/>
  <c r="M168" i="13"/>
  <c r="L10" i="13"/>
  <c r="M77" i="13"/>
  <c r="M84" i="13"/>
  <c r="K197" i="13"/>
  <c r="K181" i="13"/>
  <c r="L58" i="13"/>
  <c r="L103" i="13"/>
  <c r="K103" i="13"/>
  <c r="K7" i="13"/>
  <c r="K198" i="13"/>
  <c r="M185" i="13"/>
  <c r="J166" i="13"/>
  <c r="K170" i="13"/>
  <c r="K64" i="13"/>
  <c r="M156" i="13"/>
  <c r="J146" i="13"/>
  <c r="L45" i="13"/>
  <c r="L163" i="13"/>
  <c r="J85" i="13"/>
  <c r="K23" i="13"/>
  <c r="L169" i="13"/>
  <c r="J189" i="13"/>
  <c r="L86" i="13"/>
  <c r="M5" i="13"/>
  <c r="K177" i="13"/>
  <c r="L23" i="13"/>
  <c r="M103" i="13"/>
  <c r="K53" i="13"/>
  <c r="M204" i="13"/>
  <c r="K109" i="13"/>
  <c r="L69" i="13"/>
  <c r="L208" i="13"/>
  <c r="M189" i="13"/>
  <c r="M158" i="13"/>
  <c r="K202" i="13"/>
  <c r="L205" i="13"/>
  <c r="M65" i="13"/>
  <c r="K58" i="13"/>
  <c r="L65" i="13"/>
  <c r="M159" i="13"/>
  <c r="K157" i="13"/>
  <c r="K205" i="13"/>
  <c r="J142" i="13"/>
  <c r="M34" i="13"/>
  <c r="K5" i="13"/>
  <c r="L126" i="13"/>
  <c r="M40" i="13"/>
  <c r="K98" i="13"/>
  <c r="M205" i="13"/>
  <c r="L8" i="13"/>
  <c r="J8" i="13"/>
  <c r="L130" i="13"/>
  <c r="J190" i="13"/>
  <c r="L72" i="13"/>
  <c r="J53" i="13"/>
  <c r="M167" i="13"/>
  <c r="K187" i="13"/>
  <c r="M12" i="13"/>
  <c r="K13" i="13"/>
  <c r="J66" i="13"/>
  <c r="L109" i="13"/>
  <c r="J129" i="13"/>
  <c r="M26" i="13"/>
  <c r="K26" i="13"/>
  <c r="M69" i="13"/>
  <c r="K89" i="13"/>
  <c r="J210" i="13"/>
  <c r="J138" i="6"/>
  <c r="J67" i="6"/>
  <c r="J13" i="6"/>
  <c r="J160" i="6"/>
  <c r="J89" i="6"/>
  <c r="J123" i="6"/>
  <c r="J110" i="6"/>
  <c r="J114" i="6"/>
  <c r="J177" i="6"/>
  <c r="J79" i="6"/>
  <c r="J35" i="6"/>
  <c r="J85" i="6"/>
  <c r="J68" i="6"/>
  <c r="J44" i="6"/>
  <c r="J71" i="6"/>
  <c r="J28" i="6"/>
  <c r="J113" i="6"/>
  <c r="J156" i="6"/>
  <c r="J142" i="6"/>
  <c r="J116" i="6"/>
  <c r="J182" i="6"/>
  <c r="J57" i="6"/>
  <c r="J124" i="6"/>
  <c r="J12" i="6"/>
  <c r="J204" i="6"/>
  <c r="J174" i="6"/>
  <c r="J155" i="6"/>
  <c r="J179" i="6"/>
  <c r="J180" i="6"/>
  <c r="J103" i="6"/>
  <c r="J54" i="6"/>
  <c r="J211" i="6"/>
  <c r="J100" i="6"/>
  <c r="J161" i="6"/>
  <c r="J112" i="6"/>
  <c r="J42" i="6"/>
  <c r="J143" i="6"/>
  <c r="J130" i="6"/>
  <c r="J141" i="6"/>
  <c r="J6" i="6"/>
  <c r="J106" i="6"/>
  <c r="J60" i="6"/>
  <c r="J20" i="6"/>
  <c r="J159" i="6"/>
  <c r="J147" i="6"/>
  <c r="J111" i="6"/>
  <c r="J26" i="6"/>
  <c r="J200" i="6"/>
  <c r="J194" i="6"/>
  <c r="J115" i="6"/>
  <c r="J107" i="6"/>
  <c r="J45" i="6"/>
  <c r="J121" i="6"/>
  <c r="J21" i="6"/>
  <c r="J118" i="6"/>
  <c r="J146" i="6"/>
  <c r="J63" i="6"/>
  <c r="J15" i="6"/>
  <c r="J8" i="6"/>
  <c r="J209" i="6"/>
  <c r="J178" i="6"/>
  <c r="J62" i="6"/>
  <c r="J94" i="6"/>
  <c r="J195" i="6"/>
  <c r="J74" i="6"/>
  <c r="J163" i="6"/>
  <c r="J150" i="6"/>
  <c r="J171" i="6"/>
  <c r="J117" i="6"/>
  <c r="J201" i="6"/>
  <c r="J87" i="6"/>
  <c r="J72" i="6"/>
  <c r="J181" i="6"/>
  <c r="J58" i="6"/>
  <c r="J153" i="6"/>
  <c r="J76" i="6"/>
  <c r="J64" i="6"/>
  <c r="J53" i="6"/>
  <c r="J167" i="6"/>
  <c r="J80" i="6"/>
  <c r="J149" i="6"/>
  <c r="J133" i="6"/>
  <c r="J184" i="6"/>
  <c r="J197" i="6"/>
  <c r="J43" i="6"/>
  <c r="J41" i="6"/>
  <c r="J125" i="6"/>
  <c r="J132" i="6"/>
  <c r="J59" i="6"/>
  <c r="J46" i="6"/>
  <c r="J157" i="6"/>
  <c r="J36" i="6"/>
  <c r="J183" i="6"/>
  <c r="J170" i="6"/>
  <c r="J196" i="6"/>
  <c r="J145" i="6"/>
  <c r="J32" i="6"/>
  <c r="J39" i="6"/>
  <c r="J33" i="6"/>
  <c r="J134" i="6"/>
  <c r="J99" i="6"/>
  <c r="J175" i="6"/>
  <c r="J73" i="6"/>
  <c r="J120" i="6"/>
  <c r="J97" i="6"/>
  <c r="J129" i="6"/>
  <c r="J81" i="6"/>
  <c r="J96" i="6"/>
  <c r="J148" i="6"/>
  <c r="J16" i="6"/>
  <c r="J61" i="6"/>
  <c r="J127" i="6"/>
  <c r="J98" i="6"/>
  <c r="J70" i="6"/>
  <c r="J9" i="6"/>
  <c r="J128" i="6"/>
  <c r="J206" i="6"/>
  <c r="J187" i="6"/>
  <c r="J203" i="6"/>
  <c r="J190" i="6"/>
  <c r="J22" i="6"/>
  <c r="J173" i="6"/>
  <c r="J119" i="6"/>
  <c r="J185" i="6"/>
  <c r="J24" i="6"/>
  <c r="J11" i="6"/>
  <c r="J49" i="6"/>
  <c r="J198" i="6"/>
  <c r="J136" i="6"/>
  <c r="J126" i="6"/>
  <c r="J101" i="6"/>
  <c r="J84" i="6"/>
  <c r="J34" i="6"/>
  <c r="J154" i="6"/>
  <c r="J82" i="6"/>
  <c r="J69" i="6"/>
  <c r="J65" i="6"/>
  <c r="J191" i="6"/>
  <c r="J172" i="6"/>
  <c r="J7" i="6"/>
  <c r="J25" i="6"/>
  <c r="J131" i="6"/>
  <c r="J50" i="6"/>
  <c r="J193" i="6"/>
  <c r="J166" i="6"/>
  <c r="J192" i="6"/>
  <c r="J109" i="6"/>
  <c r="J137" i="6"/>
  <c r="J165" i="6"/>
  <c r="J205" i="6"/>
  <c r="J75" i="6"/>
  <c r="J37" i="6"/>
  <c r="J52" i="6"/>
  <c r="J140" i="6"/>
  <c r="J83" i="6"/>
  <c r="J90" i="6"/>
  <c r="J168" i="6"/>
  <c r="J31" i="6"/>
  <c r="J164" i="6"/>
  <c r="J40" i="6"/>
  <c r="J77" i="6"/>
  <c r="J47" i="6"/>
  <c r="J151" i="6"/>
  <c r="J51" i="6"/>
  <c r="J122" i="6"/>
  <c r="J139" i="6"/>
  <c r="J162" i="6"/>
  <c r="J169" i="6"/>
  <c r="J29" i="6"/>
  <c r="J158" i="6"/>
  <c r="J10" i="6"/>
  <c r="J66" i="6"/>
  <c r="J102" i="6"/>
  <c r="J19" i="6"/>
  <c r="J78" i="6"/>
  <c r="J48" i="6"/>
  <c r="J189" i="6"/>
  <c r="J135" i="6"/>
  <c r="J23" i="6"/>
  <c r="J30" i="6"/>
  <c r="J92" i="6"/>
  <c r="J56" i="6"/>
  <c r="J18" i="6"/>
  <c r="J17" i="6"/>
  <c r="J14" i="6"/>
  <c r="J86" i="6"/>
  <c r="J104" i="6"/>
  <c r="J91" i="6"/>
  <c r="J152" i="6"/>
  <c r="J105" i="6"/>
  <c r="J55" i="6"/>
  <c r="J186" i="6"/>
  <c r="J88" i="6"/>
  <c r="J176" i="6"/>
  <c r="J93" i="6"/>
  <c r="J38" i="6"/>
  <c r="J144" i="6"/>
  <c r="J202" i="6"/>
  <c r="J108" i="6"/>
  <c r="J188" i="6"/>
  <c r="J95" i="6"/>
  <c r="J199" i="6"/>
  <c r="J27" i="6"/>
  <c r="F162" i="4" l="1"/>
  <c r="F214" i="4"/>
  <c r="G214" i="4" s="1"/>
  <c r="H214" i="4" s="1"/>
  <c r="I214" i="4" s="1"/>
  <c r="J214" i="4" s="1"/>
  <c r="F188" i="4"/>
  <c r="G188" i="4" s="1"/>
  <c r="H188" i="4" s="1"/>
  <c r="I188" i="4" s="1"/>
  <c r="F195" i="4"/>
  <c r="G195" i="4" s="1"/>
  <c r="H195" i="4" s="1"/>
  <c r="I195" i="4" s="1"/>
  <c r="F157" i="4"/>
  <c r="G157" i="4" s="1"/>
  <c r="H157" i="4" s="1"/>
  <c r="I157" i="4" s="1"/>
  <c r="F179" i="4"/>
  <c r="G179" i="4" s="1"/>
  <c r="H179" i="4" s="1"/>
  <c r="I179" i="4" s="1"/>
  <c r="F133" i="4"/>
  <c r="G133" i="4" s="1"/>
  <c r="H133" i="4" s="1"/>
  <c r="I133" i="4" s="1"/>
  <c r="F181" i="4"/>
  <c r="G181" i="4" s="1"/>
  <c r="H181" i="4" s="1"/>
  <c r="I181" i="4" s="1"/>
  <c r="F156" i="4"/>
  <c r="G156" i="4" s="1"/>
  <c r="H156" i="4" s="1"/>
  <c r="I156" i="4" s="1"/>
  <c r="F9" i="4"/>
  <c r="G9" i="4" s="1"/>
  <c r="F212" i="4"/>
  <c r="G212" i="4" s="1"/>
  <c r="H212" i="4" s="1"/>
  <c r="I212" i="4" s="1"/>
  <c r="J212" i="4" s="1"/>
  <c r="F202" i="4"/>
  <c r="G202" i="4" s="1"/>
  <c r="H202" i="4" s="1"/>
  <c r="I202" i="4" s="1"/>
  <c r="F182" i="4"/>
  <c r="G182" i="4" s="1"/>
  <c r="H182" i="4" s="1"/>
  <c r="I182" i="4" s="1"/>
  <c r="F121" i="4"/>
  <c r="G121" i="4" s="1"/>
  <c r="H121" i="4" s="1"/>
  <c r="I121" i="4" s="1"/>
  <c r="F142" i="4"/>
  <c r="G142" i="4" s="1"/>
  <c r="H142" i="4" s="1"/>
  <c r="I142" i="4" s="1"/>
  <c r="F122" i="4"/>
  <c r="G122" i="4" s="1"/>
  <c r="H122" i="4" s="1"/>
  <c r="I122" i="4" s="1"/>
  <c r="F199" i="4"/>
  <c r="G199" i="4" s="1"/>
  <c r="H199" i="4" s="1"/>
  <c r="I199" i="4" s="1"/>
  <c r="F149" i="4"/>
  <c r="G149" i="4" s="1"/>
  <c r="H149" i="4" s="1"/>
  <c r="I149" i="4" s="1"/>
  <c r="F198" i="4"/>
  <c r="G198" i="4" s="1"/>
  <c r="H198" i="4" s="1"/>
  <c r="I198" i="4" s="1"/>
  <c r="F128" i="4"/>
  <c r="G128" i="4" s="1"/>
  <c r="H128" i="4" s="1"/>
  <c r="I128" i="4" s="1"/>
  <c r="F130" i="4"/>
  <c r="G130" i="4" s="1"/>
  <c r="H130" i="4" s="1"/>
  <c r="I130" i="4" s="1"/>
  <c r="F152" i="4"/>
  <c r="G152" i="4" s="1"/>
  <c r="H152" i="4" s="1"/>
  <c r="I152" i="4" s="1"/>
  <c r="F126" i="4"/>
  <c r="G126" i="4" s="1"/>
  <c r="H126" i="4" s="1"/>
  <c r="I126" i="4" s="1"/>
  <c r="F124" i="4"/>
  <c r="G124" i="4" s="1"/>
  <c r="H124" i="4" s="1"/>
  <c r="I124" i="4" s="1"/>
  <c r="F172" i="4"/>
  <c r="G172" i="4" s="1"/>
  <c r="H172" i="4" s="1"/>
  <c r="I172" i="4" s="1"/>
  <c r="F116" i="4"/>
  <c r="G116" i="4" s="1"/>
  <c r="H116" i="4" s="1"/>
  <c r="I116" i="4" s="1"/>
  <c r="F189" i="4"/>
  <c r="G189" i="4" s="1"/>
  <c r="H189" i="4" s="1"/>
  <c r="I189" i="4" s="1"/>
  <c r="F166" i="4"/>
  <c r="G166" i="4" s="1"/>
  <c r="H166" i="4" s="1"/>
  <c r="I166" i="4" s="1"/>
  <c r="F140" i="4"/>
  <c r="G140" i="4" s="1"/>
  <c r="H140" i="4" s="1"/>
  <c r="I140" i="4" s="1"/>
  <c r="F115" i="4"/>
  <c r="G115" i="4" s="1"/>
  <c r="H115" i="4" s="1"/>
  <c r="I115" i="4" s="1"/>
  <c r="F180" i="4"/>
  <c r="G180" i="4" s="1"/>
  <c r="H180" i="4" s="1"/>
  <c r="I180" i="4" s="1"/>
  <c r="F138" i="4"/>
  <c r="G138" i="4" s="1"/>
  <c r="H138" i="4" s="1"/>
  <c r="I138" i="4" s="1"/>
  <c r="F171" i="4"/>
  <c r="G171" i="4" s="1"/>
  <c r="H171" i="4" s="1"/>
  <c r="I171" i="4" s="1"/>
  <c r="F192" i="4"/>
  <c r="G192" i="4" s="1"/>
  <c r="H192" i="4" s="1"/>
  <c r="I192" i="4" s="1"/>
  <c r="F178" i="4"/>
  <c r="G178" i="4" s="1"/>
  <c r="H178" i="4" s="1"/>
  <c r="I178" i="4" s="1"/>
  <c r="F148" i="4"/>
  <c r="G148" i="4" s="1"/>
  <c r="H148" i="4" s="1"/>
  <c r="I148" i="4" s="1"/>
  <c r="F155" i="4"/>
  <c r="G155" i="4" s="1"/>
  <c r="H155" i="4" s="1"/>
  <c r="I155" i="4" s="1"/>
  <c r="F114" i="4"/>
  <c r="G114" i="4" s="1"/>
  <c r="H114" i="4" s="1"/>
  <c r="I114" i="4" s="1"/>
  <c r="F194" i="4"/>
  <c r="G194" i="4" s="1"/>
  <c r="H194" i="4" s="1"/>
  <c r="I194" i="4" s="1"/>
  <c r="F144" i="4"/>
  <c r="G144" i="4" s="1"/>
  <c r="H144" i="4" s="1"/>
  <c r="I144" i="4" s="1"/>
  <c r="F154" i="4"/>
  <c r="G154" i="4" s="1"/>
  <c r="H154" i="4" s="1"/>
  <c r="I154" i="4" s="1"/>
  <c r="F184" i="4"/>
  <c r="G184" i="4" s="1"/>
  <c r="H184" i="4" s="1"/>
  <c r="I184" i="4" s="1"/>
  <c r="F118" i="4"/>
  <c r="G118" i="4" s="1"/>
  <c r="H118" i="4" s="1"/>
  <c r="I118" i="4" s="1"/>
  <c r="F186" i="4"/>
  <c r="G186" i="4" s="1"/>
  <c r="H186" i="4" s="1"/>
  <c r="I186" i="4" s="1"/>
  <c r="F131" i="4"/>
  <c r="G131" i="4" s="1"/>
  <c r="H131" i="4" s="1"/>
  <c r="I131" i="4" s="1"/>
  <c r="F10" i="4"/>
  <c r="G10" i="4" s="1"/>
  <c r="H10" i="4" s="1"/>
  <c r="I10" i="4" s="1"/>
  <c r="F119" i="4"/>
  <c r="G119" i="4" s="1"/>
  <c r="H119" i="4" s="1"/>
  <c r="I119" i="4" s="1"/>
  <c r="F197" i="4"/>
  <c r="G197" i="4" s="1"/>
  <c r="H197" i="4" s="1"/>
  <c r="I197" i="4" s="1"/>
  <c r="F170" i="4"/>
  <c r="G170" i="4" s="1"/>
  <c r="H170" i="4" s="1"/>
  <c r="I170" i="4" s="1"/>
  <c r="F132" i="4"/>
  <c r="G132" i="4" s="1"/>
  <c r="H132" i="4" s="1"/>
  <c r="I132" i="4" s="1"/>
  <c r="F129" i="4"/>
  <c r="G129" i="4" s="1"/>
  <c r="H129" i="4" s="1"/>
  <c r="I129" i="4" s="1"/>
  <c r="F191" i="4"/>
  <c r="G191" i="4" s="1"/>
  <c r="H191" i="4" s="1"/>
  <c r="I191" i="4" s="1"/>
  <c r="F200" i="4"/>
  <c r="G200" i="4" s="1"/>
  <c r="H200" i="4" s="1"/>
  <c r="I200" i="4" s="1"/>
  <c r="F209" i="4"/>
  <c r="G209" i="4" s="1"/>
  <c r="H209" i="4" s="1"/>
  <c r="I209" i="4" s="1"/>
  <c r="F176" i="4"/>
  <c r="G176" i="4" s="1"/>
  <c r="H176" i="4" s="1"/>
  <c r="I176" i="4" s="1"/>
  <c r="F120" i="4"/>
  <c r="G120" i="4" s="1"/>
  <c r="H120" i="4" s="1"/>
  <c r="I120" i="4" s="1"/>
  <c r="F160" i="4"/>
  <c r="G160" i="4" s="1"/>
  <c r="H160" i="4" s="1"/>
  <c r="I160" i="4" s="1"/>
  <c r="F205" i="4"/>
  <c r="G205" i="4" s="1"/>
  <c r="H205" i="4" s="1"/>
  <c r="I205" i="4" s="1"/>
  <c r="F175" i="4"/>
  <c r="G175" i="4" s="1"/>
  <c r="H175" i="4" s="1"/>
  <c r="I175" i="4" s="1"/>
  <c r="F113" i="4"/>
  <c r="G113" i="4" s="1"/>
  <c r="H113" i="4" s="1"/>
  <c r="I113" i="4" s="1"/>
  <c r="F196" i="4"/>
  <c r="G196" i="4" s="1"/>
  <c r="H196" i="4" s="1"/>
  <c r="I196" i="4" s="1"/>
  <c r="F125" i="4"/>
  <c r="G125" i="4" s="1"/>
  <c r="H125" i="4" s="1"/>
  <c r="I125" i="4" s="1"/>
  <c r="F201" i="4"/>
  <c r="G201" i="4" s="1"/>
  <c r="H201" i="4" s="1"/>
  <c r="I201" i="4" s="1"/>
  <c r="F187" i="4"/>
  <c r="G187" i="4" s="1"/>
  <c r="H187" i="4" s="1"/>
  <c r="I187" i="4" s="1"/>
  <c r="F147" i="4"/>
  <c r="G147" i="4" s="1"/>
  <c r="H147" i="4" s="1"/>
  <c r="I147" i="4" s="1"/>
  <c r="F207" i="4"/>
  <c r="G207" i="4" s="1"/>
  <c r="H207" i="4" s="1"/>
  <c r="I207" i="4" s="1"/>
  <c r="F165" i="4"/>
  <c r="G165" i="4" s="1"/>
  <c r="H165" i="4" s="1"/>
  <c r="I165" i="4" s="1"/>
  <c r="F168" i="4"/>
  <c r="G168" i="4" s="1"/>
  <c r="H168" i="4" s="1"/>
  <c r="I168" i="4" s="1"/>
  <c r="F158" i="4"/>
  <c r="G158" i="4" s="1"/>
  <c r="H158" i="4" s="1"/>
  <c r="I158" i="4" s="1"/>
  <c r="F145" i="4"/>
  <c r="G145" i="4" s="1"/>
  <c r="H145" i="4" s="1"/>
  <c r="I145" i="4" s="1"/>
  <c r="F127" i="4"/>
  <c r="G127" i="4" s="1"/>
  <c r="H127" i="4" s="1"/>
  <c r="I127" i="4" s="1"/>
  <c r="F167" i="4"/>
  <c r="G167" i="4" s="1"/>
  <c r="H167" i="4" s="1"/>
  <c r="I167" i="4" s="1"/>
  <c r="F135" i="4"/>
  <c r="G135" i="4" s="1"/>
  <c r="H135" i="4" s="1"/>
  <c r="I135" i="4" s="1"/>
  <c r="F174" i="4"/>
  <c r="G174" i="4" s="1"/>
  <c r="H174" i="4" s="1"/>
  <c r="I174" i="4" s="1"/>
  <c r="F141" i="4"/>
  <c r="G141" i="4" s="1"/>
  <c r="H141" i="4" s="1"/>
  <c r="I141" i="4" s="1"/>
  <c r="F111" i="4"/>
  <c r="G111" i="4" s="1"/>
  <c r="H111" i="4" s="1"/>
  <c r="I111" i="4" s="1"/>
  <c r="F143" i="4"/>
  <c r="G143" i="4" s="1"/>
  <c r="H143" i="4" s="1"/>
  <c r="I143" i="4" s="1"/>
  <c r="F150" i="4"/>
  <c r="G150" i="4" s="1"/>
  <c r="H150" i="4" s="1"/>
  <c r="I150" i="4" s="1"/>
  <c r="F208" i="4"/>
  <c r="G208" i="4" s="1"/>
  <c r="H208" i="4" s="1"/>
  <c r="I208" i="4" s="1"/>
  <c r="F161" i="4"/>
  <c r="G161" i="4" s="1"/>
  <c r="H161" i="4" s="1"/>
  <c r="I161" i="4" s="1"/>
  <c r="F112" i="4"/>
  <c r="G112" i="4" s="1"/>
  <c r="H112" i="4" s="1"/>
  <c r="I112" i="4" s="1"/>
  <c r="F193" i="4"/>
  <c r="G193" i="4" s="1"/>
  <c r="H193" i="4" s="1"/>
  <c r="I193" i="4" s="1"/>
  <c r="F185" i="4"/>
  <c r="G185" i="4" s="1"/>
  <c r="H185" i="4" s="1"/>
  <c r="I185" i="4" s="1"/>
  <c r="F173" i="4"/>
  <c r="G173" i="4" s="1"/>
  <c r="H173" i="4" s="1"/>
  <c r="I173" i="4" s="1"/>
  <c r="F117" i="4"/>
  <c r="G117" i="4" s="1"/>
  <c r="H117" i="4" s="1"/>
  <c r="I117" i="4" s="1"/>
  <c r="F206" i="4"/>
  <c r="G206" i="4" s="1"/>
  <c r="H206" i="4" s="1"/>
  <c r="I206" i="4" s="1"/>
  <c r="F123" i="4"/>
  <c r="G123" i="4" s="1"/>
  <c r="H123" i="4" s="1"/>
  <c r="I123" i="4" s="1"/>
  <c r="F136" i="4"/>
  <c r="G136" i="4" s="1"/>
  <c r="H136" i="4" s="1"/>
  <c r="I136" i="4" s="1"/>
  <c r="F153" i="4"/>
  <c r="G153" i="4" s="1"/>
  <c r="H153" i="4" s="1"/>
  <c r="I153" i="4" s="1"/>
  <c r="F190" i="4"/>
  <c r="G190" i="4" s="1"/>
  <c r="H190" i="4" s="1"/>
  <c r="I190" i="4" s="1"/>
  <c r="F137" i="4"/>
  <c r="G137" i="4" s="1"/>
  <c r="H137" i="4" s="1"/>
  <c r="I137" i="4" s="1"/>
  <c r="F177" i="4"/>
  <c r="G177" i="4" s="1"/>
  <c r="H177" i="4" s="1"/>
  <c r="I177" i="4" s="1"/>
  <c r="F203" i="4"/>
  <c r="G203" i="4" s="1"/>
  <c r="H203" i="4" s="1"/>
  <c r="I203" i="4" s="1"/>
  <c r="F159" i="4"/>
  <c r="G159" i="4" s="1"/>
  <c r="H159" i="4" s="1"/>
  <c r="I159" i="4" s="1"/>
  <c r="F169" i="4"/>
  <c r="G169" i="4" s="1"/>
  <c r="H169" i="4" s="1"/>
  <c r="I169" i="4" s="1"/>
  <c r="F164" i="4"/>
  <c r="G164" i="4" s="1"/>
  <c r="H164" i="4" s="1"/>
  <c r="I164" i="4" s="1"/>
  <c r="F134" i="4"/>
  <c r="G134" i="4" s="1"/>
  <c r="H134" i="4" s="1"/>
  <c r="I134" i="4" s="1"/>
  <c r="F183" i="4"/>
  <c r="G183" i="4" s="1"/>
  <c r="H183" i="4" s="1"/>
  <c r="I183" i="4" s="1"/>
  <c r="F151" i="4"/>
  <c r="G151" i="4" s="1"/>
  <c r="H151" i="4" s="1"/>
  <c r="I151" i="4" s="1"/>
  <c r="F146" i="4"/>
  <c r="G146" i="4" s="1"/>
  <c r="H146" i="4" s="1"/>
  <c r="I146" i="4" s="1"/>
  <c r="F139" i="4"/>
  <c r="G139" i="4" s="1"/>
  <c r="H139" i="4" s="1"/>
  <c r="I139" i="4" s="1"/>
  <c r="F204" i="4"/>
  <c r="G204" i="4" s="1"/>
  <c r="H204" i="4" s="1"/>
  <c r="I204" i="4" s="1"/>
  <c r="F163" i="4"/>
  <c r="G163" i="4" s="1"/>
  <c r="H163" i="4" s="1"/>
  <c r="I163" i="4" s="1"/>
  <c r="N212" i="4"/>
  <c r="N48" i="4"/>
  <c r="N88" i="4"/>
  <c r="N128" i="4"/>
  <c r="N168" i="4"/>
  <c r="N208" i="4"/>
  <c r="N214" i="4"/>
  <c r="N49" i="4"/>
  <c r="N89" i="4"/>
  <c r="N129" i="4"/>
  <c r="N169" i="4"/>
  <c r="N209" i="4"/>
  <c r="N10" i="4"/>
  <c r="N50" i="4"/>
  <c r="N90" i="4"/>
  <c r="N130" i="4"/>
  <c r="N170" i="4"/>
  <c r="N9" i="4"/>
  <c r="N20" i="4"/>
  <c r="N60" i="4"/>
  <c r="N100" i="4"/>
  <c r="N140" i="4"/>
  <c r="N180" i="4"/>
  <c r="N21" i="4"/>
  <c r="N61" i="4"/>
  <c r="N101" i="4"/>
  <c r="N141" i="4"/>
  <c r="N181" i="4"/>
  <c r="N22" i="4"/>
  <c r="N62" i="4"/>
  <c r="N102" i="4"/>
  <c r="N142" i="4"/>
  <c r="N182" i="4"/>
  <c r="N23" i="4"/>
  <c r="N63" i="4"/>
  <c r="N103" i="4"/>
  <c r="N143" i="4"/>
  <c r="N183" i="4"/>
  <c r="N24" i="4"/>
  <c r="N64" i="4"/>
  <c r="N104" i="4"/>
  <c r="N144" i="4"/>
  <c r="N184" i="4"/>
  <c r="N25" i="4"/>
  <c r="N83" i="4"/>
  <c r="N150" i="4"/>
  <c r="N85" i="4"/>
  <c r="N161" i="4"/>
  <c r="N29" i="4"/>
  <c r="N30" i="4"/>
  <c r="N163" i="4"/>
  <c r="N106" i="4"/>
  <c r="N164" i="4"/>
  <c r="N145" i="4"/>
  <c r="N26" i="4"/>
  <c r="N84" i="4"/>
  <c r="N160" i="4"/>
  <c r="N28" i="4"/>
  <c r="N86" i="4"/>
  <c r="N162" i="4"/>
  <c r="N105" i="4"/>
  <c r="N40" i="4"/>
  <c r="N70" i="4"/>
  <c r="N41" i="4"/>
  <c r="N108" i="4"/>
  <c r="N165" i="4"/>
  <c r="N43" i="4"/>
  <c r="N185" i="4"/>
  <c r="N124" i="4"/>
  <c r="N125" i="4"/>
  <c r="N126" i="4"/>
  <c r="N146" i="4"/>
  <c r="N205" i="4"/>
  <c r="N82" i="4"/>
  <c r="N42" i="4"/>
  <c r="N109" i="4"/>
  <c r="N166" i="4"/>
  <c r="N110" i="4"/>
  <c r="N123" i="4"/>
  <c r="N200" i="4"/>
  <c r="N201" i="4"/>
  <c r="N202" i="4"/>
  <c r="N203" i="4"/>
  <c r="N204" i="4"/>
  <c r="N81" i="4"/>
  <c r="N206" i="4"/>
  <c r="N44" i="4"/>
  <c r="N120" i="4"/>
  <c r="N186" i="4"/>
  <c r="N45" i="4"/>
  <c r="N121" i="4"/>
  <c r="N188" i="4"/>
  <c r="N46" i="4"/>
  <c r="N122" i="4"/>
  <c r="N189" i="4"/>
  <c r="N65" i="4"/>
  <c r="N190" i="4"/>
  <c r="N66" i="4"/>
  <c r="N68" i="4"/>
  <c r="N69" i="4"/>
  <c r="N80" i="4"/>
  <c r="N148" i="4"/>
  <c r="N149" i="4"/>
  <c r="N199" i="4"/>
  <c r="N78" i="4"/>
  <c r="N175" i="4"/>
  <c r="N193" i="4"/>
  <c r="N191" i="4"/>
  <c r="N139" i="4"/>
  <c r="N119" i="4"/>
  <c r="N15" i="4"/>
  <c r="N99" i="4"/>
  <c r="N91" i="4"/>
  <c r="N112" i="4"/>
  <c r="N96" i="4"/>
  <c r="N72" i="4"/>
  <c r="N138" i="4"/>
  <c r="N32" i="4"/>
  <c r="N12" i="4"/>
  <c r="N179" i="4"/>
  <c r="N58" i="4"/>
  <c r="N135" i="4"/>
  <c r="N173" i="4"/>
  <c r="N171" i="4"/>
  <c r="N18" i="4"/>
  <c r="N133" i="4"/>
  <c r="N131" i="4"/>
  <c r="N197" i="4"/>
  <c r="N113" i="4"/>
  <c r="N177" i="4"/>
  <c r="N93" i="4"/>
  <c r="N116" i="4"/>
  <c r="N92" i="4"/>
  <c r="N178" i="4"/>
  <c r="N67" i="4"/>
  <c r="N74" i="4"/>
  <c r="N98" i="4"/>
  <c r="N159" i="4"/>
  <c r="N38" i="4"/>
  <c r="N95" i="4"/>
  <c r="N153" i="4"/>
  <c r="N151" i="4"/>
  <c r="N55" i="4"/>
  <c r="N111" i="4"/>
  <c r="N174" i="4"/>
  <c r="N127" i="4"/>
  <c r="N107" i="4"/>
  <c r="N87" i="4"/>
  <c r="N52" i="4"/>
  <c r="N47" i="4"/>
  <c r="N16" i="4"/>
  <c r="N79" i="4"/>
  <c r="N137" i="4"/>
  <c r="N134" i="4"/>
  <c r="N73" i="4"/>
  <c r="N71" i="4"/>
  <c r="N59" i="4"/>
  <c r="N117" i="4"/>
  <c r="N94" i="4"/>
  <c r="N53" i="4"/>
  <c r="N51" i="4"/>
  <c r="N39" i="4"/>
  <c r="N77" i="4"/>
  <c r="N54" i="4"/>
  <c r="N33" i="4"/>
  <c r="N31" i="4"/>
  <c r="N156" i="4"/>
  <c r="N152" i="4"/>
  <c r="N136" i="4"/>
  <c r="N75" i="4"/>
  <c r="N147" i="4"/>
  <c r="N35" i="4"/>
  <c r="N194" i="4"/>
  <c r="N76" i="4"/>
  <c r="N56" i="4"/>
  <c r="N118" i="4"/>
  <c r="N27" i="4"/>
  <c r="N19" i="4"/>
  <c r="N37" i="4"/>
  <c r="N14" i="4"/>
  <c r="N13" i="4"/>
  <c r="N11" i="4"/>
  <c r="N158" i="4"/>
  <c r="N196" i="4"/>
  <c r="N195" i="4"/>
  <c r="N192" i="4"/>
  <c r="N207" i="4"/>
  <c r="N157" i="4"/>
  <c r="N176" i="4"/>
  <c r="N155" i="4"/>
  <c r="N172" i="4"/>
  <c r="N187" i="4"/>
  <c r="N97" i="4"/>
  <c r="N115" i="4"/>
  <c r="N167" i="4"/>
  <c r="N57" i="4"/>
  <c r="N132" i="4"/>
  <c r="N17" i="4"/>
  <c r="N198" i="4"/>
  <c r="N154" i="4"/>
  <c r="N114" i="4"/>
  <c r="N36" i="4"/>
  <c r="N34" i="4"/>
  <c r="G162" i="4"/>
  <c r="H162" i="4" s="1"/>
  <c r="I162" i="4" s="1"/>
  <c r="C7" i="20"/>
  <c r="C8" i="20"/>
  <c r="C9" i="20"/>
  <c r="C10" i="20"/>
  <c r="C11" i="20"/>
  <c r="C12" i="20"/>
  <c r="C13" i="20"/>
  <c r="C6" i="20"/>
  <c r="E2" i="4" l="1"/>
  <c r="H2" i="4"/>
  <c r="H9" i="4"/>
  <c r="I9" i="4" s="1"/>
  <c r="K9" i="4" s="1"/>
  <c r="L9" i="4" s="1"/>
  <c r="K212" i="4"/>
  <c r="L212" i="4" s="1"/>
  <c r="K214" i="4"/>
  <c r="L214" i="4" s="1"/>
  <c r="K10" i="4"/>
  <c r="L10" i="4" s="1"/>
  <c r="O13" i="20"/>
  <c r="D27" i="20" s="1"/>
  <c r="P13" i="20"/>
  <c r="F27" i="20" s="1"/>
  <c r="P8" i="20"/>
  <c r="F22" i="20" s="1"/>
  <c r="O8" i="20"/>
  <c r="D22" i="20" s="1"/>
  <c r="O6" i="20"/>
  <c r="D20" i="20" s="1"/>
  <c r="P6" i="20"/>
  <c r="F20" i="20" s="1"/>
  <c r="P9" i="20"/>
  <c r="F23" i="20" s="1"/>
  <c r="O9" i="20"/>
  <c r="D23" i="20" s="1"/>
  <c r="O12" i="20"/>
  <c r="D26" i="20" s="1"/>
  <c r="P12" i="20"/>
  <c r="F26" i="20" s="1"/>
  <c r="O11" i="20"/>
  <c r="D25" i="20" s="1"/>
  <c r="P11" i="20"/>
  <c r="F25" i="20" s="1"/>
  <c r="P10" i="20"/>
  <c r="F24" i="20" s="1"/>
  <c r="O10" i="20"/>
  <c r="D24" i="20" s="1"/>
  <c r="P7" i="20"/>
  <c r="F21" i="20" s="1"/>
  <c r="O7" i="20"/>
  <c r="D21" i="20" s="1"/>
  <c r="L12" i="20"/>
  <c r="I12" i="20"/>
  <c r="K12" i="20"/>
  <c r="N12" i="20"/>
  <c r="I10" i="20"/>
  <c r="L10" i="20"/>
  <c r="K10" i="20"/>
  <c r="N10" i="20"/>
  <c r="K11" i="20"/>
  <c r="N11" i="20"/>
  <c r="I11" i="20"/>
  <c r="L11" i="20"/>
  <c r="L8" i="20"/>
  <c r="K8" i="20"/>
  <c r="I8" i="20"/>
  <c r="N8" i="20"/>
  <c r="K13" i="20"/>
  <c r="N13" i="20"/>
  <c r="I13" i="20"/>
  <c r="L13" i="20"/>
  <c r="L7" i="20"/>
  <c r="K7" i="20"/>
  <c r="N7" i="20"/>
  <c r="I7" i="20"/>
  <c r="K6" i="20"/>
  <c r="I6" i="20"/>
  <c r="N6" i="20"/>
  <c r="L6" i="20"/>
  <c r="N9" i="20"/>
  <c r="L9" i="20"/>
  <c r="K9" i="20"/>
  <c r="I9" i="20"/>
  <c r="D6" i="20"/>
  <c r="C20" i="20" s="1"/>
  <c r="E6" i="20"/>
  <c r="E20" i="20" s="1"/>
  <c r="F6" i="20"/>
  <c r="H6" i="20"/>
  <c r="G6" i="20"/>
  <c r="D11" i="20"/>
  <c r="C25" i="20" s="1"/>
  <c r="G11" i="20"/>
  <c r="E11" i="20"/>
  <c r="E25" i="20" s="1"/>
  <c r="H11" i="20"/>
  <c r="F11" i="20"/>
  <c r="D10" i="20"/>
  <c r="C24" i="20" s="1"/>
  <c r="G10" i="20"/>
  <c r="E10" i="20"/>
  <c r="E24" i="20" s="1"/>
  <c r="H10" i="20"/>
  <c r="F10" i="20"/>
  <c r="G8" i="20"/>
  <c r="E8" i="20"/>
  <c r="E22" i="20" s="1"/>
  <c r="H8" i="20"/>
  <c r="F8" i="20"/>
  <c r="D13" i="20"/>
  <c r="C27" i="20" s="1"/>
  <c r="G13" i="20"/>
  <c r="E13" i="20"/>
  <c r="E27" i="20" s="1"/>
  <c r="H13" i="20"/>
  <c r="F13" i="20"/>
  <c r="D12" i="20"/>
  <c r="C26" i="20" s="1"/>
  <c r="G12" i="20"/>
  <c r="E12" i="20"/>
  <c r="E26" i="20" s="1"/>
  <c r="H12" i="20"/>
  <c r="F12" i="20"/>
  <c r="D9" i="20"/>
  <c r="C23" i="20" s="1"/>
  <c r="G9" i="20"/>
  <c r="E9" i="20"/>
  <c r="E23" i="20" s="1"/>
  <c r="H9" i="20"/>
  <c r="F9" i="20"/>
  <c r="D7" i="20"/>
  <c r="C21" i="20" s="1"/>
  <c r="E7" i="20"/>
  <c r="E21" i="20" s="1"/>
  <c r="H7" i="20"/>
  <c r="G7" i="20"/>
  <c r="F7" i="20"/>
  <c r="K2" i="14"/>
  <c r="J150" i="4"/>
  <c r="J158" i="4"/>
  <c r="J197" i="4"/>
  <c r="J148" i="4"/>
  <c r="J167" i="4"/>
  <c r="J166" i="4"/>
  <c r="J193" i="4"/>
  <c r="J190" i="4"/>
  <c r="J196" i="4"/>
  <c r="J145" i="4"/>
  <c r="J130" i="4"/>
  <c r="J128" i="4"/>
  <c r="J157" i="4"/>
  <c r="J209" i="4"/>
  <c r="J199" i="4"/>
  <c r="J152" i="4"/>
  <c r="J182" i="4"/>
  <c r="J115" i="4"/>
  <c r="J112" i="4"/>
  <c r="J208" i="4"/>
  <c r="J163" i="4"/>
  <c r="J120" i="4"/>
  <c r="J151" i="4"/>
  <c r="J170" i="4"/>
  <c r="J207" i="4"/>
  <c r="J198" i="4"/>
  <c r="J175" i="4"/>
  <c r="J149" i="4"/>
  <c r="J144" i="4"/>
  <c r="J180" i="4"/>
  <c r="J183" i="4"/>
  <c r="J136" i="4"/>
  <c r="J176" i="4"/>
  <c r="J173" i="4"/>
  <c r="J188" i="4"/>
  <c r="J172" i="4"/>
  <c r="J165" i="4"/>
  <c r="J205" i="4"/>
  <c r="J174" i="4"/>
  <c r="J133" i="4"/>
  <c r="J191" i="4"/>
  <c r="J140" i="4"/>
  <c r="J184" i="4"/>
  <c r="J122" i="4"/>
  <c r="J124" i="4"/>
  <c r="J155" i="4"/>
  <c r="J119" i="4"/>
  <c r="J187" i="4"/>
  <c r="J185" i="4"/>
  <c r="J123" i="4"/>
  <c r="J195" i="4"/>
  <c r="J201" i="4"/>
  <c r="J164" i="4"/>
  <c r="J143" i="4"/>
  <c r="J203" i="4"/>
  <c r="J139" i="4"/>
  <c r="J113" i="4"/>
  <c r="J137" i="4"/>
  <c r="J202" i="4"/>
  <c r="J159" i="4"/>
  <c r="J168" i="4"/>
  <c r="J171" i="4"/>
  <c r="J142" i="4"/>
  <c r="J179" i="4"/>
  <c r="J153" i="4"/>
  <c r="J125" i="4"/>
  <c r="J114" i="4"/>
  <c r="J129" i="4"/>
  <c r="J132" i="4"/>
  <c r="J204" i="4"/>
  <c r="J186" i="4"/>
  <c r="J111" i="4"/>
  <c r="J146" i="4"/>
  <c r="J138" i="4"/>
  <c r="J117" i="4"/>
  <c r="J154" i="4"/>
  <c r="J181" i="4"/>
  <c r="J116" i="4"/>
  <c r="J127" i="4"/>
  <c r="J131" i="4"/>
  <c r="J156" i="4"/>
  <c r="J162" i="4"/>
  <c r="J177" i="4"/>
  <c r="J161" i="4"/>
  <c r="J189" i="4"/>
  <c r="J169" i="4"/>
  <c r="J192" i="4"/>
  <c r="J178" i="4"/>
  <c r="J121" i="4"/>
  <c r="J194" i="4"/>
  <c r="J126" i="4"/>
  <c r="J206" i="4"/>
  <c r="J200" i="4"/>
  <c r="J147" i="4"/>
  <c r="J135" i="4"/>
  <c r="J134" i="4"/>
  <c r="J118" i="4"/>
  <c r="J141" i="4"/>
  <c r="J160" i="4"/>
  <c r="K2" i="13"/>
  <c r="E29" i="13" s="1"/>
  <c r="D8" i="20"/>
  <c r="C22" i="20" s="1"/>
  <c r="J9" i="4" l="1"/>
  <c r="H2" i="3"/>
  <c r="E27" i="3" s="1"/>
  <c r="M2" i="13"/>
  <c r="M9" i="4"/>
  <c r="O9" i="4" s="1"/>
  <c r="P9" i="4" s="1"/>
  <c r="S9" i="4" s="1"/>
  <c r="M200" i="4"/>
  <c r="O200" i="4" s="1"/>
  <c r="P200" i="4" s="1"/>
  <c r="R200" i="4" s="1"/>
  <c r="S200" i="4" s="1"/>
  <c r="T200" i="4" s="1"/>
  <c r="M121" i="4"/>
  <c r="O121" i="4" s="1"/>
  <c r="P121" i="4" s="1"/>
  <c r="Q121" i="4" s="1"/>
  <c r="M124" i="4"/>
  <c r="O124" i="4" s="1"/>
  <c r="P124" i="4" s="1"/>
  <c r="R124" i="4" s="1"/>
  <c r="M180" i="4"/>
  <c r="O180" i="4" s="1"/>
  <c r="P180" i="4" s="1"/>
  <c r="R180" i="4" s="1"/>
  <c r="S180" i="4" s="1"/>
  <c r="T180" i="4" s="1"/>
  <c r="M134" i="4"/>
  <c r="O134" i="4" s="1"/>
  <c r="P134" i="4" s="1"/>
  <c r="R134" i="4" s="1"/>
  <c r="S134" i="4" s="1"/>
  <c r="T134" i="4" s="1"/>
  <c r="M131" i="4"/>
  <c r="O131" i="4" s="1"/>
  <c r="P131" i="4" s="1"/>
  <c r="R131" i="4" s="1"/>
  <c r="S131" i="4" s="1"/>
  <c r="T131" i="4" s="1"/>
  <c r="M167" i="4"/>
  <c r="O167" i="4" s="1"/>
  <c r="P167" i="4" s="1"/>
  <c r="R167" i="4" s="1"/>
  <c r="S167" i="4" s="1"/>
  <c r="T167" i="4" s="1"/>
  <c r="M132" i="4"/>
  <c r="O132" i="4" s="1"/>
  <c r="P132" i="4" s="1"/>
  <c r="R132" i="4" s="1"/>
  <c r="M129" i="4"/>
  <c r="O129" i="4" s="1"/>
  <c r="P129" i="4" s="1"/>
  <c r="R129" i="4" s="1"/>
  <c r="M199" i="4"/>
  <c r="O199" i="4" s="1"/>
  <c r="P199" i="4" s="1"/>
  <c r="R199" i="4" s="1"/>
  <c r="S199" i="4" s="1"/>
  <c r="T199" i="4" s="1"/>
  <c r="M198" i="4"/>
  <c r="O198" i="4" s="1"/>
  <c r="P198" i="4" s="1"/>
  <c r="Q198" i="4" s="1"/>
  <c r="M177" i="4"/>
  <c r="O177" i="4" s="1"/>
  <c r="P177" i="4" s="1"/>
  <c r="R177" i="4" s="1"/>
  <c r="S177" i="4" s="1"/>
  <c r="T177" i="4" s="1"/>
  <c r="M135" i="4"/>
  <c r="O135" i="4" s="1"/>
  <c r="P135" i="4" s="1"/>
  <c r="R135" i="4" s="1"/>
  <c r="S135" i="4" s="1"/>
  <c r="T135" i="4" s="1"/>
  <c r="M201" i="4"/>
  <c r="O201" i="4" s="1"/>
  <c r="P201" i="4" s="1"/>
  <c r="R201" i="4" s="1"/>
  <c r="S201" i="4" s="1"/>
  <c r="T201" i="4" s="1"/>
  <c r="M186" i="4"/>
  <c r="O186" i="4" s="1"/>
  <c r="P186" i="4" s="1"/>
  <c r="R186" i="4" s="1"/>
  <c r="S186" i="4" s="1"/>
  <c r="T186" i="4" s="1"/>
  <c r="M176" i="4"/>
  <c r="O176" i="4" s="1"/>
  <c r="P176" i="4" s="1"/>
  <c r="R176" i="4" s="1"/>
  <c r="M162" i="4"/>
  <c r="O162" i="4" s="1"/>
  <c r="P162" i="4" s="1"/>
  <c r="R162" i="4" s="1"/>
  <c r="M154" i="4"/>
  <c r="O154" i="4" s="1"/>
  <c r="P154" i="4" s="1"/>
  <c r="R154" i="4" s="1"/>
  <c r="S154" i="4" s="1"/>
  <c r="T154" i="4" s="1"/>
  <c r="M194" i="4"/>
  <c r="O194" i="4" s="1"/>
  <c r="P194" i="4" s="1"/>
  <c r="R194" i="4" s="1"/>
  <c r="S194" i="4" s="1"/>
  <c r="T194" i="4" s="1"/>
  <c r="M130" i="4"/>
  <c r="O130" i="4" s="1"/>
  <c r="P130" i="4" s="1"/>
  <c r="R130" i="4" s="1"/>
  <c r="M111" i="4"/>
  <c r="O111" i="4" s="1"/>
  <c r="P111" i="4" s="1"/>
  <c r="R111" i="4" s="1"/>
  <c r="S111" i="4" s="1"/>
  <c r="T111" i="4" s="1"/>
  <c r="M144" i="4"/>
  <c r="O144" i="4" s="1"/>
  <c r="P144" i="4" s="1"/>
  <c r="R144" i="4" s="1"/>
  <c r="M191" i="4"/>
  <c r="O191" i="4" s="1"/>
  <c r="P191" i="4" s="1"/>
  <c r="R191" i="4" s="1"/>
  <c r="S191" i="4" s="1"/>
  <c r="T191" i="4" s="1"/>
  <c r="M187" i="4"/>
  <c r="O187" i="4" s="1"/>
  <c r="P187" i="4" s="1"/>
  <c r="R187" i="4" s="1"/>
  <c r="M188" i="4"/>
  <c r="O188" i="4" s="1"/>
  <c r="P188" i="4" s="1"/>
  <c r="R188" i="4" s="1"/>
  <c r="S188" i="4" s="1"/>
  <c r="T188" i="4" s="1"/>
  <c r="M212" i="4"/>
  <c r="O212" i="4" s="1"/>
  <c r="M148" i="4"/>
  <c r="O148" i="4" s="1"/>
  <c r="P148" i="4" s="1"/>
  <c r="R148" i="4" s="1"/>
  <c r="M161" i="4"/>
  <c r="O161" i="4" s="1"/>
  <c r="P161" i="4" s="1"/>
  <c r="R161" i="4" s="1"/>
  <c r="S161" i="4" s="1"/>
  <c r="T161" i="4" s="1"/>
  <c r="M202" i="4"/>
  <c r="O202" i="4" s="1"/>
  <c r="P202" i="4" s="1"/>
  <c r="R202" i="4" s="1"/>
  <c r="M126" i="4"/>
  <c r="O126" i="4" s="1"/>
  <c r="P126" i="4" s="1"/>
  <c r="Q126" i="4" s="1"/>
  <c r="M140" i="4"/>
  <c r="O140" i="4" s="1"/>
  <c r="P140" i="4" s="1"/>
  <c r="R140" i="4" s="1"/>
  <c r="M152" i="4"/>
  <c r="O152" i="4" s="1"/>
  <c r="P152" i="4" s="1"/>
  <c r="R152" i="4" s="1"/>
  <c r="S152" i="4" s="1"/>
  <c r="T152" i="4" s="1"/>
  <c r="M117" i="4"/>
  <c r="O117" i="4" s="1"/>
  <c r="P117" i="4" s="1"/>
  <c r="R117" i="4" s="1"/>
  <c r="S117" i="4" s="1"/>
  <c r="T117" i="4" s="1"/>
  <c r="M125" i="4"/>
  <c r="O125" i="4" s="1"/>
  <c r="P125" i="4" s="1"/>
  <c r="Q125" i="4" s="1"/>
  <c r="M143" i="4"/>
  <c r="O143" i="4" s="1"/>
  <c r="P143" i="4" s="1"/>
  <c r="R143" i="4" s="1"/>
  <c r="S143" i="4" s="1"/>
  <c r="T143" i="4" s="1"/>
  <c r="M153" i="4"/>
  <c r="O153" i="4" s="1"/>
  <c r="P153" i="4" s="1"/>
  <c r="R153" i="4" s="1"/>
  <c r="S153" i="4" s="1"/>
  <c r="T153" i="4" s="1"/>
  <c r="M166" i="4"/>
  <c r="O166" i="4" s="1"/>
  <c r="P166" i="4" s="1"/>
  <c r="R166" i="4" s="1"/>
  <c r="S166" i="4" s="1"/>
  <c r="T166" i="4" s="1"/>
  <c r="M150" i="4"/>
  <c r="O150" i="4" s="1"/>
  <c r="P150" i="4" s="1"/>
  <c r="R150" i="4" s="1"/>
  <c r="S150" i="4" s="1"/>
  <c r="T150" i="4" s="1"/>
  <c r="M149" i="4"/>
  <c r="O149" i="4" s="1"/>
  <c r="P149" i="4" s="1"/>
  <c r="R149" i="4" s="1"/>
  <c r="S149" i="4" s="1"/>
  <c r="T149" i="4" s="1"/>
  <c r="M206" i="4"/>
  <c r="O206" i="4" s="1"/>
  <c r="P206" i="4" s="1"/>
  <c r="R206" i="4" s="1"/>
  <c r="S206" i="4" s="1"/>
  <c r="T206" i="4" s="1"/>
  <c r="M119" i="4"/>
  <c r="O119" i="4" s="1"/>
  <c r="P119" i="4" s="1"/>
  <c r="R119" i="4" s="1"/>
  <c r="M141" i="4"/>
  <c r="O141" i="4" s="1"/>
  <c r="P141" i="4" s="1"/>
  <c r="Q141" i="4" s="1"/>
  <c r="M155" i="4"/>
  <c r="O155" i="4" s="1"/>
  <c r="P155" i="4" s="1"/>
  <c r="R155" i="4" s="1"/>
  <c r="S155" i="4" s="1"/>
  <c r="T155" i="4" s="1"/>
  <c r="M184" i="4"/>
  <c r="O184" i="4" s="1"/>
  <c r="P184" i="4" s="1"/>
  <c r="R184" i="4" s="1"/>
  <c r="S184" i="4" s="1"/>
  <c r="T184" i="4" s="1"/>
  <c r="M114" i="4"/>
  <c r="O114" i="4" s="1"/>
  <c r="P114" i="4" s="1"/>
  <c r="Q114" i="4" s="1"/>
  <c r="M171" i="4"/>
  <c r="O171" i="4" s="1"/>
  <c r="P171" i="4" s="1"/>
  <c r="R171" i="4" s="1"/>
  <c r="S171" i="4" s="1"/>
  <c r="T171" i="4" s="1"/>
  <c r="M178" i="4"/>
  <c r="O178" i="4" s="1"/>
  <c r="P178" i="4" s="1"/>
  <c r="R178" i="4" s="1"/>
  <c r="S178" i="4" s="1"/>
  <c r="T178" i="4" s="1"/>
  <c r="M147" i="4"/>
  <c r="O147" i="4" s="1"/>
  <c r="P147" i="4" s="1"/>
  <c r="Q147" i="4" s="1"/>
  <c r="M182" i="4"/>
  <c r="O182" i="4" s="1"/>
  <c r="P182" i="4" s="1"/>
  <c r="R182" i="4" s="1"/>
  <c r="M118" i="4"/>
  <c r="O118" i="4" s="1"/>
  <c r="P118" i="4" s="1"/>
  <c r="R118" i="4" s="1"/>
  <c r="S118" i="4" s="1"/>
  <c r="T118" i="4" s="1"/>
  <c r="M133" i="4"/>
  <c r="O133" i="4" s="1"/>
  <c r="P133" i="4" s="1"/>
  <c r="R133" i="4" s="1"/>
  <c r="S133" i="4" s="1"/>
  <c r="T133" i="4" s="1"/>
  <c r="M179" i="4"/>
  <c r="O179" i="4" s="1"/>
  <c r="P179" i="4" s="1"/>
  <c r="R179" i="4" s="1"/>
  <c r="S179" i="4" s="1"/>
  <c r="T179" i="4" s="1"/>
  <c r="M157" i="4"/>
  <c r="O157" i="4" s="1"/>
  <c r="P157" i="4" s="1"/>
  <c r="R157" i="4" s="1"/>
  <c r="S157" i="4" s="1"/>
  <c r="T157" i="4" s="1"/>
  <c r="M174" i="4"/>
  <c r="O174" i="4" s="1"/>
  <c r="P174" i="4" s="1"/>
  <c r="R174" i="4" s="1"/>
  <c r="M204" i="4"/>
  <c r="O204" i="4" s="1"/>
  <c r="P204" i="4" s="1"/>
  <c r="Q204" i="4" s="1"/>
  <c r="M214" i="4"/>
  <c r="O214" i="4" s="1"/>
  <c r="P214" i="4" s="1"/>
  <c r="M142" i="4"/>
  <c r="O142" i="4" s="1"/>
  <c r="P142" i="4" s="1"/>
  <c r="R142" i="4" s="1"/>
  <c r="S142" i="4" s="1"/>
  <c r="T142" i="4" s="1"/>
  <c r="M120" i="4"/>
  <c r="O120" i="4" s="1"/>
  <c r="P120" i="4" s="1"/>
  <c r="R120" i="4" s="1"/>
  <c r="S120" i="4" s="1"/>
  <c r="T120" i="4" s="1"/>
  <c r="M116" i="4"/>
  <c r="O116" i="4" s="1"/>
  <c r="P116" i="4" s="1"/>
  <c r="R116" i="4" s="1"/>
  <c r="S116" i="4" s="1"/>
  <c r="T116" i="4" s="1"/>
  <c r="M156" i="4"/>
  <c r="O156" i="4" s="1"/>
  <c r="P156" i="4" s="1"/>
  <c r="R156" i="4" s="1"/>
  <c r="S156" i="4" s="1"/>
  <c r="T156" i="4" s="1"/>
  <c r="M209" i="4"/>
  <c r="O209" i="4" s="1"/>
  <c r="P209" i="4" s="1"/>
  <c r="R209" i="4" s="1"/>
  <c r="S209" i="4" s="1"/>
  <c r="T209" i="4" s="1"/>
  <c r="M151" i="4"/>
  <c r="O151" i="4" s="1"/>
  <c r="P151" i="4" s="1"/>
  <c r="R151" i="4" s="1"/>
  <c r="M197" i="4"/>
  <c r="O197" i="4" s="1"/>
  <c r="P197" i="4" s="1"/>
  <c r="M136" i="4"/>
  <c r="O136" i="4" s="1"/>
  <c r="P136" i="4" s="1"/>
  <c r="Q136" i="4" s="1"/>
  <c r="M122" i="4"/>
  <c r="O122" i="4" s="1"/>
  <c r="P122" i="4" s="1"/>
  <c r="R122" i="4" s="1"/>
  <c r="S122" i="4" s="1"/>
  <c r="T122" i="4" s="1"/>
  <c r="M115" i="4"/>
  <c r="O115" i="4" s="1"/>
  <c r="P115" i="4" s="1"/>
  <c r="Q115" i="4" s="1"/>
  <c r="M112" i="4"/>
  <c r="O112" i="4" s="1"/>
  <c r="P112" i="4" s="1"/>
  <c r="R112" i="4" s="1"/>
  <c r="S112" i="4" s="1"/>
  <c r="T112" i="4" s="1"/>
  <c r="M175" i="4"/>
  <c r="O175" i="4" s="1"/>
  <c r="P175" i="4" s="1"/>
  <c r="R175" i="4" s="1"/>
  <c r="S175" i="4" s="1"/>
  <c r="T175" i="4" s="1"/>
  <c r="M185" i="4"/>
  <c r="O185" i="4" s="1"/>
  <c r="P185" i="4" s="1"/>
  <c r="R185" i="4" s="1"/>
  <c r="S185" i="4" s="1"/>
  <c r="T185" i="4" s="1"/>
  <c r="M203" i="4"/>
  <c r="O203" i="4" s="1"/>
  <c r="P203" i="4" s="1"/>
  <c r="Q203" i="4" s="1"/>
  <c r="M208" i="4"/>
  <c r="O208" i="4" s="1"/>
  <c r="M181" i="4"/>
  <c r="O181" i="4" s="1"/>
  <c r="P181" i="4" s="1"/>
  <c r="R181" i="4" s="1"/>
  <c r="S181" i="4" s="1"/>
  <c r="T181" i="4" s="1"/>
  <c r="M145" i="4"/>
  <c r="O145" i="4" s="1"/>
  <c r="P145" i="4" s="1"/>
  <c r="R145" i="4" s="1"/>
  <c r="S145" i="4" s="1"/>
  <c r="T145" i="4" s="1"/>
  <c r="M128" i="4"/>
  <c r="O128" i="4" s="1"/>
  <c r="P128" i="4" s="1"/>
  <c r="R128" i="4" s="1"/>
  <c r="S128" i="4" s="1"/>
  <c r="T128" i="4" s="1"/>
  <c r="M123" i="4"/>
  <c r="O123" i="4" s="1"/>
  <c r="P123" i="4" s="1"/>
  <c r="R123" i="4" s="1"/>
  <c r="S123" i="4" s="1"/>
  <c r="T123" i="4" s="1"/>
  <c r="M139" i="4"/>
  <c r="O139" i="4" s="1"/>
  <c r="P139" i="4" s="1"/>
  <c r="R139" i="4" s="1"/>
  <c r="S139" i="4" s="1"/>
  <c r="T139" i="4" s="1"/>
  <c r="M207" i="4"/>
  <c r="O207" i="4" s="1"/>
  <c r="P207" i="4" s="1"/>
  <c r="R207" i="4" s="1"/>
  <c r="S207" i="4" s="1"/>
  <c r="T207" i="4" s="1"/>
  <c r="M113" i="4"/>
  <c r="O113" i="4" s="1"/>
  <c r="P113" i="4" s="1"/>
  <c r="R113" i="4" s="1"/>
  <c r="S113" i="4" s="1"/>
  <c r="T113" i="4" s="1"/>
  <c r="M168" i="4"/>
  <c r="O168" i="4" s="1"/>
  <c r="P168" i="4" s="1"/>
  <c r="R168" i="4" s="1"/>
  <c r="S168" i="4" s="1"/>
  <c r="T168" i="4" s="1"/>
  <c r="M189" i="4"/>
  <c r="O189" i="4" s="1"/>
  <c r="P189" i="4" s="1"/>
  <c r="R189" i="4" s="1"/>
  <c r="M205" i="4"/>
  <c r="O205" i="4" s="1"/>
  <c r="P205" i="4" s="1"/>
  <c r="Q205" i="4" s="1"/>
  <c r="M158" i="4"/>
  <c r="O158" i="4" s="1"/>
  <c r="P158" i="4" s="1"/>
  <c r="Q158" i="4" s="1"/>
  <c r="M190" i="4"/>
  <c r="O190" i="4" s="1"/>
  <c r="P190" i="4" s="1"/>
  <c r="Q190" i="4" s="1"/>
  <c r="M137" i="4"/>
  <c r="O137" i="4" s="1"/>
  <c r="P137" i="4" s="1"/>
  <c r="Q137" i="4" s="1"/>
  <c r="M192" i="4"/>
  <c r="O192" i="4" s="1"/>
  <c r="P192" i="4" s="1"/>
  <c r="Q192" i="4" s="1"/>
  <c r="M183" i="4"/>
  <c r="O183" i="4" s="1"/>
  <c r="P183" i="4" s="1"/>
  <c r="Q183" i="4" s="1"/>
  <c r="M170" i="4"/>
  <c r="O170" i="4" s="1"/>
  <c r="P170" i="4" s="1"/>
  <c r="R170" i="4" s="1"/>
  <c r="M172" i="4"/>
  <c r="O172" i="4" s="1"/>
  <c r="P172" i="4" s="1"/>
  <c r="R172" i="4" s="1"/>
  <c r="S172" i="4" s="1"/>
  <c r="T172" i="4" s="1"/>
  <c r="M165" i="4"/>
  <c r="O165" i="4" s="1"/>
  <c r="P165" i="4" s="1"/>
  <c r="R165" i="4" s="1"/>
  <c r="S165" i="4" s="1"/>
  <c r="T165" i="4" s="1"/>
  <c r="M163" i="4"/>
  <c r="O163" i="4" s="1"/>
  <c r="P163" i="4" s="1"/>
  <c r="R163" i="4" s="1"/>
  <c r="S163" i="4" s="1"/>
  <c r="T163" i="4" s="1"/>
  <c r="M193" i="4"/>
  <c r="O193" i="4" s="1"/>
  <c r="P193" i="4" s="1"/>
  <c r="M169" i="4"/>
  <c r="O169" i="4" s="1"/>
  <c r="P169" i="4" s="1"/>
  <c r="R169" i="4" s="1"/>
  <c r="S169" i="4" s="1"/>
  <c r="T169" i="4" s="1"/>
  <c r="M160" i="4"/>
  <c r="O160" i="4" s="1"/>
  <c r="P160" i="4" s="1"/>
  <c r="R160" i="4" s="1"/>
  <c r="S160" i="4" s="1"/>
  <c r="T160" i="4" s="1"/>
  <c r="M195" i="4"/>
  <c r="O195" i="4" s="1"/>
  <c r="P195" i="4" s="1"/>
  <c r="R195" i="4" s="1"/>
  <c r="S195" i="4" s="1"/>
  <c r="T195" i="4" s="1"/>
  <c r="M138" i="4"/>
  <c r="O138" i="4" s="1"/>
  <c r="P138" i="4" s="1"/>
  <c r="R138" i="4" s="1"/>
  <c r="S138" i="4" s="1"/>
  <c r="T138" i="4" s="1"/>
  <c r="M127" i="4"/>
  <c r="O127" i="4" s="1"/>
  <c r="P127" i="4" s="1"/>
  <c r="R127" i="4" s="1"/>
  <c r="M164" i="4"/>
  <c r="O164" i="4" s="1"/>
  <c r="P164" i="4" s="1"/>
  <c r="R164" i="4" s="1"/>
  <c r="S164" i="4" s="1"/>
  <c r="T164" i="4" s="1"/>
  <c r="M146" i="4"/>
  <c r="O146" i="4" s="1"/>
  <c r="P146" i="4" s="1"/>
  <c r="Q146" i="4" s="1"/>
  <c r="M159" i="4"/>
  <c r="O159" i="4" s="1"/>
  <c r="P159" i="4" s="1"/>
  <c r="R159" i="4" s="1"/>
  <c r="S159" i="4" s="1"/>
  <c r="T159" i="4" s="1"/>
  <c r="M173" i="4"/>
  <c r="O173" i="4" s="1"/>
  <c r="P173" i="4" s="1"/>
  <c r="Q173" i="4" s="1"/>
  <c r="M196" i="4"/>
  <c r="O196" i="4" s="1"/>
  <c r="P196" i="4" s="1"/>
  <c r="Q196" i="4" s="1"/>
  <c r="E75" i="3"/>
  <c r="E95" i="3"/>
  <c r="E115" i="3"/>
  <c r="E135" i="3"/>
  <c r="E155" i="3"/>
  <c r="E175" i="3"/>
  <c r="E195" i="3"/>
  <c r="E97" i="3"/>
  <c r="E137" i="3"/>
  <c r="E177" i="3"/>
  <c r="E151" i="3"/>
  <c r="E132" i="3"/>
  <c r="E114" i="3"/>
  <c r="E16" i="3"/>
  <c r="E76" i="3"/>
  <c r="E96" i="3"/>
  <c r="E116" i="3"/>
  <c r="E136" i="3"/>
  <c r="E156" i="3"/>
  <c r="E176" i="3"/>
  <c r="E37" i="3"/>
  <c r="E77" i="3"/>
  <c r="E157" i="3"/>
  <c r="E197" i="3"/>
  <c r="E207" i="3"/>
  <c r="E68" i="3"/>
  <c r="E109" i="3"/>
  <c r="E30" i="3"/>
  <c r="E150" i="3"/>
  <c r="E31" i="3"/>
  <c r="E171" i="3"/>
  <c r="E92" i="3"/>
  <c r="E93" i="3"/>
  <c r="E74" i="3"/>
  <c r="E194" i="3"/>
  <c r="E188" i="3"/>
  <c r="E13" i="3"/>
  <c r="E18" i="3"/>
  <c r="E58" i="3"/>
  <c r="E78" i="3"/>
  <c r="E118" i="3"/>
  <c r="E138" i="3"/>
  <c r="E158" i="3"/>
  <c r="E178" i="3"/>
  <c r="E198" i="3"/>
  <c r="E124" i="3"/>
  <c r="E147" i="3"/>
  <c r="E208" i="3"/>
  <c r="E189" i="3"/>
  <c r="E191" i="3"/>
  <c r="E11" i="3"/>
  <c r="E19" i="3"/>
  <c r="E39" i="3"/>
  <c r="E59" i="3"/>
  <c r="E79" i="3"/>
  <c r="E99" i="3"/>
  <c r="E139" i="3"/>
  <c r="E159" i="3"/>
  <c r="E199" i="3"/>
  <c r="E144" i="3"/>
  <c r="E87" i="3"/>
  <c r="E148" i="3"/>
  <c r="E192" i="3"/>
  <c r="E33" i="3"/>
  <c r="E20" i="3"/>
  <c r="E40" i="3"/>
  <c r="E60" i="3"/>
  <c r="E80" i="3"/>
  <c r="E100" i="3"/>
  <c r="E120" i="3"/>
  <c r="E140" i="3"/>
  <c r="E160" i="3"/>
  <c r="E180" i="3"/>
  <c r="E200" i="3"/>
  <c r="E107" i="3"/>
  <c r="E209" i="3"/>
  <c r="E10" i="3"/>
  <c r="E21" i="3"/>
  <c r="E41" i="3"/>
  <c r="E61" i="3"/>
  <c r="E81" i="3"/>
  <c r="E101" i="3"/>
  <c r="E121" i="3"/>
  <c r="E141" i="3"/>
  <c r="E161" i="3"/>
  <c r="E181" i="3"/>
  <c r="E201" i="3"/>
  <c r="E204" i="3"/>
  <c r="E187" i="3"/>
  <c r="E169" i="3"/>
  <c r="E173" i="3"/>
  <c r="E22" i="3"/>
  <c r="E62" i="3"/>
  <c r="E82" i="3"/>
  <c r="E122" i="3"/>
  <c r="E142" i="3"/>
  <c r="E162" i="3"/>
  <c r="E182" i="3"/>
  <c r="E202" i="3"/>
  <c r="E84" i="3"/>
  <c r="E146" i="3"/>
  <c r="E108" i="3"/>
  <c r="E49" i="3"/>
  <c r="E130" i="3"/>
  <c r="E131" i="3"/>
  <c r="E52" i="3"/>
  <c r="E172" i="3"/>
  <c r="E133" i="3"/>
  <c r="E54" i="3"/>
  <c r="E174" i="3"/>
  <c r="E43" i="3"/>
  <c r="E63" i="3"/>
  <c r="E103" i="3"/>
  <c r="E123" i="3"/>
  <c r="E143" i="3"/>
  <c r="E163" i="3"/>
  <c r="E183" i="3"/>
  <c r="E203" i="3"/>
  <c r="E44" i="3"/>
  <c r="E126" i="3"/>
  <c r="E127" i="3"/>
  <c r="E128" i="3"/>
  <c r="E69" i="3"/>
  <c r="E110" i="3"/>
  <c r="E111" i="3"/>
  <c r="E32" i="3"/>
  <c r="E152" i="3"/>
  <c r="E153" i="3"/>
  <c r="E24" i="3"/>
  <c r="E64" i="3"/>
  <c r="E184" i="3"/>
  <c r="E47" i="3"/>
  <c r="E28" i="3"/>
  <c r="E168" i="3"/>
  <c r="E29" i="3"/>
  <c r="E70" i="3"/>
  <c r="E9" i="3"/>
  <c r="E91" i="3"/>
  <c r="E72" i="3"/>
  <c r="E113" i="3"/>
  <c r="E134" i="3"/>
  <c r="E25" i="3"/>
  <c r="E45" i="3"/>
  <c r="E65" i="3"/>
  <c r="E85" i="3"/>
  <c r="E105" i="3"/>
  <c r="E145" i="3"/>
  <c r="E165" i="3"/>
  <c r="E205" i="3"/>
  <c r="E46" i="3"/>
  <c r="E66" i="3"/>
  <c r="E106" i="3"/>
  <c r="E186" i="3"/>
  <c r="E206" i="3"/>
  <c r="E167" i="3"/>
  <c r="E170" i="3"/>
  <c r="E14" i="3"/>
  <c r="E26" i="3"/>
  <c r="E86" i="3"/>
  <c r="E166" i="3"/>
  <c r="E67" i="3"/>
  <c r="E88" i="3"/>
  <c r="E129" i="3"/>
  <c r="E90" i="3"/>
  <c r="E112" i="3"/>
  <c r="E73" i="3"/>
  <c r="E34" i="3"/>
  <c r="E166" i="13"/>
  <c r="E7" i="13"/>
  <c r="E13" i="13"/>
  <c r="E59" i="13"/>
  <c r="E5" i="13"/>
  <c r="I5" i="13" s="1"/>
  <c r="E8" i="13"/>
  <c r="E12" i="13"/>
  <c r="E60" i="13"/>
  <c r="E140" i="13"/>
  <c r="E149" i="13"/>
  <c r="E150" i="13"/>
  <c r="E186" i="13"/>
  <c r="E104" i="13"/>
  <c r="E44" i="13"/>
  <c r="E117" i="13"/>
  <c r="E54" i="13"/>
  <c r="E50" i="13"/>
  <c r="E196" i="13"/>
  <c r="E136" i="13"/>
  <c r="E85" i="13"/>
  <c r="E169" i="13"/>
  <c r="E146" i="13"/>
  <c r="E208" i="13"/>
  <c r="E180" i="13"/>
  <c r="E77" i="13"/>
  <c r="E14" i="13"/>
  <c r="E153" i="13"/>
  <c r="E43" i="13"/>
  <c r="E96" i="13"/>
  <c r="E172" i="13"/>
  <c r="E129" i="13"/>
  <c r="E106" i="13"/>
  <c r="E143" i="13"/>
  <c r="E120" i="13"/>
  <c r="E37" i="13"/>
  <c r="E86" i="13"/>
  <c r="E65" i="13"/>
  <c r="E179" i="13"/>
  <c r="E56" i="13"/>
  <c r="E112" i="13"/>
  <c r="E109" i="13"/>
  <c r="E66" i="13"/>
  <c r="E47" i="13"/>
  <c r="E80" i="13"/>
  <c r="E17" i="13"/>
  <c r="E133" i="13"/>
  <c r="E188" i="13"/>
  <c r="E139" i="13"/>
  <c r="E16" i="13"/>
  <c r="E72" i="13"/>
  <c r="E69" i="13"/>
  <c r="E26" i="13"/>
  <c r="E203" i="13"/>
  <c r="I203" i="13" s="1"/>
  <c r="E20" i="13"/>
  <c r="E89" i="13"/>
  <c r="E113" i="13"/>
  <c r="E168" i="13"/>
  <c r="E99" i="13"/>
  <c r="E88" i="13"/>
  <c r="E32" i="13"/>
  <c r="E49" i="13"/>
  <c r="E6" i="13"/>
  <c r="E183" i="13"/>
  <c r="E121" i="13"/>
  <c r="E176" i="13"/>
  <c r="E73" i="13"/>
  <c r="E128" i="13"/>
  <c r="E39" i="13"/>
  <c r="E135" i="13"/>
  <c r="E162" i="13"/>
  <c r="E148" i="13"/>
  <c r="E123" i="13"/>
  <c r="E199" i="13"/>
  <c r="I199" i="13" s="1"/>
  <c r="E116" i="13"/>
  <c r="E163" i="13"/>
  <c r="E108" i="13"/>
  <c r="E195" i="13"/>
  <c r="E95" i="13"/>
  <c r="E9" i="13"/>
  <c r="E152" i="13"/>
  <c r="E127" i="13"/>
  <c r="E110" i="13"/>
  <c r="E202" i="13"/>
  <c r="I202" i="13" s="1"/>
  <c r="E181" i="13"/>
  <c r="E126" i="13"/>
  <c r="E164" i="13"/>
  <c r="E204" i="13"/>
  <c r="I204" i="13" s="1"/>
  <c r="E22" i="13"/>
  <c r="E57" i="13"/>
  <c r="E30" i="13"/>
  <c r="E61" i="13"/>
  <c r="E103" i="13"/>
  <c r="E159" i="13"/>
  <c r="E76" i="13"/>
  <c r="E18" i="13"/>
  <c r="E68" i="13"/>
  <c r="E42" i="13"/>
  <c r="E55" i="13"/>
  <c r="E191" i="13"/>
  <c r="E205" i="13"/>
  <c r="I205" i="13" s="1"/>
  <c r="E185" i="13"/>
  <c r="E23" i="13"/>
  <c r="E119" i="13"/>
  <c r="E36" i="13"/>
  <c r="E132" i="13"/>
  <c r="E48" i="13"/>
  <c r="E158" i="13"/>
  <c r="E15" i="13"/>
  <c r="E151" i="13"/>
  <c r="E167" i="13"/>
  <c r="E165" i="13"/>
  <c r="E142" i="13"/>
  <c r="E79" i="13"/>
  <c r="E187" i="13"/>
  <c r="E92" i="13"/>
  <c r="E28" i="13"/>
  <c r="E118" i="13"/>
  <c r="E87" i="13"/>
  <c r="E111" i="13"/>
  <c r="E107" i="13"/>
  <c r="E145" i="13"/>
  <c r="E46" i="13"/>
  <c r="E19" i="13"/>
  <c r="E24" i="13"/>
  <c r="E52" i="13"/>
  <c r="E64" i="13"/>
  <c r="E78" i="13"/>
  <c r="E194" i="13"/>
  <c r="E71" i="13"/>
  <c r="E67" i="13"/>
  <c r="E125" i="13"/>
  <c r="E182" i="13"/>
  <c r="E102" i="13"/>
  <c r="E175" i="13"/>
  <c r="E84" i="13"/>
  <c r="E201" i="13"/>
  <c r="I201" i="13" s="1"/>
  <c r="E38" i="13"/>
  <c r="E154" i="13"/>
  <c r="E11" i="13"/>
  <c r="E63" i="13"/>
  <c r="E105" i="13"/>
  <c r="E122" i="13"/>
  <c r="E178" i="13"/>
  <c r="E115" i="13"/>
  <c r="E171" i="13"/>
  <c r="E141" i="13"/>
  <c r="E90" i="13"/>
  <c r="E114" i="13"/>
  <c r="E155" i="13"/>
  <c r="E210" i="13"/>
  <c r="E62" i="13"/>
  <c r="E138" i="13"/>
  <c r="E75" i="13"/>
  <c r="E131" i="13"/>
  <c r="E101" i="13"/>
  <c r="E177" i="13"/>
  <c r="E74" i="13"/>
  <c r="E190" i="13"/>
  <c r="E147" i="13"/>
  <c r="E98" i="13"/>
  <c r="E35" i="13"/>
  <c r="E91" i="13"/>
  <c r="E41" i="13"/>
  <c r="E137" i="13"/>
  <c r="E34" i="13"/>
  <c r="E53" i="13"/>
  <c r="E58" i="13"/>
  <c r="E51" i="13"/>
  <c r="E97" i="13"/>
  <c r="E70" i="13"/>
  <c r="E45" i="13"/>
  <c r="E193" i="13"/>
  <c r="E31" i="13"/>
  <c r="E200" i="13"/>
  <c r="I200" i="13" s="1"/>
  <c r="E21" i="13"/>
  <c r="E184" i="13"/>
  <c r="E156" i="13"/>
  <c r="E144" i="13"/>
  <c r="E173" i="13"/>
  <c r="E124" i="13"/>
  <c r="E93" i="13"/>
  <c r="E161" i="13"/>
  <c r="E33" i="13"/>
  <c r="E81" i="13"/>
  <c r="E10" i="13"/>
  <c r="E198" i="13"/>
  <c r="I198" i="13" s="1"/>
  <c r="E82" i="13"/>
  <c r="E27" i="13"/>
  <c r="E189" i="13"/>
  <c r="E197" i="13"/>
  <c r="I197" i="13" s="1"/>
  <c r="E157" i="13"/>
  <c r="E174" i="13"/>
  <c r="E134" i="13"/>
  <c r="E83" i="13"/>
  <c r="E170" i="13"/>
  <c r="E130" i="13"/>
  <c r="E100" i="13"/>
  <c r="E40" i="13"/>
  <c r="E192" i="13"/>
  <c r="E94" i="13"/>
  <c r="E160" i="13"/>
  <c r="E25" i="13"/>
  <c r="J10" i="4"/>
  <c r="G200" i="13"/>
  <c r="G77" i="13"/>
  <c r="G70" i="13"/>
  <c r="G134" i="13"/>
  <c r="G172" i="13"/>
  <c r="G80" i="13"/>
  <c r="G196" i="13"/>
  <c r="G91" i="13"/>
  <c r="G180" i="13"/>
  <c r="G17" i="13"/>
  <c r="G147" i="13"/>
  <c r="G43" i="13"/>
  <c r="G6" i="13"/>
  <c r="G100" i="13"/>
  <c r="G109" i="13"/>
  <c r="G169" i="13"/>
  <c r="G50" i="13"/>
  <c r="G189" i="13"/>
  <c r="G171" i="13"/>
  <c r="G79" i="13"/>
  <c r="G118" i="13"/>
  <c r="G40" i="13"/>
  <c r="G127" i="13"/>
  <c r="G126" i="13"/>
  <c r="G23" i="13"/>
  <c r="G42" i="13"/>
  <c r="G73" i="13"/>
  <c r="G38" i="13"/>
  <c r="G162" i="13"/>
  <c r="G52" i="13"/>
  <c r="G31" i="13"/>
  <c r="G8" i="13"/>
  <c r="G12" i="13"/>
  <c r="G142" i="13"/>
  <c r="G5" i="13"/>
  <c r="G204" i="13"/>
  <c r="G61" i="13"/>
  <c r="G194" i="13"/>
  <c r="G103" i="13"/>
  <c r="G155" i="13"/>
  <c r="G210" i="13"/>
  <c r="G201" i="13"/>
  <c r="G13" i="13"/>
  <c r="G97" i="13"/>
  <c r="G83" i="13"/>
  <c r="G165" i="13"/>
  <c r="G33" i="13"/>
  <c r="G63" i="13"/>
  <c r="G94" i="13"/>
  <c r="G72" i="13"/>
  <c r="G108" i="13"/>
  <c r="G102" i="13"/>
  <c r="G19" i="13"/>
  <c r="G179" i="13"/>
  <c r="G28" i="13"/>
  <c r="G154" i="13"/>
  <c r="G157" i="13"/>
  <c r="G7" i="13"/>
  <c r="G145" i="13"/>
  <c r="G150" i="13"/>
  <c r="G53" i="13"/>
  <c r="G62" i="13"/>
  <c r="G32" i="13"/>
  <c r="G106" i="13"/>
  <c r="G104" i="13"/>
  <c r="G99" i="13"/>
  <c r="G192" i="13"/>
  <c r="G182" i="13"/>
  <c r="G191" i="13"/>
  <c r="G160" i="13"/>
  <c r="G59" i="13"/>
  <c r="G183" i="13"/>
  <c r="G114" i="13"/>
  <c r="G199" i="13"/>
  <c r="J2" i="3"/>
  <c r="L2" i="3"/>
  <c r="K2" i="3"/>
  <c r="D119" i="14"/>
  <c r="D139" i="14"/>
  <c r="D159" i="14"/>
  <c r="D179" i="14"/>
  <c r="D199" i="14"/>
  <c r="D123" i="14"/>
  <c r="D143" i="14"/>
  <c r="D163" i="14"/>
  <c r="D183" i="14"/>
  <c r="D203" i="14"/>
  <c r="N4" i="14"/>
  <c r="D120" i="14"/>
  <c r="D140" i="14"/>
  <c r="D160" i="14"/>
  <c r="D180" i="14"/>
  <c r="D200" i="14"/>
  <c r="D121" i="14"/>
  <c r="D141" i="14"/>
  <c r="D161" i="14"/>
  <c r="D181" i="14"/>
  <c r="D201" i="14"/>
  <c r="D122" i="14"/>
  <c r="D142" i="14"/>
  <c r="D162" i="14"/>
  <c r="D182" i="14"/>
  <c r="D202" i="14"/>
  <c r="D125" i="14"/>
  <c r="D145" i="14"/>
  <c r="D165" i="14"/>
  <c r="D185" i="14"/>
  <c r="D205" i="14"/>
  <c r="D147" i="14"/>
  <c r="D167" i="14"/>
  <c r="D187" i="14"/>
  <c r="D172" i="14"/>
  <c r="D126" i="14"/>
  <c r="D146" i="14"/>
  <c r="D166" i="14"/>
  <c r="D186" i="14"/>
  <c r="D206" i="14"/>
  <c r="D127" i="14"/>
  <c r="D207" i="14"/>
  <c r="D152" i="14"/>
  <c r="D128" i="14"/>
  <c r="D148" i="14"/>
  <c r="D168" i="14"/>
  <c r="D188" i="14"/>
  <c r="D208" i="14"/>
  <c r="D129" i="14"/>
  <c r="D149" i="14"/>
  <c r="D169" i="14"/>
  <c r="D189" i="14"/>
  <c r="D209" i="14"/>
  <c r="D131" i="14"/>
  <c r="D171" i="14"/>
  <c r="D191" i="14"/>
  <c r="D211" i="14"/>
  <c r="D132" i="14"/>
  <c r="D212" i="14"/>
  <c r="D130" i="14"/>
  <c r="D150" i="14"/>
  <c r="D170" i="14"/>
  <c r="D190" i="14"/>
  <c r="D210" i="14"/>
  <c r="D151" i="14"/>
  <c r="D192" i="14"/>
  <c r="D175" i="14"/>
  <c r="D176" i="14"/>
  <c r="D177" i="14"/>
  <c r="D124" i="14"/>
  <c r="D178" i="14"/>
  <c r="D133" i="14"/>
  <c r="D184" i="14"/>
  <c r="D134" i="14"/>
  <c r="D193" i="14"/>
  <c r="D135" i="14"/>
  <c r="D194" i="14"/>
  <c r="D136" i="14"/>
  <c r="D195" i="14"/>
  <c r="D137" i="14"/>
  <c r="D196" i="14"/>
  <c r="D138" i="14"/>
  <c r="D197" i="14"/>
  <c r="D144" i="14"/>
  <c r="D198" i="14"/>
  <c r="D153" i="14"/>
  <c r="D204" i="14"/>
  <c r="D154" i="14"/>
  <c r="D213" i="14"/>
  <c r="D155" i="14"/>
  <c r="D214" i="14"/>
  <c r="D156" i="14"/>
  <c r="D215" i="14"/>
  <c r="D157" i="14"/>
  <c r="D216" i="14"/>
  <c r="D158" i="14"/>
  <c r="D217" i="14"/>
  <c r="D164" i="14"/>
  <c r="D173" i="14"/>
  <c r="D174" i="14"/>
  <c r="D220" i="14"/>
  <c r="D222" i="14"/>
  <c r="E212" i="3"/>
  <c r="E214" i="3"/>
  <c r="M10" i="4"/>
  <c r="O10" i="4" s="1"/>
  <c r="D18" i="14"/>
  <c r="N5" i="14"/>
  <c r="M6" i="14"/>
  <c r="M5" i="14"/>
  <c r="N3" i="14"/>
  <c r="M4" i="14"/>
  <c r="M7" i="14"/>
  <c r="M3" i="14"/>
  <c r="N2" i="14"/>
  <c r="N6" i="14"/>
  <c r="E57" i="3" l="1"/>
  <c r="G65" i="13"/>
  <c r="G71" i="13"/>
  <c r="G76" i="13"/>
  <c r="G152" i="13"/>
  <c r="G195" i="13"/>
  <c r="G173" i="13"/>
  <c r="G34" i="13"/>
  <c r="G35" i="13"/>
  <c r="G82" i="13"/>
  <c r="G166" i="13"/>
  <c r="G10" i="13"/>
  <c r="G49" i="13"/>
  <c r="E56" i="3"/>
  <c r="E36" i="3"/>
  <c r="E53" i="3"/>
  <c r="E17" i="3"/>
  <c r="E193" i="3"/>
  <c r="G193" i="3" s="1"/>
  <c r="O201" i="14" s="1"/>
  <c r="G60" i="13"/>
  <c r="G81" i="13"/>
  <c r="G87" i="13"/>
  <c r="G138" i="13"/>
  <c r="G186" i="13"/>
  <c r="G64" i="13"/>
  <c r="G117" i="13"/>
  <c r="G130" i="13"/>
  <c r="G29" i="13"/>
  <c r="G90" i="13"/>
  <c r="G156" i="13"/>
  <c r="G136" i="13"/>
  <c r="G92" i="13"/>
  <c r="G122" i="13"/>
  <c r="G146" i="13"/>
  <c r="G177" i="13"/>
  <c r="G205" i="13"/>
  <c r="G178" i="13"/>
  <c r="E55" i="3"/>
  <c r="G135" i="13"/>
  <c r="G149" i="13"/>
  <c r="G176" i="13"/>
  <c r="G36" i="13"/>
  <c r="G208" i="13"/>
  <c r="G123" i="13"/>
  <c r="G11" i="13"/>
  <c r="G164" i="13"/>
  <c r="G190" i="13"/>
  <c r="G15" i="13"/>
  <c r="G44" i="13"/>
  <c r="G39" i="13"/>
  <c r="E35" i="3"/>
  <c r="E15" i="3"/>
  <c r="G67" i="13"/>
  <c r="G18" i="13"/>
  <c r="G69" i="13"/>
  <c r="G140" i="13"/>
  <c r="G141" i="13"/>
  <c r="G25" i="13"/>
  <c r="G66" i="13"/>
  <c r="G9" i="13"/>
  <c r="G46" i="13"/>
  <c r="G107" i="13"/>
  <c r="G88" i="13"/>
  <c r="G158" i="13"/>
  <c r="E51" i="3"/>
  <c r="G198" i="13"/>
  <c r="G27" i="13"/>
  <c r="G168" i="13"/>
  <c r="G78" i="13"/>
  <c r="G98" i="13"/>
  <c r="G184" i="13"/>
  <c r="G197" i="13"/>
  <c r="G111" i="13"/>
  <c r="G133" i="13"/>
  <c r="G167" i="13"/>
  <c r="G185" i="13"/>
  <c r="G159" i="13"/>
  <c r="G85" i="13"/>
  <c r="G110" i="13"/>
  <c r="E149" i="3"/>
  <c r="F149" i="3" s="1"/>
  <c r="E89" i="3"/>
  <c r="G86" i="13"/>
  <c r="G75" i="13"/>
  <c r="G151" i="13"/>
  <c r="G30" i="13"/>
  <c r="G137" i="13"/>
  <c r="G105" i="13"/>
  <c r="G57" i="13"/>
  <c r="G203" i="13"/>
  <c r="G56" i="13"/>
  <c r="G181" i="13"/>
  <c r="G48" i="13"/>
  <c r="G47" i="13"/>
  <c r="G22" i="13"/>
  <c r="G163" i="13"/>
  <c r="G121" i="13"/>
  <c r="G45" i="13"/>
  <c r="G188" i="13"/>
  <c r="G41" i="13"/>
  <c r="G115" i="13"/>
  <c r="G58" i="13"/>
  <c r="G119" i="13"/>
  <c r="G124" i="13"/>
  <c r="G26" i="13"/>
  <c r="G170" i="13"/>
  <c r="R9" i="4"/>
  <c r="Q9" i="4"/>
  <c r="G153" i="13"/>
  <c r="G129" i="13"/>
  <c r="G21" i="13"/>
  <c r="G175" i="13"/>
  <c r="G55" i="13"/>
  <c r="G113" i="13"/>
  <c r="G187" i="13"/>
  <c r="G144" i="13"/>
  <c r="G74" i="13"/>
  <c r="G148" i="13"/>
  <c r="G120" i="13"/>
  <c r="G96" i="13"/>
  <c r="G161" i="13"/>
  <c r="G143" i="13"/>
  <c r="G14" i="13"/>
  <c r="G93" i="13"/>
  <c r="G54" i="13"/>
  <c r="G68" i="13"/>
  <c r="E190" i="3"/>
  <c r="K190" i="3" s="1"/>
  <c r="P198" i="14" s="1"/>
  <c r="G112" i="13"/>
  <c r="G16" i="13"/>
  <c r="G131" i="13"/>
  <c r="G125" i="13"/>
  <c r="G116" i="13"/>
  <c r="G128" i="13"/>
  <c r="G101" i="13"/>
  <c r="G202" i="13"/>
  <c r="G132" i="13"/>
  <c r="G24" i="13"/>
  <c r="E154" i="3"/>
  <c r="F154" i="3" s="1"/>
  <c r="E185" i="3"/>
  <c r="G185" i="3" s="1"/>
  <c r="O193" i="14" s="1"/>
  <c r="E104" i="3"/>
  <c r="E83" i="3"/>
  <c r="E102" i="3"/>
  <c r="E12" i="3"/>
  <c r="E179" i="3"/>
  <c r="K179" i="3" s="1"/>
  <c r="P187" i="14" s="1"/>
  <c r="E98" i="3"/>
  <c r="E117" i="3"/>
  <c r="M117" i="3" s="1"/>
  <c r="E50" i="3"/>
  <c r="G51" i="13"/>
  <c r="G139" i="13"/>
  <c r="G20" i="13"/>
  <c r="G84" i="13"/>
  <c r="G89" i="13"/>
  <c r="G193" i="13"/>
  <c r="G174" i="13"/>
  <c r="G95" i="13"/>
  <c r="G37" i="13"/>
  <c r="E71" i="3"/>
  <c r="E125" i="3"/>
  <c r="K125" i="3" s="1"/>
  <c r="P133" i="14" s="1"/>
  <c r="E94" i="3"/>
  <c r="E23" i="3"/>
  <c r="E42" i="3"/>
  <c r="E164" i="3"/>
  <c r="K164" i="3" s="1"/>
  <c r="P172" i="14" s="1"/>
  <c r="E119" i="3"/>
  <c r="L119" i="3" s="1"/>
  <c r="E38" i="3"/>
  <c r="E196" i="3"/>
  <c r="L196" i="3" s="1"/>
  <c r="E48" i="3"/>
  <c r="H118" i="13"/>
  <c r="H156" i="13"/>
  <c r="H175" i="13"/>
  <c r="H148" i="13"/>
  <c r="H135" i="13"/>
  <c r="H127" i="13"/>
  <c r="H130" i="13"/>
  <c r="H114" i="13"/>
  <c r="H205" i="13"/>
  <c r="H119" i="13"/>
  <c r="H195" i="13"/>
  <c r="H176" i="13"/>
  <c r="H108" i="13"/>
  <c r="H113" i="13"/>
  <c r="H152" i="13"/>
  <c r="H129" i="13"/>
  <c r="H155" i="13"/>
  <c r="H139" i="13"/>
  <c r="H174" i="13"/>
  <c r="H167" i="13"/>
  <c r="H164" i="13"/>
  <c r="H149" i="13"/>
  <c r="H160" i="13"/>
  <c r="H202" i="13"/>
  <c r="H173" i="13"/>
  <c r="H159" i="13"/>
  <c r="H151" i="13"/>
  <c r="H107" i="13"/>
  <c r="H182" i="13"/>
  <c r="H203" i="13"/>
  <c r="H168" i="13"/>
  <c r="H109" i="13"/>
  <c r="H146" i="13"/>
  <c r="H145" i="13"/>
  <c r="H165" i="13"/>
  <c r="H177" i="13"/>
  <c r="H190" i="13"/>
  <c r="H157" i="13"/>
  <c r="H171" i="13"/>
  <c r="H124" i="13"/>
  <c r="H134" i="13"/>
  <c r="H163" i="13"/>
  <c r="H187" i="13"/>
  <c r="H162" i="13"/>
  <c r="H138" i="13"/>
  <c r="H196" i="13"/>
  <c r="H197" i="13"/>
  <c r="H184" i="13"/>
  <c r="H116" i="13"/>
  <c r="H150" i="13"/>
  <c r="H161" i="13"/>
  <c r="H131" i="13"/>
  <c r="H153" i="13"/>
  <c r="H112" i="13"/>
  <c r="H191" i="13"/>
  <c r="H180" i="13"/>
  <c r="H141" i="13"/>
  <c r="H181" i="13"/>
  <c r="I44" i="13"/>
  <c r="I183" i="13"/>
  <c r="Q183" i="13" s="1"/>
  <c r="I41" i="13"/>
  <c r="I123" i="13"/>
  <c r="Q123" i="13" s="1"/>
  <c r="I8" i="13"/>
  <c r="Q8" i="13" s="1"/>
  <c r="I97" i="13"/>
  <c r="I130" i="13"/>
  <c r="Q130" i="13" s="1"/>
  <c r="I120" i="13"/>
  <c r="Q120" i="13" s="1"/>
  <c r="I45" i="13"/>
  <c r="I185" i="13"/>
  <c r="Q185" i="13" s="1"/>
  <c r="I122" i="13"/>
  <c r="Q122" i="13" s="1"/>
  <c r="I169" i="13"/>
  <c r="Q169" i="13" s="1"/>
  <c r="I47" i="13"/>
  <c r="I74" i="13"/>
  <c r="I141" i="13"/>
  <c r="Q141" i="13" s="1"/>
  <c r="I190" i="13"/>
  <c r="Q190" i="13" s="1"/>
  <c r="I154" i="13"/>
  <c r="Q154" i="13" s="1"/>
  <c r="I188" i="13"/>
  <c r="Q188" i="13" s="1"/>
  <c r="I157" i="13"/>
  <c r="O157" i="13" s="1"/>
  <c r="I179" i="13"/>
  <c r="O179" i="13" s="1"/>
  <c r="I42" i="13"/>
  <c r="I165" i="13"/>
  <c r="O165" i="13" s="1"/>
  <c r="I27" i="13"/>
  <c r="I73" i="13"/>
  <c r="I51" i="13"/>
  <c r="I119" i="13"/>
  <c r="O119" i="13" s="1"/>
  <c r="I37" i="13"/>
  <c r="I38" i="13"/>
  <c r="I50" i="13"/>
  <c r="I139" i="13"/>
  <c r="Q139" i="13" s="1"/>
  <c r="I189" i="13"/>
  <c r="Q189" i="13" s="1"/>
  <c r="I46" i="13"/>
  <c r="I24" i="13"/>
  <c r="I163" i="13"/>
  <c r="Q163" i="13" s="1"/>
  <c r="I56" i="13"/>
  <c r="I14" i="13"/>
  <c r="I150" i="13"/>
  <c r="Q150" i="13" s="1"/>
  <c r="I61" i="13"/>
  <c r="I81" i="13"/>
  <c r="I54" i="13"/>
  <c r="I23" i="13"/>
  <c r="I43" i="13"/>
  <c r="I59" i="13"/>
  <c r="I135" i="13"/>
  <c r="Q135" i="13" s="1"/>
  <c r="I171" i="13"/>
  <c r="O171" i="13" s="1"/>
  <c r="I88" i="13"/>
  <c r="I92" i="13"/>
  <c r="I86" i="13"/>
  <c r="I93" i="13"/>
  <c r="I191" i="13"/>
  <c r="O191" i="13" s="1"/>
  <c r="I26" i="13"/>
  <c r="I144" i="13"/>
  <c r="Q144" i="13" s="1"/>
  <c r="I104" i="13"/>
  <c r="I82" i="13"/>
  <c r="I181" i="13"/>
  <c r="Q181" i="13" s="1"/>
  <c r="I159" i="13"/>
  <c r="Q159" i="13" s="1"/>
  <c r="I106" i="13"/>
  <c r="I62" i="13"/>
  <c r="I153" i="13"/>
  <c r="O153" i="13" s="1"/>
  <c r="I95" i="13"/>
  <c r="I128" i="13"/>
  <c r="Q128" i="13" s="1"/>
  <c r="I170" i="13"/>
  <c r="Q170" i="13" s="1"/>
  <c r="I164" i="13"/>
  <c r="Q164" i="13" s="1"/>
  <c r="I63" i="13"/>
  <c r="I53" i="13"/>
  <c r="I89" i="13"/>
  <c r="I83" i="13"/>
  <c r="I72" i="13"/>
  <c r="I35" i="13"/>
  <c r="I109" i="13"/>
  <c r="Q109" i="13" s="1"/>
  <c r="I167" i="13"/>
  <c r="O167" i="13" s="1"/>
  <c r="I151" i="13"/>
  <c r="O151" i="13" s="1"/>
  <c r="I7" i="13"/>
  <c r="O7" i="13" s="1"/>
  <c r="I146" i="13"/>
  <c r="Q146" i="13" s="1"/>
  <c r="I75" i="13"/>
  <c r="I131" i="13"/>
  <c r="Q131" i="13" s="1"/>
  <c r="I98" i="13"/>
  <c r="I70" i="13"/>
  <c r="I113" i="13"/>
  <c r="Q113" i="13" s="1"/>
  <c r="I20" i="13"/>
  <c r="I101" i="13"/>
  <c r="I67" i="13"/>
  <c r="I55" i="13"/>
  <c r="I16" i="13"/>
  <c r="I193" i="13"/>
  <c r="Q193" i="13" s="1"/>
  <c r="I18" i="13"/>
  <c r="I124" i="13"/>
  <c r="Q124" i="13" s="1"/>
  <c r="I28" i="13"/>
  <c r="I112" i="13"/>
  <c r="O112" i="13" s="1"/>
  <c r="I13" i="13"/>
  <c r="I108" i="13"/>
  <c r="I33" i="13"/>
  <c r="I31" i="13"/>
  <c r="I12" i="13"/>
  <c r="I172" i="13"/>
  <c r="O172" i="13" s="1"/>
  <c r="I178" i="13"/>
  <c r="O178" i="13" s="1"/>
  <c r="I133" i="13"/>
  <c r="Q133" i="13" s="1"/>
  <c r="I186" i="13"/>
  <c r="O186" i="13" s="1"/>
  <c r="I102" i="13"/>
  <c r="I29" i="13"/>
  <c r="I9" i="13"/>
  <c r="Q9" i="13" s="1"/>
  <c r="I79" i="13"/>
  <c r="I126" i="13"/>
  <c r="O126" i="13" s="1"/>
  <c r="I65" i="13"/>
  <c r="I107" i="13"/>
  <c r="I22" i="13"/>
  <c r="I66" i="13"/>
  <c r="I132" i="13"/>
  <c r="O132" i="13" s="1"/>
  <c r="I78" i="13"/>
  <c r="I11" i="13"/>
  <c r="I68" i="13"/>
  <c r="I129" i="13"/>
  <c r="O129" i="13" s="1"/>
  <c r="I17" i="13"/>
  <c r="I76" i="13"/>
  <c r="I32" i="13"/>
  <c r="I91" i="13"/>
  <c r="I121" i="13"/>
  <c r="Q121" i="13" s="1"/>
  <c r="O5" i="13"/>
  <c r="I71" i="13"/>
  <c r="I140" i="13"/>
  <c r="Q140" i="13" s="1"/>
  <c r="I173" i="13"/>
  <c r="O173" i="13" s="1"/>
  <c r="I147" i="13"/>
  <c r="Q147" i="13" s="1"/>
  <c r="I134" i="13"/>
  <c r="Q134" i="13" s="1"/>
  <c r="I99" i="13"/>
  <c r="I64" i="13"/>
  <c r="I10" i="13"/>
  <c r="Q10" i="13" s="1"/>
  <c r="I19" i="13"/>
  <c r="I161" i="13"/>
  <c r="Q161" i="13" s="1"/>
  <c r="I143" i="13"/>
  <c r="O143" i="13" s="1"/>
  <c r="I36" i="13"/>
  <c r="I94" i="13"/>
  <c r="I136" i="13"/>
  <c r="Q136" i="13" s="1"/>
  <c r="I184" i="13"/>
  <c r="Q184" i="13" s="1"/>
  <c r="I152" i="13"/>
  <c r="Q152" i="13" s="1"/>
  <c r="I58" i="13"/>
  <c r="I195" i="13"/>
  <c r="O195" i="13" s="1"/>
  <c r="I176" i="13"/>
  <c r="Q176" i="13" s="1"/>
  <c r="I168" i="13"/>
  <c r="Q168" i="13" s="1"/>
  <c r="I85" i="13"/>
  <c r="I158" i="13"/>
  <c r="O158" i="13" s="1"/>
  <c r="I115" i="13"/>
  <c r="Q115" i="13" s="1"/>
  <c r="I49" i="13"/>
  <c r="I15" i="13"/>
  <c r="I30" i="13"/>
  <c r="I174" i="13"/>
  <c r="Q174" i="13" s="1"/>
  <c r="I48" i="13"/>
  <c r="I96" i="13"/>
  <c r="I100" i="13"/>
  <c r="I127" i="13"/>
  <c r="Q127" i="13" s="1"/>
  <c r="I90" i="13"/>
  <c r="I80" i="13"/>
  <c r="I149" i="13"/>
  <c r="Q149" i="13" s="1"/>
  <c r="I142" i="13"/>
  <c r="Q142" i="13" s="1"/>
  <c r="I84" i="13"/>
  <c r="I60" i="13"/>
  <c r="I177" i="13"/>
  <c r="O177" i="13" s="1"/>
  <c r="I87" i="13"/>
  <c r="I175" i="13"/>
  <c r="Q175" i="13" s="1"/>
  <c r="I192" i="13"/>
  <c r="Q192" i="13" s="1"/>
  <c r="I21" i="13"/>
  <c r="I196" i="13"/>
  <c r="Q196" i="13" s="1"/>
  <c r="I34" i="13"/>
  <c r="I162" i="13"/>
  <c r="Q162" i="13" s="1"/>
  <c r="I194" i="13"/>
  <c r="O194" i="13" s="1"/>
  <c r="I145" i="13"/>
  <c r="Q145" i="13" s="1"/>
  <c r="I182" i="13"/>
  <c r="Q182" i="13" s="1"/>
  <c r="I105" i="13"/>
  <c r="I52" i="13"/>
  <c r="I110" i="13"/>
  <c r="O110" i="13" s="1"/>
  <c r="I77" i="13"/>
  <c r="I166" i="13"/>
  <c r="Q166" i="13" s="1"/>
  <c r="I125" i="13"/>
  <c r="Q125" i="13" s="1"/>
  <c r="I114" i="13"/>
  <c r="O114" i="13" s="1"/>
  <c r="I103" i="13"/>
  <c r="I57" i="13"/>
  <c r="I160" i="13"/>
  <c r="Q160" i="13" s="1"/>
  <c r="I148" i="13"/>
  <c r="Q148" i="13" s="1"/>
  <c r="I137" i="13"/>
  <c r="Q137" i="13" s="1"/>
  <c r="I111" i="13"/>
  <c r="Q111" i="13" s="1"/>
  <c r="I117" i="13"/>
  <c r="Q117" i="13" s="1"/>
  <c r="I25" i="13"/>
  <c r="I40" i="13"/>
  <c r="I156" i="13"/>
  <c r="Q156" i="13" s="1"/>
  <c r="I138" i="13"/>
  <c r="Q138" i="13" s="1"/>
  <c r="I187" i="13"/>
  <c r="Q187" i="13" s="1"/>
  <c r="I118" i="13"/>
  <c r="Q118" i="13" s="1"/>
  <c r="I116" i="13"/>
  <c r="Q116" i="13" s="1"/>
  <c r="I6" i="13"/>
  <c r="Q6" i="13" s="1"/>
  <c r="I180" i="13"/>
  <c r="O180" i="13" s="1"/>
  <c r="I155" i="13"/>
  <c r="Q155" i="13" s="1"/>
  <c r="I39" i="13"/>
  <c r="I69" i="13"/>
  <c r="I208" i="13"/>
  <c r="Q208" i="13" s="1"/>
  <c r="I210" i="13"/>
  <c r="Q210" i="13" s="1"/>
  <c r="Q214" i="4"/>
  <c r="R214" i="4"/>
  <c r="S214" i="4" s="1"/>
  <c r="T214" i="4" s="1"/>
  <c r="P10" i="4"/>
  <c r="P208" i="4"/>
  <c r="R208" i="4" s="1"/>
  <c r="S208" i="4" s="1"/>
  <c r="T208" i="4" s="1"/>
  <c r="P212" i="4"/>
  <c r="Q212" i="4" s="1"/>
  <c r="F201" i="14"/>
  <c r="E201" i="14"/>
  <c r="H201" i="14"/>
  <c r="I201" i="14"/>
  <c r="G201" i="14"/>
  <c r="E206" i="14"/>
  <c r="F206" i="14"/>
  <c r="G206" i="14"/>
  <c r="I206" i="14"/>
  <c r="H206" i="14"/>
  <c r="F141" i="14"/>
  <c r="E141" i="14"/>
  <c r="H141" i="14"/>
  <c r="I141" i="14"/>
  <c r="G141" i="14"/>
  <c r="F217" i="14"/>
  <c r="G217" i="14"/>
  <c r="H217" i="14"/>
  <c r="I217" i="14"/>
  <c r="E217" i="14"/>
  <c r="I194" i="14"/>
  <c r="G194" i="14"/>
  <c r="H194" i="14"/>
  <c r="E194" i="14"/>
  <c r="F194" i="14"/>
  <c r="E211" i="14"/>
  <c r="I211" i="14"/>
  <c r="F211" i="14"/>
  <c r="G211" i="14"/>
  <c r="H211" i="14"/>
  <c r="E146" i="14"/>
  <c r="F146" i="14"/>
  <c r="G146" i="14"/>
  <c r="H146" i="14"/>
  <c r="I146" i="14"/>
  <c r="F121" i="14"/>
  <c r="E121" i="14"/>
  <c r="H121" i="14"/>
  <c r="I121" i="14"/>
  <c r="G121" i="14"/>
  <c r="E130" i="14"/>
  <c r="F130" i="14"/>
  <c r="H130" i="14"/>
  <c r="I130" i="14"/>
  <c r="G130" i="14"/>
  <c r="F161" i="14"/>
  <c r="E161" i="14"/>
  <c r="H161" i="14"/>
  <c r="I161" i="14"/>
  <c r="G161" i="14"/>
  <c r="E158" i="14"/>
  <c r="I158" i="14"/>
  <c r="F158" i="14"/>
  <c r="G158" i="14"/>
  <c r="H158" i="14"/>
  <c r="H135" i="14"/>
  <c r="I135" i="14"/>
  <c r="G135" i="14"/>
  <c r="E135" i="14"/>
  <c r="F135" i="14"/>
  <c r="E191" i="14"/>
  <c r="G191" i="14"/>
  <c r="I191" i="14"/>
  <c r="H191" i="14"/>
  <c r="F191" i="14"/>
  <c r="E126" i="14"/>
  <c r="F126" i="14"/>
  <c r="G126" i="14"/>
  <c r="I126" i="14"/>
  <c r="H126" i="14"/>
  <c r="G200" i="14"/>
  <c r="E200" i="14"/>
  <c r="F200" i="14"/>
  <c r="I200" i="14"/>
  <c r="H200" i="14"/>
  <c r="G196" i="14"/>
  <c r="H196" i="14"/>
  <c r="I196" i="14"/>
  <c r="F196" i="14"/>
  <c r="E196" i="14"/>
  <c r="I127" i="14"/>
  <c r="E127" i="14"/>
  <c r="F127" i="14"/>
  <c r="G127" i="14"/>
  <c r="H127" i="14"/>
  <c r="F137" i="14"/>
  <c r="G137" i="14"/>
  <c r="H137" i="14"/>
  <c r="I137" i="14"/>
  <c r="E137" i="14"/>
  <c r="E166" i="14"/>
  <c r="F166" i="14"/>
  <c r="G166" i="14"/>
  <c r="I166" i="14"/>
  <c r="H166" i="14"/>
  <c r="G216" i="14"/>
  <c r="H216" i="14"/>
  <c r="I216" i="14"/>
  <c r="E216" i="14"/>
  <c r="F216" i="14"/>
  <c r="G193" i="14"/>
  <c r="H193" i="14"/>
  <c r="E193" i="14"/>
  <c r="I193" i="14"/>
  <c r="F193" i="14"/>
  <c r="E171" i="14"/>
  <c r="H171" i="14"/>
  <c r="I171" i="14"/>
  <c r="F171" i="14"/>
  <c r="G171" i="14"/>
  <c r="H172" i="14"/>
  <c r="E172" i="14"/>
  <c r="I172" i="14"/>
  <c r="F172" i="14"/>
  <c r="G172" i="14"/>
  <c r="G180" i="14"/>
  <c r="E180" i="14"/>
  <c r="F180" i="14"/>
  <c r="I180" i="14"/>
  <c r="H180" i="14"/>
  <c r="G132" i="14"/>
  <c r="H132" i="14"/>
  <c r="E132" i="14"/>
  <c r="I132" i="14"/>
  <c r="F132" i="14"/>
  <c r="F157" i="14"/>
  <c r="G157" i="14"/>
  <c r="H157" i="14"/>
  <c r="I157" i="14"/>
  <c r="E157" i="14"/>
  <c r="I134" i="14"/>
  <c r="G134" i="14"/>
  <c r="H134" i="14"/>
  <c r="E134" i="14"/>
  <c r="F134" i="14"/>
  <c r="E131" i="14"/>
  <c r="G131" i="14"/>
  <c r="H131" i="14"/>
  <c r="I131" i="14"/>
  <c r="F131" i="14"/>
  <c r="I187" i="14"/>
  <c r="E187" i="14"/>
  <c r="F187" i="14"/>
  <c r="H187" i="14"/>
  <c r="G187" i="14"/>
  <c r="G160" i="14"/>
  <c r="E160" i="14"/>
  <c r="F160" i="14"/>
  <c r="I160" i="14"/>
  <c r="H160" i="14"/>
  <c r="I174" i="14"/>
  <c r="H174" i="14"/>
  <c r="E174" i="14"/>
  <c r="F174" i="14"/>
  <c r="G174" i="14"/>
  <c r="I212" i="14"/>
  <c r="F212" i="14"/>
  <c r="G212" i="14"/>
  <c r="H212" i="14"/>
  <c r="E212" i="14"/>
  <c r="G136" i="14"/>
  <c r="H136" i="14"/>
  <c r="I136" i="14"/>
  <c r="E136" i="14"/>
  <c r="F136" i="14"/>
  <c r="H215" i="14"/>
  <c r="I215" i="14"/>
  <c r="E215" i="14"/>
  <c r="F215" i="14"/>
  <c r="G215" i="14"/>
  <c r="E184" i="14"/>
  <c r="F184" i="14"/>
  <c r="G184" i="14"/>
  <c r="H184" i="14"/>
  <c r="I184" i="14"/>
  <c r="G209" i="14"/>
  <c r="F209" i="14"/>
  <c r="E209" i="14"/>
  <c r="H209" i="14"/>
  <c r="I209" i="14"/>
  <c r="E167" i="14"/>
  <c r="F167" i="14"/>
  <c r="H167" i="14"/>
  <c r="I167" i="14"/>
  <c r="G167" i="14"/>
  <c r="G140" i="14"/>
  <c r="E140" i="14"/>
  <c r="F140" i="14"/>
  <c r="I140" i="14"/>
  <c r="H140" i="14"/>
  <c r="F150" i="14"/>
  <c r="E150" i="14"/>
  <c r="G150" i="14"/>
  <c r="H150" i="14"/>
  <c r="I150" i="14"/>
  <c r="F181" i="14"/>
  <c r="E181" i="14"/>
  <c r="H181" i="14"/>
  <c r="I181" i="14"/>
  <c r="G181" i="14"/>
  <c r="H173" i="14"/>
  <c r="E173" i="14"/>
  <c r="I173" i="14"/>
  <c r="F173" i="14"/>
  <c r="G173" i="14"/>
  <c r="H195" i="14"/>
  <c r="I195" i="14"/>
  <c r="G195" i="14"/>
  <c r="E195" i="14"/>
  <c r="F195" i="14"/>
  <c r="E186" i="14"/>
  <c r="F186" i="14"/>
  <c r="G186" i="14"/>
  <c r="H186" i="14"/>
  <c r="I186" i="14"/>
  <c r="E164" i="14"/>
  <c r="G164" i="14"/>
  <c r="F164" i="14"/>
  <c r="H164" i="14"/>
  <c r="I164" i="14"/>
  <c r="G156" i="14"/>
  <c r="H156" i="14"/>
  <c r="I156" i="14"/>
  <c r="E156" i="14"/>
  <c r="F156" i="14"/>
  <c r="G133" i="14"/>
  <c r="H133" i="14"/>
  <c r="E133" i="14"/>
  <c r="I133" i="14"/>
  <c r="F133" i="14"/>
  <c r="G189" i="14"/>
  <c r="F189" i="14"/>
  <c r="E189" i="14"/>
  <c r="H189" i="14"/>
  <c r="I189" i="14"/>
  <c r="E147" i="14"/>
  <c r="F147" i="14"/>
  <c r="H147" i="14"/>
  <c r="G147" i="14"/>
  <c r="I147" i="14"/>
  <c r="G120" i="14"/>
  <c r="E120" i="14"/>
  <c r="F120" i="14"/>
  <c r="I120" i="14"/>
  <c r="H120" i="14"/>
  <c r="H119" i="14"/>
  <c r="I119" i="14"/>
  <c r="E119" i="14"/>
  <c r="F119" i="14"/>
  <c r="G119" i="14"/>
  <c r="I214" i="14"/>
  <c r="F214" i="14"/>
  <c r="G214" i="14"/>
  <c r="H214" i="14"/>
  <c r="E214" i="14"/>
  <c r="E178" i="14"/>
  <c r="I178" i="14"/>
  <c r="F178" i="14"/>
  <c r="G178" i="14"/>
  <c r="H178" i="14"/>
  <c r="F169" i="14"/>
  <c r="G169" i="14"/>
  <c r="E169" i="14"/>
  <c r="I169" i="14"/>
  <c r="H169" i="14"/>
  <c r="E205" i="14"/>
  <c r="F205" i="14"/>
  <c r="G205" i="14"/>
  <c r="H205" i="14"/>
  <c r="I205" i="14"/>
  <c r="H155" i="14"/>
  <c r="I155" i="14"/>
  <c r="F155" i="14"/>
  <c r="G155" i="14"/>
  <c r="E155" i="14"/>
  <c r="E124" i="14"/>
  <c r="G124" i="14"/>
  <c r="F124" i="14"/>
  <c r="H124" i="14"/>
  <c r="I124" i="14"/>
  <c r="F149" i="14"/>
  <c r="E149" i="14"/>
  <c r="G149" i="14"/>
  <c r="H149" i="14"/>
  <c r="I149" i="14"/>
  <c r="F185" i="14"/>
  <c r="E185" i="14"/>
  <c r="G185" i="14"/>
  <c r="H185" i="14"/>
  <c r="I185" i="14"/>
  <c r="F203" i="14"/>
  <c r="G203" i="14"/>
  <c r="H203" i="14"/>
  <c r="I203" i="14"/>
  <c r="E203" i="14"/>
  <c r="I213" i="14"/>
  <c r="F213" i="14"/>
  <c r="G213" i="14"/>
  <c r="H213" i="14"/>
  <c r="E213" i="14"/>
  <c r="F177" i="14"/>
  <c r="G177" i="14"/>
  <c r="H177" i="14"/>
  <c r="I177" i="14"/>
  <c r="E177" i="14"/>
  <c r="G129" i="14"/>
  <c r="F129" i="14"/>
  <c r="E129" i="14"/>
  <c r="H129" i="14"/>
  <c r="I129" i="14"/>
  <c r="F165" i="14"/>
  <c r="E165" i="14"/>
  <c r="G165" i="14"/>
  <c r="H165" i="14"/>
  <c r="I165" i="14"/>
  <c r="F183" i="14"/>
  <c r="H183" i="14"/>
  <c r="G183" i="14"/>
  <c r="I183" i="14"/>
  <c r="E183" i="14"/>
  <c r="F163" i="14"/>
  <c r="G163" i="14"/>
  <c r="H163" i="14"/>
  <c r="I163" i="14"/>
  <c r="E163" i="14"/>
  <c r="E204" i="14"/>
  <c r="G204" i="14"/>
  <c r="F204" i="14"/>
  <c r="H204" i="14"/>
  <c r="I204" i="14"/>
  <c r="I153" i="14"/>
  <c r="F153" i="14"/>
  <c r="G153" i="14"/>
  <c r="H153" i="14"/>
  <c r="E153" i="14"/>
  <c r="G192" i="14"/>
  <c r="H192" i="14"/>
  <c r="E192" i="14"/>
  <c r="I192" i="14"/>
  <c r="F192" i="14"/>
  <c r="E168" i="14"/>
  <c r="G168" i="14"/>
  <c r="H168" i="14"/>
  <c r="F168" i="14"/>
  <c r="I168" i="14"/>
  <c r="E202" i="14"/>
  <c r="G202" i="14"/>
  <c r="I202" i="14"/>
  <c r="H202" i="14"/>
  <c r="F202" i="14"/>
  <c r="F123" i="14"/>
  <c r="H123" i="14"/>
  <c r="G123" i="14"/>
  <c r="I123" i="14"/>
  <c r="E123" i="14"/>
  <c r="I154" i="14"/>
  <c r="F154" i="14"/>
  <c r="G154" i="14"/>
  <c r="H154" i="14"/>
  <c r="E154" i="14"/>
  <c r="F143" i="14"/>
  <c r="H143" i="14"/>
  <c r="G143" i="14"/>
  <c r="I143" i="14"/>
  <c r="E143" i="14"/>
  <c r="E198" i="14"/>
  <c r="I198" i="14"/>
  <c r="F198" i="14"/>
  <c r="G198" i="14"/>
  <c r="H198" i="14"/>
  <c r="E151" i="14"/>
  <c r="F151" i="14"/>
  <c r="G151" i="14"/>
  <c r="H151" i="14"/>
  <c r="I151" i="14"/>
  <c r="H148" i="14"/>
  <c r="E148" i="14"/>
  <c r="F148" i="14"/>
  <c r="G148" i="14"/>
  <c r="I148" i="14"/>
  <c r="E182" i="14"/>
  <c r="G182" i="14"/>
  <c r="H182" i="14"/>
  <c r="I182" i="14"/>
  <c r="F182" i="14"/>
  <c r="H199" i="14"/>
  <c r="E199" i="14"/>
  <c r="F199" i="14"/>
  <c r="G199" i="14"/>
  <c r="I199" i="14"/>
  <c r="G176" i="14"/>
  <c r="H176" i="14"/>
  <c r="I176" i="14"/>
  <c r="E176" i="14"/>
  <c r="F176" i="14"/>
  <c r="H188" i="14"/>
  <c r="E188" i="14"/>
  <c r="G188" i="14"/>
  <c r="F188" i="14"/>
  <c r="I188" i="14"/>
  <c r="E144" i="14"/>
  <c r="G144" i="14"/>
  <c r="F144" i="14"/>
  <c r="H144" i="14"/>
  <c r="I144" i="14"/>
  <c r="E210" i="14"/>
  <c r="F210" i="14"/>
  <c r="G210" i="14"/>
  <c r="H210" i="14"/>
  <c r="I210" i="14"/>
  <c r="E128" i="14"/>
  <c r="G128" i="14"/>
  <c r="F128" i="14"/>
  <c r="H128" i="14"/>
  <c r="I128" i="14"/>
  <c r="E162" i="14"/>
  <c r="G162" i="14"/>
  <c r="I162" i="14"/>
  <c r="H162" i="14"/>
  <c r="F162" i="14"/>
  <c r="H179" i="14"/>
  <c r="E179" i="14"/>
  <c r="F179" i="14"/>
  <c r="G179" i="14"/>
  <c r="I179" i="14"/>
  <c r="H208" i="14"/>
  <c r="E208" i="14"/>
  <c r="G208" i="14"/>
  <c r="F208" i="14"/>
  <c r="I208" i="14"/>
  <c r="F125" i="14"/>
  <c r="E125" i="14"/>
  <c r="G125" i="14"/>
  <c r="H125" i="14"/>
  <c r="I125" i="14"/>
  <c r="F197" i="14"/>
  <c r="G197" i="14"/>
  <c r="H197" i="14"/>
  <c r="I197" i="14"/>
  <c r="E197" i="14"/>
  <c r="F190" i="14"/>
  <c r="E190" i="14"/>
  <c r="G190" i="14"/>
  <c r="H190" i="14"/>
  <c r="I190" i="14"/>
  <c r="I152" i="14"/>
  <c r="F152" i="14"/>
  <c r="G152" i="14"/>
  <c r="H152" i="14"/>
  <c r="E152" i="14"/>
  <c r="E142" i="14"/>
  <c r="G142" i="14"/>
  <c r="I142" i="14"/>
  <c r="H142" i="14"/>
  <c r="F142" i="14"/>
  <c r="H159" i="14"/>
  <c r="E159" i="14"/>
  <c r="F159" i="14"/>
  <c r="G159" i="14"/>
  <c r="I159" i="14"/>
  <c r="F220" i="14"/>
  <c r="E220" i="14"/>
  <c r="G220" i="14"/>
  <c r="H220" i="14"/>
  <c r="I220" i="14"/>
  <c r="E145" i="14"/>
  <c r="F145" i="14"/>
  <c r="G145" i="14"/>
  <c r="H145" i="14"/>
  <c r="I145" i="14"/>
  <c r="H175" i="14"/>
  <c r="I175" i="14"/>
  <c r="E175" i="14"/>
  <c r="F175" i="14"/>
  <c r="G175" i="14"/>
  <c r="F222" i="14"/>
  <c r="G222" i="14"/>
  <c r="I222" i="14"/>
  <c r="E222" i="14"/>
  <c r="H222" i="14"/>
  <c r="E138" i="14"/>
  <c r="I138" i="14"/>
  <c r="F138" i="14"/>
  <c r="G138" i="14"/>
  <c r="H138" i="14"/>
  <c r="F170" i="14"/>
  <c r="E170" i="14"/>
  <c r="I170" i="14"/>
  <c r="G170" i="14"/>
  <c r="H170" i="14"/>
  <c r="I207" i="14"/>
  <c r="E207" i="14"/>
  <c r="F207" i="14"/>
  <c r="H207" i="14"/>
  <c r="G207" i="14"/>
  <c r="E122" i="14"/>
  <c r="G122" i="14"/>
  <c r="I122" i="14"/>
  <c r="H122" i="14"/>
  <c r="F122" i="14"/>
  <c r="H139" i="14"/>
  <c r="I139" i="14"/>
  <c r="E139" i="14"/>
  <c r="F139" i="14"/>
  <c r="G139" i="14"/>
  <c r="D157" i="17"/>
  <c r="C161" i="11"/>
  <c r="F161" i="11" s="1"/>
  <c r="D164" i="17"/>
  <c r="C168" i="11"/>
  <c r="F168" i="11" s="1"/>
  <c r="D143" i="17"/>
  <c r="C147" i="11"/>
  <c r="F147" i="11" s="1"/>
  <c r="D184" i="17"/>
  <c r="C188" i="11"/>
  <c r="F188" i="11" s="1"/>
  <c r="D105" i="17"/>
  <c r="C109" i="11"/>
  <c r="F109" i="11" s="1"/>
  <c r="D170" i="17"/>
  <c r="C174" i="11"/>
  <c r="F174" i="11" s="1"/>
  <c r="D168" i="17"/>
  <c r="C172" i="11"/>
  <c r="F172" i="11" s="1"/>
  <c r="D178" i="17"/>
  <c r="C182" i="11"/>
  <c r="F182" i="11" s="1"/>
  <c r="D202" i="17"/>
  <c r="C206" i="11"/>
  <c r="F206" i="11" s="1"/>
  <c r="D121" i="17"/>
  <c r="C125" i="11"/>
  <c r="F125" i="11" s="1"/>
  <c r="D131" i="17"/>
  <c r="C135" i="11"/>
  <c r="F135" i="11" s="1"/>
  <c r="D153" i="17"/>
  <c r="C157" i="11"/>
  <c r="F157" i="11" s="1"/>
  <c r="D173" i="17"/>
  <c r="C177" i="11"/>
  <c r="F177" i="11" s="1"/>
  <c r="D172" i="17"/>
  <c r="C176" i="11"/>
  <c r="F176" i="11" s="1"/>
  <c r="D171" i="17"/>
  <c r="C175" i="11"/>
  <c r="F175" i="11" s="1"/>
  <c r="D160" i="17"/>
  <c r="C164" i="11"/>
  <c r="F164" i="11" s="1"/>
  <c r="D200" i="17"/>
  <c r="C204" i="11"/>
  <c r="F204" i="11" s="1"/>
  <c r="D110" i="17"/>
  <c r="C114" i="11"/>
  <c r="F114" i="11" s="1"/>
  <c r="D179" i="17"/>
  <c r="C183" i="11"/>
  <c r="F183" i="11" s="1"/>
  <c r="D156" i="17"/>
  <c r="C160" i="11"/>
  <c r="F160" i="11" s="1"/>
  <c r="D187" i="17"/>
  <c r="C191" i="11"/>
  <c r="F191" i="11" s="1"/>
  <c r="D138" i="17"/>
  <c r="C142" i="11"/>
  <c r="F142" i="11" s="1"/>
  <c r="D116" i="17"/>
  <c r="C120" i="11"/>
  <c r="F120" i="11" s="1"/>
  <c r="D193" i="17"/>
  <c r="C197" i="11"/>
  <c r="F197" i="11" s="1"/>
  <c r="D124" i="17"/>
  <c r="C128" i="11"/>
  <c r="F128" i="11" s="1"/>
  <c r="D145" i="17"/>
  <c r="C149" i="11"/>
  <c r="F149" i="11" s="1"/>
  <c r="D159" i="17"/>
  <c r="C163" i="11"/>
  <c r="F163" i="11" s="1"/>
  <c r="D113" i="17"/>
  <c r="C117" i="11"/>
  <c r="F117" i="11" s="1"/>
  <c r="D135" i="17"/>
  <c r="C139" i="11"/>
  <c r="F139" i="11" s="1"/>
  <c r="D142" i="17"/>
  <c r="C146" i="11"/>
  <c r="F146" i="11" s="1"/>
  <c r="D149" i="17"/>
  <c r="C153" i="11"/>
  <c r="F153" i="11" s="1"/>
  <c r="D174" i="17"/>
  <c r="C178" i="11"/>
  <c r="F178" i="11" s="1"/>
  <c r="D192" i="17"/>
  <c r="C196" i="11"/>
  <c r="F196" i="11" s="1"/>
  <c r="D126" i="17"/>
  <c r="C130" i="11"/>
  <c r="F130" i="11" s="1"/>
  <c r="D128" i="17"/>
  <c r="C132" i="11"/>
  <c r="F132" i="11" s="1"/>
  <c r="D154" i="17"/>
  <c r="C158" i="11"/>
  <c r="F158" i="11" s="1"/>
  <c r="D115" i="17"/>
  <c r="C119" i="11"/>
  <c r="F119" i="11" s="1"/>
  <c r="D162" i="17"/>
  <c r="C166" i="11"/>
  <c r="F166" i="11" s="1"/>
  <c r="D106" i="17"/>
  <c r="C110" i="11"/>
  <c r="F110" i="11" s="1"/>
  <c r="D150" i="17"/>
  <c r="C154" i="11"/>
  <c r="F154" i="11" s="1"/>
  <c r="D132" i="17"/>
  <c r="C136" i="11"/>
  <c r="F136" i="11" s="1"/>
  <c r="D109" i="17"/>
  <c r="C113" i="11"/>
  <c r="F113" i="11" s="1"/>
  <c r="D158" i="17"/>
  <c r="C162" i="11"/>
  <c r="F162" i="11" s="1"/>
  <c r="D165" i="17"/>
  <c r="C169" i="11"/>
  <c r="F169" i="11" s="1"/>
  <c r="D127" i="17"/>
  <c r="C131" i="11"/>
  <c r="F131" i="11" s="1"/>
  <c r="D111" i="17"/>
  <c r="C115" i="11"/>
  <c r="F115" i="11" s="1"/>
  <c r="D147" i="17"/>
  <c r="C151" i="11"/>
  <c r="F151" i="11" s="1"/>
  <c r="D177" i="17"/>
  <c r="C181" i="11"/>
  <c r="F181" i="11" s="1"/>
  <c r="D148" i="17"/>
  <c r="C152" i="11"/>
  <c r="F152" i="11" s="1"/>
  <c r="D104" i="17"/>
  <c r="C108" i="11"/>
  <c r="F108" i="11" s="1"/>
  <c r="D152" i="17"/>
  <c r="C156" i="11"/>
  <c r="F156" i="11" s="1"/>
  <c r="D136" i="17"/>
  <c r="C140" i="11"/>
  <c r="F140" i="11" s="1"/>
  <c r="D199" i="17"/>
  <c r="C203" i="11"/>
  <c r="F203" i="11" s="1"/>
  <c r="D188" i="17"/>
  <c r="C192" i="11"/>
  <c r="F192" i="11" s="1"/>
  <c r="D194" i="17"/>
  <c r="C198" i="11"/>
  <c r="F198" i="11" s="1"/>
  <c r="D181" i="17"/>
  <c r="C185" i="11"/>
  <c r="F185" i="11" s="1"/>
  <c r="D161" i="17"/>
  <c r="C165" i="11"/>
  <c r="F165" i="11" s="1"/>
  <c r="D146" i="17"/>
  <c r="C150" i="11"/>
  <c r="F150" i="11" s="1"/>
  <c r="F147" i="3"/>
  <c r="M147" i="3"/>
  <c r="G147" i="3"/>
  <c r="O155" i="14" s="1"/>
  <c r="L147" i="3"/>
  <c r="J147" i="3"/>
  <c r="K147" i="3"/>
  <c r="P155" i="14" s="1"/>
  <c r="F143" i="3"/>
  <c r="G143" i="3"/>
  <c r="O151" i="14" s="1"/>
  <c r="L143" i="3"/>
  <c r="J143" i="3"/>
  <c r="M143" i="3"/>
  <c r="K143" i="3"/>
  <c r="P151" i="14" s="1"/>
  <c r="F177" i="3"/>
  <c r="K177" i="3"/>
  <c r="P185" i="14" s="1"/>
  <c r="L177" i="3"/>
  <c r="M177" i="3"/>
  <c r="G177" i="3"/>
  <c r="O185" i="14" s="1"/>
  <c r="J177" i="3"/>
  <c r="F159" i="3"/>
  <c r="K159" i="3"/>
  <c r="P167" i="14" s="1"/>
  <c r="J159" i="3"/>
  <c r="L159" i="3"/>
  <c r="G159" i="3"/>
  <c r="O167" i="14" s="1"/>
  <c r="M159" i="3"/>
  <c r="F200" i="3"/>
  <c r="G200" i="3"/>
  <c r="O208" i="14" s="1"/>
  <c r="J200" i="3"/>
  <c r="K200" i="3"/>
  <c r="P208" i="14" s="1"/>
  <c r="M200" i="3"/>
  <c r="L200" i="3"/>
  <c r="F168" i="3"/>
  <c r="J168" i="3"/>
  <c r="M168" i="3"/>
  <c r="G168" i="3"/>
  <c r="O176" i="14" s="1"/>
  <c r="L168" i="3"/>
  <c r="K168" i="3"/>
  <c r="P176" i="14" s="1"/>
  <c r="F157" i="3"/>
  <c r="K157" i="3"/>
  <c r="P165" i="14" s="1"/>
  <c r="M157" i="3"/>
  <c r="J157" i="3"/>
  <c r="L157" i="3"/>
  <c r="G157" i="3"/>
  <c r="O165" i="14" s="1"/>
  <c r="F140" i="3"/>
  <c r="J140" i="3"/>
  <c r="M140" i="3"/>
  <c r="L140" i="3"/>
  <c r="G140" i="3"/>
  <c r="O148" i="14" s="1"/>
  <c r="K140" i="3"/>
  <c r="P148" i="14" s="1"/>
  <c r="F131" i="3"/>
  <c r="K131" i="3"/>
  <c r="P139" i="14" s="1"/>
  <c r="M131" i="3"/>
  <c r="L131" i="3"/>
  <c r="G131" i="3"/>
  <c r="O139" i="14" s="1"/>
  <c r="J131" i="3"/>
  <c r="F114" i="3"/>
  <c r="K114" i="3"/>
  <c r="P122" i="14" s="1"/>
  <c r="J114" i="3"/>
  <c r="M114" i="3"/>
  <c r="L114" i="3"/>
  <c r="G114" i="3"/>
  <c r="O122" i="14" s="1"/>
  <c r="F204" i="3"/>
  <c r="M204" i="3"/>
  <c r="G204" i="3"/>
  <c r="O212" i="14" s="1"/>
  <c r="L204" i="3"/>
  <c r="K204" i="3"/>
  <c r="P212" i="14" s="1"/>
  <c r="J204" i="3"/>
  <c r="F198" i="3"/>
  <c r="K198" i="3"/>
  <c r="P206" i="14" s="1"/>
  <c r="G198" i="3"/>
  <c r="O206" i="14" s="1"/>
  <c r="J198" i="3"/>
  <c r="M198" i="3"/>
  <c r="L198" i="3"/>
  <c r="F176" i="3"/>
  <c r="G176" i="3"/>
  <c r="O184" i="14" s="1"/>
  <c r="M176" i="3"/>
  <c r="L176" i="3"/>
  <c r="J176" i="3"/>
  <c r="K176" i="3"/>
  <c r="P184" i="14" s="1"/>
  <c r="F183" i="3"/>
  <c r="G183" i="3"/>
  <c r="O191" i="14" s="1"/>
  <c r="L183" i="3"/>
  <c r="K183" i="3"/>
  <c r="P191" i="14" s="1"/>
  <c r="M183" i="3"/>
  <c r="J183" i="3"/>
  <c r="F156" i="3"/>
  <c r="J156" i="3"/>
  <c r="L156" i="3"/>
  <c r="K156" i="3"/>
  <c r="P164" i="14" s="1"/>
  <c r="M156" i="3"/>
  <c r="G156" i="3"/>
  <c r="O164" i="14" s="1"/>
  <c r="F170" i="3"/>
  <c r="K170" i="3"/>
  <c r="P178" i="14" s="1"/>
  <c r="M170" i="3"/>
  <c r="G170" i="3"/>
  <c r="O178" i="14" s="1"/>
  <c r="L170" i="3"/>
  <c r="J170" i="3"/>
  <c r="F150" i="3"/>
  <c r="K150" i="3"/>
  <c r="P158" i="14" s="1"/>
  <c r="M150" i="3"/>
  <c r="G150" i="3"/>
  <c r="O158" i="14" s="1"/>
  <c r="L150" i="3"/>
  <c r="J150" i="3"/>
  <c r="F178" i="3"/>
  <c r="K178" i="3"/>
  <c r="P186" i="14" s="1"/>
  <c r="L178" i="3"/>
  <c r="M178" i="3"/>
  <c r="G178" i="3"/>
  <c r="O186" i="14" s="1"/>
  <c r="J178" i="3"/>
  <c r="F138" i="3"/>
  <c r="K138" i="3"/>
  <c r="P146" i="14" s="1"/>
  <c r="J138" i="3"/>
  <c r="M138" i="3"/>
  <c r="G138" i="3"/>
  <c r="O146" i="14" s="1"/>
  <c r="L138" i="3"/>
  <c r="F124" i="3"/>
  <c r="M124" i="3"/>
  <c r="G124" i="3"/>
  <c r="O132" i="14" s="1"/>
  <c r="L124" i="3"/>
  <c r="K124" i="3"/>
  <c r="P132" i="14" s="1"/>
  <c r="J124" i="3"/>
  <c r="F189" i="3"/>
  <c r="J189" i="3"/>
  <c r="M189" i="3"/>
  <c r="L189" i="3"/>
  <c r="K189" i="3"/>
  <c r="P197" i="14" s="1"/>
  <c r="G189" i="3"/>
  <c r="O197" i="14" s="1"/>
  <c r="F195" i="3"/>
  <c r="K195" i="3"/>
  <c r="P203" i="14" s="1"/>
  <c r="J195" i="3"/>
  <c r="M195" i="3"/>
  <c r="L195" i="3"/>
  <c r="G195" i="3"/>
  <c r="O203" i="14" s="1"/>
  <c r="F134" i="3"/>
  <c r="K134" i="3"/>
  <c r="P142" i="14" s="1"/>
  <c r="M134" i="3"/>
  <c r="L134" i="3"/>
  <c r="G134" i="3"/>
  <c r="O142" i="14" s="1"/>
  <c r="J134" i="3"/>
  <c r="F128" i="3"/>
  <c r="M128" i="3"/>
  <c r="G128" i="3"/>
  <c r="O136" i="14" s="1"/>
  <c r="L128" i="3"/>
  <c r="J128" i="3"/>
  <c r="K128" i="3"/>
  <c r="P136" i="14" s="1"/>
  <c r="F10" i="3"/>
  <c r="K10" i="3"/>
  <c r="P18" i="14" s="1"/>
  <c r="J10" i="3"/>
  <c r="M10" i="3"/>
  <c r="G10" i="3"/>
  <c r="O18" i="14" s="1"/>
  <c r="L10" i="3"/>
  <c r="F174" i="3"/>
  <c r="K174" i="3"/>
  <c r="P182" i="14" s="1"/>
  <c r="M174" i="3"/>
  <c r="G174" i="3"/>
  <c r="O182" i="14" s="1"/>
  <c r="L174" i="3"/>
  <c r="J174" i="3"/>
  <c r="F165" i="3"/>
  <c r="M165" i="3"/>
  <c r="G165" i="3"/>
  <c r="O173" i="14" s="1"/>
  <c r="J165" i="3"/>
  <c r="L165" i="3"/>
  <c r="K165" i="3"/>
  <c r="P173" i="14" s="1"/>
  <c r="F123" i="3"/>
  <c r="G123" i="3"/>
  <c r="O131" i="14" s="1"/>
  <c r="L123" i="3"/>
  <c r="J123" i="3"/>
  <c r="K123" i="3"/>
  <c r="P131" i="14" s="1"/>
  <c r="M123" i="3"/>
  <c r="F127" i="3"/>
  <c r="G127" i="3"/>
  <c r="O135" i="14" s="1"/>
  <c r="M127" i="3"/>
  <c r="L127" i="3"/>
  <c r="J127" i="3"/>
  <c r="K127" i="3"/>
  <c r="P135" i="14" s="1"/>
  <c r="F187" i="3"/>
  <c r="J187" i="3"/>
  <c r="G187" i="3"/>
  <c r="O195" i="14" s="1"/>
  <c r="M187" i="3"/>
  <c r="L187" i="3"/>
  <c r="K187" i="3"/>
  <c r="P195" i="14" s="1"/>
  <c r="F191" i="3"/>
  <c r="K191" i="3"/>
  <c r="P199" i="14" s="1"/>
  <c r="J191" i="3"/>
  <c r="M191" i="3"/>
  <c r="G191" i="3"/>
  <c r="O199" i="14" s="1"/>
  <c r="L191" i="3"/>
  <c r="F130" i="3"/>
  <c r="K130" i="3"/>
  <c r="P138" i="14" s="1"/>
  <c r="M130" i="3"/>
  <c r="G130" i="3"/>
  <c r="O138" i="14" s="1"/>
  <c r="L130" i="3"/>
  <c r="J130" i="3"/>
  <c r="F145" i="3"/>
  <c r="J145" i="3"/>
  <c r="M145" i="3"/>
  <c r="G145" i="3"/>
  <c r="O153" i="14" s="1"/>
  <c r="L145" i="3"/>
  <c r="K145" i="3"/>
  <c r="P153" i="14" s="1"/>
  <c r="F167" i="3"/>
  <c r="G167" i="3"/>
  <c r="O175" i="14" s="1"/>
  <c r="M167" i="3"/>
  <c r="J167" i="3"/>
  <c r="L167" i="3"/>
  <c r="K167" i="3"/>
  <c r="P175" i="14" s="1"/>
  <c r="F180" i="3"/>
  <c r="M180" i="3"/>
  <c r="L180" i="3"/>
  <c r="G180" i="3"/>
  <c r="O188" i="14" s="1"/>
  <c r="K180" i="3"/>
  <c r="P188" i="14" s="1"/>
  <c r="J180" i="3"/>
  <c r="F207" i="3"/>
  <c r="G207" i="3"/>
  <c r="O215" i="14" s="1"/>
  <c r="M207" i="3"/>
  <c r="L207" i="3"/>
  <c r="J207" i="3"/>
  <c r="K207" i="3"/>
  <c r="P215" i="14" s="1"/>
  <c r="F201" i="3"/>
  <c r="J201" i="3"/>
  <c r="G201" i="3"/>
  <c r="O209" i="14" s="1"/>
  <c r="K201" i="3"/>
  <c r="P209" i="14" s="1"/>
  <c r="M201" i="3"/>
  <c r="L201" i="3"/>
  <c r="F142" i="3"/>
  <c r="L142" i="3"/>
  <c r="J142" i="3"/>
  <c r="M142" i="3"/>
  <c r="G142" i="3"/>
  <c r="O150" i="14" s="1"/>
  <c r="K142" i="3"/>
  <c r="P150" i="14" s="1"/>
  <c r="F171" i="3"/>
  <c r="K171" i="3"/>
  <c r="P179" i="14" s="1"/>
  <c r="M171" i="3"/>
  <c r="J171" i="3"/>
  <c r="G171" i="3"/>
  <c r="O179" i="14" s="1"/>
  <c r="L171" i="3"/>
  <c r="F208" i="3"/>
  <c r="J208" i="3"/>
  <c r="M208" i="3"/>
  <c r="G208" i="3"/>
  <c r="O216" i="14" s="1"/>
  <c r="L208" i="3"/>
  <c r="K208" i="3"/>
  <c r="P216" i="14" s="1"/>
  <c r="F163" i="3"/>
  <c r="G163" i="3"/>
  <c r="O171" i="14" s="1"/>
  <c r="L163" i="3"/>
  <c r="J163" i="3"/>
  <c r="K163" i="3"/>
  <c r="P171" i="14" s="1"/>
  <c r="M163" i="3"/>
  <c r="F166" i="3"/>
  <c r="M166" i="3"/>
  <c r="G166" i="3"/>
  <c r="O174" i="14" s="1"/>
  <c r="L166" i="3"/>
  <c r="K166" i="3"/>
  <c r="P174" i="14" s="1"/>
  <c r="J166" i="3"/>
  <c r="F115" i="3"/>
  <c r="K115" i="3"/>
  <c r="P123" i="14" s="1"/>
  <c r="J115" i="3"/>
  <c r="M115" i="3"/>
  <c r="L115" i="3"/>
  <c r="G115" i="3"/>
  <c r="O123" i="14" s="1"/>
  <c r="F192" i="3"/>
  <c r="K192" i="3"/>
  <c r="P200" i="14" s="1"/>
  <c r="M192" i="3"/>
  <c r="G192" i="3"/>
  <c r="O200" i="14" s="1"/>
  <c r="L192" i="3"/>
  <c r="J192" i="3"/>
  <c r="F153" i="3"/>
  <c r="K153" i="3"/>
  <c r="P161" i="14" s="1"/>
  <c r="M153" i="3"/>
  <c r="L153" i="3"/>
  <c r="G153" i="3"/>
  <c r="O161" i="14" s="1"/>
  <c r="J153" i="3"/>
  <c r="F132" i="3"/>
  <c r="K132" i="3"/>
  <c r="P140" i="14" s="1"/>
  <c r="G132" i="3"/>
  <c r="O140" i="14" s="1"/>
  <c r="M132" i="3"/>
  <c r="L132" i="3"/>
  <c r="J132" i="3"/>
  <c r="F136" i="3"/>
  <c r="M136" i="3"/>
  <c r="G136" i="3"/>
  <c r="O144" i="14" s="1"/>
  <c r="L136" i="3"/>
  <c r="J136" i="3"/>
  <c r="K136" i="3"/>
  <c r="P144" i="14" s="1"/>
  <c r="F209" i="3"/>
  <c r="J209" i="3"/>
  <c r="M209" i="3"/>
  <c r="L209" i="3"/>
  <c r="G209" i="3"/>
  <c r="O217" i="14" s="1"/>
  <c r="K209" i="3"/>
  <c r="P217" i="14" s="1"/>
  <c r="F193" i="3"/>
  <c r="K193" i="3"/>
  <c r="P201" i="14" s="1"/>
  <c r="J193" i="3"/>
  <c r="M193" i="3"/>
  <c r="F126" i="3"/>
  <c r="L126" i="3"/>
  <c r="M126" i="3"/>
  <c r="G126" i="3"/>
  <c r="O134" i="14" s="1"/>
  <c r="K126" i="3"/>
  <c r="P134" i="14" s="1"/>
  <c r="J126" i="3"/>
  <c r="F113" i="3"/>
  <c r="K113" i="3"/>
  <c r="P121" i="14" s="1"/>
  <c r="M113" i="3"/>
  <c r="J113" i="3"/>
  <c r="L113" i="3"/>
  <c r="G113" i="3"/>
  <c r="O121" i="14" s="1"/>
  <c r="F151" i="3"/>
  <c r="K151" i="3"/>
  <c r="P159" i="14" s="1"/>
  <c r="M151" i="3"/>
  <c r="G151" i="3"/>
  <c r="O159" i="14" s="1"/>
  <c r="L151" i="3"/>
  <c r="J151" i="3"/>
  <c r="F194" i="3"/>
  <c r="K194" i="3"/>
  <c r="P202" i="14" s="1"/>
  <c r="J194" i="3"/>
  <c r="L194" i="3"/>
  <c r="M194" i="3"/>
  <c r="G194" i="3"/>
  <c r="O202" i="14" s="1"/>
  <c r="F162" i="3"/>
  <c r="L162" i="3"/>
  <c r="J162" i="3"/>
  <c r="G162" i="3"/>
  <c r="O170" i="14" s="1"/>
  <c r="K162" i="3"/>
  <c r="P170" i="14" s="1"/>
  <c r="M162" i="3"/>
  <c r="F161" i="3"/>
  <c r="G161" i="3"/>
  <c r="O169" i="14" s="1"/>
  <c r="J161" i="3"/>
  <c r="K161" i="3"/>
  <c r="P169" i="14" s="1"/>
  <c r="L161" i="3"/>
  <c r="M161" i="3"/>
  <c r="F182" i="3"/>
  <c r="L182" i="3"/>
  <c r="K182" i="3"/>
  <c r="P190" i="14" s="1"/>
  <c r="M182" i="3"/>
  <c r="G182" i="3"/>
  <c r="O190" i="14" s="1"/>
  <c r="J182" i="3"/>
  <c r="F181" i="3"/>
  <c r="M181" i="3"/>
  <c r="L181" i="3"/>
  <c r="G181" i="3"/>
  <c r="O189" i="14" s="1"/>
  <c r="K181" i="3"/>
  <c r="P189" i="14" s="1"/>
  <c r="J181" i="3"/>
  <c r="F186" i="3"/>
  <c r="L186" i="3"/>
  <c r="M186" i="3"/>
  <c r="G186" i="3"/>
  <c r="O194" i="14" s="1"/>
  <c r="K186" i="3"/>
  <c r="P194" i="14" s="1"/>
  <c r="J186" i="3"/>
  <c r="F111" i="3"/>
  <c r="K111" i="3"/>
  <c r="P119" i="14" s="1"/>
  <c r="M111" i="3"/>
  <c r="G111" i="3"/>
  <c r="O119" i="14" s="1"/>
  <c r="L111" i="3"/>
  <c r="J111" i="3"/>
  <c r="F205" i="3"/>
  <c r="M205" i="3"/>
  <c r="G205" i="3"/>
  <c r="O213" i="14" s="1"/>
  <c r="L205" i="3"/>
  <c r="K205" i="3"/>
  <c r="P213" i="14" s="1"/>
  <c r="J205" i="3"/>
  <c r="F203" i="3"/>
  <c r="G203" i="3"/>
  <c r="O211" i="14" s="1"/>
  <c r="L203" i="3"/>
  <c r="J203" i="3"/>
  <c r="K203" i="3"/>
  <c r="P211" i="14" s="1"/>
  <c r="M203" i="3"/>
  <c r="F112" i="3"/>
  <c r="K112" i="3"/>
  <c r="P120" i="14" s="1"/>
  <c r="M112" i="3"/>
  <c r="G112" i="3"/>
  <c r="O120" i="14" s="1"/>
  <c r="L112" i="3"/>
  <c r="J112" i="3"/>
  <c r="F139" i="3"/>
  <c r="K139" i="3"/>
  <c r="P147" i="14" s="1"/>
  <c r="L139" i="3"/>
  <c r="M139" i="3"/>
  <c r="G139" i="3"/>
  <c r="O147" i="14" s="1"/>
  <c r="J139" i="3"/>
  <c r="F129" i="3"/>
  <c r="M129" i="3"/>
  <c r="L129" i="3"/>
  <c r="J129" i="3"/>
  <c r="G129" i="3"/>
  <c r="O137" i="14" s="1"/>
  <c r="K129" i="3"/>
  <c r="P137" i="14" s="1"/>
  <c r="F133" i="3"/>
  <c r="K133" i="3"/>
  <c r="P141" i="14" s="1"/>
  <c r="M133" i="3"/>
  <c r="L133" i="3"/>
  <c r="G133" i="3"/>
  <c r="O141" i="14" s="1"/>
  <c r="J133" i="3"/>
  <c r="F202" i="3"/>
  <c r="L202" i="3"/>
  <c r="J202" i="3"/>
  <c r="G202" i="3"/>
  <c r="O210" i="14" s="1"/>
  <c r="K202" i="3"/>
  <c r="P210" i="14" s="1"/>
  <c r="M202" i="3"/>
  <c r="F173" i="3"/>
  <c r="K173" i="3"/>
  <c r="P181" i="14" s="1"/>
  <c r="M173" i="3"/>
  <c r="L173" i="3"/>
  <c r="G173" i="3"/>
  <c r="O181" i="14" s="1"/>
  <c r="J173" i="3"/>
  <c r="F148" i="3"/>
  <c r="M148" i="3"/>
  <c r="G148" i="3"/>
  <c r="O156" i="14" s="1"/>
  <c r="L148" i="3"/>
  <c r="K148" i="3"/>
  <c r="P156" i="14" s="1"/>
  <c r="J148" i="3"/>
  <c r="F160" i="3"/>
  <c r="G160" i="3"/>
  <c r="O168" i="14" s="1"/>
  <c r="J160" i="3"/>
  <c r="K160" i="3"/>
  <c r="P168" i="14" s="1"/>
  <c r="L160" i="3"/>
  <c r="M160" i="3"/>
  <c r="F122" i="3"/>
  <c r="L122" i="3"/>
  <c r="J122" i="3"/>
  <c r="G122" i="3"/>
  <c r="O130" i="14" s="1"/>
  <c r="K122" i="3"/>
  <c r="P130" i="14" s="1"/>
  <c r="M122" i="3"/>
  <c r="F197" i="3"/>
  <c r="K197" i="3"/>
  <c r="P205" i="14" s="1"/>
  <c r="J197" i="3"/>
  <c r="M197" i="3"/>
  <c r="L197" i="3"/>
  <c r="G197" i="3"/>
  <c r="O205" i="14" s="1"/>
  <c r="F118" i="3"/>
  <c r="J118" i="3"/>
  <c r="K118" i="3"/>
  <c r="P126" i="14" s="1"/>
  <c r="M118" i="3"/>
  <c r="L118" i="3"/>
  <c r="G118" i="3"/>
  <c r="O126" i="14" s="1"/>
  <c r="F206" i="3"/>
  <c r="M206" i="3"/>
  <c r="L206" i="3"/>
  <c r="G206" i="3"/>
  <c r="O214" i="14" s="1"/>
  <c r="K206" i="3"/>
  <c r="P214" i="14" s="1"/>
  <c r="J206" i="3"/>
  <c r="F144" i="3"/>
  <c r="M144" i="3"/>
  <c r="G144" i="3"/>
  <c r="O152" i="14" s="1"/>
  <c r="L144" i="3"/>
  <c r="K144" i="3"/>
  <c r="P152" i="14" s="1"/>
  <c r="J144" i="3"/>
  <c r="F158" i="3"/>
  <c r="K158" i="3"/>
  <c r="P166" i="14" s="1"/>
  <c r="M158" i="3"/>
  <c r="J158" i="3"/>
  <c r="L158" i="3"/>
  <c r="G158" i="3"/>
  <c r="O166" i="14" s="1"/>
  <c r="F152" i="3"/>
  <c r="K152" i="3"/>
  <c r="P160" i="14" s="1"/>
  <c r="M152" i="3"/>
  <c r="G152" i="3"/>
  <c r="O160" i="14" s="1"/>
  <c r="L152" i="3"/>
  <c r="J152" i="3"/>
  <c r="F172" i="3"/>
  <c r="K172" i="3"/>
  <c r="P180" i="14" s="1"/>
  <c r="M172" i="3"/>
  <c r="J172" i="3"/>
  <c r="G172" i="3"/>
  <c r="O180" i="14" s="1"/>
  <c r="L172" i="3"/>
  <c r="F135" i="3"/>
  <c r="K135" i="3"/>
  <c r="P143" i="14" s="1"/>
  <c r="M135" i="3"/>
  <c r="G135" i="3"/>
  <c r="O143" i="14" s="1"/>
  <c r="L135" i="3"/>
  <c r="J135" i="3"/>
  <c r="F141" i="3"/>
  <c r="J141" i="3"/>
  <c r="M141" i="3"/>
  <c r="L141" i="3"/>
  <c r="G141" i="3"/>
  <c r="O149" i="14" s="1"/>
  <c r="K141" i="3"/>
  <c r="P149" i="14" s="1"/>
  <c r="F184" i="3"/>
  <c r="M184" i="3"/>
  <c r="G184" i="3"/>
  <c r="O192" i="14" s="1"/>
  <c r="L184" i="3"/>
  <c r="K184" i="3"/>
  <c r="P192" i="14" s="1"/>
  <c r="J184" i="3"/>
  <c r="M214" i="3"/>
  <c r="L214" i="3"/>
  <c r="J214" i="3"/>
  <c r="K214" i="3"/>
  <c r="P222" i="14" s="1"/>
  <c r="F214" i="3"/>
  <c r="G214" i="3"/>
  <c r="O222" i="14" s="1"/>
  <c r="F120" i="3"/>
  <c r="J120" i="3"/>
  <c r="K120" i="3"/>
  <c r="P128" i="14" s="1"/>
  <c r="L120" i="3"/>
  <c r="M120" i="3"/>
  <c r="G120" i="3"/>
  <c r="O128" i="14" s="1"/>
  <c r="F175" i="3"/>
  <c r="K175" i="3"/>
  <c r="P183" i="14" s="1"/>
  <c r="M175" i="3"/>
  <c r="L175" i="3"/>
  <c r="G175" i="3"/>
  <c r="O183" i="14" s="1"/>
  <c r="J175" i="3"/>
  <c r="F137" i="3"/>
  <c r="K137" i="3"/>
  <c r="P145" i="14" s="1"/>
  <c r="L137" i="3"/>
  <c r="G137" i="3"/>
  <c r="O145" i="14" s="1"/>
  <c r="M137" i="3"/>
  <c r="J137" i="3"/>
  <c r="F155" i="3"/>
  <c r="K155" i="3"/>
  <c r="P163" i="14" s="1"/>
  <c r="J155" i="3"/>
  <c r="M155" i="3"/>
  <c r="L155" i="3"/>
  <c r="G155" i="3"/>
  <c r="O163" i="14" s="1"/>
  <c r="F146" i="3"/>
  <c r="M146" i="3"/>
  <c r="L146" i="3"/>
  <c r="G146" i="3"/>
  <c r="O154" i="14" s="1"/>
  <c r="K146" i="3"/>
  <c r="P154" i="14" s="1"/>
  <c r="J146" i="3"/>
  <c r="F116" i="3"/>
  <c r="M116" i="3"/>
  <c r="L116" i="3"/>
  <c r="G116" i="3"/>
  <c r="O124" i="14" s="1"/>
  <c r="J116" i="3"/>
  <c r="K116" i="3"/>
  <c r="P124" i="14" s="1"/>
  <c r="F188" i="3"/>
  <c r="J188" i="3"/>
  <c r="M188" i="3"/>
  <c r="G188" i="3"/>
  <c r="O196" i="14" s="1"/>
  <c r="L188" i="3"/>
  <c r="K188" i="3"/>
  <c r="P196" i="14" s="1"/>
  <c r="F169" i="3"/>
  <c r="M169" i="3"/>
  <c r="J169" i="3"/>
  <c r="L169" i="3"/>
  <c r="G169" i="3"/>
  <c r="O177" i="14" s="1"/>
  <c r="K169" i="3"/>
  <c r="P177" i="14" s="1"/>
  <c r="F199" i="3"/>
  <c r="K199" i="3"/>
  <c r="P207" i="14" s="1"/>
  <c r="G199" i="3"/>
  <c r="O207" i="14" s="1"/>
  <c r="J199" i="3"/>
  <c r="M199" i="3"/>
  <c r="L199" i="3"/>
  <c r="F121" i="3"/>
  <c r="J121" i="3"/>
  <c r="K121" i="3"/>
  <c r="P129" i="14" s="1"/>
  <c r="L121" i="3"/>
  <c r="M121" i="3"/>
  <c r="G121" i="3"/>
  <c r="O129" i="14" s="1"/>
  <c r="K212" i="3"/>
  <c r="P220" i="14" s="1"/>
  <c r="M212" i="3"/>
  <c r="L212" i="3"/>
  <c r="F212" i="3"/>
  <c r="J212" i="3"/>
  <c r="G212" i="3"/>
  <c r="O220" i="14" s="1"/>
  <c r="C191" i="6"/>
  <c r="G191" i="6" s="1"/>
  <c r="K191" i="6" s="1"/>
  <c r="D193" i="5"/>
  <c r="E193" i="5" s="1"/>
  <c r="C117" i="6"/>
  <c r="G117" i="6" s="1"/>
  <c r="K117" i="6" s="1"/>
  <c r="D119" i="5"/>
  <c r="E119" i="5" s="1"/>
  <c r="C142" i="6"/>
  <c r="G142" i="6" s="1"/>
  <c r="K142" i="6" s="1"/>
  <c r="D144" i="5"/>
  <c r="E144" i="5" s="1"/>
  <c r="C119" i="6"/>
  <c r="G119" i="6" s="1"/>
  <c r="K119" i="6" s="1"/>
  <c r="D121" i="5"/>
  <c r="E121" i="5" s="1"/>
  <c r="C172" i="6"/>
  <c r="G172" i="6" s="1"/>
  <c r="K172" i="6" s="1"/>
  <c r="D174" i="5"/>
  <c r="E174" i="5" s="1"/>
  <c r="C163" i="6"/>
  <c r="G163" i="6" s="1"/>
  <c r="K163" i="6" s="1"/>
  <c r="D165" i="5"/>
  <c r="E165" i="5" s="1"/>
  <c r="C204" i="6"/>
  <c r="G204" i="6" s="1"/>
  <c r="K204" i="6" s="1"/>
  <c r="D206" i="5"/>
  <c r="E206" i="5" s="1"/>
  <c r="C154" i="6"/>
  <c r="G154" i="6" s="1"/>
  <c r="K154" i="6" s="1"/>
  <c r="D156" i="5"/>
  <c r="E156" i="5" s="1"/>
  <c r="C206" i="6"/>
  <c r="G206" i="6" s="1"/>
  <c r="K206" i="6" s="1"/>
  <c r="D208" i="5"/>
  <c r="E208" i="5" s="1"/>
  <c r="C183" i="6"/>
  <c r="G183" i="6" s="1"/>
  <c r="K183" i="6" s="1"/>
  <c r="D185" i="5"/>
  <c r="E185" i="5" s="1"/>
  <c r="C175" i="6"/>
  <c r="G175" i="6" s="1"/>
  <c r="K175" i="6" s="1"/>
  <c r="D177" i="5"/>
  <c r="E177" i="5" s="1"/>
  <c r="C188" i="6"/>
  <c r="G188" i="6" s="1"/>
  <c r="K188" i="6" s="1"/>
  <c r="D190" i="5"/>
  <c r="E190" i="5" s="1"/>
  <c r="C181" i="6"/>
  <c r="G181" i="6" s="1"/>
  <c r="K181" i="6" s="1"/>
  <c r="D183" i="5"/>
  <c r="E183" i="5" s="1"/>
  <c r="C132" i="6"/>
  <c r="G132" i="6" s="1"/>
  <c r="K132" i="6" s="1"/>
  <c r="D134" i="5"/>
  <c r="E134" i="5" s="1"/>
  <c r="C153" i="6"/>
  <c r="G153" i="6" s="1"/>
  <c r="K153" i="6" s="1"/>
  <c r="D155" i="5"/>
  <c r="E155" i="5" s="1"/>
  <c r="C114" i="6"/>
  <c r="G114" i="6" s="1"/>
  <c r="K114" i="6" s="1"/>
  <c r="D116" i="5"/>
  <c r="E116" i="5" s="1"/>
  <c r="C130" i="6"/>
  <c r="G130" i="6" s="1"/>
  <c r="K130" i="6" s="1"/>
  <c r="D132" i="5"/>
  <c r="E132" i="5" s="1"/>
  <c r="C162" i="6"/>
  <c r="G162" i="6" s="1"/>
  <c r="K162" i="6" s="1"/>
  <c r="D164" i="5"/>
  <c r="E164" i="5" s="1"/>
  <c r="C185" i="6"/>
  <c r="G185" i="6" s="1"/>
  <c r="K185" i="6" s="1"/>
  <c r="D187" i="5"/>
  <c r="E187" i="5" s="1"/>
  <c r="C176" i="6"/>
  <c r="G176" i="6" s="1"/>
  <c r="K176" i="6" s="1"/>
  <c r="D178" i="5"/>
  <c r="E178" i="5" s="1"/>
  <c r="C168" i="6"/>
  <c r="G168" i="6" s="1"/>
  <c r="K168" i="6" s="1"/>
  <c r="D170" i="5"/>
  <c r="E170" i="5" s="1"/>
  <c r="C156" i="6"/>
  <c r="G156" i="6" s="1"/>
  <c r="K156" i="6" s="1"/>
  <c r="D158" i="5"/>
  <c r="E158" i="5" s="1"/>
  <c r="C151" i="6"/>
  <c r="G151" i="6" s="1"/>
  <c r="K151" i="6" s="1"/>
  <c r="D153" i="5"/>
  <c r="E153" i="5" s="1"/>
  <c r="C158" i="6"/>
  <c r="G158" i="6" s="1"/>
  <c r="K158" i="6" s="1"/>
  <c r="D160" i="5"/>
  <c r="E160" i="5" s="1"/>
  <c r="C140" i="6"/>
  <c r="G140" i="6" s="1"/>
  <c r="K140" i="6" s="1"/>
  <c r="D142" i="5"/>
  <c r="E142" i="5" s="1"/>
  <c r="C182" i="6"/>
  <c r="G182" i="6" s="1"/>
  <c r="K182" i="6" s="1"/>
  <c r="D184" i="5"/>
  <c r="E184" i="5" s="1"/>
  <c r="C131" i="6"/>
  <c r="G131" i="6" s="1"/>
  <c r="K131" i="6" s="1"/>
  <c r="D133" i="5"/>
  <c r="E133" i="5" s="1"/>
  <c r="C152" i="6"/>
  <c r="G152" i="6" s="1"/>
  <c r="K152" i="6" s="1"/>
  <c r="D154" i="5"/>
  <c r="E154" i="5" s="1"/>
  <c r="C135" i="6"/>
  <c r="G135" i="6" s="1"/>
  <c r="K135" i="6" s="1"/>
  <c r="D137" i="5"/>
  <c r="E137" i="5" s="1"/>
  <c r="C198" i="6"/>
  <c r="G198" i="6" s="1"/>
  <c r="K198" i="6" s="1"/>
  <c r="D200" i="5"/>
  <c r="E200" i="5" s="1"/>
  <c r="C178" i="6"/>
  <c r="G178" i="6" s="1"/>
  <c r="K178" i="6" s="1"/>
  <c r="D180" i="5"/>
  <c r="E180" i="5" s="1"/>
  <c r="C169" i="6"/>
  <c r="G169" i="6" s="1"/>
  <c r="K169" i="6" s="1"/>
  <c r="D171" i="5"/>
  <c r="E171" i="5" s="1"/>
  <c r="C164" i="6"/>
  <c r="G164" i="6" s="1"/>
  <c r="K164" i="6" s="1"/>
  <c r="D166" i="5"/>
  <c r="E166" i="5" s="1"/>
  <c r="C125" i="6"/>
  <c r="G125" i="6" s="1"/>
  <c r="K125" i="6" s="1"/>
  <c r="D127" i="5"/>
  <c r="E127" i="5" s="1"/>
  <c r="C146" i="6"/>
  <c r="G146" i="6" s="1"/>
  <c r="K146" i="6" s="1"/>
  <c r="D148" i="5"/>
  <c r="E148" i="5" s="1"/>
  <c r="C196" i="6"/>
  <c r="G196" i="6" s="1"/>
  <c r="K196" i="6" s="1"/>
  <c r="D198" i="5"/>
  <c r="E198" i="5" s="1"/>
  <c r="C197" i="6"/>
  <c r="G197" i="6" s="1"/>
  <c r="K197" i="6" s="1"/>
  <c r="D199" i="5"/>
  <c r="E199" i="5" s="1"/>
  <c r="C113" i="6"/>
  <c r="G113" i="6" s="1"/>
  <c r="K113" i="6" s="1"/>
  <c r="D115" i="5"/>
  <c r="E115" i="5" s="1"/>
  <c r="C149" i="6"/>
  <c r="G149" i="6" s="1"/>
  <c r="K149" i="6" s="1"/>
  <c r="D151" i="5"/>
  <c r="E151" i="5" s="1"/>
  <c r="C115" i="6"/>
  <c r="G115" i="6" s="1"/>
  <c r="K115" i="6" s="1"/>
  <c r="D117" i="5"/>
  <c r="E117" i="5" s="1"/>
  <c r="C128" i="6"/>
  <c r="G128" i="6" s="1"/>
  <c r="K128" i="6" s="1"/>
  <c r="D130" i="5"/>
  <c r="E130" i="5" s="1"/>
  <c r="C147" i="6"/>
  <c r="G147" i="6" s="1"/>
  <c r="K147" i="6" s="1"/>
  <c r="D149" i="5"/>
  <c r="E149" i="5" s="1"/>
  <c r="C109" i="6"/>
  <c r="G109" i="6" s="1"/>
  <c r="K109" i="6" s="1"/>
  <c r="D111" i="5"/>
  <c r="E111" i="5" s="1"/>
  <c r="C165" i="6"/>
  <c r="G165" i="6" s="1"/>
  <c r="K165" i="6" s="1"/>
  <c r="D167" i="5"/>
  <c r="E167" i="5" s="1"/>
  <c r="C108" i="6"/>
  <c r="G108" i="6" s="1"/>
  <c r="K108" i="6" s="1"/>
  <c r="D110" i="5"/>
  <c r="E110" i="5" s="1"/>
  <c r="C203" i="6"/>
  <c r="G203" i="6" s="1"/>
  <c r="K203" i="6" s="1"/>
  <c r="D205" i="5"/>
  <c r="E205" i="5" s="1"/>
  <c r="C120" i="6"/>
  <c r="G120" i="6" s="1"/>
  <c r="K120" i="6" s="1"/>
  <c r="D122" i="5"/>
  <c r="E122" i="5" s="1"/>
  <c r="C166" i="6"/>
  <c r="G166" i="6" s="1"/>
  <c r="K166" i="6" s="1"/>
  <c r="D168" i="5"/>
  <c r="E168" i="5" s="1"/>
  <c r="C139" i="6"/>
  <c r="G139" i="6" s="1"/>
  <c r="K139" i="6" s="1"/>
  <c r="D141" i="5"/>
  <c r="E141" i="5" s="1"/>
  <c r="C110" i="6"/>
  <c r="G110" i="6" s="1"/>
  <c r="K110" i="6" s="1"/>
  <c r="D112" i="5"/>
  <c r="E112" i="5" s="1"/>
  <c r="C136" i="6"/>
  <c r="G136" i="6" s="1"/>
  <c r="K136" i="6" s="1"/>
  <c r="D138" i="5"/>
  <c r="E138" i="5" s="1"/>
  <c r="C177" i="6"/>
  <c r="G177" i="6" s="1"/>
  <c r="K177" i="6" s="1"/>
  <c r="D179" i="5"/>
  <c r="E179" i="5" s="1"/>
  <c r="C192" i="6"/>
  <c r="G192" i="6" s="1"/>
  <c r="K192" i="6" s="1"/>
  <c r="D194" i="5"/>
  <c r="E194" i="5" s="1"/>
  <c r="C150" i="6"/>
  <c r="G150" i="6" s="1"/>
  <c r="K150" i="6" s="1"/>
  <c r="D152" i="5"/>
  <c r="E152" i="5" s="1"/>
  <c r="C160" i="6"/>
  <c r="G160" i="6" s="1"/>
  <c r="K160" i="6" s="1"/>
  <c r="D162" i="5"/>
  <c r="E162" i="5" s="1"/>
  <c r="C161" i="6"/>
  <c r="G161" i="6" s="1"/>
  <c r="K161" i="6" s="1"/>
  <c r="D163" i="5"/>
  <c r="E163" i="5" s="1"/>
  <c r="C174" i="6"/>
  <c r="G174" i="6" s="1"/>
  <c r="K174" i="6" s="1"/>
  <c r="D176" i="5"/>
  <c r="E176" i="5" s="1"/>
  <c r="C157" i="6"/>
  <c r="G157" i="6" s="1"/>
  <c r="K157" i="6" s="1"/>
  <c r="D159" i="5"/>
  <c r="E159" i="5" s="1"/>
  <c r="H18" i="14"/>
  <c r="Q113" i="4"/>
  <c r="R192" i="4"/>
  <c r="S192" i="4" s="1"/>
  <c r="T192" i="4" s="1"/>
  <c r="Q179" i="4"/>
  <c r="G18" i="14"/>
  <c r="I18" i="14"/>
  <c r="F18" i="14"/>
  <c r="R125" i="4"/>
  <c r="S125" i="4" s="1"/>
  <c r="T125" i="4" s="1"/>
  <c r="Q111" i="4"/>
  <c r="Q162" i="4"/>
  <c r="Q116" i="4"/>
  <c r="R115" i="4"/>
  <c r="S115" i="4" s="1"/>
  <c r="T115" i="4" s="1"/>
  <c r="R205" i="4"/>
  <c r="S205" i="4" s="1"/>
  <c r="T205" i="4" s="1"/>
  <c r="Q123" i="4"/>
  <c r="Q171" i="4"/>
  <c r="Q112" i="4"/>
  <c r="Q167" i="4"/>
  <c r="Q117" i="4"/>
  <c r="Q155" i="4"/>
  <c r="R173" i="4"/>
  <c r="S173" i="4" s="1"/>
  <c r="T173" i="4" s="1"/>
  <c r="R114" i="4"/>
  <c r="S114" i="4" s="1"/>
  <c r="T114" i="4" s="1"/>
  <c r="Q181" i="4"/>
  <c r="Q166" i="4"/>
  <c r="Q157" i="4"/>
  <c r="R183" i="4"/>
  <c r="S183" i="4" s="1"/>
  <c r="T183" i="4" s="1"/>
  <c r="S162" i="4"/>
  <c r="T162" i="4" s="1"/>
  <c r="Q133" i="4"/>
  <c r="Q198" i="13"/>
  <c r="O198" i="13"/>
  <c r="Q201" i="13"/>
  <c r="O201" i="13"/>
  <c r="Q200" i="13"/>
  <c r="O200" i="13"/>
  <c r="Q203" i="13"/>
  <c r="O203" i="13"/>
  <c r="O205" i="13"/>
  <c r="Q205" i="13"/>
  <c r="Q197" i="13"/>
  <c r="O197" i="13"/>
  <c r="Q202" i="13"/>
  <c r="O202" i="13"/>
  <c r="Q204" i="13"/>
  <c r="O204" i="13"/>
  <c r="Q199" i="13"/>
  <c r="O199" i="13"/>
  <c r="Q176" i="4"/>
  <c r="Q131" i="4"/>
  <c r="Q185" i="4"/>
  <c r="Q207" i="4"/>
  <c r="Q122" i="4"/>
  <c r="R137" i="4"/>
  <c r="S137" i="4" s="1"/>
  <c r="T137" i="4" s="1"/>
  <c r="S176" i="4"/>
  <c r="T176" i="4" s="1"/>
  <c r="Q150" i="4"/>
  <c r="Q134" i="4"/>
  <c r="Q145" i="4"/>
  <c r="Q165" i="4"/>
  <c r="Q206" i="4"/>
  <c r="R121" i="4"/>
  <c r="S121" i="4" s="1"/>
  <c r="T121" i="4" s="1"/>
  <c r="R158" i="4"/>
  <c r="S158" i="4" s="1"/>
  <c r="T158" i="4" s="1"/>
  <c r="Q194" i="4"/>
  <c r="R198" i="4"/>
  <c r="S198" i="4" s="1"/>
  <c r="T198" i="4" s="1"/>
  <c r="Q143" i="4"/>
  <c r="Q169" i="4"/>
  <c r="Q152" i="4"/>
  <c r="Q164" i="4"/>
  <c r="Q118" i="4"/>
  <c r="R136" i="4"/>
  <c r="S136" i="4" s="1"/>
  <c r="T136" i="4" s="1"/>
  <c r="R146" i="4"/>
  <c r="S146" i="4" s="1"/>
  <c r="T146" i="4" s="1"/>
  <c r="Q163" i="4"/>
  <c r="R190" i="4"/>
  <c r="S190" i="4" s="1"/>
  <c r="T190" i="4" s="1"/>
  <c r="Q129" i="4"/>
  <c r="Q160" i="4"/>
  <c r="Q200" i="4"/>
  <c r="Q197" i="4"/>
  <c r="R196" i="4"/>
  <c r="S196" i="4" s="1"/>
  <c r="T196" i="4" s="1"/>
  <c r="R141" i="4"/>
  <c r="S141" i="4" s="1"/>
  <c r="T141" i="4" s="1"/>
  <c r="Q195" i="4"/>
  <c r="R147" i="4"/>
  <c r="S147" i="4" s="1"/>
  <c r="T147" i="4" s="1"/>
  <c r="R197" i="4"/>
  <c r="S197" i="4" s="1"/>
  <c r="T197" i="4" s="1"/>
  <c r="S129" i="4"/>
  <c r="T129" i="4" s="1"/>
  <c r="Q193" i="4"/>
  <c r="R193" i="4"/>
  <c r="S193" i="4" s="1"/>
  <c r="T193" i="4" s="1"/>
  <c r="Q154" i="4"/>
  <c r="Q153" i="4"/>
  <c r="R203" i="4"/>
  <c r="S203" i="4" s="1"/>
  <c r="T203" i="4" s="1"/>
  <c r="Q177" i="4"/>
  <c r="S130" i="4"/>
  <c r="T130" i="4" s="1"/>
  <c r="Q130" i="4"/>
  <c r="Q156" i="4"/>
  <c r="Q138" i="4"/>
  <c r="Q180" i="4"/>
  <c r="Q168" i="4"/>
  <c r="R204" i="4"/>
  <c r="S204" i="4" s="1"/>
  <c r="T204" i="4" s="1"/>
  <c r="R126" i="4"/>
  <c r="S126" i="4" s="1"/>
  <c r="T126" i="4" s="1"/>
  <c r="Q209" i="4"/>
  <c r="Q142" i="4"/>
  <c r="Q128" i="4"/>
  <c r="S119" i="4"/>
  <c r="T119" i="4" s="1"/>
  <c r="Q119" i="4"/>
  <c r="S148" i="4"/>
  <c r="T148" i="4" s="1"/>
  <c r="S132" i="4"/>
  <c r="T132" i="4" s="1"/>
  <c r="Q148" i="4"/>
  <c r="Q132" i="4"/>
  <c r="S151" i="4"/>
  <c r="T151" i="4" s="1"/>
  <c r="Q170" i="4"/>
  <c r="S144" i="4"/>
  <c r="T144" i="4" s="1"/>
  <c r="Q135" i="4"/>
  <c r="Q149" i="4"/>
  <c r="S124" i="4"/>
  <c r="T124" i="4" s="1"/>
  <c r="Q151" i="4"/>
  <c r="S170" i="4"/>
  <c r="T170" i="4" s="1"/>
  <c r="Q144" i="4"/>
  <c r="Q182" i="4"/>
  <c r="Q201" i="4"/>
  <c r="Q124" i="4"/>
  <c r="Q172" i="4"/>
  <c r="Q139" i="4"/>
  <c r="S182" i="4"/>
  <c r="T182" i="4" s="1"/>
  <c r="Q186" i="4"/>
  <c r="Q191" i="4"/>
  <c r="Q120" i="4"/>
  <c r="S189" i="4"/>
  <c r="T189" i="4" s="1"/>
  <c r="Q175" i="4"/>
  <c r="Q178" i="4"/>
  <c r="S202" i="4"/>
  <c r="T202" i="4" s="1"/>
  <c r="Q189" i="4"/>
  <c r="Q184" i="4"/>
  <c r="Q174" i="4"/>
  <c r="Q127" i="4"/>
  <c r="Q159" i="4"/>
  <c r="Q161" i="4"/>
  <c r="Q202" i="4"/>
  <c r="S140" i="4"/>
  <c r="T140" i="4" s="1"/>
  <c r="S174" i="4"/>
  <c r="T174" i="4" s="1"/>
  <c r="Q199" i="4"/>
  <c r="S127" i="4"/>
  <c r="T127" i="4" s="1"/>
  <c r="Q187" i="4"/>
  <c r="Q140" i="4"/>
  <c r="Q188" i="4"/>
  <c r="S187" i="4"/>
  <c r="T187" i="4" s="1"/>
  <c r="T9" i="4"/>
  <c r="B9" i="3"/>
  <c r="F9" i="3" s="1"/>
  <c r="B6" i="11"/>
  <c r="B8" i="5"/>
  <c r="B5" i="2"/>
  <c r="D6" i="6"/>
  <c r="B17" i="14"/>
  <c r="D17" i="14" s="1"/>
  <c r="L193" i="3" l="1"/>
  <c r="J149" i="3"/>
  <c r="L149" i="3"/>
  <c r="G149" i="3"/>
  <c r="O157" i="14" s="1"/>
  <c r="K149" i="3"/>
  <c r="P157" i="14" s="1"/>
  <c r="M149" i="3"/>
  <c r="G117" i="3"/>
  <c r="O125" i="14" s="1"/>
  <c r="J179" i="3"/>
  <c r="F190" i="3"/>
  <c r="J117" i="3"/>
  <c r="G179" i="3"/>
  <c r="O187" i="14" s="1"/>
  <c r="K187" i="14" s="1"/>
  <c r="L179" i="3"/>
  <c r="F117" i="3"/>
  <c r="F179" i="3"/>
  <c r="L164" i="3"/>
  <c r="M164" i="3"/>
  <c r="F125" i="3"/>
  <c r="G190" i="3"/>
  <c r="O198" i="14" s="1"/>
  <c r="K198" i="14" s="1"/>
  <c r="M190" i="3"/>
  <c r="L117" i="3"/>
  <c r="N117" i="3" s="1"/>
  <c r="I110" i="17" s="1"/>
  <c r="J196" i="3"/>
  <c r="K117" i="3"/>
  <c r="P125" i="14" s="1"/>
  <c r="M179" i="3"/>
  <c r="L125" i="3"/>
  <c r="G125" i="3"/>
  <c r="O133" i="14" s="1"/>
  <c r="K133" i="14" s="1"/>
  <c r="M125" i="3"/>
  <c r="L190" i="3"/>
  <c r="J190" i="3"/>
  <c r="F196" i="3"/>
  <c r="J125" i="3"/>
  <c r="G164" i="3"/>
  <c r="O172" i="14" s="1"/>
  <c r="K172" i="14" s="1"/>
  <c r="J164" i="3"/>
  <c r="F164" i="3"/>
  <c r="M185" i="3"/>
  <c r="F185" i="3"/>
  <c r="M119" i="3"/>
  <c r="N119" i="3" s="1"/>
  <c r="I112" i="17" s="1"/>
  <c r="K185" i="3"/>
  <c r="P193" i="14" s="1"/>
  <c r="K193" i="14" s="1"/>
  <c r="K119" i="3"/>
  <c r="P127" i="14" s="1"/>
  <c r="G196" i="3"/>
  <c r="O204" i="14" s="1"/>
  <c r="J119" i="3"/>
  <c r="M154" i="3"/>
  <c r="F119" i="3"/>
  <c r="G154" i="3"/>
  <c r="O162" i="14" s="1"/>
  <c r="J185" i="3"/>
  <c r="G119" i="3"/>
  <c r="O127" i="14" s="1"/>
  <c r="J154" i="3"/>
  <c r="K196" i="3"/>
  <c r="P204" i="14" s="1"/>
  <c r="M196" i="3"/>
  <c r="N196" i="3" s="1"/>
  <c r="I189" i="17" s="1"/>
  <c r="K154" i="3"/>
  <c r="P162" i="14" s="1"/>
  <c r="L185" i="3"/>
  <c r="L154" i="3"/>
  <c r="K202" i="14"/>
  <c r="K200" i="14"/>
  <c r="K158" i="14"/>
  <c r="K131" i="14"/>
  <c r="K161" i="14"/>
  <c r="K186" i="14"/>
  <c r="K210" i="14"/>
  <c r="K152" i="14"/>
  <c r="K195" i="14"/>
  <c r="K194" i="14"/>
  <c r="K205" i="14"/>
  <c r="K182" i="14"/>
  <c r="K145" i="14"/>
  <c r="K169" i="14"/>
  <c r="K121" i="14"/>
  <c r="K216" i="14"/>
  <c r="K164" i="14"/>
  <c r="K165" i="14"/>
  <c r="K180" i="14"/>
  <c r="K120" i="14"/>
  <c r="K160" i="14"/>
  <c r="K119" i="14"/>
  <c r="K153" i="14"/>
  <c r="K176" i="14"/>
  <c r="K181" i="14"/>
  <c r="K184" i="14"/>
  <c r="K174" i="14"/>
  <c r="K197" i="14"/>
  <c r="K214" i="14"/>
  <c r="K189" i="14"/>
  <c r="K212" i="14"/>
  <c r="K128" i="14"/>
  <c r="K126" i="14"/>
  <c r="K188" i="14"/>
  <c r="K122" i="14"/>
  <c r="K130" i="14"/>
  <c r="K190" i="14"/>
  <c r="K201" i="14"/>
  <c r="K18" i="14"/>
  <c r="K129" i="14"/>
  <c r="K196" i="14"/>
  <c r="K143" i="14"/>
  <c r="K208" i="14"/>
  <c r="K175" i="14"/>
  <c r="K213" i="14"/>
  <c r="K206" i="14"/>
  <c r="K136" i="14"/>
  <c r="K170" i="14"/>
  <c r="K207" i="14"/>
  <c r="K183" i="14"/>
  <c r="K192" i="14"/>
  <c r="K141" i="14"/>
  <c r="K179" i="14"/>
  <c r="K173" i="14"/>
  <c r="K185" i="14"/>
  <c r="K215" i="14"/>
  <c r="K177" i="14"/>
  <c r="K149" i="14"/>
  <c r="K156" i="14"/>
  <c r="K148" i="14"/>
  <c r="K171" i="14"/>
  <c r="K191" i="14"/>
  <c r="K137" i="14"/>
  <c r="K150" i="14"/>
  <c r="K134" i="14"/>
  <c r="K163" i="14"/>
  <c r="K166" i="14"/>
  <c r="K154" i="14"/>
  <c r="K144" i="14"/>
  <c r="K142" i="14"/>
  <c r="K132" i="14"/>
  <c r="K123" i="14"/>
  <c r="K138" i="14"/>
  <c r="K135" i="14"/>
  <c r="K151" i="14"/>
  <c r="K159" i="14"/>
  <c r="K178" i="14"/>
  <c r="K124" i="14"/>
  <c r="K147" i="14"/>
  <c r="K146" i="14"/>
  <c r="K139" i="14"/>
  <c r="K168" i="14"/>
  <c r="K203" i="14"/>
  <c r="K211" i="14"/>
  <c r="K217" i="14"/>
  <c r="K140" i="14"/>
  <c r="K209" i="14"/>
  <c r="K199" i="14"/>
  <c r="K167" i="14"/>
  <c r="K155" i="14"/>
  <c r="P150" i="6"/>
  <c r="O150" i="6"/>
  <c r="P165" i="6"/>
  <c r="O165" i="6"/>
  <c r="P125" i="6"/>
  <c r="O125" i="6"/>
  <c r="P158" i="6"/>
  <c r="O158" i="6"/>
  <c r="P132" i="6"/>
  <c r="O132" i="6"/>
  <c r="P119" i="6"/>
  <c r="O119" i="6"/>
  <c r="P181" i="6"/>
  <c r="O181" i="6"/>
  <c r="P140" i="6"/>
  <c r="O140" i="6"/>
  <c r="P192" i="6"/>
  <c r="O192" i="6"/>
  <c r="P109" i="6"/>
  <c r="O109" i="6"/>
  <c r="P164" i="6"/>
  <c r="O164" i="6"/>
  <c r="P151" i="6"/>
  <c r="O151" i="6"/>
  <c r="P142" i="6"/>
  <c r="O142" i="6"/>
  <c r="P177" i="6"/>
  <c r="O177" i="6"/>
  <c r="P147" i="6"/>
  <c r="O147" i="6"/>
  <c r="P169" i="6"/>
  <c r="O169" i="6"/>
  <c r="P156" i="6"/>
  <c r="O156" i="6"/>
  <c r="P188" i="6"/>
  <c r="O188" i="6"/>
  <c r="P117" i="6"/>
  <c r="O117" i="6"/>
  <c r="P136" i="6"/>
  <c r="O136" i="6"/>
  <c r="P128" i="6"/>
  <c r="O128" i="6"/>
  <c r="P178" i="6"/>
  <c r="O178" i="6"/>
  <c r="P168" i="6"/>
  <c r="O168" i="6"/>
  <c r="P175" i="6"/>
  <c r="O175" i="6"/>
  <c r="P191" i="6"/>
  <c r="O191" i="6"/>
  <c r="P146" i="6"/>
  <c r="O146" i="6"/>
  <c r="P115" i="6"/>
  <c r="O115" i="6"/>
  <c r="P149" i="6"/>
  <c r="O149" i="6"/>
  <c r="P185" i="6"/>
  <c r="O185" i="6"/>
  <c r="P157" i="6"/>
  <c r="O157" i="6"/>
  <c r="P166" i="6"/>
  <c r="O166" i="6"/>
  <c r="P113" i="6"/>
  <c r="O113" i="6"/>
  <c r="P152" i="6"/>
  <c r="O152" i="6"/>
  <c r="P162" i="6"/>
  <c r="O162" i="6"/>
  <c r="P154" i="6"/>
  <c r="O154" i="6"/>
  <c r="P198" i="6"/>
  <c r="O198" i="6"/>
  <c r="P131" i="6"/>
  <c r="O131" i="6"/>
  <c r="P204" i="6"/>
  <c r="O204" i="6"/>
  <c r="P108" i="6"/>
  <c r="O108" i="6"/>
  <c r="P172" i="6"/>
  <c r="O172" i="6"/>
  <c r="P183" i="6"/>
  <c r="O183" i="6"/>
  <c r="P174" i="6"/>
  <c r="O174" i="6"/>
  <c r="P120" i="6"/>
  <c r="O120" i="6"/>
  <c r="P197" i="6"/>
  <c r="O197" i="6"/>
  <c r="P130" i="6"/>
  <c r="O130" i="6"/>
  <c r="P160" i="6"/>
  <c r="O160" i="6"/>
  <c r="P153" i="6"/>
  <c r="O153" i="6"/>
  <c r="P110" i="6"/>
  <c r="O110" i="6"/>
  <c r="P176" i="6"/>
  <c r="O176" i="6"/>
  <c r="P139" i="6"/>
  <c r="O139" i="6"/>
  <c r="P135" i="6"/>
  <c r="O135" i="6"/>
  <c r="P206" i="6"/>
  <c r="O206" i="6"/>
  <c r="P161" i="6"/>
  <c r="O161" i="6"/>
  <c r="P203" i="6"/>
  <c r="O203" i="6"/>
  <c r="P196" i="6"/>
  <c r="O196" i="6"/>
  <c r="P182" i="6"/>
  <c r="O182" i="6"/>
  <c r="P114" i="6"/>
  <c r="O114" i="6"/>
  <c r="P163" i="6"/>
  <c r="O163" i="6"/>
  <c r="J158" i="11"/>
  <c r="K158" i="11" s="1"/>
  <c r="G158" i="11"/>
  <c r="J109" i="11"/>
  <c r="K109" i="11" s="1"/>
  <c r="G109" i="11"/>
  <c r="J183" i="11"/>
  <c r="K183" i="11" s="1"/>
  <c r="G183" i="11"/>
  <c r="J150" i="11"/>
  <c r="K150" i="11" s="1"/>
  <c r="G150" i="11"/>
  <c r="J198" i="11"/>
  <c r="K198" i="11" s="1"/>
  <c r="G198" i="11"/>
  <c r="J131" i="11"/>
  <c r="K131" i="11" s="1"/>
  <c r="G131" i="11"/>
  <c r="J132" i="11"/>
  <c r="K132" i="11" s="1"/>
  <c r="G132" i="11"/>
  <c r="J128" i="11"/>
  <c r="K128" i="11" s="1"/>
  <c r="G128" i="11"/>
  <c r="J175" i="11"/>
  <c r="K175" i="11" s="1"/>
  <c r="G175" i="11"/>
  <c r="J164" i="11"/>
  <c r="K164" i="11" s="1"/>
  <c r="G164" i="11"/>
  <c r="J192" i="11"/>
  <c r="K192" i="11" s="1"/>
  <c r="G192" i="11"/>
  <c r="J188" i="11"/>
  <c r="K188" i="11" s="1"/>
  <c r="G188" i="11"/>
  <c r="J203" i="11"/>
  <c r="K203" i="11" s="1"/>
  <c r="G203" i="11"/>
  <c r="J162" i="11"/>
  <c r="K162" i="11" s="1"/>
  <c r="G162" i="11"/>
  <c r="J196" i="11"/>
  <c r="K196" i="11" s="1"/>
  <c r="G196" i="11"/>
  <c r="J120" i="11"/>
  <c r="K120" i="11" s="1"/>
  <c r="G120" i="11"/>
  <c r="J177" i="11"/>
  <c r="K177" i="11" s="1"/>
  <c r="G177" i="11"/>
  <c r="J147" i="11"/>
  <c r="K147" i="11" s="1"/>
  <c r="G147" i="11"/>
  <c r="J166" i="11"/>
  <c r="K166" i="11" s="1"/>
  <c r="G166" i="11"/>
  <c r="J140" i="11"/>
  <c r="K140" i="11" s="1"/>
  <c r="G140" i="11"/>
  <c r="J113" i="11"/>
  <c r="K113" i="11" s="1"/>
  <c r="G113" i="11"/>
  <c r="J178" i="11"/>
  <c r="K178" i="11" s="1"/>
  <c r="G178" i="11"/>
  <c r="J142" i="11"/>
  <c r="K142" i="11" s="1"/>
  <c r="G142" i="11"/>
  <c r="J157" i="11"/>
  <c r="K157" i="11" s="1"/>
  <c r="G157" i="11"/>
  <c r="J168" i="11"/>
  <c r="K168" i="11" s="1"/>
  <c r="G168" i="11"/>
  <c r="J152" i="11"/>
  <c r="K152" i="11" s="1"/>
  <c r="G152" i="11"/>
  <c r="J117" i="11"/>
  <c r="K117" i="11" s="1"/>
  <c r="G117" i="11"/>
  <c r="J151" i="11"/>
  <c r="K151" i="11" s="1"/>
  <c r="G151" i="11"/>
  <c r="J206" i="11"/>
  <c r="K206" i="11" s="1"/>
  <c r="G206" i="11"/>
  <c r="J204" i="11"/>
  <c r="K204" i="11" s="1"/>
  <c r="G204" i="11"/>
  <c r="J169" i="11"/>
  <c r="K169" i="11" s="1"/>
  <c r="G169" i="11"/>
  <c r="J156" i="11"/>
  <c r="K156" i="11" s="1"/>
  <c r="G156" i="11"/>
  <c r="J136" i="11"/>
  <c r="K136" i="11" s="1"/>
  <c r="G136" i="11"/>
  <c r="J153" i="11"/>
  <c r="K153" i="11" s="1"/>
  <c r="G153" i="11"/>
  <c r="J191" i="11"/>
  <c r="K191" i="11" s="1"/>
  <c r="G191" i="11"/>
  <c r="J135" i="11"/>
  <c r="K135" i="11" s="1"/>
  <c r="G135" i="11"/>
  <c r="J161" i="11"/>
  <c r="K161" i="11" s="1"/>
  <c r="G161" i="11"/>
  <c r="J110" i="11"/>
  <c r="K110" i="11" s="1"/>
  <c r="G110" i="11"/>
  <c r="J182" i="11"/>
  <c r="K182" i="11" s="1"/>
  <c r="G182" i="11"/>
  <c r="J119" i="11"/>
  <c r="K119" i="11" s="1"/>
  <c r="G119" i="11"/>
  <c r="J149" i="11"/>
  <c r="K149" i="11" s="1"/>
  <c r="G149" i="11"/>
  <c r="J130" i="11"/>
  <c r="K130" i="11" s="1"/>
  <c r="G130" i="11"/>
  <c r="J139" i="11"/>
  <c r="K139" i="11" s="1"/>
  <c r="G139" i="11"/>
  <c r="J181" i="11"/>
  <c r="K181" i="11" s="1"/>
  <c r="G181" i="11"/>
  <c r="J114" i="11"/>
  <c r="K114" i="11" s="1"/>
  <c r="G114" i="11"/>
  <c r="J165" i="11"/>
  <c r="K165" i="11" s="1"/>
  <c r="G165" i="11"/>
  <c r="J163" i="11"/>
  <c r="K163" i="11" s="1"/>
  <c r="G163" i="11"/>
  <c r="J115" i="11"/>
  <c r="K115" i="11" s="1"/>
  <c r="G115" i="11"/>
  <c r="J174" i="11"/>
  <c r="K174" i="11" s="1"/>
  <c r="G174" i="11"/>
  <c r="J176" i="11"/>
  <c r="K176" i="11" s="1"/>
  <c r="G176" i="11"/>
  <c r="J108" i="11"/>
  <c r="K108" i="11" s="1"/>
  <c r="G108" i="11"/>
  <c r="J154" i="11"/>
  <c r="K154" i="11" s="1"/>
  <c r="G154" i="11"/>
  <c r="J146" i="11"/>
  <c r="K146" i="11" s="1"/>
  <c r="G146" i="11"/>
  <c r="J160" i="11"/>
  <c r="K160" i="11" s="1"/>
  <c r="G160" i="11"/>
  <c r="J125" i="11"/>
  <c r="K125" i="11" s="1"/>
  <c r="G125" i="11"/>
  <c r="J172" i="11"/>
  <c r="K172" i="11" s="1"/>
  <c r="G172" i="11"/>
  <c r="J185" i="11"/>
  <c r="K185" i="11" s="1"/>
  <c r="G185" i="11"/>
  <c r="J197" i="11"/>
  <c r="K197" i="11" s="1"/>
  <c r="G197" i="11"/>
  <c r="O120" i="13"/>
  <c r="R120" i="13" s="1"/>
  <c r="E175" i="27"/>
  <c r="E108" i="27"/>
  <c r="E156" i="27"/>
  <c r="E174" i="27"/>
  <c r="E113" i="27"/>
  <c r="E163" i="27"/>
  <c r="E146" i="27"/>
  <c r="E203" i="27"/>
  <c r="E114" i="27"/>
  <c r="E149" i="27"/>
  <c r="E182" i="27"/>
  <c r="E191" i="27"/>
  <c r="E130" i="27"/>
  <c r="E139" i="27"/>
  <c r="E154" i="27"/>
  <c r="E188" i="27"/>
  <c r="E147" i="27"/>
  <c r="E161" i="27"/>
  <c r="E109" i="27"/>
  <c r="E176" i="27"/>
  <c r="E172" i="27"/>
  <c r="E185" i="27"/>
  <c r="E197" i="27"/>
  <c r="E153" i="27"/>
  <c r="E168" i="27"/>
  <c r="E158" i="27"/>
  <c r="E152" i="27"/>
  <c r="E178" i="27"/>
  <c r="E132" i="27"/>
  <c r="E164" i="27"/>
  <c r="E110" i="27"/>
  <c r="E150" i="27"/>
  <c r="E177" i="27"/>
  <c r="E157" i="27"/>
  <c r="E204" i="27"/>
  <c r="E206" i="27"/>
  <c r="E115" i="27"/>
  <c r="E198" i="27"/>
  <c r="E211" i="27"/>
  <c r="E128" i="27"/>
  <c r="E136" i="27"/>
  <c r="E125" i="27"/>
  <c r="E117" i="27"/>
  <c r="E142" i="27"/>
  <c r="E181" i="27"/>
  <c r="E166" i="27"/>
  <c r="E162" i="27"/>
  <c r="E135" i="27"/>
  <c r="E169" i="27"/>
  <c r="E165" i="27"/>
  <c r="E196" i="27"/>
  <c r="E119" i="27"/>
  <c r="E120" i="27"/>
  <c r="E183" i="27"/>
  <c r="E140" i="27"/>
  <c r="E131" i="27"/>
  <c r="E160" i="27"/>
  <c r="E192" i="27"/>
  <c r="E151" i="27"/>
  <c r="O115" i="13"/>
  <c r="R115" i="13" s="1"/>
  <c r="H147" i="13"/>
  <c r="H111" i="13"/>
  <c r="H185" i="13"/>
  <c r="H140" i="13"/>
  <c r="H121" i="13"/>
  <c r="H123" i="13"/>
  <c r="H192" i="13"/>
  <c r="H179" i="13"/>
  <c r="Q173" i="13"/>
  <c r="R173" i="13" s="1"/>
  <c r="H194" i="13"/>
  <c r="H178" i="13"/>
  <c r="H158" i="13"/>
  <c r="H170" i="13"/>
  <c r="H122" i="13"/>
  <c r="H136" i="13"/>
  <c r="H200" i="13"/>
  <c r="H188" i="13"/>
  <c r="H201" i="13"/>
  <c r="H5" i="13"/>
  <c r="H128" i="13"/>
  <c r="O128" i="13"/>
  <c r="R128" i="13" s="1"/>
  <c r="H193" i="13"/>
  <c r="H117" i="13"/>
  <c r="H166" i="13"/>
  <c r="H133" i="13"/>
  <c r="H110" i="13"/>
  <c r="H154" i="13"/>
  <c r="O138" i="13"/>
  <c r="R138" i="13" s="1"/>
  <c r="H115" i="13"/>
  <c r="Q165" i="13"/>
  <c r="R165" i="13" s="1"/>
  <c r="H137" i="13"/>
  <c r="H120" i="13"/>
  <c r="H183" i="13"/>
  <c r="H144" i="13"/>
  <c r="H204" i="13"/>
  <c r="H143" i="13"/>
  <c r="H172" i="13"/>
  <c r="H186" i="13"/>
  <c r="H169" i="13"/>
  <c r="H198" i="13"/>
  <c r="H199" i="13"/>
  <c r="H189" i="13"/>
  <c r="O196" i="13"/>
  <c r="R196" i="13" s="1"/>
  <c r="H125" i="13"/>
  <c r="H142" i="13"/>
  <c r="H126" i="13"/>
  <c r="H132" i="13"/>
  <c r="O130" i="13"/>
  <c r="R130" i="13" s="1"/>
  <c r="O122" i="13"/>
  <c r="R122" i="13" s="1"/>
  <c r="O9" i="13"/>
  <c r="R9" i="13" s="1"/>
  <c r="O145" i="13"/>
  <c r="R145" i="13" s="1"/>
  <c r="O193" i="13"/>
  <c r="R193" i="13" s="1"/>
  <c r="O10" i="13"/>
  <c r="R10" i="13" s="1"/>
  <c r="O8" i="13"/>
  <c r="R8" i="13" s="1"/>
  <c r="O147" i="13"/>
  <c r="R147" i="13" s="1"/>
  <c r="O183" i="13"/>
  <c r="R183" i="13" s="1"/>
  <c r="O162" i="13"/>
  <c r="R162" i="13" s="1"/>
  <c r="Q194" i="13"/>
  <c r="R194" i="13" s="1"/>
  <c r="Q119" i="13"/>
  <c r="R119" i="13" s="1"/>
  <c r="O169" i="13"/>
  <c r="R169" i="13" s="1"/>
  <c r="O156" i="13"/>
  <c r="R156" i="13" s="1"/>
  <c r="Q126" i="13"/>
  <c r="R126" i="13" s="1"/>
  <c r="O184" i="13"/>
  <c r="R184" i="13" s="1"/>
  <c r="O154" i="13"/>
  <c r="R154" i="13" s="1"/>
  <c r="O123" i="13"/>
  <c r="R123" i="13" s="1"/>
  <c r="Q157" i="13"/>
  <c r="R157" i="13" s="1"/>
  <c r="O141" i="13"/>
  <c r="R141" i="13" s="1"/>
  <c r="Q114" i="13"/>
  <c r="R114" i="13" s="1"/>
  <c r="O125" i="13"/>
  <c r="R125" i="13" s="1"/>
  <c r="O133" i="13"/>
  <c r="R133" i="13" s="1"/>
  <c r="O166" i="13"/>
  <c r="R166" i="13" s="1"/>
  <c r="K91" i="10"/>
  <c r="H210" i="13"/>
  <c r="O142" i="13"/>
  <c r="R142" i="13" s="1"/>
  <c r="O149" i="13"/>
  <c r="R149" i="13" s="1"/>
  <c r="Q7" i="13"/>
  <c r="R7" i="13" s="1"/>
  <c r="O189" i="13"/>
  <c r="R189" i="13" s="1"/>
  <c r="Q167" i="13"/>
  <c r="R167" i="13" s="1"/>
  <c r="Q151" i="13"/>
  <c r="R151" i="13" s="1"/>
  <c r="Q129" i="13"/>
  <c r="R129" i="13" s="1"/>
  <c r="O210" i="13"/>
  <c r="R210" i="13" s="1"/>
  <c r="O161" i="13"/>
  <c r="R161" i="13" s="1"/>
  <c r="O175" i="13"/>
  <c r="R175" i="13" s="1"/>
  <c r="O168" i="13"/>
  <c r="R168" i="13" s="1"/>
  <c r="O131" i="13"/>
  <c r="R131" i="13" s="1"/>
  <c r="Q195" i="13"/>
  <c r="R195" i="13" s="1"/>
  <c r="Q177" i="13"/>
  <c r="R177" i="13" s="1"/>
  <c r="O134" i="13"/>
  <c r="R134" i="13" s="1"/>
  <c r="O152" i="13"/>
  <c r="R152" i="13" s="1"/>
  <c r="O124" i="13"/>
  <c r="R124" i="13" s="1"/>
  <c r="O176" i="13"/>
  <c r="R176" i="13" s="1"/>
  <c r="O164" i="13"/>
  <c r="R164" i="13" s="1"/>
  <c r="O144" i="13"/>
  <c r="R144" i="13" s="1"/>
  <c r="O190" i="13"/>
  <c r="R190" i="13" s="1"/>
  <c r="O140" i="13"/>
  <c r="R140" i="13" s="1"/>
  <c r="Q191" i="13"/>
  <c r="R191" i="13" s="1"/>
  <c r="Q186" i="13"/>
  <c r="R186" i="13" s="1"/>
  <c r="Q143" i="13"/>
  <c r="R143" i="13" s="1"/>
  <c r="O155" i="13"/>
  <c r="R155" i="13" s="1"/>
  <c r="O117" i="13"/>
  <c r="R117" i="13" s="1"/>
  <c r="O139" i="13"/>
  <c r="R139" i="13" s="1"/>
  <c r="O111" i="13"/>
  <c r="R111" i="13" s="1"/>
  <c r="Q180" i="13"/>
  <c r="R180" i="13" s="1"/>
  <c r="Q110" i="13"/>
  <c r="R110" i="13" s="1"/>
  <c r="Q179" i="13"/>
  <c r="R179" i="13" s="1"/>
  <c r="O137" i="13"/>
  <c r="R137" i="13" s="1"/>
  <c r="O113" i="13"/>
  <c r="R113" i="13" s="1"/>
  <c r="Q171" i="13"/>
  <c r="R171" i="13" s="1"/>
  <c r="Q172" i="13"/>
  <c r="R172" i="13" s="1"/>
  <c r="O185" i="13"/>
  <c r="R185" i="13" s="1"/>
  <c r="O181" i="13"/>
  <c r="R181" i="13" s="1"/>
  <c r="O116" i="13"/>
  <c r="R116" i="13" s="1"/>
  <c r="O148" i="13"/>
  <c r="R148" i="13" s="1"/>
  <c r="O135" i="13"/>
  <c r="R135" i="13" s="1"/>
  <c r="O146" i="13"/>
  <c r="R146" i="13" s="1"/>
  <c r="Q132" i="13"/>
  <c r="R132" i="13" s="1"/>
  <c r="O208" i="13"/>
  <c r="R208" i="13" s="1"/>
  <c r="O118" i="13"/>
  <c r="R118" i="13" s="1"/>
  <c r="O160" i="13"/>
  <c r="R160" i="13" s="1"/>
  <c r="O182" i="13"/>
  <c r="R182" i="13" s="1"/>
  <c r="O188" i="13"/>
  <c r="R188" i="13" s="1"/>
  <c r="O174" i="13"/>
  <c r="R174" i="13" s="1"/>
  <c r="Q153" i="13"/>
  <c r="R153" i="13" s="1"/>
  <c r="O159" i="13"/>
  <c r="R159" i="13" s="1"/>
  <c r="Q158" i="13"/>
  <c r="R158" i="13" s="1"/>
  <c r="Q112" i="13"/>
  <c r="R112" i="13" s="1"/>
  <c r="Q178" i="13"/>
  <c r="R178" i="13" s="1"/>
  <c r="O6" i="13"/>
  <c r="R6" i="13" s="1"/>
  <c r="O121" i="13"/>
  <c r="R121" i="13" s="1"/>
  <c r="O192" i="13"/>
  <c r="R192" i="13" s="1"/>
  <c r="O170" i="13"/>
  <c r="R170" i="13" s="1"/>
  <c r="O163" i="13"/>
  <c r="R163" i="13" s="1"/>
  <c r="O187" i="13"/>
  <c r="R187" i="13" s="1"/>
  <c r="O127" i="13"/>
  <c r="R127" i="13" s="1"/>
  <c r="O150" i="13"/>
  <c r="R150" i="13" s="1"/>
  <c r="O136" i="13"/>
  <c r="R136" i="13" s="1"/>
  <c r="O109" i="13"/>
  <c r="R109" i="13" s="1"/>
  <c r="Q5" i="13"/>
  <c r="R5" i="13" s="1"/>
  <c r="H178" i="6"/>
  <c r="H185" i="6"/>
  <c r="H166" i="6"/>
  <c r="H113" i="6"/>
  <c r="H162" i="6"/>
  <c r="H163" i="6"/>
  <c r="H206" i="6"/>
  <c r="I6" i="6"/>
  <c r="H175" i="6"/>
  <c r="H135" i="6"/>
  <c r="H108" i="6"/>
  <c r="H150" i="6"/>
  <c r="H191" i="6"/>
  <c r="H115" i="6"/>
  <c r="H196" i="6"/>
  <c r="H165" i="6"/>
  <c r="H128" i="6"/>
  <c r="H131" i="6"/>
  <c r="H109" i="6"/>
  <c r="H181" i="6"/>
  <c r="H110" i="6"/>
  <c r="H139" i="6"/>
  <c r="H204" i="6"/>
  <c r="H160" i="6"/>
  <c r="H140" i="6"/>
  <c r="H136" i="6"/>
  <c r="H198" i="6"/>
  <c r="H149" i="6"/>
  <c r="H114" i="6"/>
  <c r="H169" i="6"/>
  <c r="H188" i="6"/>
  <c r="D213" i="5"/>
  <c r="E213" i="5" s="1"/>
  <c r="L91" i="10"/>
  <c r="R212" i="4"/>
  <c r="S212" i="4" s="1"/>
  <c r="T212" i="4" s="1"/>
  <c r="K90" i="10" s="1"/>
  <c r="C211" i="11"/>
  <c r="C211" i="6"/>
  <c r="G211" i="6" s="1"/>
  <c r="K211" i="6" s="1"/>
  <c r="Q208" i="4"/>
  <c r="N175" i="3"/>
  <c r="I168" i="17" s="1"/>
  <c r="N133" i="3"/>
  <c r="I126" i="17" s="1"/>
  <c r="N204" i="3"/>
  <c r="I197" i="17" s="1"/>
  <c r="R197" i="13"/>
  <c r="J196" i="14"/>
  <c r="N206" i="3"/>
  <c r="I199" i="17" s="1"/>
  <c r="N181" i="3"/>
  <c r="I174" i="17" s="1"/>
  <c r="N146" i="3"/>
  <c r="I139" i="17" s="1"/>
  <c r="N185" i="3"/>
  <c r="I178" i="17" s="1"/>
  <c r="N192" i="3"/>
  <c r="I185" i="17" s="1"/>
  <c r="N174" i="3"/>
  <c r="I167" i="17" s="1"/>
  <c r="Q10" i="4"/>
  <c r="R10" i="4"/>
  <c r="S10" i="4"/>
  <c r="T10" i="4" s="1"/>
  <c r="N187" i="3"/>
  <c r="I180" i="17" s="1"/>
  <c r="J197" i="14"/>
  <c r="J154" i="14"/>
  <c r="J183" i="14"/>
  <c r="J213" i="14"/>
  <c r="J212" i="14"/>
  <c r="J217" i="14"/>
  <c r="N189" i="3"/>
  <c r="I182" i="17" s="1"/>
  <c r="N199" i="3"/>
  <c r="I192" i="17" s="1"/>
  <c r="R201" i="13"/>
  <c r="J142" i="14"/>
  <c r="J128" i="14"/>
  <c r="J151" i="14"/>
  <c r="J186" i="14"/>
  <c r="J184" i="14"/>
  <c r="J166" i="14"/>
  <c r="J158" i="14"/>
  <c r="J146" i="14"/>
  <c r="J176" i="14"/>
  <c r="J170" i="14"/>
  <c r="J208" i="14"/>
  <c r="J199" i="14"/>
  <c r="J185" i="14"/>
  <c r="J140" i="14"/>
  <c r="J160" i="14"/>
  <c r="J161" i="14"/>
  <c r="J156" i="14"/>
  <c r="J136" i="14"/>
  <c r="N171" i="3"/>
  <c r="I164" i="17" s="1"/>
  <c r="J138" i="14"/>
  <c r="J144" i="14"/>
  <c r="J182" i="14"/>
  <c r="J168" i="14"/>
  <c r="J167" i="14"/>
  <c r="J191" i="14"/>
  <c r="J130" i="14"/>
  <c r="J222" i="14"/>
  <c r="J216" i="14"/>
  <c r="J135" i="14"/>
  <c r="J159" i="14"/>
  <c r="J188" i="14"/>
  <c r="J148" i="14"/>
  <c r="J181" i="14"/>
  <c r="J180" i="14"/>
  <c r="J121" i="14"/>
  <c r="J209" i="14"/>
  <c r="N150" i="3"/>
  <c r="I143" i="17" s="1"/>
  <c r="J122" i="14"/>
  <c r="J162" i="14"/>
  <c r="J124" i="14"/>
  <c r="J178" i="14"/>
  <c r="J147" i="14"/>
  <c r="J164" i="14"/>
  <c r="J131" i="14"/>
  <c r="J192" i="14"/>
  <c r="N141" i="3"/>
  <c r="I134" i="17" s="1"/>
  <c r="N140" i="3"/>
  <c r="I133" i="17" s="1"/>
  <c r="J123" i="14"/>
  <c r="J153" i="14"/>
  <c r="J203" i="14"/>
  <c r="J155" i="14"/>
  <c r="J214" i="14"/>
  <c r="J134" i="14"/>
  <c r="J175" i="14"/>
  <c r="J189" i="14"/>
  <c r="J174" i="14"/>
  <c r="J207" i="14"/>
  <c r="J125" i="14"/>
  <c r="J165" i="14"/>
  <c r="J150" i="14"/>
  <c r="J172" i="14"/>
  <c r="J200" i="14"/>
  <c r="J141" i="14"/>
  <c r="N188" i="3"/>
  <c r="I181" i="17" s="1"/>
  <c r="N135" i="3"/>
  <c r="I128" i="17" s="1"/>
  <c r="N151" i="3"/>
  <c r="I144" i="17" s="1"/>
  <c r="N115" i="3"/>
  <c r="I108" i="17" s="1"/>
  <c r="N167" i="3"/>
  <c r="I160" i="17" s="1"/>
  <c r="J152" i="14"/>
  <c r="J157" i="14"/>
  <c r="J137" i="14"/>
  <c r="N201" i="3"/>
  <c r="I194" i="17" s="1"/>
  <c r="N138" i="3"/>
  <c r="I131" i="17" s="1"/>
  <c r="J195" i="14"/>
  <c r="J129" i="14"/>
  <c r="J119" i="14"/>
  <c r="J133" i="14"/>
  <c r="J215" i="14"/>
  <c r="J145" i="14"/>
  <c r="J210" i="14"/>
  <c r="J198" i="14"/>
  <c r="J202" i="14"/>
  <c r="J204" i="14"/>
  <c r="J205" i="14"/>
  <c r="J171" i="14"/>
  <c r="J126" i="14"/>
  <c r="J211" i="14"/>
  <c r="J206" i="14"/>
  <c r="R204" i="13"/>
  <c r="R203" i="13"/>
  <c r="J143" i="14"/>
  <c r="J163" i="14"/>
  <c r="J177" i="14"/>
  <c r="J194" i="14"/>
  <c r="N202" i="3"/>
  <c r="I195" i="17" s="1"/>
  <c r="N205" i="3"/>
  <c r="I198" i="17" s="1"/>
  <c r="N166" i="3"/>
  <c r="I159" i="17" s="1"/>
  <c r="N128" i="3"/>
  <c r="I121" i="17" s="1"/>
  <c r="J139" i="14"/>
  <c r="J169" i="14"/>
  <c r="J132" i="14"/>
  <c r="J193" i="14"/>
  <c r="N116" i="3"/>
  <c r="I109" i="17" s="1"/>
  <c r="N197" i="3"/>
  <c r="I190" i="17" s="1"/>
  <c r="N112" i="3"/>
  <c r="I105" i="17" s="1"/>
  <c r="N165" i="3"/>
  <c r="I158" i="17" s="1"/>
  <c r="J220" i="14"/>
  <c r="J190" i="14"/>
  <c r="J179" i="14"/>
  <c r="J149" i="14"/>
  <c r="J120" i="14"/>
  <c r="J173" i="14"/>
  <c r="J187" i="14"/>
  <c r="J127" i="14"/>
  <c r="J201" i="14"/>
  <c r="R200" i="13"/>
  <c r="N184" i="3"/>
  <c r="I177" i="17" s="1"/>
  <c r="N153" i="3"/>
  <c r="I146" i="17" s="1"/>
  <c r="N207" i="3"/>
  <c r="I200" i="17" s="1"/>
  <c r="N170" i="3"/>
  <c r="I163" i="17" s="1"/>
  <c r="R198" i="13"/>
  <c r="R202" i="13"/>
  <c r="S202" i="13" s="1"/>
  <c r="N130" i="3"/>
  <c r="I123" i="17" s="1"/>
  <c r="R199" i="13"/>
  <c r="N198" i="3"/>
  <c r="I191" i="17" s="1"/>
  <c r="N131" i="3"/>
  <c r="I124" i="17" s="1"/>
  <c r="R205" i="13"/>
  <c r="S205" i="13" s="1"/>
  <c r="C202" i="17" s="1"/>
  <c r="N209" i="3"/>
  <c r="I202" i="17" s="1"/>
  <c r="L166" i="11"/>
  <c r="L119" i="11"/>
  <c r="L164" i="11"/>
  <c r="D112" i="17"/>
  <c r="C116" i="11"/>
  <c r="F116" i="11" s="1"/>
  <c r="L204" i="11"/>
  <c r="D190" i="17"/>
  <c r="C194" i="11"/>
  <c r="F194" i="11" s="1"/>
  <c r="D108" i="17"/>
  <c r="C112" i="11"/>
  <c r="F112" i="11" s="1"/>
  <c r="D140" i="17"/>
  <c r="C144" i="11"/>
  <c r="F144" i="11" s="1"/>
  <c r="L149" i="11"/>
  <c r="L175" i="11"/>
  <c r="L154" i="11"/>
  <c r="L182" i="11"/>
  <c r="D191" i="17"/>
  <c r="C195" i="11"/>
  <c r="F195" i="11" s="1"/>
  <c r="L172" i="11"/>
  <c r="D151" i="17"/>
  <c r="C155" i="11"/>
  <c r="F155" i="11" s="1"/>
  <c r="D155" i="17"/>
  <c r="C159" i="11"/>
  <c r="F159" i="11" s="1"/>
  <c r="D120" i="17"/>
  <c r="C124" i="11"/>
  <c r="F124" i="11" s="1"/>
  <c r="D114" i="17"/>
  <c r="C118" i="11"/>
  <c r="F118" i="11" s="1"/>
  <c r="D176" i="17"/>
  <c r="C180" i="11"/>
  <c r="F180" i="11" s="1"/>
  <c r="L198" i="11"/>
  <c r="L115" i="11"/>
  <c r="L158" i="11"/>
  <c r="L174" i="11"/>
  <c r="D167" i="17"/>
  <c r="C171" i="11"/>
  <c r="F171" i="11" s="1"/>
  <c r="D119" i="17"/>
  <c r="C123" i="11"/>
  <c r="F123" i="11" s="1"/>
  <c r="D134" i="17"/>
  <c r="C138" i="11"/>
  <c r="F138" i="11" s="1"/>
  <c r="L192" i="11"/>
  <c r="L131" i="11"/>
  <c r="L132" i="11"/>
  <c r="L128" i="11"/>
  <c r="L109" i="11"/>
  <c r="D133" i="17"/>
  <c r="C137" i="11"/>
  <c r="F137" i="11" s="1"/>
  <c r="D197" i="17"/>
  <c r="C201" i="11"/>
  <c r="F201" i="11" s="1"/>
  <c r="D189" i="17"/>
  <c r="C193" i="11"/>
  <c r="F193" i="11" s="1"/>
  <c r="D118" i="17"/>
  <c r="C122" i="11"/>
  <c r="F122" i="11" s="1"/>
  <c r="L160" i="11"/>
  <c r="C6" i="6"/>
  <c r="G6" i="6" s="1"/>
  <c r="C6" i="11"/>
  <c r="F6" i="11" s="1"/>
  <c r="L206" i="11"/>
  <c r="D141" i="17"/>
  <c r="C145" i="11"/>
  <c r="F145" i="11" s="1"/>
  <c r="L117" i="11"/>
  <c r="D175" i="17"/>
  <c r="C179" i="11"/>
  <c r="F179" i="11" s="1"/>
  <c r="L203" i="11"/>
  <c r="L169" i="11"/>
  <c r="L130" i="11"/>
  <c r="L197" i="11"/>
  <c r="L176" i="11"/>
  <c r="L188" i="11"/>
  <c r="L125" i="11"/>
  <c r="L108" i="11"/>
  <c r="L150" i="11"/>
  <c r="D125" i="17"/>
  <c r="C129" i="11"/>
  <c r="F129" i="11" s="1"/>
  <c r="L165" i="11"/>
  <c r="D122" i="17"/>
  <c r="C126" i="11"/>
  <c r="F126" i="11" s="1"/>
  <c r="L140" i="11"/>
  <c r="L196" i="11"/>
  <c r="L177" i="11"/>
  <c r="D130" i="17"/>
  <c r="C134" i="11"/>
  <c r="F134" i="11" s="1"/>
  <c r="L152" i="11"/>
  <c r="D186" i="17"/>
  <c r="C190" i="11"/>
  <c r="F190" i="11" s="1"/>
  <c r="L181" i="11"/>
  <c r="L151" i="11"/>
  <c r="L162" i="11"/>
  <c r="L120" i="11"/>
  <c r="L147" i="11"/>
  <c r="D117" i="17"/>
  <c r="C121" i="11"/>
  <c r="F121" i="11" s="1"/>
  <c r="D201" i="17"/>
  <c r="C205" i="11"/>
  <c r="F205" i="11" s="1"/>
  <c r="D183" i="17"/>
  <c r="C187" i="11"/>
  <c r="F187" i="11" s="1"/>
  <c r="D107" i="17"/>
  <c r="C111" i="11"/>
  <c r="F111" i="11" s="1"/>
  <c r="L113" i="11"/>
  <c r="L178" i="11"/>
  <c r="L142" i="11"/>
  <c r="L157" i="11"/>
  <c r="L168" i="11"/>
  <c r="D144" i="17"/>
  <c r="C148" i="11"/>
  <c r="F148" i="11" s="1"/>
  <c r="D196" i="17"/>
  <c r="C200" i="11"/>
  <c r="F200" i="11" s="1"/>
  <c r="L110" i="11"/>
  <c r="D198" i="17"/>
  <c r="C202" i="11"/>
  <c r="F202" i="11" s="1"/>
  <c r="L185" i="11"/>
  <c r="D182" i="17"/>
  <c r="C186" i="11"/>
  <c r="F186" i="11" s="1"/>
  <c r="L183" i="11"/>
  <c r="D180" i="17"/>
  <c r="C184" i="11"/>
  <c r="F184" i="11" s="1"/>
  <c r="L114" i="11"/>
  <c r="D137" i="17"/>
  <c r="C141" i="11"/>
  <c r="F141" i="11" s="1"/>
  <c r="D139" i="17"/>
  <c r="C143" i="11"/>
  <c r="F143" i="11" s="1"/>
  <c r="L156" i="11"/>
  <c r="L136" i="11"/>
  <c r="L153" i="11"/>
  <c r="L191" i="11"/>
  <c r="L135" i="11"/>
  <c r="L161" i="11"/>
  <c r="L146" i="11"/>
  <c r="L139" i="11"/>
  <c r="L163" i="11"/>
  <c r="D163" i="17"/>
  <c r="C167" i="11"/>
  <c r="F167" i="11" s="1"/>
  <c r="D169" i="17"/>
  <c r="C173" i="11"/>
  <c r="F173" i="11" s="1"/>
  <c r="D185" i="17"/>
  <c r="C189" i="11"/>
  <c r="F189" i="11" s="1"/>
  <c r="D195" i="17"/>
  <c r="C199" i="11"/>
  <c r="F199" i="11" s="1"/>
  <c r="D123" i="17"/>
  <c r="C127" i="11"/>
  <c r="F127" i="11" s="1"/>
  <c r="D129" i="17"/>
  <c r="C133" i="11"/>
  <c r="F133" i="11" s="1"/>
  <c r="D166" i="17"/>
  <c r="C170" i="11"/>
  <c r="F170" i="11" s="1"/>
  <c r="N214" i="3"/>
  <c r="I91" i="10" s="1"/>
  <c r="N169" i="3"/>
  <c r="I162" i="17" s="1"/>
  <c r="N118" i="3"/>
  <c r="I111" i="17" s="1"/>
  <c r="N180" i="3"/>
  <c r="I173" i="17" s="1"/>
  <c r="N114" i="3"/>
  <c r="I107" i="17" s="1"/>
  <c r="N142" i="3"/>
  <c r="I135" i="17" s="1"/>
  <c r="N182" i="3"/>
  <c r="I175" i="17" s="1"/>
  <c r="N173" i="3"/>
  <c r="I166" i="17" s="1"/>
  <c r="N10" i="3"/>
  <c r="I3" i="17" s="1"/>
  <c r="N183" i="3"/>
  <c r="I176" i="17" s="1"/>
  <c r="N186" i="3"/>
  <c r="I179" i="17" s="1"/>
  <c r="N156" i="3"/>
  <c r="I149" i="17" s="1"/>
  <c r="N121" i="3"/>
  <c r="I114" i="17" s="1"/>
  <c r="N191" i="3"/>
  <c r="I184" i="17" s="1"/>
  <c r="N147" i="3"/>
  <c r="I140" i="17" s="1"/>
  <c r="N208" i="3"/>
  <c r="I201" i="17" s="1"/>
  <c r="N195" i="3"/>
  <c r="I188" i="17" s="1"/>
  <c r="N152" i="3"/>
  <c r="I145" i="17" s="1"/>
  <c r="N111" i="3"/>
  <c r="I104" i="17" s="1"/>
  <c r="N145" i="3"/>
  <c r="I138" i="17" s="1"/>
  <c r="N168" i="3"/>
  <c r="I161" i="17" s="1"/>
  <c r="N177" i="3"/>
  <c r="I170" i="17" s="1"/>
  <c r="N148" i="3"/>
  <c r="I141" i="17" s="1"/>
  <c r="N120" i="3"/>
  <c r="I113" i="17" s="1"/>
  <c r="N122" i="3"/>
  <c r="I115" i="17" s="1"/>
  <c r="N136" i="3"/>
  <c r="I129" i="17" s="1"/>
  <c r="N127" i="3"/>
  <c r="I120" i="17" s="1"/>
  <c r="N124" i="3"/>
  <c r="I117" i="17" s="1"/>
  <c r="N200" i="3"/>
  <c r="I193" i="17" s="1"/>
  <c r="N178" i="3"/>
  <c r="I171" i="17" s="1"/>
  <c r="N212" i="3"/>
  <c r="I90" i="10" s="1"/>
  <c r="N155" i="3"/>
  <c r="I148" i="17" s="1"/>
  <c r="N158" i="3"/>
  <c r="I151" i="17" s="1"/>
  <c r="N129" i="3"/>
  <c r="I122" i="17" s="1"/>
  <c r="N193" i="3"/>
  <c r="I186" i="17" s="1"/>
  <c r="N143" i="3"/>
  <c r="I136" i="17" s="1"/>
  <c r="N134" i="3"/>
  <c r="I127" i="17" s="1"/>
  <c r="N176" i="3"/>
  <c r="I169" i="17" s="1"/>
  <c r="N194" i="3"/>
  <c r="I187" i="17" s="1"/>
  <c r="J9" i="3"/>
  <c r="M9" i="3"/>
  <c r="L9" i="3"/>
  <c r="G9" i="3"/>
  <c r="O17" i="14" s="1"/>
  <c r="K9" i="3"/>
  <c r="P17" i="14" s="1"/>
  <c r="N160" i="3"/>
  <c r="I153" i="17" s="1"/>
  <c r="N203" i="3"/>
  <c r="I196" i="17" s="1"/>
  <c r="N161" i="3"/>
  <c r="I154" i="17" s="1"/>
  <c r="N132" i="3"/>
  <c r="I125" i="17" s="1"/>
  <c r="N162" i="3"/>
  <c r="I155" i="17" s="1"/>
  <c r="N163" i="3"/>
  <c r="I156" i="17" s="1"/>
  <c r="N126" i="3"/>
  <c r="I119" i="17" s="1"/>
  <c r="N139" i="3"/>
  <c r="I132" i="17" s="1"/>
  <c r="N123" i="3"/>
  <c r="I116" i="17" s="1"/>
  <c r="N172" i="3"/>
  <c r="I165" i="17" s="1"/>
  <c r="N144" i="3"/>
  <c r="I137" i="17" s="1"/>
  <c r="N159" i="3"/>
  <c r="I152" i="17" s="1"/>
  <c r="N137" i="3"/>
  <c r="I130" i="17" s="1"/>
  <c r="N113" i="3"/>
  <c r="I106" i="17" s="1"/>
  <c r="N157" i="3"/>
  <c r="I150" i="17" s="1"/>
  <c r="H120" i="6"/>
  <c r="C129" i="6"/>
  <c r="G129" i="6" s="1"/>
  <c r="K129" i="6" s="1"/>
  <c r="D131" i="5"/>
  <c r="E131" i="5" s="1"/>
  <c r="C184" i="6"/>
  <c r="G184" i="6" s="1"/>
  <c r="K184" i="6" s="1"/>
  <c r="D186" i="5"/>
  <c r="E186" i="5" s="1"/>
  <c r="C145" i="6"/>
  <c r="G145" i="6" s="1"/>
  <c r="K145" i="6" s="1"/>
  <c r="D147" i="5"/>
  <c r="E147" i="5" s="1"/>
  <c r="C195" i="6"/>
  <c r="G195" i="6" s="1"/>
  <c r="K195" i="6" s="1"/>
  <c r="D197" i="5"/>
  <c r="E197" i="5" s="1"/>
  <c r="C179" i="6"/>
  <c r="G179" i="6" s="1"/>
  <c r="K179" i="6" s="1"/>
  <c r="D181" i="5"/>
  <c r="E181" i="5" s="1"/>
  <c r="C126" i="6"/>
  <c r="G126" i="6" s="1"/>
  <c r="K126" i="6" s="1"/>
  <c r="D128" i="5"/>
  <c r="E128" i="5" s="1"/>
  <c r="C155" i="6"/>
  <c r="G155" i="6" s="1"/>
  <c r="K155" i="6" s="1"/>
  <c r="D157" i="5"/>
  <c r="E157" i="5" s="1"/>
  <c r="C112" i="6"/>
  <c r="G112" i="6" s="1"/>
  <c r="K112" i="6" s="1"/>
  <c r="D114" i="5"/>
  <c r="E114" i="5" s="1"/>
  <c r="C144" i="6"/>
  <c r="G144" i="6" s="1"/>
  <c r="K144" i="6" s="1"/>
  <c r="D146" i="5"/>
  <c r="E146" i="5" s="1"/>
  <c r="C123" i="6"/>
  <c r="G123" i="6" s="1"/>
  <c r="K123" i="6" s="1"/>
  <c r="D125" i="5"/>
  <c r="E125" i="5" s="1"/>
  <c r="C137" i="6"/>
  <c r="G137" i="6" s="1"/>
  <c r="K137" i="6" s="1"/>
  <c r="D139" i="5"/>
  <c r="E139" i="5" s="1"/>
  <c r="C201" i="6"/>
  <c r="G201" i="6" s="1"/>
  <c r="K201" i="6" s="1"/>
  <c r="D203" i="5"/>
  <c r="E203" i="5" s="1"/>
  <c r="C167" i="6"/>
  <c r="G167" i="6" s="1"/>
  <c r="K167" i="6" s="1"/>
  <c r="D169" i="5"/>
  <c r="E169" i="5" s="1"/>
  <c r="C121" i="6"/>
  <c r="G121" i="6" s="1"/>
  <c r="K121" i="6" s="1"/>
  <c r="D123" i="5"/>
  <c r="E123" i="5" s="1"/>
  <c r="C205" i="6"/>
  <c r="G205" i="6" s="1"/>
  <c r="K205" i="6" s="1"/>
  <c r="D207" i="5"/>
  <c r="E207" i="5" s="1"/>
  <c r="C111" i="6"/>
  <c r="G111" i="6" s="1"/>
  <c r="K111" i="6" s="1"/>
  <c r="D113" i="5"/>
  <c r="E113" i="5" s="1"/>
  <c r="C143" i="6"/>
  <c r="G143" i="6" s="1"/>
  <c r="K143" i="6" s="1"/>
  <c r="D145" i="5"/>
  <c r="E145" i="5" s="1"/>
  <c r="C148" i="6"/>
  <c r="G148" i="6" s="1"/>
  <c r="K148" i="6" s="1"/>
  <c r="D150" i="5"/>
  <c r="E150" i="5" s="1"/>
  <c r="C186" i="6"/>
  <c r="G186" i="6" s="1"/>
  <c r="K186" i="6" s="1"/>
  <c r="D188" i="5"/>
  <c r="E188" i="5" s="1"/>
  <c r="C122" i="6"/>
  <c r="G122" i="6" s="1"/>
  <c r="K122" i="6" s="1"/>
  <c r="D124" i="5"/>
  <c r="E124" i="5" s="1"/>
  <c r="C190" i="6"/>
  <c r="G190" i="6" s="1"/>
  <c r="K190" i="6" s="1"/>
  <c r="D192" i="5"/>
  <c r="E192" i="5" s="1"/>
  <c r="C116" i="6"/>
  <c r="G116" i="6" s="1"/>
  <c r="K116" i="6" s="1"/>
  <c r="D118" i="5"/>
  <c r="E118" i="5" s="1"/>
  <c r="C202" i="6"/>
  <c r="G202" i="6" s="1"/>
  <c r="K202" i="6" s="1"/>
  <c r="D204" i="5"/>
  <c r="E204" i="5" s="1"/>
  <c r="C194" i="6"/>
  <c r="G194" i="6" s="1"/>
  <c r="K194" i="6" s="1"/>
  <c r="D196" i="5"/>
  <c r="E196" i="5" s="1"/>
  <c r="C159" i="6"/>
  <c r="G159" i="6" s="1"/>
  <c r="K159" i="6" s="1"/>
  <c r="D161" i="5"/>
  <c r="E161" i="5" s="1"/>
  <c r="C189" i="6"/>
  <c r="G189" i="6" s="1"/>
  <c r="K189" i="6" s="1"/>
  <c r="D191" i="5"/>
  <c r="E191" i="5" s="1"/>
  <c r="C124" i="6"/>
  <c r="G124" i="6" s="1"/>
  <c r="K124" i="6" s="1"/>
  <c r="D126" i="5"/>
  <c r="E126" i="5" s="1"/>
  <c r="C118" i="6"/>
  <c r="G118" i="6" s="1"/>
  <c r="K118" i="6" s="1"/>
  <c r="D120" i="5"/>
  <c r="E120" i="5" s="1"/>
  <c r="C180" i="6"/>
  <c r="G180" i="6" s="1"/>
  <c r="K180" i="6" s="1"/>
  <c r="D182" i="5"/>
  <c r="E182" i="5" s="1"/>
  <c r="C171" i="6"/>
  <c r="G171" i="6" s="1"/>
  <c r="K171" i="6" s="1"/>
  <c r="D173" i="5"/>
  <c r="E173" i="5" s="1"/>
  <c r="C138" i="6"/>
  <c r="G138" i="6" s="1"/>
  <c r="K138" i="6" s="1"/>
  <c r="D140" i="5"/>
  <c r="E140" i="5" s="1"/>
  <c r="C193" i="6"/>
  <c r="G193" i="6" s="1"/>
  <c r="K193" i="6" s="1"/>
  <c r="D195" i="5"/>
  <c r="E195" i="5" s="1"/>
  <c r="C173" i="6"/>
  <c r="G173" i="6" s="1"/>
  <c r="K173" i="6" s="1"/>
  <c r="D175" i="5"/>
  <c r="E175" i="5" s="1"/>
  <c r="C134" i="6"/>
  <c r="G134" i="6" s="1"/>
  <c r="K134" i="6" s="1"/>
  <c r="D136" i="5"/>
  <c r="E136" i="5" s="1"/>
  <c r="C187" i="6"/>
  <c r="G187" i="6" s="1"/>
  <c r="K187" i="6" s="1"/>
  <c r="D189" i="5"/>
  <c r="E189" i="5" s="1"/>
  <c r="C141" i="6"/>
  <c r="G141" i="6" s="1"/>
  <c r="K141" i="6" s="1"/>
  <c r="D143" i="5"/>
  <c r="E143" i="5" s="1"/>
  <c r="C199" i="6"/>
  <c r="G199" i="6" s="1"/>
  <c r="K199" i="6" s="1"/>
  <c r="D201" i="5"/>
  <c r="E201" i="5" s="1"/>
  <c r="C127" i="6"/>
  <c r="G127" i="6" s="1"/>
  <c r="K127" i="6" s="1"/>
  <c r="D129" i="5"/>
  <c r="E129" i="5" s="1"/>
  <c r="C133" i="6"/>
  <c r="G133" i="6" s="1"/>
  <c r="K133" i="6" s="1"/>
  <c r="D135" i="5"/>
  <c r="E135" i="5" s="1"/>
  <c r="C170" i="6"/>
  <c r="G170" i="6" s="1"/>
  <c r="K170" i="6" s="1"/>
  <c r="D172" i="5"/>
  <c r="E172" i="5" s="1"/>
  <c r="D2" i="17"/>
  <c r="D8" i="5"/>
  <c r="E8" i="5" s="1"/>
  <c r="C200" i="6"/>
  <c r="G200" i="6" s="1"/>
  <c r="K200" i="6" s="1"/>
  <c r="D202" i="5"/>
  <c r="E202" i="5" s="1"/>
  <c r="I17" i="14"/>
  <c r="E18" i="14"/>
  <c r="J18" i="14" s="1"/>
  <c r="C17" i="14"/>
  <c r="N164" i="3" l="1"/>
  <c r="I157" i="17" s="1"/>
  <c r="N149" i="3"/>
  <c r="I142" i="17" s="1"/>
  <c r="K157" i="14"/>
  <c r="N179" i="3"/>
  <c r="I172" i="17" s="1"/>
  <c r="K125" i="14"/>
  <c r="L125" i="14" s="1"/>
  <c r="K127" i="14"/>
  <c r="L127" i="14" s="1"/>
  <c r="K204" i="14"/>
  <c r="L204" i="14" s="1"/>
  <c r="N190" i="3"/>
  <c r="I183" i="17" s="1"/>
  <c r="N125" i="3"/>
  <c r="I118" i="17" s="1"/>
  <c r="K162" i="14"/>
  <c r="L162" i="14" s="1"/>
  <c r="N154" i="3"/>
  <c r="I147" i="17" s="1"/>
  <c r="L131" i="14"/>
  <c r="L161" i="14"/>
  <c r="L200" i="14"/>
  <c r="L210" i="14"/>
  <c r="L202" i="14"/>
  <c r="L150" i="14"/>
  <c r="L139" i="14"/>
  <c r="L158" i="14"/>
  <c r="L186" i="14"/>
  <c r="L172" i="14"/>
  <c r="L141" i="14"/>
  <c r="L193" i="14"/>
  <c r="L182" i="14"/>
  <c r="L164" i="14"/>
  <c r="L168" i="14"/>
  <c r="L205" i="14"/>
  <c r="L169" i="14"/>
  <c r="L211" i="14"/>
  <c r="L126" i="14"/>
  <c r="L194" i="14"/>
  <c r="L152" i="14"/>
  <c r="L145" i="14"/>
  <c r="L134" i="14"/>
  <c r="L137" i="14"/>
  <c r="L121" i="14"/>
  <c r="L197" i="14"/>
  <c r="Q206" i="6"/>
  <c r="R206" i="6"/>
  <c r="Q174" i="6"/>
  <c r="R174" i="6"/>
  <c r="Q113" i="6"/>
  <c r="R113" i="6"/>
  <c r="Q178" i="6"/>
  <c r="R178" i="6"/>
  <c r="Q151" i="6"/>
  <c r="R151" i="6"/>
  <c r="Q165" i="6"/>
  <c r="R165" i="6"/>
  <c r="K6" i="6"/>
  <c r="P6" i="6" s="1"/>
  <c r="Q6" i="6" s="1"/>
  <c r="Q135" i="6"/>
  <c r="R135" i="6"/>
  <c r="Q183" i="6"/>
  <c r="R183" i="6"/>
  <c r="Q166" i="6"/>
  <c r="R166" i="6"/>
  <c r="Q128" i="6"/>
  <c r="R128" i="6"/>
  <c r="Q164" i="6"/>
  <c r="R164" i="6"/>
  <c r="Q150" i="6"/>
  <c r="R150" i="6"/>
  <c r="Q139" i="6"/>
  <c r="R139" i="6"/>
  <c r="Q172" i="6"/>
  <c r="R172" i="6"/>
  <c r="Q157" i="6"/>
  <c r="R157" i="6"/>
  <c r="Q136" i="6"/>
  <c r="R136" i="6"/>
  <c r="Q109" i="6"/>
  <c r="R109" i="6"/>
  <c r="Q176" i="6"/>
  <c r="R176" i="6"/>
  <c r="Q108" i="6"/>
  <c r="R108" i="6"/>
  <c r="Q185" i="6"/>
  <c r="R185" i="6"/>
  <c r="Q117" i="6"/>
  <c r="R117" i="6"/>
  <c r="Q192" i="6"/>
  <c r="R192" i="6"/>
  <c r="Q163" i="6"/>
  <c r="R163" i="6"/>
  <c r="Q110" i="6"/>
  <c r="R110" i="6"/>
  <c r="Q204" i="6"/>
  <c r="R204" i="6"/>
  <c r="Q149" i="6"/>
  <c r="R149" i="6"/>
  <c r="Q188" i="6"/>
  <c r="R188" i="6"/>
  <c r="Q140" i="6"/>
  <c r="R140" i="6"/>
  <c r="Q114" i="6"/>
  <c r="R114" i="6"/>
  <c r="Q153" i="6"/>
  <c r="R153" i="6"/>
  <c r="Q131" i="6"/>
  <c r="R131" i="6"/>
  <c r="Q115" i="6"/>
  <c r="R115" i="6"/>
  <c r="Q156" i="6"/>
  <c r="R156" i="6"/>
  <c r="Q181" i="6"/>
  <c r="R181" i="6"/>
  <c r="Q182" i="6"/>
  <c r="R182" i="6"/>
  <c r="Q160" i="6"/>
  <c r="R160" i="6"/>
  <c r="Q198" i="6"/>
  <c r="R198" i="6"/>
  <c r="Q146" i="6"/>
  <c r="R146" i="6"/>
  <c r="Q169" i="6"/>
  <c r="R169" i="6"/>
  <c r="Q119" i="6"/>
  <c r="R119" i="6"/>
  <c r="Q196" i="6"/>
  <c r="R196" i="6"/>
  <c r="Q130" i="6"/>
  <c r="R130" i="6"/>
  <c r="Q154" i="6"/>
  <c r="R154" i="6"/>
  <c r="Q191" i="6"/>
  <c r="R191" i="6"/>
  <c r="Q147" i="6"/>
  <c r="R147" i="6"/>
  <c r="Q132" i="6"/>
  <c r="R132" i="6"/>
  <c r="Q203" i="6"/>
  <c r="R203" i="6"/>
  <c r="Q197" i="6"/>
  <c r="R197" i="6"/>
  <c r="Q162" i="6"/>
  <c r="R162" i="6"/>
  <c r="Q175" i="6"/>
  <c r="R175" i="6"/>
  <c r="Q177" i="6"/>
  <c r="R177" i="6"/>
  <c r="Q158" i="6"/>
  <c r="R158" i="6"/>
  <c r="Q161" i="6"/>
  <c r="R161" i="6"/>
  <c r="Q120" i="6"/>
  <c r="R120" i="6"/>
  <c r="Q152" i="6"/>
  <c r="R152" i="6"/>
  <c r="Q168" i="6"/>
  <c r="R168" i="6"/>
  <c r="Q142" i="6"/>
  <c r="R142" i="6"/>
  <c r="Q125" i="6"/>
  <c r="R125" i="6"/>
  <c r="L209" i="14"/>
  <c r="L195" i="14"/>
  <c r="L192" i="14"/>
  <c r="L167" i="14"/>
  <c r="L165" i="14"/>
  <c r="L183" i="14"/>
  <c r="L216" i="14"/>
  <c r="L144" i="14"/>
  <c r="L122" i="14"/>
  <c r="L189" i="14"/>
  <c r="L187" i="14"/>
  <c r="L180" i="14"/>
  <c r="L199" i="14"/>
  <c r="L188" i="14"/>
  <c r="L154" i="14"/>
  <c r="L170" i="14"/>
  <c r="L146" i="14"/>
  <c r="L175" i="14"/>
  <c r="L159" i="14"/>
  <c r="L153" i="14"/>
  <c r="L18" i="14"/>
  <c r="N18" i="14" s="1"/>
  <c r="L198" i="14"/>
  <c r="L184" i="14"/>
  <c r="L135" i="14"/>
  <c r="L176" i="14"/>
  <c r="L191" i="14"/>
  <c r="L179" i="14"/>
  <c r="L201" i="14"/>
  <c r="L119" i="14"/>
  <c r="L174" i="14"/>
  <c r="L160" i="14"/>
  <c r="L140" i="14"/>
  <c r="L181" i="14"/>
  <c r="L185" i="14"/>
  <c r="L213" i="14"/>
  <c r="L120" i="14"/>
  <c r="L132" i="14"/>
  <c r="L128" i="14"/>
  <c r="L133" i="14"/>
  <c r="L207" i="14"/>
  <c r="L129" i="14"/>
  <c r="L203" i="14"/>
  <c r="L206" i="14"/>
  <c r="L196" i="14"/>
  <c r="L136" i="14"/>
  <c r="L138" i="14"/>
  <c r="L212" i="14"/>
  <c r="L173" i="14"/>
  <c r="L177" i="14"/>
  <c r="L155" i="14"/>
  <c r="L163" i="14"/>
  <c r="L214" i="14"/>
  <c r="L143" i="14"/>
  <c r="L217" i="14"/>
  <c r="L190" i="14"/>
  <c r="L123" i="14"/>
  <c r="L208" i="14"/>
  <c r="L157" i="14"/>
  <c r="L130" i="14"/>
  <c r="L166" i="14"/>
  <c r="L215" i="14"/>
  <c r="L156" i="14"/>
  <c r="L148" i="14"/>
  <c r="L149" i="14"/>
  <c r="L171" i="14"/>
  <c r="L147" i="14"/>
  <c r="L151" i="14"/>
  <c r="L178" i="14"/>
  <c r="K17" i="14"/>
  <c r="L124" i="14"/>
  <c r="L142" i="14"/>
  <c r="S204" i="13"/>
  <c r="C201" i="17" s="1"/>
  <c r="P202" i="6"/>
  <c r="O202" i="6"/>
  <c r="P184" i="6"/>
  <c r="O184" i="6"/>
  <c r="P190" i="6"/>
  <c r="O190" i="6"/>
  <c r="P171" i="6"/>
  <c r="O171" i="6"/>
  <c r="O180" i="6"/>
  <c r="P180" i="6"/>
  <c r="P127" i="6"/>
  <c r="O127" i="6"/>
  <c r="P118" i="6"/>
  <c r="O118" i="6"/>
  <c r="P148" i="6"/>
  <c r="O148" i="6"/>
  <c r="P112" i="6"/>
  <c r="O112" i="6"/>
  <c r="P201" i="6"/>
  <c r="O201" i="6"/>
  <c r="P122" i="6"/>
  <c r="O122" i="6"/>
  <c r="P144" i="6"/>
  <c r="O144" i="6"/>
  <c r="P199" i="6"/>
  <c r="O199" i="6"/>
  <c r="P211" i="6"/>
  <c r="O211" i="6"/>
  <c r="P111" i="6"/>
  <c r="O111" i="6"/>
  <c r="P167" i="6"/>
  <c r="O167" i="6"/>
  <c r="P193" i="6"/>
  <c r="O193" i="6"/>
  <c r="P137" i="6"/>
  <c r="O137" i="6"/>
  <c r="P133" i="6"/>
  <c r="O133" i="6"/>
  <c r="P124" i="6"/>
  <c r="O124" i="6"/>
  <c r="P189" i="6"/>
  <c r="O189" i="6"/>
  <c r="P126" i="6"/>
  <c r="O126" i="6"/>
  <c r="O179" i="6"/>
  <c r="P179" i="6"/>
  <c r="P173" i="6"/>
  <c r="O173" i="6"/>
  <c r="P116" i="6"/>
  <c r="O116" i="6"/>
  <c r="P129" i="6"/>
  <c r="O129" i="6"/>
  <c r="P123" i="6"/>
  <c r="O123" i="6"/>
  <c r="P186" i="6"/>
  <c r="O186" i="6"/>
  <c r="P143" i="6"/>
  <c r="O143" i="6"/>
  <c r="P141" i="6"/>
  <c r="O141" i="6"/>
  <c r="P187" i="6"/>
  <c r="O187" i="6"/>
  <c r="P159" i="6"/>
  <c r="O159" i="6"/>
  <c r="P205" i="6"/>
  <c r="O205" i="6"/>
  <c r="P145" i="6"/>
  <c r="O145" i="6"/>
  <c r="P200" i="6"/>
  <c r="O200" i="6"/>
  <c r="P138" i="6"/>
  <c r="O138" i="6"/>
  <c r="P170" i="6"/>
  <c r="O170" i="6"/>
  <c r="P155" i="6"/>
  <c r="O155" i="6"/>
  <c r="P134" i="6"/>
  <c r="O134" i="6"/>
  <c r="P194" i="6"/>
  <c r="O194" i="6"/>
  <c r="P121" i="6"/>
  <c r="O121" i="6"/>
  <c r="P195" i="6"/>
  <c r="O195" i="6"/>
  <c r="J202" i="11"/>
  <c r="K202" i="11" s="1"/>
  <c r="G202" i="11"/>
  <c r="J179" i="11"/>
  <c r="K179" i="11" s="1"/>
  <c r="G179" i="11"/>
  <c r="J111" i="11"/>
  <c r="K111" i="11" s="1"/>
  <c r="G111" i="11"/>
  <c r="J144" i="11"/>
  <c r="K144" i="11" s="1"/>
  <c r="G144" i="11"/>
  <c r="J173" i="11"/>
  <c r="K173" i="11" s="1"/>
  <c r="G173" i="11"/>
  <c r="J200" i="11"/>
  <c r="K200" i="11" s="1"/>
  <c r="G200" i="11"/>
  <c r="J121" i="11"/>
  <c r="K121" i="11" s="1"/>
  <c r="G121" i="11"/>
  <c r="J122" i="11"/>
  <c r="K122" i="11" s="1"/>
  <c r="G122" i="11"/>
  <c r="J123" i="11"/>
  <c r="K123" i="11" s="1"/>
  <c r="G123" i="11"/>
  <c r="J155" i="11"/>
  <c r="K155" i="11" s="1"/>
  <c r="G155" i="11"/>
  <c r="J170" i="11"/>
  <c r="K170" i="11" s="1"/>
  <c r="G170" i="11"/>
  <c r="J6" i="11"/>
  <c r="K6" i="11" s="1"/>
  <c r="G6" i="11"/>
  <c r="J199" i="11"/>
  <c r="K199" i="11" s="1"/>
  <c r="G199" i="11"/>
  <c r="J134" i="11"/>
  <c r="K134" i="11" s="1"/>
  <c r="G134" i="11"/>
  <c r="J124" i="11"/>
  <c r="K124" i="11" s="1"/>
  <c r="G124" i="11"/>
  <c r="J112" i="11"/>
  <c r="K112" i="11" s="1"/>
  <c r="G112" i="11"/>
  <c r="J189" i="11"/>
  <c r="K189" i="11" s="1"/>
  <c r="G189" i="11"/>
  <c r="J194" i="11"/>
  <c r="K194" i="11" s="1"/>
  <c r="G194" i="11"/>
  <c r="J167" i="11"/>
  <c r="K167" i="11" s="1"/>
  <c r="G167" i="11"/>
  <c r="J143" i="11"/>
  <c r="K143" i="11" s="1"/>
  <c r="G143" i="11"/>
  <c r="J148" i="11"/>
  <c r="K148" i="11" s="1"/>
  <c r="G148" i="11"/>
  <c r="J193" i="11"/>
  <c r="K193" i="11" s="1"/>
  <c r="G193" i="11"/>
  <c r="J171" i="11"/>
  <c r="K171" i="11" s="1"/>
  <c r="G171" i="11"/>
  <c r="J116" i="11"/>
  <c r="K116" i="11" s="1"/>
  <c r="G116" i="11"/>
  <c r="J138" i="11"/>
  <c r="K138" i="11" s="1"/>
  <c r="G138" i="11"/>
  <c r="J141" i="11"/>
  <c r="K141" i="11" s="1"/>
  <c r="G141" i="11"/>
  <c r="J126" i="11"/>
  <c r="K126" i="11" s="1"/>
  <c r="G126" i="11"/>
  <c r="J201" i="11"/>
  <c r="K201" i="11" s="1"/>
  <c r="G201" i="11"/>
  <c r="J195" i="11"/>
  <c r="K195" i="11" s="1"/>
  <c r="G195" i="11"/>
  <c r="J184" i="11"/>
  <c r="K184" i="11" s="1"/>
  <c r="G184" i="11"/>
  <c r="J129" i="11"/>
  <c r="K129" i="11" s="1"/>
  <c r="G129" i="11"/>
  <c r="J133" i="11"/>
  <c r="K133" i="11" s="1"/>
  <c r="G133" i="11"/>
  <c r="J186" i="11"/>
  <c r="K186" i="11" s="1"/>
  <c r="G186" i="11"/>
  <c r="J180" i="11"/>
  <c r="K180" i="11" s="1"/>
  <c r="G180" i="11"/>
  <c r="J127" i="11"/>
  <c r="K127" i="11" s="1"/>
  <c r="G127" i="11"/>
  <c r="J118" i="11"/>
  <c r="K118" i="11" s="1"/>
  <c r="G118" i="11"/>
  <c r="J187" i="11"/>
  <c r="K187" i="11" s="1"/>
  <c r="G187" i="11"/>
  <c r="J205" i="11"/>
  <c r="K205" i="11" s="1"/>
  <c r="G205" i="11"/>
  <c r="J159" i="11"/>
  <c r="K159" i="11" s="1"/>
  <c r="G159" i="11"/>
  <c r="J145" i="11"/>
  <c r="K145" i="11" s="1"/>
  <c r="G145" i="11"/>
  <c r="J137" i="11"/>
  <c r="K137" i="11" s="1"/>
  <c r="G137" i="11"/>
  <c r="J190" i="11"/>
  <c r="K190" i="11" s="1"/>
  <c r="G190" i="11"/>
  <c r="F211" i="11"/>
  <c r="S199" i="13"/>
  <c r="C196" i="17" s="1"/>
  <c r="S198" i="13"/>
  <c r="C195" i="17" s="1"/>
  <c r="S203" i="13"/>
  <c r="C200" i="17" s="1"/>
  <c r="S201" i="13"/>
  <c r="C198" i="17" s="1"/>
  <c r="C199" i="17"/>
  <c r="S197" i="13"/>
  <c r="C194" i="17" s="1"/>
  <c r="S200" i="13"/>
  <c r="C197" i="17" s="1"/>
  <c r="S192" i="13"/>
  <c r="C189" i="17" s="1"/>
  <c r="S117" i="13"/>
  <c r="C114" i="17" s="1"/>
  <c r="S142" i="13"/>
  <c r="C139" i="17" s="1"/>
  <c r="S170" i="13"/>
  <c r="C167" i="17" s="1"/>
  <c r="S166" i="13"/>
  <c r="C163" i="17" s="1"/>
  <c r="E195" i="27"/>
  <c r="E200" i="27"/>
  <c r="E199" i="27"/>
  <c r="E116" i="27"/>
  <c r="E201" i="27"/>
  <c r="E173" i="27"/>
  <c r="E111" i="27"/>
  <c r="E122" i="27"/>
  <c r="E133" i="27"/>
  <c r="E144" i="27"/>
  <c r="E134" i="27"/>
  <c r="E141" i="27"/>
  <c r="S144" i="13"/>
  <c r="C141" i="17" s="1"/>
  <c r="E127" i="27"/>
  <c r="E123" i="27"/>
  <c r="E126" i="27"/>
  <c r="E184" i="27"/>
  <c r="E148" i="27"/>
  <c r="E7" i="27"/>
  <c r="S193" i="13"/>
  <c r="C190" i="17" s="1"/>
  <c r="E170" i="27"/>
  <c r="E193" i="27"/>
  <c r="E187" i="27"/>
  <c r="E205" i="27"/>
  <c r="E167" i="27"/>
  <c r="E186" i="27"/>
  <c r="E159" i="27"/>
  <c r="E190" i="27"/>
  <c r="E121" i="27"/>
  <c r="E6" i="27"/>
  <c r="E143" i="27"/>
  <c r="E171" i="27"/>
  <c r="E209" i="27"/>
  <c r="E194" i="27"/>
  <c r="E179" i="27"/>
  <c r="E129" i="27"/>
  <c r="E202" i="27"/>
  <c r="E189" i="27"/>
  <c r="E145" i="27"/>
  <c r="E118" i="27"/>
  <c r="E112" i="27"/>
  <c r="E138" i="27"/>
  <c r="E180" i="27"/>
  <c r="E155" i="27"/>
  <c r="E124" i="27"/>
  <c r="E137" i="27"/>
  <c r="S110" i="13"/>
  <c r="C107" i="17" s="1"/>
  <c r="S154" i="13"/>
  <c r="C151" i="17" s="1"/>
  <c r="S136" i="13"/>
  <c r="C133" i="17" s="1"/>
  <c r="S132" i="13"/>
  <c r="C129" i="17" s="1"/>
  <c r="S143" i="13"/>
  <c r="C140" i="17" s="1"/>
  <c r="S128" i="13"/>
  <c r="C125" i="17" s="1"/>
  <c r="S115" i="13"/>
  <c r="C112" i="17" s="1"/>
  <c r="S188" i="13"/>
  <c r="C185" i="17" s="1"/>
  <c r="S194" i="13"/>
  <c r="C191" i="17" s="1"/>
  <c r="H208" i="13"/>
  <c r="S208" i="13" s="1"/>
  <c r="E90" i="10" s="1"/>
  <c r="S186" i="13"/>
  <c r="C183" i="17" s="1"/>
  <c r="S178" i="13"/>
  <c r="C175" i="17" s="1"/>
  <c r="S124" i="13"/>
  <c r="C121" i="17" s="1"/>
  <c r="S145" i="13"/>
  <c r="C142" i="17" s="1"/>
  <c r="S137" i="13"/>
  <c r="C134" i="17" s="1"/>
  <c r="S126" i="13"/>
  <c r="C123" i="17" s="1"/>
  <c r="S156" i="13"/>
  <c r="C153" i="17" s="1"/>
  <c r="S183" i="13"/>
  <c r="C180" i="17" s="1"/>
  <c r="S141" i="13"/>
  <c r="C138" i="17" s="1"/>
  <c r="S195" i="13"/>
  <c r="C192" i="17" s="1"/>
  <c r="S129" i="13"/>
  <c r="C126" i="17" s="1"/>
  <c r="S169" i="13"/>
  <c r="C166" i="17" s="1"/>
  <c r="S147" i="13"/>
  <c r="C144" i="17" s="1"/>
  <c r="S123" i="13"/>
  <c r="C120" i="17" s="1"/>
  <c r="S181" i="13"/>
  <c r="C178" i="17" s="1"/>
  <c r="S112" i="13"/>
  <c r="C109" i="17" s="1"/>
  <c r="S165" i="13"/>
  <c r="C162" i="17" s="1"/>
  <c r="S131" i="13"/>
  <c r="C128" i="17" s="1"/>
  <c r="S159" i="13"/>
  <c r="C156" i="17" s="1"/>
  <c r="S168" i="13"/>
  <c r="C165" i="17" s="1"/>
  <c r="S176" i="13"/>
  <c r="C173" i="17" s="1"/>
  <c r="S153" i="13"/>
  <c r="C150" i="17" s="1"/>
  <c r="S180" i="13"/>
  <c r="C177" i="17" s="1"/>
  <c r="S175" i="13"/>
  <c r="C172" i="17" s="1"/>
  <c r="S184" i="13"/>
  <c r="C181" i="17" s="1"/>
  <c r="S172" i="13"/>
  <c r="C169" i="17" s="1"/>
  <c r="S152" i="13"/>
  <c r="C149" i="17" s="1"/>
  <c r="S114" i="13"/>
  <c r="C111" i="17" s="1"/>
  <c r="S119" i="13"/>
  <c r="C116" i="17" s="1"/>
  <c r="S151" i="13"/>
  <c r="C148" i="17" s="1"/>
  <c r="S173" i="13"/>
  <c r="C170" i="17" s="1"/>
  <c r="S118" i="13"/>
  <c r="C115" i="17" s="1"/>
  <c r="S167" i="13"/>
  <c r="C164" i="17" s="1"/>
  <c r="S163" i="13"/>
  <c r="C160" i="17" s="1"/>
  <c r="S171" i="13"/>
  <c r="C168" i="17" s="1"/>
  <c r="S177" i="13"/>
  <c r="C174" i="17" s="1"/>
  <c r="S161" i="13"/>
  <c r="C158" i="17" s="1"/>
  <c r="S121" i="13"/>
  <c r="C118" i="17" s="1"/>
  <c r="S109" i="13"/>
  <c r="C106" i="17" s="1"/>
  <c r="S120" i="13"/>
  <c r="C117" i="17" s="1"/>
  <c r="S179" i="13"/>
  <c r="C176" i="17" s="1"/>
  <c r="S185" i="13"/>
  <c r="C182" i="17" s="1"/>
  <c r="S155" i="13"/>
  <c r="C152" i="17" s="1"/>
  <c r="S191" i="13"/>
  <c r="C188" i="17" s="1"/>
  <c r="S133" i="13"/>
  <c r="C130" i="17" s="1"/>
  <c r="S113" i="13"/>
  <c r="C110" i="17" s="1"/>
  <c r="S130" i="13"/>
  <c r="C127" i="17" s="1"/>
  <c r="S138" i="13"/>
  <c r="C135" i="17" s="1"/>
  <c r="P133" i="17" s="1"/>
  <c r="S139" i="13"/>
  <c r="C136" i="17" s="1"/>
  <c r="S160" i="13"/>
  <c r="C157" i="17" s="1"/>
  <c r="S162" i="13"/>
  <c r="C159" i="17" s="1"/>
  <c r="S150" i="13"/>
  <c r="C147" i="17" s="1"/>
  <c r="S146" i="13"/>
  <c r="C143" i="17" s="1"/>
  <c r="S149" i="13"/>
  <c r="C146" i="17" s="1"/>
  <c r="S122" i="13"/>
  <c r="C119" i="17" s="1"/>
  <c r="S189" i="13"/>
  <c r="C186" i="17" s="1"/>
  <c r="S116" i="13"/>
  <c r="C113" i="17" s="1"/>
  <c r="S196" i="13"/>
  <c r="C193" i="17" s="1"/>
  <c r="S157" i="13"/>
  <c r="C154" i="17" s="1"/>
  <c r="S182" i="13"/>
  <c r="C179" i="17" s="1"/>
  <c r="S125" i="13"/>
  <c r="C122" i="17" s="1"/>
  <c r="S127" i="13"/>
  <c r="C124" i="17" s="1"/>
  <c r="S135" i="13"/>
  <c r="C132" i="17" s="1"/>
  <c r="S190" i="13"/>
  <c r="C187" i="17" s="1"/>
  <c r="S5" i="13"/>
  <c r="C2" i="17" s="1"/>
  <c r="S164" i="13"/>
  <c r="C161" i="17" s="1"/>
  <c r="S134" i="13"/>
  <c r="C131" i="17" s="1"/>
  <c r="S174" i="13"/>
  <c r="C171" i="17" s="1"/>
  <c r="S111" i="13"/>
  <c r="C108" i="17" s="1"/>
  <c r="S158" i="13"/>
  <c r="C155" i="17" s="1"/>
  <c r="S187" i="13"/>
  <c r="C184" i="17" s="1"/>
  <c r="S148" i="13"/>
  <c r="C145" i="17" s="1"/>
  <c r="S210" i="13"/>
  <c r="E91" i="10" s="1"/>
  <c r="S140" i="13"/>
  <c r="C137" i="17" s="1"/>
  <c r="H132" i="6"/>
  <c r="C7" i="11"/>
  <c r="H6" i="13"/>
  <c r="S6" i="13" s="1"/>
  <c r="C3" i="17" s="1"/>
  <c r="H174" i="6"/>
  <c r="H192" i="6"/>
  <c r="H183" i="6"/>
  <c r="H119" i="6"/>
  <c r="H158" i="6"/>
  <c r="H177" i="6"/>
  <c r="H203" i="6"/>
  <c r="H157" i="6"/>
  <c r="H147" i="6"/>
  <c r="H176" i="6"/>
  <c r="H146" i="6"/>
  <c r="H130" i="6"/>
  <c r="H164" i="6"/>
  <c r="H156" i="6"/>
  <c r="H161" i="6"/>
  <c r="H182" i="6"/>
  <c r="H172" i="6"/>
  <c r="H138" i="6"/>
  <c r="H171" i="6"/>
  <c r="H122" i="6"/>
  <c r="H154" i="6"/>
  <c r="H125" i="6"/>
  <c r="H168" i="6"/>
  <c r="H127" i="6"/>
  <c r="H190" i="6"/>
  <c r="H141" i="6"/>
  <c r="H116" i="6"/>
  <c r="H153" i="6"/>
  <c r="H142" i="6"/>
  <c r="H197" i="6"/>
  <c r="H152" i="6"/>
  <c r="H118" i="6"/>
  <c r="H145" i="6"/>
  <c r="H200" i="6"/>
  <c r="H117" i="6"/>
  <c r="H199" i="6"/>
  <c r="H180" i="6"/>
  <c r="H195" i="6"/>
  <c r="H111" i="6"/>
  <c r="H151" i="6"/>
  <c r="H137" i="6"/>
  <c r="H189" i="6"/>
  <c r="H159" i="6"/>
  <c r="H202" i="6"/>
  <c r="H193" i="6"/>
  <c r="H194" i="6"/>
  <c r="H205" i="6"/>
  <c r="H129" i="6"/>
  <c r="C209" i="11"/>
  <c r="H211" i="6"/>
  <c r="C209" i="6"/>
  <c r="G209" i="6" s="1"/>
  <c r="D211" i="5"/>
  <c r="E211" i="5" s="1"/>
  <c r="L90" i="10"/>
  <c r="N149" i="11"/>
  <c r="D9" i="5"/>
  <c r="E9" i="5" s="1"/>
  <c r="D3" i="17"/>
  <c r="C7" i="6"/>
  <c r="G7" i="6" s="1"/>
  <c r="K7" i="6" s="1"/>
  <c r="N113" i="11"/>
  <c r="Q113" i="11" s="1"/>
  <c r="N132" i="11"/>
  <c r="Q132" i="11" s="1"/>
  <c r="N198" i="11"/>
  <c r="Q198" i="11" s="1"/>
  <c r="N136" i="11"/>
  <c r="Q136" i="11" s="1"/>
  <c r="N204" i="11"/>
  <c r="N114" i="11"/>
  <c r="Q114" i="11" s="1"/>
  <c r="N181" i="11"/>
  <c r="N172" i="11"/>
  <c r="Q172" i="11" s="1"/>
  <c r="N115" i="11"/>
  <c r="N139" i="11"/>
  <c r="N125" i="11"/>
  <c r="Q125" i="11" s="1"/>
  <c r="N146" i="11"/>
  <c r="N117" i="11"/>
  <c r="N174" i="11"/>
  <c r="N206" i="11"/>
  <c r="N135" i="11"/>
  <c r="Q135" i="11" s="1"/>
  <c r="N197" i="11"/>
  <c r="N158" i="11"/>
  <c r="Q158" i="11" s="1"/>
  <c r="N183" i="11"/>
  <c r="Q183" i="11" s="1"/>
  <c r="N152" i="11"/>
  <c r="Q152" i="11" s="1"/>
  <c r="N150" i="11"/>
  <c r="Q150" i="11" s="1"/>
  <c r="N160" i="11"/>
  <c r="Q160" i="11" s="1"/>
  <c r="N192" i="11"/>
  <c r="Q192" i="11" s="1"/>
  <c r="N163" i="11"/>
  <c r="N147" i="11"/>
  <c r="Q147" i="11" s="1"/>
  <c r="N9" i="3"/>
  <c r="I2" i="17" s="1"/>
  <c r="N164" i="11"/>
  <c r="Q164" i="11" s="1"/>
  <c r="N154" i="11"/>
  <c r="Q154" i="11" s="1"/>
  <c r="N175" i="11"/>
  <c r="Q175" i="11" s="1"/>
  <c r="N109" i="11"/>
  <c r="Q109" i="11" s="1"/>
  <c r="L195" i="11"/>
  <c r="N191" i="11"/>
  <c r="Q191" i="11" s="1"/>
  <c r="N157" i="11"/>
  <c r="Q157" i="11" s="1"/>
  <c r="L121" i="11"/>
  <c r="N130" i="11"/>
  <c r="N131" i="11"/>
  <c r="Q131" i="11" s="1"/>
  <c r="N182" i="11"/>
  <c r="Q182" i="11" s="1"/>
  <c r="L116" i="11"/>
  <c r="L145" i="11"/>
  <c r="N151" i="11"/>
  <c r="Q151" i="11" s="1"/>
  <c r="L126" i="11"/>
  <c r="L111" i="11"/>
  <c r="L199" i="11"/>
  <c r="N128" i="11"/>
  <c r="L189" i="11"/>
  <c r="N165" i="11"/>
  <c r="L205" i="11"/>
  <c r="L167" i="11"/>
  <c r="L186" i="11"/>
  <c r="L134" i="11"/>
  <c r="L122" i="11"/>
  <c r="L200" i="11"/>
  <c r="N168" i="11"/>
  <c r="L129" i="11"/>
  <c r="L173" i="11"/>
  <c r="N153" i="11"/>
  <c r="N142" i="11"/>
  <c r="N169" i="11"/>
  <c r="N108" i="11"/>
  <c r="Q108" i="11" s="1"/>
  <c r="L193" i="11"/>
  <c r="L180" i="11"/>
  <c r="L155" i="11"/>
  <c r="L127" i="11"/>
  <c r="N185" i="11"/>
  <c r="Q185" i="11" s="1"/>
  <c r="N178" i="11"/>
  <c r="Q178" i="11" s="1"/>
  <c r="N120" i="11"/>
  <c r="Q120" i="11" s="1"/>
  <c r="N177" i="11"/>
  <c r="Q177" i="11" s="1"/>
  <c r="N203" i="11"/>
  <c r="Q203" i="11" s="1"/>
  <c r="L201" i="11"/>
  <c r="L138" i="11"/>
  <c r="L118" i="11"/>
  <c r="N161" i="11"/>
  <c r="N176" i="11"/>
  <c r="L184" i="11"/>
  <c r="L137" i="11"/>
  <c r="L123" i="11"/>
  <c r="L124" i="11"/>
  <c r="N119" i="11"/>
  <c r="L190" i="11"/>
  <c r="L179" i="11"/>
  <c r="L170" i="11"/>
  <c r="N156" i="11"/>
  <c r="Q156" i="11" s="1"/>
  <c r="N196" i="11"/>
  <c r="L112" i="11"/>
  <c r="L148" i="11"/>
  <c r="L187" i="11"/>
  <c r="L143" i="11"/>
  <c r="N162" i="11"/>
  <c r="Q162" i="11" s="1"/>
  <c r="L171" i="11"/>
  <c r="L159" i="11"/>
  <c r="L141" i="11"/>
  <c r="L194" i="11"/>
  <c r="L202" i="11"/>
  <c r="L133" i="11"/>
  <c r="N110" i="11"/>
  <c r="Q110" i="11" s="1"/>
  <c r="N140" i="11"/>
  <c r="Q140" i="11" s="1"/>
  <c r="N188" i="11"/>
  <c r="Q188" i="11" s="1"/>
  <c r="L144" i="11"/>
  <c r="N166" i="11"/>
  <c r="Q166" i="11" s="1"/>
  <c r="B103" i="17"/>
  <c r="B102" i="17"/>
  <c r="B101" i="17"/>
  <c r="B100" i="17"/>
  <c r="B99" i="17"/>
  <c r="B98" i="17"/>
  <c r="B97" i="17"/>
  <c r="B96" i="17"/>
  <c r="B95" i="17"/>
  <c r="B94" i="17"/>
  <c r="B93" i="17"/>
  <c r="B92" i="17"/>
  <c r="B91" i="17"/>
  <c r="B90" i="17"/>
  <c r="B89" i="17"/>
  <c r="B88" i="17"/>
  <c r="B87" i="17"/>
  <c r="B86" i="17"/>
  <c r="B85" i="17"/>
  <c r="B84" i="17"/>
  <c r="B83" i="17"/>
  <c r="B82" i="17"/>
  <c r="B81" i="17"/>
  <c r="B80" i="17"/>
  <c r="B79" i="17"/>
  <c r="B78" i="17"/>
  <c r="B77" i="17"/>
  <c r="B76" i="17"/>
  <c r="B75" i="17"/>
  <c r="B74" i="17"/>
  <c r="B73" i="17"/>
  <c r="B72" i="17"/>
  <c r="B71" i="17"/>
  <c r="B70" i="17"/>
  <c r="B69" i="17"/>
  <c r="B68" i="17"/>
  <c r="B67" i="17"/>
  <c r="B66" i="17"/>
  <c r="B65" i="17"/>
  <c r="B64" i="17"/>
  <c r="B63" i="17"/>
  <c r="B62" i="17"/>
  <c r="B61" i="17"/>
  <c r="B60" i="17"/>
  <c r="B59" i="17"/>
  <c r="B58" i="17"/>
  <c r="B57" i="17"/>
  <c r="B56" i="17"/>
  <c r="B55" i="17"/>
  <c r="B54" i="17"/>
  <c r="B53" i="17"/>
  <c r="B52" i="17"/>
  <c r="B51" i="17"/>
  <c r="B50" i="17"/>
  <c r="B49" i="17"/>
  <c r="B48" i="17"/>
  <c r="B47" i="17"/>
  <c r="B46" i="17"/>
  <c r="B45" i="17"/>
  <c r="B44" i="17"/>
  <c r="B43" i="17"/>
  <c r="B42" i="17"/>
  <c r="B41" i="17"/>
  <c r="B40" i="17"/>
  <c r="B39" i="17"/>
  <c r="B38" i="17"/>
  <c r="B37" i="17"/>
  <c r="B36" i="17"/>
  <c r="B35" i="17"/>
  <c r="B34" i="17"/>
  <c r="B33" i="17"/>
  <c r="B32" i="17"/>
  <c r="B31" i="17"/>
  <c r="B30" i="17"/>
  <c r="B29" i="17"/>
  <c r="B28" i="17"/>
  <c r="B27" i="17"/>
  <c r="B26" i="17"/>
  <c r="B25" i="17"/>
  <c r="B24" i="17"/>
  <c r="B23" i="17"/>
  <c r="B22" i="17"/>
  <c r="B21" i="17"/>
  <c r="B20" i="17"/>
  <c r="B19" i="17"/>
  <c r="B18" i="17"/>
  <c r="B17" i="17"/>
  <c r="B16" i="17"/>
  <c r="B15" i="17"/>
  <c r="B14" i="17"/>
  <c r="B13" i="17"/>
  <c r="B12" i="17"/>
  <c r="B11" i="17"/>
  <c r="B10" i="17"/>
  <c r="B9" i="17"/>
  <c r="B8" i="17"/>
  <c r="B7" i="17"/>
  <c r="B6" i="17"/>
  <c r="B5" i="17"/>
  <c r="B4" i="17"/>
  <c r="F1" i="14"/>
  <c r="B118" i="14"/>
  <c r="D118" i="14" s="1"/>
  <c r="B117" i="14"/>
  <c r="D117" i="14" s="1"/>
  <c r="B116" i="14"/>
  <c r="D116" i="14" s="1"/>
  <c r="B115" i="14"/>
  <c r="B114" i="14"/>
  <c r="B113" i="14"/>
  <c r="D113" i="14" s="1"/>
  <c r="B112" i="14"/>
  <c r="D112" i="14" s="1"/>
  <c r="B111" i="14"/>
  <c r="D111" i="14" s="1"/>
  <c r="B110" i="14"/>
  <c r="B109" i="14"/>
  <c r="B108" i="14"/>
  <c r="D108" i="14" s="1"/>
  <c r="B107" i="14"/>
  <c r="D107" i="14" s="1"/>
  <c r="B106" i="14"/>
  <c r="D106" i="14" s="1"/>
  <c r="B105" i="14"/>
  <c r="B104" i="14"/>
  <c r="D104" i="14" s="1"/>
  <c r="B103" i="14"/>
  <c r="B102" i="14"/>
  <c r="D102" i="14" s="1"/>
  <c r="B101" i="14"/>
  <c r="D101" i="14" s="1"/>
  <c r="B100" i="14"/>
  <c r="B99" i="14"/>
  <c r="D99" i="14" s="1"/>
  <c r="B98" i="14"/>
  <c r="D98" i="14" s="1"/>
  <c r="B97" i="14"/>
  <c r="D97" i="14" s="1"/>
  <c r="B96" i="14"/>
  <c r="D96" i="14" s="1"/>
  <c r="B95" i="14"/>
  <c r="B94" i="14"/>
  <c r="D94" i="14" s="1"/>
  <c r="B93" i="14"/>
  <c r="D93" i="14" s="1"/>
  <c r="B92" i="14"/>
  <c r="D92" i="14" s="1"/>
  <c r="B91" i="14"/>
  <c r="D91" i="14" s="1"/>
  <c r="B90" i="14"/>
  <c r="B89" i="14"/>
  <c r="D89" i="14" s="1"/>
  <c r="B88" i="14"/>
  <c r="B87" i="14"/>
  <c r="D87" i="14" s="1"/>
  <c r="B86" i="14"/>
  <c r="B85" i="14"/>
  <c r="B84" i="14"/>
  <c r="B83" i="14"/>
  <c r="D83" i="14" s="1"/>
  <c r="B82" i="14"/>
  <c r="D82" i="14" s="1"/>
  <c r="B81" i="14"/>
  <c r="D81" i="14" s="1"/>
  <c r="B80" i="14"/>
  <c r="B79" i="14"/>
  <c r="B78" i="14"/>
  <c r="B77" i="14"/>
  <c r="D77" i="14" s="1"/>
  <c r="B76" i="14"/>
  <c r="D76" i="14" s="1"/>
  <c r="B75" i="14"/>
  <c r="B74" i="14"/>
  <c r="D74" i="14" s="1"/>
  <c r="B73" i="14"/>
  <c r="D73" i="14" s="1"/>
  <c r="B72" i="14"/>
  <c r="D72" i="14" s="1"/>
  <c r="B71" i="14"/>
  <c r="D71" i="14" s="1"/>
  <c r="B70" i="14"/>
  <c r="B69" i="14"/>
  <c r="D69" i="14" s="1"/>
  <c r="B68" i="14"/>
  <c r="B67" i="14"/>
  <c r="D67" i="14" s="1"/>
  <c r="B66" i="14"/>
  <c r="D66" i="14" s="1"/>
  <c r="B65" i="14"/>
  <c r="D65" i="14" s="1"/>
  <c r="B64" i="14"/>
  <c r="B63" i="14"/>
  <c r="D63" i="14" s="1"/>
  <c r="B62" i="14"/>
  <c r="D62" i="14" s="1"/>
  <c r="B61" i="14"/>
  <c r="D61" i="14" s="1"/>
  <c r="B60" i="14"/>
  <c r="D60" i="14" s="1"/>
  <c r="B59" i="14"/>
  <c r="D59" i="14" s="1"/>
  <c r="B58" i="14"/>
  <c r="B57" i="14"/>
  <c r="D57" i="14" s="1"/>
  <c r="B56" i="14"/>
  <c r="B55" i="14"/>
  <c r="B54" i="14"/>
  <c r="B53" i="14"/>
  <c r="D53" i="14" s="1"/>
  <c r="B52" i="14"/>
  <c r="D52" i="14" s="1"/>
  <c r="B51" i="14"/>
  <c r="D51" i="14" s="1"/>
  <c r="B50" i="14"/>
  <c r="D50" i="14" s="1"/>
  <c r="B49" i="14"/>
  <c r="B48" i="14"/>
  <c r="D48" i="14" s="1"/>
  <c r="B47" i="14"/>
  <c r="B46" i="14"/>
  <c r="B45" i="14"/>
  <c r="D45" i="14" s="1"/>
  <c r="B44" i="14"/>
  <c r="D44" i="14" s="1"/>
  <c r="B43" i="14"/>
  <c r="B42" i="14"/>
  <c r="D42" i="14" s="1"/>
  <c r="B41" i="14"/>
  <c r="B40" i="14"/>
  <c r="B39" i="14"/>
  <c r="D39" i="14" s="1"/>
  <c r="B38" i="14"/>
  <c r="D38" i="14" s="1"/>
  <c r="B37" i="14"/>
  <c r="B36" i="14"/>
  <c r="D36" i="14" s="1"/>
  <c r="B35" i="14"/>
  <c r="B34" i="14"/>
  <c r="B33" i="14"/>
  <c r="D33" i="14" s="1"/>
  <c r="B32" i="14"/>
  <c r="B31" i="14"/>
  <c r="D31" i="14" s="1"/>
  <c r="B30" i="14"/>
  <c r="B29" i="14"/>
  <c r="B28" i="14"/>
  <c r="D28" i="14" s="1"/>
  <c r="B27" i="14"/>
  <c r="B26" i="14"/>
  <c r="B25" i="14"/>
  <c r="D25" i="14" s="1"/>
  <c r="B24" i="14"/>
  <c r="D24" i="14" s="1"/>
  <c r="B23" i="14"/>
  <c r="D23" i="14" s="1"/>
  <c r="B22" i="14"/>
  <c r="D22" i="14" s="1"/>
  <c r="B21" i="14"/>
  <c r="D21" i="14" s="1"/>
  <c r="B20" i="14"/>
  <c r="B19" i="14"/>
  <c r="S177" i="6" l="1"/>
  <c r="T177" i="6" s="1"/>
  <c r="U177" i="6" s="1"/>
  <c r="K209" i="6"/>
  <c r="P209" i="6" s="1"/>
  <c r="R6" i="6"/>
  <c r="Q195" i="6"/>
  <c r="R195" i="6"/>
  <c r="Q159" i="6"/>
  <c r="R159" i="6"/>
  <c r="Q126" i="6"/>
  <c r="R126" i="6"/>
  <c r="Q144" i="6"/>
  <c r="R144" i="6"/>
  <c r="Q184" i="6"/>
  <c r="R184" i="6"/>
  <c r="Q121" i="6"/>
  <c r="R121" i="6"/>
  <c r="Q187" i="6"/>
  <c r="R187" i="6"/>
  <c r="Q189" i="6"/>
  <c r="R189" i="6"/>
  <c r="Q122" i="6"/>
  <c r="R122" i="6"/>
  <c r="Q202" i="6"/>
  <c r="R202" i="6"/>
  <c r="Q194" i="6"/>
  <c r="R194" i="6"/>
  <c r="Q141" i="6"/>
  <c r="R141" i="6"/>
  <c r="Q124" i="6"/>
  <c r="R124" i="6"/>
  <c r="Q201" i="6"/>
  <c r="R201" i="6"/>
  <c r="Q134" i="6"/>
  <c r="R134" i="6"/>
  <c r="Q143" i="6"/>
  <c r="R143" i="6"/>
  <c r="Q133" i="6"/>
  <c r="R133" i="6"/>
  <c r="Q112" i="6"/>
  <c r="R112" i="6"/>
  <c r="Q155" i="6"/>
  <c r="R155" i="6"/>
  <c r="Q186" i="6"/>
  <c r="R186" i="6"/>
  <c r="Q137" i="6"/>
  <c r="R137" i="6"/>
  <c r="Q148" i="6"/>
  <c r="R148" i="6"/>
  <c r="Q170" i="6"/>
  <c r="R170" i="6"/>
  <c r="Q123" i="6"/>
  <c r="R123" i="6"/>
  <c r="Q193" i="6"/>
  <c r="R193" i="6"/>
  <c r="Q118" i="6"/>
  <c r="R118" i="6"/>
  <c r="Q138" i="6"/>
  <c r="R138" i="6"/>
  <c r="Q129" i="6"/>
  <c r="R129" i="6"/>
  <c r="Q167" i="6"/>
  <c r="R167" i="6"/>
  <c r="Q127" i="6"/>
  <c r="R127" i="6"/>
  <c r="Q180" i="6"/>
  <c r="R180" i="6"/>
  <c r="Q200" i="6"/>
  <c r="R200" i="6"/>
  <c r="Q116" i="6"/>
  <c r="R116" i="6"/>
  <c r="Q111" i="6"/>
  <c r="R111" i="6"/>
  <c r="Q145" i="6"/>
  <c r="R145" i="6"/>
  <c r="Q173" i="6"/>
  <c r="R173" i="6"/>
  <c r="Q211" i="6"/>
  <c r="R211" i="6"/>
  <c r="Q171" i="6"/>
  <c r="R171" i="6"/>
  <c r="Q179" i="6"/>
  <c r="R179" i="6"/>
  <c r="Q205" i="6"/>
  <c r="R205" i="6"/>
  <c r="Q199" i="6"/>
  <c r="R199" i="6"/>
  <c r="Q190" i="6"/>
  <c r="R190" i="6"/>
  <c r="C96" i="14"/>
  <c r="P7" i="6"/>
  <c r="O7" i="6"/>
  <c r="O6" i="6"/>
  <c r="S147" i="6"/>
  <c r="S168" i="6"/>
  <c r="Q146" i="11"/>
  <c r="G142" i="17" s="1"/>
  <c r="G199" i="17"/>
  <c r="G174" i="17"/>
  <c r="G143" i="17"/>
  <c r="Q119" i="11"/>
  <c r="G115" i="17" s="1"/>
  <c r="Q196" i="11"/>
  <c r="G192" i="17" s="1"/>
  <c r="G131" i="17"/>
  <c r="G106" i="17"/>
  <c r="G105" i="17"/>
  <c r="G171" i="17"/>
  <c r="G150" i="17"/>
  <c r="G116" i="17"/>
  <c r="G194" i="17"/>
  <c r="L211" i="11"/>
  <c r="G211" i="11"/>
  <c r="Q163" i="11"/>
  <c r="G159" i="17" s="1"/>
  <c r="G187" i="17"/>
  <c r="Q161" i="11"/>
  <c r="G157" i="17" s="1"/>
  <c r="G160" i="17"/>
  <c r="G147" i="17"/>
  <c r="G188" i="17"/>
  <c r="G158" i="17"/>
  <c r="G156" i="17"/>
  <c r="G128" i="17"/>
  <c r="Q128" i="11"/>
  <c r="G124" i="17" s="1"/>
  <c r="Q149" i="11"/>
  <c r="G145" i="17" s="1"/>
  <c r="Q197" i="11"/>
  <c r="G193" i="17" s="1"/>
  <c r="Q130" i="11"/>
  <c r="G126" i="17" s="1"/>
  <c r="Q176" i="11"/>
  <c r="G172" i="17" s="1"/>
  <c r="Q165" i="11"/>
  <c r="G161" i="17" s="1"/>
  <c r="G146" i="17"/>
  <c r="G109" i="17"/>
  <c r="Q168" i="11"/>
  <c r="G164" i="17" s="1"/>
  <c r="Q153" i="11"/>
  <c r="G149" i="17" s="1"/>
  <c r="Q169" i="11"/>
  <c r="G165" i="17" s="1"/>
  <c r="G152" i="17"/>
  <c r="G110" i="17"/>
  <c r="G181" i="17"/>
  <c r="G132" i="17"/>
  <c r="G162" i="17"/>
  <c r="G148" i="17"/>
  <c r="Q181" i="11"/>
  <c r="G177" i="17" s="1"/>
  <c r="G184" i="17"/>
  <c r="G136" i="17"/>
  <c r="G153" i="17"/>
  <c r="Q174" i="11"/>
  <c r="G170" i="17" s="1"/>
  <c r="G121" i="17"/>
  <c r="Q142" i="11"/>
  <c r="G138" i="17" s="1"/>
  <c r="Q115" i="11"/>
  <c r="G111" i="17" s="1"/>
  <c r="G173" i="17"/>
  <c r="G104" i="17"/>
  <c r="Q117" i="11"/>
  <c r="G113" i="17" s="1"/>
  <c r="G168" i="17"/>
  <c r="Q139" i="11"/>
  <c r="G135" i="17" s="1"/>
  <c r="G178" i="17"/>
  <c r="G179" i="17"/>
  <c r="Q206" i="11"/>
  <c r="G202" i="17" s="1"/>
  <c r="G127" i="17"/>
  <c r="G154" i="17"/>
  <c r="Q204" i="11"/>
  <c r="G200" i="17" s="1"/>
  <c r="J211" i="11"/>
  <c r="K211" i="11" s="1"/>
  <c r="F209" i="11"/>
  <c r="H143" i="6"/>
  <c r="H124" i="6"/>
  <c r="H186" i="6"/>
  <c r="H133" i="6"/>
  <c r="H121" i="6"/>
  <c r="H148" i="6"/>
  <c r="H112" i="6"/>
  <c r="H123" i="6"/>
  <c r="H187" i="6"/>
  <c r="H126" i="6"/>
  <c r="H179" i="6"/>
  <c r="H170" i="6"/>
  <c r="H134" i="6"/>
  <c r="H155" i="6"/>
  <c r="H201" i="6"/>
  <c r="H184" i="6"/>
  <c r="H167" i="6"/>
  <c r="H144" i="6"/>
  <c r="H173" i="6"/>
  <c r="H209" i="6"/>
  <c r="N202" i="11"/>
  <c r="Q202" i="11" s="1"/>
  <c r="N187" i="11"/>
  <c r="Q187" i="11" s="1"/>
  <c r="N112" i="11"/>
  <c r="Q112" i="11" s="1"/>
  <c r="N116" i="11"/>
  <c r="Q116" i="11" s="1"/>
  <c r="N186" i="11"/>
  <c r="Q186" i="11" s="1"/>
  <c r="N126" i="11"/>
  <c r="Q126" i="11" s="1"/>
  <c r="N123" i="11"/>
  <c r="Q123" i="11" s="1"/>
  <c r="N167" i="11"/>
  <c r="Q167" i="11" s="1"/>
  <c r="N127" i="11"/>
  <c r="N171" i="11"/>
  <c r="Q171" i="11" s="1"/>
  <c r="N118" i="11"/>
  <c r="N180" i="11"/>
  <c r="N122" i="11"/>
  <c r="N138" i="11"/>
  <c r="Q138" i="11" s="1"/>
  <c r="N134" i="11"/>
  <c r="N195" i="11"/>
  <c r="N173" i="11"/>
  <c r="N137" i="11"/>
  <c r="N205" i="11"/>
  <c r="Q205" i="11" s="1"/>
  <c r="N189" i="11"/>
  <c r="Q189" i="11" s="1"/>
  <c r="N199" i="11"/>
  <c r="Q199" i="11" s="1"/>
  <c r="N148" i="11"/>
  <c r="Q148" i="11" s="1"/>
  <c r="N133" i="11"/>
  <c r="Q133" i="11" s="1"/>
  <c r="N201" i="11"/>
  <c r="Q201" i="11" s="1"/>
  <c r="N145" i="11"/>
  <c r="N170" i="11"/>
  <c r="Q170" i="11" s="1"/>
  <c r="N155" i="11"/>
  <c r="Q155" i="11" s="1"/>
  <c r="N200" i="11"/>
  <c r="Q200" i="11" s="1"/>
  <c r="N179" i="11"/>
  <c r="N141" i="11"/>
  <c r="Q141" i="11" s="1"/>
  <c r="N143" i="11"/>
  <c r="N121" i="11"/>
  <c r="Q121" i="11" s="1"/>
  <c r="N190" i="11"/>
  <c r="Q190" i="11" s="1"/>
  <c r="N194" i="11"/>
  <c r="N129" i="11"/>
  <c r="N193" i="11"/>
  <c r="Q193" i="11" s="1"/>
  <c r="N111" i="11"/>
  <c r="Q111" i="11" s="1"/>
  <c r="N159" i="11"/>
  <c r="Q159" i="11" s="1"/>
  <c r="N144" i="11"/>
  <c r="Q144" i="11" s="1"/>
  <c r="N184" i="11"/>
  <c r="N124" i="11"/>
  <c r="Q124" i="11" s="1"/>
  <c r="C60" i="14"/>
  <c r="C105" i="14"/>
  <c r="D105" i="14"/>
  <c r="C88" i="14"/>
  <c r="D88" i="14"/>
  <c r="C32" i="14"/>
  <c r="D32" i="14"/>
  <c r="C70" i="14"/>
  <c r="D70" i="14"/>
  <c r="C89" i="14"/>
  <c r="C34" i="14"/>
  <c r="D34" i="14"/>
  <c r="C54" i="14"/>
  <c r="D54" i="14"/>
  <c r="C71" i="14"/>
  <c r="C90" i="14"/>
  <c r="D90" i="14"/>
  <c r="C109" i="14"/>
  <c r="D109" i="14"/>
  <c r="C35" i="14"/>
  <c r="D35" i="14"/>
  <c r="C55" i="14"/>
  <c r="D55" i="14"/>
  <c r="C110" i="14"/>
  <c r="D110" i="14"/>
  <c r="C56" i="14"/>
  <c r="D56" i="14"/>
  <c r="C37" i="14"/>
  <c r="D37" i="14"/>
  <c r="C58" i="14"/>
  <c r="D58" i="14"/>
  <c r="C75" i="14"/>
  <c r="D75" i="14"/>
  <c r="C19" i="14"/>
  <c r="D19" i="14"/>
  <c r="C95" i="14"/>
  <c r="D95" i="14"/>
  <c r="C113" i="14"/>
  <c r="C20" i="14"/>
  <c r="D20" i="14"/>
  <c r="C40" i="14"/>
  <c r="D40" i="14"/>
  <c r="C114" i="14"/>
  <c r="D114" i="14"/>
  <c r="C41" i="14"/>
  <c r="D41" i="14"/>
  <c r="C78" i="14"/>
  <c r="D78" i="14"/>
  <c r="C115" i="14"/>
  <c r="D115" i="14"/>
  <c r="C79" i="14"/>
  <c r="D79" i="14"/>
  <c r="C43" i="14"/>
  <c r="D43" i="14"/>
  <c r="C80" i="14"/>
  <c r="D80" i="14"/>
  <c r="C64" i="14"/>
  <c r="D64" i="14"/>
  <c r="C100" i="14"/>
  <c r="D100" i="14"/>
  <c r="C26" i="14"/>
  <c r="D26" i="14"/>
  <c r="C46" i="14"/>
  <c r="D46" i="14"/>
  <c r="C27" i="14"/>
  <c r="D27" i="14"/>
  <c r="C47" i="14"/>
  <c r="D47" i="14"/>
  <c r="C65" i="14"/>
  <c r="C84" i="14"/>
  <c r="D84" i="14"/>
  <c r="C85" i="14"/>
  <c r="D85" i="14"/>
  <c r="C103" i="14"/>
  <c r="D103" i="14"/>
  <c r="C29" i="14"/>
  <c r="D29" i="14"/>
  <c r="C49" i="14"/>
  <c r="D49" i="14"/>
  <c r="C86" i="14"/>
  <c r="D86" i="14"/>
  <c r="C30" i="14"/>
  <c r="D30" i="14"/>
  <c r="C68" i="14"/>
  <c r="D68" i="14"/>
  <c r="C25" i="14"/>
  <c r="C36" i="14"/>
  <c r="C66" i="14"/>
  <c r="C83" i="14"/>
  <c r="C48" i="14"/>
  <c r="C59" i="14"/>
  <c r="C28" i="14"/>
  <c r="C23" i="14"/>
  <c r="C52" i="14"/>
  <c r="C69" i="14"/>
  <c r="C76" i="14"/>
  <c r="C93" i="14"/>
  <c r="C39" i="14"/>
  <c r="C74" i="14"/>
  <c r="C81" i="14"/>
  <c r="C98" i="14"/>
  <c r="C61" i="14"/>
  <c r="C73" i="14"/>
  <c r="C91" i="14"/>
  <c r="C108" i="14"/>
  <c r="C21" i="14"/>
  <c r="C50" i="14"/>
  <c r="C94" i="14"/>
  <c r="C101" i="14"/>
  <c r="C118" i="14"/>
  <c r="C45" i="14"/>
  <c r="C99" i="14"/>
  <c r="C106" i="14"/>
  <c r="C104" i="14"/>
  <c r="C111" i="14"/>
  <c r="C38" i="14"/>
  <c r="C63" i="14"/>
  <c r="C116" i="14"/>
  <c r="C24" i="14"/>
  <c r="C44" i="14"/>
  <c r="C33" i="14"/>
  <c r="C53" i="14"/>
  <c r="C22" i="14"/>
  <c r="C42" i="14"/>
  <c r="C57" i="14"/>
  <c r="C62" i="14"/>
  <c r="C67" i="14"/>
  <c r="C72" i="14"/>
  <c r="C77" i="14"/>
  <c r="C82" i="14"/>
  <c r="C87" i="14"/>
  <c r="C92" i="14"/>
  <c r="C97" i="14"/>
  <c r="C102" i="14"/>
  <c r="C107" i="14"/>
  <c r="C112" i="14"/>
  <c r="C117" i="14"/>
  <c r="C31" i="14"/>
  <c r="C51" i="14"/>
  <c r="V177" i="6" l="1"/>
  <c r="O209" i="6"/>
  <c r="T147" i="6"/>
  <c r="U147" i="6" s="1"/>
  <c r="T168" i="6"/>
  <c r="U168" i="6" s="1"/>
  <c r="S6" i="6"/>
  <c r="T6" i="6" s="1"/>
  <c r="Q7" i="6"/>
  <c r="R7" i="6"/>
  <c r="Q209" i="6"/>
  <c r="R209" i="6"/>
  <c r="N211" i="11"/>
  <c r="Q211" i="11" s="1"/>
  <c r="H91" i="10" s="1"/>
  <c r="S120" i="6"/>
  <c r="S153" i="6"/>
  <c r="S203" i="6"/>
  <c r="S132" i="6"/>
  <c r="S117" i="6"/>
  <c r="S182" i="6"/>
  <c r="S197" i="6"/>
  <c r="S142" i="6"/>
  <c r="S125" i="6"/>
  <c r="S119" i="6"/>
  <c r="S154" i="6"/>
  <c r="S183" i="6"/>
  <c r="S172" i="6"/>
  <c r="S151" i="6"/>
  <c r="T151" i="6" s="1"/>
  <c r="U151" i="6" s="1"/>
  <c r="S164" i="6"/>
  <c r="S161" i="6"/>
  <c r="S192" i="6"/>
  <c r="S157" i="6"/>
  <c r="S130" i="6"/>
  <c r="S156" i="6"/>
  <c r="S152" i="6"/>
  <c r="S174" i="6"/>
  <c r="S158" i="6"/>
  <c r="S176" i="6"/>
  <c r="S146" i="6"/>
  <c r="S184" i="6"/>
  <c r="S185" i="6"/>
  <c r="S175" i="6"/>
  <c r="S163" i="6"/>
  <c r="S165" i="6"/>
  <c r="S148" i="6"/>
  <c r="S170" i="6"/>
  <c r="F149" i="5"/>
  <c r="F143" i="17" s="1"/>
  <c r="F170" i="5"/>
  <c r="F164" i="17" s="1"/>
  <c r="G134" i="17"/>
  <c r="J209" i="11"/>
  <c r="K209" i="11" s="1"/>
  <c r="G209" i="11"/>
  <c r="G151" i="17"/>
  <c r="G197" i="17"/>
  <c r="G163" i="17"/>
  <c r="Q180" i="11"/>
  <c r="G176" i="17" s="1"/>
  <c r="G122" i="17"/>
  <c r="Q118" i="11"/>
  <c r="G114" i="17" s="1"/>
  <c r="Q195" i="11"/>
  <c r="G191" i="17" s="1"/>
  <c r="G186" i="17"/>
  <c r="G120" i="17"/>
  <c r="G144" i="17"/>
  <c r="G182" i="17"/>
  <c r="Q179" i="11"/>
  <c r="G175" i="17" s="1"/>
  <c r="Q194" i="11"/>
  <c r="G190" i="17" s="1"/>
  <c r="G196" i="17"/>
  <c r="Q134" i="11"/>
  <c r="G130" i="17" s="1"/>
  <c r="G167" i="17"/>
  <c r="G119" i="17"/>
  <c r="G140" i="17"/>
  <c r="G112" i="17"/>
  <c r="Q127" i="11"/>
  <c r="G123" i="17" s="1"/>
  <c r="G166" i="17"/>
  <c r="G129" i="17"/>
  <c r="G155" i="17"/>
  <c r="G195" i="17"/>
  <c r="G108" i="17"/>
  <c r="Q145" i="11"/>
  <c r="G141" i="17" s="1"/>
  <c r="Q184" i="11"/>
  <c r="G180" i="17" s="1"/>
  <c r="Q143" i="11"/>
  <c r="G139" i="17" s="1"/>
  <c r="G137" i="17"/>
  <c r="G117" i="17"/>
  <c r="Q129" i="11"/>
  <c r="G125" i="17" s="1"/>
  <c r="G107" i="17"/>
  <c r="G185" i="17"/>
  <c r="G183" i="17"/>
  <c r="Q137" i="11"/>
  <c r="G133" i="17" s="1"/>
  <c r="Q122" i="11"/>
  <c r="G118" i="17" s="1"/>
  <c r="G189" i="17"/>
  <c r="G201" i="17"/>
  <c r="G198" i="17"/>
  <c r="Q173" i="11"/>
  <c r="G169" i="17" s="1"/>
  <c r="L209" i="11"/>
  <c r="H7" i="6"/>
  <c r="F75" i="14"/>
  <c r="G75" i="14"/>
  <c r="H75" i="14"/>
  <c r="I75" i="14"/>
  <c r="E75" i="14"/>
  <c r="I106" i="14"/>
  <c r="H106" i="14"/>
  <c r="F106" i="14"/>
  <c r="G106" i="14"/>
  <c r="E106" i="14"/>
  <c r="I95" i="14"/>
  <c r="E95" i="14"/>
  <c r="G95" i="14"/>
  <c r="F95" i="14"/>
  <c r="H95" i="14"/>
  <c r="F53" i="14"/>
  <c r="E53" i="14"/>
  <c r="I53" i="14"/>
  <c r="H53" i="14"/>
  <c r="G53" i="14"/>
  <c r="I25" i="14"/>
  <c r="H25" i="14"/>
  <c r="G25" i="14"/>
  <c r="E25" i="14"/>
  <c r="F25" i="14"/>
  <c r="I74" i="14"/>
  <c r="H74" i="14"/>
  <c r="G74" i="14"/>
  <c r="E74" i="14"/>
  <c r="F74" i="14"/>
  <c r="E107" i="14"/>
  <c r="I107" i="14"/>
  <c r="G107" i="14"/>
  <c r="H107" i="14"/>
  <c r="F107" i="14"/>
  <c r="I45" i="14"/>
  <c r="H45" i="14"/>
  <c r="G45" i="14"/>
  <c r="E45" i="14"/>
  <c r="F45" i="14"/>
  <c r="H116" i="14"/>
  <c r="G116" i="14"/>
  <c r="F116" i="14"/>
  <c r="I116" i="14"/>
  <c r="E116" i="14"/>
  <c r="G82" i="14"/>
  <c r="E82" i="14"/>
  <c r="I82" i="14"/>
  <c r="F82" i="14"/>
  <c r="H82" i="14"/>
  <c r="F51" i="14"/>
  <c r="I51" i="14"/>
  <c r="E51" i="14"/>
  <c r="H51" i="14"/>
  <c r="G51" i="14"/>
  <c r="F39" i="14"/>
  <c r="H39" i="14"/>
  <c r="I39" i="14"/>
  <c r="E39" i="14"/>
  <c r="G39" i="14"/>
  <c r="E112" i="14"/>
  <c r="I112" i="14"/>
  <c r="H112" i="14"/>
  <c r="F112" i="14"/>
  <c r="G112" i="14"/>
  <c r="F40" i="14"/>
  <c r="H40" i="14"/>
  <c r="E40" i="14"/>
  <c r="I40" i="14"/>
  <c r="G40" i="14"/>
  <c r="H24" i="14"/>
  <c r="G24" i="14"/>
  <c r="E24" i="14"/>
  <c r="I24" i="14"/>
  <c r="F24" i="14"/>
  <c r="E114" i="14"/>
  <c r="I114" i="14"/>
  <c r="H114" i="14"/>
  <c r="F114" i="14"/>
  <c r="G114" i="14"/>
  <c r="I73" i="14"/>
  <c r="H73" i="14"/>
  <c r="F73" i="14"/>
  <c r="G73" i="14"/>
  <c r="E73" i="14"/>
  <c r="H89" i="14"/>
  <c r="F89" i="14"/>
  <c r="I89" i="14"/>
  <c r="G89" i="14"/>
  <c r="E89" i="14"/>
  <c r="I91" i="14"/>
  <c r="H91" i="14"/>
  <c r="F91" i="14"/>
  <c r="G91" i="14"/>
  <c r="E91" i="14"/>
  <c r="G87" i="14"/>
  <c r="I87" i="14"/>
  <c r="H87" i="14"/>
  <c r="F87" i="14"/>
  <c r="E87" i="14"/>
  <c r="I65" i="14"/>
  <c r="H65" i="14"/>
  <c r="F65" i="14"/>
  <c r="E65" i="14"/>
  <c r="G65" i="14"/>
  <c r="H86" i="14"/>
  <c r="I86" i="14"/>
  <c r="F86" i="14"/>
  <c r="G86" i="14"/>
  <c r="E86" i="14"/>
  <c r="F17" i="14"/>
  <c r="H17" i="14"/>
  <c r="G17" i="14"/>
  <c r="E17" i="14"/>
  <c r="G103" i="14"/>
  <c r="F103" i="14"/>
  <c r="E103" i="14"/>
  <c r="I103" i="14"/>
  <c r="H103" i="14"/>
  <c r="H30" i="14"/>
  <c r="E30" i="14"/>
  <c r="I30" i="14"/>
  <c r="G30" i="14"/>
  <c r="F30" i="14"/>
  <c r="F35" i="14"/>
  <c r="E35" i="14"/>
  <c r="I35" i="14"/>
  <c r="H35" i="14"/>
  <c r="G35" i="14"/>
  <c r="F66" i="14"/>
  <c r="I66" i="14"/>
  <c r="H66" i="14"/>
  <c r="G66" i="14"/>
  <c r="E66" i="14"/>
  <c r="E115" i="14"/>
  <c r="H115" i="14"/>
  <c r="F115" i="14"/>
  <c r="I115" i="14"/>
  <c r="G115" i="14"/>
  <c r="E99" i="14"/>
  <c r="I99" i="14"/>
  <c r="F99" i="14"/>
  <c r="G99" i="14"/>
  <c r="H99" i="14"/>
  <c r="G42" i="14"/>
  <c r="H42" i="14"/>
  <c r="E42" i="14"/>
  <c r="F42" i="14"/>
  <c r="I42" i="14"/>
  <c r="E61" i="14"/>
  <c r="I61" i="14"/>
  <c r="F61" i="14"/>
  <c r="G61" i="14"/>
  <c r="H61" i="14"/>
  <c r="H29" i="14"/>
  <c r="E29" i="14"/>
  <c r="I29" i="14"/>
  <c r="G29" i="14"/>
  <c r="F29" i="14"/>
  <c r="F19" i="14"/>
  <c r="I19" i="14"/>
  <c r="G19" i="14"/>
  <c r="E19" i="14"/>
  <c r="H19" i="14"/>
  <c r="I110" i="14"/>
  <c r="H110" i="14"/>
  <c r="F110" i="14"/>
  <c r="E110" i="14"/>
  <c r="G110" i="14"/>
  <c r="I94" i="14"/>
  <c r="G94" i="14"/>
  <c r="E94" i="14"/>
  <c r="H94" i="14"/>
  <c r="F94" i="14"/>
  <c r="F34" i="14"/>
  <c r="I34" i="14"/>
  <c r="H34" i="14"/>
  <c r="G34" i="14"/>
  <c r="E34" i="14"/>
  <c r="E33" i="14"/>
  <c r="F33" i="14"/>
  <c r="I33" i="14"/>
  <c r="H33" i="14"/>
  <c r="G33" i="14"/>
  <c r="G108" i="14"/>
  <c r="E108" i="14"/>
  <c r="I108" i="14"/>
  <c r="H108" i="14"/>
  <c r="F108" i="14"/>
  <c r="I67" i="14"/>
  <c r="G67" i="14"/>
  <c r="H67" i="14"/>
  <c r="F67" i="14"/>
  <c r="E67" i="14"/>
  <c r="E101" i="14"/>
  <c r="G101" i="14"/>
  <c r="H101" i="14"/>
  <c r="I101" i="14"/>
  <c r="F101" i="14"/>
  <c r="F32" i="14"/>
  <c r="E32" i="14"/>
  <c r="I32" i="14"/>
  <c r="H32" i="14"/>
  <c r="G32" i="14"/>
  <c r="E28" i="14"/>
  <c r="G28" i="14"/>
  <c r="I28" i="14"/>
  <c r="H28" i="14"/>
  <c r="F28" i="14"/>
  <c r="G117" i="14"/>
  <c r="E117" i="14"/>
  <c r="H117" i="14"/>
  <c r="F117" i="14"/>
  <c r="I117" i="14"/>
  <c r="F55" i="14"/>
  <c r="E55" i="14"/>
  <c r="I55" i="14"/>
  <c r="H55" i="14"/>
  <c r="G55" i="14"/>
  <c r="H100" i="14"/>
  <c r="I100" i="14"/>
  <c r="G100" i="14"/>
  <c r="E100" i="14"/>
  <c r="F100" i="14"/>
  <c r="I97" i="14"/>
  <c r="E97" i="14"/>
  <c r="G97" i="14"/>
  <c r="H97" i="14"/>
  <c r="F97" i="14"/>
  <c r="F38" i="14"/>
  <c r="G38" i="14"/>
  <c r="I38" i="14"/>
  <c r="H38" i="14"/>
  <c r="E38" i="14"/>
  <c r="E48" i="14"/>
  <c r="G48" i="14"/>
  <c r="I48" i="14"/>
  <c r="H48" i="14"/>
  <c r="F48" i="14"/>
  <c r="F96" i="14"/>
  <c r="I96" i="14"/>
  <c r="G96" i="14"/>
  <c r="E96" i="14"/>
  <c r="H96" i="14"/>
  <c r="E50" i="14"/>
  <c r="I50" i="14"/>
  <c r="H50" i="14"/>
  <c r="G50" i="14"/>
  <c r="F50" i="14"/>
  <c r="G68" i="14"/>
  <c r="I68" i="14"/>
  <c r="H68" i="14"/>
  <c r="F68" i="14"/>
  <c r="E68" i="14"/>
  <c r="H104" i="14"/>
  <c r="F104" i="14"/>
  <c r="G104" i="14"/>
  <c r="E104" i="14"/>
  <c r="I104" i="14"/>
  <c r="I113" i="14"/>
  <c r="H113" i="14"/>
  <c r="F113" i="14"/>
  <c r="G113" i="14"/>
  <c r="E113" i="14"/>
  <c r="G83" i="14"/>
  <c r="E83" i="14"/>
  <c r="H83" i="14"/>
  <c r="F83" i="14"/>
  <c r="I83" i="14"/>
  <c r="F56" i="14"/>
  <c r="E56" i="14"/>
  <c r="I56" i="14"/>
  <c r="H56" i="14"/>
  <c r="G56" i="14"/>
  <c r="I26" i="14"/>
  <c r="H26" i="14"/>
  <c r="G26" i="14"/>
  <c r="E26" i="14"/>
  <c r="F26" i="14"/>
  <c r="F36" i="14"/>
  <c r="E36" i="14"/>
  <c r="G36" i="14"/>
  <c r="H36" i="14"/>
  <c r="I36" i="14"/>
  <c r="E79" i="14"/>
  <c r="H79" i="14"/>
  <c r="F79" i="14"/>
  <c r="I79" i="14"/>
  <c r="G79" i="14"/>
  <c r="E78" i="14"/>
  <c r="F78" i="14"/>
  <c r="G78" i="14"/>
  <c r="H78" i="14"/>
  <c r="I78" i="14"/>
  <c r="E80" i="14"/>
  <c r="H80" i="14"/>
  <c r="I80" i="14"/>
  <c r="G80" i="14"/>
  <c r="F80" i="14"/>
  <c r="I59" i="14"/>
  <c r="H59" i="14"/>
  <c r="E59" i="14"/>
  <c r="G59" i="14"/>
  <c r="F59" i="14"/>
  <c r="I85" i="14"/>
  <c r="H85" i="14"/>
  <c r="F85" i="14"/>
  <c r="G85" i="14"/>
  <c r="E85" i="14"/>
  <c r="F57" i="14"/>
  <c r="I57" i="14"/>
  <c r="H57" i="14"/>
  <c r="G57" i="14"/>
  <c r="E57" i="14"/>
  <c r="E81" i="14"/>
  <c r="I81" i="14"/>
  <c r="G81" i="14"/>
  <c r="H81" i="14"/>
  <c r="F81" i="14"/>
  <c r="I27" i="14"/>
  <c r="G27" i="14"/>
  <c r="H27" i="14"/>
  <c r="F27" i="14"/>
  <c r="E27" i="14"/>
  <c r="H64" i="14"/>
  <c r="F64" i="14"/>
  <c r="G64" i="14"/>
  <c r="E64" i="14"/>
  <c r="I64" i="14"/>
  <c r="H44" i="14"/>
  <c r="G44" i="14"/>
  <c r="F44" i="14"/>
  <c r="E44" i="14"/>
  <c r="I44" i="14"/>
  <c r="G62" i="14"/>
  <c r="E62" i="14"/>
  <c r="F62" i="14"/>
  <c r="I62" i="14"/>
  <c r="H62" i="14"/>
  <c r="E49" i="14"/>
  <c r="H49" i="14"/>
  <c r="I49" i="14"/>
  <c r="G49" i="14"/>
  <c r="F49" i="14"/>
  <c r="F118" i="14"/>
  <c r="H118" i="14"/>
  <c r="E118" i="14"/>
  <c r="I118" i="14"/>
  <c r="G118" i="14"/>
  <c r="I72" i="14"/>
  <c r="H72" i="14"/>
  <c r="F72" i="14"/>
  <c r="E72" i="14"/>
  <c r="G72" i="14"/>
  <c r="F20" i="14"/>
  <c r="E20" i="14"/>
  <c r="I20" i="14"/>
  <c r="G20" i="14"/>
  <c r="H20" i="14"/>
  <c r="E21" i="14"/>
  <c r="F21" i="14"/>
  <c r="G21" i="14"/>
  <c r="I21" i="14"/>
  <c r="H21" i="14"/>
  <c r="H84" i="14"/>
  <c r="F84" i="14"/>
  <c r="E84" i="14"/>
  <c r="G84" i="14"/>
  <c r="I84" i="14"/>
  <c r="E109" i="14"/>
  <c r="F109" i="14"/>
  <c r="I109" i="14"/>
  <c r="H109" i="14"/>
  <c r="G109" i="14"/>
  <c r="I92" i="14"/>
  <c r="H92" i="14"/>
  <c r="F92" i="14"/>
  <c r="G92" i="14"/>
  <c r="E92" i="14"/>
  <c r="I93" i="14"/>
  <c r="H93" i="14"/>
  <c r="F93" i="14"/>
  <c r="G93" i="14"/>
  <c r="E93" i="14"/>
  <c r="E60" i="14"/>
  <c r="I60" i="14"/>
  <c r="G60" i="14"/>
  <c r="H60" i="14"/>
  <c r="F60" i="14"/>
  <c r="G22" i="14"/>
  <c r="H22" i="14"/>
  <c r="F22" i="14"/>
  <c r="I22" i="14"/>
  <c r="E22" i="14"/>
  <c r="G43" i="14"/>
  <c r="H43" i="14"/>
  <c r="I43" i="14"/>
  <c r="E43" i="14"/>
  <c r="F43" i="14"/>
  <c r="G102" i="14"/>
  <c r="F102" i="14"/>
  <c r="E102" i="14"/>
  <c r="H102" i="14"/>
  <c r="I102" i="14"/>
  <c r="F54" i="14"/>
  <c r="I54" i="14"/>
  <c r="G54" i="14"/>
  <c r="H54" i="14"/>
  <c r="E54" i="14"/>
  <c r="I71" i="14"/>
  <c r="H71" i="14"/>
  <c r="F71" i="14"/>
  <c r="G71" i="14"/>
  <c r="E71" i="14"/>
  <c r="I70" i="14"/>
  <c r="H70" i="14"/>
  <c r="G70" i="14"/>
  <c r="F70" i="14"/>
  <c r="E70" i="14"/>
  <c r="G63" i="14"/>
  <c r="E63" i="14"/>
  <c r="F63" i="14"/>
  <c r="I63" i="14"/>
  <c r="H63" i="14"/>
  <c r="H76" i="14"/>
  <c r="I76" i="14"/>
  <c r="E76" i="14"/>
  <c r="F76" i="14"/>
  <c r="G76" i="14"/>
  <c r="H46" i="14"/>
  <c r="I46" i="14"/>
  <c r="G46" i="14"/>
  <c r="F46" i="14"/>
  <c r="E46" i="14"/>
  <c r="F31" i="14"/>
  <c r="I31" i="14"/>
  <c r="E31" i="14"/>
  <c r="H31" i="14"/>
  <c r="G31" i="14"/>
  <c r="I47" i="14"/>
  <c r="G47" i="14"/>
  <c r="H47" i="14"/>
  <c r="E47" i="14"/>
  <c r="F47" i="14"/>
  <c r="F69" i="14"/>
  <c r="H69" i="14"/>
  <c r="I69" i="14"/>
  <c r="G69" i="14"/>
  <c r="E69" i="14"/>
  <c r="G88" i="14"/>
  <c r="I88" i="14"/>
  <c r="H88" i="14"/>
  <c r="F88" i="14"/>
  <c r="E88" i="14"/>
  <c r="I111" i="14"/>
  <c r="E111" i="14"/>
  <c r="H111" i="14"/>
  <c r="F111" i="14"/>
  <c r="G111" i="14"/>
  <c r="G98" i="14"/>
  <c r="F98" i="14"/>
  <c r="E98" i="14"/>
  <c r="I98" i="14"/>
  <c r="H98" i="14"/>
  <c r="I77" i="14"/>
  <c r="G77" i="14"/>
  <c r="F77" i="14"/>
  <c r="H77" i="14"/>
  <c r="E77" i="14"/>
  <c r="G23" i="14"/>
  <c r="H23" i="14"/>
  <c r="F23" i="14"/>
  <c r="E23" i="14"/>
  <c r="I23" i="14"/>
  <c r="F58" i="14"/>
  <c r="I58" i="14"/>
  <c r="G58" i="14"/>
  <c r="E58" i="14"/>
  <c r="H58" i="14"/>
  <c r="I41" i="14"/>
  <c r="F41" i="14"/>
  <c r="H41" i="14"/>
  <c r="E41" i="14"/>
  <c r="G41" i="14"/>
  <c r="F37" i="14"/>
  <c r="H37" i="14"/>
  <c r="E37" i="14"/>
  <c r="G37" i="14"/>
  <c r="I37" i="14"/>
  <c r="F52" i="14"/>
  <c r="E52" i="14"/>
  <c r="I52" i="14"/>
  <c r="H52" i="14"/>
  <c r="G52" i="14"/>
  <c r="I90" i="14"/>
  <c r="H90" i="14"/>
  <c r="G90" i="14"/>
  <c r="E90" i="14"/>
  <c r="F90" i="14"/>
  <c r="I105" i="14"/>
  <c r="H105" i="14"/>
  <c r="F105" i="14"/>
  <c r="G105" i="14"/>
  <c r="E105" i="14"/>
  <c r="V151" i="6" l="1"/>
  <c r="E147" i="17" s="1"/>
  <c r="V168" i="6"/>
  <c r="E164" i="17" s="1"/>
  <c r="K164" i="17" s="1"/>
  <c r="L164" i="17" s="1"/>
  <c r="M164" i="17" s="1"/>
  <c r="V147" i="6"/>
  <c r="E143" i="17" s="1"/>
  <c r="K143" i="17" s="1"/>
  <c r="L143" i="17" s="1"/>
  <c r="M143" i="17" s="1"/>
  <c r="S209" i="6"/>
  <c r="T125" i="6"/>
  <c r="U125" i="6" s="1"/>
  <c r="T152" i="6"/>
  <c r="U152" i="6" s="1"/>
  <c r="T157" i="6"/>
  <c r="U157" i="6" s="1"/>
  <c r="T176" i="6"/>
  <c r="U176" i="6" s="1"/>
  <c r="T156" i="6"/>
  <c r="U156" i="6" s="1"/>
  <c r="T192" i="6"/>
  <c r="U192" i="6" s="1"/>
  <c r="T161" i="6"/>
  <c r="U161" i="6" s="1"/>
  <c r="T164" i="6"/>
  <c r="U164" i="6" s="1"/>
  <c r="T185" i="6"/>
  <c r="U185" i="6" s="1"/>
  <c r="T184" i="6"/>
  <c r="U184" i="6" s="1"/>
  <c r="T117" i="6"/>
  <c r="U117" i="6" s="1"/>
  <c r="T203" i="6"/>
  <c r="U203" i="6" s="1"/>
  <c r="T170" i="6"/>
  <c r="U170" i="6" s="1"/>
  <c r="T172" i="6"/>
  <c r="U172" i="6" s="1"/>
  <c r="T175" i="6"/>
  <c r="U175" i="6" s="1"/>
  <c r="T182" i="6"/>
  <c r="U182" i="6" s="1"/>
  <c r="T132" i="6"/>
  <c r="U132" i="6" s="1"/>
  <c r="T130" i="6"/>
  <c r="U130" i="6" s="1"/>
  <c r="T148" i="6"/>
  <c r="U148" i="6" s="1"/>
  <c r="T183" i="6"/>
  <c r="U183" i="6" s="1"/>
  <c r="T142" i="6"/>
  <c r="U142" i="6" s="1"/>
  <c r="T146" i="6"/>
  <c r="U146" i="6" s="1"/>
  <c r="T174" i="6"/>
  <c r="U174" i="6" s="1"/>
  <c r="T120" i="6"/>
  <c r="U120" i="6" s="1"/>
  <c r="T165" i="6"/>
  <c r="U165" i="6" s="1"/>
  <c r="T154" i="6"/>
  <c r="U154" i="6" s="1"/>
  <c r="T197" i="6"/>
  <c r="U197" i="6" s="1"/>
  <c r="T158" i="6"/>
  <c r="U158" i="6" s="1"/>
  <c r="T153" i="6"/>
  <c r="U153" i="6" s="1"/>
  <c r="T163" i="6"/>
  <c r="U163" i="6" s="1"/>
  <c r="T119" i="6"/>
  <c r="U119" i="6" s="1"/>
  <c r="F148" i="5"/>
  <c r="F142" i="17" s="1"/>
  <c r="F160" i="5"/>
  <c r="F154" i="17" s="1"/>
  <c r="F134" i="5"/>
  <c r="F128" i="17" s="1"/>
  <c r="F185" i="5"/>
  <c r="F179" i="17" s="1"/>
  <c r="F156" i="5"/>
  <c r="F150" i="17" s="1"/>
  <c r="F121" i="5"/>
  <c r="F115" i="17" s="1"/>
  <c r="F179" i="5"/>
  <c r="F173" i="17" s="1"/>
  <c r="E173" i="17"/>
  <c r="F166" i="5"/>
  <c r="F160" i="17" s="1"/>
  <c r="F174" i="5"/>
  <c r="F168" i="17" s="1"/>
  <c r="F127" i="5"/>
  <c r="F121" i="17" s="1"/>
  <c r="F144" i="5"/>
  <c r="F138" i="17" s="1"/>
  <c r="F178" i="5"/>
  <c r="F172" i="17" s="1"/>
  <c r="F199" i="5"/>
  <c r="F193" i="17" s="1"/>
  <c r="F194" i="5"/>
  <c r="F188" i="17" s="1"/>
  <c r="F154" i="5"/>
  <c r="F148" i="17" s="1"/>
  <c r="F132" i="5"/>
  <c r="F126" i="17" s="1"/>
  <c r="F163" i="5"/>
  <c r="F157" i="17" s="1"/>
  <c r="F184" i="5"/>
  <c r="F178" i="17" s="1"/>
  <c r="F119" i="5"/>
  <c r="F113" i="17" s="1"/>
  <c r="F176" i="5"/>
  <c r="F170" i="17" s="1"/>
  <c r="F158" i="5"/>
  <c r="F152" i="17" s="1"/>
  <c r="F205" i="5"/>
  <c r="F199" i="17" s="1"/>
  <c r="F155" i="5"/>
  <c r="F149" i="17" s="1"/>
  <c r="F159" i="5"/>
  <c r="F153" i="17" s="1"/>
  <c r="F122" i="5"/>
  <c r="F116" i="17" s="1"/>
  <c r="S169" i="6"/>
  <c r="S133" i="6"/>
  <c r="T133" i="6" s="1"/>
  <c r="U133" i="6" s="1"/>
  <c r="S173" i="6"/>
  <c r="F153" i="5"/>
  <c r="F147" i="17" s="1"/>
  <c r="S181" i="6"/>
  <c r="S150" i="6"/>
  <c r="S131" i="6"/>
  <c r="S113" i="6"/>
  <c r="S136" i="6"/>
  <c r="T136" i="6" s="1"/>
  <c r="U136" i="6" s="1"/>
  <c r="S186" i="6"/>
  <c r="S211" i="6"/>
  <c r="S114" i="6"/>
  <c r="S160" i="6"/>
  <c r="S206" i="6"/>
  <c r="S204" i="6"/>
  <c r="S108" i="6"/>
  <c r="S198" i="6"/>
  <c r="S179" i="6"/>
  <c r="S187" i="6"/>
  <c r="T187" i="6" s="1"/>
  <c r="U187" i="6" s="1"/>
  <c r="S115" i="6"/>
  <c r="S110" i="6"/>
  <c r="S124" i="6"/>
  <c r="S196" i="6"/>
  <c r="S167" i="6"/>
  <c r="S109" i="6"/>
  <c r="S166" i="6"/>
  <c r="S201" i="6"/>
  <c r="S155" i="6"/>
  <c r="S149" i="6"/>
  <c r="T149" i="6" s="1"/>
  <c r="U149" i="6" s="1"/>
  <c r="S139" i="6"/>
  <c r="S144" i="6"/>
  <c r="S162" i="6"/>
  <c r="S134" i="6"/>
  <c r="S126" i="6"/>
  <c r="T126" i="6" s="1"/>
  <c r="U126" i="6" s="1"/>
  <c r="S191" i="6"/>
  <c r="S112" i="6"/>
  <c r="S143" i="6"/>
  <c r="S135" i="6"/>
  <c r="N209" i="11"/>
  <c r="Q209" i="11" s="1"/>
  <c r="H90" i="10" s="1"/>
  <c r="S128" i="6"/>
  <c r="S188" i="6"/>
  <c r="S121" i="6"/>
  <c r="S123" i="6"/>
  <c r="S178" i="6"/>
  <c r="S140" i="6"/>
  <c r="S137" i="6"/>
  <c r="S138" i="6"/>
  <c r="S190" i="6"/>
  <c r="T190" i="6" s="1"/>
  <c r="U190" i="6" s="1"/>
  <c r="S202" i="6"/>
  <c r="S171" i="6"/>
  <c r="S189" i="6"/>
  <c r="F186" i="5"/>
  <c r="F180" i="17" s="1"/>
  <c r="F172" i="5"/>
  <c r="F166" i="17" s="1"/>
  <c r="F187" i="5"/>
  <c r="F181" i="17" s="1"/>
  <c r="F150" i="5"/>
  <c r="F144" i="17" s="1"/>
  <c r="F167" i="5"/>
  <c r="F161" i="17" s="1"/>
  <c r="F165" i="5"/>
  <c r="F159" i="17" s="1"/>
  <c r="F177" i="5"/>
  <c r="F171" i="17" s="1"/>
  <c r="J22" i="14"/>
  <c r="J17" i="14"/>
  <c r="J63" i="14"/>
  <c r="J91" i="14"/>
  <c r="J88" i="14"/>
  <c r="J68" i="14"/>
  <c r="J73" i="14"/>
  <c r="J39" i="14"/>
  <c r="J65" i="14"/>
  <c r="J46" i="14"/>
  <c r="J71" i="14"/>
  <c r="J57" i="14"/>
  <c r="J38" i="14"/>
  <c r="J67" i="14"/>
  <c r="J72" i="14"/>
  <c r="J103" i="14"/>
  <c r="J105" i="14"/>
  <c r="J113" i="14"/>
  <c r="J93" i="14"/>
  <c r="J77" i="14"/>
  <c r="J54" i="14"/>
  <c r="J69" i="14"/>
  <c r="J85" i="14"/>
  <c r="J86" i="14"/>
  <c r="J89" i="14"/>
  <c r="J66" i="14"/>
  <c r="J41" i="14"/>
  <c r="J100" i="14"/>
  <c r="J25" i="14"/>
  <c r="J70" i="14"/>
  <c r="J92" i="14"/>
  <c r="J34" i="14"/>
  <c r="J87" i="14"/>
  <c r="J35" i="14"/>
  <c r="J82" i="14"/>
  <c r="J96" i="14"/>
  <c r="J19" i="14"/>
  <c r="J43" i="14"/>
  <c r="J26" i="14"/>
  <c r="J62" i="14"/>
  <c r="J106" i="14"/>
  <c r="J104" i="14"/>
  <c r="J45" i="14"/>
  <c r="J55" i="14"/>
  <c r="J80" i="14"/>
  <c r="J24" i="14"/>
  <c r="J52" i="14"/>
  <c r="J56" i="14"/>
  <c r="J95" i="14"/>
  <c r="J109" i="14"/>
  <c r="J64" i="14"/>
  <c r="J110" i="14"/>
  <c r="J74" i="14"/>
  <c r="J37" i="14"/>
  <c r="J76" i="14"/>
  <c r="J84" i="14"/>
  <c r="J118" i="14"/>
  <c r="J42" i="14"/>
  <c r="J40" i="14"/>
  <c r="J90" i="14"/>
  <c r="J48" i="14"/>
  <c r="J114" i="14"/>
  <c r="J27" i="14"/>
  <c r="J116" i="14"/>
  <c r="J75" i="14"/>
  <c r="J44" i="14"/>
  <c r="J107" i="14"/>
  <c r="J83" i="14"/>
  <c r="J50" i="14"/>
  <c r="J111" i="14"/>
  <c r="J94" i="14"/>
  <c r="J47" i="14"/>
  <c r="J59" i="14"/>
  <c r="J58" i="14"/>
  <c r="J31" i="14"/>
  <c r="J51" i="14"/>
  <c r="J117" i="14"/>
  <c r="J78" i="14"/>
  <c r="J60" i="14"/>
  <c r="J79" i="14"/>
  <c r="J28" i="14"/>
  <c r="J98" i="14"/>
  <c r="J36" i="14"/>
  <c r="J32" i="14"/>
  <c r="J30" i="14"/>
  <c r="J20" i="14"/>
  <c r="J29" i="14"/>
  <c r="J53" i="14"/>
  <c r="J81" i="14"/>
  <c r="J101" i="14"/>
  <c r="J115" i="14"/>
  <c r="J23" i="14"/>
  <c r="J61" i="14"/>
  <c r="J97" i="14"/>
  <c r="J108" i="14"/>
  <c r="J102" i="14"/>
  <c r="J21" i="14"/>
  <c r="J49" i="14"/>
  <c r="J33" i="14"/>
  <c r="J99" i="14"/>
  <c r="J112" i="14"/>
  <c r="V158" i="6" l="1"/>
  <c r="E154" i="17" s="1"/>
  <c r="K154" i="17" s="1"/>
  <c r="L154" i="17" s="1"/>
  <c r="M154" i="17" s="1"/>
  <c r="V197" i="6"/>
  <c r="E193" i="17" s="1"/>
  <c r="K193" i="17" s="1"/>
  <c r="L193" i="17" s="1"/>
  <c r="M193" i="17" s="1"/>
  <c r="V190" i="6"/>
  <c r="E186" i="17" s="1"/>
  <c r="V154" i="6"/>
  <c r="E150" i="17" s="1"/>
  <c r="K150" i="17" s="1"/>
  <c r="L150" i="17" s="1"/>
  <c r="M150" i="17" s="1"/>
  <c r="V165" i="6"/>
  <c r="E161" i="17" s="1"/>
  <c r="K161" i="17" s="1"/>
  <c r="L161" i="17" s="1"/>
  <c r="M161" i="17" s="1"/>
  <c r="V156" i="6"/>
  <c r="E152" i="17" s="1"/>
  <c r="K152" i="17" s="1"/>
  <c r="L152" i="17" s="1"/>
  <c r="M152" i="17" s="1"/>
  <c r="V164" i="6"/>
  <c r="E160" i="17" s="1"/>
  <c r="K160" i="17" s="1"/>
  <c r="L160" i="17" s="1"/>
  <c r="M160" i="17" s="1"/>
  <c r="V149" i="6"/>
  <c r="E145" i="17" s="1"/>
  <c r="V136" i="6"/>
  <c r="E132" i="17" s="1"/>
  <c r="V161" i="6"/>
  <c r="E157" i="17" s="1"/>
  <c r="K157" i="17" s="1"/>
  <c r="L157" i="17" s="1"/>
  <c r="M157" i="17" s="1"/>
  <c r="V192" i="6"/>
  <c r="E188" i="17" s="1"/>
  <c r="K188" i="17" s="1"/>
  <c r="L188" i="17" s="1"/>
  <c r="M188" i="17" s="1"/>
  <c r="V120" i="6"/>
  <c r="E116" i="17" s="1"/>
  <c r="K116" i="17" s="1"/>
  <c r="L116" i="17" s="1"/>
  <c r="M116" i="17" s="1"/>
  <c r="V176" i="6"/>
  <c r="E172" i="17" s="1"/>
  <c r="K172" i="17" s="1"/>
  <c r="L172" i="17" s="1"/>
  <c r="M172" i="17" s="1"/>
  <c r="V152" i="6"/>
  <c r="E148" i="17" s="1"/>
  <c r="K148" i="17" s="1"/>
  <c r="L148" i="17" s="1"/>
  <c r="M148" i="17" s="1"/>
  <c r="V183" i="6"/>
  <c r="E179" i="17" s="1"/>
  <c r="K179" i="17" s="1"/>
  <c r="L179" i="17" s="1"/>
  <c r="M179" i="17" s="1"/>
  <c r="V130" i="6"/>
  <c r="E126" i="17" s="1"/>
  <c r="K126" i="17" s="1"/>
  <c r="L126" i="17" s="1"/>
  <c r="M126" i="17" s="1"/>
  <c r="V187" i="6"/>
  <c r="E183" i="17" s="1"/>
  <c r="V132" i="6"/>
  <c r="E128" i="17" s="1"/>
  <c r="K128" i="17" s="1"/>
  <c r="L128" i="17" s="1"/>
  <c r="M128" i="17" s="1"/>
  <c r="V142" i="6"/>
  <c r="E138" i="17" s="1"/>
  <c r="K138" i="17" s="1"/>
  <c r="L138" i="17" s="1"/>
  <c r="M138" i="17" s="1"/>
  <c r="V185" i="6"/>
  <c r="E181" i="17" s="1"/>
  <c r="K181" i="17" s="1"/>
  <c r="L181" i="17" s="1"/>
  <c r="M181" i="17" s="1"/>
  <c r="V157" i="6"/>
  <c r="E153" i="17" s="1"/>
  <c r="K153" i="17" s="1"/>
  <c r="L153" i="17" s="1"/>
  <c r="M153" i="17" s="1"/>
  <c r="V175" i="6"/>
  <c r="E171" i="17" s="1"/>
  <c r="K171" i="17" s="1"/>
  <c r="L171" i="17" s="1"/>
  <c r="M171" i="17" s="1"/>
  <c r="V174" i="6"/>
  <c r="E170" i="17" s="1"/>
  <c r="K170" i="17" s="1"/>
  <c r="L170" i="17" s="1"/>
  <c r="M170" i="17" s="1"/>
  <c r="V182" i="6"/>
  <c r="E178" i="17" s="1"/>
  <c r="K178" i="17" s="1"/>
  <c r="L178" i="17" s="1"/>
  <c r="M178" i="17" s="1"/>
  <c r="V170" i="6"/>
  <c r="E166" i="17" s="1"/>
  <c r="K166" i="17" s="1"/>
  <c r="L166" i="17" s="1"/>
  <c r="M166" i="17" s="1"/>
  <c r="V146" i="6"/>
  <c r="E142" i="17" s="1"/>
  <c r="K142" i="17" s="1"/>
  <c r="L142" i="17" s="1"/>
  <c r="M142" i="17" s="1"/>
  <c r="V125" i="6"/>
  <c r="E121" i="17" s="1"/>
  <c r="K121" i="17" s="1"/>
  <c r="L121" i="17" s="1"/>
  <c r="M121" i="17" s="1"/>
  <c r="V133" i="6"/>
  <c r="E129" i="17" s="1"/>
  <c r="V126" i="6"/>
  <c r="E122" i="17" s="1"/>
  <c r="V119" i="6"/>
  <c r="E115" i="17" s="1"/>
  <c r="K115" i="17" s="1"/>
  <c r="L115" i="17" s="1"/>
  <c r="M115" i="17" s="1"/>
  <c r="V117" i="6"/>
  <c r="E113" i="17" s="1"/>
  <c r="K113" i="17" s="1"/>
  <c r="L113" i="17" s="1"/>
  <c r="M113" i="17" s="1"/>
  <c r="V153" i="6"/>
  <c r="E149" i="17" s="1"/>
  <c r="K149" i="17" s="1"/>
  <c r="L149" i="17" s="1"/>
  <c r="M149" i="17" s="1"/>
  <c r="V148" i="6"/>
  <c r="E144" i="17" s="1"/>
  <c r="K144" i="17" s="1"/>
  <c r="L144" i="17" s="1"/>
  <c r="M144" i="17" s="1"/>
  <c r="V172" i="6"/>
  <c r="E168" i="17" s="1"/>
  <c r="K168" i="17" s="1"/>
  <c r="L168" i="17" s="1"/>
  <c r="M168" i="17" s="1"/>
  <c r="V203" i="6"/>
  <c r="E199" i="17" s="1"/>
  <c r="K199" i="17" s="1"/>
  <c r="L199" i="17" s="1"/>
  <c r="M199" i="17" s="1"/>
  <c r="V163" i="6"/>
  <c r="E159" i="17" s="1"/>
  <c r="K159" i="17" s="1"/>
  <c r="L159" i="17" s="1"/>
  <c r="M159" i="17" s="1"/>
  <c r="V184" i="6"/>
  <c r="E180" i="17" s="1"/>
  <c r="K180" i="17" s="1"/>
  <c r="L180" i="17" s="1"/>
  <c r="M180" i="17" s="1"/>
  <c r="T209" i="6"/>
  <c r="U209" i="6" s="1"/>
  <c r="J90" i="10" s="1"/>
  <c r="T109" i="6"/>
  <c r="U109" i="6" s="1"/>
  <c r="T179" i="6"/>
  <c r="U179" i="6" s="1"/>
  <c r="T167" i="6"/>
  <c r="U167" i="6" s="1"/>
  <c r="T124" i="6"/>
  <c r="U124" i="6" s="1"/>
  <c r="T140" i="6"/>
  <c r="U140" i="6" s="1"/>
  <c r="T178" i="6"/>
  <c r="U178" i="6" s="1"/>
  <c r="T196" i="6"/>
  <c r="U196" i="6" s="1"/>
  <c r="T121" i="6"/>
  <c r="U121" i="6" s="1"/>
  <c r="T135" i="6"/>
  <c r="U135" i="6" s="1"/>
  <c r="T188" i="6"/>
  <c r="U188" i="6" s="1"/>
  <c r="T115" i="6"/>
  <c r="U115" i="6" s="1"/>
  <c r="T204" i="6"/>
  <c r="U204" i="6" s="1"/>
  <c r="T114" i="6"/>
  <c r="U114" i="6" s="1"/>
  <c r="T139" i="6"/>
  <c r="U139" i="6" s="1"/>
  <c r="T173" i="6"/>
  <c r="U173" i="6" s="1"/>
  <c r="T112" i="6"/>
  <c r="U112" i="6" s="1"/>
  <c r="T191" i="6"/>
  <c r="U191" i="6" s="1"/>
  <c r="T171" i="6"/>
  <c r="U171" i="6" s="1"/>
  <c r="T186" i="6"/>
  <c r="U186" i="6" s="1"/>
  <c r="T202" i="6"/>
  <c r="U202" i="6" s="1"/>
  <c r="T110" i="6"/>
  <c r="U110" i="6" s="1"/>
  <c r="T128" i="6"/>
  <c r="U128" i="6" s="1"/>
  <c r="T108" i="6"/>
  <c r="U108" i="6" s="1"/>
  <c r="T160" i="6"/>
  <c r="U160" i="6" s="1"/>
  <c r="T162" i="6"/>
  <c r="U162" i="6" s="1"/>
  <c r="T189" i="6"/>
  <c r="U189" i="6" s="1"/>
  <c r="T211" i="6"/>
  <c r="U211" i="6" s="1"/>
  <c r="V211" i="6" s="1"/>
  <c r="T113" i="6"/>
  <c r="U113" i="6" s="1"/>
  <c r="T181" i="6"/>
  <c r="U181" i="6" s="1"/>
  <c r="T143" i="6"/>
  <c r="U143" i="6" s="1"/>
  <c r="T206" i="6"/>
  <c r="U206" i="6" s="1"/>
  <c r="T144" i="6"/>
  <c r="U144" i="6" s="1"/>
  <c r="T155" i="6"/>
  <c r="U155" i="6" s="1"/>
  <c r="T138" i="6"/>
  <c r="U138" i="6" s="1"/>
  <c r="T201" i="6"/>
  <c r="U201" i="6" s="1"/>
  <c r="T131" i="6"/>
  <c r="U131" i="6" s="1"/>
  <c r="T123" i="6"/>
  <c r="U123" i="6" s="1"/>
  <c r="T169" i="6"/>
  <c r="U169" i="6" s="1"/>
  <c r="T198" i="6"/>
  <c r="U198" i="6" s="1"/>
  <c r="T134" i="6"/>
  <c r="U134" i="6" s="1"/>
  <c r="T137" i="6"/>
  <c r="U137" i="6" s="1"/>
  <c r="T166" i="6"/>
  <c r="U166" i="6" s="1"/>
  <c r="T150" i="6"/>
  <c r="U150" i="6" s="1"/>
  <c r="L17" i="14"/>
  <c r="N17" i="14" s="1"/>
  <c r="F192" i="5"/>
  <c r="F186" i="17" s="1"/>
  <c r="F135" i="5"/>
  <c r="F129" i="17" s="1"/>
  <c r="F128" i="5"/>
  <c r="F122" i="17" s="1"/>
  <c r="K147" i="17"/>
  <c r="L147" i="17" s="1"/>
  <c r="M147" i="17" s="1"/>
  <c r="F151" i="5"/>
  <c r="F145" i="17" s="1"/>
  <c r="K173" i="17"/>
  <c r="L173" i="17" s="1"/>
  <c r="M173" i="17" s="1"/>
  <c r="F125" i="5"/>
  <c r="F119" i="17" s="1"/>
  <c r="F208" i="5"/>
  <c r="F202" i="17" s="1"/>
  <c r="F142" i="5"/>
  <c r="F136" i="17" s="1"/>
  <c r="F169" i="5"/>
  <c r="F163" i="17" s="1"/>
  <c r="F168" i="5"/>
  <c r="F162" i="17" s="1"/>
  <c r="F123" i="5"/>
  <c r="F117" i="17" s="1"/>
  <c r="F115" i="5"/>
  <c r="F109" i="17" s="1"/>
  <c r="F190" i="5"/>
  <c r="F184" i="17" s="1"/>
  <c r="F133" i="5"/>
  <c r="F127" i="17" s="1"/>
  <c r="F130" i="5"/>
  <c r="F124" i="17" s="1"/>
  <c r="F198" i="5"/>
  <c r="F192" i="17" s="1"/>
  <c r="F152" i="5"/>
  <c r="F146" i="17" s="1"/>
  <c r="F213" i="5"/>
  <c r="M91" i="10" s="1"/>
  <c r="F203" i="5"/>
  <c r="F197" i="17" s="1"/>
  <c r="F111" i="5"/>
  <c r="F105" i="17" s="1"/>
  <c r="F126" i="5"/>
  <c r="F120" i="17" s="1"/>
  <c r="F183" i="5"/>
  <c r="F177" i="17" s="1"/>
  <c r="F137" i="5"/>
  <c r="F131" i="17" s="1"/>
  <c r="F112" i="5"/>
  <c r="F106" i="17" s="1"/>
  <c r="F145" i="5"/>
  <c r="F139" i="17" s="1"/>
  <c r="F117" i="5"/>
  <c r="F111" i="17" s="1"/>
  <c r="F175" i="5"/>
  <c r="F169" i="17" s="1"/>
  <c r="F141" i="5"/>
  <c r="F135" i="17" s="1"/>
  <c r="F157" i="5"/>
  <c r="F151" i="17" s="1"/>
  <c r="F180" i="5"/>
  <c r="F174" i="17" s="1"/>
  <c r="F114" i="5"/>
  <c r="F108" i="17" s="1"/>
  <c r="F171" i="5"/>
  <c r="F165" i="17" s="1"/>
  <c r="F162" i="5"/>
  <c r="F156" i="17" s="1"/>
  <c r="F116" i="5"/>
  <c r="F110" i="17" s="1"/>
  <c r="F188" i="5"/>
  <c r="F182" i="17" s="1"/>
  <c r="F193" i="5"/>
  <c r="F187" i="17" s="1"/>
  <c r="F181" i="5"/>
  <c r="F175" i="17" s="1"/>
  <c r="F200" i="5"/>
  <c r="F194" i="17" s="1"/>
  <c r="F136" i="5"/>
  <c r="F130" i="17" s="1"/>
  <c r="F110" i="5"/>
  <c r="F104" i="17" s="1"/>
  <c r="F164" i="5"/>
  <c r="F158" i="17" s="1"/>
  <c r="F206" i="5"/>
  <c r="F200" i="17" s="1"/>
  <c r="F146" i="5"/>
  <c r="F140" i="17" s="1"/>
  <c r="S180" i="6"/>
  <c r="F189" i="5"/>
  <c r="F183" i="17" s="1"/>
  <c r="S145" i="6"/>
  <c r="F138" i="5"/>
  <c r="F132" i="17" s="1"/>
  <c r="S159" i="6"/>
  <c r="S195" i="6"/>
  <c r="T195" i="6" s="1"/>
  <c r="U195" i="6" s="1"/>
  <c r="S122" i="6"/>
  <c r="S199" i="6"/>
  <c r="S127" i="6"/>
  <c r="T127" i="6" s="1"/>
  <c r="U127" i="6" s="1"/>
  <c r="S194" i="6"/>
  <c r="S129" i="6"/>
  <c r="S7" i="6"/>
  <c r="S118" i="6"/>
  <c r="S111" i="6"/>
  <c r="S116" i="6"/>
  <c r="S141" i="6"/>
  <c r="S200" i="6"/>
  <c r="S193" i="6"/>
  <c r="S205" i="6"/>
  <c r="T205" i="6" s="1"/>
  <c r="U205" i="6" s="1"/>
  <c r="F140" i="5"/>
  <c r="F134" i="17" s="1"/>
  <c r="F204" i="5"/>
  <c r="F198" i="17" s="1"/>
  <c r="F173" i="5"/>
  <c r="F167" i="17" s="1"/>
  <c r="F139" i="5"/>
  <c r="F133" i="17" s="1"/>
  <c r="F191" i="5"/>
  <c r="F185" i="17" s="1"/>
  <c r="V181" i="6" l="1"/>
  <c r="E177" i="17" s="1"/>
  <c r="K177" i="17" s="1"/>
  <c r="L177" i="17" s="1"/>
  <c r="M177" i="17" s="1"/>
  <c r="V135" i="6"/>
  <c r="E131" i="17" s="1"/>
  <c r="K131" i="17" s="1"/>
  <c r="L131" i="17" s="1"/>
  <c r="M131" i="17" s="1"/>
  <c r="J91" i="10"/>
  <c r="V139" i="6"/>
  <c r="E135" i="17" s="1"/>
  <c r="K135" i="17" s="1"/>
  <c r="L135" i="17" s="1"/>
  <c r="M135" i="17" s="1"/>
  <c r="V150" i="6"/>
  <c r="E146" i="17" s="1"/>
  <c r="K146" i="17" s="1"/>
  <c r="L146" i="17" s="1"/>
  <c r="M146" i="17" s="1"/>
  <c r="V166" i="6"/>
  <c r="E162" i="17" s="1"/>
  <c r="K162" i="17" s="1"/>
  <c r="L162" i="17" s="1"/>
  <c r="M162" i="17" s="1"/>
  <c r="V128" i="6"/>
  <c r="E124" i="17" s="1"/>
  <c r="K124" i="17" s="1"/>
  <c r="L124" i="17" s="1"/>
  <c r="M124" i="17" s="1"/>
  <c r="V179" i="6"/>
  <c r="E175" i="17" s="1"/>
  <c r="K175" i="17" s="1"/>
  <c r="L175" i="17" s="1"/>
  <c r="M175" i="17" s="1"/>
  <c r="V178" i="6"/>
  <c r="E174" i="17" s="1"/>
  <c r="K174" i="17" s="1"/>
  <c r="L174" i="17" s="1"/>
  <c r="M174" i="17" s="1"/>
  <c r="V162" i="6"/>
  <c r="E158" i="17" s="1"/>
  <c r="K158" i="17" s="1"/>
  <c r="L158" i="17" s="1"/>
  <c r="M158" i="17" s="1"/>
  <c r="V160" i="6"/>
  <c r="E156" i="17" s="1"/>
  <c r="K156" i="17" s="1"/>
  <c r="L156" i="17" s="1"/>
  <c r="M156" i="17" s="1"/>
  <c r="V124" i="6"/>
  <c r="E120" i="17" s="1"/>
  <c r="K120" i="17" s="1"/>
  <c r="L120" i="17" s="1"/>
  <c r="M120" i="17" s="1"/>
  <c r="V167" i="6"/>
  <c r="E163" i="17" s="1"/>
  <c r="K163" i="17" s="1"/>
  <c r="L163" i="17" s="1"/>
  <c r="M163" i="17" s="1"/>
  <c r="V137" i="6"/>
  <c r="E133" i="17" s="1"/>
  <c r="K133" i="17" s="1"/>
  <c r="L133" i="17" s="1"/>
  <c r="M133" i="17" s="1"/>
  <c r="V155" i="6"/>
  <c r="E151" i="17" s="1"/>
  <c r="K151" i="17" s="1"/>
  <c r="L151" i="17" s="1"/>
  <c r="M151" i="17" s="1"/>
  <c r="V205" i="6"/>
  <c r="E201" i="17" s="1"/>
  <c r="V114" i="6"/>
  <c r="E110" i="17" s="1"/>
  <c r="K110" i="17" s="1"/>
  <c r="L110" i="17" s="1"/>
  <c r="M110" i="17" s="1"/>
  <c r="V204" i="6"/>
  <c r="E200" i="17" s="1"/>
  <c r="K200" i="17" s="1"/>
  <c r="L200" i="17" s="1"/>
  <c r="M200" i="17" s="1"/>
  <c r="V115" i="6"/>
  <c r="E111" i="17" s="1"/>
  <c r="K111" i="17" s="1"/>
  <c r="L111" i="17" s="1"/>
  <c r="M111" i="17" s="1"/>
  <c r="V188" i="6"/>
  <c r="E184" i="17" s="1"/>
  <c r="K184" i="17" s="1"/>
  <c r="L184" i="17" s="1"/>
  <c r="M184" i="17" s="1"/>
  <c r="V134" i="6"/>
  <c r="E130" i="17" s="1"/>
  <c r="K130" i="17" s="1"/>
  <c r="L130" i="17" s="1"/>
  <c r="M130" i="17" s="1"/>
  <c r="V198" i="6"/>
  <c r="E194" i="17" s="1"/>
  <c r="K194" i="17" s="1"/>
  <c r="L194" i="17" s="1"/>
  <c r="M194" i="17" s="1"/>
  <c r="V169" i="6"/>
  <c r="E165" i="17" s="1"/>
  <c r="K165" i="17" s="1"/>
  <c r="L165" i="17" s="1"/>
  <c r="M165" i="17" s="1"/>
  <c r="V171" i="6"/>
  <c r="E167" i="17" s="1"/>
  <c r="K167" i="17" s="1"/>
  <c r="L167" i="17" s="1"/>
  <c r="M167" i="17" s="1"/>
  <c r="V138" i="6"/>
  <c r="E134" i="17" s="1"/>
  <c r="K134" i="17" s="1"/>
  <c r="L134" i="17" s="1"/>
  <c r="M134" i="17" s="1"/>
  <c r="V144" i="6"/>
  <c r="E140" i="17" s="1"/>
  <c r="K140" i="17" s="1"/>
  <c r="L140" i="17" s="1"/>
  <c r="M140" i="17" s="1"/>
  <c r="V206" i="6"/>
  <c r="E202" i="17" s="1"/>
  <c r="K202" i="17" s="1"/>
  <c r="L202" i="17" s="1"/>
  <c r="M202" i="17" s="1"/>
  <c r="V196" i="6"/>
  <c r="E192" i="17" s="1"/>
  <c r="K192" i="17" s="1"/>
  <c r="L192" i="17" s="1"/>
  <c r="M192" i="17" s="1"/>
  <c r="V140" i="6"/>
  <c r="E136" i="17" s="1"/>
  <c r="K136" i="17" s="1"/>
  <c r="L136" i="17" s="1"/>
  <c r="M136" i="17" s="1"/>
  <c r="V186" i="6"/>
  <c r="E182" i="17" s="1"/>
  <c r="K182" i="17" s="1"/>
  <c r="L182" i="17" s="1"/>
  <c r="M182" i="17" s="1"/>
  <c r="V123" i="6"/>
  <c r="E119" i="17" s="1"/>
  <c r="K119" i="17" s="1"/>
  <c r="L119" i="17" s="1"/>
  <c r="M119" i="17" s="1"/>
  <c r="V191" i="6"/>
  <c r="E187" i="17" s="1"/>
  <c r="K187" i="17" s="1"/>
  <c r="L187" i="17" s="1"/>
  <c r="M187" i="17" s="1"/>
  <c r="V127" i="6"/>
  <c r="E123" i="17" s="1"/>
  <c r="V143" i="6"/>
  <c r="E139" i="17" s="1"/>
  <c r="K139" i="17" s="1"/>
  <c r="L139" i="17" s="1"/>
  <c r="M139" i="17" s="1"/>
  <c r="V113" i="6"/>
  <c r="E109" i="17" s="1"/>
  <c r="K109" i="17" s="1"/>
  <c r="L109" i="17" s="1"/>
  <c r="M109" i="17" s="1"/>
  <c r="V202" i="6"/>
  <c r="E198" i="17" s="1"/>
  <c r="K198" i="17" s="1"/>
  <c r="L198" i="17" s="1"/>
  <c r="M198" i="17" s="1"/>
  <c r="V131" i="6"/>
  <c r="E127" i="17" s="1"/>
  <c r="K127" i="17" s="1"/>
  <c r="L127" i="17" s="1"/>
  <c r="M127" i="17" s="1"/>
  <c r="V112" i="6"/>
  <c r="E108" i="17" s="1"/>
  <c r="K108" i="17" s="1"/>
  <c r="L108" i="17" s="1"/>
  <c r="M108" i="17" s="1"/>
  <c r="V121" i="6"/>
  <c r="E117" i="17" s="1"/>
  <c r="K117" i="17" s="1"/>
  <c r="L117" i="17" s="1"/>
  <c r="M117" i="17" s="1"/>
  <c r="V195" i="6"/>
  <c r="E191" i="17" s="1"/>
  <c r="V189" i="6"/>
  <c r="E185" i="17" s="1"/>
  <c r="K185" i="17" s="1"/>
  <c r="L185" i="17" s="1"/>
  <c r="M185" i="17" s="1"/>
  <c r="V201" i="6"/>
  <c r="E197" i="17" s="1"/>
  <c r="K197" i="17" s="1"/>
  <c r="L197" i="17" s="1"/>
  <c r="M197" i="17" s="1"/>
  <c r="V173" i="6"/>
  <c r="E169" i="17" s="1"/>
  <c r="K169" i="17" s="1"/>
  <c r="L169" i="17" s="1"/>
  <c r="M169" i="17" s="1"/>
  <c r="T200" i="6"/>
  <c r="U200" i="6" s="1"/>
  <c r="T193" i="6"/>
  <c r="U193" i="6" s="1"/>
  <c r="T141" i="6"/>
  <c r="U141" i="6" s="1"/>
  <c r="T111" i="6"/>
  <c r="U111" i="6" s="1"/>
  <c r="T118" i="6"/>
  <c r="U118" i="6" s="1"/>
  <c r="T116" i="6"/>
  <c r="U116" i="6" s="1"/>
  <c r="T194" i="6"/>
  <c r="U194" i="6" s="1"/>
  <c r="T199" i="6"/>
  <c r="U199" i="6" s="1"/>
  <c r="T122" i="6"/>
  <c r="U122" i="6" s="1"/>
  <c r="T159" i="6"/>
  <c r="U159" i="6" s="1"/>
  <c r="T145" i="6"/>
  <c r="U145" i="6" s="1"/>
  <c r="T180" i="6"/>
  <c r="U180" i="6" s="1"/>
  <c r="T7" i="6"/>
  <c r="U7" i="6" s="1"/>
  <c r="V7" i="6" s="1"/>
  <c r="T129" i="6"/>
  <c r="U129" i="6" s="1"/>
  <c r="K186" i="17"/>
  <c r="L186" i="17" s="1"/>
  <c r="M186" i="17" s="1"/>
  <c r="K129" i="17"/>
  <c r="L129" i="17" s="1"/>
  <c r="M129" i="17" s="1"/>
  <c r="K145" i="17"/>
  <c r="L145" i="17" s="1"/>
  <c r="M145" i="17" s="1"/>
  <c r="K122" i="17"/>
  <c r="L122" i="17" s="1"/>
  <c r="M122" i="17" s="1"/>
  <c r="K183" i="17"/>
  <c r="L183" i="17" s="1"/>
  <c r="M183" i="17" s="1"/>
  <c r="K132" i="17"/>
  <c r="L132" i="17" s="1"/>
  <c r="M132" i="17" s="1"/>
  <c r="F207" i="5"/>
  <c r="F201" i="17" s="1"/>
  <c r="F129" i="5"/>
  <c r="F123" i="17" s="1"/>
  <c r="F197" i="5"/>
  <c r="F191" i="17" s="1"/>
  <c r="F131" i="5"/>
  <c r="F125" i="17" s="1"/>
  <c r="F211" i="5"/>
  <c r="M90" i="10" s="1"/>
  <c r="F195" i="5"/>
  <c r="F189" i="17" s="1"/>
  <c r="F147" i="5"/>
  <c r="F141" i="17" s="1"/>
  <c r="F124" i="5"/>
  <c r="F118" i="17" s="1"/>
  <c r="F202" i="5"/>
  <c r="F196" i="17" s="1"/>
  <c r="F143" i="5"/>
  <c r="F137" i="17" s="1"/>
  <c r="F118" i="5"/>
  <c r="F112" i="17" s="1"/>
  <c r="F182" i="5"/>
  <c r="F176" i="17" s="1"/>
  <c r="F113" i="5"/>
  <c r="F107" i="17" s="1"/>
  <c r="F201" i="5"/>
  <c r="F195" i="17" s="1"/>
  <c r="F161" i="5"/>
  <c r="F155" i="17" s="1"/>
  <c r="F120" i="5"/>
  <c r="F114" i="17" s="1"/>
  <c r="F9" i="5"/>
  <c r="F3" i="17" s="1"/>
  <c r="F196" i="5"/>
  <c r="F190" i="17" s="1"/>
  <c r="H6" i="6"/>
  <c r="U6" i="6" s="1"/>
  <c r="V6" i="6" s="1"/>
  <c r="V200" i="6" l="1"/>
  <c r="E196" i="17" s="1"/>
  <c r="K196" i="17" s="1"/>
  <c r="L196" i="17" s="1"/>
  <c r="M196" i="17" s="1"/>
  <c r="V193" i="6"/>
  <c r="E189" i="17" s="1"/>
  <c r="K189" i="17" s="1"/>
  <c r="L189" i="17" s="1"/>
  <c r="M189" i="17" s="1"/>
  <c r="V118" i="6"/>
  <c r="E114" i="17" s="1"/>
  <c r="K114" i="17" s="1"/>
  <c r="L114" i="17" s="1"/>
  <c r="M114" i="17" s="1"/>
  <c r="V159" i="6"/>
  <c r="E155" i="17" s="1"/>
  <c r="K155" i="17" s="1"/>
  <c r="L155" i="17" s="1"/>
  <c r="M155" i="17" s="1"/>
  <c r="V129" i="6"/>
  <c r="E125" i="17" s="1"/>
  <c r="K125" i="17" s="1"/>
  <c r="L125" i="17" s="1"/>
  <c r="M125" i="17" s="1"/>
  <c r="E3" i="17"/>
  <c r="V145" i="6"/>
  <c r="E141" i="17" s="1"/>
  <c r="K141" i="17" s="1"/>
  <c r="L141" i="17" s="1"/>
  <c r="M141" i="17" s="1"/>
  <c r="V122" i="6"/>
  <c r="E118" i="17" s="1"/>
  <c r="K118" i="17" s="1"/>
  <c r="L118" i="17" s="1"/>
  <c r="M118" i="17" s="1"/>
  <c r="V141" i="6"/>
  <c r="E137" i="17" s="1"/>
  <c r="K137" i="17" s="1"/>
  <c r="L137" i="17" s="1"/>
  <c r="M137" i="17" s="1"/>
  <c r="V199" i="6"/>
  <c r="E195" i="17" s="1"/>
  <c r="K195" i="17" s="1"/>
  <c r="L195" i="17" s="1"/>
  <c r="M195" i="17" s="1"/>
  <c r="V116" i="6"/>
  <c r="E112" i="17" s="1"/>
  <c r="K112" i="17" s="1"/>
  <c r="L112" i="17" s="1"/>
  <c r="M112" i="17" s="1"/>
  <c r="V180" i="6"/>
  <c r="E176" i="17" s="1"/>
  <c r="K176" i="17" s="1"/>
  <c r="L176" i="17" s="1"/>
  <c r="M176" i="17" s="1"/>
  <c r="V194" i="6"/>
  <c r="E190" i="17" s="1"/>
  <c r="K190" i="17" s="1"/>
  <c r="L190" i="17" s="1"/>
  <c r="M190" i="17" s="1"/>
  <c r="K123" i="17"/>
  <c r="L123" i="17" s="1"/>
  <c r="M123" i="17" s="1"/>
  <c r="K201" i="17"/>
  <c r="L201" i="17" s="1"/>
  <c r="M201" i="17" s="1"/>
  <c r="K191" i="17"/>
  <c r="L191" i="17" s="1"/>
  <c r="M191" i="17" s="1"/>
  <c r="L6" i="11"/>
  <c r="N6" i="11" l="1"/>
  <c r="Q6" i="11" l="1"/>
  <c r="G2" i="17" s="1"/>
  <c r="O51" i="13"/>
  <c r="O65" i="13"/>
  <c r="Q70" i="13" l="1"/>
  <c r="O70" i="13"/>
  <c r="Q77" i="13"/>
  <c r="O77" i="13"/>
  <c r="Q89" i="13"/>
  <c r="O89" i="13"/>
  <c r="Q37" i="13"/>
  <c r="O37" i="13"/>
  <c r="Q106" i="13"/>
  <c r="O106" i="13"/>
  <c r="Q76" i="13"/>
  <c r="O76" i="13"/>
  <c r="Q66" i="13"/>
  <c r="O66" i="13"/>
  <c r="Q13" i="13"/>
  <c r="O13" i="13"/>
  <c r="Q102" i="13"/>
  <c r="O102" i="13"/>
  <c r="Q72" i="13"/>
  <c r="O72" i="13"/>
  <c r="Q29" i="13"/>
  <c r="O29" i="13"/>
  <c r="Q61" i="13"/>
  <c r="O61" i="13"/>
  <c r="Q108" i="13"/>
  <c r="O108" i="13"/>
  <c r="Q48" i="13"/>
  <c r="O48" i="13"/>
  <c r="Q88" i="13"/>
  <c r="O88" i="13"/>
  <c r="Q92" i="13"/>
  <c r="O92" i="13"/>
  <c r="Q79" i="13"/>
  <c r="O79" i="13"/>
  <c r="Q12" i="13"/>
  <c r="O12" i="13"/>
  <c r="Q28" i="13"/>
  <c r="O28" i="13"/>
  <c r="Q19" i="13"/>
  <c r="O19" i="13"/>
  <c r="Q23" i="13"/>
  <c r="O23" i="13"/>
  <c r="Q63" i="13"/>
  <c r="O63" i="13"/>
  <c r="Q100" i="13"/>
  <c r="O100" i="13"/>
  <c r="Q107" i="13"/>
  <c r="O107" i="13"/>
  <c r="Q78" i="13"/>
  <c r="O78" i="13"/>
  <c r="Q62" i="13"/>
  <c r="O62" i="13"/>
  <c r="Q82" i="13"/>
  <c r="O82" i="13"/>
  <c r="Q95" i="13"/>
  <c r="O95" i="13"/>
  <c r="Q87" i="13"/>
  <c r="O87" i="13"/>
  <c r="Q18" i="13"/>
  <c r="O18" i="13"/>
  <c r="Q42" i="13"/>
  <c r="O42" i="13"/>
  <c r="Q22" i="13"/>
  <c r="O22" i="13"/>
  <c r="Q14" i="13"/>
  <c r="O14" i="13"/>
  <c r="Q67" i="13"/>
  <c r="O67" i="13"/>
  <c r="Q57" i="13"/>
  <c r="O57" i="13"/>
  <c r="Q101" i="13"/>
  <c r="O101" i="13"/>
  <c r="Q81" i="13"/>
  <c r="O81" i="13"/>
  <c r="Q53" i="13"/>
  <c r="O53" i="13"/>
  <c r="Q47" i="13"/>
  <c r="O47" i="13"/>
  <c r="Q17" i="13"/>
  <c r="O17" i="13"/>
  <c r="Q40" i="13"/>
  <c r="O40" i="13"/>
  <c r="Q41" i="13"/>
  <c r="O41" i="13"/>
  <c r="Q32" i="13"/>
  <c r="O32" i="13"/>
  <c r="Q104" i="13"/>
  <c r="O104" i="13"/>
  <c r="Q34" i="13"/>
  <c r="O34" i="13"/>
  <c r="Q64" i="13"/>
  <c r="O64" i="13"/>
  <c r="Q24" i="13"/>
  <c r="O24" i="13"/>
  <c r="Q83" i="13"/>
  <c r="O83" i="13"/>
  <c r="Q27" i="13"/>
  <c r="O27" i="13"/>
  <c r="Q71" i="13"/>
  <c r="O71" i="13"/>
  <c r="Q58" i="13"/>
  <c r="O58" i="13"/>
  <c r="Q97" i="13"/>
  <c r="O97" i="13"/>
  <c r="Q54" i="13"/>
  <c r="O54" i="13"/>
  <c r="Q39" i="13"/>
  <c r="O39" i="13"/>
  <c r="Q74" i="13"/>
  <c r="O74" i="13"/>
  <c r="Q44" i="13"/>
  <c r="O44" i="13"/>
  <c r="Q103" i="13"/>
  <c r="O103" i="13"/>
  <c r="R103" i="13" s="1"/>
  <c r="Q69" i="13"/>
  <c r="O69" i="13"/>
  <c r="Q16" i="13"/>
  <c r="O16" i="13"/>
  <c r="Q26" i="13"/>
  <c r="O26" i="13"/>
  <c r="Q94" i="13"/>
  <c r="O94" i="13"/>
  <c r="Q21" i="13"/>
  <c r="O21" i="13"/>
  <c r="Q80" i="13"/>
  <c r="O80" i="13"/>
  <c r="Q68" i="13"/>
  <c r="O68" i="13"/>
  <c r="Q99" i="13"/>
  <c r="O99" i="13"/>
  <c r="Q86" i="13"/>
  <c r="O86" i="13"/>
  <c r="Q31" i="13"/>
  <c r="O31" i="13"/>
  <c r="R31" i="13" s="1"/>
  <c r="Q59" i="13"/>
  <c r="O59" i="13"/>
  <c r="Q36" i="13"/>
  <c r="O36" i="13"/>
  <c r="Q91" i="13"/>
  <c r="O91" i="13"/>
  <c r="Q50" i="13"/>
  <c r="O50" i="13"/>
  <c r="Q30" i="13"/>
  <c r="O30" i="13"/>
  <c r="Q73" i="13"/>
  <c r="O73" i="13"/>
  <c r="Q43" i="13"/>
  <c r="O43" i="13"/>
  <c r="Q49" i="13"/>
  <c r="O49" i="13"/>
  <c r="Q35" i="13"/>
  <c r="O35" i="13"/>
  <c r="Q85" i="13"/>
  <c r="O85" i="13"/>
  <c r="R85" i="13" s="1"/>
  <c r="Q33" i="13"/>
  <c r="O33" i="13"/>
  <c r="Q25" i="13"/>
  <c r="O25" i="13"/>
  <c r="Q84" i="13"/>
  <c r="O84" i="13"/>
  <c r="Q56" i="13"/>
  <c r="O56" i="13"/>
  <c r="Q60" i="13"/>
  <c r="O60" i="13"/>
  <c r="Q75" i="13"/>
  <c r="O75" i="13"/>
  <c r="Q20" i="13"/>
  <c r="O20" i="13"/>
  <c r="Q46" i="13"/>
  <c r="O46" i="13"/>
  <c r="Q15" i="13"/>
  <c r="O15" i="13"/>
  <c r="Q11" i="13"/>
  <c r="O11" i="13"/>
  <c r="Q105" i="13"/>
  <c r="O105" i="13"/>
  <c r="Q96" i="13"/>
  <c r="O96" i="13"/>
  <c r="Q93" i="13"/>
  <c r="O93" i="13"/>
  <c r="Q98" i="13"/>
  <c r="O98" i="13"/>
  <c r="Q90" i="13"/>
  <c r="O90" i="13"/>
  <c r="Q45" i="13"/>
  <c r="O45" i="13"/>
  <c r="Q52" i="13"/>
  <c r="O52" i="13"/>
  <c r="Q55" i="13"/>
  <c r="O55" i="13"/>
  <c r="Q38" i="13"/>
  <c r="O38" i="13"/>
  <c r="Q65" i="13"/>
  <c r="R65" i="13" s="1"/>
  <c r="Q51" i="13"/>
  <c r="R86" i="13" l="1"/>
  <c r="R81" i="13"/>
  <c r="R82" i="13"/>
  <c r="R101" i="13"/>
  <c r="R44" i="13"/>
  <c r="R64" i="13"/>
  <c r="R79" i="13"/>
  <c r="R95" i="13"/>
  <c r="E2" i="17"/>
  <c r="F8" i="5"/>
  <c r="F2" i="17" s="1"/>
  <c r="R96" i="13"/>
  <c r="R36" i="13"/>
  <c r="R69" i="13"/>
  <c r="R102" i="13"/>
  <c r="R90" i="13"/>
  <c r="R25" i="13"/>
  <c r="R38" i="13"/>
  <c r="R75" i="13"/>
  <c r="R73" i="13"/>
  <c r="R32" i="13"/>
  <c r="R108" i="13"/>
  <c r="S108" i="13" s="1"/>
  <c r="C105" i="17" s="1"/>
  <c r="R100" i="13"/>
  <c r="R84" i="13"/>
  <c r="R91" i="13"/>
  <c r="R26" i="13"/>
  <c r="R20" i="13"/>
  <c r="R43" i="13"/>
  <c r="R67" i="13"/>
  <c r="R107" i="13"/>
  <c r="R71" i="13"/>
  <c r="R104" i="13"/>
  <c r="R54" i="13"/>
  <c r="R48" i="13"/>
  <c r="R60" i="13"/>
  <c r="R37" i="13"/>
  <c r="R53" i="13"/>
  <c r="R76" i="13"/>
  <c r="R45" i="13"/>
  <c r="R52" i="13"/>
  <c r="R87" i="13"/>
  <c r="R11" i="13"/>
  <c r="R27" i="13"/>
  <c r="R28" i="13"/>
  <c r="R66" i="13"/>
  <c r="R68" i="13"/>
  <c r="R93" i="13"/>
  <c r="R98" i="13"/>
  <c r="R55" i="13"/>
  <c r="R30" i="13"/>
  <c r="R17" i="13"/>
  <c r="R21" i="13"/>
  <c r="R49" i="13"/>
  <c r="R24" i="13"/>
  <c r="R70" i="13"/>
  <c r="R74" i="13"/>
  <c r="R12" i="13"/>
  <c r="R47" i="13"/>
  <c r="R89" i="13"/>
  <c r="R62" i="13"/>
  <c r="R13" i="13"/>
  <c r="R34" i="13"/>
  <c r="R46" i="13"/>
  <c r="R92" i="13"/>
  <c r="R35" i="13"/>
  <c r="R16" i="13"/>
  <c r="R18" i="13"/>
  <c r="R19" i="13"/>
  <c r="R72" i="13"/>
  <c r="R57" i="13"/>
  <c r="R78" i="13"/>
  <c r="R88" i="13"/>
  <c r="R106" i="13"/>
  <c r="R99" i="13"/>
  <c r="R39" i="13"/>
  <c r="R97" i="13"/>
  <c r="R41" i="13"/>
  <c r="R22" i="13"/>
  <c r="R63" i="13"/>
  <c r="R61" i="13"/>
  <c r="R77" i="13"/>
  <c r="R14" i="13"/>
  <c r="R80" i="13"/>
  <c r="R59" i="13"/>
  <c r="R15" i="13"/>
  <c r="R50" i="13"/>
  <c r="R58" i="13"/>
  <c r="R42" i="13"/>
  <c r="R29" i="13"/>
  <c r="R105" i="13"/>
  <c r="R83" i="13"/>
  <c r="R94" i="13"/>
  <c r="R23" i="13"/>
  <c r="R33" i="13"/>
  <c r="R56" i="13"/>
  <c r="R40" i="13"/>
  <c r="R51" i="13"/>
  <c r="B106" i="11"/>
  <c r="B105" i="11"/>
  <c r="B104" i="11"/>
  <c r="B103" i="11"/>
  <c r="B102" i="11"/>
  <c r="B101" i="11"/>
  <c r="B100" i="11"/>
  <c r="B99" i="11"/>
  <c r="B98" i="11"/>
  <c r="B97" i="11"/>
  <c r="B96" i="11"/>
  <c r="B95" i="11"/>
  <c r="B94" i="11"/>
  <c r="B93" i="11"/>
  <c r="B92" i="11"/>
  <c r="B91" i="11"/>
  <c r="B90" i="11"/>
  <c r="B89" i="11"/>
  <c r="B88" i="11"/>
  <c r="B87" i="11"/>
  <c r="B86" i="11"/>
  <c r="B85" i="11"/>
  <c r="B84" i="11"/>
  <c r="B83" i="11"/>
  <c r="B82" i="11"/>
  <c r="B81" i="11"/>
  <c r="B80" i="11"/>
  <c r="B79" i="11"/>
  <c r="B78" i="11"/>
  <c r="B77" i="11"/>
  <c r="B76" i="11"/>
  <c r="B75" i="11"/>
  <c r="B74" i="11"/>
  <c r="B73" i="11"/>
  <c r="B72" i="11"/>
  <c r="B71" i="11"/>
  <c r="B70" i="11"/>
  <c r="B69" i="11"/>
  <c r="B68" i="11"/>
  <c r="B67" i="11"/>
  <c r="B66" i="11"/>
  <c r="B65" i="11"/>
  <c r="B64" i="11"/>
  <c r="B63" i="11"/>
  <c r="B62" i="11"/>
  <c r="B61" i="11"/>
  <c r="B60" i="11"/>
  <c r="B59" i="11"/>
  <c r="B58" i="11"/>
  <c r="B57" i="11"/>
  <c r="B56" i="11"/>
  <c r="B55" i="11"/>
  <c r="B54" i="11"/>
  <c r="B53" i="11"/>
  <c r="B52" i="11"/>
  <c r="B51" i="11"/>
  <c r="B50" i="11"/>
  <c r="B49" i="11"/>
  <c r="B48" i="11"/>
  <c r="B47" i="11"/>
  <c r="B46" i="11"/>
  <c r="B45" i="11"/>
  <c r="B44" i="11"/>
  <c r="B43" i="11"/>
  <c r="B42" i="11"/>
  <c r="B41" i="11"/>
  <c r="B40" i="11"/>
  <c r="B39" i="11"/>
  <c r="B38" i="11"/>
  <c r="B37" i="11"/>
  <c r="B36" i="11"/>
  <c r="B35" i="11"/>
  <c r="B34" i="11"/>
  <c r="B33" i="11"/>
  <c r="B32" i="11"/>
  <c r="B31" i="11"/>
  <c r="B30" i="11"/>
  <c r="B29" i="11"/>
  <c r="B28" i="11"/>
  <c r="B27" i="11"/>
  <c r="B26" i="11"/>
  <c r="B25" i="11"/>
  <c r="B24" i="11"/>
  <c r="B23" i="11"/>
  <c r="B22" i="11"/>
  <c r="B21" i="11"/>
  <c r="B20" i="11"/>
  <c r="B19" i="11"/>
  <c r="B18" i="11"/>
  <c r="B17" i="11"/>
  <c r="B16" i="11"/>
  <c r="B15" i="11"/>
  <c r="B14" i="11"/>
  <c r="B13" i="11"/>
  <c r="B12" i="11"/>
  <c r="B11" i="11"/>
  <c r="B10" i="11"/>
  <c r="B9" i="11"/>
  <c r="B8" i="11"/>
  <c r="B7" i="11"/>
  <c r="F7" i="11" s="1"/>
  <c r="D107" i="6"/>
  <c r="D106" i="6"/>
  <c r="D105" i="6"/>
  <c r="D104" i="6"/>
  <c r="D103" i="6"/>
  <c r="D102" i="6"/>
  <c r="D101" i="6"/>
  <c r="D100" i="6"/>
  <c r="D99" i="6"/>
  <c r="D98" i="6"/>
  <c r="D97" i="6"/>
  <c r="D96" i="6"/>
  <c r="D95" i="6"/>
  <c r="D94" i="6"/>
  <c r="D93" i="6"/>
  <c r="D92" i="6"/>
  <c r="D91" i="6"/>
  <c r="D90" i="6"/>
  <c r="D89" i="6"/>
  <c r="D88" i="6"/>
  <c r="D87" i="6"/>
  <c r="D86" i="6"/>
  <c r="D85" i="6"/>
  <c r="D84" i="6"/>
  <c r="D83" i="6"/>
  <c r="D82" i="6"/>
  <c r="D81" i="6"/>
  <c r="D80" i="6"/>
  <c r="D79" i="6"/>
  <c r="D78" i="6"/>
  <c r="D77" i="6"/>
  <c r="D76" i="6"/>
  <c r="D75" i="6"/>
  <c r="D74" i="6"/>
  <c r="D73" i="6"/>
  <c r="D72" i="6"/>
  <c r="D71" i="6"/>
  <c r="D70" i="6"/>
  <c r="D69" i="6"/>
  <c r="D68" i="6"/>
  <c r="D67" i="6"/>
  <c r="D66" i="6"/>
  <c r="D65" i="6"/>
  <c r="D64" i="6"/>
  <c r="D63" i="6"/>
  <c r="D62" i="6"/>
  <c r="D61" i="6"/>
  <c r="D60" i="6"/>
  <c r="D59" i="6"/>
  <c r="D58" i="6"/>
  <c r="D57" i="6"/>
  <c r="D56" i="6"/>
  <c r="D55" i="6"/>
  <c r="D54" i="6"/>
  <c r="D53" i="6"/>
  <c r="D52" i="6"/>
  <c r="D51" i="6"/>
  <c r="D50" i="6"/>
  <c r="D49" i="6"/>
  <c r="D48" i="6"/>
  <c r="D47" i="6"/>
  <c r="D46" i="6"/>
  <c r="D45" i="6"/>
  <c r="D44" i="6"/>
  <c r="D43" i="6"/>
  <c r="D42" i="6"/>
  <c r="D41" i="6"/>
  <c r="D40" i="6"/>
  <c r="D39" i="6"/>
  <c r="D38" i="6"/>
  <c r="D37" i="6"/>
  <c r="D36" i="6"/>
  <c r="D35" i="6"/>
  <c r="D34" i="6"/>
  <c r="D33" i="6"/>
  <c r="D32" i="6"/>
  <c r="D31" i="6"/>
  <c r="D30" i="6"/>
  <c r="D29" i="6"/>
  <c r="D28" i="6"/>
  <c r="D27" i="6"/>
  <c r="D26" i="6"/>
  <c r="D25" i="6"/>
  <c r="D24" i="6"/>
  <c r="D23" i="6"/>
  <c r="D22" i="6"/>
  <c r="D21" i="6"/>
  <c r="D20" i="6"/>
  <c r="D19" i="6"/>
  <c r="D18" i="6"/>
  <c r="D17" i="6"/>
  <c r="D16" i="6"/>
  <c r="D15" i="6"/>
  <c r="D14" i="6"/>
  <c r="D13" i="6"/>
  <c r="D12" i="6"/>
  <c r="D11" i="6"/>
  <c r="D10" i="6"/>
  <c r="D9" i="6"/>
  <c r="D8" i="6"/>
  <c r="B110" i="4"/>
  <c r="B109" i="4"/>
  <c r="B108" i="4"/>
  <c r="B107" i="4"/>
  <c r="B106" i="4"/>
  <c r="B105" i="4"/>
  <c r="B104" i="4"/>
  <c r="B103" i="4"/>
  <c r="B102" i="4"/>
  <c r="B101" i="4"/>
  <c r="B100" i="4"/>
  <c r="B99" i="4"/>
  <c r="B98" i="4"/>
  <c r="B97" i="4"/>
  <c r="B96" i="4"/>
  <c r="B95" i="4"/>
  <c r="B94" i="4"/>
  <c r="B93" i="4"/>
  <c r="B92" i="4"/>
  <c r="B91" i="4"/>
  <c r="B90" i="4"/>
  <c r="B89" i="4"/>
  <c r="B88" i="4"/>
  <c r="B87" i="4"/>
  <c r="B86" i="4"/>
  <c r="B85" i="4"/>
  <c r="B84" i="4"/>
  <c r="B83" i="4"/>
  <c r="B82" i="4"/>
  <c r="B81" i="4"/>
  <c r="B80" i="4"/>
  <c r="B79" i="4"/>
  <c r="B78" i="4"/>
  <c r="B77" i="4"/>
  <c r="B76" i="4"/>
  <c r="B75" i="4"/>
  <c r="B74" i="4"/>
  <c r="B73" i="4"/>
  <c r="B72" i="4"/>
  <c r="B71" i="4"/>
  <c r="B70" i="4"/>
  <c r="B69" i="4"/>
  <c r="B68" i="4"/>
  <c r="B67" i="4"/>
  <c r="B66" i="4"/>
  <c r="B65" i="4"/>
  <c r="B64" i="4"/>
  <c r="B63" i="4"/>
  <c r="B62" i="4"/>
  <c r="B61" i="4"/>
  <c r="B60" i="4"/>
  <c r="B59" i="4"/>
  <c r="B58" i="4"/>
  <c r="B57" i="4"/>
  <c r="B56" i="4"/>
  <c r="B55" i="4"/>
  <c r="B54" i="4"/>
  <c r="B53" i="4"/>
  <c r="B52" i="4"/>
  <c r="B51" i="4"/>
  <c r="B50" i="4"/>
  <c r="B49" i="4"/>
  <c r="B48" i="4"/>
  <c r="B47" i="4"/>
  <c r="B46" i="4"/>
  <c r="B45" i="4"/>
  <c r="B44" i="4"/>
  <c r="B43" i="4"/>
  <c r="B42" i="4"/>
  <c r="B41" i="4"/>
  <c r="B40" i="4"/>
  <c r="B39" i="4"/>
  <c r="F39" i="4" s="1"/>
  <c r="B38" i="4"/>
  <c r="B37" i="4"/>
  <c r="B36" i="4"/>
  <c r="B35" i="4"/>
  <c r="B34" i="4"/>
  <c r="B33" i="4"/>
  <c r="B32" i="4"/>
  <c r="B31" i="4"/>
  <c r="B30" i="4"/>
  <c r="B29" i="4"/>
  <c r="B28" i="4"/>
  <c r="B27" i="4"/>
  <c r="B26" i="4"/>
  <c r="B25" i="4"/>
  <c r="B24" i="4"/>
  <c r="B23" i="4"/>
  <c r="B22" i="4"/>
  <c r="B21" i="4"/>
  <c r="B20" i="4"/>
  <c r="B19" i="4"/>
  <c r="B18" i="4"/>
  <c r="B17" i="4"/>
  <c r="B16" i="4"/>
  <c r="B15" i="4"/>
  <c r="B14" i="4"/>
  <c r="B13" i="4"/>
  <c r="B12" i="4"/>
  <c r="B11" i="4"/>
  <c r="B110" i="3"/>
  <c r="B109" i="3"/>
  <c r="B108" i="3"/>
  <c r="B107" i="3"/>
  <c r="B106" i="3"/>
  <c r="B105" i="3"/>
  <c r="B104" i="3"/>
  <c r="B103" i="3"/>
  <c r="B102" i="3"/>
  <c r="B101" i="3"/>
  <c r="B100" i="3"/>
  <c r="B99" i="3"/>
  <c r="B98" i="3"/>
  <c r="B97" i="3"/>
  <c r="B96" i="3"/>
  <c r="B95" i="3"/>
  <c r="B94" i="3"/>
  <c r="B93" i="3"/>
  <c r="B92" i="3"/>
  <c r="B91" i="3"/>
  <c r="B90" i="3"/>
  <c r="B89" i="3"/>
  <c r="B88" i="3"/>
  <c r="B87" i="3"/>
  <c r="B86" i="3"/>
  <c r="B85" i="3"/>
  <c r="B84" i="3"/>
  <c r="B83" i="3"/>
  <c r="B82" i="3"/>
  <c r="B81" i="3"/>
  <c r="B80" i="3"/>
  <c r="B79" i="3"/>
  <c r="B78" i="3"/>
  <c r="B77" i="3"/>
  <c r="B76" i="3"/>
  <c r="B75" i="3"/>
  <c r="B74" i="3"/>
  <c r="B73" i="3"/>
  <c r="B72" i="3"/>
  <c r="B71" i="3"/>
  <c r="B70" i="3"/>
  <c r="B69" i="3"/>
  <c r="B68" i="3"/>
  <c r="B67" i="3"/>
  <c r="B66" i="3"/>
  <c r="B65" i="3"/>
  <c r="B64" i="3"/>
  <c r="B63" i="3"/>
  <c r="B62" i="3"/>
  <c r="B61" i="3"/>
  <c r="B60" i="3"/>
  <c r="B59" i="3"/>
  <c r="B58" i="3"/>
  <c r="B57" i="3"/>
  <c r="B56" i="3"/>
  <c r="B55" i="3"/>
  <c r="B54" i="3"/>
  <c r="B53" i="3"/>
  <c r="B52" i="3"/>
  <c r="B51" i="3"/>
  <c r="B50" i="3"/>
  <c r="B49" i="3"/>
  <c r="B48" i="3"/>
  <c r="B47" i="3"/>
  <c r="B46" i="3"/>
  <c r="B45" i="3"/>
  <c r="B44" i="3"/>
  <c r="B43" i="3"/>
  <c r="B42" i="3"/>
  <c r="B41" i="3"/>
  <c r="B40" i="3"/>
  <c r="B39" i="3"/>
  <c r="B38" i="3"/>
  <c r="B37" i="3"/>
  <c r="B36" i="3"/>
  <c r="B35" i="3"/>
  <c r="B34" i="3"/>
  <c r="B33" i="3"/>
  <c r="B32" i="3"/>
  <c r="B31" i="3"/>
  <c r="B30" i="3"/>
  <c r="B29" i="3"/>
  <c r="B28" i="3"/>
  <c r="B27" i="3"/>
  <c r="B26" i="3"/>
  <c r="B25" i="3"/>
  <c r="B24" i="3"/>
  <c r="B23" i="3"/>
  <c r="B22" i="3"/>
  <c r="B21" i="3"/>
  <c r="B20" i="3"/>
  <c r="B19" i="3"/>
  <c r="B18" i="3"/>
  <c r="B17" i="3"/>
  <c r="B16" i="3"/>
  <c r="B15" i="3"/>
  <c r="B14" i="3"/>
  <c r="B13" i="3"/>
  <c r="B12" i="3"/>
  <c r="B11" i="3"/>
  <c r="B7" i="2"/>
  <c r="K2" i="17" l="1"/>
  <c r="L2" i="17" s="1"/>
  <c r="M2" i="17" s="1"/>
  <c r="J7" i="11"/>
  <c r="G7" i="11"/>
  <c r="M18" i="4"/>
  <c r="O18" i="4" s="1"/>
  <c r="D18" i="4"/>
  <c r="D38" i="4"/>
  <c r="M38" i="4" s="1"/>
  <c r="O38" i="4" s="1"/>
  <c r="D78" i="4"/>
  <c r="M78" i="4" s="1"/>
  <c r="O78" i="4" s="1"/>
  <c r="D59" i="4"/>
  <c r="M59" i="4" s="1"/>
  <c r="O59" i="4" s="1"/>
  <c r="M20" i="4"/>
  <c r="O20" i="4" s="1"/>
  <c r="D20" i="4"/>
  <c r="D100" i="4"/>
  <c r="M100" i="4" s="1"/>
  <c r="O100" i="4" s="1"/>
  <c r="D61" i="4"/>
  <c r="M61" i="4" s="1"/>
  <c r="O61" i="4" s="1"/>
  <c r="D82" i="4"/>
  <c r="M82" i="4" s="1"/>
  <c r="O82" i="4" s="1"/>
  <c r="M23" i="4"/>
  <c r="O23" i="4" s="1"/>
  <c r="D23" i="4"/>
  <c r="D43" i="4"/>
  <c r="M43" i="4" s="1"/>
  <c r="O43" i="4" s="1"/>
  <c r="D63" i="4"/>
  <c r="M63" i="4" s="1"/>
  <c r="O63" i="4" s="1"/>
  <c r="D83" i="4"/>
  <c r="M83" i="4" s="1"/>
  <c r="O83" i="4" s="1"/>
  <c r="D103" i="4"/>
  <c r="M103" i="4" s="1"/>
  <c r="O103" i="4" s="1"/>
  <c r="M24" i="4"/>
  <c r="O24" i="4" s="1"/>
  <c r="D24" i="4"/>
  <c r="D44" i="4"/>
  <c r="M44" i="4" s="1"/>
  <c r="O44" i="4" s="1"/>
  <c r="D64" i="4"/>
  <c r="M64" i="4" s="1"/>
  <c r="O64" i="4" s="1"/>
  <c r="D84" i="4"/>
  <c r="M84" i="4" s="1"/>
  <c r="O84" i="4" s="1"/>
  <c r="D104" i="4"/>
  <c r="M104" i="4" s="1"/>
  <c r="O104" i="4" s="1"/>
  <c r="M25" i="4"/>
  <c r="O25" i="4" s="1"/>
  <c r="D25" i="4"/>
  <c r="D45" i="4"/>
  <c r="M45" i="4" s="1"/>
  <c r="O45" i="4" s="1"/>
  <c r="D65" i="4"/>
  <c r="M65" i="4" s="1"/>
  <c r="O65" i="4" s="1"/>
  <c r="D85" i="4"/>
  <c r="M85" i="4" s="1"/>
  <c r="O85" i="4" s="1"/>
  <c r="D105" i="4"/>
  <c r="M105" i="4" s="1"/>
  <c r="O105" i="4" s="1"/>
  <c r="D26" i="4"/>
  <c r="M26" i="4" s="1"/>
  <c r="O26" i="4" s="1"/>
  <c r="D46" i="4"/>
  <c r="M46" i="4" s="1"/>
  <c r="O46" i="4" s="1"/>
  <c r="D66" i="4"/>
  <c r="M66" i="4" s="1"/>
  <c r="O66" i="4" s="1"/>
  <c r="D86" i="4"/>
  <c r="M86" i="4" s="1"/>
  <c r="O86" i="4" s="1"/>
  <c r="D106" i="4"/>
  <c r="M106" i="4" s="1"/>
  <c r="O106" i="4" s="1"/>
  <c r="D27" i="4"/>
  <c r="M27" i="4" s="1"/>
  <c r="O27" i="4" s="1"/>
  <c r="D47" i="4"/>
  <c r="M47" i="4" s="1"/>
  <c r="O47" i="4" s="1"/>
  <c r="D67" i="4"/>
  <c r="M67" i="4" s="1"/>
  <c r="O67" i="4" s="1"/>
  <c r="D87" i="4"/>
  <c r="M87" i="4" s="1"/>
  <c r="O87" i="4" s="1"/>
  <c r="D107" i="4"/>
  <c r="M107" i="4" s="1"/>
  <c r="O107" i="4" s="1"/>
  <c r="D28" i="4"/>
  <c r="M28" i="4" s="1"/>
  <c r="O28" i="4" s="1"/>
  <c r="D48" i="4"/>
  <c r="M48" i="4" s="1"/>
  <c r="O48" i="4" s="1"/>
  <c r="D68" i="4"/>
  <c r="M68" i="4" s="1"/>
  <c r="O68" i="4" s="1"/>
  <c r="D88" i="4"/>
  <c r="M88" i="4" s="1"/>
  <c r="O88" i="4" s="1"/>
  <c r="D108" i="4"/>
  <c r="M108" i="4" s="1"/>
  <c r="O108" i="4" s="1"/>
  <c r="M11" i="4"/>
  <c r="O11" i="4" s="1"/>
  <c r="D11" i="4"/>
  <c r="D95" i="4"/>
  <c r="M95" i="4" s="1"/>
  <c r="O95" i="4" s="1"/>
  <c r="D98" i="4"/>
  <c r="M98" i="4" s="1"/>
  <c r="O98" i="4" s="1"/>
  <c r="M19" i="4"/>
  <c r="O19" i="4" s="1"/>
  <c r="D19" i="4"/>
  <c r="D40" i="4"/>
  <c r="M40" i="4" s="1"/>
  <c r="O40" i="4" s="1"/>
  <c r="D80" i="4"/>
  <c r="M80" i="4" s="1"/>
  <c r="O80" i="4" s="1"/>
  <c r="M21" i="4"/>
  <c r="O21" i="4" s="1"/>
  <c r="D21" i="4"/>
  <c r="D41" i="4"/>
  <c r="M41" i="4" s="1"/>
  <c r="O41" i="4" s="1"/>
  <c r="D81" i="4"/>
  <c r="M81" i="4" s="1"/>
  <c r="O81" i="4" s="1"/>
  <c r="D62" i="4"/>
  <c r="M62" i="4" s="1"/>
  <c r="O62" i="4" s="1"/>
  <c r="D29" i="4"/>
  <c r="M29" i="4" s="1"/>
  <c r="O29" i="4" s="1"/>
  <c r="D69" i="4"/>
  <c r="M69" i="4" s="1"/>
  <c r="O69" i="4" s="1"/>
  <c r="D109" i="4"/>
  <c r="M109" i="4" s="1"/>
  <c r="O109" i="4" s="1"/>
  <c r="D90" i="4"/>
  <c r="M90" i="4" s="1"/>
  <c r="O90" i="4" s="1"/>
  <c r="D51" i="4"/>
  <c r="M51" i="4" s="1"/>
  <c r="O51" i="4" s="1"/>
  <c r="D91" i="4"/>
  <c r="M91" i="4" s="1"/>
  <c r="O91" i="4" s="1"/>
  <c r="D52" i="4"/>
  <c r="M52" i="4" s="1"/>
  <c r="O52" i="4" s="1"/>
  <c r="D73" i="4"/>
  <c r="M73" i="4" s="1"/>
  <c r="O73" i="4" s="1"/>
  <c r="M14" i="4"/>
  <c r="O14" i="4" s="1"/>
  <c r="D14" i="4"/>
  <c r="D74" i="4"/>
  <c r="M74" i="4" s="1"/>
  <c r="O74" i="4" s="1"/>
  <c r="M15" i="4"/>
  <c r="O15" i="4" s="1"/>
  <c r="D15" i="4"/>
  <c r="D75" i="4"/>
  <c r="M75" i="4" s="1"/>
  <c r="O75" i="4" s="1"/>
  <c r="M16" i="4"/>
  <c r="O16" i="4" s="1"/>
  <c r="D16" i="4"/>
  <c r="F16" i="4"/>
  <c r="G16" i="4" s="1"/>
  <c r="D36" i="4"/>
  <c r="M36" i="4" s="1"/>
  <c r="O36" i="4" s="1"/>
  <c r="D56" i="4"/>
  <c r="M56" i="4" s="1"/>
  <c r="O56" i="4" s="1"/>
  <c r="D76" i="4"/>
  <c r="M76" i="4" s="1"/>
  <c r="O76" i="4" s="1"/>
  <c r="D96" i="4"/>
  <c r="M96" i="4" s="1"/>
  <c r="O96" i="4" s="1"/>
  <c r="D58" i="4"/>
  <c r="M58" i="4" s="1"/>
  <c r="O58" i="4" s="1"/>
  <c r="D39" i="4"/>
  <c r="M39" i="4" s="1"/>
  <c r="O39" i="4" s="1"/>
  <c r="D79" i="4"/>
  <c r="M79" i="4" s="1"/>
  <c r="O79" i="4" s="1"/>
  <c r="D99" i="4"/>
  <c r="M99" i="4" s="1"/>
  <c r="O99" i="4" s="1"/>
  <c r="D60" i="4"/>
  <c r="M60" i="4" s="1"/>
  <c r="O60" i="4" s="1"/>
  <c r="D101" i="4"/>
  <c r="M101" i="4" s="1"/>
  <c r="O101" i="4" s="1"/>
  <c r="M22" i="4"/>
  <c r="O22" i="4" s="1"/>
  <c r="D22" i="4"/>
  <c r="D42" i="4"/>
  <c r="M42" i="4" s="1"/>
  <c r="O42" i="4" s="1"/>
  <c r="D102" i="4"/>
  <c r="M102" i="4" s="1"/>
  <c r="O102" i="4" s="1"/>
  <c r="D49" i="4"/>
  <c r="M49" i="4" s="1"/>
  <c r="O49" i="4" s="1"/>
  <c r="D89" i="4"/>
  <c r="M89" i="4" s="1"/>
  <c r="O89" i="4" s="1"/>
  <c r="D30" i="4"/>
  <c r="M30" i="4" s="1"/>
  <c r="O30" i="4" s="1"/>
  <c r="D50" i="4"/>
  <c r="M50" i="4" s="1"/>
  <c r="O50" i="4" s="1"/>
  <c r="D70" i="4"/>
  <c r="M70" i="4" s="1"/>
  <c r="O70" i="4" s="1"/>
  <c r="D110" i="4"/>
  <c r="M110" i="4" s="1"/>
  <c r="O110" i="4" s="1"/>
  <c r="D31" i="4"/>
  <c r="M31" i="4" s="1"/>
  <c r="O31" i="4" s="1"/>
  <c r="D71" i="4"/>
  <c r="M71" i="4" s="1"/>
  <c r="O71" i="4" s="1"/>
  <c r="M12" i="4"/>
  <c r="O12" i="4" s="1"/>
  <c r="D12" i="4"/>
  <c r="D32" i="4"/>
  <c r="M32" i="4" s="1"/>
  <c r="O32" i="4" s="1"/>
  <c r="D72" i="4"/>
  <c r="M72" i="4" s="1"/>
  <c r="O72" i="4" s="1"/>
  <c r="D92" i="4"/>
  <c r="M92" i="4" s="1"/>
  <c r="O92" i="4" s="1"/>
  <c r="M13" i="4"/>
  <c r="O13" i="4" s="1"/>
  <c r="D13" i="4"/>
  <c r="D33" i="4"/>
  <c r="M33" i="4" s="1"/>
  <c r="D53" i="4"/>
  <c r="M53" i="4" s="1"/>
  <c r="O53" i="4" s="1"/>
  <c r="D93" i="4"/>
  <c r="M93" i="4" s="1"/>
  <c r="O93" i="4" s="1"/>
  <c r="D34" i="4"/>
  <c r="M34" i="4" s="1"/>
  <c r="O34" i="4" s="1"/>
  <c r="D54" i="4"/>
  <c r="M54" i="4" s="1"/>
  <c r="O54" i="4" s="1"/>
  <c r="D94" i="4"/>
  <c r="M94" i="4" s="1"/>
  <c r="O94" i="4" s="1"/>
  <c r="D35" i="4"/>
  <c r="M35" i="4" s="1"/>
  <c r="O35" i="4" s="1"/>
  <c r="D55" i="4"/>
  <c r="M55" i="4" s="1"/>
  <c r="O55" i="4" s="1"/>
  <c r="M17" i="4"/>
  <c r="O17" i="4" s="1"/>
  <c r="F17" i="4"/>
  <c r="D17" i="4"/>
  <c r="D37" i="4"/>
  <c r="M37" i="4" s="1"/>
  <c r="O37" i="4" s="1"/>
  <c r="D57" i="4"/>
  <c r="M57" i="4" s="1"/>
  <c r="O57" i="4" s="1"/>
  <c r="D77" i="4"/>
  <c r="M77" i="4" s="1"/>
  <c r="O77" i="4" s="1"/>
  <c r="D97" i="4"/>
  <c r="M97" i="4" s="1"/>
  <c r="O97" i="4" s="1"/>
  <c r="S107" i="13"/>
  <c r="C104" i="17" s="1"/>
  <c r="I38" i="6"/>
  <c r="I39" i="6"/>
  <c r="I100" i="6"/>
  <c r="I83" i="6"/>
  <c r="I24" i="6"/>
  <c r="I44" i="6"/>
  <c r="I64" i="6"/>
  <c r="I84" i="6"/>
  <c r="I104" i="6"/>
  <c r="I25" i="6"/>
  <c r="I45" i="6"/>
  <c r="I65" i="6"/>
  <c r="I85" i="6"/>
  <c r="I105" i="6"/>
  <c r="I103" i="6"/>
  <c r="I9" i="6"/>
  <c r="I29" i="6"/>
  <c r="I49" i="6"/>
  <c r="I69" i="6"/>
  <c r="I89" i="6"/>
  <c r="I43" i="6"/>
  <c r="I10" i="6"/>
  <c r="I30" i="6"/>
  <c r="I50" i="6"/>
  <c r="I70" i="6"/>
  <c r="I90" i="6"/>
  <c r="I63" i="6"/>
  <c r="I48" i="6"/>
  <c r="I11" i="6"/>
  <c r="I31" i="6"/>
  <c r="I51" i="6"/>
  <c r="I71" i="6"/>
  <c r="I91" i="6"/>
  <c r="I41" i="6"/>
  <c r="I12" i="6"/>
  <c r="I32" i="6"/>
  <c r="I52" i="6"/>
  <c r="I72" i="6"/>
  <c r="I92" i="6"/>
  <c r="I79" i="6"/>
  <c r="I40" i="6"/>
  <c r="I81" i="6"/>
  <c r="I42" i="6"/>
  <c r="I66" i="6"/>
  <c r="I87" i="6"/>
  <c r="I28" i="6"/>
  <c r="I13" i="6"/>
  <c r="I33" i="6"/>
  <c r="I53" i="6"/>
  <c r="I73" i="6"/>
  <c r="I93" i="6"/>
  <c r="I18" i="6"/>
  <c r="I19" i="6"/>
  <c r="I20" i="6"/>
  <c r="I62" i="6"/>
  <c r="I106" i="6"/>
  <c r="I68" i="6"/>
  <c r="I14" i="6"/>
  <c r="I34" i="6"/>
  <c r="I54" i="6"/>
  <c r="I74" i="6"/>
  <c r="I94" i="6"/>
  <c r="I98" i="6"/>
  <c r="I99" i="6"/>
  <c r="I21" i="6"/>
  <c r="I102" i="6"/>
  <c r="I23" i="6"/>
  <c r="I26" i="6"/>
  <c r="I47" i="6"/>
  <c r="I8" i="6"/>
  <c r="I15" i="6"/>
  <c r="I35" i="6"/>
  <c r="I55" i="6"/>
  <c r="I75" i="6"/>
  <c r="I95" i="6"/>
  <c r="I58" i="6"/>
  <c r="I60" i="6"/>
  <c r="I101" i="6"/>
  <c r="I22" i="6"/>
  <c r="I46" i="6"/>
  <c r="I67" i="6"/>
  <c r="I88" i="6"/>
  <c r="I16" i="6"/>
  <c r="I36" i="6"/>
  <c r="I56" i="6"/>
  <c r="I76" i="6"/>
  <c r="I96" i="6"/>
  <c r="I78" i="6"/>
  <c r="I59" i="6"/>
  <c r="I80" i="6"/>
  <c r="I61" i="6"/>
  <c r="I82" i="6"/>
  <c r="I86" i="6"/>
  <c r="I27" i="6"/>
  <c r="I107" i="6"/>
  <c r="I17" i="6"/>
  <c r="I37" i="6"/>
  <c r="I57" i="6"/>
  <c r="I77" i="6"/>
  <c r="I97" i="6"/>
  <c r="F76" i="3"/>
  <c r="J76" i="3"/>
  <c r="L76" i="3"/>
  <c r="K76" i="3"/>
  <c r="P84" i="14" s="1"/>
  <c r="G76" i="3"/>
  <c r="O84" i="14" s="1"/>
  <c r="M76" i="3"/>
  <c r="F57" i="3"/>
  <c r="J57" i="3"/>
  <c r="K57" i="3"/>
  <c r="P65" i="14" s="1"/>
  <c r="L57" i="3"/>
  <c r="M57" i="3"/>
  <c r="G57" i="3"/>
  <c r="O65" i="14" s="1"/>
  <c r="F79" i="3"/>
  <c r="J79" i="3"/>
  <c r="K79" i="3"/>
  <c r="P87" i="14" s="1"/>
  <c r="G79" i="3"/>
  <c r="O87" i="14" s="1"/>
  <c r="M79" i="3"/>
  <c r="L79" i="3"/>
  <c r="F82" i="3"/>
  <c r="L82" i="3"/>
  <c r="J82" i="3"/>
  <c r="K82" i="3"/>
  <c r="P90" i="14" s="1"/>
  <c r="G82" i="3"/>
  <c r="O90" i="14" s="1"/>
  <c r="M82" i="3"/>
  <c r="F84" i="3"/>
  <c r="M84" i="3"/>
  <c r="G84" i="3"/>
  <c r="O92" i="14" s="1"/>
  <c r="L84" i="3"/>
  <c r="K84" i="3"/>
  <c r="P92" i="14" s="1"/>
  <c r="J84" i="3"/>
  <c r="F17" i="3"/>
  <c r="K17" i="3"/>
  <c r="P25" i="14" s="1"/>
  <c r="M17" i="3"/>
  <c r="L17" i="3"/>
  <c r="G17" i="3"/>
  <c r="O25" i="14" s="1"/>
  <c r="J17" i="3"/>
  <c r="F39" i="3"/>
  <c r="K39" i="3"/>
  <c r="P47" i="14" s="1"/>
  <c r="J39" i="3"/>
  <c r="G39" i="3"/>
  <c r="O47" i="14" s="1"/>
  <c r="M39" i="3"/>
  <c r="L39" i="3"/>
  <c r="F37" i="3"/>
  <c r="K37" i="3"/>
  <c r="P45" i="14" s="1"/>
  <c r="J37" i="3"/>
  <c r="G37" i="3"/>
  <c r="O45" i="14" s="1"/>
  <c r="M37" i="3"/>
  <c r="L37" i="3"/>
  <c r="F59" i="3"/>
  <c r="J59" i="3"/>
  <c r="K59" i="3"/>
  <c r="P67" i="14" s="1"/>
  <c r="G59" i="3"/>
  <c r="O67" i="14" s="1"/>
  <c r="L59" i="3"/>
  <c r="M59" i="3"/>
  <c r="F25" i="3"/>
  <c r="M25" i="3"/>
  <c r="G25" i="3"/>
  <c r="O33" i="14" s="1"/>
  <c r="L25" i="3"/>
  <c r="K25" i="3"/>
  <c r="P33" i="14" s="1"/>
  <c r="J25" i="3"/>
  <c r="F55" i="3"/>
  <c r="J55" i="3"/>
  <c r="K55" i="3"/>
  <c r="P63" i="14" s="1"/>
  <c r="M55" i="3"/>
  <c r="L55" i="3"/>
  <c r="G55" i="3"/>
  <c r="O63" i="14" s="1"/>
  <c r="F95" i="3"/>
  <c r="K95" i="3"/>
  <c r="P103" i="14" s="1"/>
  <c r="M95" i="3"/>
  <c r="G95" i="3"/>
  <c r="O103" i="14" s="1"/>
  <c r="L95" i="3"/>
  <c r="J95" i="3"/>
  <c r="F18" i="3"/>
  <c r="K18" i="3"/>
  <c r="P26" i="14" s="1"/>
  <c r="M18" i="3"/>
  <c r="L18" i="3"/>
  <c r="G18" i="3"/>
  <c r="O26" i="14" s="1"/>
  <c r="J18" i="3"/>
  <c r="F58" i="3"/>
  <c r="K58" i="3"/>
  <c r="P66" i="14" s="1"/>
  <c r="L58" i="3"/>
  <c r="M58" i="3"/>
  <c r="G58" i="3"/>
  <c r="O66" i="14" s="1"/>
  <c r="J58" i="3"/>
  <c r="F80" i="3"/>
  <c r="J80" i="3"/>
  <c r="K80" i="3"/>
  <c r="P88" i="14" s="1"/>
  <c r="G80" i="3"/>
  <c r="O88" i="14" s="1"/>
  <c r="M80" i="3"/>
  <c r="L80" i="3"/>
  <c r="F62" i="3"/>
  <c r="L62" i="3"/>
  <c r="K62" i="3"/>
  <c r="P70" i="14" s="1"/>
  <c r="M62" i="3"/>
  <c r="J62" i="3"/>
  <c r="G62" i="3"/>
  <c r="O70" i="14" s="1"/>
  <c r="F26" i="3"/>
  <c r="M26" i="3"/>
  <c r="L26" i="3"/>
  <c r="G26" i="3"/>
  <c r="O34" i="14" s="1"/>
  <c r="K26" i="3"/>
  <c r="P34" i="14" s="1"/>
  <c r="J26" i="3"/>
  <c r="F75" i="3"/>
  <c r="J75" i="3"/>
  <c r="K75" i="3"/>
  <c r="P83" i="14" s="1"/>
  <c r="G75" i="3"/>
  <c r="O83" i="14" s="1"/>
  <c r="M75" i="3"/>
  <c r="L75" i="3"/>
  <c r="F78" i="3"/>
  <c r="J78" i="3"/>
  <c r="K78" i="3"/>
  <c r="P86" i="14" s="1"/>
  <c r="G78" i="3"/>
  <c r="O86" i="14" s="1"/>
  <c r="M78" i="3"/>
  <c r="L78" i="3"/>
  <c r="F100" i="3"/>
  <c r="J100" i="3"/>
  <c r="K100" i="3"/>
  <c r="P108" i="14" s="1"/>
  <c r="M100" i="3"/>
  <c r="G100" i="3"/>
  <c r="O108" i="14" s="1"/>
  <c r="L100" i="3"/>
  <c r="F22" i="3"/>
  <c r="L22" i="3"/>
  <c r="M22" i="3"/>
  <c r="K22" i="3"/>
  <c r="P30" i="14" s="1"/>
  <c r="G22" i="3"/>
  <c r="O30" i="14" s="1"/>
  <c r="J22" i="3"/>
  <c r="F83" i="3"/>
  <c r="G83" i="3"/>
  <c r="O91" i="14" s="1"/>
  <c r="L83" i="3"/>
  <c r="K83" i="3"/>
  <c r="P91" i="14" s="1"/>
  <c r="J83" i="3"/>
  <c r="M83" i="3"/>
  <c r="F85" i="3"/>
  <c r="M85" i="3"/>
  <c r="G85" i="3"/>
  <c r="O93" i="14" s="1"/>
  <c r="L85" i="3"/>
  <c r="K85" i="3"/>
  <c r="P93" i="14" s="1"/>
  <c r="J85" i="3"/>
  <c r="F35" i="3"/>
  <c r="K35" i="3"/>
  <c r="P43" i="14" s="1"/>
  <c r="J35" i="3"/>
  <c r="M35" i="3"/>
  <c r="L35" i="3"/>
  <c r="G35" i="3"/>
  <c r="O43" i="14" s="1"/>
  <c r="F19" i="3"/>
  <c r="K19" i="3"/>
  <c r="P27" i="14" s="1"/>
  <c r="M19" i="3"/>
  <c r="J19" i="3"/>
  <c r="L19" i="3"/>
  <c r="G19" i="3"/>
  <c r="O27" i="14" s="1"/>
  <c r="F102" i="3"/>
  <c r="L102" i="3"/>
  <c r="M102" i="3"/>
  <c r="G102" i="3"/>
  <c r="O110" i="14" s="1"/>
  <c r="J102" i="3"/>
  <c r="K102" i="3"/>
  <c r="P110" i="14" s="1"/>
  <c r="F104" i="3"/>
  <c r="M104" i="3"/>
  <c r="G104" i="3"/>
  <c r="O112" i="14" s="1"/>
  <c r="L104" i="3"/>
  <c r="K104" i="3"/>
  <c r="P112" i="14" s="1"/>
  <c r="J104" i="3"/>
  <c r="F105" i="3"/>
  <c r="M105" i="3"/>
  <c r="G105" i="3"/>
  <c r="O113" i="14" s="1"/>
  <c r="L105" i="3"/>
  <c r="J105" i="3"/>
  <c r="K105" i="3"/>
  <c r="P113" i="14" s="1"/>
  <c r="F87" i="3"/>
  <c r="M87" i="3"/>
  <c r="G87" i="3"/>
  <c r="O95" i="14" s="1"/>
  <c r="L87" i="3"/>
  <c r="K87" i="3"/>
  <c r="P95" i="14" s="1"/>
  <c r="J87" i="3"/>
  <c r="F68" i="3"/>
  <c r="M68" i="3"/>
  <c r="G68" i="3"/>
  <c r="O76" i="14" s="1"/>
  <c r="L68" i="3"/>
  <c r="K68" i="3"/>
  <c r="P76" i="14" s="1"/>
  <c r="J68" i="3"/>
  <c r="F89" i="3"/>
  <c r="M89" i="3"/>
  <c r="L89" i="3"/>
  <c r="K89" i="3"/>
  <c r="P97" i="14" s="1"/>
  <c r="J89" i="3"/>
  <c r="G89" i="3"/>
  <c r="O97" i="14" s="1"/>
  <c r="F70" i="3"/>
  <c r="K70" i="3"/>
  <c r="P78" i="14" s="1"/>
  <c r="M70" i="3"/>
  <c r="G70" i="3"/>
  <c r="O78" i="14" s="1"/>
  <c r="L70" i="3"/>
  <c r="J70" i="3"/>
  <c r="F90" i="3"/>
  <c r="K90" i="3"/>
  <c r="P98" i="14" s="1"/>
  <c r="M90" i="3"/>
  <c r="G90" i="3"/>
  <c r="O98" i="14" s="1"/>
  <c r="L90" i="3"/>
  <c r="J90" i="3"/>
  <c r="F110" i="3"/>
  <c r="K110" i="3"/>
  <c r="P118" i="14" s="1"/>
  <c r="M110" i="3"/>
  <c r="G110" i="3"/>
  <c r="O118" i="14" s="1"/>
  <c r="L110" i="3"/>
  <c r="J110" i="3"/>
  <c r="F56" i="3"/>
  <c r="J56" i="3"/>
  <c r="M56" i="3"/>
  <c r="L56" i="3"/>
  <c r="K56" i="3"/>
  <c r="P64" i="14" s="1"/>
  <c r="G56" i="3"/>
  <c r="O64" i="14" s="1"/>
  <c r="F60" i="3"/>
  <c r="J60" i="3"/>
  <c r="M60" i="3"/>
  <c r="L60" i="3"/>
  <c r="K60" i="3"/>
  <c r="P68" i="14" s="1"/>
  <c r="G60" i="3"/>
  <c r="O68" i="14" s="1"/>
  <c r="F16" i="3"/>
  <c r="K16" i="3"/>
  <c r="P24" i="14" s="1"/>
  <c r="J16" i="3"/>
  <c r="M16" i="3"/>
  <c r="L16" i="3"/>
  <c r="G16" i="3"/>
  <c r="O24" i="14" s="1"/>
  <c r="F96" i="3"/>
  <c r="J96" i="3"/>
  <c r="M96" i="3"/>
  <c r="L96" i="3"/>
  <c r="G96" i="3"/>
  <c r="O104" i="14" s="1"/>
  <c r="K96" i="3"/>
  <c r="P104" i="14" s="1"/>
  <c r="F97" i="3"/>
  <c r="J97" i="3"/>
  <c r="K97" i="3"/>
  <c r="P105" i="14" s="1"/>
  <c r="M97" i="3"/>
  <c r="G97" i="3"/>
  <c r="O105" i="14" s="1"/>
  <c r="L97" i="3"/>
  <c r="F98" i="3"/>
  <c r="J98" i="3"/>
  <c r="K98" i="3"/>
  <c r="P106" i="14" s="1"/>
  <c r="G98" i="3"/>
  <c r="O106" i="14" s="1"/>
  <c r="M98" i="3"/>
  <c r="L98" i="3"/>
  <c r="F40" i="3"/>
  <c r="K40" i="3"/>
  <c r="P48" i="14" s="1"/>
  <c r="J40" i="3"/>
  <c r="G40" i="3"/>
  <c r="O48" i="14" s="1"/>
  <c r="M40" i="3"/>
  <c r="L40" i="3"/>
  <c r="F23" i="3"/>
  <c r="G23" i="3"/>
  <c r="O31" i="14" s="1"/>
  <c r="L23" i="3"/>
  <c r="M23" i="3"/>
  <c r="K23" i="3"/>
  <c r="P31" i="14" s="1"/>
  <c r="J23" i="3"/>
  <c r="F43" i="3"/>
  <c r="G43" i="3"/>
  <c r="O51" i="14" s="1"/>
  <c r="L43" i="3"/>
  <c r="K43" i="3"/>
  <c r="P51" i="14" s="1"/>
  <c r="J43" i="3"/>
  <c r="M43" i="3"/>
  <c r="F103" i="3"/>
  <c r="G103" i="3"/>
  <c r="O111" i="14" s="1"/>
  <c r="L103" i="3"/>
  <c r="J103" i="3"/>
  <c r="M103" i="3"/>
  <c r="K103" i="3"/>
  <c r="P111" i="14" s="1"/>
  <c r="F65" i="3"/>
  <c r="M65" i="3"/>
  <c r="G65" i="3"/>
  <c r="O73" i="14" s="1"/>
  <c r="L65" i="3"/>
  <c r="K65" i="3"/>
  <c r="P73" i="14" s="1"/>
  <c r="J65" i="3"/>
  <c r="F67" i="3"/>
  <c r="G67" i="3"/>
  <c r="O75" i="14" s="1"/>
  <c r="M67" i="3"/>
  <c r="L67" i="3"/>
  <c r="J67" i="3"/>
  <c r="K67" i="3"/>
  <c r="P75" i="14" s="1"/>
  <c r="F48" i="3"/>
  <c r="M48" i="3"/>
  <c r="G48" i="3"/>
  <c r="O56" i="14" s="1"/>
  <c r="L48" i="3"/>
  <c r="K48" i="3"/>
  <c r="P56" i="14" s="1"/>
  <c r="J48" i="3"/>
  <c r="F69" i="3"/>
  <c r="M69" i="3"/>
  <c r="L69" i="3"/>
  <c r="K69" i="3"/>
  <c r="P77" i="14" s="1"/>
  <c r="J69" i="3"/>
  <c r="G69" i="3"/>
  <c r="O77" i="14" s="1"/>
  <c r="F11" i="3"/>
  <c r="K11" i="3"/>
  <c r="P19" i="14" s="1"/>
  <c r="J11" i="3"/>
  <c r="M11" i="3"/>
  <c r="G11" i="3"/>
  <c r="O19" i="14" s="1"/>
  <c r="L11" i="3"/>
  <c r="F31" i="3"/>
  <c r="K31" i="3"/>
  <c r="P39" i="14" s="1"/>
  <c r="J31" i="3"/>
  <c r="M31" i="3"/>
  <c r="G31" i="3"/>
  <c r="O39" i="14" s="1"/>
  <c r="L31" i="3"/>
  <c r="F71" i="3"/>
  <c r="K71" i="3"/>
  <c r="P79" i="14" s="1"/>
  <c r="M71" i="3"/>
  <c r="G71" i="3"/>
  <c r="O79" i="14" s="1"/>
  <c r="L71" i="3"/>
  <c r="J71" i="3"/>
  <c r="F93" i="3"/>
  <c r="K93" i="3"/>
  <c r="P101" i="14" s="1"/>
  <c r="M93" i="3"/>
  <c r="G93" i="3"/>
  <c r="O101" i="14" s="1"/>
  <c r="L93" i="3"/>
  <c r="J93" i="3"/>
  <c r="F77" i="3"/>
  <c r="J77" i="3"/>
  <c r="K77" i="3"/>
  <c r="P85" i="14" s="1"/>
  <c r="M77" i="3"/>
  <c r="G77" i="3"/>
  <c r="O85" i="14" s="1"/>
  <c r="L77" i="3"/>
  <c r="F42" i="3"/>
  <c r="L42" i="3"/>
  <c r="G42" i="3"/>
  <c r="O50" i="14" s="1"/>
  <c r="K42" i="3"/>
  <c r="P50" i="14" s="1"/>
  <c r="J42" i="3"/>
  <c r="M42" i="3"/>
  <c r="F63" i="3"/>
  <c r="G63" i="3"/>
  <c r="O71" i="14" s="1"/>
  <c r="L63" i="3"/>
  <c r="M63" i="3"/>
  <c r="J63" i="3"/>
  <c r="K63" i="3"/>
  <c r="P71" i="14" s="1"/>
  <c r="F86" i="3"/>
  <c r="M86" i="3"/>
  <c r="L86" i="3"/>
  <c r="G86" i="3"/>
  <c r="O94" i="14" s="1"/>
  <c r="K86" i="3"/>
  <c r="P94" i="14" s="1"/>
  <c r="J86" i="3"/>
  <c r="F107" i="3"/>
  <c r="G107" i="3"/>
  <c r="O115" i="14" s="1"/>
  <c r="M107" i="3"/>
  <c r="L107" i="3"/>
  <c r="J107" i="3"/>
  <c r="K107" i="3"/>
  <c r="P115" i="14" s="1"/>
  <c r="F51" i="3"/>
  <c r="K51" i="3"/>
  <c r="P59" i="14" s="1"/>
  <c r="M51" i="3"/>
  <c r="L51" i="3"/>
  <c r="G51" i="3"/>
  <c r="O59" i="14" s="1"/>
  <c r="J51" i="3"/>
  <c r="F12" i="3"/>
  <c r="K12" i="3"/>
  <c r="P20" i="14" s="1"/>
  <c r="J12" i="3"/>
  <c r="M12" i="3"/>
  <c r="G12" i="3"/>
  <c r="O20" i="14" s="1"/>
  <c r="L12" i="3"/>
  <c r="F72" i="3"/>
  <c r="K72" i="3"/>
  <c r="P80" i="14" s="1"/>
  <c r="M72" i="3"/>
  <c r="G72" i="3"/>
  <c r="O80" i="14" s="1"/>
  <c r="J72" i="3"/>
  <c r="L72" i="3"/>
  <c r="F13" i="3"/>
  <c r="K13" i="3"/>
  <c r="P21" i="14" s="1"/>
  <c r="J13" i="3"/>
  <c r="M13" i="3"/>
  <c r="L13" i="3"/>
  <c r="G13" i="3"/>
  <c r="O21" i="14" s="1"/>
  <c r="F73" i="3"/>
  <c r="K73" i="3"/>
  <c r="P81" i="14" s="1"/>
  <c r="M73" i="3"/>
  <c r="J73" i="3"/>
  <c r="L73" i="3"/>
  <c r="G73" i="3"/>
  <c r="O81" i="14" s="1"/>
  <c r="F34" i="3"/>
  <c r="K34" i="3"/>
  <c r="P42" i="14" s="1"/>
  <c r="J34" i="3"/>
  <c r="M34" i="3"/>
  <c r="L34" i="3"/>
  <c r="G34" i="3"/>
  <c r="O42" i="14" s="1"/>
  <c r="F54" i="3"/>
  <c r="J54" i="3"/>
  <c r="K54" i="3"/>
  <c r="P62" i="14" s="1"/>
  <c r="M54" i="3"/>
  <c r="L54" i="3"/>
  <c r="G54" i="3"/>
  <c r="O62" i="14" s="1"/>
  <c r="F74" i="3"/>
  <c r="J74" i="3"/>
  <c r="K74" i="3"/>
  <c r="P82" i="14" s="1"/>
  <c r="G74" i="3"/>
  <c r="O82" i="14" s="1"/>
  <c r="M74" i="3"/>
  <c r="L74" i="3"/>
  <c r="F94" i="3"/>
  <c r="K94" i="3"/>
  <c r="P102" i="14" s="1"/>
  <c r="M94" i="3"/>
  <c r="G94" i="3"/>
  <c r="O102" i="14" s="1"/>
  <c r="L94" i="3"/>
  <c r="J94" i="3"/>
  <c r="F20" i="4"/>
  <c r="F103" i="4"/>
  <c r="F21" i="4"/>
  <c r="F82" i="4"/>
  <c r="F24" i="4"/>
  <c r="F44" i="4"/>
  <c r="F64" i="4"/>
  <c r="F84" i="4"/>
  <c r="F104" i="4"/>
  <c r="F18" i="4"/>
  <c r="F98" i="4"/>
  <c r="G39" i="4"/>
  <c r="H39" i="4" s="1"/>
  <c r="I39" i="4" s="1"/>
  <c r="F100" i="4"/>
  <c r="F102" i="4"/>
  <c r="F41" i="4"/>
  <c r="F42" i="4"/>
  <c r="F19" i="4"/>
  <c r="F22" i="4"/>
  <c r="F25" i="4"/>
  <c r="F107" i="4"/>
  <c r="F61" i="4"/>
  <c r="F65" i="4"/>
  <c r="F46" i="4"/>
  <c r="F67" i="4"/>
  <c r="F48" i="4"/>
  <c r="F68" i="4"/>
  <c r="F108" i="4"/>
  <c r="F80" i="4"/>
  <c r="F105" i="4"/>
  <c r="F26" i="4"/>
  <c r="F87" i="4"/>
  <c r="F28" i="4"/>
  <c r="F88" i="4"/>
  <c r="F29" i="4"/>
  <c r="F49" i="4"/>
  <c r="F69" i="4"/>
  <c r="F89" i="4"/>
  <c r="F109" i="4"/>
  <c r="F58" i="4"/>
  <c r="F99" i="4"/>
  <c r="F40" i="4"/>
  <c r="F43" i="4"/>
  <c r="F45" i="4"/>
  <c r="F86" i="4"/>
  <c r="F47" i="4"/>
  <c r="F30" i="4"/>
  <c r="F50" i="4"/>
  <c r="F70" i="4"/>
  <c r="F90" i="4"/>
  <c r="F110" i="4"/>
  <c r="F59" i="4"/>
  <c r="F11" i="4"/>
  <c r="F31" i="4"/>
  <c r="F71" i="4"/>
  <c r="F91" i="4"/>
  <c r="F62" i="4"/>
  <c r="F63" i="4"/>
  <c r="F51" i="4"/>
  <c r="F12" i="4"/>
  <c r="F32" i="4"/>
  <c r="F52" i="4"/>
  <c r="F72" i="4"/>
  <c r="F92" i="4"/>
  <c r="F13" i="4"/>
  <c r="F33" i="4"/>
  <c r="F53" i="4"/>
  <c r="F73" i="4"/>
  <c r="F93" i="4"/>
  <c r="F14" i="4"/>
  <c r="F54" i="4"/>
  <c r="F74" i="4"/>
  <c r="F94" i="4"/>
  <c r="F81" i="4"/>
  <c r="F83" i="4"/>
  <c r="F66" i="4"/>
  <c r="F35" i="4"/>
  <c r="F75" i="4"/>
  <c r="F95" i="4"/>
  <c r="F23" i="4"/>
  <c r="F85" i="4"/>
  <c r="F34" i="4"/>
  <c r="F15" i="4"/>
  <c r="F55" i="4"/>
  <c r="F36" i="4"/>
  <c r="F56" i="4"/>
  <c r="F76" i="4"/>
  <c r="F96" i="4"/>
  <c r="F38" i="4"/>
  <c r="F78" i="4"/>
  <c r="F79" i="4"/>
  <c r="F60" i="4"/>
  <c r="F101" i="4"/>
  <c r="F106" i="4"/>
  <c r="F27" i="4"/>
  <c r="F37" i="4"/>
  <c r="F57" i="4"/>
  <c r="F77" i="4"/>
  <c r="F97" i="4"/>
  <c r="K98" i="14" l="1"/>
  <c r="L98" i="14" s="1"/>
  <c r="K112" i="14"/>
  <c r="L112" i="14" s="1"/>
  <c r="K115" i="14"/>
  <c r="L115" i="14" s="1"/>
  <c r="K105" i="14"/>
  <c r="L105" i="14" s="1"/>
  <c r="K101" i="14"/>
  <c r="L101" i="14" s="1"/>
  <c r="K103" i="14"/>
  <c r="L103" i="14" s="1"/>
  <c r="K91" i="14"/>
  <c r="L91" i="14" s="1"/>
  <c r="K102" i="14"/>
  <c r="L102" i="14" s="1"/>
  <c r="K118" i="14"/>
  <c r="L118" i="14" s="1"/>
  <c r="K108" i="14"/>
  <c r="L108" i="14" s="1"/>
  <c r="K106" i="14"/>
  <c r="L106" i="14" s="1"/>
  <c r="K94" i="14"/>
  <c r="L94" i="14" s="1"/>
  <c r="K95" i="14"/>
  <c r="L95" i="14" s="1"/>
  <c r="K93" i="14"/>
  <c r="L93" i="14" s="1"/>
  <c r="K104" i="14"/>
  <c r="L104" i="14" s="1"/>
  <c r="K92" i="14"/>
  <c r="L92" i="14" s="1"/>
  <c r="K97" i="14"/>
  <c r="L97" i="14" s="1"/>
  <c r="K113" i="14"/>
  <c r="L113" i="14" s="1"/>
  <c r="K110" i="14"/>
  <c r="L110" i="14" s="1"/>
  <c r="K111" i="14"/>
  <c r="L111" i="14" s="1"/>
  <c r="K56" i="14"/>
  <c r="L56" i="14" s="1"/>
  <c r="N56" i="14" s="1"/>
  <c r="K25" i="14"/>
  <c r="L25" i="14" s="1"/>
  <c r="N25" i="14" s="1"/>
  <c r="K51" i="14"/>
  <c r="L51" i="14" s="1"/>
  <c r="N51" i="14" s="1"/>
  <c r="K42" i="14"/>
  <c r="L42" i="14" s="1"/>
  <c r="N42" i="14" s="1"/>
  <c r="K85" i="14"/>
  <c r="L85" i="14" s="1"/>
  <c r="N85" i="14" s="1"/>
  <c r="K76" i="14"/>
  <c r="L76" i="14" s="1"/>
  <c r="N76" i="14" s="1"/>
  <c r="K70" i="14"/>
  <c r="L70" i="14" s="1"/>
  <c r="N70" i="14" s="1"/>
  <c r="K65" i="14"/>
  <c r="L65" i="14" s="1"/>
  <c r="N65" i="14" s="1"/>
  <c r="K27" i="14"/>
  <c r="L27" i="14" s="1"/>
  <c r="N27" i="14" s="1"/>
  <c r="K59" i="14"/>
  <c r="L59" i="14" s="1"/>
  <c r="N59" i="14" s="1"/>
  <c r="K21" i="14"/>
  <c r="L21" i="14" s="1"/>
  <c r="N21" i="14" s="1"/>
  <c r="K71" i="14"/>
  <c r="L71" i="14" s="1"/>
  <c r="N71" i="14" s="1"/>
  <c r="K63" i="14"/>
  <c r="L63" i="14" s="1"/>
  <c r="N63" i="14" s="1"/>
  <c r="K30" i="14"/>
  <c r="L30" i="14" s="1"/>
  <c r="N30" i="14" s="1"/>
  <c r="K84" i="14"/>
  <c r="L84" i="14" s="1"/>
  <c r="N84" i="14" s="1"/>
  <c r="K80" i="14"/>
  <c r="L80" i="14" s="1"/>
  <c r="N80" i="14" s="1"/>
  <c r="K33" i="14"/>
  <c r="L33" i="14" s="1"/>
  <c r="N33" i="14" s="1"/>
  <c r="K87" i="14"/>
  <c r="L87" i="14" s="1"/>
  <c r="N87" i="14" s="1"/>
  <c r="K81" i="14"/>
  <c r="L81" i="14" s="1"/>
  <c r="N81" i="14" s="1"/>
  <c r="K75" i="14"/>
  <c r="L75" i="14" s="1"/>
  <c r="N75" i="14" s="1"/>
  <c r="K86" i="14"/>
  <c r="L86" i="14" s="1"/>
  <c r="N86" i="14" s="1"/>
  <c r="K78" i="14"/>
  <c r="L78" i="14" s="1"/>
  <c r="N78" i="14" s="1"/>
  <c r="K82" i="14"/>
  <c r="L82" i="14" s="1"/>
  <c r="N82" i="14" s="1"/>
  <c r="K77" i="14"/>
  <c r="L77" i="14" s="1"/>
  <c r="N77" i="14" s="1"/>
  <c r="K31" i="14"/>
  <c r="L31" i="14" s="1"/>
  <c r="N31" i="14" s="1"/>
  <c r="K88" i="14"/>
  <c r="L88" i="14" s="1"/>
  <c r="N88" i="14" s="1"/>
  <c r="K73" i="14"/>
  <c r="L73" i="14" s="1"/>
  <c r="N73" i="14" s="1"/>
  <c r="K83" i="14"/>
  <c r="L83" i="14" s="1"/>
  <c r="N83" i="14" s="1"/>
  <c r="K45" i="14"/>
  <c r="L45" i="14" s="1"/>
  <c r="N45" i="14" s="1"/>
  <c r="K62" i="14"/>
  <c r="L62" i="14" s="1"/>
  <c r="N62" i="14" s="1"/>
  <c r="K79" i="14"/>
  <c r="L79" i="14" s="1"/>
  <c r="N79" i="14" s="1"/>
  <c r="K48" i="14"/>
  <c r="L48" i="14" s="1"/>
  <c r="N48" i="14" s="1"/>
  <c r="K43" i="14"/>
  <c r="L43" i="14" s="1"/>
  <c r="N43" i="14" s="1"/>
  <c r="K39" i="14"/>
  <c r="L39" i="14" s="1"/>
  <c r="N39" i="14" s="1"/>
  <c r="K26" i="14"/>
  <c r="L26" i="14" s="1"/>
  <c r="N26" i="14" s="1"/>
  <c r="K68" i="14"/>
  <c r="L68" i="14" s="1"/>
  <c r="N68" i="14" s="1"/>
  <c r="K19" i="14"/>
  <c r="L19" i="14" s="1"/>
  <c r="N19" i="14" s="1"/>
  <c r="K67" i="14"/>
  <c r="L67" i="14" s="1"/>
  <c r="N67" i="14" s="1"/>
  <c r="K66" i="14"/>
  <c r="L66" i="14" s="1"/>
  <c r="N66" i="14" s="1"/>
  <c r="K20" i="14"/>
  <c r="L20" i="14" s="1"/>
  <c r="N20" i="14" s="1"/>
  <c r="K64" i="14"/>
  <c r="L64" i="14" s="1"/>
  <c r="N64" i="14" s="1"/>
  <c r="K50" i="14"/>
  <c r="L50" i="14" s="1"/>
  <c r="N50" i="14" s="1"/>
  <c r="K90" i="14"/>
  <c r="L90" i="14" s="1"/>
  <c r="N90" i="14" s="1"/>
  <c r="K24" i="14"/>
  <c r="L24" i="14" s="1"/>
  <c r="N24" i="14" s="1"/>
  <c r="K34" i="14"/>
  <c r="L34" i="14" s="1"/>
  <c r="N34" i="14" s="1"/>
  <c r="K47" i="14"/>
  <c r="L47" i="14" s="1"/>
  <c r="N47" i="14" s="1"/>
  <c r="P39" i="4"/>
  <c r="O33" i="4"/>
  <c r="G57" i="4"/>
  <c r="H57" i="4" s="1"/>
  <c r="I57" i="4" s="1"/>
  <c r="G63" i="4"/>
  <c r="H63" i="4" s="1"/>
  <c r="I63" i="4" s="1"/>
  <c r="P63" i="4" s="1"/>
  <c r="Q63" i="4" s="1"/>
  <c r="G69" i="4"/>
  <c r="H69" i="4" s="1"/>
  <c r="I69" i="4" s="1"/>
  <c r="P69" i="4" s="1"/>
  <c r="Q69" i="4" s="1"/>
  <c r="G27" i="4"/>
  <c r="H27" i="4" s="1"/>
  <c r="I27" i="4" s="1"/>
  <c r="P27" i="4" s="1"/>
  <c r="Q27" i="4" s="1"/>
  <c r="G91" i="4"/>
  <c r="H91" i="4" s="1"/>
  <c r="I91" i="4" s="1"/>
  <c r="G49" i="4"/>
  <c r="H49" i="4" s="1"/>
  <c r="I49" i="4" s="1"/>
  <c r="J49" i="4" s="1"/>
  <c r="G41" i="4"/>
  <c r="H41" i="4" s="1"/>
  <c r="I41" i="4" s="1"/>
  <c r="P41" i="4" s="1"/>
  <c r="Q41" i="4" s="1"/>
  <c r="G106" i="4"/>
  <c r="H106" i="4" s="1"/>
  <c r="I106" i="4" s="1"/>
  <c r="J106" i="4" s="1"/>
  <c r="G83" i="4"/>
  <c r="H83" i="4" s="1"/>
  <c r="I83" i="4" s="1"/>
  <c r="P83" i="4" s="1"/>
  <c r="Q83" i="4" s="1"/>
  <c r="G71" i="4"/>
  <c r="H71" i="4" s="1"/>
  <c r="I71" i="4" s="1"/>
  <c r="P71" i="4" s="1"/>
  <c r="Q71" i="4" s="1"/>
  <c r="G29" i="4"/>
  <c r="H29" i="4" s="1"/>
  <c r="I29" i="4" s="1"/>
  <c r="G102" i="4"/>
  <c r="H102" i="4" s="1"/>
  <c r="I102" i="4" s="1"/>
  <c r="G101" i="4"/>
  <c r="H101" i="4" s="1"/>
  <c r="I101" i="4" s="1"/>
  <c r="G81" i="4"/>
  <c r="H81" i="4" s="1"/>
  <c r="I81" i="4" s="1"/>
  <c r="P81" i="4" s="1"/>
  <c r="G31" i="4"/>
  <c r="H31" i="4" s="1"/>
  <c r="I31" i="4" s="1"/>
  <c r="G88" i="4"/>
  <c r="H88" i="4" s="1"/>
  <c r="I88" i="4" s="1"/>
  <c r="G100" i="4"/>
  <c r="H100" i="4" s="1"/>
  <c r="I100" i="4" s="1"/>
  <c r="J100" i="4" s="1"/>
  <c r="H16" i="4"/>
  <c r="I16" i="4" s="1"/>
  <c r="G60" i="4"/>
  <c r="H60" i="4" s="1"/>
  <c r="I60" i="4" s="1"/>
  <c r="P60" i="4" s="1"/>
  <c r="Q60" i="4" s="1"/>
  <c r="G94" i="4"/>
  <c r="H94" i="4" s="1"/>
  <c r="I94" i="4" s="1"/>
  <c r="P94" i="4" s="1"/>
  <c r="Q94" i="4" s="1"/>
  <c r="G28" i="4"/>
  <c r="H28" i="4" s="1"/>
  <c r="I28" i="4" s="1"/>
  <c r="P28" i="4" s="1"/>
  <c r="Q28" i="4" s="1"/>
  <c r="G79" i="4"/>
  <c r="H79" i="4" s="1"/>
  <c r="I79" i="4" s="1"/>
  <c r="J79" i="4" s="1"/>
  <c r="G74" i="4"/>
  <c r="H74" i="4" s="1"/>
  <c r="I74" i="4" s="1"/>
  <c r="P74" i="4" s="1"/>
  <c r="Q74" i="4" s="1"/>
  <c r="G59" i="4"/>
  <c r="H59" i="4" s="1"/>
  <c r="I59" i="4" s="1"/>
  <c r="P59" i="4" s="1"/>
  <c r="Q59" i="4" s="1"/>
  <c r="G87" i="4"/>
  <c r="H87" i="4" s="1"/>
  <c r="I87" i="4" s="1"/>
  <c r="G98" i="4"/>
  <c r="H98" i="4" s="1"/>
  <c r="I98" i="4" s="1"/>
  <c r="J98" i="4" s="1"/>
  <c r="G78" i="4"/>
  <c r="H78" i="4" s="1"/>
  <c r="I78" i="4" s="1"/>
  <c r="P78" i="4" s="1"/>
  <c r="Q78" i="4" s="1"/>
  <c r="G54" i="4"/>
  <c r="H54" i="4" s="1"/>
  <c r="I54" i="4" s="1"/>
  <c r="J54" i="4" s="1"/>
  <c r="G110" i="4"/>
  <c r="H110" i="4" s="1"/>
  <c r="I110" i="4" s="1"/>
  <c r="J110" i="4" s="1"/>
  <c r="G26" i="4"/>
  <c r="H26" i="4" s="1"/>
  <c r="I26" i="4" s="1"/>
  <c r="G18" i="4"/>
  <c r="H18" i="4" s="1"/>
  <c r="I18" i="4" s="1"/>
  <c r="G38" i="4"/>
  <c r="H38" i="4" s="1"/>
  <c r="I38" i="4" s="1"/>
  <c r="P38" i="4" s="1"/>
  <c r="Q38" i="4" s="1"/>
  <c r="G14" i="4"/>
  <c r="H14" i="4" s="1"/>
  <c r="I14" i="4" s="1"/>
  <c r="G90" i="4"/>
  <c r="H90" i="4" s="1"/>
  <c r="I90" i="4" s="1"/>
  <c r="J90" i="4" s="1"/>
  <c r="G105" i="4"/>
  <c r="H105" i="4" s="1"/>
  <c r="I105" i="4" s="1"/>
  <c r="J105" i="4" s="1"/>
  <c r="G104" i="4"/>
  <c r="H104" i="4" s="1"/>
  <c r="I104" i="4" s="1"/>
  <c r="P104" i="4" s="1"/>
  <c r="Q104" i="4" s="1"/>
  <c r="G96" i="4"/>
  <c r="H96" i="4" s="1"/>
  <c r="I96" i="4" s="1"/>
  <c r="J96" i="4" s="1"/>
  <c r="G93" i="4"/>
  <c r="H93" i="4" s="1"/>
  <c r="I93" i="4" s="1"/>
  <c r="J93" i="4" s="1"/>
  <c r="G70" i="4"/>
  <c r="H70" i="4" s="1"/>
  <c r="I70" i="4" s="1"/>
  <c r="P70" i="4" s="1"/>
  <c r="Q70" i="4" s="1"/>
  <c r="G80" i="4"/>
  <c r="H80" i="4" s="1"/>
  <c r="I80" i="4" s="1"/>
  <c r="G84" i="4"/>
  <c r="H84" i="4" s="1"/>
  <c r="I84" i="4" s="1"/>
  <c r="P84" i="4" s="1"/>
  <c r="Q84" i="4" s="1"/>
  <c r="G76" i="4"/>
  <c r="H76" i="4" s="1"/>
  <c r="I76" i="4" s="1"/>
  <c r="P76" i="4" s="1"/>
  <c r="Q76" i="4" s="1"/>
  <c r="G73" i="4"/>
  <c r="H73" i="4" s="1"/>
  <c r="I73" i="4" s="1"/>
  <c r="P73" i="4" s="1"/>
  <c r="Q73" i="4" s="1"/>
  <c r="G50" i="4"/>
  <c r="H50" i="4" s="1"/>
  <c r="I50" i="4" s="1"/>
  <c r="J50" i="4" s="1"/>
  <c r="G108" i="4"/>
  <c r="H108" i="4" s="1"/>
  <c r="I108" i="4" s="1"/>
  <c r="J108" i="4" s="1"/>
  <c r="G64" i="4"/>
  <c r="H64" i="4" s="1"/>
  <c r="I64" i="4" s="1"/>
  <c r="J64" i="4" s="1"/>
  <c r="G17" i="4"/>
  <c r="H17" i="4" s="1"/>
  <c r="I17" i="4" s="1"/>
  <c r="P17" i="4" s="1"/>
  <c r="Q17" i="4" s="1"/>
  <c r="G75" i="4"/>
  <c r="H75" i="4" s="1"/>
  <c r="I75" i="4" s="1"/>
  <c r="G89" i="4"/>
  <c r="H89" i="4" s="1"/>
  <c r="I89" i="4" s="1"/>
  <c r="J89" i="4" s="1"/>
  <c r="G19" i="4"/>
  <c r="H19" i="4" s="1"/>
  <c r="I19" i="4" s="1"/>
  <c r="J19" i="4" s="1"/>
  <c r="G37" i="4"/>
  <c r="H37" i="4" s="1"/>
  <c r="I37" i="4" s="1"/>
  <c r="P37" i="4" s="1"/>
  <c r="Q37" i="4" s="1"/>
  <c r="G35" i="4"/>
  <c r="H35" i="4" s="1"/>
  <c r="I35" i="4" s="1"/>
  <c r="P35" i="4" s="1"/>
  <c r="Q35" i="4" s="1"/>
  <c r="G62" i="4"/>
  <c r="H62" i="4" s="1"/>
  <c r="I62" i="4" s="1"/>
  <c r="J62" i="4" s="1"/>
  <c r="G42" i="4"/>
  <c r="H42" i="4" s="1"/>
  <c r="I42" i="4" s="1"/>
  <c r="J42" i="4" s="1"/>
  <c r="G66" i="4"/>
  <c r="H66" i="4" s="1"/>
  <c r="I66" i="4" s="1"/>
  <c r="G56" i="4"/>
  <c r="H56" i="4" s="1"/>
  <c r="I56" i="4" s="1"/>
  <c r="P56" i="4" s="1"/>
  <c r="Q56" i="4" s="1"/>
  <c r="G53" i="4"/>
  <c r="H53" i="4" s="1"/>
  <c r="I53" i="4" s="1"/>
  <c r="J53" i="4" s="1"/>
  <c r="G30" i="4"/>
  <c r="H30" i="4" s="1"/>
  <c r="I30" i="4" s="1"/>
  <c r="J30" i="4" s="1"/>
  <c r="G68" i="4"/>
  <c r="H68" i="4" s="1"/>
  <c r="I68" i="4" s="1"/>
  <c r="J68" i="4" s="1"/>
  <c r="G44" i="4"/>
  <c r="H44" i="4" s="1"/>
  <c r="I44" i="4" s="1"/>
  <c r="J44" i="4" s="1"/>
  <c r="G36" i="4"/>
  <c r="H36" i="4" s="1"/>
  <c r="I36" i="4" s="1"/>
  <c r="P36" i="4" s="1"/>
  <c r="Q36" i="4" s="1"/>
  <c r="G33" i="4"/>
  <c r="H33" i="4" s="1"/>
  <c r="I33" i="4" s="1"/>
  <c r="J33" i="4" s="1"/>
  <c r="G47" i="4"/>
  <c r="H47" i="4" s="1"/>
  <c r="I47" i="4" s="1"/>
  <c r="P47" i="4" s="1"/>
  <c r="Q47" i="4" s="1"/>
  <c r="G48" i="4"/>
  <c r="H48" i="4" s="1"/>
  <c r="I48" i="4" s="1"/>
  <c r="J48" i="4" s="1"/>
  <c r="G24" i="4"/>
  <c r="H24" i="4" s="1"/>
  <c r="I24" i="4" s="1"/>
  <c r="G13" i="4"/>
  <c r="H13" i="4" s="1"/>
  <c r="I13" i="4" s="1"/>
  <c r="G86" i="4"/>
  <c r="H86" i="4" s="1"/>
  <c r="I86" i="4" s="1"/>
  <c r="P86" i="4" s="1"/>
  <c r="Q86" i="4" s="1"/>
  <c r="G67" i="4"/>
  <c r="H67" i="4" s="1"/>
  <c r="I67" i="4" s="1"/>
  <c r="J67" i="4" s="1"/>
  <c r="G82" i="4"/>
  <c r="H82" i="4" s="1"/>
  <c r="I82" i="4" s="1"/>
  <c r="J82" i="4" s="1"/>
  <c r="G55" i="4"/>
  <c r="H55" i="4" s="1"/>
  <c r="I55" i="4" s="1"/>
  <c r="J55" i="4" s="1"/>
  <c r="G92" i="4"/>
  <c r="H92" i="4" s="1"/>
  <c r="I92" i="4" s="1"/>
  <c r="J92" i="4" s="1"/>
  <c r="G45" i="4"/>
  <c r="H45" i="4" s="1"/>
  <c r="I45" i="4" s="1"/>
  <c r="J45" i="4" s="1"/>
  <c r="G46" i="4"/>
  <c r="H46" i="4" s="1"/>
  <c r="I46" i="4" s="1"/>
  <c r="J46" i="4" s="1"/>
  <c r="G21" i="4"/>
  <c r="H21" i="4" s="1"/>
  <c r="I21" i="4" s="1"/>
  <c r="G15" i="4"/>
  <c r="H15" i="4" s="1"/>
  <c r="I15" i="4" s="1"/>
  <c r="J15" i="4" s="1"/>
  <c r="G72" i="4"/>
  <c r="H72" i="4" s="1"/>
  <c r="I72" i="4" s="1"/>
  <c r="J72" i="4" s="1"/>
  <c r="G43" i="4"/>
  <c r="H43" i="4" s="1"/>
  <c r="I43" i="4" s="1"/>
  <c r="P43" i="4" s="1"/>
  <c r="Q43" i="4" s="1"/>
  <c r="G65" i="4"/>
  <c r="H65" i="4" s="1"/>
  <c r="I65" i="4" s="1"/>
  <c r="P65" i="4" s="1"/>
  <c r="Q65" i="4" s="1"/>
  <c r="G103" i="4"/>
  <c r="H103" i="4" s="1"/>
  <c r="I103" i="4" s="1"/>
  <c r="G34" i="4"/>
  <c r="H34" i="4" s="1"/>
  <c r="I34" i="4" s="1"/>
  <c r="P34" i="4" s="1"/>
  <c r="Q34" i="4" s="1"/>
  <c r="G52" i="4"/>
  <c r="H52" i="4" s="1"/>
  <c r="I52" i="4" s="1"/>
  <c r="P52" i="4" s="1"/>
  <c r="Q52" i="4" s="1"/>
  <c r="G40" i="4"/>
  <c r="H40" i="4" s="1"/>
  <c r="I40" i="4" s="1"/>
  <c r="J40" i="4" s="1"/>
  <c r="G61" i="4"/>
  <c r="H61" i="4" s="1"/>
  <c r="I61" i="4" s="1"/>
  <c r="P61" i="4" s="1"/>
  <c r="Q61" i="4" s="1"/>
  <c r="G20" i="4"/>
  <c r="H20" i="4" s="1"/>
  <c r="I20" i="4" s="1"/>
  <c r="P20" i="4" s="1"/>
  <c r="Q20" i="4" s="1"/>
  <c r="G85" i="4"/>
  <c r="H85" i="4" s="1"/>
  <c r="I85" i="4" s="1"/>
  <c r="J85" i="4" s="1"/>
  <c r="G32" i="4"/>
  <c r="H32" i="4" s="1"/>
  <c r="I32" i="4" s="1"/>
  <c r="G99" i="4"/>
  <c r="H99" i="4" s="1"/>
  <c r="I99" i="4" s="1"/>
  <c r="P99" i="4" s="1"/>
  <c r="Q99" i="4" s="1"/>
  <c r="G107" i="4"/>
  <c r="H107" i="4" s="1"/>
  <c r="I107" i="4" s="1"/>
  <c r="J107" i="4" s="1"/>
  <c r="G97" i="4"/>
  <c r="H97" i="4" s="1"/>
  <c r="I97" i="4" s="1"/>
  <c r="J97" i="4" s="1"/>
  <c r="G23" i="4"/>
  <c r="H23" i="4" s="1"/>
  <c r="I23" i="4" s="1"/>
  <c r="J23" i="4" s="1"/>
  <c r="G12" i="4"/>
  <c r="H12" i="4" s="1"/>
  <c r="I12" i="4" s="1"/>
  <c r="P12" i="4" s="1"/>
  <c r="Q12" i="4" s="1"/>
  <c r="G58" i="4"/>
  <c r="H58" i="4" s="1"/>
  <c r="I58" i="4" s="1"/>
  <c r="P58" i="4" s="1"/>
  <c r="Q58" i="4" s="1"/>
  <c r="G25" i="4"/>
  <c r="H25" i="4" s="1"/>
  <c r="I25" i="4" s="1"/>
  <c r="P25" i="4" s="1"/>
  <c r="Q25" i="4" s="1"/>
  <c r="G77" i="4"/>
  <c r="H77" i="4" s="1"/>
  <c r="I77" i="4" s="1"/>
  <c r="J77" i="4" s="1"/>
  <c r="G95" i="4"/>
  <c r="H95" i="4" s="1"/>
  <c r="I95" i="4" s="1"/>
  <c r="G51" i="4"/>
  <c r="H51" i="4" s="1"/>
  <c r="I51" i="4" s="1"/>
  <c r="P51" i="4" s="1"/>
  <c r="Q51" i="4" s="1"/>
  <c r="G109" i="4"/>
  <c r="H109" i="4" s="1"/>
  <c r="I109" i="4" s="1"/>
  <c r="J109" i="4" s="1"/>
  <c r="G22" i="4"/>
  <c r="H22" i="4" s="1"/>
  <c r="I22" i="4" s="1"/>
  <c r="P22" i="4" s="1"/>
  <c r="Q22" i="4" s="1"/>
  <c r="E75" i="4"/>
  <c r="K75" i="4" s="1"/>
  <c r="L75" i="4" s="1"/>
  <c r="E95" i="4"/>
  <c r="K95" i="4" s="1"/>
  <c r="L95" i="4" s="1"/>
  <c r="E45" i="4"/>
  <c r="E53" i="4"/>
  <c r="E57" i="4"/>
  <c r="E25" i="4"/>
  <c r="E33" i="4"/>
  <c r="E108" i="4"/>
  <c r="K108" i="4" s="1"/>
  <c r="L108" i="4" s="1"/>
  <c r="E106" i="4"/>
  <c r="K106" i="4" s="1"/>
  <c r="L106" i="4" s="1"/>
  <c r="E39" i="4"/>
  <c r="K39" i="4" s="1"/>
  <c r="L39" i="4" s="1"/>
  <c r="J39" i="4"/>
  <c r="E81" i="4"/>
  <c r="K81" i="4" s="1"/>
  <c r="L81" i="4" s="1"/>
  <c r="E86" i="4"/>
  <c r="K86" i="4" s="1"/>
  <c r="L86" i="4" s="1"/>
  <c r="E89" i="4"/>
  <c r="K89" i="4" s="1"/>
  <c r="L89" i="4" s="1"/>
  <c r="E73" i="4"/>
  <c r="K73" i="4" s="1"/>
  <c r="L73" i="4" s="1"/>
  <c r="E66" i="4"/>
  <c r="K66" i="4" s="1"/>
  <c r="L66" i="4" s="1"/>
  <c r="E49" i="4"/>
  <c r="E52" i="4"/>
  <c r="E44" i="4"/>
  <c r="E35" i="4"/>
  <c r="E76" i="4"/>
  <c r="K76" i="4" s="1"/>
  <c r="L76" i="4" s="1"/>
  <c r="E91" i="4"/>
  <c r="K91" i="4" s="1"/>
  <c r="L91" i="4" s="1"/>
  <c r="E24" i="4"/>
  <c r="E56" i="4"/>
  <c r="E105" i="4"/>
  <c r="K105" i="4" s="1"/>
  <c r="L105" i="4" s="1"/>
  <c r="E71" i="4"/>
  <c r="K71" i="4" s="1"/>
  <c r="L71" i="4" s="1"/>
  <c r="E77" i="4"/>
  <c r="K77" i="4" s="1"/>
  <c r="L77" i="4" s="1"/>
  <c r="E69" i="4"/>
  <c r="K69" i="4" s="1"/>
  <c r="L69" i="4" s="1"/>
  <c r="E47" i="4"/>
  <c r="E99" i="4"/>
  <c r="K99" i="4" s="1"/>
  <c r="L99" i="4" s="1"/>
  <c r="E15" i="4"/>
  <c r="E27" i="4"/>
  <c r="E50" i="4"/>
  <c r="E62" i="4"/>
  <c r="K62" i="4" s="1"/>
  <c r="L62" i="4" s="1"/>
  <c r="E104" i="4"/>
  <c r="K104" i="4" s="1"/>
  <c r="L104" i="4" s="1"/>
  <c r="E13" i="4"/>
  <c r="E14" i="4"/>
  <c r="E84" i="4"/>
  <c r="K84" i="4" s="1"/>
  <c r="L84" i="4" s="1"/>
  <c r="E92" i="4"/>
  <c r="K92" i="4" s="1"/>
  <c r="L92" i="4" s="1"/>
  <c r="E41" i="4"/>
  <c r="E100" i="4"/>
  <c r="K100" i="4" s="1"/>
  <c r="L100" i="4" s="1"/>
  <c r="E55" i="4"/>
  <c r="E21" i="4"/>
  <c r="E46" i="4"/>
  <c r="E32" i="4"/>
  <c r="E102" i="4"/>
  <c r="K102" i="4" s="1"/>
  <c r="L102" i="4" s="1"/>
  <c r="E80" i="4"/>
  <c r="K80" i="4" s="1"/>
  <c r="L80" i="4" s="1"/>
  <c r="E26" i="4"/>
  <c r="E94" i="4"/>
  <c r="K94" i="4" s="1"/>
  <c r="L94" i="4" s="1"/>
  <c r="E42" i="4"/>
  <c r="E40" i="4"/>
  <c r="E103" i="4"/>
  <c r="K103" i="4" s="1"/>
  <c r="L103" i="4" s="1"/>
  <c r="E54" i="4"/>
  <c r="E22" i="4"/>
  <c r="E36" i="4"/>
  <c r="E90" i="4"/>
  <c r="K90" i="4" s="1"/>
  <c r="L90" i="4" s="1"/>
  <c r="E19" i="4"/>
  <c r="E87" i="4"/>
  <c r="K87" i="4" s="1"/>
  <c r="L87" i="4" s="1"/>
  <c r="E85" i="4"/>
  <c r="K85" i="4" s="1"/>
  <c r="L85" i="4" s="1"/>
  <c r="E83" i="4"/>
  <c r="K83" i="4" s="1"/>
  <c r="L83" i="4" s="1"/>
  <c r="E38" i="4"/>
  <c r="E34" i="4"/>
  <c r="E31" i="4"/>
  <c r="E101" i="4"/>
  <c r="K101" i="4" s="1"/>
  <c r="L101" i="4" s="1"/>
  <c r="E97" i="4"/>
  <c r="K97" i="4" s="1"/>
  <c r="L97" i="4" s="1"/>
  <c r="E16" i="4"/>
  <c r="E109" i="4"/>
  <c r="K109" i="4" s="1"/>
  <c r="L109" i="4" s="1"/>
  <c r="E98" i="4"/>
  <c r="K98" i="4" s="1"/>
  <c r="L98" i="4" s="1"/>
  <c r="E67" i="4"/>
  <c r="K67" i="4" s="1"/>
  <c r="L67" i="4" s="1"/>
  <c r="E65" i="4"/>
  <c r="K65" i="4" s="1"/>
  <c r="L65" i="4" s="1"/>
  <c r="E63" i="4"/>
  <c r="K63" i="4" s="1"/>
  <c r="L63" i="4" s="1"/>
  <c r="E18" i="4"/>
  <c r="E43" i="4"/>
  <c r="E70" i="4"/>
  <c r="K70" i="4" s="1"/>
  <c r="L70" i="4" s="1"/>
  <c r="E29" i="4"/>
  <c r="E11" i="4"/>
  <c r="E23" i="4"/>
  <c r="E79" i="4"/>
  <c r="K79" i="4" s="1"/>
  <c r="L79" i="4" s="1"/>
  <c r="E37" i="4"/>
  <c r="E74" i="4"/>
  <c r="K74" i="4" s="1"/>
  <c r="L74" i="4" s="1"/>
  <c r="E82" i="4"/>
  <c r="K82" i="4" s="1"/>
  <c r="L82" i="4" s="1"/>
  <c r="E30" i="4"/>
  <c r="E17" i="4"/>
  <c r="E88" i="4"/>
  <c r="K88" i="4" s="1"/>
  <c r="L88" i="4" s="1"/>
  <c r="E61" i="4"/>
  <c r="K61" i="4" s="1"/>
  <c r="L61" i="4" s="1"/>
  <c r="E58" i="4"/>
  <c r="E68" i="4"/>
  <c r="K68" i="4" s="1"/>
  <c r="L68" i="4" s="1"/>
  <c r="E64" i="4"/>
  <c r="K64" i="4" s="1"/>
  <c r="L64" i="4" s="1"/>
  <c r="E72" i="4"/>
  <c r="K72" i="4" s="1"/>
  <c r="L72" i="4" s="1"/>
  <c r="E96" i="4"/>
  <c r="K96" i="4" s="1"/>
  <c r="L96" i="4" s="1"/>
  <c r="E48" i="4"/>
  <c r="E20" i="4"/>
  <c r="E28" i="4"/>
  <c r="E59" i="4"/>
  <c r="E12" i="4"/>
  <c r="E51" i="4"/>
  <c r="E107" i="4"/>
  <c r="K107" i="4" s="1"/>
  <c r="L107" i="4" s="1"/>
  <c r="E78" i="4"/>
  <c r="K78" i="4" s="1"/>
  <c r="L78" i="4" s="1"/>
  <c r="E93" i="4"/>
  <c r="K93" i="4" s="1"/>
  <c r="L93" i="4" s="1"/>
  <c r="E110" i="4"/>
  <c r="K110" i="4" s="1"/>
  <c r="L110" i="4" s="1"/>
  <c r="E60" i="4"/>
  <c r="N42" i="3"/>
  <c r="I35" i="17" s="1"/>
  <c r="N82" i="3"/>
  <c r="I75" i="17" s="1"/>
  <c r="N77" i="3"/>
  <c r="I70" i="17" s="1"/>
  <c r="N90" i="3"/>
  <c r="I83" i="17" s="1"/>
  <c r="N13" i="3"/>
  <c r="I6" i="17" s="1"/>
  <c r="N34" i="3"/>
  <c r="I27" i="17" s="1"/>
  <c r="N67" i="3"/>
  <c r="I60" i="17" s="1"/>
  <c r="N110" i="3"/>
  <c r="I103" i="17" s="1"/>
  <c r="N72" i="3"/>
  <c r="I65" i="17" s="1"/>
  <c r="N107" i="3"/>
  <c r="I100" i="17" s="1"/>
  <c r="N31" i="3"/>
  <c r="I24" i="17" s="1"/>
  <c r="N48" i="3"/>
  <c r="I41" i="17" s="1"/>
  <c r="N104" i="3"/>
  <c r="I97" i="17" s="1"/>
  <c r="N100" i="3"/>
  <c r="I93" i="17" s="1"/>
  <c r="N60" i="3"/>
  <c r="I53" i="17" s="1"/>
  <c r="N68" i="3"/>
  <c r="I61" i="17" s="1"/>
  <c r="N78" i="3"/>
  <c r="I71" i="17" s="1"/>
  <c r="N98" i="3"/>
  <c r="I91" i="17" s="1"/>
  <c r="N17" i="3"/>
  <c r="I10" i="17" s="1"/>
  <c r="N26" i="3"/>
  <c r="I19" i="17" s="1"/>
  <c r="N25" i="3"/>
  <c r="I18" i="17" s="1"/>
  <c r="N79" i="3"/>
  <c r="I72" i="17" s="1"/>
  <c r="N51" i="3"/>
  <c r="I44" i="17" s="1"/>
  <c r="N40" i="3"/>
  <c r="I33" i="17" s="1"/>
  <c r="N39" i="3"/>
  <c r="I32" i="17" s="1"/>
  <c r="N54" i="3"/>
  <c r="I47" i="17" s="1"/>
  <c r="N70" i="3"/>
  <c r="I63" i="17" s="1"/>
  <c r="N73" i="3"/>
  <c r="I66" i="17" s="1"/>
  <c r="N93" i="3"/>
  <c r="I86" i="17" s="1"/>
  <c r="N12" i="3"/>
  <c r="I5" i="17" s="1"/>
  <c r="N11" i="3"/>
  <c r="I4" i="17" s="1"/>
  <c r="N97" i="3"/>
  <c r="I90" i="17" s="1"/>
  <c r="N86" i="3"/>
  <c r="I79" i="17" s="1"/>
  <c r="N85" i="3"/>
  <c r="I78" i="17" s="1"/>
  <c r="N94" i="3"/>
  <c r="I87" i="17" s="1"/>
  <c r="N87" i="3"/>
  <c r="I80" i="17" s="1"/>
  <c r="N96" i="3"/>
  <c r="I89" i="17" s="1"/>
  <c r="N95" i="3"/>
  <c r="I88" i="17" s="1"/>
  <c r="N105" i="3"/>
  <c r="I98" i="17" s="1"/>
  <c r="N55" i="3"/>
  <c r="I48" i="17" s="1"/>
  <c r="N69" i="3"/>
  <c r="I62" i="17" s="1"/>
  <c r="N89" i="3"/>
  <c r="I82" i="17" s="1"/>
  <c r="N35" i="3"/>
  <c r="I28" i="17" s="1"/>
  <c r="N18" i="3"/>
  <c r="I11" i="17" s="1"/>
  <c r="N23" i="3"/>
  <c r="I16" i="17" s="1"/>
  <c r="N19" i="3"/>
  <c r="I12" i="17" s="1"/>
  <c r="N65" i="3"/>
  <c r="I58" i="17" s="1"/>
  <c r="N56" i="3"/>
  <c r="I49" i="17" s="1"/>
  <c r="N75" i="3"/>
  <c r="I68" i="17" s="1"/>
  <c r="N37" i="3"/>
  <c r="I30" i="17" s="1"/>
  <c r="N84" i="3"/>
  <c r="I77" i="17" s="1"/>
  <c r="F14" i="3"/>
  <c r="K14" i="3"/>
  <c r="P22" i="14" s="1"/>
  <c r="M14" i="3"/>
  <c r="L14" i="3"/>
  <c r="G14" i="3"/>
  <c r="O22" i="14" s="1"/>
  <c r="J14" i="3"/>
  <c r="F91" i="3"/>
  <c r="K91" i="3"/>
  <c r="P99" i="14" s="1"/>
  <c r="M91" i="3"/>
  <c r="G91" i="3"/>
  <c r="O99" i="14" s="1"/>
  <c r="L91" i="3"/>
  <c r="J91" i="3"/>
  <c r="N74" i="3"/>
  <c r="I67" i="17" s="1"/>
  <c r="N80" i="3"/>
  <c r="I73" i="17" s="1"/>
  <c r="N57" i="3"/>
  <c r="I50" i="17" s="1"/>
  <c r="F29" i="3"/>
  <c r="M29" i="3"/>
  <c r="L29" i="3"/>
  <c r="J29" i="3"/>
  <c r="K29" i="3"/>
  <c r="P37" i="14" s="1"/>
  <c r="G29" i="3"/>
  <c r="O37" i="14" s="1"/>
  <c r="F50" i="3"/>
  <c r="K50" i="3"/>
  <c r="P58" i="14" s="1"/>
  <c r="M50" i="3"/>
  <c r="G50" i="3"/>
  <c r="O58" i="14" s="1"/>
  <c r="L50" i="3"/>
  <c r="J50" i="3"/>
  <c r="N83" i="3"/>
  <c r="I76" i="17" s="1"/>
  <c r="F109" i="3"/>
  <c r="M109" i="3"/>
  <c r="L109" i="3"/>
  <c r="J109" i="3"/>
  <c r="K109" i="3"/>
  <c r="P117" i="14" s="1"/>
  <c r="G109" i="3"/>
  <c r="O117" i="14" s="1"/>
  <c r="F64" i="3"/>
  <c r="M64" i="3"/>
  <c r="G64" i="3"/>
  <c r="O72" i="14" s="1"/>
  <c r="L64" i="3"/>
  <c r="K64" i="3"/>
  <c r="P72" i="14" s="1"/>
  <c r="J64" i="3"/>
  <c r="F28" i="3"/>
  <c r="M28" i="3"/>
  <c r="G28" i="3"/>
  <c r="O36" i="14" s="1"/>
  <c r="L28" i="3"/>
  <c r="J28" i="3"/>
  <c r="K28" i="3"/>
  <c r="P36" i="14" s="1"/>
  <c r="F49" i="3"/>
  <c r="M49" i="3"/>
  <c r="L49" i="3"/>
  <c r="G49" i="3"/>
  <c r="O57" i="14" s="1"/>
  <c r="K49" i="3"/>
  <c r="P57" i="14" s="1"/>
  <c r="J49" i="3"/>
  <c r="N63" i="3"/>
  <c r="I56" i="17" s="1"/>
  <c r="F81" i="3"/>
  <c r="J81" i="3"/>
  <c r="G81" i="3"/>
  <c r="O89" i="14" s="1"/>
  <c r="K81" i="3"/>
  <c r="P89" i="14" s="1"/>
  <c r="M81" i="3"/>
  <c r="L81" i="3"/>
  <c r="F46" i="3"/>
  <c r="L46" i="3"/>
  <c r="M46" i="3"/>
  <c r="G46" i="3"/>
  <c r="O54" i="14" s="1"/>
  <c r="K46" i="3"/>
  <c r="P54" i="14" s="1"/>
  <c r="J46" i="3"/>
  <c r="F21" i="3"/>
  <c r="M21" i="3"/>
  <c r="G21" i="3"/>
  <c r="O29" i="14" s="1"/>
  <c r="L21" i="3"/>
  <c r="K21" i="3"/>
  <c r="P29" i="14" s="1"/>
  <c r="J21" i="3"/>
  <c r="N62" i="3"/>
  <c r="I55" i="17" s="1"/>
  <c r="F24" i="3"/>
  <c r="M24" i="3"/>
  <c r="G24" i="3"/>
  <c r="O32" i="14" s="1"/>
  <c r="L24" i="3"/>
  <c r="K24" i="3"/>
  <c r="P32" i="14" s="1"/>
  <c r="J24" i="3"/>
  <c r="F61" i="3"/>
  <c r="M61" i="3"/>
  <c r="L61" i="3"/>
  <c r="K61" i="3"/>
  <c r="P69" i="14" s="1"/>
  <c r="J61" i="3"/>
  <c r="G61" i="3"/>
  <c r="O69" i="14" s="1"/>
  <c r="F101" i="3"/>
  <c r="J101" i="3"/>
  <c r="M101" i="3"/>
  <c r="G101" i="3"/>
  <c r="O109" i="14" s="1"/>
  <c r="L101" i="3"/>
  <c r="K101" i="3"/>
  <c r="P109" i="14" s="1"/>
  <c r="N71" i="3"/>
  <c r="I64" i="17" s="1"/>
  <c r="F52" i="3"/>
  <c r="J52" i="3"/>
  <c r="K52" i="3"/>
  <c r="P60" i="14" s="1"/>
  <c r="M52" i="3"/>
  <c r="G52" i="3"/>
  <c r="O60" i="14" s="1"/>
  <c r="L52" i="3"/>
  <c r="F32" i="3"/>
  <c r="K32" i="3"/>
  <c r="P40" i="14" s="1"/>
  <c r="J32" i="3"/>
  <c r="G32" i="3"/>
  <c r="O40" i="14" s="1"/>
  <c r="M32" i="3"/>
  <c r="L32" i="3"/>
  <c r="F38" i="3"/>
  <c r="K38" i="3"/>
  <c r="P46" i="14" s="1"/>
  <c r="J38" i="3"/>
  <c r="M38" i="3"/>
  <c r="G38" i="3"/>
  <c r="O46" i="14" s="1"/>
  <c r="L38" i="3"/>
  <c r="F41" i="3"/>
  <c r="G41" i="3"/>
  <c r="O49" i="14" s="1"/>
  <c r="J41" i="3"/>
  <c r="K41" i="3"/>
  <c r="P49" i="14" s="1"/>
  <c r="M41" i="3"/>
  <c r="L41" i="3"/>
  <c r="F66" i="3"/>
  <c r="M66" i="3"/>
  <c r="G66" i="3"/>
  <c r="O74" i="14" s="1"/>
  <c r="L66" i="3"/>
  <c r="K66" i="3"/>
  <c r="P74" i="14" s="1"/>
  <c r="J66" i="3"/>
  <c r="N43" i="3"/>
  <c r="I36" i="17" s="1"/>
  <c r="F92" i="3"/>
  <c r="K92" i="3"/>
  <c r="P100" i="14" s="1"/>
  <c r="M92" i="3"/>
  <c r="G92" i="3"/>
  <c r="O100" i="14" s="1"/>
  <c r="L92" i="3"/>
  <c r="J92" i="3"/>
  <c r="F53" i="3"/>
  <c r="J53" i="3"/>
  <c r="K53" i="3"/>
  <c r="P61" i="14" s="1"/>
  <c r="M53" i="3"/>
  <c r="L53" i="3"/>
  <c r="G53" i="3"/>
  <c r="O61" i="14" s="1"/>
  <c r="F20" i="3"/>
  <c r="M20" i="3"/>
  <c r="L20" i="3"/>
  <c r="K20" i="3"/>
  <c r="P28" i="14" s="1"/>
  <c r="G20" i="3"/>
  <c r="O28" i="14" s="1"/>
  <c r="J20" i="3"/>
  <c r="N76" i="3"/>
  <c r="I69" i="17" s="1"/>
  <c r="F88" i="3"/>
  <c r="M88" i="3"/>
  <c r="G88" i="3"/>
  <c r="O96" i="14" s="1"/>
  <c r="L88" i="3"/>
  <c r="K88" i="3"/>
  <c r="P96" i="14" s="1"/>
  <c r="J88" i="3"/>
  <c r="F27" i="3"/>
  <c r="M27" i="3"/>
  <c r="G27" i="3"/>
  <c r="O35" i="14" s="1"/>
  <c r="L27" i="3"/>
  <c r="J27" i="3"/>
  <c r="K27" i="3"/>
  <c r="P35" i="14" s="1"/>
  <c r="F106" i="3"/>
  <c r="M106" i="3"/>
  <c r="G106" i="3"/>
  <c r="O114" i="14" s="1"/>
  <c r="L106" i="3"/>
  <c r="K106" i="3"/>
  <c r="P114" i="14" s="1"/>
  <c r="J106" i="3"/>
  <c r="F99" i="3"/>
  <c r="J99" i="3"/>
  <c r="K99" i="3"/>
  <c r="P107" i="14" s="1"/>
  <c r="G99" i="3"/>
  <c r="O107" i="14" s="1"/>
  <c r="M99" i="3"/>
  <c r="L99" i="3"/>
  <c r="F108" i="3"/>
  <c r="M108" i="3"/>
  <c r="G108" i="3"/>
  <c r="O116" i="14" s="1"/>
  <c r="L108" i="3"/>
  <c r="J108" i="3"/>
  <c r="K108" i="3"/>
  <c r="P116" i="14" s="1"/>
  <c r="F33" i="3"/>
  <c r="K33" i="3"/>
  <c r="P41" i="14" s="1"/>
  <c r="J33" i="3"/>
  <c r="M33" i="3"/>
  <c r="L33" i="3"/>
  <c r="G33" i="3"/>
  <c r="O41" i="14" s="1"/>
  <c r="F36" i="3"/>
  <c r="K36" i="3"/>
  <c r="P44" i="14" s="1"/>
  <c r="G36" i="3"/>
  <c r="O44" i="14" s="1"/>
  <c r="L36" i="3"/>
  <c r="J36" i="3"/>
  <c r="M36" i="3"/>
  <c r="N22" i="3"/>
  <c r="I15" i="17" s="1"/>
  <c r="F44" i="3"/>
  <c r="M44" i="3"/>
  <c r="G44" i="3"/>
  <c r="O52" i="14" s="1"/>
  <c r="L44" i="3"/>
  <c r="K44" i="3"/>
  <c r="P52" i="14" s="1"/>
  <c r="J44" i="3"/>
  <c r="F15" i="3"/>
  <c r="K15" i="3"/>
  <c r="P23" i="14" s="1"/>
  <c r="J15" i="3"/>
  <c r="M15" i="3"/>
  <c r="L15" i="3"/>
  <c r="G15" i="3"/>
  <c r="O23" i="14" s="1"/>
  <c r="N59" i="3"/>
  <c r="I52" i="17" s="1"/>
  <c r="N102" i="3"/>
  <c r="I95" i="17" s="1"/>
  <c r="F45" i="3"/>
  <c r="M45" i="3"/>
  <c r="G45" i="3"/>
  <c r="O53" i="14" s="1"/>
  <c r="L45" i="3"/>
  <c r="K45" i="3"/>
  <c r="P53" i="14" s="1"/>
  <c r="J45" i="3"/>
  <c r="F30" i="3"/>
  <c r="K30" i="3"/>
  <c r="P38" i="14" s="1"/>
  <c r="J30" i="3"/>
  <c r="M30" i="3"/>
  <c r="G30" i="3"/>
  <c r="O38" i="14" s="1"/>
  <c r="L30" i="3"/>
  <c r="F47" i="3"/>
  <c r="G47" i="3"/>
  <c r="O55" i="14" s="1"/>
  <c r="M47" i="3"/>
  <c r="L47" i="3"/>
  <c r="K47" i="3"/>
  <c r="P55" i="14" s="1"/>
  <c r="J47" i="3"/>
  <c r="N103" i="3"/>
  <c r="I96" i="17" s="1"/>
  <c r="N16" i="3"/>
  <c r="I9" i="17" s="1"/>
  <c r="N58" i="3"/>
  <c r="I51" i="17" s="1"/>
  <c r="G11" i="4"/>
  <c r="H11" i="4" s="1"/>
  <c r="I11" i="4" s="1"/>
  <c r="K107" i="14" l="1"/>
  <c r="L107" i="14" s="1"/>
  <c r="K100" i="14"/>
  <c r="L100" i="14" s="1"/>
  <c r="K116" i="14"/>
  <c r="L116" i="14" s="1"/>
  <c r="K109" i="14"/>
  <c r="L109" i="14" s="1"/>
  <c r="K96" i="14"/>
  <c r="L96" i="14" s="1"/>
  <c r="K117" i="14"/>
  <c r="L117" i="14" s="1"/>
  <c r="K99" i="14"/>
  <c r="L99" i="14" s="1"/>
  <c r="K114" i="14"/>
  <c r="L114" i="14" s="1"/>
  <c r="K61" i="14"/>
  <c r="L61" i="14" s="1"/>
  <c r="N61" i="14" s="1"/>
  <c r="K46" i="14"/>
  <c r="L46" i="14" s="1"/>
  <c r="N46" i="14" s="1"/>
  <c r="K36" i="14"/>
  <c r="L36" i="14" s="1"/>
  <c r="N36" i="14" s="1"/>
  <c r="K55" i="14"/>
  <c r="L55" i="14" s="1"/>
  <c r="N55" i="14" s="1"/>
  <c r="K49" i="14"/>
  <c r="L49" i="14" s="1"/>
  <c r="N49" i="14" s="1"/>
  <c r="K57" i="14"/>
  <c r="L57" i="14" s="1"/>
  <c r="N57" i="14" s="1"/>
  <c r="K29" i="14"/>
  <c r="L29" i="14" s="1"/>
  <c r="N29" i="14" s="1"/>
  <c r="K58" i="14"/>
  <c r="L58" i="14" s="1"/>
  <c r="N58" i="14" s="1"/>
  <c r="K69" i="14"/>
  <c r="L69" i="14" s="1"/>
  <c r="N69" i="14" s="1"/>
  <c r="K40" i="14"/>
  <c r="L40" i="14" s="1"/>
  <c r="N40" i="14" s="1"/>
  <c r="K52" i="14"/>
  <c r="L52" i="14" s="1"/>
  <c r="N52" i="14" s="1"/>
  <c r="K54" i="14"/>
  <c r="L54" i="14" s="1"/>
  <c r="N54" i="14" s="1"/>
  <c r="K53" i="14"/>
  <c r="L53" i="14" s="1"/>
  <c r="N53" i="14" s="1"/>
  <c r="K28" i="14"/>
  <c r="L28" i="14" s="1"/>
  <c r="N28" i="14" s="1"/>
  <c r="K74" i="14"/>
  <c r="L74" i="14" s="1"/>
  <c r="N74" i="14" s="1"/>
  <c r="K38" i="14"/>
  <c r="L38" i="14" s="1"/>
  <c r="N38" i="14" s="1"/>
  <c r="K37" i="14"/>
  <c r="L37" i="14" s="1"/>
  <c r="N37" i="14" s="1"/>
  <c r="K44" i="14"/>
  <c r="L44" i="14" s="1"/>
  <c r="N44" i="14" s="1"/>
  <c r="K41" i="14"/>
  <c r="L41" i="14" s="1"/>
  <c r="N41" i="14" s="1"/>
  <c r="K72" i="14"/>
  <c r="L72" i="14" s="1"/>
  <c r="N72" i="14" s="1"/>
  <c r="K35" i="14"/>
  <c r="L35" i="14" s="1"/>
  <c r="N35" i="14" s="1"/>
  <c r="K22" i="14"/>
  <c r="L22" i="14" s="1"/>
  <c r="N22" i="14" s="1"/>
  <c r="K23" i="14"/>
  <c r="L23" i="14" s="1"/>
  <c r="N23" i="14" s="1"/>
  <c r="K60" i="14"/>
  <c r="L60" i="14" s="1"/>
  <c r="N60" i="14" s="1"/>
  <c r="K89" i="14"/>
  <c r="L89" i="14" s="1"/>
  <c r="N89" i="14" s="1"/>
  <c r="K32" i="14"/>
  <c r="L32" i="14" s="1"/>
  <c r="N32" i="14" s="1"/>
  <c r="K33" i="4"/>
  <c r="L33" i="4" s="1"/>
  <c r="K48" i="4"/>
  <c r="L48" i="4" s="1"/>
  <c r="K51" i="4"/>
  <c r="L51" i="4" s="1"/>
  <c r="J57" i="4"/>
  <c r="P57" i="4"/>
  <c r="Q57" i="4" s="1"/>
  <c r="K47" i="4"/>
  <c r="L47" i="4" s="1"/>
  <c r="K54" i="4"/>
  <c r="L54" i="4" s="1"/>
  <c r="K40" i="4"/>
  <c r="L40" i="4" s="1"/>
  <c r="K57" i="4"/>
  <c r="L57" i="4" s="1"/>
  <c r="K56" i="4"/>
  <c r="L56" i="4" s="1"/>
  <c r="K38" i="4"/>
  <c r="L38" i="4" s="1"/>
  <c r="K52" i="4"/>
  <c r="L52" i="4" s="1"/>
  <c r="P101" i="4"/>
  <c r="Q101" i="4" s="1"/>
  <c r="J101" i="4"/>
  <c r="K53" i="4"/>
  <c r="L53" i="4" s="1"/>
  <c r="K55" i="4"/>
  <c r="L55" i="4" s="1"/>
  <c r="K42" i="4"/>
  <c r="L42" i="4" s="1"/>
  <c r="K44" i="4"/>
  <c r="L44" i="4" s="1"/>
  <c r="K46" i="4"/>
  <c r="L46" i="4" s="1"/>
  <c r="K49" i="4"/>
  <c r="L49" i="4" s="1"/>
  <c r="K59" i="4"/>
  <c r="L59" i="4" s="1"/>
  <c r="K58" i="4"/>
  <c r="L58" i="4" s="1"/>
  <c r="K41" i="4"/>
  <c r="L41" i="4" s="1"/>
  <c r="K43" i="4"/>
  <c r="L43" i="4" s="1"/>
  <c r="K50" i="4"/>
  <c r="L50" i="4" s="1"/>
  <c r="K45" i="4"/>
  <c r="L45" i="4" s="1"/>
  <c r="K60" i="4"/>
  <c r="L60" i="4" s="1"/>
  <c r="K35" i="4"/>
  <c r="L35" i="4" s="1"/>
  <c r="K13" i="4"/>
  <c r="L13" i="4" s="1"/>
  <c r="K27" i="4"/>
  <c r="L27" i="4" s="1"/>
  <c r="K37" i="4"/>
  <c r="L37" i="4" s="1"/>
  <c r="K14" i="4"/>
  <c r="L14" i="4" s="1"/>
  <c r="K12" i="4"/>
  <c r="L12" i="4" s="1"/>
  <c r="K36" i="4"/>
  <c r="L36" i="4" s="1"/>
  <c r="K29" i="4"/>
  <c r="L29" i="4" s="1"/>
  <c r="K28" i="4"/>
  <c r="L28" i="4" s="1"/>
  <c r="K18" i="4"/>
  <c r="L18" i="4" s="1"/>
  <c r="K20" i="4"/>
  <c r="L20" i="4" s="1"/>
  <c r="K22" i="4"/>
  <c r="L22" i="4" s="1"/>
  <c r="K16" i="4"/>
  <c r="L16" i="4" s="1"/>
  <c r="K25" i="4"/>
  <c r="L25" i="4" s="1"/>
  <c r="J81" i="4"/>
  <c r="J75" i="4"/>
  <c r="P75" i="4"/>
  <c r="Q75" i="4" s="1"/>
  <c r="P79" i="4"/>
  <c r="Q79" i="4" s="1"/>
  <c r="J103" i="4"/>
  <c r="P103" i="4"/>
  <c r="Q103" i="4" s="1"/>
  <c r="J88" i="4"/>
  <c r="P88" i="4"/>
  <c r="Q88" i="4" s="1"/>
  <c r="P29" i="4"/>
  <c r="Q29" i="4" s="1"/>
  <c r="J29" i="4"/>
  <c r="J102" i="4"/>
  <c r="P102" i="4"/>
  <c r="Q102" i="4" s="1"/>
  <c r="K26" i="4"/>
  <c r="L26" i="4" s="1"/>
  <c r="J61" i="4"/>
  <c r="J27" i="4"/>
  <c r="J86" i="4"/>
  <c r="J104" i="4"/>
  <c r="P45" i="4"/>
  <c r="Q45" i="4" s="1"/>
  <c r="P54" i="4"/>
  <c r="Q54" i="4" s="1"/>
  <c r="P98" i="4"/>
  <c r="Q98" i="4" s="1"/>
  <c r="P50" i="4"/>
  <c r="Q50" i="4" s="1"/>
  <c r="J84" i="4"/>
  <c r="J35" i="4"/>
  <c r="J58" i="4"/>
  <c r="P49" i="4"/>
  <c r="Q49" i="4" s="1"/>
  <c r="J28" i="4"/>
  <c r="J36" i="4"/>
  <c r="J12" i="4"/>
  <c r="J76" i="4"/>
  <c r="P55" i="4"/>
  <c r="Q55" i="4" s="1"/>
  <c r="J52" i="4"/>
  <c r="P33" i="4"/>
  <c r="Q33" i="4" s="1"/>
  <c r="J78" i="4"/>
  <c r="P97" i="4"/>
  <c r="Q97" i="4" s="1"/>
  <c r="P89" i="4"/>
  <c r="Q89" i="4" s="1"/>
  <c r="J17" i="4"/>
  <c r="P95" i="4"/>
  <c r="Q95" i="4" s="1"/>
  <c r="J95" i="4"/>
  <c r="P91" i="4"/>
  <c r="Q91" i="4" s="1"/>
  <c r="J91" i="4"/>
  <c r="J31" i="4"/>
  <c r="P31" i="4"/>
  <c r="Q31" i="4" s="1"/>
  <c r="P87" i="4"/>
  <c r="Q87" i="4" s="1"/>
  <c r="J87" i="4"/>
  <c r="P66" i="4"/>
  <c r="Q66" i="4" s="1"/>
  <c r="J66" i="4"/>
  <c r="J24" i="4"/>
  <c r="P24" i="4"/>
  <c r="Q24" i="4" s="1"/>
  <c r="K23" i="4"/>
  <c r="L23" i="4" s="1"/>
  <c r="K31" i="4"/>
  <c r="L31" i="4" s="1"/>
  <c r="J71" i="4"/>
  <c r="P107" i="4"/>
  <c r="Q107" i="4" s="1"/>
  <c r="J59" i="4"/>
  <c r="P19" i="4"/>
  <c r="Q19" i="4" s="1"/>
  <c r="J34" i="4"/>
  <c r="K34" i="4"/>
  <c r="L34" i="4" s="1"/>
  <c r="J43" i="4"/>
  <c r="P109" i="4"/>
  <c r="Q109" i="4" s="1"/>
  <c r="P64" i="4"/>
  <c r="Q64" i="4" s="1"/>
  <c r="J22" i="4"/>
  <c r="J70" i="4"/>
  <c r="J26" i="4"/>
  <c r="K24" i="4"/>
  <c r="L24" i="4" s="1"/>
  <c r="P68" i="4"/>
  <c r="Q68" i="4" s="1"/>
  <c r="P23" i="4"/>
  <c r="Q23" i="4" s="1"/>
  <c r="P30" i="4"/>
  <c r="Q30" i="4" s="1"/>
  <c r="J20" i="4"/>
  <c r="K17" i="4"/>
  <c r="L17" i="4" s="1"/>
  <c r="K15" i="4"/>
  <c r="L15" i="4" s="1"/>
  <c r="P77" i="4"/>
  <c r="Q77" i="4" s="1"/>
  <c r="K30" i="4"/>
  <c r="L30" i="4" s="1"/>
  <c r="K19" i="4"/>
  <c r="L19" i="4" s="1"/>
  <c r="J25" i="4"/>
  <c r="K21" i="4"/>
  <c r="L21" i="4" s="1"/>
  <c r="P100" i="4"/>
  <c r="Q100" i="4" s="1"/>
  <c r="J74" i="4"/>
  <c r="J51" i="4"/>
  <c r="J99" i="4"/>
  <c r="J94" i="4"/>
  <c r="P40" i="4"/>
  <c r="Q40" i="4" s="1"/>
  <c r="P106" i="4"/>
  <c r="Q106" i="4" s="1"/>
  <c r="J38" i="4"/>
  <c r="P42" i="4"/>
  <c r="Q42" i="4" s="1"/>
  <c r="P48" i="4"/>
  <c r="Q48" i="4" s="1"/>
  <c r="P85" i="4"/>
  <c r="Q85" i="4" s="1"/>
  <c r="P96" i="4"/>
  <c r="Q96" i="4" s="1"/>
  <c r="J83" i="4"/>
  <c r="P44" i="4"/>
  <c r="Q44" i="4" s="1"/>
  <c r="P53" i="4"/>
  <c r="Q53" i="4" s="1"/>
  <c r="J69" i="4"/>
  <c r="P62" i="4"/>
  <c r="Q62" i="4" s="1"/>
  <c r="P67" i="4"/>
  <c r="Q67" i="4" s="1"/>
  <c r="Q39" i="4"/>
  <c r="P72" i="4"/>
  <c r="Q72" i="4" s="1"/>
  <c r="J63" i="4"/>
  <c r="J37" i="4"/>
  <c r="J47" i="4"/>
  <c r="P82" i="4"/>
  <c r="Q82" i="4" s="1"/>
  <c r="J41" i="4"/>
  <c r="P110" i="4"/>
  <c r="Q110" i="4" s="1"/>
  <c r="P92" i="4"/>
  <c r="Q92" i="4" s="1"/>
  <c r="P108" i="4"/>
  <c r="Q108" i="4" s="1"/>
  <c r="P15" i="4"/>
  <c r="Q15" i="4" s="1"/>
  <c r="P93" i="4"/>
  <c r="Q93" i="4" s="1"/>
  <c r="P90" i="4"/>
  <c r="Q90" i="4" s="1"/>
  <c r="J65" i="4"/>
  <c r="P105" i="4"/>
  <c r="Q105" i="4" s="1"/>
  <c r="J73" i="4"/>
  <c r="K32" i="4"/>
  <c r="L32" i="4" s="1"/>
  <c r="J60" i="4"/>
  <c r="K11" i="4"/>
  <c r="L11" i="4" s="1"/>
  <c r="J56" i="4"/>
  <c r="P46" i="4"/>
  <c r="Q46" i="4" s="1"/>
  <c r="P26" i="4"/>
  <c r="Q26" i="4" s="1"/>
  <c r="Q81" i="4"/>
  <c r="N108" i="3"/>
  <c r="I101" i="17" s="1"/>
  <c r="N28" i="3"/>
  <c r="I21" i="17" s="1"/>
  <c r="N33" i="3"/>
  <c r="I26" i="17" s="1"/>
  <c r="N81" i="3"/>
  <c r="I74" i="17" s="1"/>
  <c r="N61" i="3"/>
  <c r="I54" i="17" s="1"/>
  <c r="N14" i="3"/>
  <c r="I7" i="17" s="1"/>
  <c r="N52" i="3"/>
  <c r="I45" i="17" s="1"/>
  <c r="N15" i="3"/>
  <c r="I8" i="17" s="1"/>
  <c r="N49" i="3"/>
  <c r="I42" i="17" s="1"/>
  <c r="N45" i="3"/>
  <c r="I38" i="17" s="1"/>
  <c r="N32" i="3"/>
  <c r="I25" i="17" s="1"/>
  <c r="N50" i="3"/>
  <c r="I43" i="17" s="1"/>
  <c r="N53" i="3"/>
  <c r="I46" i="17" s="1"/>
  <c r="N92" i="3"/>
  <c r="I85" i="17" s="1"/>
  <c r="N99" i="3"/>
  <c r="I92" i="17" s="1"/>
  <c r="N88" i="3"/>
  <c r="I81" i="17" s="1"/>
  <c r="N24" i="3"/>
  <c r="I17" i="17" s="1"/>
  <c r="N47" i="3"/>
  <c r="I40" i="17" s="1"/>
  <c r="N41" i="3"/>
  <c r="I34" i="17" s="1"/>
  <c r="N64" i="3"/>
  <c r="I57" i="17" s="1"/>
  <c r="N29" i="3"/>
  <c r="I22" i="17" s="1"/>
  <c r="N44" i="3"/>
  <c r="I37" i="17" s="1"/>
  <c r="N38" i="3"/>
  <c r="I31" i="17" s="1"/>
  <c r="N101" i="3"/>
  <c r="I94" i="17" s="1"/>
  <c r="N21" i="3"/>
  <c r="I14" i="17" s="1"/>
  <c r="N109" i="3"/>
  <c r="I102" i="17" s="1"/>
  <c r="N91" i="3"/>
  <c r="I84" i="17" s="1"/>
  <c r="N27" i="3"/>
  <c r="I20" i="17" s="1"/>
  <c r="N30" i="3"/>
  <c r="I23" i="17" s="1"/>
  <c r="N36" i="3"/>
  <c r="I29" i="17" s="1"/>
  <c r="N46" i="3"/>
  <c r="I39" i="17" s="1"/>
  <c r="N66" i="3"/>
  <c r="I59" i="17" s="1"/>
  <c r="N106" i="3"/>
  <c r="I99" i="17" s="1"/>
  <c r="N20" i="3"/>
  <c r="I13" i="17" s="1"/>
  <c r="J80" i="4"/>
  <c r="J13" i="4"/>
  <c r="J16" i="4"/>
  <c r="J21" i="4"/>
  <c r="J18" i="4"/>
  <c r="P21" i="4"/>
  <c r="Q21" i="4" s="1"/>
  <c r="P13" i="4"/>
  <c r="Q13" i="4" s="1"/>
  <c r="R99" i="4"/>
  <c r="S99" i="4" s="1"/>
  <c r="T99" i="4" s="1"/>
  <c r="R12" i="4"/>
  <c r="S12" i="4" s="1"/>
  <c r="T12" i="4" s="1"/>
  <c r="R58" i="4"/>
  <c r="S58" i="4" s="1"/>
  <c r="T58" i="4" s="1"/>
  <c r="R84" i="4"/>
  <c r="S84" i="4" s="1"/>
  <c r="T84" i="4" s="1"/>
  <c r="R56" i="4"/>
  <c r="S56" i="4" s="1"/>
  <c r="T56" i="4" s="1"/>
  <c r="R52" i="4"/>
  <c r="S52" i="4" s="1"/>
  <c r="T52" i="4" s="1"/>
  <c r="R61" i="4"/>
  <c r="S61" i="4" s="1"/>
  <c r="T61" i="4" s="1"/>
  <c r="R27" i="4"/>
  <c r="S27" i="4" s="1"/>
  <c r="T27" i="4" s="1"/>
  <c r="R74" i="4"/>
  <c r="S74" i="4" s="1"/>
  <c r="T74" i="4" s="1"/>
  <c r="R104" i="4"/>
  <c r="S104" i="4" s="1"/>
  <c r="T104" i="4" s="1"/>
  <c r="R17" i="4"/>
  <c r="S17" i="4" s="1"/>
  <c r="T17" i="4" s="1"/>
  <c r="R70" i="4"/>
  <c r="S70" i="4" s="1"/>
  <c r="T70" i="4" s="1"/>
  <c r="R73" i="4"/>
  <c r="S73" i="4" s="1"/>
  <c r="T73" i="4" s="1"/>
  <c r="R35" i="4"/>
  <c r="S35" i="4"/>
  <c r="T35" i="4" s="1"/>
  <c r="R37" i="4"/>
  <c r="S37" i="4"/>
  <c r="T37" i="4" s="1"/>
  <c r="R60" i="4"/>
  <c r="S60" i="4" s="1"/>
  <c r="T60" i="4" s="1"/>
  <c r="R59" i="4"/>
  <c r="S59" i="4" s="1"/>
  <c r="T59" i="4" s="1"/>
  <c r="R81" i="4"/>
  <c r="S81" i="4" s="1"/>
  <c r="R65" i="4"/>
  <c r="S65" i="4" s="1"/>
  <c r="T65" i="4" s="1"/>
  <c r="R83" i="4"/>
  <c r="S83" i="4" s="1"/>
  <c r="T83" i="4" s="1"/>
  <c r="R36" i="4"/>
  <c r="S36" i="4" s="1"/>
  <c r="T36" i="4" s="1"/>
  <c r="R43" i="4"/>
  <c r="S43" i="4"/>
  <c r="T43" i="4" s="1"/>
  <c r="R51" i="4"/>
  <c r="S51" i="4" s="1"/>
  <c r="T51" i="4" s="1"/>
  <c r="R63" i="4"/>
  <c r="S63" i="4" s="1"/>
  <c r="T63" i="4" s="1"/>
  <c r="R28" i="4"/>
  <c r="S28" i="4"/>
  <c r="T28" i="4" s="1"/>
  <c r="R41" i="4"/>
  <c r="S41" i="4" s="1"/>
  <c r="T41" i="4" s="1"/>
  <c r="R76" i="4"/>
  <c r="S76" i="4" s="1"/>
  <c r="T76" i="4" s="1"/>
  <c r="R78" i="4"/>
  <c r="S78" i="4" s="1"/>
  <c r="T78" i="4" s="1"/>
  <c r="R69" i="4"/>
  <c r="S69" i="4" s="1"/>
  <c r="T69" i="4" s="1"/>
  <c r="R47" i="4"/>
  <c r="S47" i="4" s="1"/>
  <c r="T47" i="4" s="1"/>
  <c r="R94" i="4"/>
  <c r="S94" i="4" s="1"/>
  <c r="T94" i="4" s="1"/>
  <c r="R25" i="4"/>
  <c r="S25" i="4" s="1"/>
  <c r="T25" i="4" s="1"/>
  <c r="R20" i="4"/>
  <c r="S20" i="4" s="1"/>
  <c r="T20" i="4" s="1"/>
  <c r="R38" i="4"/>
  <c r="S38" i="4" s="1"/>
  <c r="T38" i="4" s="1"/>
  <c r="R34" i="4"/>
  <c r="S34" i="4" s="1"/>
  <c r="T34" i="4" s="1"/>
  <c r="R71" i="4"/>
  <c r="S71" i="4" s="1"/>
  <c r="T71" i="4" s="1"/>
  <c r="R86" i="4"/>
  <c r="S86" i="4" s="1"/>
  <c r="T86" i="4" s="1"/>
  <c r="R22" i="4"/>
  <c r="S22" i="4"/>
  <c r="T22" i="4" s="1"/>
  <c r="J11" i="4"/>
  <c r="J32" i="4"/>
  <c r="P32" i="4"/>
  <c r="Q32" i="4" s="1"/>
  <c r="J14" i="4"/>
  <c r="P18" i="4"/>
  <c r="Q18" i="4" s="1"/>
  <c r="P14" i="4"/>
  <c r="Q14" i="4" s="1"/>
  <c r="P80" i="4"/>
  <c r="Q80" i="4" s="1"/>
  <c r="P16" i="4"/>
  <c r="Q16" i="4" s="1"/>
  <c r="C48" i="6" l="1"/>
  <c r="G48" i="6" s="1"/>
  <c r="K48" i="6" s="1"/>
  <c r="P48" i="6" s="1"/>
  <c r="C35" i="11"/>
  <c r="F35" i="11" s="1"/>
  <c r="G35" i="11" s="1"/>
  <c r="C44" i="11"/>
  <c r="F44" i="11" s="1"/>
  <c r="R57" i="4"/>
  <c r="S57" i="4" s="1"/>
  <c r="T57" i="4" s="1"/>
  <c r="C54" i="11" s="1"/>
  <c r="F54" i="11" s="1"/>
  <c r="C38" i="6"/>
  <c r="G38" i="6" s="1"/>
  <c r="K38" i="6" s="1"/>
  <c r="R101" i="4"/>
  <c r="S101" i="4" s="1"/>
  <c r="T101" i="4" s="1"/>
  <c r="D94" i="17" s="1"/>
  <c r="C49" i="11"/>
  <c r="F49" i="11" s="1"/>
  <c r="C19" i="6"/>
  <c r="G19" i="6" s="1"/>
  <c r="K19" i="6" s="1"/>
  <c r="C34" i="11"/>
  <c r="F34" i="11" s="1"/>
  <c r="C32" i="6"/>
  <c r="G32" i="6" s="1"/>
  <c r="K32" i="6" s="1"/>
  <c r="C24" i="6"/>
  <c r="G24" i="6" s="1"/>
  <c r="K24" i="6" s="1"/>
  <c r="C33" i="11"/>
  <c r="F33" i="11" s="1"/>
  <c r="C9" i="6"/>
  <c r="G9" i="6" s="1"/>
  <c r="K9" i="6" s="1"/>
  <c r="C25" i="6"/>
  <c r="G25" i="6" s="1"/>
  <c r="K25" i="6" s="1"/>
  <c r="C17" i="6"/>
  <c r="G17" i="6" s="1"/>
  <c r="K17" i="6" s="1"/>
  <c r="R79" i="4"/>
  <c r="S79" i="4" s="1"/>
  <c r="T79" i="4" s="1"/>
  <c r="C76" i="6" s="1"/>
  <c r="G76" i="6" s="1"/>
  <c r="K76" i="6" s="1"/>
  <c r="R75" i="4"/>
  <c r="S75" i="4" s="1"/>
  <c r="T75" i="4" s="1"/>
  <c r="C72" i="6" s="1"/>
  <c r="G72" i="6" s="1"/>
  <c r="K72" i="6" s="1"/>
  <c r="R49" i="4"/>
  <c r="S49" i="4" s="1"/>
  <c r="T49" i="4" s="1"/>
  <c r="C46" i="6" s="1"/>
  <c r="G46" i="6" s="1"/>
  <c r="K46" i="6" s="1"/>
  <c r="C22" i="6"/>
  <c r="G22" i="6" s="1"/>
  <c r="K22" i="6" s="1"/>
  <c r="R97" i="4"/>
  <c r="S97" i="4" s="1"/>
  <c r="T97" i="4" s="1"/>
  <c r="H93" i="13" s="1"/>
  <c r="S93" i="13" s="1"/>
  <c r="C90" i="17" s="1"/>
  <c r="R88" i="4"/>
  <c r="S88" i="4" s="1"/>
  <c r="T88" i="4" s="1"/>
  <c r="C85" i="11" s="1"/>
  <c r="F85" i="11" s="1"/>
  <c r="R103" i="4"/>
  <c r="S103" i="4" s="1"/>
  <c r="T103" i="4" s="1"/>
  <c r="D102" i="5" s="1"/>
  <c r="E102" i="5" s="1"/>
  <c r="R55" i="4"/>
  <c r="S55" i="4" s="1"/>
  <c r="T55" i="4" s="1"/>
  <c r="D48" i="17" s="1"/>
  <c r="R29" i="4"/>
  <c r="R42" i="4"/>
  <c r="S42" i="4" s="1"/>
  <c r="T42" i="4" s="1"/>
  <c r="C39" i="6" s="1"/>
  <c r="G39" i="6" s="1"/>
  <c r="K39" i="6" s="1"/>
  <c r="R48" i="4"/>
  <c r="S48" i="4" s="1"/>
  <c r="T48" i="4" s="1"/>
  <c r="C45" i="11" s="1"/>
  <c r="F45" i="11" s="1"/>
  <c r="S29" i="4"/>
  <c r="T29" i="4" s="1"/>
  <c r="C26" i="6" s="1"/>
  <c r="G26" i="6" s="1"/>
  <c r="K26" i="6" s="1"/>
  <c r="R45" i="4"/>
  <c r="S45" i="4" s="1"/>
  <c r="T45" i="4" s="1"/>
  <c r="R102" i="4"/>
  <c r="S102" i="4" s="1"/>
  <c r="T102" i="4" s="1"/>
  <c r="C99" i="11" s="1"/>
  <c r="F99" i="11" s="1"/>
  <c r="R33" i="4"/>
  <c r="S33" i="4" s="1"/>
  <c r="R93" i="4"/>
  <c r="S93" i="4" s="1"/>
  <c r="T93" i="4" s="1"/>
  <c r="H89" i="13" s="1"/>
  <c r="S89" i="13" s="1"/>
  <c r="C86" i="17" s="1"/>
  <c r="R54" i="4"/>
  <c r="S54" i="4" s="1"/>
  <c r="T54" i="4" s="1"/>
  <c r="C51" i="6" s="1"/>
  <c r="G51" i="6" s="1"/>
  <c r="K51" i="6" s="1"/>
  <c r="R91" i="4"/>
  <c r="S91" i="4" s="1"/>
  <c r="T91" i="4" s="1"/>
  <c r="C88" i="11" s="1"/>
  <c r="F88" i="11" s="1"/>
  <c r="R53" i="4"/>
  <c r="S53" i="4" s="1"/>
  <c r="T53" i="4" s="1"/>
  <c r="C50" i="11" s="1"/>
  <c r="F50" i="11" s="1"/>
  <c r="R98" i="4"/>
  <c r="S98" i="4" s="1"/>
  <c r="T98" i="4" s="1"/>
  <c r="D91" i="17" s="1"/>
  <c r="R50" i="4"/>
  <c r="S50" i="4" s="1"/>
  <c r="T50" i="4" s="1"/>
  <c r="C47" i="11" s="1"/>
  <c r="F47" i="11" s="1"/>
  <c r="R92" i="4"/>
  <c r="S92" i="4" s="1"/>
  <c r="T92" i="4" s="1"/>
  <c r="C89" i="11" s="1"/>
  <c r="F89" i="11" s="1"/>
  <c r="R110" i="4"/>
  <c r="S110" i="4" s="1"/>
  <c r="T110" i="4" s="1"/>
  <c r="D109" i="5" s="1"/>
  <c r="E109" i="5" s="1"/>
  <c r="R77" i="4"/>
  <c r="S77" i="4" s="1"/>
  <c r="T77" i="4" s="1"/>
  <c r="D70" i="17" s="1"/>
  <c r="R95" i="4"/>
  <c r="S95" i="4" s="1"/>
  <c r="T95" i="4" s="1"/>
  <c r="C92" i="6" s="1"/>
  <c r="G92" i="6" s="1"/>
  <c r="K92" i="6" s="1"/>
  <c r="R64" i="4"/>
  <c r="S64" i="4" s="1"/>
  <c r="T64" i="4" s="1"/>
  <c r="R40" i="4"/>
  <c r="S40" i="4" s="1"/>
  <c r="T40" i="4" s="1"/>
  <c r="R89" i="4"/>
  <c r="S89" i="4" s="1"/>
  <c r="T89" i="4" s="1"/>
  <c r="H85" i="13" s="1"/>
  <c r="S85" i="13" s="1"/>
  <c r="C82" i="17" s="1"/>
  <c r="R106" i="4"/>
  <c r="S106" i="4" s="1"/>
  <c r="T106" i="4" s="1"/>
  <c r="C103" i="6" s="1"/>
  <c r="G103" i="6" s="1"/>
  <c r="K103" i="6" s="1"/>
  <c r="R108" i="4"/>
  <c r="S108" i="4" s="1"/>
  <c r="T108" i="4" s="1"/>
  <c r="C105" i="11" s="1"/>
  <c r="F105" i="11" s="1"/>
  <c r="R24" i="4"/>
  <c r="S24" i="4" s="1"/>
  <c r="T24" i="4" s="1"/>
  <c r="C21" i="6" s="1"/>
  <c r="G21" i="6" s="1"/>
  <c r="K21" i="6" s="1"/>
  <c r="R87" i="4"/>
  <c r="S87" i="4" s="1"/>
  <c r="T87" i="4" s="1"/>
  <c r="D80" i="17" s="1"/>
  <c r="R31" i="4"/>
  <c r="S31" i="4" s="1"/>
  <c r="T31" i="4" s="1"/>
  <c r="C14" i="11"/>
  <c r="F14" i="11" s="1"/>
  <c r="R19" i="4"/>
  <c r="S19" i="4" s="1"/>
  <c r="T19" i="4" s="1"/>
  <c r="C16" i="6" s="1"/>
  <c r="G16" i="6" s="1"/>
  <c r="K16" i="6" s="1"/>
  <c r="R68" i="4"/>
  <c r="S68" i="4" s="1"/>
  <c r="T68" i="4" s="1"/>
  <c r="H64" i="13" s="1"/>
  <c r="S64" i="13" s="1"/>
  <c r="C61" i="17" s="1"/>
  <c r="R100" i="4"/>
  <c r="S100" i="4" s="1"/>
  <c r="T100" i="4" s="1"/>
  <c r="C97" i="11" s="1"/>
  <c r="F97" i="11" s="1"/>
  <c r="R23" i="4"/>
  <c r="S23" i="4" s="1"/>
  <c r="T23" i="4" s="1"/>
  <c r="C20" i="6" s="1"/>
  <c r="G20" i="6" s="1"/>
  <c r="K20" i="6" s="1"/>
  <c r="R66" i="4"/>
  <c r="S66" i="4" s="1"/>
  <c r="T66" i="4" s="1"/>
  <c r="C63" i="6" s="1"/>
  <c r="G63" i="6" s="1"/>
  <c r="K63" i="6" s="1"/>
  <c r="R107" i="4"/>
  <c r="S107" i="4" s="1"/>
  <c r="T107" i="4" s="1"/>
  <c r="C104" i="11" s="1"/>
  <c r="F104" i="11" s="1"/>
  <c r="C31" i="11"/>
  <c r="F31" i="11" s="1"/>
  <c r="R109" i="4"/>
  <c r="S109" i="4" s="1"/>
  <c r="T109" i="4" s="1"/>
  <c r="C106" i="6" s="1"/>
  <c r="V110" i="6" s="1"/>
  <c r="R30" i="4"/>
  <c r="S30" i="4" s="1"/>
  <c r="T30" i="4" s="1"/>
  <c r="S15" i="4"/>
  <c r="T15" i="4" s="1"/>
  <c r="C12" i="11" s="1"/>
  <c r="F12" i="11" s="1"/>
  <c r="R44" i="4"/>
  <c r="S44" i="4" s="1"/>
  <c r="T44" i="4" s="1"/>
  <c r="C41" i="6" s="1"/>
  <c r="G41" i="6" s="1"/>
  <c r="K41" i="6" s="1"/>
  <c r="R96" i="4"/>
  <c r="S96" i="4" s="1"/>
  <c r="T96" i="4" s="1"/>
  <c r="C93" i="11" s="1"/>
  <c r="F93" i="11" s="1"/>
  <c r="R82" i="4"/>
  <c r="S82" i="4" s="1"/>
  <c r="T82" i="4" s="1"/>
  <c r="C79" i="11" s="1"/>
  <c r="F79" i="11" s="1"/>
  <c r="R72" i="4"/>
  <c r="S72" i="4" s="1"/>
  <c r="T72" i="4" s="1"/>
  <c r="D71" i="5" s="1"/>
  <c r="E71" i="5" s="1"/>
  <c r="P11" i="4"/>
  <c r="Q11" i="4" s="1"/>
  <c r="R46" i="4"/>
  <c r="S46" i="4"/>
  <c r="T46" i="4" s="1"/>
  <c r="C43" i="6" s="1"/>
  <c r="G43" i="6" s="1"/>
  <c r="K43" i="6" s="1"/>
  <c r="R67" i="4"/>
  <c r="S67" i="4" s="1"/>
  <c r="T67" i="4" s="1"/>
  <c r="D66" i="5" s="1"/>
  <c r="E66" i="5" s="1"/>
  <c r="R62" i="4"/>
  <c r="S62" i="4" s="1"/>
  <c r="T62" i="4" s="1"/>
  <c r="H58" i="13" s="1"/>
  <c r="S58" i="13" s="1"/>
  <c r="C55" i="17" s="1"/>
  <c r="R90" i="4"/>
  <c r="S90" i="4" s="1"/>
  <c r="T90" i="4" s="1"/>
  <c r="C87" i="6" s="1"/>
  <c r="G87" i="6" s="1"/>
  <c r="K87" i="6" s="1"/>
  <c r="R39" i="4"/>
  <c r="S39" i="4" s="1"/>
  <c r="T39" i="4" s="1"/>
  <c r="C36" i="6" s="1"/>
  <c r="G36" i="6" s="1"/>
  <c r="K36" i="6" s="1"/>
  <c r="R26" i="4"/>
  <c r="S26" i="4" s="1"/>
  <c r="T26" i="4" s="1"/>
  <c r="C23" i="6" s="1"/>
  <c r="G23" i="6" s="1"/>
  <c r="K23" i="6" s="1"/>
  <c r="R85" i="4"/>
  <c r="S85" i="4" s="1"/>
  <c r="T85" i="4" s="1"/>
  <c r="C82" i="11" s="1"/>
  <c r="F82" i="11" s="1"/>
  <c r="R105" i="4"/>
  <c r="S105" i="4" s="1"/>
  <c r="T105" i="4" s="1"/>
  <c r="C102" i="11" s="1"/>
  <c r="F102" i="11" s="1"/>
  <c r="R15" i="4"/>
  <c r="E64" i="27"/>
  <c r="E52" i="27"/>
  <c r="E94" i="27"/>
  <c r="E103" i="27"/>
  <c r="E75" i="27"/>
  <c r="E85" i="27"/>
  <c r="E107" i="27"/>
  <c r="E99" i="27"/>
  <c r="E104" i="27"/>
  <c r="E57" i="27"/>
  <c r="E91" i="27"/>
  <c r="E82" i="27"/>
  <c r="E63" i="27"/>
  <c r="E87" i="27"/>
  <c r="E92" i="27"/>
  <c r="E96" i="27"/>
  <c r="E66" i="27"/>
  <c r="E69" i="27"/>
  <c r="E54" i="27"/>
  <c r="E101" i="27"/>
  <c r="E102" i="27"/>
  <c r="E83" i="27"/>
  <c r="E68" i="27"/>
  <c r="E76" i="27"/>
  <c r="E95" i="27"/>
  <c r="E55" i="27"/>
  <c r="E58" i="27"/>
  <c r="E72" i="27"/>
  <c r="E70" i="27"/>
  <c r="E67" i="27"/>
  <c r="E105" i="27"/>
  <c r="E59" i="27"/>
  <c r="E97" i="27"/>
  <c r="E98" i="27"/>
  <c r="E79" i="27"/>
  <c r="E73" i="27"/>
  <c r="E93" i="27"/>
  <c r="E71" i="27"/>
  <c r="E65" i="27"/>
  <c r="E60" i="27"/>
  <c r="E86" i="27"/>
  <c r="E53" i="27"/>
  <c r="E80" i="27"/>
  <c r="E62" i="27"/>
  <c r="E89" i="27"/>
  <c r="E61" i="27"/>
  <c r="E40" i="27"/>
  <c r="E56" i="27"/>
  <c r="E84" i="27"/>
  <c r="E90" i="27"/>
  <c r="E43" i="27"/>
  <c r="E81" i="27"/>
  <c r="E106" i="27"/>
  <c r="E74" i="27"/>
  <c r="E100" i="27"/>
  <c r="E88" i="27"/>
  <c r="H21" i="13"/>
  <c r="S21" i="13" s="1"/>
  <c r="C18" i="17" s="1"/>
  <c r="H31" i="13"/>
  <c r="S31" i="13" s="1"/>
  <c r="C28" i="17" s="1"/>
  <c r="H18" i="13"/>
  <c r="S18" i="13" s="1"/>
  <c r="C15" i="17" s="1"/>
  <c r="H43" i="13"/>
  <c r="S43" i="13" s="1"/>
  <c r="C40" i="17" s="1"/>
  <c r="H34" i="13"/>
  <c r="S34" i="13" s="1"/>
  <c r="C31" i="17" s="1"/>
  <c r="H47" i="13"/>
  <c r="S47" i="13" s="1"/>
  <c r="C44" i="17" s="1"/>
  <c r="H16" i="13"/>
  <c r="S16" i="13" s="1"/>
  <c r="C13" i="17" s="1"/>
  <c r="H30" i="13"/>
  <c r="S30" i="13" s="1"/>
  <c r="C27" i="17" s="1"/>
  <c r="H48" i="13"/>
  <c r="S48" i="13" s="1"/>
  <c r="C45" i="17" s="1"/>
  <c r="C80" i="11"/>
  <c r="F80" i="11" s="1"/>
  <c r="H79" i="13"/>
  <c r="S79" i="13" s="1"/>
  <c r="C76" i="17" s="1"/>
  <c r="C81" i="11"/>
  <c r="F81" i="11" s="1"/>
  <c r="H80" i="13"/>
  <c r="S80" i="13" s="1"/>
  <c r="C77" i="17" s="1"/>
  <c r="H32" i="13"/>
  <c r="S32" i="13" s="1"/>
  <c r="C29" i="17" s="1"/>
  <c r="C75" i="11"/>
  <c r="F75" i="11" s="1"/>
  <c r="H74" i="13"/>
  <c r="S74" i="13" s="1"/>
  <c r="C71" i="17" s="1"/>
  <c r="C57" i="11"/>
  <c r="F57" i="11" s="1"/>
  <c r="H56" i="13"/>
  <c r="S56" i="13" s="1"/>
  <c r="C53" i="17" s="1"/>
  <c r="C67" i="11"/>
  <c r="F67" i="11" s="1"/>
  <c r="H66" i="13"/>
  <c r="S66" i="13" s="1"/>
  <c r="C63" i="17" s="1"/>
  <c r="C73" i="11"/>
  <c r="F73" i="11" s="1"/>
  <c r="H72" i="13"/>
  <c r="S72" i="13" s="1"/>
  <c r="C69" i="17" s="1"/>
  <c r="C96" i="11"/>
  <c r="F96" i="11" s="1"/>
  <c r="H95" i="13"/>
  <c r="S95" i="13" s="1"/>
  <c r="C92" i="17" s="1"/>
  <c r="C68" i="11"/>
  <c r="F68" i="11" s="1"/>
  <c r="H67" i="13"/>
  <c r="S67" i="13" s="1"/>
  <c r="C64" i="17" s="1"/>
  <c r="H8" i="13"/>
  <c r="S8" i="13" s="1"/>
  <c r="C5" i="17" s="1"/>
  <c r="C101" i="11"/>
  <c r="F101" i="11" s="1"/>
  <c r="H100" i="13"/>
  <c r="S100" i="13" s="1"/>
  <c r="C97" i="17" s="1"/>
  <c r="H24" i="13"/>
  <c r="S24" i="13" s="1"/>
  <c r="C21" i="17" s="1"/>
  <c r="H33" i="13"/>
  <c r="S33" i="13" s="1"/>
  <c r="C30" i="17" s="1"/>
  <c r="H13" i="13"/>
  <c r="S13" i="13" s="1"/>
  <c r="C10" i="17" s="1"/>
  <c r="C71" i="11"/>
  <c r="F71" i="11" s="1"/>
  <c r="H70" i="13"/>
  <c r="S70" i="13" s="1"/>
  <c r="C67" i="17" s="1"/>
  <c r="C62" i="11"/>
  <c r="F62" i="11" s="1"/>
  <c r="H61" i="13"/>
  <c r="S61" i="13" s="1"/>
  <c r="C58" i="17" s="1"/>
  <c r="H37" i="13"/>
  <c r="S37" i="13" s="1"/>
  <c r="C34" i="17" s="1"/>
  <c r="C60" i="11"/>
  <c r="F60" i="11" s="1"/>
  <c r="H59" i="13"/>
  <c r="S59" i="13" s="1"/>
  <c r="C56" i="17" s="1"/>
  <c r="C58" i="11"/>
  <c r="F58" i="11" s="1"/>
  <c r="H57" i="13"/>
  <c r="S57" i="13" s="1"/>
  <c r="C54" i="17" s="1"/>
  <c r="C83" i="11"/>
  <c r="F83" i="11" s="1"/>
  <c r="H82" i="13"/>
  <c r="S82" i="13" s="1"/>
  <c r="C79" i="17" s="1"/>
  <c r="C55" i="11"/>
  <c r="F55" i="11" s="1"/>
  <c r="H54" i="13"/>
  <c r="S54" i="13" s="1"/>
  <c r="C51" i="17" s="1"/>
  <c r="C53" i="11"/>
  <c r="F53" i="11" s="1"/>
  <c r="H52" i="13"/>
  <c r="S52" i="13" s="1"/>
  <c r="C49" i="17" s="1"/>
  <c r="C40" i="11"/>
  <c r="F40" i="11" s="1"/>
  <c r="H39" i="13"/>
  <c r="S39" i="13" s="1"/>
  <c r="C36" i="17" s="1"/>
  <c r="C56" i="11"/>
  <c r="F56" i="11" s="1"/>
  <c r="H55" i="13"/>
  <c r="S55" i="13" s="1"/>
  <c r="C52" i="17" s="1"/>
  <c r="C66" i="11"/>
  <c r="F66" i="11" s="1"/>
  <c r="H65" i="13"/>
  <c r="S65" i="13" s="1"/>
  <c r="C62" i="17" s="1"/>
  <c r="C91" i="11"/>
  <c r="F91" i="11" s="1"/>
  <c r="H90" i="13"/>
  <c r="S90" i="13" s="1"/>
  <c r="C87" i="17" s="1"/>
  <c r="T81" i="4"/>
  <c r="C70" i="11"/>
  <c r="F70" i="11" s="1"/>
  <c r="H69" i="13"/>
  <c r="S69" i="13" s="1"/>
  <c r="C66" i="17" s="1"/>
  <c r="H23" i="13"/>
  <c r="S23" i="13" s="1"/>
  <c r="C20" i="17" s="1"/>
  <c r="C25" i="11"/>
  <c r="F25" i="11" s="1"/>
  <c r="C38" i="11"/>
  <c r="F38" i="11" s="1"/>
  <c r="C9" i="11"/>
  <c r="C48" i="11"/>
  <c r="F48" i="11" s="1"/>
  <c r="C24" i="11"/>
  <c r="F24" i="11" s="1"/>
  <c r="C32" i="11"/>
  <c r="F32" i="11" s="1"/>
  <c r="C17" i="11"/>
  <c r="F17" i="11" s="1"/>
  <c r="C22" i="11"/>
  <c r="F22" i="11" s="1"/>
  <c r="C19" i="11"/>
  <c r="F19" i="11" s="1"/>
  <c r="D40" i="5"/>
  <c r="E40" i="5" s="1"/>
  <c r="D34" i="17"/>
  <c r="D21" i="5"/>
  <c r="E21" i="5" s="1"/>
  <c r="D15" i="17"/>
  <c r="D21" i="17"/>
  <c r="D27" i="5"/>
  <c r="E27" i="5" s="1"/>
  <c r="C101" i="6"/>
  <c r="G101" i="6" s="1"/>
  <c r="K101" i="6" s="1"/>
  <c r="D97" i="17"/>
  <c r="D103" i="5"/>
  <c r="E103" i="5" s="1"/>
  <c r="C60" i="6"/>
  <c r="G60" i="6" s="1"/>
  <c r="K60" i="6" s="1"/>
  <c r="D62" i="5"/>
  <c r="E62" i="5" s="1"/>
  <c r="D56" i="17"/>
  <c r="C57" i="6"/>
  <c r="G57" i="6" s="1"/>
  <c r="K57" i="6" s="1"/>
  <c r="D53" i="17"/>
  <c r="D59" i="5"/>
  <c r="E59" i="5" s="1"/>
  <c r="C68" i="6"/>
  <c r="G68" i="6" s="1"/>
  <c r="K68" i="6" s="1"/>
  <c r="D64" i="17"/>
  <c r="D70" i="5"/>
  <c r="E70" i="5" s="1"/>
  <c r="C81" i="6"/>
  <c r="G81" i="6" s="1"/>
  <c r="K81" i="6" s="1"/>
  <c r="D83" i="5"/>
  <c r="E83" i="5" s="1"/>
  <c r="D77" i="17"/>
  <c r="C40" i="6"/>
  <c r="G40" i="6" s="1"/>
  <c r="K40" i="6" s="1"/>
  <c r="D42" i="5"/>
  <c r="E42" i="5" s="1"/>
  <c r="D36" i="17"/>
  <c r="C70" i="6"/>
  <c r="G70" i="6" s="1"/>
  <c r="K70" i="6" s="1"/>
  <c r="D66" i="17"/>
  <c r="D72" i="5"/>
  <c r="E72" i="5" s="1"/>
  <c r="C33" i="6"/>
  <c r="G33" i="6" s="1"/>
  <c r="K33" i="6" s="1"/>
  <c r="D29" i="17"/>
  <c r="D35" i="5"/>
  <c r="E35" i="5" s="1"/>
  <c r="C49" i="6"/>
  <c r="G49" i="6" s="1"/>
  <c r="K49" i="6" s="1"/>
  <c r="D45" i="17"/>
  <c r="D51" i="5"/>
  <c r="E51" i="5" s="1"/>
  <c r="D20" i="17"/>
  <c r="C67" i="6"/>
  <c r="G67" i="6" s="1"/>
  <c r="K67" i="6" s="1"/>
  <c r="D69" i="5"/>
  <c r="E69" i="5" s="1"/>
  <c r="D63" i="17"/>
  <c r="D5" i="17"/>
  <c r="D50" i="5"/>
  <c r="E50" i="5" s="1"/>
  <c r="C66" i="6"/>
  <c r="G66" i="6" s="1"/>
  <c r="K66" i="6" s="1"/>
  <c r="D68" i="5"/>
  <c r="E68" i="5" s="1"/>
  <c r="D62" i="17"/>
  <c r="C55" i="6"/>
  <c r="G55" i="6" s="1"/>
  <c r="K55" i="6" s="1"/>
  <c r="D51" i="17"/>
  <c r="D57" i="5"/>
  <c r="E57" i="5" s="1"/>
  <c r="D19" i="5"/>
  <c r="E19" i="5" s="1"/>
  <c r="C56" i="6"/>
  <c r="G56" i="6" s="1"/>
  <c r="K56" i="6" s="1"/>
  <c r="D52" i="17"/>
  <c r="D58" i="5"/>
  <c r="E58" i="5" s="1"/>
  <c r="D13" i="17"/>
  <c r="C75" i="6"/>
  <c r="G75" i="6" s="1"/>
  <c r="K75" i="6" s="1"/>
  <c r="D71" i="17"/>
  <c r="D77" i="5"/>
  <c r="E77" i="5" s="1"/>
  <c r="C80" i="6"/>
  <c r="G80" i="6" s="1"/>
  <c r="K80" i="6" s="1"/>
  <c r="D82" i="5"/>
  <c r="E82" i="5" s="1"/>
  <c r="D76" i="17"/>
  <c r="C96" i="6"/>
  <c r="G96" i="6" s="1"/>
  <c r="K96" i="6" s="1"/>
  <c r="D92" i="17"/>
  <c r="D98" i="5"/>
  <c r="E98" i="5" s="1"/>
  <c r="C73" i="6"/>
  <c r="G73" i="6" s="1"/>
  <c r="K73" i="6" s="1"/>
  <c r="D69" i="17"/>
  <c r="D75" i="5"/>
  <c r="E75" i="5" s="1"/>
  <c r="C91" i="6"/>
  <c r="G91" i="6" s="1"/>
  <c r="K91" i="6" s="1"/>
  <c r="D87" i="17"/>
  <c r="D93" i="5"/>
  <c r="E93" i="5" s="1"/>
  <c r="D18" i="17"/>
  <c r="C83" i="6"/>
  <c r="G83" i="6" s="1"/>
  <c r="K83" i="6" s="1"/>
  <c r="D79" i="17"/>
  <c r="D85" i="5"/>
  <c r="E85" i="5" s="1"/>
  <c r="C62" i="6"/>
  <c r="D58" i="17"/>
  <c r="D64" i="5"/>
  <c r="E64" i="5" s="1"/>
  <c r="C44" i="6"/>
  <c r="G44" i="6" s="1"/>
  <c r="K44" i="6" s="1"/>
  <c r="D46" i="5"/>
  <c r="E46" i="5" s="1"/>
  <c r="D40" i="17"/>
  <c r="C31" i="6"/>
  <c r="G31" i="6" s="1"/>
  <c r="K31" i="6" s="1"/>
  <c r="D33" i="5"/>
  <c r="E33" i="5" s="1"/>
  <c r="D27" i="17"/>
  <c r="C71" i="6"/>
  <c r="G71" i="6" s="1"/>
  <c r="K71" i="6" s="1"/>
  <c r="D73" i="5"/>
  <c r="E73" i="5" s="1"/>
  <c r="D67" i="17"/>
  <c r="C34" i="6"/>
  <c r="G34" i="6" s="1"/>
  <c r="K34" i="6" s="1"/>
  <c r="D30" i="17"/>
  <c r="D36" i="5"/>
  <c r="E36" i="5" s="1"/>
  <c r="C35" i="6"/>
  <c r="G35" i="6" s="1"/>
  <c r="K35" i="6" s="1"/>
  <c r="D31" i="17"/>
  <c r="D37" i="5"/>
  <c r="E37" i="5" s="1"/>
  <c r="C58" i="6"/>
  <c r="G58" i="6" s="1"/>
  <c r="K58" i="6" s="1"/>
  <c r="D54" i="17"/>
  <c r="D60" i="5"/>
  <c r="E60" i="5" s="1"/>
  <c r="D44" i="17"/>
  <c r="D34" i="5"/>
  <c r="E34" i="5" s="1"/>
  <c r="D28" i="17"/>
  <c r="C53" i="6"/>
  <c r="G53" i="6" s="1"/>
  <c r="K53" i="6" s="1"/>
  <c r="D49" i="17"/>
  <c r="D55" i="5"/>
  <c r="E55" i="5" s="1"/>
  <c r="D26" i="5"/>
  <c r="E26" i="5" s="1"/>
  <c r="D11" i="5"/>
  <c r="E11" i="5" s="1"/>
  <c r="C14" i="6"/>
  <c r="G14" i="6" s="1"/>
  <c r="K14" i="6" s="1"/>
  <c r="D16" i="5"/>
  <c r="E16" i="5" s="1"/>
  <c r="D10" i="17"/>
  <c r="D24" i="5"/>
  <c r="E24" i="5" s="1"/>
  <c r="R13" i="4"/>
  <c r="S13" i="4" s="1"/>
  <c r="T13" i="4" s="1"/>
  <c r="R21" i="4"/>
  <c r="S21" i="4" s="1"/>
  <c r="T21" i="4" s="1"/>
  <c r="R16" i="4"/>
  <c r="S16" i="4" s="1"/>
  <c r="T16" i="4" s="1"/>
  <c r="R18" i="4"/>
  <c r="S18" i="4" s="1"/>
  <c r="T18" i="4" s="1"/>
  <c r="R14" i="4"/>
  <c r="S14" i="4" s="1"/>
  <c r="T14" i="4" s="1"/>
  <c r="R32" i="4"/>
  <c r="S32" i="4" s="1"/>
  <c r="T32" i="4" s="1"/>
  <c r="R80" i="4"/>
  <c r="S80" i="4" s="1"/>
  <c r="T80" i="4" s="1"/>
  <c r="H97" i="13" l="1"/>
  <c r="S97" i="13" s="1"/>
  <c r="C94" i="17" s="1"/>
  <c r="C98" i="11"/>
  <c r="F98" i="11" s="1"/>
  <c r="G106" i="6"/>
  <c r="K106" i="6" s="1"/>
  <c r="P106" i="6" s="1"/>
  <c r="E106" i="17"/>
  <c r="K106" i="17" s="1"/>
  <c r="L106" i="17" s="1"/>
  <c r="M106" i="17" s="1"/>
  <c r="G62" i="6"/>
  <c r="O48" i="6"/>
  <c r="Q48" i="6"/>
  <c r="R48" i="6"/>
  <c r="J35" i="11"/>
  <c r="K35" i="11" s="1"/>
  <c r="D56" i="5"/>
  <c r="E56" i="5" s="1"/>
  <c r="D50" i="17"/>
  <c r="H53" i="13"/>
  <c r="S53" i="13" s="1"/>
  <c r="C50" i="17" s="1"/>
  <c r="C72" i="11"/>
  <c r="F72" i="11" s="1"/>
  <c r="G72" i="11" s="1"/>
  <c r="O106" i="6"/>
  <c r="P75" i="6"/>
  <c r="O75" i="6"/>
  <c r="P63" i="6"/>
  <c r="O63" i="6"/>
  <c r="P9" i="6"/>
  <c r="O9" i="6"/>
  <c r="P49" i="6"/>
  <c r="O49" i="6"/>
  <c r="P25" i="6"/>
  <c r="O25" i="6"/>
  <c r="P58" i="6"/>
  <c r="O58" i="6"/>
  <c r="P83" i="6"/>
  <c r="O83" i="6"/>
  <c r="P36" i="6"/>
  <c r="O36" i="6"/>
  <c r="P35" i="6"/>
  <c r="O35" i="6"/>
  <c r="P70" i="6"/>
  <c r="O70" i="6"/>
  <c r="P55" i="6"/>
  <c r="O55" i="6"/>
  <c r="P26" i="6"/>
  <c r="O26" i="6"/>
  <c r="P19" i="6"/>
  <c r="O19" i="6"/>
  <c r="P34" i="6"/>
  <c r="O34" i="6"/>
  <c r="P40" i="6"/>
  <c r="O40" i="6"/>
  <c r="P43" i="6"/>
  <c r="O43" i="6"/>
  <c r="P21" i="6"/>
  <c r="O21" i="6"/>
  <c r="P39" i="6"/>
  <c r="O39" i="6"/>
  <c r="P44" i="6"/>
  <c r="O44" i="6"/>
  <c r="P57" i="6"/>
  <c r="O57" i="6"/>
  <c r="P76" i="6"/>
  <c r="O76" i="6"/>
  <c r="P20" i="6"/>
  <c r="O20" i="6"/>
  <c r="O60" i="6"/>
  <c r="P60" i="6"/>
  <c r="P56" i="6"/>
  <c r="O56" i="6"/>
  <c r="P16" i="6"/>
  <c r="O16" i="6"/>
  <c r="P32" i="6"/>
  <c r="O32" i="6"/>
  <c r="P73" i="6"/>
  <c r="O73" i="6"/>
  <c r="P81" i="6"/>
  <c r="O81" i="6"/>
  <c r="P33" i="6"/>
  <c r="O33" i="6"/>
  <c r="P87" i="6"/>
  <c r="O87" i="6"/>
  <c r="P14" i="6"/>
  <c r="O14" i="6"/>
  <c r="P96" i="6"/>
  <c r="O96" i="6"/>
  <c r="P72" i="6"/>
  <c r="O72" i="6"/>
  <c r="P17" i="6"/>
  <c r="O17" i="6"/>
  <c r="P51" i="6"/>
  <c r="O51" i="6"/>
  <c r="P23" i="6"/>
  <c r="O23" i="6"/>
  <c r="P24" i="6"/>
  <c r="O24" i="6"/>
  <c r="P101" i="6"/>
  <c r="O101" i="6"/>
  <c r="P91" i="6"/>
  <c r="O91" i="6"/>
  <c r="P66" i="6"/>
  <c r="O66" i="6"/>
  <c r="P103" i="6"/>
  <c r="O103" i="6"/>
  <c r="P38" i="6"/>
  <c r="O38" i="6"/>
  <c r="P71" i="6"/>
  <c r="O71" i="6"/>
  <c r="P46" i="6"/>
  <c r="O46" i="6"/>
  <c r="P31" i="6"/>
  <c r="O31" i="6"/>
  <c r="P41" i="6"/>
  <c r="O41" i="6"/>
  <c r="P92" i="6"/>
  <c r="O92" i="6"/>
  <c r="P67" i="6"/>
  <c r="O67" i="6"/>
  <c r="P53" i="6"/>
  <c r="O53" i="6"/>
  <c r="P80" i="6"/>
  <c r="O80" i="6"/>
  <c r="P68" i="6"/>
  <c r="O68" i="6"/>
  <c r="P22" i="6"/>
  <c r="O22" i="6"/>
  <c r="J55" i="11"/>
  <c r="K55" i="11" s="1"/>
  <c r="G55" i="11"/>
  <c r="J33" i="11"/>
  <c r="K33" i="11" s="1"/>
  <c r="G33" i="11"/>
  <c r="J67" i="11"/>
  <c r="K67" i="11" s="1"/>
  <c r="G67" i="11"/>
  <c r="J96" i="11"/>
  <c r="K96" i="11" s="1"/>
  <c r="G96" i="11"/>
  <c r="J102" i="11"/>
  <c r="K102" i="11" s="1"/>
  <c r="G102" i="11"/>
  <c r="J62" i="11"/>
  <c r="K62" i="11" s="1"/>
  <c r="G62" i="11"/>
  <c r="J57" i="11"/>
  <c r="K57" i="11" s="1"/>
  <c r="G57" i="11"/>
  <c r="J34" i="11"/>
  <c r="K34" i="11" s="1"/>
  <c r="G34" i="11"/>
  <c r="J82" i="11"/>
  <c r="K82" i="11" s="1"/>
  <c r="G82" i="11"/>
  <c r="J60" i="11"/>
  <c r="K60" i="11" s="1"/>
  <c r="G60" i="11"/>
  <c r="J68" i="11"/>
  <c r="K68" i="11" s="1"/>
  <c r="G68" i="11"/>
  <c r="J38" i="11"/>
  <c r="K38" i="11" s="1"/>
  <c r="G38" i="11"/>
  <c r="J31" i="11"/>
  <c r="K31" i="11" s="1"/>
  <c r="G31" i="11"/>
  <c r="J88" i="11"/>
  <c r="K88" i="11" s="1"/>
  <c r="G88" i="11"/>
  <c r="J71" i="11"/>
  <c r="K71" i="11" s="1"/>
  <c r="G71" i="11"/>
  <c r="J75" i="11"/>
  <c r="K75" i="11" s="1"/>
  <c r="G75" i="11"/>
  <c r="J45" i="11"/>
  <c r="K45" i="11" s="1"/>
  <c r="G45" i="11"/>
  <c r="J49" i="11"/>
  <c r="K49" i="11" s="1"/>
  <c r="G49" i="11"/>
  <c r="J89" i="11"/>
  <c r="K89" i="11" s="1"/>
  <c r="G89" i="11"/>
  <c r="J91" i="11"/>
  <c r="K91" i="11" s="1"/>
  <c r="G91" i="11"/>
  <c r="J14" i="11"/>
  <c r="G14" i="11"/>
  <c r="J56" i="11"/>
  <c r="K56" i="11" s="1"/>
  <c r="G56" i="11"/>
  <c r="J105" i="11"/>
  <c r="K105" i="11" s="1"/>
  <c r="G105" i="11"/>
  <c r="J12" i="11"/>
  <c r="G12" i="11"/>
  <c r="J83" i="11"/>
  <c r="K83" i="11" s="1"/>
  <c r="G83" i="11"/>
  <c r="J50" i="11"/>
  <c r="K50" i="11" s="1"/>
  <c r="G50" i="11"/>
  <c r="J19" i="11"/>
  <c r="K19" i="11" s="1"/>
  <c r="G19" i="11"/>
  <c r="J40" i="11"/>
  <c r="K40" i="11" s="1"/>
  <c r="G40" i="11"/>
  <c r="J81" i="11"/>
  <c r="K81" i="11" s="1"/>
  <c r="G81" i="11"/>
  <c r="J54" i="11"/>
  <c r="K54" i="11" s="1"/>
  <c r="G54" i="11"/>
  <c r="J73" i="11"/>
  <c r="K73" i="11" s="1"/>
  <c r="G73" i="11"/>
  <c r="J99" i="11"/>
  <c r="K99" i="11" s="1"/>
  <c r="G99" i="11"/>
  <c r="J66" i="11"/>
  <c r="K66" i="11" s="1"/>
  <c r="G66" i="11"/>
  <c r="J22" i="11"/>
  <c r="K22" i="11" s="1"/>
  <c r="G22" i="11"/>
  <c r="J79" i="11"/>
  <c r="K79" i="11" s="1"/>
  <c r="G79" i="11"/>
  <c r="J44" i="11"/>
  <c r="K44" i="11" s="1"/>
  <c r="G44" i="11"/>
  <c r="J17" i="11"/>
  <c r="K17" i="11" s="1"/>
  <c r="G17" i="11"/>
  <c r="J53" i="11"/>
  <c r="K53" i="11" s="1"/>
  <c r="G53" i="11"/>
  <c r="J101" i="11"/>
  <c r="K101" i="11" s="1"/>
  <c r="G101" i="11"/>
  <c r="J93" i="11"/>
  <c r="K93" i="11" s="1"/>
  <c r="G93" i="11"/>
  <c r="J24" i="11"/>
  <c r="K24" i="11" s="1"/>
  <c r="G24" i="11"/>
  <c r="J48" i="11"/>
  <c r="K48" i="11" s="1"/>
  <c r="G48" i="11"/>
  <c r="J47" i="11"/>
  <c r="K47" i="11" s="1"/>
  <c r="G47" i="11"/>
  <c r="J25" i="11"/>
  <c r="K25" i="11" s="1"/>
  <c r="G25" i="11"/>
  <c r="J104" i="11"/>
  <c r="K104" i="11" s="1"/>
  <c r="G104" i="11"/>
  <c r="J58" i="11"/>
  <c r="K58" i="11" s="1"/>
  <c r="G58" i="11"/>
  <c r="J70" i="11"/>
  <c r="K70" i="11" s="1"/>
  <c r="G70" i="11"/>
  <c r="J97" i="11"/>
  <c r="K97" i="11" s="1"/>
  <c r="G97" i="11"/>
  <c r="J32" i="11"/>
  <c r="K32" i="11" s="1"/>
  <c r="G32" i="11"/>
  <c r="H71" i="13"/>
  <c r="S71" i="13" s="1"/>
  <c r="C68" i="17" s="1"/>
  <c r="J80" i="11"/>
  <c r="K80" i="11" s="1"/>
  <c r="G80" i="11"/>
  <c r="J85" i="11"/>
  <c r="K85" i="11" s="1"/>
  <c r="G85" i="11"/>
  <c r="D78" i="5"/>
  <c r="E78" i="5" s="1"/>
  <c r="H75" i="13"/>
  <c r="S75" i="13" s="1"/>
  <c r="C72" i="17" s="1"/>
  <c r="C98" i="6"/>
  <c r="G98" i="6" s="1"/>
  <c r="K98" i="6" s="1"/>
  <c r="C54" i="6"/>
  <c r="G54" i="6" s="1"/>
  <c r="K54" i="6" s="1"/>
  <c r="F9" i="11"/>
  <c r="D90" i="17"/>
  <c r="D100" i="5"/>
  <c r="E100" i="5" s="1"/>
  <c r="C76" i="11"/>
  <c r="F76" i="11" s="1"/>
  <c r="C52" i="11"/>
  <c r="F52" i="11" s="1"/>
  <c r="C94" i="11"/>
  <c r="C46" i="11"/>
  <c r="F46" i="11" s="1"/>
  <c r="H99" i="13"/>
  <c r="S99" i="13" s="1"/>
  <c r="C96" i="17" s="1"/>
  <c r="D68" i="17"/>
  <c r="D74" i="5"/>
  <c r="E74" i="5" s="1"/>
  <c r="H51" i="13"/>
  <c r="S51" i="13" s="1"/>
  <c r="C48" i="17" s="1"/>
  <c r="C100" i="11"/>
  <c r="T33" i="4"/>
  <c r="C30" i="11" s="1"/>
  <c r="F30" i="11" s="1"/>
  <c r="D42" i="17"/>
  <c r="H25" i="13"/>
  <c r="S25" i="13" s="1"/>
  <c r="C22" i="17" s="1"/>
  <c r="D96" i="17"/>
  <c r="C100" i="6"/>
  <c r="D23" i="5"/>
  <c r="E23" i="5" s="1"/>
  <c r="H104" i="13"/>
  <c r="S104" i="13" s="1"/>
  <c r="C101" i="17" s="1"/>
  <c r="D96" i="5"/>
  <c r="E96" i="5" s="1"/>
  <c r="C94" i="6"/>
  <c r="C90" i="11"/>
  <c r="D72" i="17"/>
  <c r="D87" i="5"/>
  <c r="E87" i="5" s="1"/>
  <c r="D35" i="17"/>
  <c r="D101" i="17"/>
  <c r="D107" i="5"/>
  <c r="E107" i="5" s="1"/>
  <c r="D81" i="17"/>
  <c r="C105" i="6"/>
  <c r="V109" i="6" s="1"/>
  <c r="E105" i="17" s="1"/>
  <c r="K105" i="17" s="1"/>
  <c r="L105" i="17" s="1"/>
  <c r="M105" i="17" s="1"/>
  <c r="D28" i="5"/>
  <c r="E28" i="5" s="1"/>
  <c r="C85" i="6"/>
  <c r="H44" i="13"/>
  <c r="S44" i="13" s="1"/>
  <c r="C41" i="17" s="1"/>
  <c r="D48" i="5"/>
  <c r="E48" i="5" s="1"/>
  <c r="H84" i="13"/>
  <c r="S84" i="13" s="1"/>
  <c r="C81" i="17" s="1"/>
  <c r="C52" i="6"/>
  <c r="D52" i="5"/>
  <c r="E52" i="5" s="1"/>
  <c r="D53" i="5"/>
  <c r="E53" i="5" s="1"/>
  <c r="C39" i="11"/>
  <c r="D86" i="17"/>
  <c r="D88" i="5"/>
  <c r="E88" i="5" s="1"/>
  <c r="D92" i="5"/>
  <c r="E92" i="5" s="1"/>
  <c r="C90" i="6"/>
  <c r="D93" i="17"/>
  <c r="H45" i="13"/>
  <c r="S45" i="13" s="1"/>
  <c r="C42" i="17" s="1"/>
  <c r="H50" i="13"/>
  <c r="S50" i="13" s="1"/>
  <c r="C47" i="17" s="1"/>
  <c r="H38" i="13"/>
  <c r="S38" i="13" s="1"/>
  <c r="C35" i="17" s="1"/>
  <c r="H83" i="13"/>
  <c r="S83" i="13" s="1"/>
  <c r="C80" i="17" s="1"/>
  <c r="D41" i="5"/>
  <c r="E41" i="5" s="1"/>
  <c r="C84" i="11"/>
  <c r="C99" i="6"/>
  <c r="D47" i="17"/>
  <c r="C45" i="6"/>
  <c r="D46" i="17"/>
  <c r="D85" i="17"/>
  <c r="D91" i="5"/>
  <c r="E91" i="5" s="1"/>
  <c r="C89" i="6"/>
  <c r="C97" i="6"/>
  <c r="D101" i="5"/>
  <c r="E101" i="5" s="1"/>
  <c r="D95" i="17"/>
  <c r="C50" i="6"/>
  <c r="D54" i="5"/>
  <c r="E54" i="5" s="1"/>
  <c r="H98" i="13"/>
  <c r="S98" i="13" s="1"/>
  <c r="C95" i="17" s="1"/>
  <c r="C26" i="11"/>
  <c r="D22" i="17"/>
  <c r="H73" i="13"/>
  <c r="S73" i="13" s="1"/>
  <c r="C70" i="17" s="1"/>
  <c r="C74" i="11"/>
  <c r="D97" i="5"/>
  <c r="E97" i="5" s="1"/>
  <c r="C95" i="6"/>
  <c r="D84" i="17"/>
  <c r="C74" i="6"/>
  <c r="H94" i="13"/>
  <c r="S94" i="13" s="1"/>
  <c r="C91" i="17" s="1"/>
  <c r="C95" i="11"/>
  <c r="C42" i="11"/>
  <c r="C42" i="6"/>
  <c r="D44" i="5"/>
  <c r="E44" i="5" s="1"/>
  <c r="D38" i="17"/>
  <c r="H41" i="13"/>
  <c r="S41" i="13" s="1"/>
  <c r="C38" i="17" s="1"/>
  <c r="C86" i="6"/>
  <c r="D103" i="17"/>
  <c r="C107" i="6"/>
  <c r="V111" i="6" s="1"/>
  <c r="E107" i="17" s="1"/>
  <c r="K107" i="17" s="1"/>
  <c r="L107" i="17" s="1"/>
  <c r="M107" i="17" s="1"/>
  <c r="D90" i="5"/>
  <c r="E90" i="5" s="1"/>
  <c r="C86" i="11"/>
  <c r="H46" i="13"/>
  <c r="S46" i="13" s="1"/>
  <c r="C43" i="17" s="1"/>
  <c r="H88" i="13"/>
  <c r="S88" i="13" s="1"/>
  <c r="C85" i="17" s="1"/>
  <c r="D43" i="17"/>
  <c r="C88" i="6"/>
  <c r="D49" i="5"/>
  <c r="E49" i="5" s="1"/>
  <c r="D105" i="5"/>
  <c r="E105" i="5" s="1"/>
  <c r="C51" i="11"/>
  <c r="H96" i="13"/>
  <c r="S96" i="13" s="1"/>
  <c r="C93" i="17" s="1"/>
  <c r="H87" i="13"/>
  <c r="S87" i="13" s="1"/>
  <c r="C84" i="17" s="1"/>
  <c r="H91" i="13"/>
  <c r="S91" i="13" s="1"/>
  <c r="C88" i="17" s="1"/>
  <c r="H106" i="13"/>
  <c r="S106" i="13" s="1"/>
  <c r="C103" i="17" s="1"/>
  <c r="D82" i="17"/>
  <c r="C103" i="11"/>
  <c r="D99" i="17"/>
  <c r="C92" i="11"/>
  <c r="H49" i="13"/>
  <c r="S49" i="13" s="1"/>
  <c r="C46" i="17" s="1"/>
  <c r="D88" i="17"/>
  <c r="H102" i="13"/>
  <c r="S102" i="13" s="1"/>
  <c r="C99" i="17" s="1"/>
  <c r="C47" i="6"/>
  <c r="C107" i="11"/>
  <c r="D94" i="5"/>
  <c r="E94" i="5" s="1"/>
  <c r="D41" i="17"/>
  <c r="D47" i="5"/>
  <c r="E47" i="5" s="1"/>
  <c r="D76" i="5"/>
  <c r="E76" i="5" s="1"/>
  <c r="H27" i="13"/>
  <c r="S27" i="13" s="1"/>
  <c r="C24" i="17" s="1"/>
  <c r="C28" i="11"/>
  <c r="C28" i="6"/>
  <c r="D24" i="17"/>
  <c r="D30" i="5"/>
  <c r="E30" i="5" s="1"/>
  <c r="C37" i="6"/>
  <c r="H36" i="13"/>
  <c r="S36" i="13" s="1"/>
  <c r="C33" i="17" s="1"/>
  <c r="C37" i="11"/>
  <c r="D33" i="17"/>
  <c r="D39" i="5"/>
  <c r="E39" i="5" s="1"/>
  <c r="C27" i="11"/>
  <c r="H26" i="13"/>
  <c r="S26" i="13" s="1"/>
  <c r="C23" i="17" s="1"/>
  <c r="D63" i="5"/>
  <c r="E63" i="5" s="1"/>
  <c r="C61" i="6"/>
  <c r="C61" i="11"/>
  <c r="D57" i="17"/>
  <c r="H60" i="13"/>
  <c r="S60" i="13" s="1"/>
  <c r="C57" i="17" s="1"/>
  <c r="C21" i="11"/>
  <c r="D18" i="5"/>
  <c r="E18" i="5" s="1"/>
  <c r="C84" i="6"/>
  <c r="D61" i="17"/>
  <c r="C65" i="11"/>
  <c r="C65" i="6"/>
  <c r="D17" i="17"/>
  <c r="C64" i="11"/>
  <c r="D67" i="5"/>
  <c r="E67" i="5" s="1"/>
  <c r="D86" i="5"/>
  <c r="E86" i="5" s="1"/>
  <c r="R11" i="4"/>
  <c r="S11" i="4" s="1"/>
  <c r="T11" i="4" s="1"/>
  <c r="D10" i="5" s="1"/>
  <c r="E10" i="5" s="1"/>
  <c r="H20" i="13"/>
  <c r="S20" i="13" s="1"/>
  <c r="C17" i="17" s="1"/>
  <c r="D106" i="5"/>
  <c r="E106" i="5" s="1"/>
  <c r="D100" i="17"/>
  <c r="D23" i="17"/>
  <c r="D8" i="17"/>
  <c r="C104" i="6"/>
  <c r="V108" i="6" s="1"/>
  <c r="E104" i="17" s="1"/>
  <c r="K104" i="17" s="1"/>
  <c r="L104" i="17" s="1"/>
  <c r="M104" i="17" s="1"/>
  <c r="D29" i="5"/>
  <c r="E29" i="5" s="1"/>
  <c r="C12" i="6"/>
  <c r="C27" i="6"/>
  <c r="C106" i="11"/>
  <c r="H15" i="13"/>
  <c r="S15" i="13" s="1"/>
  <c r="C12" i="17" s="1"/>
  <c r="H105" i="13"/>
  <c r="S105" i="13" s="1"/>
  <c r="C102" i="17" s="1"/>
  <c r="H11" i="13"/>
  <c r="S11" i="13" s="1"/>
  <c r="C8" i="17" s="1"/>
  <c r="H103" i="13"/>
  <c r="S103" i="13" s="1"/>
  <c r="C100" i="17" s="1"/>
  <c r="D99" i="5"/>
  <c r="E99" i="5" s="1"/>
  <c r="C16" i="11"/>
  <c r="C69" i="6"/>
  <c r="H19" i="13"/>
  <c r="S19" i="13" s="1"/>
  <c r="C16" i="17" s="1"/>
  <c r="D89" i="17"/>
  <c r="D95" i="5"/>
  <c r="E95" i="5" s="1"/>
  <c r="C93" i="6"/>
  <c r="H68" i="13"/>
  <c r="S68" i="13" s="1"/>
  <c r="C65" i="17" s="1"/>
  <c r="D102" i="17"/>
  <c r="D108" i="5"/>
  <c r="E108" i="5" s="1"/>
  <c r="D39" i="17"/>
  <c r="D81" i="5"/>
  <c r="E81" i="5" s="1"/>
  <c r="D75" i="17"/>
  <c r="D16" i="17"/>
  <c r="C20" i="11"/>
  <c r="D59" i="17"/>
  <c r="D22" i="5"/>
  <c r="E22" i="5" s="1"/>
  <c r="H62" i="13"/>
  <c r="S62" i="13" s="1"/>
  <c r="C59" i="17" s="1"/>
  <c r="C59" i="11"/>
  <c r="D65" i="5"/>
  <c r="E65" i="5" s="1"/>
  <c r="C63" i="11"/>
  <c r="H35" i="13"/>
  <c r="S35" i="13" s="1"/>
  <c r="C32" i="17" s="1"/>
  <c r="D14" i="5"/>
  <c r="E14" i="5" s="1"/>
  <c r="D12" i="17"/>
  <c r="H42" i="13"/>
  <c r="S42" i="13" s="1"/>
  <c r="C39" i="17" s="1"/>
  <c r="C43" i="11"/>
  <c r="H40" i="13"/>
  <c r="S40" i="13" s="1"/>
  <c r="C37" i="17" s="1"/>
  <c r="C23" i="11"/>
  <c r="H22" i="13"/>
  <c r="S22" i="13" s="1"/>
  <c r="C19" i="17" s="1"/>
  <c r="C79" i="6"/>
  <c r="H78" i="13"/>
  <c r="S78" i="13" s="1"/>
  <c r="C75" i="17" s="1"/>
  <c r="C41" i="11"/>
  <c r="C69" i="11"/>
  <c r="D43" i="5"/>
  <c r="E43" i="5" s="1"/>
  <c r="H92" i="13"/>
  <c r="S92" i="13" s="1"/>
  <c r="C89" i="17" s="1"/>
  <c r="D65" i="17"/>
  <c r="D37" i="17"/>
  <c r="H63" i="13"/>
  <c r="S63" i="13" s="1"/>
  <c r="C60" i="17" s="1"/>
  <c r="D55" i="17"/>
  <c r="C59" i="6"/>
  <c r="D83" i="17"/>
  <c r="H86" i="13"/>
  <c r="S86" i="13" s="1"/>
  <c r="C83" i="17" s="1"/>
  <c r="D84" i="5"/>
  <c r="E84" i="5" s="1"/>
  <c r="D89" i="5"/>
  <c r="E89" i="5" s="1"/>
  <c r="D78" i="17"/>
  <c r="C87" i="11"/>
  <c r="C82" i="6"/>
  <c r="D32" i="17"/>
  <c r="D45" i="5"/>
  <c r="E45" i="5" s="1"/>
  <c r="D38" i="5"/>
  <c r="E38" i="5" s="1"/>
  <c r="D98" i="17"/>
  <c r="D19" i="17"/>
  <c r="C102" i="6"/>
  <c r="H101" i="13"/>
  <c r="S101" i="13" s="1"/>
  <c r="C98" i="17" s="1"/>
  <c r="C64" i="6"/>
  <c r="C36" i="11"/>
  <c r="H81" i="13"/>
  <c r="S81" i="13" s="1"/>
  <c r="C78" i="17" s="1"/>
  <c r="D104" i="5"/>
  <c r="E104" i="5" s="1"/>
  <c r="D60" i="17"/>
  <c r="D61" i="5"/>
  <c r="E61" i="5" s="1"/>
  <c r="D25" i="5"/>
  <c r="E25" i="5" s="1"/>
  <c r="E18" i="27"/>
  <c r="E47" i="27"/>
  <c r="E49" i="27"/>
  <c r="E39" i="27"/>
  <c r="E24" i="27"/>
  <c r="E37" i="27"/>
  <c r="E45" i="27"/>
  <c r="E10" i="27"/>
  <c r="E26" i="27"/>
  <c r="E36" i="27"/>
  <c r="E46" i="27"/>
  <c r="E30" i="27"/>
  <c r="E50" i="27"/>
  <c r="E19" i="27"/>
  <c r="E38" i="27"/>
  <c r="E14" i="27"/>
  <c r="E41" i="27"/>
  <c r="E25" i="27"/>
  <c r="E16" i="27"/>
  <c r="E34" i="27"/>
  <c r="E22" i="27"/>
  <c r="E44" i="27"/>
  <c r="E42" i="27"/>
  <c r="E77" i="27"/>
  <c r="E33" i="27"/>
  <c r="E12" i="27"/>
  <c r="E32" i="27"/>
  <c r="E27" i="27"/>
  <c r="E9" i="27"/>
  <c r="E31" i="27"/>
  <c r="E35" i="27"/>
  <c r="E8" i="27"/>
  <c r="E11" i="27"/>
  <c r="E15" i="27"/>
  <c r="E13" i="27"/>
  <c r="E20" i="27"/>
  <c r="E23" i="27"/>
  <c r="E51" i="27"/>
  <c r="E48" i="27"/>
  <c r="E28" i="27"/>
  <c r="E17" i="27"/>
  <c r="E29" i="27"/>
  <c r="E21" i="27"/>
  <c r="C78" i="6"/>
  <c r="D80" i="5"/>
  <c r="E80" i="5" s="1"/>
  <c r="D74" i="17"/>
  <c r="C11" i="11"/>
  <c r="H10" i="13"/>
  <c r="S10" i="13" s="1"/>
  <c r="C7" i="17" s="1"/>
  <c r="C10" i="11"/>
  <c r="H9" i="13"/>
  <c r="S9" i="13" s="1"/>
  <c r="C6" i="17" s="1"/>
  <c r="C77" i="11"/>
  <c r="H76" i="13"/>
  <c r="S76" i="13" s="1"/>
  <c r="C73" i="17" s="1"/>
  <c r="D14" i="17"/>
  <c r="H17" i="13"/>
  <c r="S17" i="13" s="1"/>
  <c r="C14" i="17" s="1"/>
  <c r="C29" i="11"/>
  <c r="H28" i="13"/>
  <c r="S28" i="13" s="1"/>
  <c r="C25" i="17" s="1"/>
  <c r="C15" i="11"/>
  <c r="H14" i="13"/>
  <c r="S14" i="13" s="1"/>
  <c r="C11" i="17" s="1"/>
  <c r="C13" i="11"/>
  <c r="H12" i="13"/>
  <c r="S12" i="13" s="1"/>
  <c r="C9" i="17" s="1"/>
  <c r="C78" i="11"/>
  <c r="H77" i="13"/>
  <c r="S77" i="13" s="1"/>
  <c r="C74" i="17" s="1"/>
  <c r="D20" i="5"/>
  <c r="E20" i="5" s="1"/>
  <c r="C18" i="6"/>
  <c r="G18" i="6" s="1"/>
  <c r="K18" i="6" s="1"/>
  <c r="C18" i="11"/>
  <c r="C10" i="6"/>
  <c r="G10" i="6" s="1"/>
  <c r="K10" i="6" s="1"/>
  <c r="D12" i="5"/>
  <c r="E12" i="5" s="1"/>
  <c r="D6" i="17"/>
  <c r="C11" i="6"/>
  <c r="G11" i="6" s="1"/>
  <c r="K11" i="6" s="1"/>
  <c r="D7" i="17"/>
  <c r="D13" i="5"/>
  <c r="E13" i="5" s="1"/>
  <c r="C15" i="6"/>
  <c r="G15" i="6" s="1"/>
  <c r="K15" i="6" s="1"/>
  <c r="D17" i="5"/>
  <c r="E17" i="5" s="1"/>
  <c r="D11" i="17"/>
  <c r="C77" i="6"/>
  <c r="G77" i="6" s="1"/>
  <c r="K77" i="6" s="1"/>
  <c r="D79" i="5"/>
  <c r="E79" i="5" s="1"/>
  <c r="D73" i="17"/>
  <c r="C29" i="6"/>
  <c r="G29" i="6" s="1"/>
  <c r="K29" i="6" s="1"/>
  <c r="D25" i="17"/>
  <c r="D31" i="5"/>
  <c r="E31" i="5" s="1"/>
  <c r="C13" i="6"/>
  <c r="G13" i="6" s="1"/>
  <c r="K13" i="6" s="1"/>
  <c r="D9" i="17"/>
  <c r="D15" i="5"/>
  <c r="E15" i="5" s="1"/>
  <c r="H24" i="6"/>
  <c r="H101" i="6"/>
  <c r="H96" i="6"/>
  <c r="H22" i="6"/>
  <c r="H68" i="6"/>
  <c r="H103" i="6"/>
  <c r="H35" i="6"/>
  <c r="H55" i="6"/>
  <c r="H60" i="6"/>
  <c r="H46" i="6"/>
  <c r="H57" i="6"/>
  <c r="H33" i="6"/>
  <c r="H44" i="6"/>
  <c r="H16" i="6"/>
  <c r="H51" i="6"/>
  <c r="H26" i="6"/>
  <c r="H83" i="6"/>
  <c r="H81" i="6"/>
  <c r="H58" i="6"/>
  <c r="H76" i="6"/>
  <c r="H14" i="6"/>
  <c r="H23" i="6"/>
  <c r="H91" i="6"/>
  <c r="H34" i="6"/>
  <c r="H36" i="6"/>
  <c r="H92" i="6"/>
  <c r="H80" i="6"/>
  <c r="H31" i="6"/>
  <c r="H41" i="6"/>
  <c r="H66" i="6"/>
  <c r="H70" i="6"/>
  <c r="H75" i="6"/>
  <c r="H87" i="6"/>
  <c r="H63" i="6"/>
  <c r="H71" i="6"/>
  <c r="H9" i="6"/>
  <c r="H20" i="6"/>
  <c r="H17" i="6"/>
  <c r="H21" i="6"/>
  <c r="H25" i="6"/>
  <c r="H19" i="6"/>
  <c r="H49" i="6"/>
  <c r="H56" i="6"/>
  <c r="H43" i="6"/>
  <c r="H32" i="6"/>
  <c r="H48" i="6"/>
  <c r="H38" i="6"/>
  <c r="H40" i="6"/>
  <c r="H72" i="6"/>
  <c r="H53" i="6"/>
  <c r="H73" i="6"/>
  <c r="H39" i="6"/>
  <c r="H67" i="6"/>
  <c r="L97" i="11"/>
  <c r="L54" i="11"/>
  <c r="L79" i="11"/>
  <c r="L83" i="11"/>
  <c r="L32" i="11"/>
  <c r="L40" i="11"/>
  <c r="L88" i="11"/>
  <c r="L81" i="11"/>
  <c r="L105" i="11"/>
  <c r="L48" i="11"/>
  <c r="L53" i="11"/>
  <c r="L7" i="11"/>
  <c r="L101" i="11"/>
  <c r="L89" i="11"/>
  <c r="L93" i="11"/>
  <c r="L58" i="11"/>
  <c r="L73" i="11"/>
  <c r="L25" i="11"/>
  <c r="L38" i="11"/>
  <c r="L99" i="11"/>
  <c r="L49" i="11"/>
  <c r="L96" i="11"/>
  <c r="L56" i="11"/>
  <c r="L17" i="11"/>
  <c r="L47" i="11"/>
  <c r="L91" i="11"/>
  <c r="L31" i="11"/>
  <c r="L22" i="11"/>
  <c r="L45" i="11"/>
  <c r="L33" i="11"/>
  <c r="L68" i="11"/>
  <c r="L55" i="11"/>
  <c r="L82" i="11"/>
  <c r="L80" i="11"/>
  <c r="L44" i="11"/>
  <c r="L24" i="11"/>
  <c r="L60" i="11"/>
  <c r="L70" i="11"/>
  <c r="L85" i="11"/>
  <c r="L34" i="11"/>
  <c r="L102" i="11"/>
  <c r="L67" i="11"/>
  <c r="L71" i="11"/>
  <c r="L57" i="11"/>
  <c r="L35" i="11"/>
  <c r="L19" i="11"/>
  <c r="L50" i="11"/>
  <c r="L104" i="11"/>
  <c r="L66" i="11"/>
  <c r="L75" i="11"/>
  <c r="L62" i="11"/>
  <c r="K7" i="11"/>
  <c r="J98" i="11" l="1"/>
  <c r="K98" i="11" s="1"/>
  <c r="G98" i="11"/>
  <c r="L98" i="11"/>
  <c r="K62" i="6"/>
  <c r="P62" i="6" s="1"/>
  <c r="Q62" i="6" s="1"/>
  <c r="H62" i="6"/>
  <c r="H106" i="6"/>
  <c r="L72" i="11"/>
  <c r="J72" i="11"/>
  <c r="K72" i="11" s="1"/>
  <c r="Q46" i="6"/>
  <c r="R46" i="6"/>
  <c r="Q17" i="6"/>
  <c r="R17" i="6"/>
  <c r="Q56" i="6"/>
  <c r="R56" i="6"/>
  <c r="Q34" i="6"/>
  <c r="R34" i="6"/>
  <c r="Q60" i="6"/>
  <c r="R60" i="6"/>
  <c r="Q71" i="6"/>
  <c r="R71" i="6"/>
  <c r="Q72" i="6"/>
  <c r="R72" i="6"/>
  <c r="Q19" i="6"/>
  <c r="R19" i="6"/>
  <c r="Q49" i="6"/>
  <c r="R49" i="6"/>
  <c r="Q22" i="6"/>
  <c r="R22" i="6"/>
  <c r="Q38" i="6"/>
  <c r="R38" i="6"/>
  <c r="Q96" i="6"/>
  <c r="R96" i="6"/>
  <c r="Q20" i="6"/>
  <c r="R20" i="6"/>
  <c r="Q26" i="6"/>
  <c r="R26" i="6"/>
  <c r="Q9" i="6"/>
  <c r="R9" i="6"/>
  <c r="Q68" i="6"/>
  <c r="R68" i="6"/>
  <c r="Q103" i="6"/>
  <c r="R103" i="6"/>
  <c r="Q14" i="6"/>
  <c r="R14" i="6"/>
  <c r="Q76" i="6"/>
  <c r="R76" i="6"/>
  <c r="Q55" i="6"/>
  <c r="R55" i="6"/>
  <c r="Q63" i="6"/>
  <c r="R63" i="6"/>
  <c r="Q80" i="6"/>
  <c r="R80" i="6"/>
  <c r="Q66" i="6"/>
  <c r="R66" i="6"/>
  <c r="Q87" i="6"/>
  <c r="R87" i="6"/>
  <c r="Q57" i="6"/>
  <c r="R57" i="6"/>
  <c r="Q70" i="6"/>
  <c r="R70" i="6"/>
  <c r="Q75" i="6"/>
  <c r="R75" i="6"/>
  <c r="Q53" i="6"/>
  <c r="R53" i="6"/>
  <c r="Q91" i="6"/>
  <c r="R91" i="6"/>
  <c r="Q33" i="6"/>
  <c r="R33" i="6"/>
  <c r="Q44" i="6"/>
  <c r="R44" i="6"/>
  <c r="Q35" i="6"/>
  <c r="R35" i="6"/>
  <c r="Q106" i="6"/>
  <c r="R106" i="6"/>
  <c r="Q67" i="6"/>
  <c r="R67" i="6"/>
  <c r="Q101" i="6"/>
  <c r="R101" i="6"/>
  <c r="Q81" i="6"/>
  <c r="R81" i="6"/>
  <c r="Q39" i="6"/>
  <c r="R39" i="6"/>
  <c r="Q36" i="6"/>
  <c r="R36" i="6"/>
  <c r="Q92" i="6"/>
  <c r="R92" i="6"/>
  <c r="Q24" i="6"/>
  <c r="R24" i="6"/>
  <c r="Q73" i="6"/>
  <c r="R73" i="6"/>
  <c r="Q21" i="6"/>
  <c r="R21" i="6"/>
  <c r="Q83" i="6"/>
  <c r="R83" i="6"/>
  <c r="Q41" i="6"/>
  <c r="R41" i="6"/>
  <c r="Q23" i="6"/>
  <c r="R23" i="6"/>
  <c r="Q32" i="6"/>
  <c r="R32" i="6"/>
  <c r="Q43" i="6"/>
  <c r="R43" i="6"/>
  <c r="Q58" i="6"/>
  <c r="R58" i="6"/>
  <c r="Q31" i="6"/>
  <c r="R31" i="6"/>
  <c r="Q51" i="6"/>
  <c r="R51" i="6"/>
  <c r="Q16" i="6"/>
  <c r="R16" i="6"/>
  <c r="Q40" i="6"/>
  <c r="R40" i="6"/>
  <c r="Q25" i="6"/>
  <c r="R25" i="6"/>
  <c r="P18" i="6"/>
  <c r="O18" i="6"/>
  <c r="P15" i="6"/>
  <c r="O15" i="6"/>
  <c r="P98" i="6"/>
  <c r="O98" i="6"/>
  <c r="P10" i="6"/>
  <c r="O10" i="6"/>
  <c r="P13" i="6"/>
  <c r="O13" i="6"/>
  <c r="P54" i="6"/>
  <c r="O54" i="6"/>
  <c r="P29" i="6"/>
  <c r="O29" i="6"/>
  <c r="P77" i="6"/>
  <c r="O77" i="6"/>
  <c r="P11" i="6"/>
  <c r="O11" i="6"/>
  <c r="J52" i="11"/>
  <c r="K52" i="11" s="1"/>
  <c r="G52" i="11"/>
  <c r="L52" i="11"/>
  <c r="J30" i="11"/>
  <c r="K30" i="11" s="1"/>
  <c r="G30" i="11"/>
  <c r="H54" i="6"/>
  <c r="J46" i="11"/>
  <c r="K46" i="11" s="1"/>
  <c r="G46" i="11"/>
  <c r="L46" i="11"/>
  <c r="J76" i="11"/>
  <c r="K76" i="11" s="1"/>
  <c r="G76" i="11"/>
  <c r="L9" i="11"/>
  <c r="G9" i="11"/>
  <c r="H98" i="6"/>
  <c r="G42" i="6"/>
  <c r="K42" i="6" s="1"/>
  <c r="G99" i="6"/>
  <c r="K99" i="6" s="1"/>
  <c r="G89" i="6"/>
  <c r="K89" i="6" s="1"/>
  <c r="G93" i="6"/>
  <c r="K93" i="6" s="1"/>
  <c r="G52" i="6"/>
  <c r="K52" i="6" s="1"/>
  <c r="G37" i="6"/>
  <c r="K37" i="6" s="1"/>
  <c r="G85" i="6"/>
  <c r="K85" i="6" s="1"/>
  <c r="G64" i="6"/>
  <c r="K64" i="6" s="1"/>
  <c r="G12" i="6"/>
  <c r="K12" i="6" s="1"/>
  <c r="G90" i="6"/>
  <c r="K90" i="6" s="1"/>
  <c r="G45" i="6"/>
  <c r="K45" i="6" s="1"/>
  <c r="G28" i="6"/>
  <c r="K28" i="6" s="1"/>
  <c r="G95" i="6"/>
  <c r="K95" i="6" s="1"/>
  <c r="G102" i="6"/>
  <c r="K102" i="6" s="1"/>
  <c r="G47" i="6"/>
  <c r="K47" i="6" s="1"/>
  <c r="G94" i="6"/>
  <c r="K94" i="6" s="1"/>
  <c r="G74" i="6"/>
  <c r="K74" i="6" s="1"/>
  <c r="G107" i="6"/>
  <c r="K107" i="6" s="1"/>
  <c r="G50" i="6"/>
  <c r="K50" i="6" s="1"/>
  <c r="G78" i="6"/>
  <c r="K78" i="6" s="1"/>
  <c r="G84" i="6"/>
  <c r="K84" i="6" s="1"/>
  <c r="G69" i="6"/>
  <c r="K69" i="6" s="1"/>
  <c r="G65" i="6"/>
  <c r="K65" i="6" s="1"/>
  <c r="G105" i="6"/>
  <c r="K105" i="6" s="1"/>
  <c r="G104" i="6"/>
  <c r="K104" i="6" s="1"/>
  <c r="G79" i="6"/>
  <c r="K79" i="6" s="1"/>
  <c r="G86" i="6"/>
  <c r="K86" i="6" s="1"/>
  <c r="G82" i="6"/>
  <c r="K82" i="6" s="1"/>
  <c r="G59" i="6"/>
  <c r="K59" i="6" s="1"/>
  <c r="G88" i="6"/>
  <c r="K88" i="6" s="1"/>
  <c r="G27" i="6"/>
  <c r="K27" i="6" s="1"/>
  <c r="G61" i="6"/>
  <c r="K61" i="6" s="1"/>
  <c r="G97" i="6"/>
  <c r="K97" i="6" s="1"/>
  <c r="G100" i="6"/>
  <c r="K100" i="6" s="1"/>
  <c r="J9" i="11"/>
  <c r="K9" i="11" s="1"/>
  <c r="F92" i="11"/>
  <c r="F11" i="11"/>
  <c r="F64" i="11"/>
  <c r="G64" i="11" s="1"/>
  <c r="F43" i="11"/>
  <c r="F42" i="11"/>
  <c r="G42" i="11" s="1"/>
  <c r="F95" i="11"/>
  <c r="G95" i="11" s="1"/>
  <c r="F100" i="11"/>
  <c r="G100" i="11" s="1"/>
  <c r="F78" i="11"/>
  <c r="G78" i="11" s="1"/>
  <c r="F16" i="11"/>
  <c r="G16" i="11" s="1"/>
  <c r="F15" i="11"/>
  <c r="G15" i="11" s="1"/>
  <c r="F74" i="11"/>
  <c r="G74" i="11" s="1"/>
  <c r="F94" i="11"/>
  <c r="G94" i="11" s="1"/>
  <c r="F37" i="11"/>
  <c r="G37" i="11" s="1"/>
  <c r="F59" i="11"/>
  <c r="F51" i="11"/>
  <c r="G51" i="11" s="1"/>
  <c r="F28" i="11"/>
  <c r="G28" i="11" s="1"/>
  <c r="F39" i="11"/>
  <c r="G39" i="11" s="1"/>
  <c r="F18" i="11"/>
  <c r="G18" i="11" s="1"/>
  <c r="F63" i="11"/>
  <c r="G63" i="11" s="1"/>
  <c r="F29" i="11"/>
  <c r="G29" i="11" s="1"/>
  <c r="F36" i="11"/>
  <c r="G36" i="11" s="1"/>
  <c r="F106" i="11"/>
  <c r="F21" i="11"/>
  <c r="G21" i="11" s="1"/>
  <c r="F20" i="11"/>
  <c r="F26" i="11"/>
  <c r="G26" i="11" s="1"/>
  <c r="F65" i="11"/>
  <c r="G65" i="11" s="1"/>
  <c r="F107" i="11"/>
  <c r="G107" i="11" s="1"/>
  <c r="F86" i="11"/>
  <c r="G86" i="11" s="1"/>
  <c r="F90" i="11"/>
  <c r="G90" i="11" s="1"/>
  <c r="F10" i="11"/>
  <c r="G10" i="11" s="1"/>
  <c r="F84" i="11"/>
  <c r="F13" i="11"/>
  <c r="F61" i="11"/>
  <c r="F27" i="11"/>
  <c r="F23" i="11"/>
  <c r="F103" i="11"/>
  <c r="G103" i="11" s="1"/>
  <c r="F87" i="11"/>
  <c r="G87" i="11" s="1"/>
  <c r="F69" i="11"/>
  <c r="G69" i="11" s="1"/>
  <c r="F77" i="11"/>
  <c r="G77" i="11" s="1"/>
  <c r="F41" i="11"/>
  <c r="G41" i="11" s="1"/>
  <c r="H29" i="13"/>
  <c r="S29" i="13" s="1"/>
  <c r="C26" i="17" s="1"/>
  <c r="C30" i="6"/>
  <c r="D26" i="17"/>
  <c r="D32" i="5"/>
  <c r="E32" i="5" s="1"/>
  <c r="L30" i="11"/>
  <c r="D4" i="17"/>
  <c r="C8" i="6"/>
  <c r="H7" i="13"/>
  <c r="S7" i="13" s="1"/>
  <c r="C4" i="17" s="1"/>
  <c r="C8" i="11"/>
  <c r="E78" i="27"/>
  <c r="H10" i="6"/>
  <c r="H18" i="6"/>
  <c r="H11" i="6"/>
  <c r="H15" i="6"/>
  <c r="H77" i="6"/>
  <c r="H13" i="6"/>
  <c r="L14" i="11"/>
  <c r="L12" i="11"/>
  <c r="L76" i="11"/>
  <c r="N40" i="11"/>
  <c r="Q40" i="11" s="1"/>
  <c r="N96" i="11"/>
  <c r="N71" i="11"/>
  <c r="Q71" i="11" s="1"/>
  <c r="N25" i="11"/>
  <c r="Q25" i="11" s="1"/>
  <c r="N91" i="11"/>
  <c r="N33" i="11"/>
  <c r="N60" i="11"/>
  <c r="Q60" i="11" s="1"/>
  <c r="N47" i="11"/>
  <c r="Q47" i="11" s="1"/>
  <c r="N44" i="11"/>
  <c r="Q44" i="11" s="1"/>
  <c r="N7" i="11"/>
  <c r="N49" i="11"/>
  <c r="N34" i="11"/>
  <c r="Q34" i="11" s="1"/>
  <c r="N56" i="11"/>
  <c r="Q56" i="11" s="1"/>
  <c r="N79" i="11"/>
  <c r="Q79" i="11" s="1"/>
  <c r="N82" i="11"/>
  <c r="Q82" i="11" s="1"/>
  <c r="N68" i="11"/>
  <c r="Q68" i="11" s="1"/>
  <c r="N35" i="11"/>
  <c r="N48" i="11"/>
  <c r="Q48" i="11" s="1"/>
  <c r="N54" i="11"/>
  <c r="N102" i="11"/>
  <c r="Q102" i="11" s="1"/>
  <c r="N67" i="11"/>
  <c r="Q67" i="11" s="1"/>
  <c r="N83" i="11"/>
  <c r="N62" i="11"/>
  <c r="N17" i="11"/>
  <c r="N22" i="11"/>
  <c r="N93" i="11"/>
  <c r="N57" i="11"/>
  <c r="N31" i="11"/>
  <c r="N99" i="11"/>
  <c r="N50" i="11"/>
  <c r="Q50" i="11" s="1"/>
  <c r="N85" i="11"/>
  <c r="Q85" i="11" s="1"/>
  <c r="N58" i="11"/>
  <c r="Q58" i="11" s="1"/>
  <c r="N81" i="11"/>
  <c r="Q81" i="11" s="1"/>
  <c r="N32" i="11"/>
  <c r="Q32" i="11" s="1"/>
  <c r="N104" i="11"/>
  <c r="Q104" i="11" s="1"/>
  <c r="N89" i="11"/>
  <c r="Q89" i="11" s="1"/>
  <c r="N88" i="11"/>
  <c r="Q88" i="11" s="1"/>
  <c r="N55" i="11"/>
  <c r="N105" i="11"/>
  <c r="N75" i="11"/>
  <c r="N24" i="11"/>
  <c r="Q24" i="11" s="1"/>
  <c r="N19" i="11"/>
  <c r="N53" i="11"/>
  <c r="Q53" i="11" s="1"/>
  <c r="K12" i="11"/>
  <c r="N97" i="11"/>
  <c r="Q97" i="11" s="1"/>
  <c r="N73" i="11"/>
  <c r="Q73" i="11" s="1"/>
  <c r="N101" i="11"/>
  <c r="Q101" i="11" s="1"/>
  <c r="N66" i="11"/>
  <c r="Q66" i="11" s="1"/>
  <c r="N70" i="11"/>
  <c r="Q70" i="11" s="1"/>
  <c r="K14" i="11"/>
  <c r="N80" i="11"/>
  <c r="Q80" i="11" s="1"/>
  <c r="N45" i="11"/>
  <c r="Q45" i="11" s="1"/>
  <c r="N38" i="11"/>
  <c r="Q38" i="11" s="1"/>
  <c r="O62" i="6" l="1"/>
  <c r="R62" i="6"/>
  <c r="N98" i="11"/>
  <c r="Q98" i="11" s="1"/>
  <c r="G94" i="17" s="1"/>
  <c r="N72" i="11"/>
  <c r="Q72" i="11" s="1"/>
  <c r="G68" i="17" s="1"/>
  <c r="Q13" i="6"/>
  <c r="R13" i="6"/>
  <c r="Q10" i="6"/>
  <c r="R10" i="6"/>
  <c r="Q98" i="6"/>
  <c r="R98" i="6"/>
  <c r="Q15" i="6"/>
  <c r="R15" i="6"/>
  <c r="Q18" i="6"/>
  <c r="R18" i="6"/>
  <c r="Q11" i="6"/>
  <c r="R11" i="6"/>
  <c r="Q77" i="6"/>
  <c r="R77" i="6"/>
  <c r="Q29" i="6"/>
  <c r="R29" i="6"/>
  <c r="Q54" i="6"/>
  <c r="R54" i="6"/>
  <c r="N52" i="11"/>
  <c r="Q52" i="11" s="1"/>
  <c r="G48" i="17" s="1"/>
  <c r="N9" i="11"/>
  <c r="Q9" i="11" s="1"/>
  <c r="G5" i="17" s="1"/>
  <c r="G49" i="17"/>
  <c r="N46" i="11"/>
  <c r="Q46" i="11" s="1"/>
  <c r="G42" i="17" s="1"/>
  <c r="P27" i="6"/>
  <c r="O27" i="6"/>
  <c r="P85" i="6"/>
  <c r="O85" i="6"/>
  <c r="P12" i="6"/>
  <c r="O12" i="6"/>
  <c r="P79" i="6"/>
  <c r="O79" i="6"/>
  <c r="P89" i="6"/>
  <c r="O89" i="6"/>
  <c r="P84" i="6"/>
  <c r="O84" i="6"/>
  <c r="P78" i="6"/>
  <c r="O78" i="6"/>
  <c r="P90" i="6"/>
  <c r="O90" i="6"/>
  <c r="P86" i="6"/>
  <c r="O86" i="6"/>
  <c r="P52" i="6"/>
  <c r="O52" i="6"/>
  <c r="P42" i="6"/>
  <c r="O42" i="6"/>
  <c r="P50" i="6"/>
  <c r="O50" i="6"/>
  <c r="O59" i="6"/>
  <c r="P59" i="6"/>
  <c r="P37" i="6"/>
  <c r="O37" i="6"/>
  <c r="P102" i="6"/>
  <c r="O102" i="6"/>
  <c r="P64" i="6"/>
  <c r="O64" i="6"/>
  <c r="P104" i="6"/>
  <c r="O104" i="6"/>
  <c r="P93" i="6"/>
  <c r="O93" i="6"/>
  <c r="P69" i="6"/>
  <c r="O69" i="6"/>
  <c r="P107" i="6"/>
  <c r="O107" i="6"/>
  <c r="P74" i="6"/>
  <c r="O74" i="6"/>
  <c r="P94" i="6"/>
  <c r="O94" i="6"/>
  <c r="P47" i="6"/>
  <c r="O47" i="6"/>
  <c r="P100" i="6"/>
  <c r="O100" i="6"/>
  <c r="P97" i="6"/>
  <c r="O97" i="6"/>
  <c r="P95" i="6"/>
  <c r="O95" i="6"/>
  <c r="P45" i="6"/>
  <c r="O45" i="6"/>
  <c r="P88" i="6"/>
  <c r="O88" i="6"/>
  <c r="P82" i="6"/>
  <c r="O82" i="6"/>
  <c r="P105" i="6"/>
  <c r="O105" i="6"/>
  <c r="P65" i="6"/>
  <c r="O65" i="6"/>
  <c r="P99" i="6"/>
  <c r="O99" i="6"/>
  <c r="P61" i="6"/>
  <c r="O61" i="6"/>
  <c r="P28" i="6"/>
  <c r="O28" i="6"/>
  <c r="H78" i="6"/>
  <c r="H84" i="6"/>
  <c r="H86" i="6"/>
  <c r="J20" i="11"/>
  <c r="K20" i="11" s="1"/>
  <c r="G20" i="11"/>
  <c r="G98" i="17"/>
  <c r="G34" i="17"/>
  <c r="G41" i="17"/>
  <c r="G84" i="17"/>
  <c r="Q55" i="11"/>
  <c r="G51" i="17" s="1"/>
  <c r="Q75" i="11"/>
  <c r="G71" i="17" s="1"/>
  <c r="G63" i="17"/>
  <c r="G44" i="17"/>
  <c r="Q62" i="11"/>
  <c r="G58" i="17" s="1"/>
  <c r="G69" i="17"/>
  <c r="Q57" i="11"/>
  <c r="G53" i="17" s="1"/>
  <c r="G100" i="17"/>
  <c r="Q35" i="11"/>
  <c r="G31" i="17" s="1"/>
  <c r="L23" i="11"/>
  <c r="G23" i="11"/>
  <c r="Q91" i="11"/>
  <c r="G87" i="17" s="1"/>
  <c r="Q33" i="11"/>
  <c r="G29" i="17" s="1"/>
  <c r="G40" i="17"/>
  <c r="G56" i="17"/>
  <c r="J27" i="11"/>
  <c r="K27" i="11" s="1"/>
  <c r="G27" i="11"/>
  <c r="J59" i="11"/>
  <c r="K59" i="11" s="1"/>
  <c r="G59" i="11"/>
  <c r="Q54" i="11"/>
  <c r="G50" i="17" s="1"/>
  <c r="Q83" i="11"/>
  <c r="G79" i="17" s="1"/>
  <c r="Q7" i="11"/>
  <c r="G3" i="17" s="1"/>
  <c r="K3" i="17" s="1"/>
  <c r="L3" i="17" s="1"/>
  <c r="M3" i="17" s="1"/>
  <c r="L43" i="11"/>
  <c r="G43" i="11"/>
  <c r="J11" i="11"/>
  <c r="K11" i="11" s="1"/>
  <c r="G11" i="11"/>
  <c r="L92" i="11"/>
  <c r="G92" i="11"/>
  <c r="G28" i="17"/>
  <c r="G77" i="17"/>
  <c r="G78" i="17"/>
  <c r="L61" i="11"/>
  <c r="G61" i="11"/>
  <c r="Q17" i="11"/>
  <c r="G13" i="17" s="1"/>
  <c r="Q22" i="11"/>
  <c r="G18" i="17" s="1"/>
  <c r="G43" i="17"/>
  <c r="J106" i="11"/>
  <c r="K106" i="11" s="1"/>
  <c r="G106" i="11"/>
  <c r="G20" i="17"/>
  <c r="G76" i="17"/>
  <c r="G64" i="17"/>
  <c r="G75" i="17"/>
  <c r="J13" i="11"/>
  <c r="K13" i="11" s="1"/>
  <c r="G13" i="11"/>
  <c r="Q96" i="11"/>
  <c r="G92" i="17" s="1"/>
  <c r="Q19" i="11"/>
  <c r="G15" i="17" s="1"/>
  <c r="G93" i="17"/>
  <c r="G36" i="17"/>
  <c r="Q49" i="11"/>
  <c r="G45" i="17" s="1"/>
  <c r="G85" i="17"/>
  <c r="G66" i="17"/>
  <c r="G52" i="17"/>
  <c r="L84" i="11"/>
  <c r="G84" i="11"/>
  <c r="Q93" i="11"/>
  <c r="G89" i="17" s="1"/>
  <c r="Q31" i="11"/>
  <c r="G27" i="17" s="1"/>
  <c r="G97" i="17"/>
  <c r="Q99" i="11"/>
  <c r="G95" i="17" s="1"/>
  <c r="L65" i="11"/>
  <c r="G21" i="17"/>
  <c r="G67" i="17"/>
  <c r="G54" i="17"/>
  <c r="G62" i="17"/>
  <c r="G81" i="17"/>
  <c r="G46" i="17"/>
  <c r="G30" i="17"/>
  <c r="Q105" i="11"/>
  <c r="G101" i="17" s="1"/>
  <c r="H61" i="6"/>
  <c r="H82" i="6"/>
  <c r="H64" i="6"/>
  <c r="H79" i="6"/>
  <c r="H104" i="6"/>
  <c r="H52" i="6"/>
  <c r="H97" i="6"/>
  <c r="H89" i="6"/>
  <c r="H28" i="6"/>
  <c r="H99" i="6"/>
  <c r="H102" i="6"/>
  <c r="H27" i="6"/>
  <c r="H42" i="6"/>
  <c r="H50" i="6"/>
  <c r="H85" i="6"/>
  <c r="H107" i="6"/>
  <c r="H100" i="6"/>
  <c r="H88" i="6"/>
  <c r="H74" i="6"/>
  <c r="H94" i="6"/>
  <c r="H47" i="6"/>
  <c r="H95" i="6"/>
  <c r="H45" i="6"/>
  <c r="H65" i="6"/>
  <c r="H105" i="6"/>
  <c r="H93" i="6"/>
  <c r="H37" i="6"/>
  <c r="G8" i="6"/>
  <c r="K8" i="6" s="1"/>
  <c r="H59" i="6"/>
  <c r="H12" i="6"/>
  <c r="H69" i="6"/>
  <c r="L64" i="11"/>
  <c r="H90" i="6"/>
  <c r="G30" i="6"/>
  <c r="K30" i="6" s="1"/>
  <c r="L27" i="11"/>
  <c r="L103" i="11"/>
  <c r="L13" i="11"/>
  <c r="L78" i="11"/>
  <c r="L28" i="11"/>
  <c r="L95" i="11"/>
  <c r="L20" i="11"/>
  <c r="J41" i="11"/>
  <c r="K41" i="11" s="1"/>
  <c r="J100" i="11"/>
  <c r="K100" i="11" s="1"/>
  <c r="J16" i="11"/>
  <c r="K16" i="11" s="1"/>
  <c r="J103" i="11"/>
  <c r="K103" i="11" s="1"/>
  <c r="J36" i="11"/>
  <c r="K36" i="11" s="1"/>
  <c r="J84" i="11"/>
  <c r="K84" i="11" s="1"/>
  <c r="L59" i="11"/>
  <c r="L26" i="11"/>
  <c r="J26" i="11"/>
  <c r="K26" i="11" s="1"/>
  <c r="J78" i="11"/>
  <c r="K78" i="11" s="1"/>
  <c r="J69" i="11"/>
  <c r="K69" i="11" s="1"/>
  <c r="L36" i="11"/>
  <c r="J23" i="11"/>
  <c r="K23" i="11" s="1"/>
  <c r="L29" i="11"/>
  <c r="J29" i="11"/>
  <c r="K29" i="11" s="1"/>
  <c r="J64" i="11"/>
  <c r="K64" i="11" s="1"/>
  <c r="J86" i="11"/>
  <c r="K86" i="11" s="1"/>
  <c r="J95" i="11"/>
  <c r="K95" i="11" s="1"/>
  <c r="L106" i="11"/>
  <c r="J63" i="11"/>
  <c r="K63" i="11" s="1"/>
  <c r="J10" i="11"/>
  <c r="K10" i="11" s="1"/>
  <c r="J90" i="11"/>
  <c r="K90" i="11" s="1"/>
  <c r="L107" i="11"/>
  <c r="J107" i="11"/>
  <c r="K107" i="11" s="1"/>
  <c r="J43" i="11"/>
  <c r="K43" i="11" s="1"/>
  <c r="L18" i="11"/>
  <c r="J18" i="11"/>
  <c r="K18" i="11" s="1"/>
  <c r="L11" i="11"/>
  <c r="L37" i="11"/>
  <c r="J37" i="11"/>
  <c r="K37" i="11" s="1"/>
  <c r="J65" i="11"/>
  <c r="K65" i="11" s="1"/>
  <c r="J42" i="11"/>
  <c r="K42" i="11" s="1"/>
  <c r="J61" i="11"/>
  <c r="K61" i="11" s="1"/>
  <c r="J39" i="11"/>
  <c r="K39" i="11" s="1"/>
  <c r="J92" i="11"/>
  <c r="K92" i="11" s="1"/>
  <c r="L21" i="11"/>
  <c r="J21" i="11"/>
  <c r="K21" i="11" s="1"/>
  <c r="J87" i="11"/>
  <c r="K87" i="11" s="1"/>
  <c r="N30" i="11"/>
  <c r="J28" i="11"/>
  <c r="K28" i="11" s="1"/>
  <c r="J94" i="11"/>
  <c r="K94" i="11" s="1"/>
  <c r="L74" i="11"/>
  <c r="J74" i="11"/>
  <c r="K74" i="11" s="1"/>
  <c r="J15" i="11"/>
  <c r="K15" i="11" s="1"/>
  <c r="J77" i="11"/>
  <c r="K77" i="11" s="1"/>
  <c r="L42" i="11"/>
  <c r="J51" i="11"/>
  <c r="K51" i="11" s="1"/>
  <c r="L15" i="11"/>
  <c r="L39" i="11"/>
  <c r="L90" i="11"/>
  <c r="L87" i="11"/>
  <c r="L100" i="11"/>
  <c r="L86" i="11"/>
  <c r="L63" i="11"/>
  <c r="L69" i="11"/>
  <c r="L77" i="11"/>
  <c r="L51" i="11"/>
  <c r="L41" i="11"/>
  <c r="L10" i="11"/>
  <c r="L16" i="11"/>
  <c r="F8" i="11"/>
  <c r="G8" i="11" s="1"/>
  <c r="L94" i="11"/>
  <c r="H29" i="6"/>
  <c r="N14" i="11"/>
  <c r="N76" i="11"/>
  <c r="Q76" i="11" s="1"/>
  <c r="N12" i="11"/>
  <c r="Q82" i="6" l="1"/>
  <c r="R82" i="6"/>
  <c r="Q69" i="6"/>
  <c r="R69" i="6"/>
  <c r="Q86" i="6"/>
  <c r="R86" i="6"/>
  <c r="Q88" i="6"/>
  <c r="R88" i="6"/>
  <c r="Q93" i="6"/>
  <c r="R93" i="6"/>
  <c r="Q90" i="6"/>
  <c r="R90" i="6"/>
  <c r="Q45" i="6"/>
  <c r="R45" i="6"/>
  <c r="Q104" i="6"/>
  <c r="R104" i="6"/>
  <c r="Q78" i="6"/>
  <c r="R78" i="6"/>
  <c r="Q95" i="6"/>
  <c r="R95" i="6"/>
  <c r="Q64" i="6"/>
  <c r="R64" i="6"/>
  <c r="Q84" i="6"/>
  <c r="R84" i="6"/>
  <c r="Q97" i="6"/>
  <c r="R97" i="6"/>
  <c r="Q102" i="6"/>
  <c r="R102" i="6"/>
  <c r="Q89" i="6"/>
  <c r="R89" i="6"/>
  <c r="Q28" i="6"/>
  <c r="R28" i="6"/>
  <c r="Q100" i="6"/>
  <c r="R100" i="6"/>
  <c r="Q37" i="6"/>
  <c r="R37" i="6"/>
  <c r="Q79" i="6"/>
  <c r="R79" i="6"/>
  <c r="Q59" i="6"/>
  <c r="R59" i="6"/>
  <c r="Q61" i="6"/>
  <c r="R61" i="6"/>
  <c r="Q47" i="6"/>
  <c r="R47" i="6"/>
  <c r="Q12" i="6"/>
  <c r="R12" i="6"/>
  <c r="Q99" i="6"/>
  <c r="R99" i="6"/>
  <c r="Q94" i="6"/>
  <c r="R94" i="6"/>
  <c r="Q50" i="6"/>
  <c r="R50" i="6"/>
  <c r="Q85" i="6"/>
  <c r="R85" i="6"/>
  <c r="Q65" i="6"/>
  <c r="R65" i="6"/>
  <c r="Q74" i="6"/>
  <c r="R74" i="6"/>
  <c r="Q42" i="6"/>
  <c r="R42" i="6"/>
  <c r="Q27" i="6"/>
  <c r="R27" i="6"/>
  <c r="Q105" i="6"/>
  <c r="R105" i="6"/>
  <c r="Q107" i="6"/>
  <c r="R107" i="6"/>
  <c r="Q52" i="6"/>
  <c r="R52" i="6"/>
  <c r="N65" i="11"/>
  <c r="Q65" i="11" s="1"/>
  <c r="G61" i="17" s="1"/>
  <c r="N92" i="11"/>
  <c r="Q92" i="11" s="1"/>
  <c r="G88" i="17" s="1"/>
  <c r="N84" i="11"/>
  <c r="Q84" i="11" s="1"/>
  <c r="G80" i="17" s="1"/>
  <c r="N43" i="11"/>
  <c r="Q43" i="11" s="1"/>
  <c r="G39" i="17" s="1"/>
  <c r="N106" i="11"/>
  <c r="Q106" i="11" s="1"/>
  <c r="G102" i="17" s="1"/>
  <c r="S57" i="6"/>
  <c r="S63" i="6"/>
  <c r="N11" i="11"/>
  <c r="Q11" i="11" s="1"/>
  <c r="G7" i="17" s="1"/>
  <c r="S17" i="6"/>
  <c r="N27" i="11"/>
  <c r="Q27" i="11" s="1"/>
  <c r="G23" i="17" s="1"/>
  <c r="P30" i="6"/>
  <c r="O30" i="6"/>
  <c r="P8" i="6"/>
  <c r="O8" i="6"/>
  <c r="S67" i="6"/>
  <c r="S75" i="6"/>
  <c r="N13" i="11"/>
  <c r="Q13" i="11" s="1"/>
  <c r="G9" i="17" s="1"/>
  <c r="N61" i="11"/>
  <c r="Q61" i="11" s="1"/>
  <c r="G57" i="17" s="1"/>
  <c r="N20" i="11"/>
  <c r="Q20" i="11" s="1"/>
  <c r="G16" i="17" s="1"/>
  <c r="Q30" i="11"/>
  <c r="G26" i="17" s="1"/>
  <c r="N23" i="11"/>
  <c r="Q23" i="11" s="1"/>
  <c r="G19" i="17" s="1"/>
  <c r="Q12" i="11"/>
  <c r="G8" i="17" s="1"/>
  <c r="G72" i="17"/>
  <c r="Q14" i="11"/>
  <c r="G10" i="17" s="1"/>
  <c r="N18" i="11"/>
  <c r="Q18" i="11" s="1"/>
  <c r="G14" i="17" s="1"/>
  <c r="N59" i="11"/>
  <c r="Q59" i="11" s="1"/>
  <c r="G55" i="17" s="1"/>
  <c r="N37" i="11"/>
  <c r="N29" i="11"/>
  <c r="Q29" i="11" s="1"/>
  <c r="G25" i="17" s="1"/>
  <c r="N74" i="11"/>
  <c r="N21" i="11"/>
  <c r="N95" i="11"/>
  <c r="H30" i="6"/>
  <c r="H8" i="6"/>
  <c r="N64" i="11"/>
  <c r="N78" i="11"/>
  <c r="N107" i="11"/>
  <c r="Q107" i="11" s="1"/>
  <c r="G103" i="17" s="1"/>
  <c r="N28" i="11"/>
  <c r="N77" i="11"/>
  <c r="N69" i="11"/>
  <c r="N26" i="11"/>
  <c r="N90" i="11"/>
  <c r="N16" i="11"/>
  <c r="N10" i="11"/>
  <c r="N36" i="11"/>
  <c r="N63" i="11"/>
  <c r="N103" i="11"/>
  <c r="N42" i="11"/>
  <c r="N100" i="11"/>
  <c r="N51" i="11"/>
  <c r="N94" i="11"/>
  <c r="J8" i="11"/>
  <c r="K8" i="11" s="1"/>
  <c r="N87" i="11"/>
  <c r="L8" i="11"/>
  <c r="N39" i="11"/>
  <c r="N15" i="11"/>
  <c r="N86" i="11"/>
  <c r="N41" i="11"/>
  <c r="T57" i="6" l="1"/>
  <c r="U57" i="6" s="1"/>
  <c r="T17" i="6"/>
  <c r="U17" i="6" s="1"/>
  <c r="T63" i="6"/>
  <c r="U63" i="6" s="1"/>
  <c r="T75" i="6"/>
  <c r="U75" i="6" s="1"/>
  <c r="T67" i="6"/>
  <c r="U67" i="6" s="1"/>
  <c r="Q8" i="6"/>
  <c r="R8" i="6"/>
  <c r="Q30" i="6"/>
  <c r="R30" i="6"/>
  <c r="F19" i="5"/>
  <c r="F13" i="17" s="1"/>
  <c r="F65" i="5"/>
  <c r="F59" i="17" s="1"/>
  <c r="F59" i="5"/>
  <c r="F53" i="17" s="1"/>
  <c r="S25" i="6"/>
  <c r="S14" i="6"/>
  <c r="S38" i="6"/>
  <c r="S60" i="6"/>
  <c r="S103" i="6"/>
  <c r="S9" i="6"/>
  <c r="S70" i="6"/>
  <c r="S98" i="6"/>
  <c r="S91" i="6"/>
  <c r="S31" i="6"/>
  <c r="S49" i="6"/>
  <c r="T49" i="6" s="1"/>
  <c r="U49" i="6" s="1"/>
  <c r="S24" i="6"/>
  <c r="S35" i="6"/>
  <c r="S26" i="6"/>
  <c r="S19" i="6"/>
  <c r="S46" i="6"/>
  <c r="S72" i="6"/>
  <c r="S96" i="6"/>
  <c r="S101" i="6"/>
  <c r="S48" i="6"/>
  <c r="S40" i="6"/>
  <c r="T40" i="6" s="1"/>
  <c r="U40" i="6" s="1"/>
  <c r="S51" i="6"/>
  <c r="S23" i="6"/>
  <c r="S32" i="6"/>
  <c r="S66" i="6"/>
  <c r="S73" i="6"/>
  <c r="T73" i="6" s="1"/>
  <c r="U73" i="6" s="1"/>
  <c r="S80" i="6"/>
  <c r="S71" i="6"/>
  <c r="S68" i="6"/>
  <c r="S58" i="6"/>
  <c r="S22" i="6"/>
  <c r="S87" i="6"/>
  <c r="S20" i="6"/>
  <c r="S21" i="6"/>
  <c r="S62" i="6"/>
  <c r="S41" i="6"/>
  <c r="S53" i="6"/>
  <c r="S43" i="6"/>
  <c r="S34" i="6"/>
  <c r="S76" i="6"/>
  <c r="S44" i="6"/>
  <c r="T44" i="6" s="1"/>
  <c r="U44" i="6" s="1"/>
  <c r="S81" i="6"/>
  <c r="S92" i="6"/>
  <c r="S16" i="6"/>
  <c r="S39" i="6"/>
  <c r="S83" i="6"/>
  <c r="S54" i="6"/>
  <c r="S29" i="6"/>
  <c r="S33" i="6"/>
  <c r="S36" i="6"/>
  <c r="S106" i="6"/>
  <c r="S56" i="6"/>
  <c r="S55" i="6"/>
  <c r="S93" i="6"/>
  <c r="S85" i="6"/>
  <c r="S84" i="6"/>
  <c r="F69" i="5"/>
  <c r="F63" i="17" s="1"/>
  <c r="F77" i="5"/>
  <c r="F71" i="17" s="1"/>
  <c r="Q100" i="11"/>
  <c r="G96" i="17" s="1"/>
  <c r="Q78" i="11"/>
  <c r="G74" i="17" s="1"/>
  <c r="Q64" i="11"/>
  <c r="G60" i="17" s="1"/>
  <c r="Q37" i="11"/>
  <c r="G33" i="17" s="1"/>
  <c r="Q42" i="11"/>
  <c r="G38" i="17" s="1"/>
  <c r="Q51" i="11"/>
  <c r="G47" i="17" s="1"/>
  <c r="Q63" i="11"/>
  <c r="G59" i="17" s="1"/>
  <c r="Q15" i="11"/>
  <c r="G11" i="17" s="1"/>
  <c r="Q36" i="11"/>
  <c r="G32" i="17" s="1"/>
  <c r="Q28" i="11"/>
  <c r="G24" i="17" s="1"/>
  <c r="Q94" i="11"/>
  <c r="G90" i="17" s="1"/>
  <c r="Q10" i="11"/>
  <c r="G6" i="17" s="1"/>
  <c r="Q86" i="11"/>
  <c r="G82" i="17" s="1"/>
  <c r="Q39" i="11"/>
  <c r="G35" i="17" s="1"/>
  <c r="Q87" i="11"/>
  <c r="G83" i="17" s="1"/>
  <c r="Q103" i="11"/>
  <c r="G99" i="17" s="1"/>
  <c r="Q21" i="11"/>
  <c r="G17" i="17" s="1"/>
  <c r="Q69" i="11"/>
  <c r="G65" i="17" s="1"/>
  <c r="Q90" i="11"/>
  <c r="G86" i="17" s="1"/>
  <c r="Q77" i="11"/>
  <c r="G73" i="17" s="1"/>
  <c r="Q95" i="11"/>
  <c r="G91" i="17" s="1"/>
  <c r="Q16" i="11"/>
  <c r="G12" i="17" s="1"/>
  <c r="Q41" i="11"/>
  <c r="G37" i="17" s="1"/>
  <c r="Q26" i="11"/>
  <c r="G22" i="17" s="1"/>
  <c r="Q74" i="11"/>
  <c r="G70" i="17" s="1"/>
  <c r="N8" i="11"/>
  <c r="V75" i="6" l="1"/>
  <c r="E71" i="17" s="1"/>
  <c r="K71" i="17" s="1"/>
  <c r="L71" i="17" s="1"/>
  <c r="M71" i="17" s="1"/>
  <c r="V40" i="6"/>
  <c r="E36" i="17" s="1"/>
  <c r="V49" i="6"/>
  <c r="E45" i="17" s="1"/>
  <c r="V67" i="6"/>
  <c r="E63" i="17" s="1"/>
  <c r="K63" i="17" s="1"/>
  <c r="L63" i="17" s="1"/>
  <c r="M63" i="17" s="1"/>
  <c r="V57" i="6"/>
  <c r="E53" i="17" s="1"/>
  <c r="K53" i="17" s="1"/>
  <c r="L53" i="17" s="1"/>
  <c r="M53" i="17" s="1"/>
  <c r="V73" i="6"/>
  <c r="E69" i="17" s="1"/>
  <c r="V44" i="6"/>
  <c r="E40" i="17" s="1"/>
  <c r="V63" i="6"/>
  <c r="E59" i="17" s="1"/>
  <c r="K59" i="17" s="1"/>
  <c r="L59" i="17" s="1"/>
  <c r="M59" i="17" s="1"/>
  <c r="V17" i="6"/>
  <c r="E13" i="17" s="1"/>
  <c r="K13" i="17" s="1"/>
  <c r="L13" i="17" s="1"/>
  <c r="M13" i="17" s="1"/>
  <c r="T53" i="6"/>
  <c r="U53" i="6" s="1"/>
  <c r="T72" i="6"/>
  <c r="U72" i="6" s="1"/>
  <c r="T36" i="6"/>
  <c r="U36" i="6" s="1"/>
  <c r="T58" i="6"/>
  <c r="U58" i="6" s="1"/>
  <c r="T31" i="6"/>
  <c r="U31" i="6" s="1"/>
  <c r="T76" i="6"/>
  <c r="U76" i="6" s="1"/>
  <c r="T101" i="6"/>
  <c r="U101" i="6" s="1"/>
  <c r="T96" i="6"/>
  <c r="U96" i="6" s="1"/>
  <c r="T46" i="6"/>
  <c r="U46" i="6" s="1"/>
  <c r="T19" i="6"/>
  <c r="U19" i="6" s="1"/>
  <c r="T55" i="6"/>
  <c r="U55" i="6" s="1"/>
  <c r="T34" i="6"/>
  <c r="U34" i="6" s="1"/>
  <c r="T62" i="6"/>
  <c r="U62" i="6" s="1"/>
  <c r="T93" i="6"/>
  <c r="U93" i="6" s="1"/>
  <c r="T24" i="6"/>
  <c r="U24" i="6" s="1"/>
  <c r="T29" i="6"/>
  <c r="U29" i="6" s="1"/>
  <c r="T98" i="6"/>
  <c r="U98" i="6" s="1"/>
  <c r="T84" i="6"/>
  <c r="U84" i="6" s="1"/>
  <c r="T41" i="6"/>
  <c r="U41" i="6" s="1"/>
  <c r="T85" i="6"/>
  <c r="U85" i="6" s="1"/>
  <c r="T26" i="6"/>
  <c r="U26" i="6" s="1"/>
  <c r="T56" i="6"/>
  <c r="U56" i="6" s="1"/>
  <c r="T43" i="6"/>
  <c r="U43" i="6" s="1"/>
  <c r="T106" i="6"/>
  <c r="U106" i="6" s="1"/>
  <c r="T91" i="6"/>
  <c r="U91" i="6" s="1"/>
  <c r="T54" i="6"/>
  <c r="U54" i="6" s="1"/>
  <c r="T22" i="6"/>
  <c r="U22" i="6" s="1"/>
  <c r="T71" i="6"/>
  <c r="U71" i="6" s="1"/>
  <c r="T83" i="6"/>
  <c r="U83" i="6" s="1"/>
  <c r="T39" i="6"/>
  <c r="U39" i="6" s="1"/>
  <c r="T103" i="6"/>
  <c r="U103" i="6" s="1"/>
  <c r="T68" i="6"/>
  <c r="U68" i="6" s="1"/>
  <c r="T16" i="6"/>
  <c r="U16" i="6" s="1"/>
  <c r="T32" i="6"/>
  <c r="U32" i="6" s="1"/>
  <c r="T60" i="6"/>
  <c r="U60" i="6" s="1"/>
  <c r="T21" i="6"/>
  <c r="U21" i="6" s="1"/>
  <c r="T20" i="6"/>
  <c r="U20" i="6" s="1"/>
  <c r="T87" i="6"/>
  <c r="U87" i="6" s="1"/>
  <c r="T23" i="6"/>
  <c r="U23" i="6" s="1"/>
  <c r="T38" i="6"/>
  <c r="U38" i="6" s="1"/>
  <c r="T48" i="6"/>
  <c r="U48" i="6" s="1"/>
  <c r="T35" i="6"/>
  <c r="U35" i="6" s="1"/>
  <c r="T70" i="6"/>
  <c r="U70" i="6" s="1"/>
  <c r="T66" i="6"/>
  <c r="U66" i="6" s="1"/>
  <c r="V66" i="6" s="1"/>
  <c r="T92" i="6"/>
  <c r="U92" i="6" s="1"/>
  <c r="T81" i="6"/>
  <c r="U81" i="6" s="1"/>
  <c r="T51" i="6"/>
  <c r="U51" i="6" s="1"/>
  <c r="T14" i="6"/>
  <c r="U14" i="6" s="1"/>
  <c r="T33" i="6"/>
  <c r="U33" i="6" s="1"/>
  <c r="T80" i="6"/>
  <c r="U80" i="6" s="1"/>
  <c r="T9" i="6"/>
  <c r="U9" i="6" s="1"/>
  <c r="T25" i="6"/>
  <c r="U25" i="6" s="1"/>
  <c r="F51" i="5"/>
  <c r="F45" i="17" s="1"/>
  <c r="F75" i="5"/>
  <c r="F69" i="17" s="1"/>
  <c r="F46" i="5"/>
  <c r="F40" i="17" s="1"/>
  <c r="F42" i="5"/>
  <c r="F36" i="17" s="1"/>
  <c r="F108" i="5"/>
  <c r="F102" i="17" s="1"/>
  <c r="F27" i="5"/>
  <c r="F21" i="17" s="1"/>
  <c r="F24" i="5"/>
  <c r="F18" i="17" s="1"/>
  <c r="F56" i="5"/>
  <c r="F50" i="17" s="1"/>
  <c r="F94" i="5"/>
  <c r="F88" i="17" s="1"/>
  <c r="F83" i="5"/>
  <c r="F77" i="17" s="1"/>
  <c r="F72" i="5"/>
  <c r="F66" i="17" s="1"/>
  <c r="F11" i="5"/>
  <c r="F5" i="17" s="1"/>
  <c r="F25" i="5"/>
  <c r="F19" i="17" s="1"/>
  <c r="F105" i="5"/>
  <c r="F99" i="17" s="1"/>
  <c r="F31" i="5"/>
  <c r="F25" i="17" s="1"/>
  <c r="F82" i="5"/>
  <c r="F76" i="17" s="1"/>
  <c r="F78" i="5"/>
  <c r="F72" i="17" s="1"/>
  <c r="F53" i="5"/>
  <c r="F47" i="17" s="1"/>
  <c r="F62" i="5"/>
  <c r="F56" i="17" s="1"/>
  <c r="F60" i="5"/>
  <c r="F54" i="17" s="1"/>
  <c r="F85" i="5"/>
  <c r="F79" i="17" s="1"/>
  <c r="F41" i="5"/>
  <c r="F35" i="17" s="1"/>
  <c r="F18" i="5"/>
  <c r="F12" i="17" s="1"/>
  <c r="F100" i="5"/>
  <c r="F94" i="17" s="1"/>
  <c r="F68" i="5"/>
  <c r="F62" i="17" s="1"/>
  <c r="F34" i="5"/>
  <c r="F28" i="17" s="1"/>
  <c r="F36" i="5"/>
  <c r="F30" i="17" s="1"/>
  <c r="F40" i="5"/>
  <c r="F34" i="17" s="1"/>
  <c r="F45" i="5"/>
  <c r="F39" i="17" s="1"/>
  <c r="F16" i="5"/>
  <c r="F10" i="17" s="1"/>
  <c r="F55" i="5"/>
  <c r="F49" i="17" s="1"/>
  <c r="F50" i="5"/>
  <c r="F44" i="17" s="1"/>
  <c r="F26" i="5"/>
  <c r="F20" i="17" s="1"/>
  <c r="F73" i="5"/>
  <c r="F67" i="17" s="1"/>
  <c r="F33" i="5"/>
  <c r="F27" i="17" s="1"/>
  <c r="F43" i="5"/>
  <c r="F37" i="17" s="1"/>
  <c r="F64" i="5"/>
  <c r="F58" i="17" s="1"/>
  <c r="F58" i="5"/>
  <c r="F52" i="17" s="1"/>
  <c r="F22" i="5"/>
  <c r="F16" i="17" s="1"/>
  <c r="F70" i="5"/>
  <c r="F64" i="17" s="1"/>
  <c r="F93" i="5"/>
  <c r="F87" i="17" s="1"/>
  <c r="F103" i="5"/>
  <c r="F97" i="17" s="1"/>
  <c r="F57" i="5"/>
  <c r="F51" i="17" s="1"/>
  <c r="F98" i="5"/>
  <c r="F92" i="17" s="1"/>
  <c r="F23" i="5"/>
  <c r="F17" i="17" s="1"/>
  <c r="F74" i="5"/>
  <c r="F68" i="17" s="1"/>
  <c r="F48" i="5"/>
  <c r="F42" i="17" s="1"/>
  <c r="F89" i="5"/>
  <c r="F83" i="17" s="1"/>
  <c r="F21" i="5"/>
  <c r="F15" i="17" s="1"/>
  <c r="F38" i="5"/>
  <c r="F32" i="17" s="1"/>
  <c r="F28" i="5"/>
  <c r="F22" i="17" s="1"/>
  <c r="F35" i="5"/>
  <c r="F29" i="17" s="1"/>
  <c r="F37" i="5"/>
  <c r="F31" i="17" s="1"/>
  <c r="S94" i="6"/>
  <c r="S104" i="6"/>
  <c r="S69" i="6"/>
  <c r="S65" i="6"/>
  <c r="S12" i="6"/>
  <c r="S78" i="6"/>
  <c r="S74" i="6"/>
  <c r="S27" i="6"/>
  <c r="S97" i="6"/>
  <c r="S107" i="6"/>
  <c r="S95" i="6"/>
  <c r="S45" i="6"/>
  <c r="S50" i="6"/>
  <c r="S88" i="6"/>
  <c r="T88" i="6" s="1"/>
  <c r="U88" i="6" s="1"/>
  <c r="S42" i="6"/>
  <c r="S59" i="6"/>
  <c r="S86" i="6"/>
  <c r="S13" i="6"/>
  <c r="S37" i="6"/>
  <c r="T37" i="6" s="1"/>
  <c r="U37" i="6" s="1"/>
  <c r="S61" i="6"/>
  <c r="S47" i="6"/>
  <c r="S100" i="6"/>
  <c r="S102" i="6"/>
  <c r="S28" i="6"/>
  <c r="S89" i="6"/>
  <c r="S82" i="6"/>
  <c r="S77" i="6"/>
  <c r="S52" i="6"/>
  <c r="T52" i="6" s="1"/>
  <c r="U52" i="6" s="1"/>
  <c r="S99" i="6"/>
  <c r="S10" i="6"/>
  <c r="S64" i="6"/>
  <c r="S11" i="6"/>
  <c r="S105" i="6"/>
  <c r="T105" i="6" s="1"/>
  <c r="U105" i="6" s="1"/>
  <c r="S15" i="6"/>
  <c r="S18" i="6"/>
  <c r="S79" i="6"/>
  <c r="S90" i="6"/>
  <c r="F87" i="5"/>
  <c r="F81" i="17" s="1"/>
  <c r="F86" i="5"/>
  <c r="F80" i="17" s="1"/>
  <c r="F95" i="5"/>
  <c r="F89" i="17" s="1"/>
  <c r="Q8" i="11"/>
  <c r="G4" i="17" s="1"/>
  <c r="V37" i="6" l="1"/>
  <c r="E33" i="17" s="1"/>
  <c r="V25" i="6"/>
  <c r="E21" i="17" s="1"/>
  <c r="K21" i="17" s="1"/>
  <c r="L21" i="17" s="1"/>
  <c r="M21" i="17" s="1"/>
  <c r="V68" i="6"/>
  <c r="E64" i="17" s="1"/>
  <c r="K64" i="17" s="1"/>
  <c r="L64" i="17" s="1"/>
  <c r="M64" i="17" s="1"/>
  <c r="V34" i="6"/>
  <c r="E30" i="17" s="1"/>
  <c r="K30" i="17" s="1"/>
  <c r="L30" i="17" s="1"/>
  <c r="M30" i="17" s="1"/>
  <c r="V9" i="6"/>
  <c r="E5" i="17" s="1"/>
  <c r="K5" i="17" s="1"/>
  <c r="L5" i="17" s="1"/>
  <c r="M5" i="17" s="1"/>
  <c r="V55" i="6"/>
  <c r="E51" i="17" s="1"/>
  <c r="K51" i="17" s="1"/>
  <c r="L51" i="17" s="1"/>
  <c r="M51" i="17" s="1"/>
  <c r="V54" i="6"/>
  <c r="E50" i="17" s="1"/>
  <c r="K50" i="17" s="1"/>
  <c r="L50" i="17" s="1"/>
  <c r="M50" i="17" s="1"/>
  <c r="V76" i="6"/>
  <c r="E72" i="17" s="1"/>
  <c r="K72" i="17" s="1"/>
  <c r="L72" i="17" s="1"/>
  <c r="M72" i="17" s="1"/>
  <c r="V29" i="6"/>
  <c r="E25" i="17" s="1"/>
  <c r="K25" i="17" s="1"/>
  <c r="L25" i="17" s="1"/>
  <c r="M25" i="17" s="1"/>
  <c r="V88" i="6"/>
  <c r="E84" i="17" s="1"/>
  <c r="V92" i="6"/>
  <c r="E88" i="17" s="1"/>
  <c r="K88" i="17" s="1"/>
  <c r="L88" i="17" s="1"/>
  <c r="M88" i="17" s="1"/>
  <c r="V91" i="6"/>
  <c r="E87" i="17" s="1"/>
  <c r="K87" i="17" s="1"/>
  <c r="L87" i="17" s="1"/>
  <c r="M87" i="17" s="1"/>
  <c r="V31" i="6"/>
  <c r="E27" i="17" s="1"/>
  <c r="K27" i="17" s="1"/>
  <c r="L27" i="17" s="1"/>
  <c r="M27" i="17" s="1"/>
  <c r="V21" i="6"/>
  <c r="E17" i="17" s="1"/>
  <c r="K17" i="17" s="1"/>
  <c r="L17" i="17" s="1"/>
  <c r="M17" i="17" s="1"/>
  <c r="V60" i="6"/>
  <c r="E56" i="17" s="1"/>
  <c r="K56" i="17" s="1"/>
  <c r="L56" i="17" s="1"/>
  <c r="M56" i="17" s="1"/>
  <c r="V24" i="6"/>
  <c r="E20" i="17" s="1"/>
  <c r="K20" i="17" s="1"/>
  <c r="L20" i="17" s="1"/>
  <c r="M20" i="17" s="1"/>
  <c r="V93" i="6"/>
  <c r="E89" i="17" s="1"/>
  <c r="K89" i="17" s="1"/>
  <c r="L89" i="17" s="1"/>
  <c r="M89" i="17" s="1"/>
  <c r="V62" i="6"/>
  <c r="E58" i="17" s="1"/>
  <c r="K58" i="17" s="1"/>
  <c r="L58" i="17" s="1"/>
  <c r="M58" i="17" s="1"/>
  <c r="V105" i="6"/>
  <c r="E101" i="17" s="1"/>
  <c r="V22" i="6"/>
  <c r="E18" i="17" s="1"/>
  <c r="K18" i="17" s="1"/>
  <c r="L18" i="17" s="1"/>
  <c r="M18" i="17" s="1"/>
  <c r="E62" i="17"/>
  <c r="K62" i="17" s="1"/>
  <c r="L62" i="17" s="1"/>
  <c r="M62" i="17" s="1"/>
  <c r="V106" i="6"/>
  <c r="E102" i="17" s="1"/>
  <c r="K102" i="17" s="1"/>
  <c r="L102" i="17" s="1"/>
  <c r="M102" i="17" s="1"/>
  <c r="V35" i="6"/>
  <c r="E31" i="17" s="1"/>
  <c r="K31" i="17" s="1"/>
  <c r="L31" i="17" s="1"/>
  <c r="M31" i="17" s="1"/>
  <c r="V56" i="6"/>
  <c r="E52" i="17" s="1"/>
  <c r="K52" i="17" s="1"/>
  <c r="L52" i="17" s="1"/>
  <c r="M52" i="17" s="1"/>
  <c r="V72" i="6"/>
  <c r="E68" i="17" s="1"/>
  <c r="K68" i="17" s="1"/>
  <c r="L68" i="17" s="1"/>
  <c r="M68" i="17" s="1"/>
  <c r="V20" i="6"/>
  <c r="E16" i="17" s="1"/>
  <c r="K16" i="17" s="1"/>
  <c r="L16" i="17" s="1"/>
  <c r="M16" i="17" s="1"/>
  <c r="V98" i="6"/>
  <c r="E94" i="17" s="1"/>
  <c r="K94" i="17" s="1"/>
  <c r="L94" i="17" s="1"/>
  <c r="M94" i="17" s="1"/>
  <c r="V46" i="6"/>
  <c r="E42" i="17" s="1"/>
  <c r="K42" i="17" s="1"/>
  <c r="L42" i="17" s="1"/>
  <c r="M42" i="17" s="1"/>
  <c r="V101" i="6"/>
  <c r="E97" i="17" s="1"/>
  <c r="K97" i="17" s="1"/>
  <c r="L97" i="17" s="1"/>
  <c r="M97" i="17" s="1"/>
  <c r="V48" i="6"/>
  <c r="E44" i="17" s="1"/>
  <c r="K44" i="17" s="1"/>
  <c r="L44" i="17" s="1"/>
  <c r="M44" i="17" s="1"/>
  <c r="V26" i="6"/>
  <c r="E22" i="17" s="1"/>
  <c r="K22" i="17" s="1"/>
  <c r="L22" i="17" s="1"/>
  <c r="M22" i="17" s="1"/>
  <c r="V53" i="6"/>
  <c r="E49" i="17" s="1"/>
  <c r="K49" i="17" s="1"/>
  <c r="L49" i="17" s="1"/>
  <c r="M49" i="17" s="1"/>
  <c r="V16" i="6"/>
  <c r="E12" i="17" s="1"/>
  <c r="K12" i="17" s="1"/>
  <c r="L12" i="17" s="1"/>
  <c r="M12" i="17" s="1"/>
  <c r="V103" i="6"/>
  <c r="E99" i="17" s="1"/>
  <c r="K99" i="17" s="1"/>
  <c r="L99" i="17" s="1"/>
  <c r="M99" i="17" s="1"/>
  <c r="V33" i="6"/>
  <c r="E29" i="17" s="1"/>
  <c r="K29" i="17" s="1"/>
  <c r="L29" i="17" s="1"/>
  <c r="M29" i="17" s="1"/>
  <c r="V52" i="6"/>
  <c r="E48" i="17" s="1"/>
  <c r="V32" i="6"/>
  <c r="E28" i="17" s="1"/>
  <c r="K28" i="17" s="1"/>
  <c r="L28" i="17" s="1"/>
  <c r="M28" i="17" s="1"/>
  <c r="V80" i="6"/>
  <c r="E76" i="17" s="1"/>
  <c r="K76" i="17" s="1"/>
  <c r="L76" i="17" s="1"/>
  <c r="M76" i="17" s="1"/>
  <c r="V39" i="6"/>
  <c r="E35" i="17" s="1"/>
  <c r="K35" i="17" s="1"/>
  <c r="L35" i="17" s="1"/>
  <c r="M35" i="17" s="1"/>
  <c r="V14" i="6"/>
  <c r="E10" i="17" s="1"/>
  <c r="K10" i="17" s="1"/>
  <c r="L10" i="17" s="1"/>
  <c r="M10" i="17" s="1"/>
  <c r="V71" i="6"/>
  <c r="E67" i="17" s="1"/>
  <c r="K67" i="17" s="1"/>
  <c r="L67" i="17" s="1"/>
  <c r="M67" i="17" s="1"/>
  <c r="V96" i="6"/>
  <c r="E92" i="17" s="1"/>
  <c r="K92" i="17" s="1"/>
  <c r="L92" i="17" s="1"/>
  <c r="M92" i="17" s="1"/>
  <c r="V58" i="6"/>
  <c r="E54" i="17" s="1"/>
  <c r="K54" i="17" s="1"/>
  <c r="L54" i="17" s="1"/>
  <c r="M54" i="17" s="1"/>
  <c r="V70" i="6"/>
  <c r="E66" i="17" s="1"/>
  <c r="K66" i="17" s="1"/>
  <c r="L66" i="17" s="1"/>
  <c r="M66" i="17" s="1"/>
  <c r="V43" i="6"/>
  <c r="E39" i="17" s="1"/>
  <c r="K39" i="17" s="1"/>
  <c r="L39" i="17" s="1"/>
  <c r="M39" i="17" s="1"/>
  <c r="V36" i="6"/>
  <c r="E32" i="17" s="1"/>
  <c r="K32" i="17" s="1"/>
  <c r="L32" i="17" s="1"/>
  <c r="M32" i="17" s="1"/>
  <c r="V38" i="6"/>
  <c r="E34" i="17" s="1"/>
  <c r="K34" i="17" s="1"/>
  <c r="L34" i="17" s="1"/>
  <c r="M34" i="17" s="1"/>
  <c r="V85" i="6"/>
  <c r="E81" i="17" s="1"/>
  <c r="K81" i="17" s="1"/>
  <c r="L81" i="17" s="1"/>
  <c r="M81" i="17" s="1"/>
  <c r="V23" i="6"/>
  <c r="E19" i="17" s="1"/>
  <c r="K19" i="17" s="1"/>
  <c r="L19" i="17" s="1"/>
  <c r="M19" i="17" s="1"/>
  <c r="V41" i="6"/>
  <c r="E37" i="17" s="1"/>
  <c r="K37" i="17" s="1"/>
  <c r="L37" i="17" s="1"/>
  <c r="M37" i="17" s="1"/>
  <c r="V19" i="6"/>
  <c r="E15" i="17" s="1"/>
  <c r="K15" i="17" s="1"/>
  <c r="L15" i="17" s="1"/>
  <c r="M15" i="17" s="1"/>
  <c r="V83" i="6"/>
  <c r="E79" i="17" s="1"/>
  <c r="K79" i="17" s="1"/>
  <c r="L79" i="17" s="1"/>
  <c r="M79" i="17" s="1"/>
  <c r="V51" i="6"/>
  <c r="E47" i="17" s="1"/>
  <c r="K47" i="17" s="1"/>
  <c r="L47" i="17" s="1"/>
  <c r="M47" i="17" s="1"/>
  <c r="V81" i="6"/>
  <c r="E77" i="17" s="1"/>
  <c r="K77" i="17" s="1"/>
  <c r="L77" i="17" s="1"/>
  <c r="M77" i="17" s="1"/>
  <c r="V87" i="6"/>
  <c r="E83" i="17" s="1"/>
  <c r="K83" i="17" s="1"/>
  <c r="L83" i="17" s="1"/>
  <c r="M83" i="17" s="1"/>
  <c r="V84" i="6"/>
  <c r="E80" i="17" s="1"/>
  <c r="K80" i="17" s="1"/>
  <c r="L80" i="17" s="1"/>
  <c r="M80" i="17" s="1"/>
  <c r="T28" i="6"/>
  <c r="U28" i="6" s="1"/>
  <c r="T100" i="6"/>
  <c r="U100" i="6" s="1"/>
  <c r="T90" i="6"/>
  <c r="U90" i="6" s="1"/>
  <c r="T86" i="6"/>
  <c r="U86" i="6" s="1"/>
  <c r="T65" i="6"/>
  <c r="U65" i="6" s="1"/>
  <c r="T18" i="6"/>
  <c r="U18" i="6" s="1"/>
  <c r="T50" i="6"/>
  <c r="U50" i="6" s="1"/>
  <c r="T15" i="6"/>
  <c r="U15" i="6" s="1"/>
  <c r="T42" i="6"/>
  <c r="U42" i="6" s="1"/>
  <c r="T104" i="6"/>
  <c r="U104" i="6" s="1"/>
  <c r="T47" i="6"/>
  <c r="U47" i="6" s="1"/>
  <c r="T10" i="6"/>
  <c r="U10" i="6" s="1"/>
  <c r="T97" i="6"/>
  <c r="U97" i="6" s="1"/>
  <c r="T12" i="6"/>
  <c r="U12" i="6" s="1"/>
  <c r="T102" i="6"/>
  <c r="U102" i="6" s="1"/>
  <c r="T69" i="6"/>
  <c r="U69" i="6" s="1"/>
  <c r="T61" i="6"/>
  <c r="U61" i="6" s="1"/>
  <c r="T59" i="6"/>
  <c r="U59" i="6" s="1"/>
  <c r="T99" i="6"/>
  <c r="U99" i="6" s="1"/>
  <c r="T27" i="6"/>
  <c r="U27" i="6" s="1"/>
  <c r="T94" i="6"/>
  <c r="U94" i="6" s="1"/>
  <c r="T13" i="6"/>
  <c r="U13" i="6" s="1"/>
  <c r="T79" i="6"/>
  <c r="U79" i="6" s="1"/>
  <c r="T11" i="6"/>
  <c r="U11" i="6" s="1"/>
  <c r="T64" i="6"/>
  <c r="U64" i="6" s="1"/>
  <c r="T77" i="6"/>
  <c r="U77" i="6" s="1"/>
  <c r="T74" i="6"/>
  <c r="U74" i="6" s="1"/>
  <c r="T45" i="6"/>
  <c r="U45" i="6" s="1"/>
  <c r="T95" i="6"/>
  <c r="U95" i="6" s="1"/>
  <c r="T107" i="6"/>
  <c r="U107" i="6" s="1"/>
  <c r="T82" i="6"/>
  <c r="U82" i="6" s="1"/>
  <c r="T89" i="6"/>
  <c r="U89" i="6" s="1"/>
  <c r="T78" i="6"/>
  <c r="U78" i="6" s="1"/>
  <c r="K45" i="17"/>
  <c r="L45" i="17" s="1"/>
  <c r="M45" i="17" s="1"/>
  <c r="K69" i="17"/>
  <c r="L69" i="17" s="1"/>
  <c r="M69" i="17" s="1"/>
  <c r="K36" i="17"/>
  <c r="L36" i="17" s="1"/>
  <c r="M36" i="17" s="1"/>
  <c r="K40" i="17"/>
  <c r="L40" i="17" s="1"/>
  <c r="M40" i="17" s="1"/>
  <c r="F39" i="5"/>
  <c r="F33" i="17" s="1"/>
  <c r="F107" i="5"/>
  <c r="F101" i="17" s="1"/>
  <c r="F90" i="5"/>
  <c r="F84" i="17" s="1"/>
  <c r="F92" i="5"/>
  <c r="F86" i="17" s="1"/>
  <c r="F76" i="5"/>
  <c r="F70" i="17" s="1"/>
  <c r="F80" i="5"/>
  <c r="F74" i="17" s="1"/>
  <c r="F49" i="5"/>
  <c r="F43" i="17" s="1"/>
  <c r="F63" i="5"/>
  <c r="F57" i="17" s="1"/>
  <c r="F17" i="5"/>
  <c r="F11" i="17" s="1"/>
  <c r="F96" i="5"/>
  <c r="F90" i="17" s="1"/>
  <c r="F15" i="5"/>
  <c r="F9" i="17" s="1"/>
  <c r="F88" i="5"/>
  <c r="F82" i="17" s="1"/>
  <c r="F67" i="5"/>
  <c r="F61" i="17" s="1"/>
  <c r="F71" i="5"/>
  <c r="F65" i="17" s="1"/>
  <c r="F61" i="5"/>
  <c r="F55" i="17" s="1"/>
  <c r="F66" i="5"/>
  <c r="F60" i="17" s="1"/>
  <c r="F44" i="5"/>
  <c r="F38" i="17" s="1"/>
  <c r="F12" i="5"/>
  <c r="F6" i="17" s="1"/>
  <c r="F104" i="5"/>
  <c r="F98" i="17" s="1"/>
  <c r="F102" i="5"/>
  <c r="F96" i="17" s="1"/>
  <c r="F81" i="5"/>
  <c r="F75" i="17" s="1"/>
  <c r="F20" i="5"/>
  <c r="F14" i="17" s="1"/>
  <c r="F106" i="5"/>
  <c r="F100" i="17" s="1"/>
  <c r="F13" i="5"/>
  <c r="F7" i="17" s="1"/>
  <c r="F29" i="5"/>
  <c r="F23" i="17" s="1"/>
  <c r="F14" i="5"/>
  <c r="F8" i="17" s="1"/>
  <c r="F101" i="5"/>
  <c r="F95" i="17" s="1"/>
  <c r="F52" i="5"/>
  <c r="F46" i="17" s="1"/>
  <c r="F47" i="5"/>
  <c r="F41" i="17" s="1"/>
  <c r="F79" i="5"/>
  <c r="F73" i="17" s="1"/>
  <c r="F84" i="5"/>
  <c r="F78" i="17" s="1"/>
  <c r="F97" i="5"/>
  <c r="F91" i="17" s="1"/>
  <c r="F91" i="5"/>
  <c r="F85" i="17" s="1"/>
  <c r="F109" i="5"/>
  <c r="F103" i="17" s="1"/>
  <c r="F30" i="5"/>
  <c r="F24" i="17" s="1"/>
  <c r="F99" i="5"/>
  <c r="F93" i="17" s="1"/>
  <c r="F54" i="5"/>
  <c r="F48" i="17" s="1"/>
  <c r="S30" i="6"/>
  <c r="S8" i="6"/>
  <c r="V78" i="6" l="1"/>
  <c r="E74" i="17" s="1"/>
  <c r="K74" i="17" s="1"/>
  <c r="L74" i="17" s="1"/>
  <c r="M74" i="17" s="1"/>
  <c r="V97" i="6"/>
  <c r="E93" i="17" s="1"/>
  <c r="K93" i="17" s="1"/>
  <c r="L93" i="17" s="1"/>
  <c r="M93" i="17" s="1"/>
  <c r="V89" i="6"/>
  <c r="E85" i="17" s="1"/>
  <c r="K85" i="17" s="1"/>
  <c r="L85" i="17" s="1"/>
  <c r="M85" i="17" s="1"/>
  <c r="V10" i="6"/>
  <c r="E6" i="17" s="1"/>
  <c r="K6" i="17" s="1"/>
  <c r="L6" i="17" s="1"/>
  <c r="M6" i="17" s="1"/>
  <c r="V82" i="6"/>
  <c r="E78" i="17" s="1"/>
  <c r="K78" i="17" s="1"/>
  <c r="L78" i="17" s="1"/>
  <c r="M78" i="17" s="1"/>
  <c r="V47" i="6"/>
  <c r="E43" i="17" s="1"/>
  <c r="K43" i="17" s="1"/>
  <c r="L43" i="17" s="1"/>
  <c r="M43" i="17" s="1"/>
  <c r="V74" i="6"/>
  <c r="E70" i="17" s="1"/>
  <c r="K70" i="17" s="1"/>
  <c r="L70" i="17" s="1"/>
  <c r="M70" i="17" s="1"/>
  <c r="V77" i="6"/>
  <c r="E73" i="17" s="1"/>
  <c r="K73" i="17" s="1"/>
  <c r="L73" i="17" s="1"/>
  <c r="M73" i="17" s="1"/>
  <c r="V64" i="6"/>
  <c r="E60" i="17" s="1"/>
  <c r="K60" i="17" s="1"/>
  <c r="L60" i="17" s="1"/>
  <c r="M60" i="17" s="1"/>
  <c r="V65" i="6"/>
  <c r="E61" i="17" s="1"/>
  <c r="K61" i="17" s="1"/>
  <c r="L61" i="17" s="1"/>
  <c r="M61" i="17" s="1"/>
  <c r="V79" i="6"/>
  <c r="E75" i="17" s="1"/>
  <c r="K75" i="17" s="1"/>
  <c r="L75" i="17" s="1"/>
  <c r="M75" i="17" s="1"/>
  <c r="V13" i="6"/>
  <c r="E9" i="17" s="1"/>
  <c r="K9" i="17" s="1"/>
  <c r="L9" i="17" s="1"/>
  <c r="M9" i="17" s="1"/>
  <c r="V100" i="6"/>
  <c r="E96" i="17" s="1"/>
  <c r="K96" i="17" s="1"/>
  <c r="L96" i="17" s="1"/>
  <c r="M96" i="17" s="1"/>
  <c r="V107" i="6"/>
  <c r="E103" i="17" s="1"/>
  <c r="K103" i="17" s="1"/>
  <c r="L103" i="17" s="1"/>
  <c r="M103" i="17" s="1"/>
  <c r="V104" i="6"/>
  <c r="E100" i="17" s="1"/>
  <c r="K100" i="17" s="1"/>
  <c r="L100" i="17" s="1"/>
  <c r="M100" i="17" s="1"/>
  <c r="V42" i="6"/>
  <c r="E38" i="17" s="1"/>
  <c r="K38" i="17" s="1"/>
  <c r="L38" i="17" s="1"/>
  <c r="M38" i="17" s="1"/>
  <c r="V15" i="6"/>
  <c r="E11" i="17" s="1"/>
  <c r="K11" i="17" s="1"/>
  <c r="L11" i="17" s="1"/>
  <c r="M11" i="17" s="1"/>
  <c r="V90" i="6"/>
  <c r="E86" i="17" s="1"/>
  <c r="K86" i="17" s="1"/>
  <c r="L86" i="17" s="1"/>
  <c r="M86" i="17" s="1"/>
  <c r="V94" i="6"/>
  <c r="E90" i="17" s="1"/>
  <c r="K90" i="17" s="1"/>
  <c r="L90" i="17" s="1"/>
  <c r="M90" i="17" s="1"/>
  <c r="V45" i="6"/>
  <c r="E41" i="17" s="1"/>
  <c r="K41" i="17" s="1"/>
  <c r="L41" i="17" s="1"/>
  <c r="M41" i="17" s="1"/>
  <c r="V99" i="6"/>
  <c r="E95" i="17" s="1"/>
  <c r="K95" i="17" s="1"/>
  <c r="L95" i="17" s="1"/>
  <c r="M95" i="17" s="1"/>
  <c r="V69" i="6"/>
  <c r="E65" i="17" s="1"/>
  <c r="K65" i="17" s="1"/>
  <c r="L65" i="17" s="1"/>
  <c r="M65" i="17" s="1"/>
  <c r="V50" i="6"/>
  <c r="E46" i="17" s="1"/>
  <c r="K46" i="17" s="1"/>
  <c r="L46" i="17" s="1"/>
  <c r="M46" i="17" s="1"/>
  <c r="V18" i="6"/>
  <c r="E14" i="17" s="1"/>
  <c r="K14" i="17" s="1"/>
  <c r="L14" i="17" s="1"/>
  <c r="M14" i="17" s="1"/>
  <c r="V11" i="6"/>
  <c r="E7" i="17" s="1"/>
  <c r="K7" i="17" s="1"/>
  <c r="L7" i="17" s="1"/>
  <c r="M7" i="17" s="1"/>
  <c r="V86" i="6"/>
  <c r="E82" i="17" s="1"/>
  <c r="K82" i="17" s="1"/>
  <c r="L82" i="17" s="1"/>
  <c r="M82" i="17" s="1"/>
  <c r="V28" i="6"/>
  <c r="E24" i="17" s="1"/>
  <c r="K24" i="17" s="1"/>
  <c r="L24" i="17" s="1"/>
  <c r="M24" i="17" s="1"/>
  <c r="V27" i="6"/>
  <c r="E23" i="17" s="1"/>
  <c r="K23" i="17" s="1"/>
  <c r="L23" i="17" s="1"/>
  <c r="M23" i="17" s="1"/>
  <c r="V59" i="6"/>
  <c r="E55" i="17" s="1"/>
  <c r="K55" i="17" s="1"/>
  <c r="L55" i="17" s="1"/>
  <c r="M55" i="17" s="1"/>
  <c r="V102" i="6"/>
  <c r="E98" i="17" s="1"/>
  <c r="K98" i="17" s="1"/>
  <c r="L98" i="17" s="1"/>
  <c r="M98" i="17" s="1"/>
  <c r="V12" i="6"/>
  <c r="E8" i="17" s="1"/>
  <c r="K8" i="17" s="1"/>
  <c r="L8" i="17" s="1"/>
  <c r="M8" i="17" s="1"/>
  <c r="V95" i="6"/>
  <c r="E91" i="17" s="1"/>
  <c r="K91" i="17" s="1"/>
  <c r="L91" i="17" s="1"/>
  <c r="M91" i="17" s="1"/>
  <c r="V61" i="6"/>
  <c r="E57" i="17" s="1"/>
  <c r="K57" i="17" s="1"/>
  <c r="L57" i="17" s="1"/>
  <c r="M57" i="17" s="1"/>
  <c r="T8" i="6"/>
  <c r="U8" i="6" s="1"/>
  <c r="T30" i="6"/>
  <c r="U30" i="6" s="1"/>
  <c r="K84" i="17"/>
  <c r="L84" i="17" s="1"/>
  <c r="M84" i="17" s="1"/>
  <c r="K33" i="17"/>
  <c r="L33" i="17" s="1"/>
  <c r="M33" i="17" s="1"/>
  <c r="K101" i="17"/>
  <c r="L101" i="17" s="1"/>
  <c r="M101" i="17" s="1"/>
  <c r="K48" i="17"/>
  <c r="L48" i="17" s="1"/>
  <c r="M48" i="17" s="1"/>
  <c r="F10" i="5"/>
  <c r="F4" i="17" s="1"/>
  <c r="F32" i="5"/>
  <c r="F26" i="17" s="1"/>
  <c r="V8" i="6" l="1"/>
  <c r="E4" i="17" s="1"/>
  <c r="K4" i="17" s="1"/>
  <c r="L4" i="17" s="1"/>
  <c r="M4" i="17" s="1"/>
  <c r="V30" i="6"/>
  <c r="E26" i="17" s="1"/>
  <c r="K26" i="17" s="1"/>
  <c r="L26" i="17" s="1"/>
  <c r="M26" i="17" s="1"/>
  <c r="N99" i="14" l="1"/>
  <c r="N109" i="14"/>
  <c r="N116" i="14"/>
  <c r="N96" i="14"/>
  <c r="N100" i="14"/>
  <c r="N117" i="14"/>
  <c r="N114" i="14"/>
  <c r="N107" i="14"/>
  <c r="N111" i="14"/>
  <c r="N118" i="14"/>
  <c r="N101" i="14"/>
  <c r="N102" i="14"/>
  <c r="N103" i="14"/>
  <c r="N113" i="14"/>
  <c r="N97" i="14"/>
  <c r="N91" i="14"/>
  <c r="N94" i="14"/>
  <c r="N98" i="14"/>
  <c r="N93" i="14"/>
  <c r="N104" i="14"/>
  <c r="N105" i="14"/>
  <c r="N95" i="14"/>
  <c r="N108" i="14"/>
  <c r="N112" i="14"/>
  <c r="N92" i="14"/>
  <c r="N110" i="14"/>
  <c r="N106" i="14"/>
  <c r="N115" i="14"/>
  <c r="N192" i="14"/>
  <c r="N126" i="14"/>
  <c r="N196" i="14"/>
  <c r="N140" i="14"/>
  <c r="N199" i="14"/>
  <c r="N183" i="14"/>
  <c r="N194" i="14"/>
  <c r="N156" i="14"/>
  <c r="N166" i="14"/>
  <c r="N145" i="14"/>
  <c r="N195" i="14"/>
  <c r="N120" i="14"/>
  <c r="N213" i="14"/>
  <c r="N175" i="14"/>
  <c r="N130" i="14"/>
  <c r="N128" i="14"/>
  <c r="N162" i="14"/>
  <c r="N158" i="14"/>
  <c r="N214" i="14"/>
  <c r="N180" i="14"/>
  <c r="N157" i="14"/>
  <c r="N135" i="14"/>
  <c r="N139" i="14"/>
  <c r="N141" i="14"/>
  <c r="N134" i="14"/>
  <c r="N189" i="14"/>
  <c r="N174" i="14"/>
  <c r="N151" i="14"/>
  <c r="N122" i="14"/>
  <c r="N123" i="14"/>
  <c r="N206" i="14"/>
  <c r="N165" i="14"/>
  <c r="N124" i="14"/>
  <c r="N187" i="14"/>
  <c r="N179" i="14"/>
  <c r="N153" i="14"/>
  <c r="N178" i="14"/>
  <c r="N204" i="14"/>
  <c r="N191" i="14"/>
  <c r="N210" i="14"/>
  <c r="N136" i="14"/>
  <c r="N212" i="14"/>
  <c r="N169" i="14"/>
  <c r="N150" i="14"/>
  <c r="N182" i="14"/>
  <c r="N119" i="14"/>
  <c r="N133" i="14"/>
  <c r="N211" i="14"/>
  <c r="N181" i="14"/>
  <c r="N197" i="14"/>
  <c r="N168" i="14"/>
  <c r="N173" i="14"/>
  <c r="N159" i="14"/>
  <c r="N164" i="14"/>
  <c r="N160" i="14"/>
  <c r="N188" i="14"/>
  <c r="N152" i="14"/>
  <c r="N172" i="14"/>
  <c r="N193" i="14"/>
  <c r="N198" i="14"/>
  <c r="N202" i="14"/>
  <c r="N125" i="14"/>
  <c r="N129" i="14"/>
  <c r="N149" i="14"/>
  <c r="N190" i="14"/>
  <c r="N147" i="14"/>
  <c r="N184" i="14"/>
  <c r="N201" i="14"/>
  <c r="N132" i="14"/>
  <c r="N209" i="14"/>
  <c r="N148" i="14"/>
  <c r="N203" i="14"/>
  <c r="N200" i="14"/>
  <c r="N167" i="14"/>
  <c r="N144" i="14"/>
  <c r="N121" i="14"/>
  <c r="N138" i="14"/>
  <c r="N207" i="14"/>
  <c r="N185" i="14"/>
  <c r="N208" i="14"/>
  <c r="N170" i="14"/>
  <c r="N131" i="14"/>
  <c r="N217" i="14"/>
  <c r="N171" i="14"/>
  <c r="N155" i="14"/>
  <c r="N127" i="14"/>
  <c r="N161" i="14"/>
  <c r="N137" i="14"/>
  <c r="N216" i="14"/>
  <c r="N146" i="14"/>
  <c r="N142" i="14"/>
  <c r="N163" i="14"/>
  <c r="N186" i="14"/>
  <c r="N176" i="14"/>
  <c r="N215" i="14"/>
  <c r="N177" i="14"/>
  <c r="N143" i="14"/>
  <c r="N154" i="14"/>
  <c r="N205" i="14"/>
  <c r="K220" i="14"/>
  <c r="L220" i="14" s="1"/>
  <c r="K222" i="14"/>
  <c r="L222" i="14" s="1"/>
  <c r="G90" i="10" l="1"/>
  <c r="C90" i="10" s="1"/>
  <c r="N220" i="14"/>
  <c r="N222" i="14"/>
  <c r="G91" i="10"/>
  <c r="D91" i="10" l="1"/>
  <c r="C91" i="10"/>
  <c r="D90" i="10"/>
  <c r="D92" i="10" l="1"/>
  <c r="C92" i="10"/>
</calcChain>
</file>

<file path=xl/metadata.xml><?xml version="1.0" encoding="utf-8"?>
<metadata xmlns="http://schemas.openxmlformats.org/spreadsheetml/2006/main" xmlns:xda="http://schemas.microsoft.com/office/spreadsheetml/2017/dynamicarray">
  <metadataTypes count="1">
    <metadataType name="XLDAPR" minSupportedVersion="120000" copy="1" pasteAll="1" pasteValues="1" merge="1" splitFirst="1" rowColShift="1" clearFormats="1" clearComments="1" assign="1" coerce="1" cellMeta="1"/>
  </metadataTypes>
  <futureMetadata name="XLDAPR" count="1">
    <bk>
      <extLst>
        <ext uri="{bdbb8cdc-fa1e-496e-a857-3c3f30c029c3}">
          <xda:dynamicArrayProperties fDynamic="1" fCollapsed="0"/>
        </ext>
      </extLst>
    </bk>
  </futureMetadata>
  <cellMetadata count="1">
    <bk>
      <rc t="1" v="0"/>
    </bk>
  </cellMetadata>
</metadata>
</file>

<file path=xl/sharedStrings.xml><?xml version="1.0" encoding="utf-8"?>
<sst xmlns="http://schemas.openxmlformats.org/spreadsheetml/2006/main" count="1200" uniqueCount="742">
  <si>
    <t>Purpose:</t>
  </si>
  <si>
    <t>To determine the benefits and total resources (benefits + earned income) available to clients at different earned income levels.
To determine the change in benefits and total resources as clients move from one earned income level to another.</t>
  </si>
  <si>
    <t>***IMPORTANT DISCLAIMER****</t>
  </si>
  <si>
    <t>Instructions</t>
  </si>
  <si>
    <t>Data Sources</t>
  </si>
  <si>
    <t>Child Care Subsidy rates sourced from: https://fusion.dss.virginia.gov/Portals/[ccecd]/T224%20Child%20Care%20Subsidy%20Program%20Manual_Effective%20October%201_2024.pdf?ver=2024-09-30-111401-117
Rates updated 7/1/2025 https://www.childcare.virginia.gov/home/showpublisheddocument/62604/638864381965000000</t>
  </si>
  <si>
    <t>Federal EITC Calculated using https://apps.irs.gov/app/eitc/results/, state EITC calculated using  https://www.tax.virginia.gov/low-income-individuals-credit</t>
  </si>
  <si>
    <t xml:space="preserve">SLCSP sourced from https://enroll.marketplace.virginia.gov/hix/preeligibility#/ </t>
  </si>
  <si>
    <t>Housing Choice Voucher rates sources from10/10/2024 https://www.huduser.gov/portal/datasets/il/il2024/2024summary.odn., https://www.huduser.gov/portal/datasets/fmr/fmrs/FY2024_code/select_Geography.odn, https://www.virginiahousing.com/partners/housing-choice-vouchers/payment-standards
Income limits: https://www.huduser.gov/portal/datasets/il.html#data_2025
FY 2024 Fair Market Rent Documentation System: https://www.huduser.gov/portal/datasets/fmr/fmrs/FY2025_code/2025state_summary.odn
HCV calculations sourced from https://www.hud.gov/sites/dfiles/PIH/documents/HCV_Guidebook_Calculating_Rent_and_HAP_Payments.pdf</t>
  </si>
  <si>
    <t>Medicaid income limits sourced from: https://fusion.dss.virginia.gov/Portals/%5Bbp%5D/Medicaid/Resources%20and%20Job%20Aids/01.20.24%20Income%20Limits.docx
Medicaid benefit determined by averaging state and federal spending per Medicaid enrollee, sourced from Federa Reserve Bank of Atlanta at https://emar-data-tools.shinyapps.io/prd_dashboard/</t>
  </si>
  <si>
    <t xml:space="preserve">Public Housing Occupancy Guidebook: https://www.hud.gov/sites/documents/doc_10760.pdf </t>
  </si>
  <si>
    <t>EITC information https://www.govinfo.gov/content/pkg/USCODE-2011-title26/html/USCODE-2011-title26-subtitleA-chap1-subchapA-partIV-subpartC-sec32.htm &amp; https://taxpolicycenter.org/statistics/eitc-parameters</t>
  </si>
  <si>
    <t>VA EITC https://www.tax.virginia.gov/low-income-individuals-credit</t>
  </si>
  <si>
    <t>SNAP https://www.dss.virginia.gov/files/division/bp/fs/manual/Entire_Manual_01272025.pdf</t>
  </si>
  <si>
    <t>SNAP Maximum Benefit https://www.dss.virginia.gov/benefit/snap.cgi</t>
  </si>
  <si>
    <t>https://www.fns.usda.gov/snap/eligibility/elderly-disabled-special-rules</t>
  </si>
  <si>
    <t>WIC eligibility https://www.vdh.virginia.gov/wic-participants/new-participants//https://www.vdh.virginia.gov/wic/wic-policy-and-procedures-manual/</t>
  </si>
  <si>
    <t>WIC Benefits https://emar-data-tools.shinyapps.io/prd_dashboard/</t>
  </si>
  <si>
    <t>WIC Program Income Chart: www.vdh.virginia.gov/content/uploads/sites/42/2025/06/CRT-05.2.6-Final-2025-1.pdf</t>
  </si>
  <si>
    <t>Medicaid MAGI Limits https://www.dmas.virginia.gov/media/xjbd4txr/m04-1-1-25.pdf</t>
  </si>
  <si>
    <t>IRS tax rates sourced from https://www.irs.gov/filing/federal-income-tax-rates-and-brackets</t>
  </si>
  <si>
    <t>SSI calculations sourced from https://www.ssa.gov/pubs/EN-17-008.pdf</t>
  </si>
  <si>
    <t>SSI basic monthly payment : https://www.ssa.gov/pubs/EN-05-11002.pdf</t>
  </si>
  <si>
    <t>Location Information</t>
  </si>
  <si>
    <t>Locality</t>
  </si>
  <si>
    <t>Select from drop-down menu</t>
  </si>
  <si>
    <t>Alexandria City</t>
  </si>
  <si>
    <t>Benefits Information</t>
  </si>
  <si>
    <t>Select benefit programs</t>
  </si>
  <si>
    <t>If housing choice voucher is selected-how many bedrooms is the unit? Select from drop down list</t>
  </si>
  <si>
    <r>
      <t xml:space="preserve">If choosing TANF benefits-select only one TANF program 
</t>
    </r>
    <r>
      <rPr>
        <b/>
        <sz val="12"/>
        <color theme="1"/>
        <rFont val="Calibri"/>
        <family val="2"/>
      </rPr>
      <t>(TANF or TANF/VIEW</t>
    </r>
    <r>
      <rPr>
        <sz val="12"/>
        <color theme="1"/>
        <rFont val="Calibri"/>
        <family val="2"/>
      </rPr>
      <t>)</t>
    </r>
  </si>
  <si>
    <t>Household Information</t>
  </si>
  <si>
    <t>Calculator valid for households up to 8 people</t>
  </si>
  <si>
    <t>Number of adults in household</t>
  </si>
  <si>
    <t>Include adults and children receiving SSI/SSDI</t>
  </si>
  <si>
    <t>Number of children ( 18 years old or less) in household</t>
  </si>
  <si>
    <t>Total number of people in household
(Calculated)</t>
  </si>
  <si>
    <t>Age(s) of Household Members</t>
  </si>
  <si>
    <t>Age(s) of adult(s):</t>
  </si>
  <si>
    <t>Enter age (in years)</t>
  </si>
  <si>
    <t>Adult 1</t>
  </si>
  <si>
    <t>Adult 2</t>
  </si>
  <si>
    <t>Adult 3</t>
  </si>
  <si>
    <t>Adult 4</t>
  </si>
  <si>
    <t>Adult 5</t>
  </si>
  <si>
    <t>Adult 6</t>
  </si>
  <si>
    <t>Adult 7</t>
  </si>
  <si>
    <t>Adult 8</t>
  </si>
  <si>
    <t>Age categories of children
(The number of children listed here should match the number of children in the household above.)</t>
  </si>
  <si>
    <r>
      <rPr>
        <b/>
        <u/>
        <sz val="10"/>
        <color rgb="FFC00000"/>
        <rFont val="Calibri"/>
        <family val="2"/>
      </rPr>
      <t>For children: Select:</t>
    </r>
    <r>
      <rPr>
        <b/>
        <sz val="10"/>
        <color rgb="FFC00000"/>
        <rFont val="Calibri"/>
        <family val="2"/>
      </rPr>
      <t xml:space="preserve">
 "Infant" </t>
    </r>
    <r>
      <rPr>
        <b/>
        <sz val="10"/>
        <rFont val="Calibri"/>
        <family val="2"/>
      </rPr>
      <t>if child is 16 months or younger</t>
    </r>
    <r>
      <rPr>
        <b/>
        <sz val="10"/>
        <color rgb="FFC00000"/>
        <rFont val="Calibri"/>
        <family val="2"/>
      </rPr>
      <t xml:space="preserve">
"Toddler"</t>
    </r>
    <r>
      <rPr>
        <b/>
        <sz val="10"/>
        <rFont val="Calibri"/>
        <family val="2"/>
      </rPr>
      <t xml:space="preserve"> if child is 16-23 months</t>
    </r>
    <r>
      <rPr>
        <b/>
        <sz val="10"/>
        <color rgb="FFC00000"/>
        <rFont val="Calibri"/>
        <family val="2"/>
      </rPr>
      <t xml:space="preserve">
"Two year old" </t>
    </r>
    <r>
      <rPr>
        <b/>
        <sz val="10"/>
        <rFont val="Calibri"/>
        <family val="2"/>
      </rPr>
      <t>if child is 24-36 months</t>
    </r>
    <r>
      <rPr>
        <b/>
        <sz val="10"/>
        <color rgb="FFC00000"/>
        <rFont val="Calibri"/>
        <family val="2"/>
      </rPr>
      <t xml:space="preserve">
"Prechool"</t>
    </r>
    <r>
      <rPr>
        <b/>
        <sz val="10"/>
        <rFont val="Calibri"/>
        <family val="2"/>
      </rPr>
      <t xml:space="preserve"> if child is 36 months to 5 years and not yet in kindergarten</t>
    </r>
    <r>
      <rPr>
        <b/>
        <sz val="10"/>
        <color rgb="FFC00000"/>
        <rFont val="Calibri"/>
        <family val="2"/>
      </rPr>
      <t xml:space="preserve">
"School age" </t>
    </r>
    <r>
      <rPr>
        <b/>
        <sz val="10"/>
        <rFont val="Calibri"/>
        <family val="2"/>
      </rPr>
      <t>if child is eligible to attend public school but less than 13 years</t>
    </r>
    <r>
      <rPr>
        <b/>
        <sz val="10"/>
        <color rgb="FFC00000"/>
        <rFont val="Calibri"/>
        <family val="2"/>
      </rPr>
      <t xml:space="preserve">
"13 years or older" </t>
    </r>
    <r>
      <rPr>
        <b/>
        <sz val="10"/>
        <rFont val="Calibri"/>
        <family val="2"/>
      </rPr>
      <t>if child is 13 years or older and capable of caring from themselves</t>
    </r>
    <r>
      <rPr>
        <b/>
        <sz val="10"/>
        <color rgb="FFC00000"/>
        <rFont val="Calibri"/>
        <family val="2"/>
      </rPr>
      <t xml:space="preserve">
"13-18" years old </t>
    </r>
    <r>
      <rPr>
        <b/>
        <sz val="10"/>
        <rFont val="Calibri"/>
        <family val="2"/>
      </rPr>
      <t>if child is physically or mentally incapable of caring for themselves</t>
    </r>
  </si>
  <si>
    <t>Child 1</t>
  </si>
  <si>
    <t>School age</t>
  </si>
  <si>
    <t>Child 2</t>
  </si>
  <si>
    <t>Child 3</t>
  </si>
  <si>
    <t>Child 4</t>
  </si>
  <si>
    <t>Child 5</t>
  </si>
  <si>
    <t>Child 6</t>
  </si>
  <si>
    <t>Child 7</t>
  </si>
  <si>
    <t>Disability information</t>
  </si>
  <si>
    <t>Disability Status-Adult</t>
  </si>
  <si>
    <t>If Disabled: Adult</t>
  </si>
  <si>
    <t>Are any adults disabled? (Yes or No)
(Select from drop down list)</t>
  </si>
  <si>
    <t>No</t>
  </si>
  <si>
    <t>How many non-elderly (under 61 years) adults are disabled who are NOT the family head or spouse?</t>
  </si>
  <si>
    <t>How many disabled adults are the family head or spouse?</t>
  </si>
  <si>
    <t>How many are disabled AND elderly (62 years or older)</t>
  </si>
  <si>
    <t>Is there SSI income (Adult )? 
(Yes or No)</t>
  </si>
  <si>
    <t>Yes</t>
  </si>
  <si>
    <t>How many adults in the household receive SSI?</t>
  </si>
  <si>
    <t>How much is the total adult  SSI income?</t>
  </si>
  <si>
    <t>Disability Status-Child(ren)</t>
  </si>
  <si>
    <t>Are any children disabled? (Yes or No)</t>
  </si>
  <si>
    <t>How many children are disabled?</t>
  </si>
  <si>
    <t>Is there SSI income (Child)? 
(Yes or No)</t>
  </si>
  <si>
    <t>How many children receive SSI/SSDI?</t>
  </si>
  <si>
    <t>How much is the total Child SSI/SSDI</t>
  </si>
  <si>
    <t>Housing information</t>
  </si>
  <si>
    <t>What are the qualified shelter expenses?</t>
  </si>
  <si>
    <t>Rent, mortgage, loan payments, or other continuing charges that lead to ownership of a home, mobile home, or other type of shelter</t>
  </si>
  <si>
    <t>Tax filing status</t>
  </si>
  <si>
    <t>Must be selected for EITC</t>
  </si>
  <si>
    <t>Will there be a change in income levels? (Yes or No)</t>
  </si>
  <si>
    <r>
      <rPr>
        <b/>
        <u/>
        <sz val="11"/>
        <color rgb="FFC00000"/>
        <rFont val="Calibri"/>
        <family val="2"/>
      </rPr>
      <t>Curren</t>
    </r>
    <r>
      <rPr>
        <b/>
        <sz val="11"/>
        <color rgb="FFC00000"/>
        <rFont val="Calibri"/>
        <family val="2"/>
      </rPr>
      <t xml:space="preserve">t all </t>
    </r>
    <r>
      <rPr>
        <b/>
        <i/>
        <sz val="11"/>
        <color rgb="FFC00000"/>
        <rFont val="Calibri"/>
        <family val="2"/>
      </rPr>
      <t>adult</t>
    </r>
    <r>
      <rPr>
        <b/>
        <sz val="11"/>
        <color rgb="FFC00000"/>
        <rFont val="Calibri"/>
        <family val="2"/>
      </rPr>
      <t xml:space="preserve"> </t>
    </r>
    <r>
      <rPr>
        <b/>
        <u/>
        <sz val="11"/>
        <color rgb="FFC00000"/>
        <rFont val="Calibri"/>
        <family val="2"/>
      </rPr>
      <t>MONTHLY</t>
    </r>
    <r>
      <rPr>
        <b/>
        <sz val="11"/>
        <color rgb="FFC00000"/>
        <rFont val="Calibri"/>
        <family val="2"/>
      </rPr>
      <t xml:space="preserve"> </t>
    </r>
    <r>
      <rPr>
        <b/>
        <i/>
        <sz val="11"/>
        <color rgb="FFC00000"/>
        <rFont val="Calibri"/>
        <family val="2"/>
      </rPr>
      <t>earned</t>
    </r>
    <r>
      <rPr>
        <b/>
        <sz val="11"/>
        <color rgb="FFC00000"/>
        <rFont val="Calibri"/>
        <family val="2"/>
      </rPr>
      <t xml:space="preserve"> income 
(round up to the closest dollar amount)</t>
    </r>
  </si>
  <si>
    <t>Do not count the income of the elderly, disabled adult or spouse</t>
  </si>
  <si>
    <r>
      <rPr>
        <b/>
        <u/>
        <sz val="11"/>
        <color rgb="FFC00000"/>
        <rFont val="Calibri"/>
        <family val="2"/>
      </rPr>
      <t>NEW</t>
    </r>
    <r>
      <rPr>
        <b/>
        <sz val="11"/>
        <color rgb="FFC00000"/>
        <rFont val="Calibri"/>
        <family val="2"/>
      </rPr>
      <t xml:space="preserve"> all </t>
    </r>
    <r>
      <rPr>
        <b/>
        <i/>
        <sz val="11"/>
        <color rgb="FFC00000"/>
        <rFont val="Calibri"/>
        <family val="2"/>
      </rPr>
      <t>adult</t>
    </r>
    <r>
      <rPr>
        <b/>
        <sz val="11"/>
        <color rgb="FFC00000"/>
        <rFont val="Calibri"/>
        <family val="2"/>
      </rPr>
      <t xml:space="preserve"> </t>
    </r>
    <r>
      <rPr>
        <b/>
        <u/>
        <sz val="11"/>
        <color rgb="FFC00000"/>
        <rFont val="Calibri"/>
        <family val="2"/>
      </rPr>
      <t>MONTHLY</t>
    </r>
    <r>
      <rPr>
        <b/>
        <sz val="11"/>
        <color rgb="FFC00000"/>
        <rFont val="Calibri"/>
        <family val="2"/>
      </rPr>
      <t xml:space="preserve"> </t>
    </r>
    <r>
      <rPr>
        <b/>
        <i/>
        <sz val="11"/>
        <color rgb="FFC00000"/>
        <rFont val="Calibri"/>
        <family val="2"/>
      </rPr>
      <t>earned</t>
    </r>
    <r>
      <rPr>
        <b/>
        <sz val="11"/>
        <color rgb="FFC00000"/>
        <rFont val="Calibri"/>
        <family val="2"/>
      </rPr>
      <t xml:space="preserve"> income 
(round up to the closest dollar amount)</t>
    </r>
  </si>
  <si>
    <t>Is there Social Security Income?</t>
  </si>
  <si>
    <t>Monthly Selected benefits</t>
  </si>
  <si>
    <r>
      <rPr>
        <b/>
        <u/>
        <sz val="12"/>
        <color theme="1"/>
        <rFont val="Calibri"/>
        <family val="2"/>
      </rPr>
      <t>Overall Resources</t>
    </r>
    <r>
      <rPr>
        <b/>
        <sz val="12"/>
        <color theme="1"/>
        <rFont val="Calibri"/>
        <family val="2"/>
      </rPr>
      <t xml:space="preserve">
Selected benefits + income</t>
    </r>
  </si>
  <si>
    <t>Child care subsidy</t>
  </si>
  <si>
    <t>EITC + VA EITC
(EITC/12)</t>
  </si>
  <si>
    <t>Health Insurance Marketplace Subsidies</t>
  </si>
  <si>
    <t>HCV Program</t>
  </si>
  <si>
    <t>Medicaid</t>
  </si>
  <si>
    <t>SNAP</t>
  </si>
  <si>
    <t>TANF</t>
  </si>
  <si>
    <t>TANF/VIEW</t>
  </si>
  <si>
    <t>WIC</t>
  </si>
  <si>
    <t>Household income</t>
  </si>
  <si>
    <t>Current monthly income</t>
  </si>
  <si>
    <t>Total Household income</t>
  </si>
  <si>
    <t>New monthly income</t>
  </si>
  <si>
    <t>New total household income</t>
  </si>
  <si>
    <t>Difference</t>
  </si>
  <si>
    <t>Starting income</t>
  </si>
  <si>
    <t>Annual earned income</t>
  </si>
  <si>
    <t>Monthly earned income</t>
  </si>
  <si>
    <t>Annual Child Care Subsidy</t>
  </si>
  <si>
    <t>Annual SNAP Benefit</t>
  </si>
  <si>
    <t>Annual WIC Benefit</t>
  </si>
  <si>
    <t>Housing Choice Voucher</t>
  </si>
  <si>
    <t>Fed + State EITC</t>
  </si>
  <si>
    <t>Value of Medicaid</t>
  </si>
  <si>
    <t>Value of Marketplace Subsidies</t>
  </si>
  <si>
    <t>Total benefits</t>
  </si>
  <si>
    <t>Total benefits + income</t>
  </si>
  <si>
    <t>Localities</t>
  </si>
  <si>
    <t>Benefit programs</t>
  </si>
  <si>
    <t>Ages</t>
  </si>
  <si>
    <t>Filing status</t>
  </si>
  <si>
    <t>Accomack</t>
  </si>
  <si>
    <t>Infant</t>
  </si>
  <si>
    <t>Albemarle</t>
  </si>
  <si>
    <t>EITC (Fed &amp; State)</t>
  </si>
  <si>
    <t>Toddler</t>
  </si>
  <si>
    <t>Health insurance marketplace subsidies</t>
  </si>
  <si>
    <t>Two year old</t>
  </si>
  <si>
    <t>Alleghany</t>
  </si>
  <si>
    <t>Housing choice voucher</t>
  </si>
  <si>
    <t>Preschool</t>
  </si>
  <si>
    <t>Amelia</t>
  </si>
  <si>
    <t>Amherst</t>
  </si>
  <si>
    <t>13 years or older</t>
  </si>
  <si>
    <t>Not valid for &gt;10 household members</t>
  </si>
  <si>
    <t>Appomattox</t>
  </si>
  <si>
    <t>13-18 years old</t>
  </si>
  <si>
    <t>Arlington County</t>
  </si>
  <si>
    <t># of bedrooms</t>
  </si>
  <si>
    <t>Augusta</t>
  </si>
  <si>
    <t>Addition/Subtraction</t>
  </si>
  <si>
    <t>Bath</t>
  </si>
  <si>
    <t>Addition</t>
  </si>
  <si>
    <t>Bedford</t>
  </si>
  <si>
    <t>Yes/No</t>
  </si>
  <si>
    <t>Subtraction</t>
  </si>
  <si>
    <t>Bland</t>
  </si>
  <si>
    <t xml:space="preserve">Botetourt </t>
  </si>
  <si>
    <t>Bristol</t>
  </si>
  <si>
    <t>Yes/No ABD</t>
  </si>
  <si>
    <t>Brunswick</t>
  </si>
  <si>
    <t>Yes-aged</t>
  </si>
  <si>
    <t xml:space="preserve">Buchanan </t>
  </si>
  <si>
    <t>Yes-blind</t>
  </si>
  <si>
    <t xml:space="preserve">Buckingham </t>
  </si>
  <si>
    <t>Incomes</t>
  </si>
  <si>
    <t>Yes-disabled</t>
  </si>
  <si>
    <t>Buena Vista</t>
  </si>
  <si>
    <t>Campbell</t>
  </si>
  <si>
    <t xml:space="preserve">Caroline </t>
  </si>
  <si>
    <t>Carroll</t>
  </si>
  <si>
    <t>Charles City</t>
  </si>
  <si>
    <t>Charlotte</t>
  </si>
  <si>
    <t>Charlottesville City</t>
  </si>
  <si>
    <t>Chesapeake</t>
  </si>
  <si>
    <t>Chesterfield</t>
  </si>
  <si>
    <t>Clarke</t>
  </si>
  <si>
    <t>Colonial Heights</t>
  </si>
  <si>
    <t>Covington</t>
  </si>
  <si>
    <t>Craig</t>
  </si>
  <si>
    <t>Culpeper</t>
  </si>
  <si>
    <t>Cumberland</t>
  </si>
  <si>
    <t>Danville city</t>
  </si>
  <si>
    <t>Dickenson County</t>
  </si>
  <si>
    <t>Dinwiddie</t>
  </si>
  <si>
    <t>Emporia</t>
  </si>
  <si>
    <t>Essex</t>
  </si>
  <si>
    <t>Fairfax City</t>
  </si>
  <si>
    <t>Fairfax county</t>
  </si>
  <si>
    <t>Falls Church City</t>
  </si>
  <si>
    <t>Fauquier</t>
  </si>
  <si>
    <t>Floyd</t>
  </si>
  <si>
    <t>Fluvanna</t>
  </si>
  <si>
    <t>Franklin city</t>
  </si>
  <si>
    <t>Franklin County</t>
  </si>
  <si>
    <t>Frederick</t>
  </si>
  <si>
    <t>Fredericksburg City</t>
  </si>
  <si>
    <t>Galax City</t>
  </si>
  <si>
    <t>Giles</t>
  </si>
  <si>
    <t>Gloucester</t>
  </si>
  <si>
    <t>Goochland</t>
  </si>
  <si>
    <t>Grayson</t>
  </si>
  <si>
    <t>Greene</t>
  </si>
  <si>
    <t>Greensville</t>
  </si>
  <si>
    <t>Halifax</t>
  </si>
  <si>
    <t>Hampton City</t>
  </si>
  <si>
    <t>Hanover</t>
  </si>
  <si>
    <t>Harrisonburg City</t>
  </si>
  <si>
    <t>Henrico</t>
  </si>
  <si>
    <t>Henry</t>
  </si>
  <si>
    <t>Highland</t>
  </si>
  <si>
    <t>Hopewell City</t>
  </si>
  <si>
    <t>Isle Of Wight</t>
  </si>
  <si>
    <t>James City</t>
  </si>
  <si>
    <t>King And Queen</t>
  </si>
  <si>
    <t>King George</t>
  </si>
  <si>
    <t>King William</t>
  </si>
  <si>
    <t>Lancaster</t>
  </si>
  <si>
    <t>Lee</t>
  </si>
  <si>
    <t>Lexington City</t>
  </si>
  <si>
    <t>Loudoun</t>
  </si>
  <si>
    <t>Louisa</t>
  </si>
  <si>
    <t>Lunenburg</t>
  </si>
  <si>
    <t>Lynchburg City</t>
  </si>
  <si>
    <t>Madison</t>
  </si>
  <si>
    <t>Manassas City</t>
  </si>
  <si>
    <t>Manassas Park City</t>
  </si>
  <si>
    <t>Martinsville City</t>
  </si>
  <si>
    <t>Mathews</t>
  </si>
  <si>
    <t>Mecklenburg</t>
  </si>
  <si>
    <t>Middlesex</t>
  </si>
  <si>
    <t>Montgomery</t>
  </si>
  <si>
    <t>Nelson</t>
  </si>
  <si>
    <t>New Kent</t>
  </si>
  <si>
    <t>Newport News</t>
  </si>
  <si>
    <t>Norfolk</t>
  </si>
  <si>
    <t>Northampton</t>
  </si>
  <si>
    <t>Northumberland</t>
  </si>
  <si>
    <t>Norton City</t>
  </si>
  <si>
    <t>Nottoway</t>
  </si>
  <si>
    <t>Orange</t>
  </si>
  <si>
    <t>Page</t>
  </si>
  <si>
    <t>Patrick</t>
  </si>
  <si>
    <t>Petersburg City</t>
  </si>
  <si>
    <t>Pittsylvania</t>
  </si>
  <si>
    <t>Poquoson City</t>
  </si>
  <si>
    <t>Portsmouth City</t>
  </si>
  <si>
    <t>Powhatan</t>
  </si>
  <si>
    <t>Prince Edward</t>
  </si>
  <si>
    <t>Prince George</t>
  </si>
  <si>
    <t>Prince William</t>
  </si>
  <si>
    <t>Pulaski</t>
  </si>
  <si>
    <t>Radford City</t>
  </si>
  <si>
    <t>Rappahannock</t>
  </si>
  <si>
    <t>Richmond City</t>
  </si>
  <si>
    <t>Richmond County</t>
  </si>
  <si>
    <t>Roanoke City</t>
  </si>
  <si>
    <t>Roanoke County</t>
  </si>
  <si>
    <t>Rockbridge-Buena Vista-Lexington</t>
  </si>
  <si>
    <t>Rockingham</t>
  </si>
  <si>
    <t>Russell</t>
  </si>
  <si>
    <t>Salem City</t>
  </si>
  <si>
    <t>Scott</t>
  </si>
  <si>
    <t>Shenandoah</t>
  </si>
  <si>
    <t>Smyth</t>
  </si>
  <si>
    <t>Southampton</t>
  </si>
  <si>
    <t>Spotsylvania</t>
  </si>
  <si>
    <t>Stafford</t>
  </si>
  <si>
    <t>Staunton City</t>
  </si>
  <si>
    <t>Suffolk</t>
  </si>
  <si>
    <t>Surry</t>
  </si>
  <si>
    <t>Sussex</t>
  </si>
  <si>
    <t>Tazewell</t>
  </si>
  <si>
    <t>Virginia Beach City</t>
  </si>
  <si>
    <t>Warren</t>
  </si>
  <si>
    <t>Washington</t>
  </si>
  <si>
    <t>Waynesboro City</t>
  </si>
  <si>
    <t>Westmoreland</t>
  </si>
  <si>
    <t>Williamsburg City</t>
  </si>
  <si>
    <t>Winchester City</t>
  </si>
  <si>
    <t>Wise</t>
  </si>
  <si>
    <t>Wythe</t>
  </si>
  <si>
    <t>York</t>
  </si>
  <si>
    <t>Location</t>
  </si>
  <si>
    <t>Number in Household</t>
  </si>
  <si>
    <t>Number of eligible children infant</t>
  </si>
  <si>
    <t>Number of eligible children toddler</t>
  </si>
  <si>
    <t>Number of eligible children 2yo</t>
  </si>
  <si>
    <t>Number of eligible children preschool</t>
  </si>
  <si>
    <t>Number of eligible children school age</t>
  </si>
  <si>
    <t>Number of eligible children 13-18 unable to care for themselves</t>
  </si>
  <si>
    <t>Annual FPL for Household number</t>
  </si>
  <si>
    <t>Monthly FPL for Household number</t>
  </si>
  <si>
    <t>Monthly income limit for group and HH size</t>
  </si>
  <si>
    <t>85% SMI</t>
  </si>
  <si>
    <t>Child care disregards SSI, TANF, child earnings if &lt;18</t>
  </si>
  <si>
    <t>Level I Care Center Max Reimbursement Rate (Full Day)</t>
  </si>
  <si>
    <t>Social Security income</t>
  </si>
  <si>
    <t>Total Income</t>
  </si>
  <si>
    <t>% FPL</t>
  </si>
  <si>
    <t>Eligible by 85% SMI &amp; have a child &lt;5 yrs &amp; not started kindergarten?</t>
  </si>
  <si>
    <t>Eligible by %FPL for locality?</t>
  </si>
  <si>
    <t>Eligible by in TANF</t>
  </si>
  <si>
    <t>Monthly copayment per child</t>
  </si>
  <si>
    <t>Monthly Infant</t>
  </si>
  <si>
    <t>Monthly Toddler</t>
  </si>
  <si>
    <t>Monthly 2yo</t>
  </si>
  <si>
    <t>Monthly Pre-school</t>
  </si>
  <si>
    <t>Monthly School Age and/or 13-18 unable to care for self</t>
  </si>
  <si>
    <t>Monthly copay based on number of children</t>
  </si>
  <si>
    <t>5% of monthly income</t>
  </si>
  <si>
    <t>Copay for 3 children</t>
  </si>
  <si>
    <t>Family copay if not &gt;5% of income &amp; capped at 3 children</t>
  </si>
  <si>
    <t>Monthly Child care benefit
(Reimbursement - copay)
If eligible via SMI, TANF, or FPL and Child Care subsidy is selected</t>
  </si>
  <si>
    <t>Exact income-start</t>
  </si>
  <si>
    <t>Exact income-new</t>
  </si>
  <si>
    <t>Number of adults</t>
  </si>
  <si>
    <t>Number of children</t>
  </si>
  <si>
    <t>Bottom</t>
  </si>
  <si>
    <t>Top</t>
  </si>
  <si>
    <t>Initial %</t>
  </si>
  <si>
    <t>Final %</t>
  </si>
  <si>
    <t>FPL 2024 Monthly</t>
  </si>
  <si>
    <t>&lt;150 FPL</t>
  </si>
  <si>
    <t>(from PRD Technical Manual)</t>
  </si>
  <si>
    <t>150-199</t>
  </si>
  <si>
    <t xml:space="preserve">Formula used= Individual contribution to premium = </t>
  </si>
  <si>
    <t>200-249</t>
  </si>
  <si>
    <t>MAGI * (𝐼𝑛𝑖𝑡𝑖𝑎𝑙 % +(𝑀𝐴𝐺𝐼−𝑀𝑎𝑥 𝑝𝑟𝑒𝑣𝑖𝑜𝑢𝑠 𝐹𝑃𝐿 𝑡𝑜𝑝)∗</t>
  </si>
  <si>
    <t>250-299</t>
  </si>
  <si>
    <t>300-399</t>
  </si>
  <si>
    <t>NOTE: Medicaid calculated from 2024 FPL percentage-subsidies calculated from 2024 FPL for 2025 plan year.</t>
  </si>
  <si>
    <t>400+</t>
  </si>
  <si>
    <t>2024 figures used (from https://www.healthcare.gov/glossary/federal-poverty-level-fpl/)</t>
  </si>
  <si>
    <t>Adult only until children no longer eligible for MA</t>
  </si>
  <si>
    <t>Monthly</t>
  </si>
  <si>
    <t>Income %-initial</t>
  </si>
  <si>
    <t>Income%-final</t>
  </si>
  <si>
    <t>Bottom income of FPL range</t>
  </si>
  <si>
    <t>Top income of FPL range</t>
  </si>
  <si>
    <t>Top income previous FPL</t>
  </si>
  <si>
    <t xml:space="preserve">Calculated individual contribution to premium </t>
  </si>
  <si>
    <t>SLCSP (from https://enroll.marketplace.virginia.gov/hix/preeligibility#/)</t>
  </si>
  <si>
    <t>Value of Marketplace subsidy (0 if eligible for Medicaid)</t>
  </si>
  <si>
    <t>Figures from https://enroll.marketplace.virginia.gov to check</t>
  </si>
  <si>
    <t>Annual Value Marketplace subsidies</t>
  </si>
  <si>
    <t>Adult eligible for MA?</t>
  </si>
  <si>
    <t>Children eligible MA?</t>
  </si>
  <si>
    <t>Number of dependents</t>
  </si>
  <si>
    <t># of bedroom(s) adult</t>
  </si>
  <si>
    <t># of bedroom(s)dependents</t>
  </si>
  <si>
    <t>Number of bedrooms needed (from entry on TIP tab)</t>
  </si>
  <si>
    <t>Elderly (62+) family member?</t>
  </si>
  <si>
    <t>Disabled family member-adult dependant non-elderly?</t>
  </si>
  <si>
    <t>Disabled family member-head of family or spouse?</t>
  </si>
  <si>
    <t>Disabled family member-child? (Use the $480 annual deduction)</t>
  </si>
  <si>
    <t>80% area median income/month</t>
  </si>
  <si>
    <t>Counts social security, SSI/SSDI as income</t>
  </si>
  <si>
    <t>To be eligible for public housing, an applicant must have an annual income that is no more than the “Lower Income” limit for the jurisdiction.xviii The Lower Income limit is set at 80 percent of area median income, adjusted for smaller and larger families.
Public Housing Occupancy Guidebook</t>
  </si>
  <si>
    <t>Does not count income of children &lt;18 years</t>
  </si>
  <si>
    <t>Annual earned income (gross)</t>
  </si>
  <si>
    <t>Monthly earned income (gross)</t>
  </si>
  <si>
    <t>TANF benefit or
VIEW Benefit</t>
  </si>
  <si>
    <t>Social security income</t>
  </si>
  <si>
    <t>SSI/SSDI income</t>
  </si>
  <si>
    <t xml:space="preserve">Gross Non-excluded Income </t>
  </si>
  <si>
    <t>Eligible?
(&lt;80% Median income)</t>
  </si>
  <si>
    <t>Dependent deduction
$480/dependent annual
($40/dependent per month)
# children + adult disabled dependent</t>
  </si>
  <si>
    <t>Elderly or disabled deduction
$400/family annual-one per family
($33.33/month)</t>
  </si>
  <si>
    <t>Adjusted Monthly Income
(Gross income - deductions)</t>
  </si>
  <si>
    <t>30% of Adjusted Monthly Income</t>
  </si>
  <si>
    <t xml:space="preserve">10% of Monthly Gross Income
</t>
  </si>
  <si>
    <t>Virginia Minimum Rent</t>
  </si>
  <si>
    <t>Largest amount to use for TTP</t>
  </si>
  <si>
    <t>Fair Market Rate</t>
  </si>
  <si>
    <t>Housing Choice Voucher Payment Standard</t>
  </si>
  <si>
    <t>Voucher amount
(Payment standard - TTP)
If housing choice voucher selected</t>
  </si>
  <si>
    <t>``</t>
  </si>
  <si>
    <t>How many adults &gt;65 years</t>
  </si>
  <si>
    <t>How many adults gtting SSI</t>
  </si>
  <si>
    <t>Number of disabled children getting SSI</t>
  </si>
  <si>
    <t>5% FPL</t>
  </si>
  <si>
    <t>LIFC Eligible Limit</t>
  </si>
  <si>
    <t>MAGI Adult 133% FPL</t>
  </si>
  <si>
    <t>143% FPL</t>
  </si>
  <si>
    <t>200% FPL</t>
  </si>
  <si>
    <t>Child Medicaid spending</t>
  </si>
  <si>
    <t>Aged, blind, disabled (ABD) are considered Medically Needy
If get SSI and meet Medicaid resource requirements</t>
  </si>
  <si>
    <t>MAGI not used for SSI recipients, ABDs</t>
  </si>
  <si>
    <t>Number of Mdicaid eligible adults</t>
  </si>
  <si>
    <t>Number of adults NOT getting SSI</t>
  </si>
  <si>
    <t>Gross HH income</t>
  </si>
  <si>
    <t>HH Income
Monthly earned income - 5% FPL disregard</t>
  </si>
  <si>
    <t>Adult - Eligible? (LIFC)
Must have children in household</t>
  </si>
  <si>
    <t>MAGI adult 138% FPL
(133% + 5%)
(No children)</t>
  </si>
  <si>
    <t>Receiving SSI (categorically needy)</t>
  </si>
  <si>
    <t>Non-MAGI adult (ABD or receiving SSI)</t>
  </si>
  <si>
    <t>Child &lt;19 eligible &lt;148%?
(143% + 5%)</t>
  </si>
  <si>
    <t>FAMIS eligible?
205% FPL
(200% FPL + 5%)</t>
  </si>
  <si>
    <t>Adult - Medicaid Value (Monthly)</t>
  </si>
  <si>
    <t>Child - Medicaid Value (Monthly)</t>
  </si>
  <si>
    <t>Total Medicaid Value</t>
  </si>
  <si>
    <t>Number adults</t>
  </si>
  <si>
    <t>AGI must be below</t>
  </si>
  <si>
    <t>Max credit amount</t>
  </si>
  <si>
    <t>Phase in</t>
  </si>
  <si>
    <t xml:space="preserve">Phase out </t>
  </si>
  <si>
    <t>Max credit starts at</t>
  </si>
  <si>
    <t>Phase-out starts at</t>
  </si>
  <si>
    <t>EITC does not count SSI/SSDI as earned income</t>
  </si>
  <si>
    <t>Combined Federal &amp; VA EITC (Annual)</t>
  </si>
  <si>
    <t>Fed &amp; VA EITC</t>
  </si>
  <si>
    <t>Any elderly (60+)?</t>
  </si>
  <si>
    <t>Any disabled?
(Adult or child)</t>
  </si>
  <si>
    <t>Non-categorically eligible
130% FPL</t>
  </si>
  <si>
    <t>Broad-based catagorical eligibility
&lt;200% FPL</t>
  </si>
  <si>
    <t>Standard deduction</t>
  </si>
  <si>
    <t>At least one elderly (60+) or disabled 100% FPL
(Net income limit)</t>
  </si>
  <si>
    <t>Max Snap Benefit</t>
  </si>
  <si>
    <t>Max shelter deduction</t>
  </si>
  <si>
    <t>TANF or TANF/VIEW</t>
  </si>
  <si>
    <t>SSI income</t>
  </si>
  <si>
    <t xml:space="preserve">Monthly income (gross) </t>
  </si>
  <si>
    <t xml:space="preserve">Eligible for SNAP 
Gross income 200% </t>
  </si>
  <si>
    <t>Earned income deduction</t>
  </si>
  <si>
    <t>Adjusted monthly net income</t>
  </si>
  <si>
    <t>Eligible by Elderly/disabled 100% FPL</t>
  </si>
  <si>
    <t>1/2 adjusted net income</t>
  </si>
  <si>
    <t>Shelter deduction (If &gt; 1/2 adjusted net income  not &gt;$712)</t>
  </si>
  <si>
    <t>Shelter deduction if elderly/disabled (full amount over 1/2 adjusted net income</t>
  </si>
  <si>
    <t>Adjusted monthly (including applicable shelter deduction)</t>
  </si>
  <si>
    <t>30% of adjusted net monthly</t>
  </si>
  <si>
    <t>Monthly SNAP Benefit</t>
  </si>
  <si>
    <t>SSI Calculator</t>
  </si>
  <si>
    <t>Notes:</t>
  </si>
  <si>
    <t>Spouse income</t>
  </si>
  <si>
    <t>Define unearned income: excludes SNAP, EITC, housing vouchers</t>
  </si>
  <si>
    <t>adult disab.</t>
  </si>
  <si>
    <t>Age</t>
  </si>
  <si>
    <t>E.income</t>
  </si>
  <si>
    <t>U.income</t>
  </si>
  <si>
    <t>C.income</t>
  </si>
  <si>
    <t>Couple rate</t>
  </si>
  <si>
    <t>Eligible</t>
  </si>
  <si>
    <t>Does not take into account Virginia auxiliary program</t>
  </si>
  <si>
    <t>Social security benefit</t>
  </si>
  <si>
    <t>Monthly income 
(earned + SS)</t>
  </si>
  <si>
    <t>Monthly income - $20</t>
  </si>
  <si>
    <t>Earned income - $65</t>
  </si>
  <si>
    <t>1/2 of earned income - $65</t>
  </si>
  <si>
    <t>Countble income</t>
  </si>
  <si>
    <t>connect U.income to other programs</t>
  </si>
  <si>
    <t>TANF is counted as income (unearned)</t>
  </si>
  <si>
    <t>Individual input</t>
  </si>
  <si>
    <t>E.children</t>
  </si>
  <si>
    <t>I.children</t>
  </si>
  <si>
    <t>SSI adult</t>
  </si>
  <si>
    <t>Adjusted variables</t>
  </si>
  <si>
    <t>adj.E</t>
  </si>
  <si>
    <t>adj.U</t>
  </si>
  <si>
    <t>TT income</t>
  </si>
  <si>
    <t>Parental deeming</t>
  </si>
  <si>
    <t>d.adj.U</t>
  </si>
  <si>
    <t>d.adj.E</t>
  </si>
  <si>
    <t>c.alln. &amp; adj.U</t>
  </si>
  <si>
    <t>p.alln</t>
  </si>
  <si>
    <t>parents.home</t>
  </si>
  <si>
    <t>SSI children</t>
  </si>
  <si>
    <t>d.income</t>
  </si>
  <si>
    <t>SSI per children</t>
  </si>
  <si>
    <t>Household SSI</t>
  </si>
  <si>
    <t>Sources</t>
  </si>
  <si>
    <t>SSI spouse: https://secure.ssa.gov/poms.nsf/lnx/0501320400</t>
  </si>
  <si>
    <t>SSI children: https://secure.ssa.gov/poms.NSF/LNX/0501320500</t>
  </si>
  <si>
    <t xml:space="preserve">SSI general:  https://www.ssa.gov/ssi/text-income-ussi.htm </t>
  </si>
  <si>
    <t>SSI  info:https://www.ssa.gov/pubs/EN-05-11000.pdf</t>
  </si>
  <si>
    <t>150% FPL</t>
  </si>
  <si>
    <t>Max income (TANF)</t>
  </si>
  <si>
    <t>TANF Standard of Assistance</t>
  </si>
  <si>
    <t>Poverty level for Household</t>
  </si>
  <si>
    <t>Max reimbusable payment</t>
  </si>
  <si>
    <t xml:space="preserve">TANF disregards SSI (not eligible for AU) income of children &lt;18 yrs if attending secondary school, </t>
  </si>
  <si>
    <t>Social Security is counted</t>
  </si>
  <si>
    <t>VIEW</t>
  </si>
  <si>
    <t>Social Security income
(Unearned income)</t>
  </si>
  <si>
    <t>Total gross countable income</t>
  </si>
  <si>
    <t>TANF Initial screening 
(Using max income)</t>
  </si>
  <si>
    <t>Earned income -standard deduction</t>
  </si>
  <si>
    <t>20% of remainder</t>
  </si>
  <si>
    <t>Countable earned income
(Earned income -standard deduction - 20% of remainder)</t>
  </si>
  <si>
    <t xml:space="preserve"> Total net countable income
(Countable earned income + unearned income)</t>
  </si>
  <si>
    <t>Is countable income &lt; Standard of Assistance?</t>
  </si>
  <si>
    <t>TANF Monthly payment-not over max reimbursable
(SOA - net countable income)</t>
  </si>
  <si>
    <t>TANF payment if &gt; $9.99 &amp; TANF selected</t>
  </si>
  <si>
    <t>VIEW eligible using total gross earned income?
(Using 100% poverty level)</t>
  </si>
  <si>
    <t>VIEW eligible using unearned income?
(Using UI&lt; SON)</t>
  </si>
  <si>
    <t>VIEW deficit  = SON - UI
(if VIEW eligible-not to exceed max reimbursable)</t>
  </si>
  <si>
    <t>Total net countable income (from TANF) + deficit</t>
  </si>
  <si>
    <t>Is total net countable income + deficit &lt; FPL?</t>
  </si>
  <si>
    <t>How much exceed FPL?</t>
  </si>
  <si>
    <t>VIEW Monthly Benefit
(Net income + benefit not to exceed poverty level)</t>
  </si>
  <si>
    <t>VIEW payment if &gt; $9.99 &amp; VIEW eligible &amp; TANF/VIEW selected</t>
  </si>
  <si>
    <t>Number of children &lt;5</t>
  </si>
  <si>
    <t>Monthly unearned income: SS, SSI, SSDI</t>
  </si>
  <si>
    <t>185% FPL</t>
  </si>
  <si>
    <t>Adjunctive Financial Eligibility</t>
  </si>
  <si>
    <t>WIC includes SS, SSI, not include SNAP</t>
  </si>
  <si>
    <t>Qualify for TANF?</t>
  </si>
  <si>
    <t>Qualify for Medicaid?</t>
  </si>
  <si>
    <t>Qualify for FAMIS?</t>
  </si>
  <si>
    <t>Qualify for SNAP?</t>
  </si>
  <si>
    <t>Not included</t>
  </si>
  <si>
    <t>Monthly income</t>
  </si>
  <si>
    <t>Monthly WIC benefit</t>
  </si>
  <si>
    <t>Family/household size</t>
  </si>
  <si>
    <t>Yearly</t>
  </si>
  <si>
    <t>150% of FPL (Monthly)</t>
  </si>
  <si>
    <t>185%
(Monthly)</t>
  </si>
  <si>
    <t>133% FPL
Monthly)</t>
  </si>
  <si>
    <t>5% FPL
(Monthly)</t>
  </si>
  <si>
    <t>100% FPL-For Medicaid-round-up
(Monthly)</t>
  </si>
  <si>
    <t>109% FPL-For Medicaid-round-up
(Monthly)</t>
  </si>
  <si>
    <t>133%+5% FPL (138% FPL)
(Monthly)</t>
  </si>
  <si>
    <t>143% FPL
(Monthly)</t>
  </si>
  <si>
    <t>148% FPL
(Monthly)</t>
  </si>
  <si>
    <t>200% FPL
(Monthly)
Plan First</t>
  </si>
  <si>
    <t>205% FPL</t>
  </si>
  <si>
    <t xml:space="preserve">160% FPL </t>
  </si>
  <si>
    <t>250% FPL</t>
  </si>
  <si>
    <t>https://aspe.hhs.gov/topics/poverty-economic-mobility/poverty-guidelines</t>
  </si>
  <si>
    <t>Childcare subsidies</t>
  </si>
  <si>
    <t>Virginia State Median Income</t>
  </si>
  <si>
    <t>Family size</t>
  </si>
  <si>
    <t>85% of Monthly State Median Income</t>
  </si>
  <si>
    <t>Group I 150% FPL</t>
  </si>
  <si>
    <t>Group II 160% FPL</t>
  </si>
  <si>
    <t>Group III 185% FPL</t>
  </si>
  <si>
    <t>Group IV 250% FPL
(Fairfax &amp; Alexandria)</t>
  </si>
  <si>
    <t>T224 Child Care Subsidy Program Manual_Effective October 1_2024</t>
  </si>
  <si>
    <t>LIHEAP IM 2024-02 State Median Income Estimates</t>
  </si>
  <si>
    <t>Assistance Unit Size</t>
  </si>
  <si>
    <t>TANF Transmittal 77 10/2023</t>
  </si>
  <si>
    <t>https://www.dss.virginia.gov/files/division/bp/tanf/manual/Transmittal_77.pdf</t>
  </si>
  <si>
    <t>Assistance Standards</t>
  </si>
  <si>
    <t>Group II</t>
  </si>
  <si>
    <t>GroupIII</t>
  </si>
  <si>
    <t>MAXIMUM REIMBURSABLE PAYMENT</t>
  </si>
  <si>
    <t>TANF Maximum Income</t>
  </si>
  <si>
    <t>GroupII</t>
  </si>
  <si>
    <t>https://www.dss.virginia.gov/files/division/bp/tanf/manual/Final_XMTL_74.pdf</t>
  </si>
  <si>
    <t>SNAP Standard Deduction</t>
  </si>
  <si>
    <t>SNAP Utilty Standard</t>
  </si>
  <si>
    <t>SNAP Max Shelter</t>
  </si>
  <si>
    <t>SNAP Medical standard</t>
  </si>
  <si>
    <t>Household size</t>
  </si>
  <si>
    <t xml:space="preserve">Household Size </t>
  </si>
  <si>
    <t xml:space="preserve"> 200% FPL Gross income limit</t>
  </si>
  <si>
    <t>165% Gross monthly income (Elderly disabled)</t>
  </si>
  <si>
    <t>SNAP Maximum Benefit</t>
  </si>
  <si>
    <t>Household Size</t>
  </si>
  <si>
    <t>Maximum SNAP Allotments</t>
  </si>
  <si>
    <t>https://www.vdh.virginia.gov/wic-participants/new-participants/</t>
  </si>
  <si>
    <t>WIC Benefit</t>
  </si>
  <si>
    <t>https://emar-data-tools.shinyapps.io/prd_dashboard/</t>
  </si>
  <si>
    <t>Group I</t>
  </si>
  <si>
    <t>Group III</t>
  </si>
  <si>
    <t>Medicaid Spending per capita</t>
  </si>
  <si>
    <t>Total Annual</t>
  </si>
  <si>
    <t>Children</t>
  </si>
  <si>
    <t>https://www.medicaid.gov/state-overviews/scorecard/measure/Medicaid-Per-Capita-Expenditures?measure=EX.5&amp;measureView=state&amp;stratification=467&amp;dataView=pointInTime&amp;chart=map&amp;timePeriods=%5B%222022%22%5D</t>
  </si>
  <si>
    <t>SSI</t>
  </si>
  <si>
    <t>Basic monthly benefit</t>
  </si>
  <si>
    <t>Fact Sheet: Supplemental Security Income (SSI)</t>
  </si>
  <si>
    <t>Marketplace insurance premiums</t>
  </si>
  <si>
    <t>Age-adults</t>
  </si>
  <si>
    <t>TANF Standards of Assistance 7/2022
https://www.dss.virginia.gov/files/division/bp/tanf/manual/Final_XMTL_74.pdf</t>
  </si>
  <si>
    <t>Income limits
https://www.huduser.gov/portal/datasets/il/il24/Section8-FY24.xlsx
(Also Excel-Section8-FY24-income limits)</t>
  </si>
  <si>
    <t>Housing choice voucher data
(Sources:
https://www.huduser.gov/portal/datasets/il/il2024/2024summary.odn.
https://www.huduser.gov/portal/datasets/fmr/fmrs/FY2024_code/select_Geography.odn
https://www.huduser.gov/portal/datasets/fmr/fmrs/FY2025_code/2025state_summary.odn
 Also have PDFs
FY 2025 Fair Market Rent Documentation System — Statewide Summary for Virginia</t>
  </si>
  <si>
    <t>Source https://www.virginiahousing.com/partners/housing-choice-vouchers/payment-standards</t>
  </si>
  <si>
    <t>Market place data (from https://enroll.marketplace.virginia.gov/hix/preeligibility#/)
Age ranges from https://www.cms.gov/data-research/statistics-trends-reports/marketplace-products/2024-marketplace-open-enrollment-period-public-use-files
2025 coverage year</t>
  </si>
  <si>
    <t>Level I (Center) Max Reimbursement Rate (Full Day)
https://www.childcare.virginia.gov/home/showpublisheddocument/51021</t>
  </si>
  <si>
    <t>Eligibility 250% of FPL capped at 85% SMI for Alexandria and Fairfax</t>
  </si>
  <si>
    <t>TANF Standard of assistance</t>
  </si>
  <si>
    <t>Very Low-Income Limit 1 person
(&lt;50% Median income)</t>
  </si>
  <si>
    <t>Very Low-Income Limit 2 person
(&lt;50% Median income)</t>
  </si>
  <si>
    <t>Very Low-Income Limit 3 person
(&lt;50% Median income)</t>
  </si>
  <si>
    <t>Very Low-Income Limit 4 person
(&lt;50% Median income)</t>
  </si>
  <si>
    <t>Very Low-Income Limit 5 person
(&lt;50% Median income)</t>
  </si>
  <si>
    <t>Very Low-Income Limit 6 person
(&lt;50% Median income)</t>
  </si>
  <si>
    <t>Very Low-Income Limit 7 person
(&lt;50% Median income)</t>
  </si>
  <si>
    <t>Very Low-Income Limit 8 person
(&lt;50% Median income)</t>
  </si>
  <si>
    <t xml:space="preserve"> Low-Income Limit 1 person
(&lt;80% Median income)</t>
  </si>
  <si>
    <t>Low-Income Limit 2 person
(&lt;80% Median income)</t>
  </si>
  <si>
    <t>Low-Income Limit 3 person
(&lt;80% Median income)</t>
  </si>
  <si>
    <t>Low-Income Limit 4 person
(&lt;80% Median income)</t>
  </si>
  <si>
    <t>Low-Income Limit 5 person
(&lt;80% Median income)</t>
  </si>
  <si>
    <t>Low-Income Limit 6 person
(&lt;80% Median income)</t>
  </si>
  <si>
    <t>Low-Income Limit 7 person
(&lt;80% Median income)</t>
  </si>
  <si>
    <t>Low-Income Limit 8 person
(&lt;80% Median income)</t>
  </si>
  <si>
    <t>Fair market rate efficiency</t>
  </si>
  <si>
    <t>Fair market rate 1 bedroom</t>
  </si>
  <si>
    <t>Fair market rate 2 bedroom</t>
  </si>
  <si>
    <t>Fair market rate 3 bedroom</t>
  </si>
  <si>
    <t>Fair market rate 4 bedroom</t>
  </si>
  <si>
    <t>Efficiency HCV Payment Standard</t>
  </si>
  <si>
    <t>1 BR HCV Payment Standard</t>
  </si>
  <si>
    <t>2 BR HCV Payment Standard</t>
  </si>
  <si>
    <t>3 BR HCV Payment Standard</t>
  </si>
  <si>
    <t>4 BR HCV Payment Standard</t>
  </si>
  <si>
    <t>SLCSP-adult only 18-25</t>
  </si>
  <si>
    <t>SLCSP-adult only 26-34</t>
  </si>
  <si>
    <t>SLCSP-1 child</t>
  </si>
  <si>
    <t>Zip code used</t>
  </si>
  <si>
    <t>2yo</t>
  </si>
  <si>
    <t>Pre-school</t>
  </si>
  <si>
    <t>School Age</t>
  </si>
  <si>
    <t>Medicaid LIFC Income Limits Group</t>
  </si>
  <si>
    <t>Child Care Susidy MSA groupngs</t>
  </si>
  <si>
    <t>In Fairfax MSA</t>
  </si>
  <si>
    <t>23455</t>
  </si>
  <si>
    <t>22195</t>
  </si>
  <si>
    <t>24001</t>
  </si>
  <si>
    <t>24014</t>
  </si>
  <si>
    <t>Rockbridge-</t>
  </si>
  <si>
    <t>24415</t>
  </si>
  <si>
    <t>Part of Roanoke MSA</t>
  </si>
  <si>
    <t>22657</t>
  </si>
  <si>
    <t>22551</t>
  </si>
  <si>
    <t>22554</t>
  </si>
  <si>
    <t>23432</t>
  </si>
  <si>
    <t>24210</t>
  </si>
  <si>
    <t>Married not filing jointly</t>
  </si>
  <si>
    <t>Married filing jointly</t>
  </si>
  <si>
    <t>Tax rate</t>
  </si>
  <si>
    <t>on taxable income from . . .</t>
  </si>
  <si>
    <t>up to . . .</t>
  </si>
  <si>
    <t>https://www.irs.gov/filing/federal-income-tax-rates-and-brackets</t>
  </si>
  <si>
    <t>And up</t>
  </si>
  <si>
    <t>Single</t>
  </si>
  <si>
    <t>Joint</t>
  </si>
  <si>
    <t>Total tax</t>
  </si>
  <si>
    <t>https://www.irs.gov/taxtopics/tc751</t>
  </si>
  <si>
    <t>SS &amp; M'care 7.65%</t>
  </si>
  <si>
    <t>Clifton Forge</t>
  </si>
  <si>
    <t>link to website:  https://enroll.marketplace.virginia.gov/prescreener/</t>
  </si>
  <si>
    <t>These figures did not match IRS EITC tables-max credit/phase-out rate figures taken from tax code.</t>
  </si>
  <si>
    <t>2025 data</t>
  </si>
  <si>
    <t>HUD FMR</t>
  </si>
  <si>
    <t>https://www.huduser.gov/portal/datasets/fmr/fmrs/FY2025_code/2025state_summary.odn</t>
  </si>
  <si>
    <t>EITC rates</t>
  </si>
  <si>
    <t>WIC Benefits</t>
  </si>
  <si>
    <t>Medicaid MAGI Limits</t>
  </si>
  <si>
    <t>Medicaid LIFC Income Limits</t>
  </si>
  <si>
    <t>IRS tax rates for 2024</t>
  </si>
  <si>
    <t>Child Care Subsidy Copays</t>
  </si>
  <si>
    <t>SSI Basic benefit</t>
  </si>
  <si>
    <t>Income Limits | HUD USER</t>
  </si>
  <si>
    <t>2024 data</t>
  </si>
  <si>
    <t>Child Care Subsidy Manual</t>
  </si>
  <si>
    <t>https://www.childcare.virginia.gov/home/showpublisheddocument/47832/638633601489900000</t>
  </si>
  <si>
    <t>State Median Income</t>
  </si>
  <si>
    <t>SNAP Deductions</t>
  </si>
  <si>
    <t>https://www.dss.virginia.gov/files/division/bp/fs/manual/Entire_Manual_01272025.pdf</t>
  </si>
  <si>
    <t>WIC Income Eligibility (Valid until 6/30/2025)</t>
  </si>
  <si>
    <t>https://wicworks.fns.usda.gov/resources/snapshot-food-packages-women-infants-and-children</t>
  </si>
  <si>
    <t>Medicaid per capita spending</t>
  </si>
  <si>
    <t>emar-data-tools.shinyapps.io/prd_dashboard/</t>
  </si>
  <si>
    <t>2023 data</t>
  </si>
  <si>
    <t>TANF standard deduction (10/1/2023)</t>
  </si>
  <si>
    <t xml:space="preserve"> TANF Standard of Assistance</t>
  </si>
  <si>
    <t>Maximum Income Chart</t>
  </si>
  <si>
    <t>HCV calculations</t>
  </si>
  <si>
    <t>https://www.hud.gov/sites/dfiles/PIH/documents/HCV_Guidebook_Calculating_Rent_and_HAP_Payments.pdf</t>
  </si>
  <si>
    <t>Age of adult(s):</t>
  </si>
  <si>
    <t>Cost of SLCSP</t>
  </si>
  <si>
    <t>Column number</t>
  </si>
  <si>
    <t># Children</t>
  </si>
  <si>
    <t>SLCSP-adults</t>
  </si>
  <si>
    <r>
      <t xml:space="preserve">If unknown-choose </t>
    </r>
    <r>
      <rPr>
        <b/>
        <sz val="12"/>
        <color theme="1"/>
        <rFont val="Calibri"/>
        <family val="2"/>
      </rPr>
      <t>1 bedroom for every 2 adults</t>
    </r>
    <r>
      <rPr>
        <sz val="12"/>
        <color theme="1"/>
        <rFont val="Calibri"/>
        <family val="2"/>
      </rPr>
      <t xml:space="preserve"> &amp; </t>
    </r>
    <r>
      <rPr>
        <b/>
        <sz val="12"/>
        <color theme="1"/>
        <rFont val="Calibri"/>
        <family val="2"/>
      </rPr>
      <t>1 bedroom for every 2 dependents of the same gender</t>
    </r>
    <r>
      <rPr>
        <sz val="12"/>
        <color theme="1"/>
        <rFont val="Calibri"/>
        <family val="2"/>
      </rPr>
      <t xml:space="preserve"> (up to 4 bedrooms)</t>
    </r>
  </si>
  <si>
    <t>Hourly wage</t>
  </si>
  <si>
    <t>How many hours (total) worked in a month</t>
  </si>
  <si>
    <t>Return to Total Income tab</t>
  </si>
  <si>
    <t>Qualified shelter costs</t>
  </si>
  <si>
    <t>Total shelter costs</t>
  </si>
  <si>
    <t>SUA</t>
  </si>
  <si>
    <t>Actual monthly utility costs</t>
  </si>
  <si>
    <t>Is the Standard Utility Allowance being used or actual utility expenses? 
(Select from the drop down list)</t>
  </si>
  <si>
    <t>What are the monthly utility expenses?</t>
  </si>
  <si>
    <t>Standard Utility Allowance (SUA)</t>
  </si>
  <si>
    <t>Utiility costs (SUA or manually entered costs)</t>
  </si>
  <si>
    <t>Utility 
(standard or entry)</t>
  </si>
  <si>
    <t>Single, head of household, qualifying surviving spouse</t>
  </si>
  <si>
    <t>Is this adult a parent of any of the children listed below? Select yes or no.</t>
  </si>
  <si>
    <t>Number adults qualified for TANF AU as a child caretaker</t>
  </si>
  <si>
    <t>How many disabled adults receiving SSI are also a parent to the child(ren) listed above?</t>
  </si>
  <si>
    <r>
      <t>At least one adult must have earned income to select EITC
At least one tax  filer  must be between 25-64 years if claiming EITC credit</t>
    </r>
    <r>
      <rPr>
        <b/>
        <sz val="12"/>
        <color theme="1"/>
        <rFont val="Calibri"/>
        <family val="2"/>
      </rPr>
      <t xml:space="preserve"> AND</t>
    </r>
    <r>
      <rPr>
        <sz val="12"/>
        <color theme="1"/>
        <rFont val="Calibri"/>
        <family val="2"/>
      </rPr>
      <t xml:space="preserve"> have no qualifying children</t>
    </r>
  </si>
  <si>
    <t>Caretakers who are disabled receiving SSI</t>
  </si>
  <si>
    <t>Number TANF eligible HH members (Not receiving SSI children and parent/caretakers)</t>
  </si>
  <si>
    <t>Number of children in household not qualified for TANF AU d/t SSI/SSDI</t>
  </si>
  <si>
    <t>Number of qualified TANF AU children</t>
  </si>
  <si>
    <t>Number Adults</t>
  </si>
  <si>
    <t>Number children</t>
  </si>
  <si>
    <r>
      <t xml:space="preserve">This calculator has the following built in assumptions that may not be applicable for all family situations:
          ▪   The household has no more than 8 members
          ▪   There are no child(ren) only cases
          ▪   All children are blood related or adoptive siblings
          ▪   There are no step-parents in the household 
          ▪   There are no minor parents
</t>
    </r>
    <r>
      <rPr>
        <sz val="11"/>
        <color theme="1"/>
        <rFont val="Aptos Narrow"/>
        <family val="2"/>
      </rPr>
      <t xml:space="preserve">          ▪   The household is eligible for all selected benefits
          ▪   The household did not have any countable resources
          ▪   There is no self-employment income
          ▪   The children are assumed to be eligible to be claimed as dependents for the household adult and will not be claimed as dependents on anyone else's tax return
          ▪   There are no child support payments
          ▪   Children do not have any income
          ▪   The household does not take the TANF child care/incapacitated adult deduction
          ▪   Childcare will be provided at a Level 1 Center-based program    
          ▪   The family is not homeless
          ▪   All household members reside in the home
          ▪   The family does not live in a group home/institution
          ▪   There is no unreimbursed: 1)medical care for elderly or disabled individuals, 2) expenses allowing a disabled person to work that exceeds 3% of annual income
          ▪   Any adult receiving SSI/SSDI is not working
          ▪   There is no employer-provided health insurance
          ▪   The second lowest cost Silver plan (SLCSP) was selected on the CoverVA website with no cost-sharing
          ▪   The calculations for the housing choice voucher do not include a childcare deduction
          ▪  The rental unit size is based on 2 ppl/bedroom (adults and children separate)
          ▪  Initial housing choice voucher income limits are 50% of AMI, new income are not subjected to an income check
          ▪   Utilities are not inclded in the rent
          ▪  No adults are eligible for WIC-only children &lt;5 years old-no pregnant women</t>
    </r>
    <r>
      <rPr>
        <sz val="11"/>
        <color theme="1"/>
        <rFont val="Aptos Narrow"/>
        <family val="2"/>
        <scheme val="minor"/>
      </rPr>
      <t xml:space="preserve">
</t>
    </r>
  </si>
  <si>
    <t>Number of qualified TANF AU parents/caretaker</t>
  </si>
  <si>
    <t>Convert hourly wage to monthly  income</t>
  </si>
  <si>
    <t>Convert annual income to monthly income</t>
  </si>
  <si>
    <t>Annual income (gross)</t>
  </si>
  <si>
    <t>If you need a monthly income calculator click here</t>
  </si>
  <si>
    <t>Income of adult(s) who answered "Yes" to being a parent to the children</t>
  </si>
  <si>
    <t>Income of adult(s) who answered "No" to being a parent to the children</t>
  </si>
  <si>
    <t>What is the Social security income of adult(s) who answered "Yes" to being a parent to the children?</t>
  </si>
  <si>
    <t>What is the Social security income of adult(s) who answered "No" to being a parent to the children?</t>
  </si>
  <si>
    <t>Using TY 2026 rates</t>
  </si>
  <si>
    <t>2026 data</t>
  </si>
  <si>
    <t>SNAP Poverty Rates (Table 1: SNAP Income Eligibility Limits - Oct. 1, 2025, through Sept. 30, 2026)</t>
  </si>
  <si>
    <t>SNAP Income eligibility</t>
  </si>
  <si>
    <t>https://fns-prod.azureedge.us/sites/default/files/resource-files/snap-cola-fy26memo.pdf</t>
  </si>
  <si>
    <t>Calculated Federal EITC w/ 2026 rates
*Off by between $5- $10 from P596</t>
  </si>
  <si>
    <t>EITC-VA</t>
  </si>
  <si>
    <t>https://www.tax.virginia.gov/low-income-individuals-credit</t>
  </si>
  <si>
    <t>Beginning with tax year 2025 (returns due May 2026), the refundable Virginia Earned Income Tax Credit will increase to 20% of your federal Earned Income Tax Credit. </t>
  </si>
  <si>
    <t>VA EITC
20% of Federal EITC</t>
  </si>
  <si>
    <t>HUD income limits -no update as of 11/3/2025</t>
  </si>
  <si>
    <t>https://www.childcare.virginia.gov/home/showpublisheddocument/62604/638864381965000000</t>
  </si>
  <si>
    <t>Poverty Guidelines-No update as of 11/3/2025</t>
  </si>
  <si>
    <t>WIC Eligibility (Monthly) (Valid until 6/30/2026)</t>
  </si>
  <si>
    <t>New Participants – WIC Participants</t>
  </si>
  <si>
    <t>POLICY: INT: 01</t>
  </si>
  <si>
    <t>WIC Benefits (Valid until 6/30/2026)</t>
  </si>
  <si>
    <t>https://www.dmas.virginia.gov/media/3yhbwrqc/m04-7-1-25b.pdf</t>
  </si>
  <si>
    <t>Medicaid LIFC Monthly Income Limits-effective 7/1/2025</t>
  </si>
  <si>
    <t>Medicaid Under 21 Monthly Income Limits-effective 7/1/2025</t>
  </si>
  <si>
    <t>Adults-non-expansion, non-disabled, &lt;65, no disabilities</t>
  </si>
  <si>
    <t>Data from 2022</t>
  </si>
  <si>
    <t>Aged</t>
  </si>
  <si>
    <t>Disabled</t>
  </si>
  <si>
    <t>Adults-ACA expansion</t>
  </si>
  <si>
    <t>Number of Mdicaid eligible aged adults</t>
  </si>
  <si>
    <t>HHS Poverty Guidelines for 2026</t>
  </si>
  <si>
    <t>For families/households with more than 8 persons, add $5,680 for each additional person.</t>
  </si>
  <si>
    <t>80% Monthly</t>
  </si>
  <si>
    <t>Monthly SNAP Benefit  (Using minimum benefit amount)</t>
  </si>
  <si>
    <t>https://fusion.dss.virginia.gov/Portals/%5Bbp%5D/Files/SNAP%20Transmittals%20for%20Manuals/SNAP%20Transmittal%20%2336.pdf</t>
  </si>
  <si>
    <t>***These njumbers different from FPL***</t>
  </si>
  <si>
    <r>
      <t>100% FPL</t>
    </r>
    <r>
      <rPr>
        <b/>
        <sz val="11"/>
        <color rgb="FFC00000"/>
        <rFont val="Aptos Narrow"/>
        <family val="2"/>
        <scheme val="minor"/>
      </rPr>
      <t xml:space="preserve"> Net</t>
    </r>
    <r>
      <rPr>
        <sz val="11"/>
        <color rgb="FF000000"/>
        <rFont val="Aptos Narrow"/>
        <family val="2"/>
        <scheme val="minor"/>
      </rPr>
      <t xml:space="preserve"> Income Limit</t>
    </r>
  </si>
  <si>
    <r>
      <t xml:space="preserve"> 130% FPL </t>
    </r>
    <r>
      <rPr>
        <b/>
        <sz val="11"/>
        <color rgb="FFC00000"/>
        <rFont val="Aptos Narrow"/>
        <family val="2"/>
        <scheme val="minor"/>
      </rPr>
      <t>Gross</t>
    </r>
    <r>
      <rPr>
        <sz val="11"/>
        <color rgb="FF000000"/>
        <rFont val="Aptos Narrow"/>
        <family val="2"/>
        <scheme val="minor"/>
      </rPr>
      <t xml:space="preserve"> income limit</t>
    </r>
  </si>
  <si>
    <t xml:space="preserve">https://www.irs.gov/pub/irs-pdf/p596.pdf (only 2025 data available at https://taxpolicycenter.org/statistics/eitc-parameters) </t>
  </si>
  <si>
    <t>https://www.irs.gov/pub/irs-pdf/p596.pdf</t>
  </si>
  <si>
    <t>A recipient of SSI is not eligible for inclusion in the assistance unit. An SSI recipient is an individual who is entitled to SSI benefits regardless of whether the benefit is currently being received.</t>
  </si>
  <si>
    <t>TANF Standard Deduction*</t>
  </si>
  <si>
    <t>*Using same standard deduction as SNAP per TANF manual:</t>
  </si>
  <si>
    <t>The standard deduction*, the same amount used in the standard deduction for the SNAP program, and 20% of the remainder is deducted from the gross earnings.**</t>
  </si>
  <si>
    <t>305.1 pg 2</t>
  </si>
  <si>
    <t>Hunter Sm</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</si>
</sst>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9">
    <numFmt numFmtId="6" formatCode="&quot;$&quot;#,##0_);[Red]\(&quot;$&quot;#,##0\)"/>
    <numFmt numFmtId="8" formatCode="&quot;$&quot;#,##0.00_);[Red]\(&quot;$&quot;#,##0.00\)"/>
    <numFmt numFmtId="44" formatCode="_(&quot;$&quot;* #,##0.00_);_(&quot;$&quot;* \(#,##0.00\);_(&quot;$&quot;* &quot;-&quot;??_);_(@_)"/>
    <numFmt numFmtId="164" formatCode="&quot;$&quot;#,##0.00"/>
    <numFmt numFmtId="165" formatCode="&quot;$&quot;#,##0"/>
    <numFmt numFmtId="166" formatCode="&quot;$&quot;#,##0.0_);[Red]\(&quot;$&quot;#,##0.0\)"/>
    <numFmt numFmtId="167" formatCode="0.0%"/>
    <numFmt numFmtId="168" formatCode="_(&quot;$&quot;* #,##0_);_(&quot;$&quot;* \(#,##0\);_(&quot;$&quot;* &quot;-&quot;??_);_(@_)"/>
    <numFmt numFmtId="169" formatCode="&quot;$&quot;#,##0.000_);[Red]\(&quot;$&quot;#,##0.000\)"/>
  </numFmts>
  <fonts count="63" x14ac:knownFonts="1">
    <font>
      <sz val="11"/>
      <color theme="1"/>
      <name val="Aptos Narrow"/>
      <family val="2"/>
      <scheme val="minor"/>
    </font>
    <font>
      <sz val="11"/>
      <color theme="1"/>
      <name val="Aptos Narrow"/>
      <family val="2"/>
      <scheme val="minor"/>
    </font>
    <font>
      <b/>
      <sz val="11"/>
      <color theme="1"/>
      <name val="Aptos Narrow"/>
      <family val="2"/>
      <scheme val="minor"/>
    </font>
    <font>
      <i/>
      <sz val="11"/>
      <color theme="1"/>
      <name val="Aptos Narrow"/>
      <family val="2"/>
      <scheme val="minor"/>
    </font>
    <font>
      <sz val="11"/>
      <color rgb="FF000000"/>
      <name val="Aptos Narrow"/>
      <family val="2"/>
    </font>
    <font>
      <sz val="11"/>
      <name val="Aptos Narrow"/>
      <family val="2"/>
      <scheme val="minor"/>
    </font>
    <font>
      <i/>
      <sz val="11"/>
      <color rgb="FF000000"/>
      <name val="Aptos Narrow"/>
      <family val="2"/>
    </font>
    <font>
      <i/>
      <sz val="11"/>
      <color rgb="FF000000"/>
      <name val="Aptos Narrow"/>
      <family val="2"/>
      <scheme val="minor"/>
    </font>
    <font>
      <sz val="11"/>
      <color theme="1"/>
      <name val="Calibri"/>
      <family val="2"/>
    </font>
    <font>
      <sz val="8"/>
      <color theme="1"/>
      <name val="Aptos Narrow"/>
      <family val="2"/>
      <scheme val="minor"/>
    </font>
    <font>
      <sz val="11"/>
      <name val="Calibri"/>
      <family val="2"/>
    </font>
    <font>
      <sz val="12"/>
      <color theme="1"/>
      <name val="Calibri"/>
      <family val="2"/>
    </font>
    <font>
      <b/>
      <sz val="12"/>
      <color theme="1"/>
      <name val="Calibri"/>
      <family val="2"/>
    </font>
    <font>
      <sz val="12"/>
      <color theme="5" tint="0.79998168889431442"/>
      <name val="Calibri"/>
      <family val="2"/>
    </font>
    <font>
      <b/>
      <sz val="14"/>
      <name val="Calibri"/>
      <family val="2"/>
    </font>
    <font>
      <sz val="11"/>
      <color rgb="FF000000"/>
      <name val="Calibri"/>
      <family val="2"/>
    </font>
    <font>
      <b/>
      <sz val="11"/>
      <color theme="1"/>
      <name val="Calibri"/>
      <family val="2"/>
    </font>
    <font>
      <sz val="12"/>
      <color theme="0"/>
      <name val="Calibri"/>
      <family val="2"/>
    </font>
    <font>
      <b/>
      <sz val="11"/>
      <color rgb="FFC00000"/>
      <name val="Aptos Narrow"/>
      <family val="2"/>
      <scheme val="minor"/>
    </font>
    <font>
      <b/>
      <u/>
      <sz val="11"/>
      <color theme="1"/>
      <name val="Aptos Narrow"/>
      <family val="2"/>
      <scheme val="minor"/>
    </font>
    <font>
      <b/>
      <u/>
      <sz val="11"/>
      <color rgb="FFC00000"/>
      <name val="Aptos Narrow"/>
      <family val="2"/>
      <scheme val="minor"/>
    </font>
    <font>
      <sz val="11"/>
      <color theme="1"/>
      <name val="Aptos Narrow"/>
      <family val="2"/>
    </font>
    <font>
      <u/>
      <sz val="11"/>
      <color theme="10"/>
      <name val="Aptos Narrow"/>
      <family val="2"/>
      <scheme val="minor"/>
    </font>
    <font>
      <sz val="10"/>
      <color theme="1"/>
      <name val="Aptos Narrow"/>
      <family val="2"/>
      <scheme val="minor"/>
    </font>
    <font>
      <sz val="8"/>
      <name val="Aptos Narrow"/>
      <family val="2"/>
      <scheme val="minor"/>
    </font>
    <font>
      <b/>
      <sz val="11"/>
      <color rgb="FF1B1B1B"/>
      <name val="Georgia"/>
      <family val="1"/>
    </font>
    <font>
      <sz val="12"/>
      <color rgb="FF1B1B1B"/>
      <name val="Calibri"/>
      <family val="2"/>
    </font>
    <font>
      <b/>
      <sz val="12"/>
      <color rgb="FFC00000"/>
      <name val="Calibri"/>
      <family val="2"/>
    </font>
    <font>
      <b/>
      <sz val="10"/>
      <color rgb="FFC00000"/>
      <name val="Calibri"/>
      <family val="2"/>
    </font>
    <font>
      <b/>
      <u/>
      <sz val="10"/>
      <color rgb="FFC00000"/>
      <name val="Calibri"/>
      <family val="2"/>
    </font>
    <font>
      <b/>
      <sz val="10"/>
      <name val="Calibri"/>
      <family val="2"/>
    </font>
    <font>
      <b/>
      <sz val="12"/>
      <name val="Aptos Narrow"/>
      <family val="2"/>
      <scheme val="minor"/>
    </font>
    <font>
      <b/>
      <sz val="11"/>
      <color rgb="FFC00000"/>
      <name val="Aptos Narrow"/>
      <family val="2"/>
    </font>
    <font>
      <b/>
      <sz val="10"/>
      <color theme="1"/>
      <name val="Aptos Narrow"/>
      <family val="2"/>
      <scheme val="minor"/>
    </font>
    <font>
      <b/>
      <u/>
      <sz val="18"/>
      <color theme="1"/>
      <name val="Aptos Narrow"/>
      <family val="2"/>
      <scheme val="minor"/>
    </font>
    <font>
      <sz val="12"/>
      <color rgb="FFFBE2D5"/>
      <name val="Calibri"/>
      <family val="2"/>
    </font>
    <font>
      <b/>
      <sz val="11"/>
      <color rgb="FF000000"/>
      <name val="Aptos Narrow"/>
      <family val="2"/>
    </font>
    <font>
      <b/>
      <sz val="8"/>
      <color theme="1"/>
      <name val="Calibri"/>
      <family val="2"/>
    </font>
    <font>
      <b/>
      <u/>
      <sz val="12"/>
      <color theme="1"/>
      <name val="Calibri"/>
      <family val="2"/>
    </font>
    <font>
      <b/>
      <sz val="10"/>
      <color theme="1"/>
      <name val="Calibri"/>
      <family val="2"/>
    </font>
    <font>
      <sz val="11"/>
      <color rgb="FF000000"/>
      <name val="Arial"/>
      <family val="2"/>
    </font>
    <font>
      <sz val="11"/>
      <color theme="1"/>
      <name val="Times New Roman"/>
      <family val="1"/>
    </font>
    <font>
      <sz val="11"/>
      <color rgb="FF000000"/>
      <name val="Aptos Narrow"/>
      <family val="2"/>
      <scheme val="minor"/>
    </font>
    <font>
      <sz val="11"/>
      <color theme="1"/>
      <name val="Arial"/>
      <family val="2"/>
    </font>
    <font>
      <b/>
      <sz val="11"/>
      <color theme="1"/>
      <name val="Aptos"/>
      <family val="2"/>
    </font>
    <font>
      <sz val="11"/>
      <color theme="1"/>
      <name val="Aptos"/>
      <family val="2"/>
    </font>
    <font>
      <sz val="11"/>
      <color rgb="FFC00000"/>
      <name val="Aptos Narrow"/>
      <family val="2"/>
      <scheme val="minor"/>
    </font>
    <font>
      <b/>
      <u/>
      <sz val="14"/>
      <color theme="1"/>
      <name val="Aptos Narrow"/>
      <family val="2"/>
      <scheme val="minor"/>
    </font>
    <font>
      <b/>
      <sz val="12"/>
      <color rgb="FFC00000"/>
      <name val="Aptos Narrow"/>
      <family val="2"/>
      <scheme val="minor"/>
    </font>
    <font>
      <b/>
      <sz val="11"/>
      <color rgb="FFC00000"/>
      <name val="Calibri"/>
      <family val="2"/>
    </font>
    <font>
      <b/>
      <u/>
      <sz val="11"/>
      <color rgb="FFC00000"/>
      <name val="Calibri"/>
      <family val="2"/>
    </font>
    <font>
      <b/>
      <i/>
      <sz val="11"/>
      <color rgb="FFC00000"/>
      <name val="Calibri"/>
      <family val="2"/>
    </font>
    <font>
      <b/>
      <i/>
      <sz val="11"/>
      <color theme="1"/>
      <name val="Aptos Narrow"/>
      <family val="2"/>
      <scheme val="minor"/>
    </font>
    <font>
      <b/>
      <sz val="14"/>
      <color rgb="FFC00000"/>
      <name val="Calibri"/>
      <family val="2"/>
    </font>
    <font>
      <b/>
      <sz val="10"/>
      <color rgb="FFC00000"/>
      <name val="Aptos Narrow"/>
      <family val="2"/>
      <scheme val="minor"/>
    </font>
    <font>
      <b/>
      <sz val="12"/>
      <name val="Calibri"/>
      <family val="2"/>
    </font>
    <font>
      <b/>
      <sz val="11"/>
      <name val="Aptos Narrow"/>
      <family val="2"/>
      <scheme val="minor"/>
    </font>
    <font>
      <sz val="12"/>
      <color theme="1"/>
      <name val="Calibri"/>
      <family val="2"/>
    </font>
    <font>
      <b/>
      <sz val="12"/>
      <color rgb="FFC00000"/>
      <name val="Calibri"/>
      <family val="2"/>
    </font>
    <font>
      <b/>
      <sz val="14"/>
      <color theme="1"/>
      <name val="Aptos Narrow"/>
      <family val="2"/>
      <scheme val="minor"/>
    </font>
    <font>
      <b/>
      <sz val="16"/>
      <color theme="1"/>
      <name val="Calibri"/>
      <family val="2"/>
    </font>
    <font>
      <sz val="11"/>
      <color rgb="FF000000"/>
      <name val="Aptos"/>
      <family val="2"/>
    </font>
    <font>
      <sz val="11"/>
      <color rgb="FF000000"/>
      <name val="Aptos Narrow"/>
    </font>
  </fonts>
  <fills count="28">
    <fill>
      <patternFill patternType="none"/>
    </fill>
    <fill>
      <patternFill patternType="gray125"/>
    </fill>
    <fill>
      <patternFill patternType="solid">
        <fgColor theme="9" tint="0.79998168889431442"/>
        <bgColor indexed="64"/>
      </patternFill>
    </fill>
    <fill>
      <patternFill patternType="solid">
        <fgColor theme="3" tint="0.89999084444715716"/>
        <bgColor indexed="64"/>
      </patternFill>
    </fill>
    <fill>
      <patternFill patternType="solid">
        <fgColor theme="5" tint="0.79998168889431442"/>
        <bgColor indexed="64"/>
      </patternFill>
    </fill>
    <fill>
      <patternFill patternType="solid">
        <fgColor rgb="FFFBE2D5"/>
        <bgColor indexed="64"/>
      </patternFill>
    </fill>
    <fill>
      <patternFill patternType="solid">
        <fgColor rgb="FFF0FAEC"/>
        <bgColor indexed="64"/>
      </patternFill>
    </fill>
    <fill>
      <patternFill patternType="solid">
        <fgColor theme="9" tint="0.59999389629810485"/>
        <bgColor indexed="64"/>
      </patternFill>
    </fill>
    <fill>
      <patternFill patternType="solid">
        <fgColor rgb="FFFFFF00"/>
        <bgColor indexed="64"/>
      </patternFill>
    </fill>
    <fill>
      <patternFill patternType="solid">
        <fgColor theme="5" tint="0.59999389629810485"/>
        <bgColor indexed="64"/>
      </patternFill>
    </fill>
    <fill>
      <patternFill patternType="solid">
        <fgColor rgb="FF33CCCC"/>
        <bgColor indexed="64"/>
      </patternFill>
    </fill>
    <fill>
      <patternFill patternType="solid">
        <fgColor rgb="FFAFECEB"/>
        <bgColor indexed="64"/>
      </patternFill>
    </fill>
    <fill>
      <patternFill patternType="solid">
        <fgColor rgb="FFE7F9F9"/>
        <bgColor indexed="64"/>
      </patternFill>
    </fill>
    <fill>
      <patternFill patternType="solid">
        <fgColor theme="8" tint="0.59999389629810485"/>
        <bgColor indexed="64"/>
      </patternFill>
    </fill>
    <fill>
      <patternFill patternType="solid">
        <fgColor theme="8" tint="0.79998168889431442"/>
        <bgColor indexed="64"/>
      </patternFill>
    </fill>
    <fill>
      <patternFill patternType="solid">
        <fgColor theme="0" tint="-0.14999847407452621"/>
        <bgColor indexed="64"/>
      </patternFill>
    </fill>
    <fill>
      <patternFill patternType="solid">
        <fgColor theme="5"/>
        <bgColor indexed="64"/>
      </patternFill>
    </fill>
    <fill>
      <patternFill patternType="solid">
        <fgColor rgb="FFF9D8C7"/>
        <bgColor indexed="64"/>
      </patternFill>
    </fill>
    <fill>
      <patternFill patternType="solid">
        <fgColor rgb="FF66FFFF"/>
        <bgColor indexed="64"/>
      </patternFill>
    </fill>
    <fill>
      <patternFill patternType="solid">
        <fgColor rgb="FFFF66FF"/>
        <bgColor indexed="64"/>
      </patternFill>
    </fill>
    <fill>
      <patternFill patternType="solid">
        <fgColor rgb="FFFF8989"/>
        <bgColor indexed="64"/>
      </patternFill>
    </fill>
    <fill>
      <patternFill patternType="solid">
        <fgColor rgb="FFFFD5D5"/>
        <bgColor indexed="64"/>
      </patternFill>
    </fill>
    <fill>
      <patternFill patternType="solid">
        <fgColor theme="0"/>
        <bgColor indexed="64"/>
      </patternFill>
    </fill>
    <fill>
      <patternFill patternType="solid">
        <fgColor rgb="FF00FF00"/>
        <bgColor indexed="64"/>
      </patternFill>
    </fill>
    <fill>
      <patternFill patternType="solid">
        <fgColor rgb="FFC5FFC5"/>
        <bgColor indexed="64"/>
      </patternFill>
    </fill>
    <fill>
      <patternFill patternType="solid">
        <fgColor rgb="FFFFB7FF"/>
        <bgColor indexed="64"/>
      </patternFill>
    </fill>
    <fill>
      <patternFill patternType="solid">
        <fgColor rgb="FFC9FFFF"/>
        <bgColor indexed="64"/>
      </patternFill>
    </fill>
    <fill>
      <patternFill patternType="solid">
        <fgColor theme="8" tint="0.39997558519241921"/>
        <bgColor indexed="64"/>
      </patternFill>
    </fill>
  </fills>
  <borders count="47">
    <border>
      <left/>
      <right/>
      <top/>
      <bottom/>
      <diagonal/>
    </border>
    <border>
      <left/>
      <right/>
      <top style="thin">
        <color indexed="64"/>
      </top>
      <bottom style="thin">
        <color indexed="64"/>
      </bottom>
      <diagonal/>
    </border>
    <border>
      <left style="thin">
        <color indexed="64"/>
      </left>
      <right/>
      <top style="thin">
        <color indexed="64"/>
      </top>
      <bottom style="thin">
        <color indexed="64"/>
      </bottom>
      <diagonal/>
    </border>
    <border>
      <left style="thin">
        <color indexed="64"/>
      </left>
      <right style="thin">
        <color indexed="64"/>
      </right>
      <top style="thin">
        <color indexed="64"/>
      </top>
      <bottom style="thin">
        <color indexed="64"/>
      </bottom>
      <diagonal/>
    </border>
    <border>
      <left style="thin">
        <color indexed="64"/>
      </left>
      <right style="thin">
        <color indexed="64"/>
      </right>
      <top/>
      <bottom/>
      <diagonal/>
    </border>
    <border>
      <left/>
      <right/>
      <top/>
      <bottom style="thin">
        <color indexed="64"/>
      </bottom>
      <diagonal/>
    </border>
    <border>
      <left style="medium">
        <color auto="1"/>
      </left>
      <right/>
      <top style="medium">
        <color auto="1"/>
      </top>
      <bottom/>
      <diagonal/>
    </border>
    <border>
      <left/>
      <right/>
      <top style="medium">
        <color auto="1"/>
      </top>
      <bottom/>
      <diagonal/>
    </border>
    <border>
      <left/>
      <right style="medium">
        <color auto="1"/>
      </right>
      <top style="medium">
        <color auto="1"/>
      </top>
      <bottom/>
      <diagonal/>
    </border>
    <border>
      <left style="medium">
        <color auto="1"/>
      </left>
      <right/>
      <top/>
      <bottom/>
      <diagonal/>
    </border>
    <border>
      <left/>
      <right style="medium">
        <color auto="1"/>
      </right>
      <top/>
      <bottom/>
      <diagonal/>
    </border>
    <border>
      <left style="medium">
        <color auto="1"/>
      </left>
      <right/>
      <top/>
      <bottom style="medium">
        <color auto="1"/>
      </bottom>
      <diagonal/>
    </border>
    <border>
      <left style="medium">
        <color auto="1"/>
      </left>
      <right style="thin">
        <color auto="1"/>
      </right>
      <top style="medium">
        <color auto="1"/>
      </top>
      <bottom style="thin">
        <color auto="1"/>
      </bottom>
      <diagonal/>
    </border>
    <border>
      <left style="thin">
        <color auto="1"/>
      </left>
      <right style="medium">
        <color auto="1"/>
      </right>
      <top style="medium">
        <color auto="1"/>
      </top>
      <bottom style="thin">
        <color auto="1"/>
      </bottom>
      <diagonal/>
    </border>
    <border>
      <left style="medium">
        <color auto="1"/>
      </left>
      <right style="thin">
        <color auto="1"/>
      </right>
      <top style="thin">
        <color auto="1"/>
      </top>
      <bottom style="thin">
        <color auto="1"/>
      </bottom>
      <diagonal/>
    </border>
    <border>
      <left style="thin">
        <color auto="1"/>
      </left>
      <right style="medium">
        <color auto="1"/>
      </right>
      <top style="thin">
        <color auto="1"/>
      </top>
      <bottom style="thin">
        <color auto="1"/>
      </bottom>
      <diagonal/>
    </border>
    <border>
      <left style="medium">
        <color auto="1"/>
      </left>
      <right style="thin">
        <color auto="1"/>
      </right>
      <top style="thin">
        <color auto="1"/>
      </top>
      <bottom style="medium">
        <color auto="1"/>
      </bottom>
      <diagonal/>
    </border>
    <border>
      <left style="thin">
        <color auto="1"/>
      </left>
      <right style="medium">
        <color auto="1"/>
      </right>
      <top style="thin">
        <color auto="1"/>
      </top>
      <bottom style="medium">
        <color auto="1"/>
      </bottom>
      <diagonal/>
    </border>
    <border>
      <left style="thin">
        <color auto="1"/>
      </left>
      <right style="thin">
        <color auto="1"/>
      </right>
      <top style="medium">
        <color auto="1"/>
      </top>
      <bottom style="thin">
        <color auto="1"/>
      </bottom>
      <diagonal/>
    </border>
    <border>
      <left style="medium">
        <color auto="1"/>
      </left>
      <right style="thin">
        <color auto="1"/>
      </right>
      <top/>
      <bottom style="thin">
        <color auto="1"/>
      </bottom>
      <diagonal/>
    </border>
    <border>
      <left style="thin">
        <color auto="1"/>
      </left>
      <right style="medium">
        <color auto="1"/>
      </right>
      <top/>
      <bottom style="thin">
        <color auto="1"/>
      </bottom>
      <diagonal/>
    </border>
    <border>
      <left style="medium">
        <color auto="1"/>
      </left>
      <right/>
      <top style="medium">
        <color auto="1"/>
      </top>
      <bottom style="thin">
        <color auto="1"/>
      </bottom>
      <diagonal/>
    </border>
    <border>
      <left/>
      <right style="medium">
        <color auto="1"/>
      </right>
      <top style="medium">
        <color auto="1"/>
      </top>
      <bottom style="thin">
        <color auto="1"/>
      </bottom>
      <diagonal/>
    </border>
    <border>
      <left style="medium">
        <color auto="1"/>
      </left>
      <right/>
      <top/>
      <bottom style="thin">
        <color auto="1"/>
      </bottom>
      <diagonal/>
    </border>
    <border>
      <left/>
      <right style="medium">
        <color auto="1"/>
      </right>
      <top/>
      <bottom style="thin">
        <color auto="1"/>
      </bottom>
      <diagonal/>
    </border>
    <border>
      <left style="medium">
        <color indexed="64"/>
      </left>
      <right style="thin">
        <color indexed="64"/>
      </right>
      <top style="medium">
        <color indexed="64"/>
      </top>
      <bottom style="medium">
        <color indexed="64"/>
      </bottom>
      <diagonal/>
    </border>
    <border>
      <left style="thin">
        <color indexed="64"/>
      </left>
      <right style="medium">
        <color indexed="64"/>
      </right>
      <top style="medium">
        <color indexed="64"/>
      </top>
      <bottom style="medium">
        <color indexed="64"/>
      </bottom>
      <diagonal/>
    </border>
    <border>
      <left/>
      <right style="medium">
        <color auto="1"/>
      </right>
      <top/>
      <bottom style="medium">
        <color auto="1"/>
      </bottom>
      <diagonal/>
    </border>
    <border>
      <left style="thin">
        <color auto="1"/>
      </left>
      <right style="thin">
        <color auto="1"/>
      </right>
      <top style="thin">
        <color auto="1"/>
      </top>
      <bottom style="medium">
        <color auto="1"/>
      </bottom>
      <diagonal/>
    </border>
    <border>
      <left/>
      <right/>
      <top style="thin">
        <color indexed="64"/>
      </top>
      <bottom/>
      <diagonal/>
    </border>
    <border>
      <left/>
      <right style="thin">
        <color indexed="64"/>
      </right>
      <top style="thin">
        <color indexed="64"/>
      </top>
      <bottom style="thin">
        <color indexed="64"/>
      </bottom>
      <diagonal/>
    </border>
    <border>
      <left style="medium">
        <color auto="1"/>
      </left>
      <right style="medium">
        <color auto="1"/>
      </right>
      <top style="medium">
        <color auto="1"/>
      </top>
      <bottom style="medium">
        <color auto="1"/>
      </bottom>
      <diagonal/>
    </border>
    <border>
      <left/>
      <right/>
      <top/>
      <bottom style="medium">
        <color indexed="64"/>
      </bottom>
      <diagonal/>
    </border>
    <border>
      <left style="medium">
        <color auto="1"/>
      </left>
      <right/>
      <top style="medium">
        <color auto="1"/>
      </top>
      <bottom style="medium">
        <color auto="1"/>
      </bottom>
      <diagonal/>
    </border>
    <border>
      <left/>
      <right/>
      <top style="medium">
        <color indexed="64"/>
      </top>
      <bottom style="medium">
        <color indexed="64"/>
      </bottom>
      <diagonal/>
    </border>
    <border>
      <left/>
      <right style="medium">
        <color indexed="64"/>
      </right>
      <top style="medium">
        <color indexed="64"/>
      </top>
      <bottom style="medium">
        <color indexed="64"/>
      </bottom>
      <diagonal/>
    </border>
    <border>
      <left style="thin">
        <color auto="1"/>
      </left>
      <right/>
      <top/>
      <bottom style="thin">
        <color auto="1"/>
      </bottom>
      <diagonal/>
    </border>
    <border>
      <left style="thin">
        <color indexed="64"/>
      </left>
      <right style="thin">
        <color indexed="64"/>
      </right>
      <top style="thin">
        <color indexed="64"/>
      </top>
      <bottom/>
      <diagonal/>
    </border>
    <border>
      <left style="medium">
        <color indexed="64"/>
      </left>
      <right style="thin">
        <color indexed="64"/>
      </right>
      <top/>
      <bottom style="medium">
        <color indexed="64"/>
      </bottom>
      <diagonal/>
    </border>
    <border>
      <left style="thin">
        <color indexed="64"/>
      </left>
      <right style="medium">
        <color indexed="64"/>
      </right>
      <top/>
      <bottom style="medium">
        <color indexed="64"/>
      </bottom>
      <diagonal/>
    </border>
    <border>
      <left/>
      <right style="thin">
        <color auto="1"/>
      </right>
      <top style="medium">
        <color auto="1"/>
      </top>
      <bottom style="thin">
        <color auto="1"/>
      </bottom>
      <diagonal/>
    </border>
    <border>
      <left style="medium">
        <color auto="1"/>
      </left>
      <right/>
      <top style="thin">
        <color auto="1"/>
      </top>
      <bottom style="thin">
        <color auto="1"/>
      </bottom>
      <diagonal/>
    </border>
    <border>
      <left style="medium">
        <color auto="1"/>
      </left>
      <right/>
      <top style="thin">
        <color auto="1"/>
      </top>
      <bottom style="medium">
        <color auto="1"/>
      </bottom>
      <diagonal/>
    </border>
    <border>
      <left/>
      <right style="thin">
        <color auto="1"/>
      </right>
      <top style="thin">
        <color auto="1"/>
      </top>
      <bottom style="medium">
        <color auto="1"/>
      </bottom>
      <diagonal/>
    </border>
    <border>
      <left style="medium">
        <color auto="1"/>
      </left>
      <right style="thin">
        <color auto="1"/>
      </right>
      <top style="medium">
        <color auto="1"/>
      </top>
      <bottom/>
      <diagonal/>
    </border>
    <border>
      <left style="thin">
        <color auto="1"/>
      </left>
      <right style="thin">
        <color auto="1"/>
      </right>
      <top style="medium">
        <color auto="1"/>
      </top>
      <bottom/>
      <diagonal/>
    </border>
    <border>
      <left style="thin">
        <color auto="1"/>
      </left>
      <right style="thin">
        <color auto="1"/>
      </right>
      <top/>
      <bottom style="thin">
        <color auto="1"/>
      </bottom>
      <diagonal/>
    </border>
  </borders>
  <cellStyleXfs count="4">
    <xf numFmtId="0" fontId="0" fillId="0" borderId="0"/>
    <xf numFmtId="44" fontId="1" fillId="0" borderId="0" applyFont="0" applyFill="0" applyBorder="0" applyAlignment="0" applyProtection="0"/>
    <xf numFmtId="9" fontId="1" fillId="0" borderId="0" applyFont="0" applyFill="0" applyBorder="0" applyAlignment="0" applyProtection="0"/>
    <xf numFmtId="0" fontId="22" fillId="0" borderId="0" applyNumberFormat="0" applyFill="0" applyBorder="0" applyAlignment="0" applyProtection="0"/>
  </cellStyleXfs>
  <cellXfs count="468">
    <xf numFmtId="0" fontId="0" fillId="0" borderId="0" xfId="0"/>
    <xf numFmtId="0" fontId="3" fillId="0" borderId="0" xfId="0" applyFont="1"/>
    <xf numFmtId="0" fontId="0" fillId="0" borderId="1" xfId="0" applyBorder="1" applyAlignment="1">
      <alignment horizontal="left" vertical="center" wrapText="1"/>
    </xf>
    <xf numFmtId="6" fontId="0" fillId="0" borderId="0" xfId="0" applyNumberFormat="1"/>
    <xf numFmtId="8" fontId="0" fillId="0" borderId="0" xfId="0" applyNumberFormat="1"/>
    <xf numFmtId="44" fontId="0" fillId="0" borderId="0" xfId="1" applyFont="1"/>
    <xf numFmtId="164" fontId="0" fillId="0" borderId="0" xfId="1" applyNumberFormat="1" applyFont="1"/>
    <xf numFmtId="164" fontId="0" fillId="0" borderId="0" xfId="0" applyNumberFormat="1"/>
    <xf numFmtId="2" fontId="0" fillId="0" borderId="0" xfId="0" applyNumberFormat="1"/>
    <xf numFmtId="44" fontId="0" fillId="0" borderId="0" xfId="0" applyNumberFormat="1"/>
    <xf numFmtId="0" fontId="0" fillId="0" borderId="1" xfId="0" applyBorder="1" applyAlignment="1">
      <alignment vertical="center" wrapText="1"/>
    </xf>
    <xf numFmtId="8" fontId="4" fillId="0" borderId="0" xfId="0" applyNumberFormat="1" applyFont="1"/>
    <xf numFmtId="0" fontId="0" fillId="0" borderId="0" xfId="0" applyAlignment="1">
      <alignment horizontal="center"/>
    </xf>
    <xf numFmtId="0" fontId="0" fillId="0" borderId="1" xfId="0" applyBorder="1" applyAlignment="1">
      <alignment horizontal="center" wrapText="1"/>
    </xf>
    <xf numFmtId="0" fontId="0" fillId="0" borderId="0" xfId="0" applyAlignment="1">
      <alignment horizontal="center" wrapText="1"/>
    </xf>
    <xf numFmtId="164" fontId="5" fillId="0" borderId="0" xfId="1" applyNumberFormat="1" applyFont="1"/>
    <xf numFmtId="0" fontId="6" fillId="0" borderId="0" xfId="0" applyFont="1"/>
    <xf numFmtId="0" fontId="7" fillId="0" borderId="0" xfId="0" applyFont="1"/>
    <xf numFmtId="0" fontId="0" fillId="0" borderId="3" xfId="0" applyBorder="1" applyAlignment="1">
      <alignment horizontal="center" wrapText="1"/>
    </xf>
    <xf numFmtId="6" fontId="0" fillId="0" borderId="3" xfId="0" applyNumberFormat="1" applyBorder="1"/>
    <xf numFmtId="8" fontId="0" fillId="0" borderId="3" xfId="0" applyNumberFormat="1" applyBorder="1"/>
    <xf numFmtId="0" fontId="4" fillId="0" borderId="0" xfId="0" applyFont="1"/>
    <xf numFmtId="44" fontId="0" fillId="0" borderId="0" xfId="1" applyFont="1" applyFill="1"/>
    <xf numFmtId="44" fontId="0" fillId="0" borderId="4" xfId="1" applyFont="1" applyFill="1" applyBorder="1" applyAlignment="1">
      <alignment horizontal="center" wrapText="1"/>
    </xf>
    <xf numFmtId="0" fontId="0" fillId="0" borderId="0" xfId="0" applyAlignment="1">
      <alignment wrapText="1"/>
    </xf>
    <xf numFmtId="8" fontId="0" fillId="0" borderId="0" xfId="1" applyNumberFormat="1" applyFont="1"/>
    <xf numFmtId="0" fontId="8" fillId="0" borderId="0" xfId="0" applyFont="1" applyAlignment="1">
      <alignment vertical="center"/>
    </xf>
    <xf numFmtId="0" fontId="2" fillId="0" borderId="0" xfId="0" applyFont="1"/>
    <xf numFmtId="165" fontId="0" fillId="0" borderId="0" xfId="0" applyNumberFormat="1" applyAlignment="1">
      <alignment wrapText="1"/>
    </xf>
    <xf numFmtId="165" fontId="0" fillId="0" borderId="0" xfId="0" applyNumberFormat="1"/>
    <xf numFmtId="0" fontId="11" fillId="0" borderId="0" xfId="0" applyFont="1"/>
    <xf numFmtId="0" fontId="11" fillId="0" borderId="1" xfId="0" applyFont="1" applyBorder="1" applyAlignment="1">
      <alignment horizontal="center" wrapText="1"/>
    </xf>
    <xf numFmtId="0" fontId="11" fillId="0" borderId="1" xfId="0" applyFont="1" applyBorder="1" applyAlignment="1">
      <alignment vertical="center" wrapText="1"/>
    </xf>
    <xf numFmtId="8" fontId="11" fillId="0" borderId="0" xfId="0" applyNumberFormat="1" applyFont="1"/>
    <xf numFmtId="164" fontId="11" fillId="0" borderId="0" xfId="0" applyNumberFormat="1" applyFont="1"/>
    <xf numFmtId="164" fontId="3" fillId="0" borderId="0" xfId="0" applyNumberFormat="1" applyFont="1"/>
    <xf numFmtId="165" fontId="11" fillId="0" borderId="0" xfId="0" applyNumberFormat="1" applyFont="1"/>
    <xf numFmtId="164" fontId="11" fillId="0" borderId="1" xfId="0" applyNumberFormat="1" applyFont="1" applyBorder="1" applyAlignment="1">
      <alignment vertical="center" wrapText="1"/>
    </xf>
    <xf numFmtId="167" fontId="0" fillId="0" borderId="0" xfId="2" applyNumberFormat="1" applyFont="1"/>
    <xf numFmtId="167" fontId="3" fillId="0" borderId="0" xfId="2" applyNumberFormat="1" applyFont="1"/>
    <xf numFmtId="165" fontId="3" fillId="0" borderId="0" xfId="0" applyNumberFormat="1" applyFont="1"/>
    <xf numFmtId="10" fontId="0" fillId="0" borderId="0" xfId="2" applyNumberFormat="1" applyFont="1"/>
    <xf numFmtId="167" fontId="6" fillId="0" borderId="0" xfId="2" applyNumberFormat="1" applyFont="1"/>
    <xf numFmtId="165" fontId="6" fillId="0" borderId="0" xfId="0" applyNumberFormat="1" applyFont="1"/>
    <xf numFmtId="167" fontId="6" fillId="0" borderId="0" xfId="0" applyNumberFormat="1" applyFont="1"/>
    <xf numFmtId="164" fontId="6" fillId="0" borderId="0" xfId="0" applyNumberFormat="1" applyFont="1"/>
    <xf numFmtId="167" fontId="15" fillId="0" borderId="0" xfId="0" applyNumberFormat="1" applyFont="1"/>
    <xf numFmtId="166" fontId="0" fillId="0" borderId="0" xfId="0" applyNumberFormat="1"/>
    <xf numFmtId="0" fontId="0" fillId="0" borderId="0" xfId="0" applyAlignment="1">
      <alignment vertical="center" wrapText="1"/>
    </xf>
    <xf numFmtId="10" fontId="0" fillId="0" borderId="0" xfId="0" applyNumberFormat="1" applyAlignment="1">
      <alignment vertical="center" wrapText="1"/>
    </xf>
    <xf numFmtId="167" fontId="0" fillId="0" borderId="0" xfId="2" applyNumberFormat="1" applyFont="1" applyBorder="1" applyAlignment="1">
      <alignment vertical="center" wrapText="1"/>
    </xf>
    <xf numFmtId="165" fontId="0" fillId="0" borderId="0" xfId="0" applyNumberFormat="1" applyAlignment="1">
      <alignment vertical="center" wrapText="1"/>
    </xf>
    <xf numFmtId="164" fontId="0" fillId="0" borderId="0" xfId="0" applyNumberFormat="1" applyAlignment="1">
      <alignment vertical="center" wrapText="1"/>
    </xf>
    <xf numFmtId="164" fontId="0" fillId="0" borderId="0" xfId="2" applyNumberFormat="1" applyFont="1"/>
    <xf numFmtId="169" fontId="0" fillId="0" borderId="0" xfId="0" applyNumberFormat="1"/>
    <xf numFmtId="0" fontId="16" fillId="0" borderId="0" xfId="0" applyFont="1" applyAlignment="1">
      <alignment vertical="center"/>
    </xf>
    <xf numFmtId="165" fontId="11" fillId="0" borderId="0" xfId="1" applyNumberFormat="1" applyFont="1"/>
    <xf numFmtId="165" fontId="11" fillId="0" borderId="5" xfId="0" applyNumberFormat="1" applyFont="1" applyBorder="1" applyAlignment="1">
      <alignment vertical="center" wrapText="1"/>
    </xf>
    <xf numFmtId="0" fontId="11" fillId="0" borderId="1" xfId="0" applyFont="1" applyBorder="1" applyAlignment="1">
      <alignment horizontal="center" vertical="center" wrapText="1"/>
    </xf>
    <xf numFmtId="164" fontId="11" fillId="0" borderId="1" xfId="0" applyNumberFormat="1" applyFont="1" applyBorder="1" applyAlignment="1">
      <alignment horizontal="center" vertical="center" wrapText="1"/>
    </xf>
    <xf numFmtId="164" fontId="11" fillId="5" borderId="0" xfId="0" applyNumberFormat="1" applyFont="1" applyFill="1" applyAlignment="1" applyProtection="1">
      <alignment horizontal="center" wrapText="1"/>
      <protection locked="0"/>
    </xf>
    <xf numFmtId="0" fontId="11" fillId="5" borderId="0" xfId="0" applyFont="1" applyFill="1" applyProtection="1">
      <protection locked="0"/>
    </xf>
    <xf numFmtId="0" fontId="6" fillId="0" borderId="0" xfId="0" applyFont="1" applyAlignment="1">
      <alignment wrapText="1"/>
    </xf>
    <xf numFmtId="164" fontId="0" fillId="0" borderId="0" xfId="0" applyNumberFormat="1" applyAlignment="1">
      <alignment horizontal="right" wrapText="1"/>
    </xf>
    <xf numFmtId="2" fontId="0" fillId="0" borderId="0" xfId="2" applyNumberFormat="1" applyFont="1"/>
    <xf numFmtId="2" fontId="0" fillId="0" borderId="0" xfId="2" applyNumberFormat="1" applyFont="1" applyBorder="1" applyAlignment="1">
      <alignment horizontal="right" wrapText="1" indent="1"/>
    </xf>
    <xf numFmtId="164" fontId="8" fillId="0" borderId="0" xfId="0" applyNumberFormat="1" applyFont="1" applyAlignment="1">
      <alignment vertical="center"/>
    </xf>
    <xf numFmtId="2" fontId="6" fillId="0" borderId="0" xfId="0" applyNumberFormat="1" applyFont="1"/>
    <xf numFmtId="2" fontId="0" fillId="0" borderId="0" xfId="0" applyNumberFormat="1" applyAlignment="1">
      <alignment vertical="center" wrapText="1"/>
    </xf>
    <xf numFmtId="164" fontId="0" fillId="0" borderId="0" xfId="2" applyNumberFormat="1" applyFont="1" applyBorder="1" applyAlignment="1">
      <alignment vertical="center" wrapText="1"/>
    </xf>
    <xf numFmtId="165" fontId="0" fillId="0" borderId="0" xfId="2" applyNumberFormat="1" applyFont="1" applyBorder="1" applyAlignment="1">
      <alignment vertical="center" wrapText="1"/>
    </xf>
    <xf numFmtId="44" fontId="0" fillId="0" borderId="0" xfId="1" applyFont="1" applyFill="1" applyBorder="1" applyAlignment="1">
      <alignment horizontal="center" wrapText="1"/>
    </xf>
    <xf numFmtId="164" fontId="0" fillId="0" borderId="3" xfId="0" applyNumberFormat="1" applyBorder="1" applyAlignment="1">
      <alignment horizontal="right" wrapText="1"/>
    </xf>
    <xf numFmtId="0" fontId="0" fillId="0" borderId="0" xfId="0" applyAlignment="1">
      <alignment horizontal="left" vertical="center" wrapText="1"/>
    </xf>
    <xf numFmtId="0" fontId="0" fillId="0" borderId="0" xfId="0" applyAlignment="1">
      <alignment horizontal="left" wrapText="1"/>
    </xf>
    <xf numFmtId="164" fontId="3" fillId="0" borderId="0" xfId="0" applyNumberFormat="1" applyFont="1" applyAlignment="1">
      <alignment horizontal="right"/>
    </xf>
    <xf numFmtId="164" fontId="0" fillId="0" borderId="0" xfId="0" applyNumberFormat="1" applyAlignment="1">
      <alignment horizontal="right"/>
    </xf>
    <xf numFmtId="0" fontId="18" fillId="0" borderId="0" xfId="0" applyFont="1"/>
    <xf numFmtId="164" fontId="18" fillId="0" borderId="0" xfId="0" applyNumberFormat="1" applyFont="1"/>
    <xf numFmtId="0" fontId="18" fillId="0" borderId="0" xfId="0" applyFont="1" applyAlignment="1">
      <alignment horizontal="center"/>
    </xf>
    <xf numFmtId="0" fontId="18" fillId="0" borderId="0" xfId="0" applyFont="1" applyAlignment="1">
      <alignment wrapText="1"/>
    </xf>
    <xf numFmtId="0" fontId="19" fillId="0" borderId="0" xfId="0" applyFont="1"/>
    <xf numFmtId="0" fontId="0" fillId="0" borderId="0" xfId="0" applyAlignment="1">
      <alignment vertical="top" wrapText="1"/>
    </xf>
    <xf numFmtId="0" fontId="19" fillId="0" borderId="0" xfId="0" applyFont="1" applyAlignment="1">
      <alignment vertical="center"/>
    </xf>
    <xf numFmtId="0" fontId="20" fillId="8" borderId="0" xfId="0" applyFont="1" applyFill="1" applyAlignment="1">
      <alignment vertical="center"/>
    </xf>
    <xf numFmtId="164" fontId="18" fillId="0" borderId="0" xfId="0" applyNumberFormat="1" applyFont="1" applyAlignment="1">
      <alignment horizontal="left"/>
    </xf>
    <xf numFmtId="164" fontId="0" fillId="0" borderId="0" xfId="0" applyNumberFormat="1" applyAlignment="1">
      <alignment horizontal="left"/>
    </xf>
    <xf numFmtId="0" fontId="22" fillId="0" borderId="0" xfId="3"/>
    <xf numFmtId="0" fontId="0" fillId="0" borderId="0" xfId="0" applyAlignment="1">
      <alignment horizontal="left"/>
    </xf>
    <xf numFmtId="165" fontId="0" fillId="0" borderId="0" xfId="0" applyNumberFormat="1" applyAlignment="1">
      <alignment horizontal="right"/>
    </xf>
    <xf numFmtId="165" fontId="8" fillId="0" borderId="0" xfId="0" applyNumberFormat="1" applyFont="1" applyAlignment="1">
      <alignment vertical="center"/>
    </xf>
    <xf numFmtId="165" fontId="10" fillId="0" borderId="0" xfId="0" applyNumberFormat="1" applyFont="1" applyAlignment="1">
      <alignment vertical="center"/>
    </xf>
    <xf numFmtId="0" fontId="23" fillId="0" borderId="0" xfId="0" applyFont="1"/>
    <xf numFmtId="0" fontId="23" fillId="0" borderId="0" xfId="0" applyFont="1" applyAlignment="1">
      <alignment wrapText="1"/>
    </xf>
    <xf numFmtId="165" fontId="23" fillId="0" borderId="0" xfId="0" applyNumberFormat="1" applyFont="1" applyAlignment="1">
      <alignment wrapText="1"/>
    </xf>
    <xf numFmtId="165" fontId="23" fillId="0" borderId="0" xfId="0" applyNumberFormat="1" applyFont="1"/>
    <xf numFmtId="0" fontId="8" fillId="0" borderId="0" xfId="0" applyFont="1"/>
    <xf numFmtId="0" fontId="26" fillId="0" borderId="0" xfId="0" applyFont="1" applyAlignment="1">
      <alignment vertical="center" wrapText="1"/>
    </xf>
    <xf numFmtId="6" fontId="26" fillId="0" borderId="0" xfId="0" applyNumberFormat="1" applyFont="1" applyAlignment="1">
      <alignment vertical="center" wrapText="1"/>
    </xf>
    <xf numFmtId="2" fontId="18" fillId="0" borderId="0" xfId="2" applyNumberFormat="1" applyFont="1" applyAlignment="1">
      <alignment wrapText="1"/>
    </xf>
    <xf numFmtId="164" fontId="18" fillId="0" borderId="0" xfId="2" applyNumberFormat="1" applyFont="1"/>
    <xf numFmtId="8" fontId="8" fillId="0" borderId="0" xfId="0" applyNumberFormat="1" applyFont="1"/>
    <xf numFmtId="164" fontId="18" fillId="0" borderId="0" xfId="0" applyNumberFormat="1" applyFont="1" applyAlignment="1">
      <alignment wrapText="1"/>
    </xf>
    <xf numFmtId="164" fontId="18" fillId="0" borderId="0" xfId="0" applyNumberFormat="1" applyFont="1" applyAlignment="1">
      <alignment horizontal="center" wrapText="1"/>
    </xf>
    <xf numFmtId="0" fontId="23" fillId="0" borderId="1" xfId="0" applyFont="1" applyBorder="1" applyAlignment="1">
      <alignment horizontal="center" wrapText="1"/>
    </xf>
    <xf numFmtId="6" fontId="0" fillId="0" borderId="0" xfId="0" applyNumberFormat="1" applyAlignment="1">
      <alignment horizontal="center" vertical="center"/>
    </xf>
    <xf numFmtId="165" fontId="0" fillId="0" borderId="0" xfId="0" applyNumberFormat="1" applyAlignment="1">
      <alignment horizontal="center" vertical="center"/>
    </xf>
    <xf numFmtId="0" fontId="0" fillId="0" borderId="0" xfId="0" applyAlignment="1">
      <alignment horizontal="center" vertical="center"/>
    </xf>
    <xf numFmtId="0" fontId="0" fillId="0" borderId="0" xfId="0" applyAlignment="1">
      <alignment horizontal="center" vertical="center" wrapText="1"/>
    </xf>
    <xf numFmtId="0" fontId="18" fillId="0" borderId="0" xfId="0" applyFont="1" applyAlignment="1">
      <alignment horizontal="center" vertical="center" wrapText="1"/>
    </xf>
    <xf numFmtId="164" fontId="8" fillId="0" borderId="0" xfId="0" applyNumberFormat="1" applyFont="1"/>
    <xf numFmtId="0" fontId="14" fillId="5" borderId="9" xfId="0" applyFont="1" applyFill="1" applyBorder="1" applyAlignment="1" applyProtection="1">
      <alignment horizontal="center" vertical="center" wrapText="1"/>
      <protection locked="0"/>
    </xf>
    <xf numFmtId="0" fontId="13" fillId="5" borderId="9" xfId="0" applyFont="1" applyFill="1" applyBorder="1" applyAlignment="1" applyProtection="1">
      <alignment horizontal="right"/>
      <protection locked="0"/>
    </xf>
    <xf numFmtId="0" fontId="13" fillId="5" borderId="11" xfId="0" applyFont="1" applyFill="1" applyBorder="1" applyAlignment="1" applyProtection="1">
      <alignment horizontal="right"/>
      <protection locked="0"/>
    </xf>
    <xf numFmtId="164" fontId="11" fillId="0" borderId="9" xfId="0" applyNumberFormat="1" applyFont="1" applyBorder="1" applyAlignment="1" applyProtection="1">
      <alignment horizontal="center" wrapText="1"/>
      <protection locked="0"/>
    </xf>
    <xf numFmtId="0" fontId="11" fillId="0" borderId="9" xfId="0" applyFont="1" applyBorder="1" applyProtection="1">
      <protection locked="0"/>
    </xf>
    <xf numFmtId="164" fontId="2" fillId="0" borderId="0" xfId="0" applyNumberFormat="1" applyFont="1"/>
    <xf numFmtId="165" fontId="0" fillId="0" borderId="0" xfId="0" applyNumberFormat="1" applyAlignment="1">
      <alignment horizontal="right" wrapText="1"/>
    </xf>
    <xf numFmtId="164" fontId="18" fillId="0" borderId="0" xfId="0" applyNumberFormat="1" applyFont="1" applyAlignment="1">
      <alignment horizontal="left" wrapText="1"/>
    </xf>
    <xf numFmtId="0" fontId="32" fillId="0" borderId="0" xfId="0" applyFont="1"/>
    <xf numFmtId="0" fontId="2" fillId="0" borderId="0" xfId="0" applyFont="1" applyAlignment="1">
      <alignment horizontal="left"/>
    </xf>
    <xf numFmtId="164" fontId="33" fillId="0" borderId="1" xfId="0" applyNumberFormat="1" applyFont="1" applyBorder="1" applyAlignment="1">
      <alignment horizontal="center" wrapText="1"/>
    </xf>
    <xf numFmtId="2" fontId="33" fillId="0" borderId="1" xfId="2" applyNumberFormat="1" applyFont="1" applyBorder="1" applyAlignment="1">
      <alignment horizontal="center" wrapText="1"/>
    </xf>
    <xf numFmtId="0" fontId="33" fillId="0" borderId="1" xfId="0" applyFont="1" applyBorder="1" applyAlignment="1">
      <alignment horizontal="center" wrapText="1"/>
    </xf>
    <xf numFmtId="0" fontId="8" fillId="3" borderId="0" xfId="0" applyFont="1" applyFill="1" applyAlignment="1">
      <alignment vertical="center"/>
    </xf>
    <xf numFmtId="0" fontId="8" fillId="4" borderId="0" xfId="0" applyFont="1" applyFill="1" applyAlignment="1">
      <alignment vertical="center"/>
    </xf>
    <xf numFmtId="0" fontId="10" fillId="4" borderId="0" xfId="0" applyFont="1" applyFill="1" applyAlignment="1">
      <alignment vertical="center"/>
    </xf>
    <xf numFmtId="164" fontId="18" fillId="0" borderId="0" xfId="0" applyNumberFormat="1" applyFont="1" applyAlignment="1">
      <alignment horizontal="center" vertical="center"/>
    </xf>
    <xf numFmtId="3" fontId="0" fillId="0" borderId="0" xfId="0" applyNumberFormat="1"/>
    <xf numFmtId="165" fontId="18" fillId="0" borderId="0" xfId="0" applyNumberFormat="1" applyFont="1" applyAlignment="1">
      <alignment wrapText="1"/>
    </xf>
    <xf numFmtId="164" fontId="0" fillId="8" borderId="0" xfId="0" applyNumberFormat="1" applyFill="1" applyAlignment="1">
      <alignment horizontal="right" wrapText="1"/>
    </xf>
    <xf numFmtId="164" fontId="18" fillId="0" borderId="0" xfId="1" applyNumberFormat="1" applyFont="1"/>
    <xf numFmtId="0" fontId="11" fillId="5" borderId="10" xfId="0" applyFont="1" applyFill="1" applyBorder="1" applyProtection="1">
      <protection locked="0"/>
    </xf>
    <xf numFmtId="0" fontId="11" fillId="5" borderId="27" xfId="0" applyFont="1" applyFill="1" applyBorder="1" applyProtection="1">
      <protection locked="0"/>
    </xf>
    <xf numFmtId="0" fontId="3" fillId="0" borderId="0" xfId="0" applyFont="1" applyAlignment="1">
      <alignment wrapText="1"/>
    </xf>
    <xf numFmtId="0" fontId="36" fillId="0" borderId="0" xfId="0" applyFont="1"/>
    <xf numFmtId="6" fontId="36" fillId="0" borderId="0" xfId="0" applyNumberFormat="1" applyFont="1"/>
    <xf numFmtId="6" fontId="32" fillId="0" borderId="0" xfId="0" applyNumberFormat="1" applyFont="1"/>
    <xf numFmtId="164" fontId="2" fillId="0" borderId="0" xfId="1" applyNumberFormat="1" applyFont="1"/>
    <xf numFmtId="168" fontId="2" fillId="0" borderId="0" xfId="1" applyNumberFormat="1" applyFont="1"/>
    <xf numFmtId="166" fontId="36" fillId="0" borderId="0" xfId="0" applyNumberFormat="1" applyFont="1"/>
    <xf numFmtId="8" fontId="2" fillId="0" borderId="0" xfId="0" applyNumberFormat="1" applyFont="1"/>
    <xf numFmtId="166" fontId="2" fillId="0" borderId="0" xfId="0" applyNumberFormat="1" applyFont="1"/>
    <xf numFmtId="6" fontId="2" fillId="0" borderId="0" xfId="0" applyNumberFormat="1" applyFont="1" applyAlignment="1">
      <alignment wrapText="1"/>
    </xf>
    <xf numFmtId="165" fontId="2" fillId="0" borderId="0" xfId="0" applyNumberFormat="1" applyFont="1" applyAlignment="1">
      <alignment wrapText="1"/>
    </xf>
    <xf numFmtId="10" fontId="2" fillId="0" borderId="0" xfId="2" applyNumberFormat="1" applyFont="1"/>
    <xf numFmtId="167" fontId="2" fillId="0" borderId="0" xfId="2" applyNumberFormat="1" applyFont="1" applyAlignment="1">
      <alignment wrapText="1"/>
    </xf>
    <xf numFmtId="10" fontId="0" fillId="0" borderId="0" xfId="0" applyNumberFormat="1"/>
    <xf numFmtId="0" fontId="18" fillId="0" borderId="0" xfId="0" applyFont="1" applyAlignment="1">
      <alignment horizontal="center" vertical="center"/>
    </xf>
    <xf numFmtId="0" fontId="11" fillId="0" borderId="0" xfId="0" applyFont="1" applyProtection="1">
      <protection locked="0"/>
    </xf>
    <xf numFmtId="164" fontId="0" fillId="0" borderId="0" xfId="0" applyNumberFormat="1" applyAlignment="1">
      <alignment horizontal="center"/>
    </xf>
    <xf numFmtId="165" fontId="18" fillId="0" borderId="0" xfId="0" applyNumberFormat="1" applyFont="1"/>
    <xf numFmtId="9" fontId="18" fillId="0" borderId="0" xfId="2" applyFont="1"/>
    <xf numFmtId="10" fontId="18" fillId="0" borderId="0" xfId="2" applyNumberFormat="1" applyFont="1"/>
    <xf numFmtId="0" fontId="0" fillId="8" borderId="0" xfId="0" applyFill="1"/>
    <xf numFmtId="165" fontId="18" fillId="0" borderId="0" xfId="0" applyNumberFormat="1" applyFont="1" applyAlignment="1">
      <alignment horizontal="center" vertical="center"/>
    </xf>
    <xf numFmtId="164" fontId="0" fillId="0" borderId="0" xfId="1" applyNumberFormat="1" applyFont="1" applyFill="1"/>
    <xf numFmtId="165" fontId="0" fillId="0" borderId="0" xfId="0" applyNumberFormat="1" applyAlignment="1">
      <alignment horizontal="center"/>
    </xf>
    <xf numFmtId="165" fontId="0" fillId="0" borderId="0" xfId="0" applyNumberFormat="1" applyAlignment="1">
      <alignment horizontal="center" wrapText="1"/>
    </xf>
    <xf numFmtId="165" fontId="2" fillId="0" borderId="0" xfId="0" applyNumberFormat="1" applyFont="1"/>
    <xf numFmtId="165" fontId="0" fillId="8" borderId="0" xfId="0" applyNumberFormat="1" applyFill="1" applyAlignment="1">
      <alignment horizontal="center" wrapText="1"/>
    </xf>
    <xf numFmtId="164" fontId="0" fillId="8" borderId="0" xfId="0" applyNumberFormat="1" applyFill="1" applyAlignment="1">
      <alignment horizontal="right"/>
    </xf>
    <xf numFmtId="165" fontId="0" fillId="0" borderId="1" xfId="0" applyNumberFormat="1" applyBorder="1" applyAlignment="1">
      <alignment horizontal="center" wrapText="1"/>
    </xf>
    <xf numFmtId="165" fontId="0" fillId="0" borderId="1" xfId="0" applyNumberFormat="1" applyBorder="1" applyAlignment="1">
      <alignment horizontal="center" vertical="center" wrapText="1"/>
    </xf>
    <xf numFmtId="164" fontId="0" fillId="8" borderId="0" xfId="1" applyNumberFormat="1" applyFont="1" applyFill="1" applyBorder="1" applyAlignment="1">
      <alignment horizontal="right" vertical="center" wrapText="1"/>
    </xf>
    <xf numFmtId="0" fontId="8" fillId="0" borderId="0" xfId="0" applyFont="1" applyAlignment="1">
      <alignment wrapText="1"/>
    </xf>
    <xf numFmtId="0" fontId="0" fillId="0" borderId="0" xfId="0" applyAlignment="1">
      <alignment vertical="center"/>
    </xf>
    <xf numFmtId="0" fontId="41" fillId="0" borderId="0" xfId="0" applyFont="1" applyAlignment="1">
      <alignment vertical="center"/>
    </xf>
    <xf numFmtId="6" fontId="40" fillId="0" borderId="0" xfId="0" applyNumberFormat="1" applyFont="1" applyAlignment="1">
      <alignment vertical="center" wrapText="1"/>
    </xf>
    <xf numFmtId="0" fontId="42" fillId="0" borderId="0" xfId="0" applyFont="1" applyAlignment="1">
      <alignment vertical="center" wrapText="1"/>
    </xf>
    <xf numFmtId="0" fontId="43" fillId="0" borderId="0" xfId="0" applyFont="1" applyAlignment="1">
      <alignment vertical="top" wrapText="1"/>
    </xf>
    <xf numFmtId="6" fontId="43" fillId="0" borderId="0" xfId="0" applyNumberFormat="1" applyFont="1" applyAlignment="1">
      <alignment vertical="top" wrapText="1"/>
    </xf>
    <xf numFmtId="0" fontId="45" fillId="0" borderId="0" xfId="0" applyFont="1" applyAlignment="1">
      <alignment vertical="top" wrapText="1"/>
    </xf>
    <xf numFmtId="0" fontId="45" fillId="0" borderId="0" xfId="0" applyFont="1"/>
    <xf numFmtId="6" fontId="45" fillId="0" borderId="0" xfId="0" applyNumberFormat="1" applyFont="1"/>
    <xf numFmtId="0" fontId="0" fillId="8" borderId="3" xfId="0" applyFill="1" applyBorder="1" applyAlignment="1">
      <alignment horizontal="center" wrapText="1"/>
    </xf>
    <xf numFmtId="8" fontId="0" fillId="8" borderId="3" xfId="0" applyNumberFormat="1" applyFill="1" applyBorder="1"/>
    <xf numFmtId="9" fontId="8" fillId="0" borderId="0" xfId="0" applyNumberFormat="1" applyFont="1" applyAlignment="1">
      <alignment wrapText="1"/>
    </xf>
    <xf numFmtId="164" fontId="0" fillId="8" borderId="3" xfId="0" applyNumberFormat="1" applyFill="1" applyBorder="1"/>
    <xf numFmtId="164" fontId="0" fillId="8" borderId="0" xfId="0" applyNumberFormat="1" applyFill="1"/>
    <xf numFmtId="8" fontId="0" fillId="0" borderId="29" xfId="0" applyNumberFormat="1" applyBorder="1"/>
    <xf numFmtId="165" fontId="0" fillId="0" borderId="0" xfId="1" applyNumberFormat="1" applyFont="1" applyBorder="1" applyAlignment="1">
      <alignment horizontal="center"/>
    </xf>
    <xf numFmtId="165" fontId="0" fillId="0" borderId="0" xfId="1" applyNumberFormat="1" applyFont="1" applyBorder="1"/>
    <xf numFmtId="164" fontId="11" fillId="0" borderId="0" xfId="0" applyNumberFormat="1" applyFont="1" applyAlignment="1">
      <alignment vertical="center" wrapText="1"/>
    </xf>
    <xf numFmtId="164" fontId="11" fillId="0" borderId="0" xfId="0" applyNumberFormat="1" applyFont="1" applyAlignment="1">
      <alignment horizontal="center" vertical="center" wrapText="1"/>
    </xf>
    <xf numFmtId="165" fontId="11" fillId="0" borderId="0" xfId="0" applyNumberFormat="1" applyFont="1" applyAlignment="1">
      <alignment vertical="center" wrapText="1"/>
    </xf>
    <xf numFmtId="165" fontId="11" fillId="0" borderId="0" xfId="0" applyNumberFormat="1" applyFont="1" applyAlignment="1">
      <alignment horizontal="center" wrapText="1"/>
    </xf>
    <xf numFmtId="165" fontId="33" fillId="8" borderId="1" xfId="0" applyNumberFormat="1" applyFont="1" applyFill="1" applyBorder="1" applyAlignment="1">
      <alignment horizontal="center" wrapText="1"/>
    </xf>
    <xf numFmtId="0" fontId="0" fillId="0" borderId="29" xfId="0" applyBorder="1" applyAlignment="1">
      <alignment horizontal="center" wrapText="1"/>
    </xf>
    <xf numFmtId="164" fontId="0" fillId="7" borderId="0" xfId="0" applyNumberFormat="1" applyFill="1" applyAlignment="1">
      <alignment horizontal="center" wrapText="1"/>
    </xf>
    <xf numFmtId="0" fontId="2" fillId="7" borderId="1" xfId="0" applyFont="1" applyFill="1" applyBorder="1" applyAlignment="1">
      <alignment horizontal="center" vertical="center" wrapText="1"/>
    </xf>
    <xf numFmtId="0" fontId="0" fillId="0" borderId="1" xfId="0" applyBorder="1" applyAlignment="1">
      <alignment horizontal="center" vertical="center" wrapText="1"/>
    </xf>
    <xf numFmtId="0" fontId="2" fillId="8" borderId="1" xfId="0" applyFont="1" applyFill="1" applyBorder="1" applyAlignment="1">
      <alignment horizontal="center" vertical="center" wrapText="1"/>
    </xf>
    <xf numFmtId="6" fontId="11" fillId="0" borderId="0" xfId="0" applyNumberFormat="1" applyFont="1" applyAlignment="1">
      <alignment horizontal="center" vertical="center" wrapText="1"/>
    </xf>
    <xf numFmtId="164" fontId="0" fillId="0" borderId="0" xfId="0" applyNumberFormat="1" applyAlignment="1">
      <alignment horizontal="left" vertical="center" wrapText="1"/>
    </xf>
    <xf numFmtId="0" fontId="0" fillId="0" borderId="2" xfId="0" applyBorder="1" applyAlignment="1">
      <alignment horizontal="left" vertical="center" wrapText="1"/>
    </xf>
    <xf numFmtId="164" fontId="0" fillId="0" borderId="30" xfId="0" applyNumberFormat="1" applyBorder="1" applyAlignment="1">
      <alignment horizontal="center" vertical="center" wrapText="1"/>
    </xf>
    <xf numFmtId="165" fontId="11" fillId="0" borderId="0" xfId="0" applyNumberFormat="1" applyFont="1" applyAlignment="1">
      <alignment horizontal="center" vertical="center" wrapText="1"/>
    </xf>
    <xf numFmtId="0" fontId="32" fillId="0" borderId="0" xfId="0" applyFont="1" applyAlignment="1">
      <alignment wrapText="1"/>
    </xf>
    <xf numFmtId="0" fontId="2" fillId="0" borderId="2" xfId="0" applyFont="1" applyBorder="1" applyAlignment="1">
      <alignment horizontal="center" vertical="center" wrapText="1"/>
    </xf>
    <xf numFmtId="0" fontId="2" fillId="0" borderId="1" xfId="0" applyFont="1" applyBorder="1" applyAlignment="1">
      <alignment horizontal="center" vertical="center" wrapText="1"/>
    </xf>
    <xf numFmtId="0" fontId="0" fillId="0" borderId="1" xfId="0" applyBorder="1" applyAlignment="1">
      <alignment horizontal="center" vertical="center"/>
    </xf>
    <xf numFmtId="164" fontId="2" fillId="8" borderId="1" xfId="0" applyNumberFormat="1" applyFont="1" applyFill="1" applyBorder="1" applyAlignment="1">
      <alignment horizontal="center" vertical="center" wrapText="1"/>
    </xf>
    <xf numFmtId="8" fontId="4" fillId="8" borderId="0" xfId="0" applyNumberFormat="1" applyFont="1" applyFill="1"/>
    <xf numFmtId="8" fontId="0" fillId="8" borderId="0" xfId="0" applyNumberFormat="1" applyFill="1"/>
    <xf numFmtId="8" fontId="11" fillId="0" borderId="0" xfId="0" applyNumberFormat="1" applyFont="1" applyAlignment="1">
      <alignment vertical="center" wrapText="1"/>
    </xf>
    <xf numFmtId="165" fontId="11" fillId="15" borderId="0" xfId="0" applyNumberFormat="1" applyFont="1" applyFill="1" applyAlignment="1">
      <alignment horizontal="center" wrapText="1"/>
    </xf>
    <xf numFmtId="8" fontId="11" fillId="15" borderId="0" xfId="0" applyNumberFormat="1" applyFont="1" applyFill="1"/>
    <xf numFmtId="165" fontId="11" fillId="15" borderId="0" xfId="0" applyNumberFormat="1" applyFont="1" applyFill="1" applyAlignment="1">
      <alignment vertical="center" wrapText="1"/>
    </xf>
    <xf numFmtId="6" fontId="11" fillId="15" borderId="0" xfId="0" applyNumberFormat="1" applyFont="1" applyFill="1" applyAlignment="1">
      <alignment horizontal="center" vertical="center" wrapText="1"/>
    </xf>
    <xf numFmtId="164" fontId="11" fillId="15" borderId="0" xfId="0" applyNumberFormat="1" applyFont="1" applyFill="1" applyAlignment="1">
      <alignment horizontal="center" vertical="center" wrapText="1"/>
    </xf>
    <xf numFmtId="165" fontId="11" fillId="15" borderId="0" xfId="0" applyNumberFormat="1" applyFont="1" applyFill="1" applyAlignment="1">
      <alignment horizontal="center" vertical="center" wrapText="1"/>
    </xf>
    <xf numFmtId="8" fontId="11" fillId="15" borderId="0" xfId="0" applyNumberFormat="1" applyFont="1" applyFill="1" applyAlignment="1">
      <alignment vertical="center" wrapText="1"/>
    </xf>
    <xf numFmtId="164" fontId="11" fillId="15" borderId="0" xfId="0" applyNumberFormat="1" applyFont="1" applyFill="1"/>
    <xf numFmtId="0" fontId="11" fillId="15" borderId="0" xfId="0" applyFont="1" applyFill="1"/>
    <xf numFmtId="164" fontId="11" fillId="0" borderId="0" xfId="0" applyNumberFormat="1" applyFont="1" applyProtection="1">
      <protection locked="0"/>
    </xf>
    <xf numFmtId="165" fontId="11" fillId="0" borderId="0" xfId="0" applyNumberFormat="1" applyFont="1" applyProtection="1">
      <protection locked="0"/>
    </xf>
    <xf numFmtId="0" fontId="11" fillId="0" borderId="0" xfId="0" applyFont="1" applyAlignment="1" applyProtection="1">
      <alignment horizontal="center" wrapText="1"/>
      <protection locked="0"/>
    </xf>
    <xf numFmtId="0" fontId="11" fillId="0" borderId="0" xfId="0" applyFont="1" applyAlignment="1" applyProtection="1">
      <alignment vertical="center" wrapText="1"/>
      <protection locked="0"/>
    </xf>
    <xf numFmtId="0" fontId="11" fillId="0" borderId="0" xfId="0" applyFont="1" applyAlignment="1" applyProtection="1">
      <alignment horizontal="center" vertical="center" wrapText="1"/>
      <protection locked="0"/>
    </xf>
    <xf numFmtId="164" fontId="11" fillId="0" borderId="0" xfId="0" applyNumberFormat="1" applyFont="1" applyAlignment="1" applyProtection="1">
      <alignment vertical="center" wrapText="1"/>
      <protection locked="0"/>
    </xf>
    <xf numFmtId="164" fontId="11" fillId="0" borderId="0" xfId="0" applyNumberFormat="1" applyFont="1" applyAlignment="1" applyProtection="1">
      <alignment horizontal="center" vertical="center" wrapText="1"/>
      <protection locked="0"/>
    </xf>
    <xf numFmtId="165" fontId="11" fillId="0" borderId="0" xfId="0" applyNumberFormat="1" applyFont="1" applyAlignment="1" applyProtection="1">
      <alignment vertical="center" wrapText="1"/>
      <protection locked="0"/>
    </xf>
    <xf numFmtId="164" fontId="11" fillId="0" borderId="0" xfId="0" applyNumberFormat="1" applyFont="1" applyAlignment="1" applyProtection="1">
      <alignment horizontal="right" wrapText="1"/>
      <protection locked="0"/>
    </xf>
    <xf numFmtId="8" fontId="11" fillId="0" borderId="0" xfId="0" applyNumberFormat="1" applyFont="1" applyProtection="1">
      <protection locked="0"/>
    </xf>
    <xf numFmtId="165" fontId="11" fillId="0" borderId="0" xfId="1" applyNumberFormat="1" applyFont="1" applyBorder="1" applyProtection="1">
      <protection locked="0"/>
    </xf>
    <xf numFmtId="0" fontId="14" fillId="0" borderId="9" xfId="0" applyFont="1" applyBorder="1" applyAlignment="1" applyProtection="1">
      <alignment horizontal="center" vertical="center" wrapText="1"/>
      <protection locked="0"/>
    </xf>
    <xf numFmtId="0" fontId="35" fillId="5" borderId="0" xfId="0" applyFont="1" applyFill="1" applyProtection="1">
      <protection locked="0"/>
    </xf>
    <xf numFmtId="0" fontId="28" fillId="0" borderId="0" xfId="0" applyFont="1" applyAlignment="1" applyProtection="1">
      <alignment wrapText="1"/>
      <protection locked="0"/>
    </xf>
    <xf numFmtId="0" fontId="27" fillId="10" borderId="14" xfId="0" applyFont="1" applyFill="1" applyBorder="1" applyProtection="1">
      <protection locked="0"/>
    </xf>
    <xf numFmtId="0" fontId="11" fillId="11" borderId="15" xfId="0" applyFont="1" applyFill="1" applyBorder="1" applyAlignment="1" applyProtection="1">
      <alignment horizontal="center" vertical="center"/>
      <protection locked="0"/>
    </xf>
    <xf numFmtId="0" fontId="27" fillId="10" borderId="16" xfId="0" applyFont="1" applyFill="1" applyBorder="1" applyAlignment="1" applyProtection="1">
      <alignment wrapText="1"/>
      <protection locked="0"/>
    </xf>
    <xf numFmtId="0" fontId="28" fillId="0" borderId="0" xfId="0" applyFont="1" applyAlignment="1" applyProtection="1">
      <alignment horizontal="left" wrapText="1"/>
      <protection locked="0"/>
    </xf>
    <xf numFmtId="0" fontId="27" fillId="10" borderId="19" xfId="0" applyFont="1" applyFill="1" applyBorder="1" applyProtection="1">
      <protection locked="0"/>
    </xf>
    <xf numFmtId="0" fontId="27" fillId="11" borderId="20" xfId="0" applyFont="1" applyFill="1" applyBorder="1" applyProtection="1">
      <protection locked="0"/>
    </xf>
    <xf numFmtId="0" fontId="12" fillId="10" borderId="14" xfId="0" applyFont="1" applyFill="1" applyBorder="1" applyAlignment="1" applyProtection="1">
      <alignment horizontal="right"/>
      <protection locked="0"/>
    </xf>
    <xf numFmtId="0" fontId="11" fillId="11" borderId="15" xfId="0" applyFont="1" applyFill="1" applyBorder="1" applyProtection="1">
      <protection locked="0"/>
    </xf>
    <xf numFmtId="0" fontId="12" fillId="10" borderId="16" xfId="0" applyFont="1" applyFill="1" applyBorder="1" applyAlignment="1" applyProtection="1">
      <alignment horizontal="right"/>
      <protection locked="0"/>
    </xf>
    <xf numFmtId="0" fontId="11" fillId="11" borderId="17" xfId="0" applyFont="1" applyFill="1" applyBorder="1" applyProtection="1">
      <protection locked="0"/>
    </xf>
    <xf numFmtId="0" fontId="11" fillId="0" borderId="0" xfId="0" applyFont="1" applyAlignment="1" applyProtection="1">
      <alignment horizontal="right"/>
      <protection locked="0"/>
    </xf>
    <xf numFmtId="0" fontId="28" fillId="0" borderId="0" xfId="0" applyFont="1" applyAlignment="1" applyProtection="1">
      <alignment horizontal="left" vertical="center" wrapText="1"/>
      <protection locked="0"/>
    </xf>
    <xf numFmtId="0" fontId="12" fillId="16" borderId="25" xfId="0" applyFont="1" applyFill="1" applyBorder="1" applyAlignment="1" applyProtection="1">
      <alignment horizontal="right" vertical="center"/>
      <protection locked="0"/>
    </xf>
    <xf numFmtId="0" fontId="12" fillId="7" borderId="25" xfId="0" applyFont="1" applyFill="1" applyBorder="1" applyAlignment="1" applyProtection="1">
      <alignment horizontal="center" vertical="center" wrapText="1"/>
      <protection locked="0"/>
    </xf>
    <xf numFmtId="0" fontId="12" fillId="7" borderId="26" xfId="0" applyFont="1" applyFill="1" applyBorder="1" applyAlignment="1" applyProtection="1">
      <alignment horizontal="center" vertical="center" wrapText="1"/>
      <protection locked="0"/>
    </xf>
    <xf numFmtId="8" fontId="12" fillId="13" borderId="12" xfId="0" applyNumberFormat="1" applyFont="1" applyFill="1" applyBorder="1" applyAlignment="1" applyProtection="1">
      <alignment horizontal="center" vertical="center" wrapText="1"/>
      <protection locked="0"/>
    </xf>
    <xf numFmtId="0" fontId="39" fillId="13" borderId="18" xfId="0" applyFont="1" applyFill="1" applyBorder="1" applyAlignment="1" applyProtection="1">
      <alignment horizontal="center" vertical="center" wrapText="1"/>
      <protection locked="0"/>
    </xf>
    <xf numFmtId="0" fontId="37" fillId="13" borderId="18" xfId="0" applyFont="1" applyFill="1" applyBorder="1" applyAlignment="1" applyProtection="1">
      <alignment horizontal="center" vertical="center" wrapText="1"/>
      <protection locked="0"/>
    </xf>
    <xf numFmtId="0" fontId="12" fillId="13" borderId="18" xfId="0" applyFont="1" applyFill="1" applyBorder="1" applyAlignment="1" applyProtection="1">
      <alignment horizontal="center" vertical="center"/>
      <protection locked="0"/>
    </xf>
    <xf numFmtId="0" fontId="12" fillId="13" borderId="13" xfId="0" applyFont="1" applyFill="1" applyBorder="1" applyAlignment="1" applyProtection="1">
      <alignment horizontal="center" vertical="center"/>
      <protection locked="0"/>
    </xf>
    <xf numFmtId="165" fontId="11" fillId="0" borderId="0" xfId="1" applyNumberFormat="1" applyFont="1" applyProtection="1">
      <protection locked="0"/>
    </xf>
    <xf numFmtId="165" fontId="31" fillId="7" borderId="3" xfId="0" applyNumberFormat="1" applyFont="1" applyFill="1" applyBorder="1" applyAlignment="1" applyProtection="1">
      <alignment horizontal="right"/>
      <protection locked="0"/>
    </xf>
    <xf numFmtId="165" fontId="17" fillId="0" borderId="0" xfId="0" applyNumberFormat="1" applyFont="1" applyProtection="1">
      <protection locked="0"/>
    </xf>
    <xf numFmtId="0" fontId="17" fillId="0" borderId="0" xfId="0" applyFont="1" applyProtection="1">
      <protection locked="0"/>
    </xf>
    <xf numFmtId="0" fontId="11" fillId="0" borderId="0" xfId="0" applyFont="1" applyAlignment="1" applyProtection="1">
      <alignment horizontal="center"/>
      <protection locked="0"/>
    </xf>
    <xf numFmtId="9" fontId="0" fillId="0" borderId="0" xfId="0" applyNumberFormat="1"/>
    <xf numFmtId="9" fontId="46" fillId="0" borderId="0" xfId="0" applyNumberFormat="1" applyFont="1"/>
    <xf numFmtId="0" fontId="46" fillId="0" borderId="0" xfId="0" applyFont="1"/>
    <xf numFmtId="9" fontId="18" fillId="0" borderId="0" xfId="0" applyNumberFormat="1" applyFont="1"/>
    <xf numFmtId="6" fontId="18" fillId="0" borderId="0" xfId="0" applyNumberFormat="1" applyFont="1"/>
    <xf numFmtId="9" fontId="48" fillId="0" borderId="0" xfId="0" applyNumberFormat="1" applyFont="1" applyAlignment="1">
      <alignment vertical="top" wrapText="1"/>
    </xf>
    <xf numFmtId="6" fontId="48" fillId="0" borderId="0" xfId="0" applyNumberFormat="1" applyFont="1" applyAlignment="1">
      <alignment vertical="top" wrapText="1"/>
    </xf>
    <xf numFmtId="0" fontId="48" fillId="0" borderId="0" xfId="0" applyFont="1" applyAlignment="1">
      <alignment vertical="top" wrapText="1"/>
    </xf>
    <xf numFmtId="0" fontId="0" fillId="0" borderId="0" xfId="0" applyAlignment="1">
      <alignment horizontal="right"/>
    </xf>
    <xf numFmtId="0" fontId="0" fillId="0" borderId="0" xfId="0" applyAlignment="1">
      <alignment horizontal="right" wrapText="1"/>
    </xf>
    <xf numFmtId="164" fontId="0" fillId="0" borderId="0" xfId="0" applyNumberFormat="1" applyAlignment="1">
      <alignment wrapText="1"/>
    </xf>
    <xf numFmtId="0" fontId="27" fillId="13" borderId="14" xfId="0" applyFont="1" applyFill="1" applyBorder="1" applyAlignment="1" applyProtection="1">
      <alignment horizontal="center" vertical="center" wrapText="1"/>
      <protection locked="0"/>
    </xf>
    <xf numFmtId="164" fontId="12" fillId="14" borderId="3" xfId="1" applyNumberFormat="1" applyFont="1" applyFill="1" applyBorder="1" applyAlignment="1" applyProtection="1">
      <alignment horizontal="center" vertical="center" wrapText="1"/>
      <protection locked="0"/>
    </xf>
    <xf numFmtId="164" fontId="12" fillId="14" borderId="14" xfId="0" applyNumberFormat="1" applyFont="1" applyFill="1" applyBorder="1" applyAlignment="1">
      <alignment horizontal="center" vertical="center"/>
    </xf>
    <xf numFmtId="164" fontId="12" fillId="14" borderId="3" xfId="0" applyNumberFormat="1" applyFont="1" applyFill="1" applyBorder="1" applyAlignment="1">
      <alignment horizontal="center" vertical="center"/>
    </xf>
    <xf numFmtId="164" fontId="12" fillId="14" borderId="15" xfId="0" applyNumberFormat="1" applyFont="1" applyFill="1" applyBorder="1" applyAlignment="1">
      <alignment horizontal="center" vertical="center"/>
    </xf>
    <xf numFmtId="164" fontId="12" fillId="2" borderId="19" xfId="0" applyNumberFormat="1" applyFont="1" applyFill="1" applyBorder="1" applyAlignment="1">
      <alignment horizontal="center" vertical="center"/>
    </xf>
    <xf numFmtId="164" fontId="12" fillId="2" borderId="20" xfId="0" applyNumberFormat="1" applyFont="1" applyFill="1" applyBorder="1" applyAlignment="1">
      <alignment horizontal="center" vertical="center"/>
    </xf>
    <xf numFmtId="165" fontId="11" fillId="0" borderId="0" xfId="1" applyNumberFormat="1" applyFont="1" applyAlignment="1" applyProtection="1">
      <alignment horizontal="center" vertical="center"/>
      <protection locked="0"/>
    </xf>
    <xf numFmtId="0" fontId="11" fillId="0" borderId="0" xfId="0" applyFont="1" applyAlignment="1" applyProtection="1">
      <alignment horizontal="center" vertical="center"/>
      <protection locked="0"/>
    </xf>
    <xf numFmtId="8" fontId="11" fillId="0" borderId="0" xfId="0" applyNumberFormat="1" applyFont="1" applyAlignment="1" applyProtection="1">
      <alignment horizontal="center" vertical="center"/>
      <protection locked="0"/>
    </xf>
    <xf numFmtId="165" fontId="11" fillId="0" borderId="0" xfId="0" applyNumberFormat="1" applyFont="1" applyAlignment="1" applyProtection="1">
      <alignment horizontal="center" vertical="center"/>
      <protection locked="0"/>
    </xf>
    <xf numFmtId="164" fontId="11" fillId="0" borderId="0" xfId="0" applyNumberFormat="1" applyFont="1" applyAlignment="1" applyProtection="1">
      <alignment horizontal="center" vertical="center"/>
      <protection locked="0"/>
    </xf>
    <xf numFmtId="165" fontId="11" fillId="0" borderId="0" xfId="1" applyNumberFormat="1" applyFont="1" applyAlignment="1" applyProtection="1">
      <alignment vertical="center"/>
      <protection locked="0"/>
    </xf>
    <xf numFmtId="0" fontId="11" fillId="0" borderId="0" xfId="0" applyFont="1" applyAlignment="1" applyProtection="1">
      <alignment vertical="center"/>
      <protection locked="0"/>
    </xf>
    <xf numFmtId="8" fontId="11" fillId="0" borderId="0" xfId="0" applyNumberFormat="1" applyFont="1" applyAlignment="1" applyProtection="1">
      <alignment vertical="center"/>
      <protection locked="0"/>
    </xf>
    <xf numFmtId="165" fontId="11" fillId="0" borderId="0" xfId="0" applyNumberFormat="1" applyFont="1" applyAlignment="1" applyProtection="1">
      <alignment vertical="center"/>
      <protection locked="0"/>
    </xf>
    <xf numFmtId="164" fontId="11" fillId="0" borderId="0" xfId="0" applyNumberFormat="1" applyFont="1" applyAlignment="1" applyProtection="1">
      <alignment vertical="center"/>
      <protection locked="0"/>
    </xf>
    <xf numFmtId="164" fontId="12" fillId="14" borderId="16" xfId="0" applyNumberFormat="1" applyFont="1" applyFill="1" applyBorder="1" applyAlignment="1">
      <alignment horizontal="center" vertical="center"/>
    </xf>
    <xf numFmtId="164" fontId="12" fillId="14" borderId="28" xfId="0" applyNumberFormat="1" applyFont="1" applyFill="1" applyBorder="1" applyAlignment="1">
      <alignment horizontal="center" vertical="center"/>
    </xf>
    <xf numFmtId="164" fontId="12" fillId="14" borderId="17" xfId="0" applyNumberFormat="1" applyFont="1" applyFill="1" applyBorder="1" applyAlignment="1">
      <alignment horizontal="center" vertical="center"/>
    </xf>
    <xf numFmtId="8" fontId="12" fillId="2" borderId="16" xfId="0" applyNumberFormat="1" applyFont="1" applyFill="1" applyBorder="1" applyAlignment="1">
      <alignment horizontal="center" vertical="center"/>
    </xf>
    <xf numFmtId="8" fontId="12" fillId="2" borderId="17" xfId="0" applyNumberFormat="1" applyFont="1" applyFill="1" applyBorder="1" applyAlignment="1">
      <alignment horizontal="center" vertical="center"/>
    </xf>
    <xf numFmtId="164" fontId="12" fillId="14" borderId="28" xfId="0" applyNumberFormat="1" applyFont="1" applyFill="1" applyBorder="1" applyAlignment="1" applyProtection="1">
      <alignment horizontal="center" vertical="center" wrapText="1"/>
      <protection locked="0"/>
    </xf>
    <xf numFmtId="0" fontId="27" fillId="13" borderId="16" xfId="0" applyFont="1" applyFill="1" applyBorder="1" applyAlignment="1" applyProtection="1">
      <alignment horizontal="center" vertical="center" wrapText="1"/>
      <protection locked="0"/>
    </xf>
    <xf numFmtId="164" fontId="0" fillId="8" borderId="0" xfId="2" applyNumberFormat="1" applyFont="1" applyFill="1"/>
    <xf numFmtId="164" fontId="0" fillId="0" borderId="0" xfId="1" applyNumberFormat="1" applyFont="1" applyAlignment="1">
      <alignment wrapText="1"/>
    </xf>
    <xf numFmtId="0" fontId="12" fillId="15" borderId="17" xfId="0" applyFont="1" applyFill="1" applyBorder="1" applyAlignment="1">
      <alignment horizontal="center" vertical="center" wrapText="1"/>
    </xf>
    <xf numFmtId="0" fontId="27" fillId="10" borderId="16" xfId="0" applyFont="1" applyFill="1" applyBorder="1" applyAlignment="1" applyProtection="1">
      <alignment horizontal="right" wrapText="1"/>
      <protection locked="0"/>
    </xf>
    <xf numFmtId="165" fontId="0" fillId="0" borderId="0" xfId="1" applyNumberFormat="1" applyFont="1"/>
    <xf numFmtId="0" fontId="11" fillId="21" borderId="13" xfId="0" applyFont="1" applyFill="1" applyBorder="1" applyAlignment="1" applyProtection="1">
      <alignment horizontal="center"/>
      <protection locked="0"/>
    </xf>
    <xf numFmtId="0" fontId="49" fillId="13" borderId="25" xfId="0" applyFont="1" applyFill="1" applyBorder="1" applyAlignment="1" applyProtection="1">
      <alignment horizontal="center" vertical="center" wrapText="1"/>
      <protection locked="0"/>
    </xf>
    <xf numFmtId="164" fontId="12" fillId="14" borderId="26" xfId="1" applyNumberFormat="1" applyFont="1" applyFill="1" applyBorder="1" applyAlignment="1" applyProtection="1">
      <alignment horizontal="center" vertical="center" wrapText="1"/>
      <protection locked="0"/>
    </xf>
    <xf numFmtId="0" fontId="12" fillId="20" borderId="12" xfId="0" applyFont="1" applyFill="1" applyBorder="1" applyAlignment="1" applyProtection="1">
      <alignment horizontal="right" wrapText="1"/>
      <protection locked="0"/>
    </xf>
    <xf numFmtId="0" fontId="0" fillId="8" borderId="0" xfId="0" applyFill="1" applyAlignment="1">
      <alignment horizontal="center" vertical="center"/>
    </xf>
    <xf numFmtId="0" fontId="22" fillId="0" borderId="0" xfId="3" quotePrefix="1"/>
    <xf numFmtId="0" fontId="11" fillId="11" borderId="15" xfId="0" applyFont="1" applyFill="1" applyBorder="1" applyAlignment="1" applyProtection="1">
      <alignment wrapText="1"/>
      <protection locked="0"/>
    </xf>
    <xf numFmtId="0" fontId="5" fillId="0" borderId="0" xfId="0" applyFont="1" applyAlignment="1">
      <alignment horizontal="center"/>
    </xf>
    <xf numFmtId="0" fontId="52" fillId="0" borderId="0" xfId="0" applyFont="1"/>
    <xf numFmtId="164" fontId="11" fillId="11" borderId="26" xfId="0" applyNumberFormat="1" applyFont="1" applyFill="1" applyBorder="1" applyAlignment="1" applyProtection="1">
      <alignment horizontal="center" vertical="center"/>
      <protection locked="0"/>
    </xf>
    <xf numFmtId="164" fontId="54" fillId="0" borderId="0" xfId="0" applyNumberFormat="1" applyFont="1" applyAlignment="1">
      <alignment horizontal="center" vertical="center" wrapText="1"/>
    </xf>
    <xf numFmtId="0" fontId="55" fillId="19" borderId="31" xfId="0" applyFont="1" applyFill="1" applyBorder="1" applyAlignment="1" applyProtection="1">
      <alignment vertical="center" wrapText="1"/>
      <protection locked="0"/>
    </xf>
    <xf numFmtId="0" fontId="27" fillId="0" borderId="7" xfId="0" applyFont="1" applyBorder="1" applyAlignment="1" applyProtection="1">
      <alignment horizontal="right"/>
      <protection locked="0"/>
    </xf>
    <xf numFmtId="0" fontId="27" fillId="10" borderId="25" xfId="0" applyFont="1" applyFill="1" applyBorder="1" applyAlignment="1" applyProtection="1">
      <alignment horizontal="right" wrapText="1"/>
      <protection locked="0"/>
    </xf>
    <xf numFmtId="0" fontId="11" fillId="0" borderId="32" xfId="0" applyFont="1" applyBorder="1" applyAlignment="1" applyProtection="1">
      <alignment horizontal="right"/>
      <protection locked="0"/>
    </xf>
    <xf numFmtId="0" fontId="11" fillId="0" borderId="32" xfId="0" applyFont="1" applyBorder="1" applyProtection="1">
      <protection locked="0"/>
    </xf>
    <xf numFmtId="0" fontId="12" fillId="13" borderId="18" xfId="0" applyFont="1" applyFill="1" applyBorder="1" applyAlignment="1" applyProtection="1">
      <alignment horizontal="center" vertical="center" wrapText="1"/>
      <protection locked="0"/>
    </xf>
    <xf numFmtId="164" fontId="18" fillId="0" borderId="0" xfId="0" applyNumberFormat="1" applyFont="1" applyAlignment="1">
      <alignment horizontal="center"/>
    </xf>
    <xf numFmtId="164" fontId="0" fillId="0" borderId="0" xfId="0" applyNumberFormat="1" applyAlignment="1">
      <alignment horizontal="center" wrapText="1"/>
    </xf>
    <xf numFmtId="164" fontId="18" fillId="0" borderId="0" xfId="0" applyNumberFormat="1" applyFont="1" applyAlignment="1">
      <alignment horizontal="center" vertical="center" wrapText="1"/>
    </xf>
    <xf numFmtId="0" fontId="23" fillId="0" borderId="0" xfId="0" applyFont="1" applyAlignment="1">
      <alignment horizontal="center" vertical="center"/>
    </xf>
    <xf numFmtId="0" fontId="23" fillId="0" borderId="0" xfId="0" applyFont="1" applyAlignment="1">
      <alignment horizontal="left" vertical="center" wrapText="1"/>
    </xf>
    <xf numFmtId="0" fontId="40" fillId="0" borderId="0" xfId="0" applyFont="1" applyAlignment="1">
      <alignment vertical="center" wrapText="1"/>
    </xf>
    <xf numFmtId="0" fontId="11" fillId="11" borderId="26" xfId="0" applyFont="1" applyFill="1" applyBorder="1" applyProtection="1">
      <protection locked="0"/>
    </xf>
    <xf numFmtId="0" fontId="27" fillId="10" borderId="25" xfId="0" applyFont="1" applyFill="1" applyBorder="1" applyAlignment="1" applyProtection="1">
      <alignment horizontal="right" vertical="center" wrapText="1"/>
      <protection locked="0"/>
    </xf>
    <xf numFmtId="0" fontId="27" fillId="10" borderId="16" xfId="0" applyFont="1" applyFill="1" applyBorder="1" applyAlignment="1" applyProtection="1">
      <alignment horizontal="right"/>
      <protection locked="0"/>
    </xf>
    <xf numFmtId="0" fontId="12" fillId="2" borderId="13" xfId="0" applyFont="1" applyFill="1" applyBorder="1" applyAlignment="1" applyProtection="1">
      <alignment horizontal="center" vertical="center" wrapText="1"/>
      <protection locked="0"/>
    </xf>
    <xf numFmtId="0" fontId="11" fillId="6" borderId="17" xfId="0" applyFont="1" applyFill="1" applyBorder="1" applyAlignment="1" applyProtection="1">
      <alignment horizontal="center" vertical="center" wrapText="1"/>
      <protection locked="0"/>
    </xf>
    <xf numFmtId="0" fontId="13" fillId="22" borderId="0" xfId="0" applyFont="1" applyFill="1" applyAlignment="1" applyProtection="1">
      <alignment horizontal="right"/>
      <protection locked="0"/>
    </xf>
    <xf numFmtId="0" fontId="11" fillId="22" borderId="0" xfId="0" applyFont="1" applyFill="1" applyProtection="1">
      <protection locked="0"/>
    </xf>
    <xf numFmtId="0" fontId="27" fillId="22" borderId="5" xfId="0" applyFont="1" applyFill="1" applyBorder="1" applyAlignment="1" applyProtection="1">
      <alignment vertical="center" wrapText="1"/>
      <protection locked="0"/>
    </xf>
    <xf numFmtId="0" fontId="11" fillId="0" borderId="34" xfId="0" applyFont="1" applyBorder="1" applyProtection="1">
      <protection locked="0"/>
    </xf>
    <xf numFmtId="0" fontId="55" fillId="19" borderId="31" xfId="0" applyFont="1" applyFill="1" applyBorder="1" applyAlignment="1" applyProtection="1">
      <alignment horizontal="center" vertical="center" wrapText="1"/>
      <protection locked="0"/>
    </xf>
    <xf numFmtId="0" fontId="11" fillId="11" borderId="17" xfId="0" applyFont="1" applyFill="1" applyBorder="1" applyAlignment="1" applyProtection="1">
      <alignment wrapText="1"/>
      <protection locked="0"/>
    </xf>
    <xf numFmtId="0" fontId="12" fillId="0" borderId="0" xfId="0" applyFont="1" applyAlignment="1" applyProtection="1">
      <alignment horizontal="right"/>
      <protection locked="0"/>
    </xf>
    <xf numFmtId="0" fontId="4" fillId="0" borderId="0" xfId="0" applyFont="1" applyAlignment="1">
      <alignment wrapText="1"/>
    </xf>
    <xf numFmtId="0" fontId="11" fillId="19" borderId="0" xfId="0" applyFont="1" applyFill="1" applyAlignment="1" applyProtection="1">
      <alignment vertical="center" wrapText="1"/>
      <protection locked="0"/>
    </xf>
    <xf numFmtId="0" fontId="27" fillId="10" borderId="33" xfId="0" applyFont="1" applyFill="1" applyBorder="1" applyAlignment="1" applyProtection="1">
      <alignment horizontal="right" vertical="center" wrapText="1"/>
      <protection locked="0"/>
    </xf>
    <xf numFmtId="164" fontId="55" fillId="11" borderId="31" xfId="0" applyNumberFormat="1" applyFont="1" applyFill="1" applyBorder="1" applyAlignment="1" applyProtection="1">
      <alignment horizontal="right" wrapText="1"/>
      <protection locked="0"/>
    </xf>
    <xf numFmtId="0" fontId="27" fillId="10" borderId="31" xfId="0" applyFont="1" applyFill="1" applyBorder="1" applyAlignment="1" applyProtection="1">
      <alignment vertical="center" wrapText="1"/>
      <protection locked="0"/>
    </xf>
    <xf numFmtId="0" fontId="12" fillId="11" borderId="17" xfId="0" applyFont="1" applyFill="1" applyBorder="1" applyAlignment="1" applyProtection="1">
      <alignment horizontal="right"/>
      <protection locked="0"/>
    </xf>
    <xf numFmtId="0" fontId="12" fillId="0" borderId="7" xfId="0" applyFont="1" applyBorder="1" applyAlignment="1" applyProtection="1">
      <alignment horizontal="right"/>
      <protection locked="0"/>
    </xf>
    <xf numFmtId="0" fontId="12" fillId="11" borderId="26" xfId="0" applyFont="1" applyFill="1" applyBorder="1" applyAlignment="1" applyProtection="1">
      <alignment horizontal="right"/>
      <protection locked="0"/>
    </xf>
    <xf numFmtId="165" fontId="0" fillId="8" borderId="0" xfId="0" applyNumberFormat="1" applyFill="1"/>
    <xf numFmtId="0" fontId="2" fillId="0" borderId="37" xfId="0" applyFont="1" applyBorder="1" applyAlignment="1">
      <alignment horizontal="center" wrapText="1"/>
    </xf>
    <xf numFmtId="0" fontId="2" fillId="0" borderId="37" xfId="0" applyFont="1" applyBorder="1" applyAlignment="1">
      <alignment wrapText="1"/>
    </xf>
    <xf numFmtId="0" fontId="2" fillId="8" borderId="37" xfId="0" applyFont="1" applyFill="1" applyBorder="1" applyAlignment="1">
      <alignment wrapText="1"/>
    </xf>
    <xf numFmtId="0" fontId="55" fillId="11" borderId="33" xfId="0" applyFont="1" applyFill="1" applyBorder="1" applyAlignment="1" applyProtection="1">
      <alignment horizontal="right"/>
      <protection locked="0"/>
    </xf>
    <xf numFmtId="0" fontId="55" fillId="11" borderId="31" xfId="0" applyFont="1" applyFill="1" applyBorder="1" applyAlignment="1" applyProtection="1">
      <alignment horizontal="right"/>
      <protection locked="0"/>
    </xf>
    <xf numFmtId="0" fontId="12" fillId="11" borderId="26" xfId="0" applyFont="1" applyFill="1" applyBorder="1" applyProtection="1">
      <protection locked="0"/>
    </xf>
    <xf numFmtId="8" fontId="0" fillId="0" borderId="3" xfId="0" applyNumberFormat="1" applyBorder="1" applyAlignment="1">
      <alignment horizontal="center"/>
    </xf>
    <xf numFmtId="164" fontId="18" fillId="0" borderId="0" xfId="1" applyNumberFormat="1" applyFont="1" applyBorder="1"/>
    <xf numFmtId="8" fontId="0" fillId="22" borderId="3" xfId="0" applyNumberFormat="1" applyFill="1" applyBorder="1"/>
    <xf numFmtId="164" fontId="56" fillId="0" borderId="0" xfId="0" applyNumberFormat="1" applyFont="1" applyAlignment="1">
      <alignment horizontal="center" vertical="center" wrapText="1"/>
    </xf>
    <xf numFmtId="0" fontId="2" fillId="0" borderId="29" xfId="0" applyFont="1" applyBorder="1" applyAlignment="1">
      <alignment horizontal="center" wrapText="1"/>
    </xf>
    <xf numFmtId="0" fontId="32" fillId="0" borderId="0" xfId="0" applyFont="1" applyAlignment="1">
      <alignment horizontal="left" wrapText="1"/>
    </xf>
    <xf numFmtId="164" fontId="32" fillId="0" borderId="0" xfId="0" applyNumberFormat="1" applyFont="1" applyAlignment="1">
      <alignment wrapText="1"/>
    </xf>
    <xf numFmtId="0" fontId="32" fillId="0" borderId="0" xfId="0" applyFont="1" applyAlignment="1">
      <alignment horizontal="right" wrapText="1"/>
    </xf>
    <xf numFmtId="0" fontId="27" fillId="22" borderId="7" xfId="0" applyFont="1" applyFill="1" applyBorder="1" applyAlignment="1" applyProtection="1">
      <alignment horizontal="right" wrapText="1"/>
      <protection locked="0"/>
    </xf>
    <xf numFmtId="0" fontId="11" fillId="22" borderId="7" xfId="0" applyFont="1" applyFill="1" applyBorder="1" applyProtection="1">
      <protection locked="0"/>
    </xf>
    <xf numFmtId="0" fontId="12" fillId="16" borderId="38" xfId="0" applyFont="1" applyFill="1" applyBorder="1" applyAlignment="1" applyProtection="1">
      <alignment horizontal="right" vertical="center"/>
      <protection locked="0"/>
    </xf>
    <xf numFmtId="164" fontId="11" fillId="17" borderId="39" xfId="0" applyNumberFormat="1" applyFont="1" applyFill="1" applyBorder="1" applyAlignment="1" applyProtection="1">
      <alignment horizontal="center" vertical="center"/>
      <protection locked="0"/>
    </xf>
    <xf numFmtId="164" fontId="11" fillId="17" borderId="35" xfId="0" applyNumberFormat="1" applyFont="1" applyFill="1" applyBorder="1" applyAlignment="1" applyProtection="1">
      <alignment horizontal="center" vertical="center"/>
      <protection locked="0"/>
    </xf>
    <xf numFmtId="0" fontId="27" fillId="20" borderId="25" xfId="0" applyFont="1" applyFill="1" applyBorder="1" applyAlignment="1" applyProtection="1">
      <alignment horizontal="center" vertical="center" wrapText="1"/>
      <protection locked="0"/>
    </xf>
    <xf numFmtId="0" fontId="11" fillId="21" borderId="26" xfId="0" applyFont="1" applyFill="1" applyBorder="1" applyAlignment="1" applyProtection="1">
      <alignment horizontal="center" vertical="center"/>
      <protection locked="0"/>
    </xf>
    <xf numFmtId="164" fontId="11" fillId="21" borderId="26" xfId="0" applyNumberFormat="1" applyFont="1" applyFill="1" applyBorder="1" applyAlignment="1" applyProtection="1">
      <alignment horizontal="center" vertical="center"/>
      <protection locked="0"/>
    </xf>
    <xf numFmtId="0" fontId="0" fillId="0" borderId="29" xfId="0" applyBorder="1"/>
    <xf numFmtId="8" fontId="0" fillId="0" borderId="29" xfId="0" applyNumberFormat="1" applyBorder="1" applyAlignment="1">
      <alignment horizontal="center"/>
    </xf>
    <xf numFmtId="8" fontId="0" fillId="22" borderId="29" xfId="0" applyNumberFormat="1" applyFill="1" applyBorder="1"/>
    <xf numFmtId="8" fontId="0" fillId="0" borderId="5" xfId="0" applyNumberFormat="1" applyBorder="1"/>
    <xf numFmtId="8" fontId="0" fillId="0" borderId="5" xfId="0" applyNumberFormat="1" applyBorder="1" applyAlignment="1">
      <alignment horizontal="center"/>
    </xf>
    <xf numFmtId="8" fontId="0" fillId="22" borderId="5" xfId="0" applyNumberFormat="1" applyFill="1" applyBorder="1"/>
    <xf numFmtId="8" fontId="0" fillId="0" borderId="1" xfId="0" applyNumberFormat="1" applyBorder="1"/>
    <xf numFmtId="8" fontId="0" fillId="0" borderId="1" xfId="0" applyNumberFormat="1" applyBorder="1" applyAlignment="1">
      <alignment horizontal="center"/>
    </xf>
    <xf numFmtId="8" fontId="0" fillId="22" borderId="1" xfId="0" applyNumberFormat="1" applyFill="1" applyBorder="1"/>
    <xf numFmtId="164" fontId="2" fillId="0" borderId="3" xfId="0" applyNumberFormat="1" applyFont="1" applyBorder="1"/>
    <xf numFmtId="0" fontId="0" fillId="0" borderId="3" xfId="0" applyBorder="1"/>
    <xf numFmtId="164" fontId="0" fillId="0" borderId="3" xfId="0" applyNumberFormat="1" applyBorder="1" applyAlignment="1">
      <alignment horizontal="center"/>
    </xf>
    <xf numFmtId="0" fontId="57" fillId="11" borderId="26" xfId="0" applyFont="1" applyFill="1" applyBorder="1" applyProtection="1">
      <protection locked="0"/>
    </xf>
    <xf numFmtId="0" fontId="58" fillId="10" borderId="34" xfId="0" applyFont="1" applyFill="1" applyBorder="1" applyAlignment="1" applyProtection="1">
      <alignment horizontal="right" vertical="center" wrapText="1"/>
      <protection locked="0"/>
    </xf>
    <xf numFmtId="0" fontId="12" fillId="16" borderId="38" xfId="0" applyFont="1" applyFill="1" applyBorder="1" applyAlignment="1" applyProtection="1">
      <alignment horizontal="right" vertical="center" wrapText="1"/>
      <protection locked="0"/>
    </xf>
    <xf numFmtId="0" fontId="11" fillId="17" borderId="26" xfId="0" applyFont="1" applyFill="1" applyBorder="1" applyAlignment="1" applyProtection="1">
      <alignment horizontal="center" vertical="center" wrapText="1"/>
      <protection locked="0"/>
    </xf>
    <xf numFmtId="0" fontId="11" fillId="25" borderId="13" xfId="0" applyFont="1" applyFill="1" applyBorder="1" applyProtection="1">
      <protection locked="0"/>
    </xf>
    <xf numFmtId="0" fontId="11" fillId="25" borderId="15" xfId="0" applyFont="1" applyFill="1" applyBorder="1" applyProtection="1">
      <protection locked="0"/>
    </xf>
    <xf numFmtId="0" fontId="11" fillId="25" borderId="17" xfId="0" applyFont="1" applyFill="1" applyBorder="1" applyProtection="1">
      <protection locked="0"/>
    </xf>
    <xf numFmtId="0" fontId="27" fillId="10" borderId="31" xfId="0" applyFont="1" applyFill="1" applyBorder="1" applyAlignment="1" applyProtection="1">
      <alignment horizontal="right" vertical="center" wrapText="1"/>
      <protection locked="0"/>
    </xf>
    <xf numFmtId="0" fontId="12" fillId="11" borderId="31" xfId="0" applyFont="1" applyFill="1" applyBorder="1" applyAlignment="1" applyProtection="1">
      <alignment horizontal="right"/>
      <protection locked="0"/>
    </xf>
    <xf numFmtId="0" fontId="27" fillId="10" borderId="33" xfId="0" applyFont="1" applyFill="1" applyBorder="1" applyAlignment="1" applyProtection="1">
      <alignment vertical="center" wrapText="1"/>
      <protection locked="0"/>
    </xf>
    <xf numFmtId="0" fontId="54" fillId="0" borderId="0" xfId="0" applyFont="1" applyAlignment="1">
      <alignment horizontal="center" vertical="center" wrapText="1"/>
    </xf>
    <xf numFmtId="0" fontId="54" fillId="0" borderId="0" xfId="0" applyFont="1" applyAlignment="1">
      <alignment vertical="center" wrapText="1"/>
    </xf>
    <xf numFmtId="8" fontId="0" fillId="0" borderId="0" xfId="0" applyNumberFormat="1" applyAlignment="1">
      <alignment horizontal="center"/>
    </xf>
    <xf numFmtId="0" fontId="0" fillId="26" borderId="0" xfId="0" applyFill="1"/>
    <xf numFmtId="164" fontId="0" fillId="26" borderId="0" xfId="0" applyNumberFormat="1" applyFill="1"/>
    <xf numFmtId="0" fontId="22" fillId="0" borderId="0" xfId="3" applyProtection="1">
      <protection locked="0"/>
    </xf>
    <xf numFmtId="0" fontId="12" fillId="0" borderId="0" xfId="0" applyFont="1" applyAlignment="1" applyProtection="1">
      <alignment horizontal="right" wrapText="1"/>
      <protection locked="0"/>
    </xf>
    <xf numFmtId="0" fontId="61" fillId="0" borderId="0" xfId="0" applyFont="1" applyAlignment="1">
      <alignment vertical="center"/>
    </xf>
    <xf numFmtId="8" fontId="62" fillId="0" borderId="0" xfId="0" applyNumberFormat="1" applyFont="1"/>
    <xf numFmtId="0" fontId="62" fillId="0" borderId="0" xfId="0" applyFont="1"/>
    <xf numFmtId="0" fontId="11" fillId="19" borderId="0" xfId="0" applyFont="1" applyFill="1" applyAlignment="1" applyProtection="1">
      <alignment horizontal="center" vertical="center" wrapText="1"/>
      <protection locked="0"/>
    </xf>
    <xf numFmtId="0" fontId="12" fillId="8" borderId="33" xfId="0" applyFont="1" applyFill="1" applyBorder="1" applyAlignment="1" applyProtection="1">
      <alignment horizontal="center"/>
      <protection locked="0"/>
    </xf>
    <xf numFmtId="0" fontId="12" fillId="8" borderId="35" xfId="0" applyFont="1" applyFill="1" applyBorder="1" applyAlignment="1" applyProtection="1">
      <alignment horizontal="center"/>
      <protection locked="0"/>
    </xf>
    <xf numFmtId="0" fontId="12" fillId="8" borderId="0" xfId="0" applyFont="1" applyFill="1" applyAlignment="1" applyProtection="1">
      <alignment horizontal="center"/>
      <protection locked="0"/>
    </xf>
    <xf numFmtId="0" fontId="27" fillId="2" borderId="12" xfId="0" applyFont="1" applyFill="1" applyBorder="1" applyAlignment="1" applyProtection="1">
      <alignment horizontal="center" vertical="center" wrapText="1"/>
      <protection locked="0"/>
    </xf>
    <xf numFmtId="0" fontId="27" fillId="2" borderId="16" xfId="0" applyFont="1" applyFill="1" applyBorder="1" applyAlignment="1" applyProtection="1">
      <alignment horizontal="center" vertical="center" wrapText="1"/>
      <protection locked="0"/>
    </xf>
    <xf numFmtId="0" fontId="12" fillId="13" borderId="12" xfId="0" applyFont="1" applyFill="1" applyBorder="1" applyAlignment="1" applyProtection="1">
      <alignment horizontal="center" vertical="center" wrapText="1"/>
      <protection locked="0"/>
    </xf>
    <xf numFmtId="0" fontId="12" fillId="13" borderId="18" xfId="0" applyFont="1" applyFill="1" applyBorder="1" applyAlignment="1" applyProtection="1">
      <alignment horizontal="center" vertical="center" wrapText="1"/>
      <protection locked="0"/>
    </xf>
    <xf numFmtId="0" fontId="53" fillId="9" borderId="6" xfId="0" applyFont="1" applyFill="1" applyBorder="1" applyAlignment="1" applyProtection="1">
      <alignment horizontal="center" vertical="center" wrapText="1"/>
      <protection locked="0"/>
    </xf>
    <xf numFmtId="0" fontId="53" fillId="9" borderId="7" xfId="0" applyFont="1" applyFill="1" applyBorder="1" applyAlignment="1" applyProtection="1">
      <alignment horizontal="center" vertical="center" wrapText="1"/>
      <protection locked="0"/>
    </xf>
    <xf numFmtId="0" fontId="12" fillId="10" borderId="6" xfId="0" applyFont="1" applyFill="1" applyBorder="1" applyAlignment="1" applyProtection="1">
      <alignment horizontal="center" vertical="center"/>
      <protection locked="0"/>
    </xf>
    <xf numFmtId="0" fontId="12" fillId="10" borderId="8" xfId="0" applyFont="1" applyFill="1" applyBorder="1" applyAlignment="1" applyProtection="1">
      <alignment horizontal="center" vertical="center"/>
      <protection locked="0"/>
    </xf>
    <xf numFmtId="0" fontId="12" fillId="10" borderId="9" xfId="0" applyFont="1" applyFill="1" applyBorder="1" applyAlignment="1" applyProtection="1">
      <alignment horizontal="center" vertical="center"/>
      <protection locked="0"/>
    </xf>
    <xf numFmtId="0" fontId="12" fillId="10" borderId="10" xfId="0" applyFont="1" applyFill="1" applyBorder="1" applyAlignment="1" applyProtection="1">
      <alignment horizontal="center" vertical="center"/>
      <protection locked="0"/>
    </xf>
    <xf numFmtId="0" fontId="12" fillId="10" borderId="23" xfId="0" applyFont="1" applyFill="1" applyBorder="1" applyAlignment="1" applyProtection="1">
      <alignment horizontal="center" vertical="center"/>
      <protection locked="0"/>
    </xf>
    <xf numFmtId="0" fontId="12" fillId="10" borderId="24" xfId="0" applyFont="1" applyFill="1" applyBorder="1" applyAlignment="1" applyProtection="1">
      <alignment horizontal="center" vertical="center"/>
      <protection locked="0"/>
    </xf>
    <xf numFmtId="0" fontId="28" fillId="12" borderId="13" xfId="0" applyFont="1" applyFill="1" applyBorder="1" applyAlignment="1" applyProtection="1">
      <alignment horizontal="left" vertical="center" wrapText="1"/>
      <protection locked="0"/>
    </xf>
    <xf numFmtId="0" fontId="28" fillId="12" borderId="20" xfId="0" applyFont="1" applyFill="1" applyBorder="1" applyAlignment="1" applyProtection="1">
      <alignment horizontal="left" vertical="center" wrapText="1"/>
      <protection locked="0"/>
    </xf>
    <xf numFmtId="0" fontId="28" fillId="12" borderId="15" xfId="0" applyFont="1" applyFill="1" applyBorder="1" applyAlignment="1" applyProtection="1">
      <alignment horizontal="left" vertical="center" wrapText="1"/>
      <protection locked="0"/>
    </xf>
    <xf numFmtId="0" fontId="28" fillId="12" borderId="17" xfId="0" applyFont="1" applyFill="1" applyBorder="1" applyAlignment="1" applyProtection="1">
      <alignment horizontal="left" vertical="center" wrapText="1"/>
      <protection locked="0"/>
    </xf>
    <xf numFmtId="0" fontId="12" fillId="10" borderId="21" xfId="0" applyFont="1" applyFill="1" applyBorder="1" applyAlignment="1" applyProtection="1">
      <alignment horizontal="center" vertical="center"/>
      <protection locked="0"/>
    </xf>
    <xf numFmtId="0" fontId="12" fillId="10" borderId="22" xfId="0" applyFont="1" applyFill="1" applyBorder="1" applyAlignment="1" applyProtection="1">
      <alignment horizontal="center" vertical="center"/>
      <protection locked="0"/>
    </xf>
    <xf numFmtId="0" fontId="11" fillId="18" borderId="9" xfId="0" applyFont="1" applyFill="1" applyBorder="1" applyAlignment="1" applyProtection="1">
      <alignment horizontal="center" wrapText="1"/>
      <protection locked="0"/>
    </xf>
    <xf numFmtId="0" fontId="11" fillId="18" borderId="0" xfId="0" applyFont="1" applyFill="1" applyAlignment="1" applyProtection="1">
      <alignment horizontal="center" wrapText="1"/>
      <protection locked="0"/>
    </xf>
    <xf numFmtId="0" fontId="11" fillId="23" borderId="9" xfId="0" applyFont="1" applyFill="1" applyBorder="1" applyAlignment="1" applyProtection="1">
      <alignment horizontal="center" wrapText="1"/>
      <protection locked="0"/>
    </xf>
    <xf numFmtId="0" fontId="12" fillId="24" borderId="0" xfId="0" applyFont="1" applyFill="1" applyAlignment="1" applyProtection="1">
      <alignment horizontal="center"/>
      <protection locked="0"/>
    </xf>
    <xf numFmtId="0" fontId="55" fillId="19" borderId="33" xfId="0" applyFont="1" applyFill="1" applyBorder="1" applyAlignment="1" applyProtection="1">
      <alignment horizontal="center" vertical="center" wrapText="1"/>
      <protection locked="0"/>
    </xf>
    <xf numFmtId="0" fontId="55" fillId="19" borderId="35" xfId="0" applyFont="1" applyFill="1" applyBorder="1" applyAlignment="1" applyProtection="1">
      <alignment horizontal="center" vertical="center" wrapText="1"/>
      <protection locked="0"/>
    </xf>
    <xf numFmtId="0" fontId="27" fillId="8" borderId="33" xfId="0" applyFont="1" applyFill="1" applyBorder="1" applyAlignment="1" applyProtection="1">
      <alignment horizontal="center" wrapText="1"/>
      <protection locked="0"/>
    </xf>
    <xf numFmtId="0" fontId="27" fillId="8" borderId="34" xfId="0" applyFont="1" applyFill="1" applyBorder="1" applyAlignment="1" applyProtection="1">
      <alignment horizontal="center" wrapText="1"/>
      <protection locked="0"/>
    </xf>
    <xf numFmtId="0" fontId="27" fillId="8" borderId="35" xfId="0" applyFont="1" applyFill="1" applyBorder="1" applyAlignment="1" applyProtection="1">
      <alignment horizontal="center" wrapText="1"/>
      <protection locked="0"/>
    </xf>
    <xf numFmtId="0" fontId="12" fillId="19" borderId="9" xfId="0" applyFont="1" applyFill="1" applyBorder="1" applyAlignment="1" applyProtection="1">
      <alignment horizontal="center" vertical="center" wrapText="1"/>
      <protection locked="0"/>
    </xf>
    <xf numFmtId="0" fontId="12" fillId="19" borderId="0" xfId="0" applyFont="1" applyFill="1" applyAlignment="1" applyProtection="1">
      <alignment horizontal="center" vertical="center" wrapText="1"/>
      <protection locked="0"/>
    </xf>
    <xf numFmtId="0" fontId="8" fillId="19" borderId="21" xfId="0" applyFont="1" applyFill="1" applyBorder="1" applyAlignment="1" applyProtection="1">
      <alignment horizontal="center" vertical="center" wrapText="1"/>
      <protection locked="0"/>
    </xf>
    <xf numFmtId="0" fontId="8" fillId="19" borderId="40" xfId="0" applyFont="1" applyFill="1" applyBorder="1" applyAlignment="1" applyProtection="1">
      <alignment horizontal="center" vertical="center" wrapText="1"/>
      <protection locked="0"/>
    </xf>
    <xf numFmtId="0" fontId="8" fillId="19" borderId="41" xfId="0" applyFont="1" applyFill="1" applyBorder="1" applyAlignment="1" applyProtection="1">
      <alignment horizontal="center" vertical="center" wrapText="1"/>
      <protection locked="0"/>
    </xf>
    <xf numFmtId="0" fontId="8" fillId="19" borderId="30" xfId="0" applyFont="1" applyFill="1" applyBorder="1" applyAlignment="1" applyProtection="1">
      <alignment horizontal="center" vertical="center" wrapText="1"/>
      <protection locked="0"/>
    </xf>
    <xf numFmtId="0" fontId="60" fillId="27" borderId="32" xfId="0" applyFont="1" applyFill="1" applyBorder="1" applyAlignment="1" applyProtection="1">
      <alignment horizontal="center"/>
      <protection locked="0"/>
    </xf>
    <xf numFmtId="0" fontId="27" fillId="10" borderId="44" xfId="0" applyFont="1" applyFill="1" applyBorder="1" applyAlignment="1" applyProtection="1">
      <alignment horizontal="center" vertical="center" wrapText="1"/>
      <protection locked="0"/>
    </xf>
    <xf numFmtId="0" fontId="27" fillId="10" borderId="19" xfId="0" applyFont="1" applyFill="1" applyBorder="1" applyAlignment="1" applyProtection="1">
      <alignment horizontal="center" vertical="center" wrapText="1"/>
      <protection locked="0"/>
    </xf>
    <xf numFmtId="0" fontId="27" fillId="10" borderId="45" xfId="0" applyFont="1" applyFill="1" applyBorder="1" applyAlignment="1" applyProtection="1">
      <alignment horizontal="center" vertical="center" wrapText="1"/>
      <protection locked="0"/>
    </xf>
    <xf numFmtId="0" fontId="27" fillId="10" borderId="46" xfId="0" applyFont="1" applyFill="1" applyBorder="1" applyAlignment="1" applyProtection="1">
      <alignment horizontal="center" vertical="center" wrapText="1"/>
      <protection locked="0"/>
    </xf>
    <xf numFmtId="0" fontId="8" fillId="19" borderId="42" xfId="0" applyFont="1" applyFill="1" applyBorder="1" applyAlignment="1" applyProtection="1">
      <alignment horizontal="center" vertical="center" wrapText="1"/>
      <protection locked="0"/>
    </xf>
    <xf numFmtId="0" fontId="8" fillId="19" borderId="43" xfId="0" applyFont="1" applyFill="1" applyBorder="1" applyAlignment="1" applyProtection="1">
      <alignment horizontal="center" vertical="center" wrapText="1"/>
      <protection locked="0"/>
    </xf>
    <xf numFmtId="0" fontId="27" fillId="10" borderId="33" xfId="0" applyFont="1" applyFill="1" applyBorder="1" applyAlignment="1" applyProtection="1">
      <alignment horizontal="center" vertical="center"/>
      <protection locked="0"/>
    </xf>
    <xf numFmtId="0" fontId="27" fillId="10" borderId="34" xfId="0" applyFont="1" applyFill="1" applyBorder="1" applyAlignment="1" applyProtection="1">
      <alignment horizontal="center" vertical="center"/>
      <protection locked="0"/>
    </xf>
    <xf numFmtId="0" fontId="27" fillId="10" borderId="35" xfId="0" applyFont="1" applyFill="1" applyBorder="1" applyAlignment="1" applyProtection="1">
      <alignment horizontal="center" vertical="center"/>
      <protection locked="0"/>
    </xf>
    <xf numFmtId="0" fontId="59" fillId="10" borderId="0" xfId="0" applyFont="1" applyFill="1" applyAlignment="1">
      <alignment horizontal="center"/>
    </xf>
    <xf numFmtId="164" fontId="2" fillId="0" borderId="5" xfId="0" applyNumberFormat="1" applyFont="1" applyBorder="1" applyAlignment="1">
      <alignment horizontal="center"/>
    </xf>
    <xf numFmtId="2" fontId="18" fillId="0" borderId="0" xfId="2" applyNumberFormat="1" applyFont="1" applyAlignment="1">
      <alignment horizontal="center" wrapText="1"/>
    </xf>
    <xf numFmtId="164" fontId="18" fillId="0" borderId="0" xfId="0" applyNumberFormat="1" applyFont="1" applyAlignment="1">
      <alignment horizontal="center"/>
    </xf>
    <xf numFmtId="0" fontId="0" fillId="0" borderId="0" xfId="0" applyAlignment="1">
      <alignment horizontal="center" wrapText="1"/>
    </xf>
    <xf numFmtId="164" fontId="0" fillId="0" borderId="0" xfId="0" applyNumberFormat="1" applyAlignment="1">
      <alignment horizontal="center" wrapText="1"/>
    </xf>
    <xf numFmtId="0" fontId="6" fillId="0" borderId="0" xfId="0" applyFont="1" applyAlignment="1">
      <alignment horizontal="center"/>
    </xf>
    <xf numFmtId="0" fontId="6" fillId="0" borderId="0" xfId="0" applyFont="1" applyAlignment="1">
      <alignment horizontal="center" wrapText="1"/>
    </xf>
    <xf numFmtId="0" fontId="2" fillId="0" borderId="0" xfId="0" applyFont="1" applyAlignment="1">
      <alignment horizontal="center"/>
    </xf>
    <xf numFmtId="0" fontId="25" fillId="0" borderId="0" xfId="0" applyFont="1" applyAlignment="1">
      <alignment horizontal="center" vertical="center" wrapText="1"/>
    </xf>
    <xf numFmtId="0" fontId="8" fillId="0" borderId="0" xfId="0" applyFont="1" applyAlignment="1">
      <alignment horizontal="center"/>
    </xf>
    <xf numFmtId="0" fontId="2" fillId="0" borderId="0" xfId="0" applyFont="1" applyAlignment="1">
      <alignment horizontal="center" wrapText="1"/>
    </xf>
    <xf numFmtId="0" fontId="44" fillId="0" borderId="0" xfId="0" applyFont="1" applyAlignment="1">
      <alignment horizontal="center" vertical="top" wrapText="1"/>
    </xf>
    <xf numFmtId="0" fontId="34" fillId="7" borderId="5" xfId="0" applyFont="1" applyFill="1" applyBorder="1" applyAlignment="1">
      <alignment horizontal="center"/>
    </xf>
    <xf numFmtId="0" fontId="34" fillId="8" borderId="36" xfId="0" applyFont="1" applyFill="1" applyBorder="1" applyAlignment="1">
      <alignment horizontal="center"/>
    </xf>
    <xf numFmtId="0" fontId="34" fillId="8" borderId="5" xfId="0" applyFont="1" applyFill="1" applyBorder="1" applyAlignment="1">
      <alignment horizontal="center"/>
    </xf>
    <xf numFmtId="0" fontId="0" fillId="0" borderId="0" xfId="0" applyAlignment="1">
      <alignment horizontal="center" vertical="center" wrapText="1"/>
    </xf>
    <xf numFmtId="0" fontId="54" fillId="0" borderId="0" xfId="0" applyFont="1" applyAlignment="1">
      <alignment horizontal="center" vertical="center" wrapText="1"/>
    </xf>
    <xf numFmtId="0" fontId="18" fillId="0" borderId="5" xfId="0" applyFont="1" applyBorder="1" applyAlignment="1">
      <alignment horizontal="center"/>
    </xf>
    <xf numFmtId="164" fontId="18" fillId="0" borderId="0" xfId="0" applyNumberFormat="1" applyFont="1" applyAlignment="1">
      <alignment horizontal="center" vertical="center" wrapText="1"/>
    </xf>
    <xf numFmtId="0" fontId="23" fillId="0" borderId="0" xfId="0" applyFont="1" applyAlignment="1">
      <alignment horizontal="center" vertical="center" wrapText="1"/>
    </xf>
    <xf numFmtId="0" fontId="23" fillId="0" borderId="0" xfId="0" applyFont="1" applyAlignment="1">
      <alignment horizontal="center" vertical="center"/>
    </xf>
    <xf numFmtId="0" fontId="23" fillId="0" borderId="0" xfId="0" applyFont="1" applyAlignment="1">
      <alignment horizontal="left" wrapText="1"/>
    </xf>
    <xf numFmtId="0" fontId="9" fillId="0" borderId="0" xfId="0" applyFont="1" applyAlignment="1">
      <alignment horizontal="left" wrapText="1"/>
    </xf>
    <xf numFmtId="0" fontId="23" fillId="0" borderId="0" xfId="0" applyFont="1" applyAlignment="1">
      <alignment horizontal="left" vertical="center" wrapText="1"/>
    </xf>
    <xf numFmtId="165" fontId="9" fillId="0" borderId="0" xfId="0" applyNumberFormat="1" applyFont="1" applyAlignment="1">
      <alignment horizontal="left" wrapText="1"/>
    </xf>
    <xf numFmtId="6" fontId="47" fillId="0" borderId="0" xfId="0" applyNumberFormat="1" applyFont="1" applyAlignment="1">
      <alignment horizontal="center"/>
    </xf>
    <xf numFmtId="0" fontId="0" fillId="0" borderId="0" xfId="0" applyAlignment="1">
      <alignment horizontal="left" wrapText="1"/>
    </xf>
    <xf numFmtId="0" fontId="0" fillId="8" borderId="0" xfId="0" applyFill="1" applyAlignment="1">
      <alignment horizontal="center" wrapText="1"/>
    </xf>
  </cellXfs>
  <cellStyles count="4">
    <cellStyle name="Currency" xfId="1" builtinId="4"/>
    <cellStyle name="Hyperlink" xfId="3" builtinId="8"/>
    <cellStyle name="Normal" xfId="0" builtinId="0"/>
    <cellStyle name="Percent" xfId="2" builtinId="5"/>
  </cellStyles>
  <dxfs count="37">
    <dxf>
      <fill>
        <patternFill>
          <bgColor theme="9" tint="0.79998168889431442"/>
        </patternFill>
      </fill>
    </dxf>
    <dxf>
      <font>
        <color theme="0"/>
      </font>
      <fill>
        <patternFill>
          <bgColor theme="0"/>
        </patternFill>
      </fill>
      <border>
        <right/>
        <top/>
        <bottom/>
      </border>
    </dxf>
    <dxf>
      <font>
        <color theme="0"/>
      </font>
      <fill>
        <patternFill>
          <bgColor theme="0"/>
        </patternFill>
      </fill>
    </dxf>
    <dxf>
      <font>
        <color theme="0"/>
      </font>
      <fill>
        <patternFill>
          <bgColor theme="0"/>
        </patternFill>
      </fill>
      <border>
        <vertical/>
        <horizontal/>
      </border>
    </dxf>
    <dxf>
      <font>
        <color theme="0"/>
      </font>
      <fill>
        <patternFill>
          <bgColor theme="0"/>
        </patternFill>
      </fill>
      <border>
        <right/>
        <top/>
        <bottom/>
      </border>
    </dxf>
    <dxf>
      <font>
        <color theme="0"/>
      </font>
      <fill>
        <patternFill>
          <bgColor theme="0"/>
        </patternFill>
      </fill>
      <border>
        <right style="thin">
          <color theme="0"/>
        </right>
        <top style="thin">
          <color theme="0"/>
        </top>
        <bottom style="thin">
          <color theme="0"/>
        </bottom>
      </border>
    </dxf>
    <dxf>
      <font>
        <color theme="0"/>
      </font>
      <fill>
        <patternFill>
          <bgColor theme="0"/>
        </patternFill>
      </fill>
      <border>
        <right/>
        <top/>
        <bottom/>
        <vertical/>
        <horizontal/>
      </border>
    </dxf>
    <dxf>
      <font>
        <color theme="0" tint="-0.499984740745262"/>
      </font>
      <fill>
        <patternFill>
          <bgColor theme="1" tint="0.499984740745262"/>
        </patternFill>
      </fill>
    </dxf>
    <dxf>
      <font>
        <color theme="0" tint="-0.499984740745262"/>
      </font>
      <fill>
        <patternFill>
          <bgColor theme="1" tint="0.499984740745262"/>
        </patternFill>
      </fill>
    </dxf>
    <dxf>
      <font>
        <color theme="0" tint="-0.499984740745262"/>
      </font>
      <fill>
        <patternFill>
          <bgColor theme="1" tint="0.499984740745262"/>
        </patternFill>
      </fill>
    </dxf>
    <dxf>
      <font>
        <color theme="0" tint="-0.499984740745262"/>
      </font>
      <fill>
        <patternFill>
          <bgColor theme="1" tint="0.499984740745262"/>
        </patternFill>
      </fill>
    </dxf>
    <dxf>
      <font>
        <color theme="0" tint="-0.499984740745262"/>
      </font>
      <fill>
        <patternFill>
          <bgColor theme="1" tint="0.499984740745262"/>
        </patternFill>
      </fill>
    </dxf>
    <dxf>
      <font>
        <color theme="0" tint="-0.499984740745262"/>
      </font>
      <fill>
        <patternFill>
          <bgColor theme="1" tint="0.499984740745262"/>
        </patternFill>
      </fill>
    </dxf>
    <dxf>
      <font>
        <color theme="0" tint="-0.499984740745262"/>
      </font>
      <fill>
        <patternFill>
          <bgColor theme="0" tint="-0.499984740745262"/>
        </patternFill>
      </fill>
      <border>
        <top style="thin">
          <color auto="1"/>
        </top>
        <vertical/>
        <horizontal/>
      </border>
    </dxf>
    <dxf>
      <font>
        <color theme="0"/>
      </font>
      <fill>
        <patternFill>
          <bgColor theme="0"/>
        </patternFill>
      </fill>
      <border>
        <right/>
        <top/>
        <bottom/>
        <vertical/>
        <horizontal/>
      </border>
    </dxf>
    <dxf>
      <font>
        <color theme="0"/>
      </font>
      <fill>
        <patternFill>
          <bgColor theme="0"/>
        </patternFill>
      </fill>
      <border>
        <right/>
        <top/>
        <bottom/>
        <vertical/>
        <horizontal/>
      </border>
    </dxf>
    <dxf>
      <font>
        <color theme="0"/>
      </font>
      <fill>
        <patternFill>
          <bgColor theme="0"/>
        </patternFill>
      </fill>
      <border>
        <right style="thin">
          <color theme="0"/>
        </right>
        <top style="thin">
          <color auto="1"/>
        </top>
        <bottom style="thin">
          <color theme="0"/>
        </bottom>
        <vertical/>
        <horizontal/>
      </border>
    </dxf>
    <dxf>
      <font>
        <color theme="0"/>
      </font>
      <fill>
        <patternFill>
          <bgColor theme="0"/>
        </patternFill>
      </fill>
      <border>
        <right/>
        <top/>
        <bottom/>
      </border>
    </dxf>
    <dxf>
      <font>
        <color theme="0"/>
      </font>
      <fill>
        <patternFill>
          <bgColor theme="0"/>
        </patternFill>
      </fill>
      <border>
        <right/>
        <top/>
        <bottom/>
      </border>
    </dxf>
    <dxf>
      <font>
        <color rgb="FFF0FAEC"/>
      </font>
    </dxf>
    <dxf>
      <fill>
        <patternFill>
          <bgColor theme="1" tint="0.499984740745262"/>
        </patternFill>
      </fill>
    </dxf>
    <dxf>
      <fill>
        <patternFill>
          <bgColor theme="1" tint="0.499984740745262"/>
        </patternFill>
      </fill>
    </dxf>
    <dxf>
      <fill>
        <patternFill>
          <bgColor theme="1" tint="0.499984740745262"/>
        </patternFill>
      </fill>
    </dxf>
    <dxf>
      <fill>
        <patternFill>
          <bgColor theme="1" tint="0.499984740745262"/>
        </patternFill>
      </fill>
    </dxf>
    <dxf>
      <font>
        <color theme="0"/>
      </font>
      <fill>
        <patternFill>
          <bgColor theme="1" tint="0.499984740745262"/>
        </patternFill>
      </fill>
    </dxf>
    <dxf>
      <font>
        <color theme="0"/>
      </font>
      <fill>
        <patternFill>
          <bgColor theme="0" tint="-0.499984740745262"/>
        </patternFill>
      </fill>
      <border>
        <top style="thin">
          <color auto="1"/>
        </top>
        <vertical/>
        <horizontal/>
      </border>
    </dxf>
    <dxf>
      <fill>
        <patternFill>
          <bgColor theme="1" tint="0.499984740745262"/>
        </patternFill>
      </fill>
    </dxf>
    <dxf>
      <fill>
        <patternFill>
          <bgColor theme="1" tint="0.499984740745262"/>
        </patternFill>
      </fill>
    </dxf>
    <dxf>
      <fill>
        <patternFill>
          <bgColor theme="1" tint="0.499984740745262"/>
        </patternFill>
      </fill>
    </dxf>
    <dxf>
      <fill>
        <patternFill>
          <bgColor theme="1" tint="0.499984740745262"/>
        </patternFill>
      </fill>
    </dxf>
    <dxf>
      <fill>
        <patternFill>
          <bgColor theme="1" tint="0.499984740745262"/>
        </patternFill>
      </fill>
    </dxf>
    <dxf>
      <fill>
        <patternFill>
          <bgColor theme="1" tint="0.499984740745262"/>
        </patternFill>
      </fill>
    </dxf>
    <dxf>
      <font>
        <color theme="0"/>
      </font>
      <fill>
        <patternFill>
          <bgColor theme="1" tint="0.499984740745262"/>
        </patternFill>
      </fill>
    </dxf>
    <dxf>
      <font>
        <color theme="0"/>
      </font>
      <fill>
        <patternFill>
          <bgColor theme="0" tint="-0.499984740745262"/>
        </patternFill>
      </fill>
      <border>
        <top style="thin">
          <color auto="1"/>
        </top>
        <vertical/>
        <horizontal/>
      </border>
    </dxf>
    <dxf>
      <fill>
        <patternFill>
          <bgColor rgb="FFFF0000"/>
        </patternFill>
      </fill>
    </dxf>
    <dxf>
      <font>
        <color theme="0"/>
      </font>
      <fill>
        <patternFill>
          <bgColor theme="0"/>
        </patternFill>
      </fill>
      <border>
        <right/>
        <top/>
        <bottom/>
        <vertical/>
        <horizontal/>
      </border>
    </dxf>
    <dxf>
      <font>
        <color theme="0"/>
      </font>
      <fill>
        <patternFill>
          <bgColor theme="0"/>
        </patternFill>
      </fill>
      <border>
        <left style="thin">
          <color theme="0"/>
        </left>
        <right style="thin">
          <color theme="0"/>
        </right>
        <top style="thin">
          <color theme="0"/>
        </top>
        <bottom style="thin">
          <color theme="0"/>
        </bottom>
        <vertical/>
        <horizontal/>
      </border>
    </dxf>
  </dxfs>
  <tableStyles count="0" defaultTableStyle="TableStyleMedium2" defaultPivotStyle="PivotStyleLight16"/>
  <colors>
    <mruColors>
      <color rgb="FF33CCCC"/>
      <color rgb="FFC9FFFF"/>
      <color rgb="FFFFB7FF"/>
      <color rgb="FFFF66FF"/>
      <color rgb="FFAFECEB"/>
      <color rgb="FFC5FFC5"/>
      <color rgb="FF00FF00"/>
      <color rgb="FF66FFFF"/>
      <color rgb="FFFFD5D5"/>
      <color rgb="FFFF8989"/>
    </mru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13" Type="http://schemas.openxmlformats.org/officeDocument/2006/relationships/worksheet" Target="worksheets/sheet13.xml"/><Relationship Id="rId18" Type="http://schemas.openxmlformats.org/officeDocument/2006/relationships/worksheet" Target="worksheets/sheet18.xml"/><Relationship Id="rId26" Type="http://schemas.openxmlformats.org/officeDocument/2006/relationships/styles" Target="styles.xml"/><Relationship Id="rId3" Type="http://schemas.openxmlformats.org/officeDocument/2006/relationships/worksheet" Target="worksheets/sheet3.xml"/><Relationship Id="rId21" Type="http://schemas.openxmlformats.org/officeDocument/2006/relationships/worksheet" Target="worksheets/sheet21.xml"/><Relationship Id="rId7" Type="http://schemas.openxmlformats.org/officeDocument/2006/relationships/worksheet" Target="worksheets/sheet7.xml"/><Relationship Id="rId12" Type="http://schemas.openxmlformats.org/officeDocument/2006/relationships/worksheet" Target="worksheets/sheet12.xml"/><Relationship Id="rId17" Type="http://schemas.openxmlformats.org/officeDocument/2006/relationships/worksheet" Target="worksheets/sheet17.xml"/><Relationship Id="rId25" Type="http://schemas.openxmlformats.org/officeDocument/2006/relationships/theme" Target="theme/theme1.xml"/><Relationship Id="rId33" Type="http://schemas.openxmlformats.org/officeDocument/2006/relationships/customXml" Target="../customXml/item4.xml"/><Relationship Id="rId2" Type="http://schemas.openxmlformats.org/officeDocument/2006/relationships/worksheet" Target="worksheets/sheet2.xml"/><Relationship Id="rId16" Type="http://schemas.openxmlformats.org/officeDocument/2006/relationships/worksheet" Target="worksheets/sheet16.xml"/><Relationship Id="rId20" Type="http://schemas.openxmlformats.org/officeDocument/2006/relationships/worksheet" Target="worksheets/sheet20.xml"/><Relationship Id="rId29" Type="http://schemas.openxmlformats.org/officeDocument/2006/relationships/calcChain" Target="calcChain.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worksheet" Target="worksheets/sheet11.xml"/><Relationship Id="rId24" Type="http://schemas.openxmlformats.org/officeDocument/2006/relationships/worksheet" Target="worksheets/sheet24.xml"/><Relationship Id="rId32" Type="http://schemas.openxmlformats.org/officeDocument/2006/relationships/customXml" Target="../customXml/item3.xml"/><Relationship Id="rId5" Type="http://schemas.openxmlformats.org/officeDocument/2006/relationships/worksheet" Target="worksheets/sheet5.xml"/><Relationship Id="rId15" Type="http://schemas.openxmlformats.org/officeDocument/2006/relationships/worksheet" Target="worksheets/sheet15.xml"/><Relationship Id="rId23" Type="http://schemas.openxmlformats.org/officeDocument/2006/relationships/worksheet" Target="worksheets/sheet23.xml"/><Relationship Id="rId28" Type="http://schemas.openxmlformats.org/officeDocument/2006/relationships/sheetMetadata" Target="metadata.xml"/><Relationship Id="rId10" Type="http://schemas.openxmlformats.org/officeDocument/2006/relationships/worksheet" Target="worksheets/sheet10.xml"/><Relationship Id="rId19" Type="http://schemas.openxmlformats.org/officeDocument/2006/relationships/worksheet" Target="worksheets/sheet19.xml"/><Relationship Id="rId31" Type="http://schemas.openxmlformats.org/officeDocument/2006/relationships/customXml" Target="../customXml/item2.xml"/><Relationship Id="rId4" Type="http://schemas.openxmlformats.org/officeDocument/2006/relationships/worksheet" Target="worksheets/sheet4.xml"/><Relationship Id="rId9" Type="http://schemas.openxmlformats.org/officeDocument/2006/relationships/worksheet" Target="worksheets/sheet9.xml"/><Relationship Id="rId14" Type="http://schemas.openxmlformats.org/officeDocument/2006/relationships/worksheet" Target="worksheets/sheet14.xml"/><Relationship Id="rId22" Type="http://schemas.openxmlformats.org/officeDocument/2006/relationships/worksheet" Target="worksheets/sheet22.xml"/><Relationship Id="rId27" Type="http://schemas.openxmlformats.org/officeDocument/2006/relationships/sharedStrings" Target="sharedStrings.xml"/><Relationship Id="rId30" Type="http://schemas.openxmlformats.org/officeDocument/2006/relationships/customXml" Target="../customXml/item1.xml"/><Relationship Id="rId8" Type="http://schemas.openxmlformats.org/officeDocument/2006/relationships/worksheet" Target="worksheets/sheet8.xml"/></Relationships>
</file>

<file path=xl/activeX/_rels/activeX1.xml.rels><?xml version="1.0" encoding="UTF-8" standalone="yes"?>
<Relationships xmlns="http://schemas.openxmlformats.org/package/2006/relationships"><Relationship Id="rId1" Type="http://schemas.microsoft.com/office/2006/relationships/activeXControlBinary" Target="activeX1.bin"/></Relationships>
</file>

<file path=xl/activeX/_rels/activeX2.xml.rels><?xml version="1.0" encoding="UTF-8" standalone="yes"?>
<Relationships xmlns="http://schemas.openxmlformats.org/package/2006/relationships"><Relationship Id="rId1" Type="http://schemas.microsoft.com/office/2006/relationships/activeXControlBinary" Target="activeX2.bin"/></Relationships>
</file>

<file path=xl/activeX/_rels/activeX3.xml.rels><?xml version="1.0" encoding="UTF-8" standalone="yes"?>
<Relationships xmlns="http://schemas.openxmlformats.org/package/2006/relationships"><Relationship Id="rId1" Type="http://schemas.microsoft.com/office/2006/relationships/activeXControlBinary" Target="activeX3.bin"/></Relationships>
</file>

<file path=xl/activeX/_rels/activeX4.xml.rels><?xml version="1.0" encoding="UTF-8" standalone="yes"?>
<Relationships xmlns="http://schemas.openxmlformats.org/package/2006/relationships"><Relationship Id="rId1" Type="http://schemas.microsoft.com/office/2006/relationships/activeXControlBinary" Target="activeX4.bin"/></Relationships>
</file>

<file path=xl/activeX/_rels/activeX5.xml.rels><?xml version="1.0" encoding="UTF-8" standalone="yes"?>
<Relationships xmlns="http://schemas.openxmlformats.org/package/2006/relationships"><Relationship Id="rId1" Type="http://schemas.microsoft.com/office/2006/relationships/activeXControlBinary" Target="activeX5.bin"/></Relationships>
</file>

<file path=xl/activeX/_rels/activeX6.xml.rels><?xml version="1.0" encoding="UTF-8" standalone="yes"?>
<Relationships xmlns="http://schemas.openxmlformats.org/package/2006/relationships"><Relationship Id="rId1" Type="http://schemas.microsoft.com/office/2006/relationships/activeXControlBinary" Target="activeX6.bin"/></Relationships>
</file>

<file path=xl/activeX/_rels/activeX7.xml.rels><?xml version="1.0" encoding="UTF-8" standalone="yes"?>
<Relationships xmlns="http://schemas.openxmlformats.org/package/2006/relationships"><Relationship Id="rId1" Type="http://schemas.microsoft.com/office/2006/relationships/activeXControlBinary" Target="activeX7.bin"/></Relationships>
</file>

<file path=xl/activeX/_rels/activeX8.xml.rels><?xml version="1.0" encoding="UTF-8" standalone="yes"?>
<Relationships xmlns="http://schemas.openxmlformats.org/package/2006/relationships"><Relationship Id="rId1" Type="http://schemas.microsoft.com/office/2006/relationships/activeXControlBinary" Target="activeX8.bin"/></Relationships>
</file>

<file path=xl/activeX/_rels/activeX9.xml.rels><?xml version="1.0" encoding="UTF-8" standalone="yes"?>
<Relationships xmlns="http://schemas.openxmlformats.org/package/2006/relationships"><Relationship Id="rId1" Type="http://schemas.microsoft.com/office/2006/relationships/activeXControlBinary" Target="activeX9.bin"/></Relationships>
</file>

<file path=xl/activeX/activeX1.xml><?xml version="1.0" encoding="utf-8"?>
<ax:ocx xmlns:ax="http://schemas.microsoft.com/office/2006/activeX" xmlns:r="http://schemas.openxmlformats.org/officeDocument/2006/relationships" ax:classid="{8BD21D40-EC42-11CE-9E0D-00AA006002F3}" ax:persistence="persistStreamInit" r:id="rId1"/>
</file>

<file path=xl/activeX/activeX2.xml><?xml version="1.0" encoding="utf-8"?>
<ax:ocx xmlns:ax="http://schemas.microsoft.com/office/2006/activeX" xmlns:r="http://schemas.openxmlformats.org/officeDocument/2006/relationships" ax:classid="{8BD21D40-EC42-11CE-9E0D-00AA006002F3}" ax:persistence="persistStreamInit" r:id="rId1"/>
</file>

<file path=xl/activeX/activeX3.xml><?xml version="1.0" encoding="utf-8"?>
<ax:ocx xmlns:ax="http://schemas.microsoft.com/office/2006/activeX" xmlns:r="http://schemas.openxmlformats.org/officeDocument/2006/relationships" ax:classid="{8BD21D40-EC42-11CE-9E0D-00AA006002F3}" ax:persistence="persistStreamInit" r:id="rId1"/>
</file>

<file path=xl/activeX/activeX4.xml><?xml version="1.0" encoding="utf-8"?>
<ax:ocx xmlns:ax="http://schemas.microsoft.com/office/2006/activeX" xmlns:r="http://schemas.openxmlformats.org/officeDocument/2006/relationships" ax:classid="{8BD21D40-EC42-11CE-9E0D-00AA006002F3}" ax:persistence="persistStreamInit" r:id="rId1"/>
</file>

<file path=xl/activeX/activeX5.xml><?xml version="1.0" encoding="utf-8"?>
<ax:ocx xmlns:ax="http://schemas.microsoft.com/office/2006/activeX" xmlns:r="http://schemas.openxmlformats.org/officeDocument/2006/relationships" ax:classid="{8BD21D40-EC42-11CE-9E0D-00AA006002F3}" ax:persistence="persistStreamInit" r:id="rId1"/>
</file>

<file path=xl/activeX/activeX6.xml><?xml version="1.0" encoding="utf-8"?>
<ax:ocx xmlns:ax="http://schemas.microsoft.com/office/2006/activeX" xmlns:r="http://schemas.openxmlformats.org/officeDocument/2006/relationships" ax:classid="{8BD21D40-EC42-11CE-9E0D-00AA006002F3}" ax:persistence="persistStreamInit" r:id="rId1"/>
</file>

<file path=xl/activeX/activeX7.xml><?xml version="1.0" encoding="utf-8"?>
<ax:ocx xmlns:ax="http://schemas.microsoft.com/office/2006/activeX" xmlns:r="http://schemas.openxmlformats.org/officeDocument/2006/relationships" ax:classid="{8BD21D40-EC42-11CE-9E0D-00AA006002F3}" ax:persistence="persistStreamInit" r:id="rId1"/>
</file>

<file path=xl/activeX/activeX8.xml><?xml version="1.0" encoding="utf-8"?>
<ax:ocx xmlns:ax="http://schemas.microsoft.com/office/2006/activeX" xmlns:r="http://schemas.openxmlformats.org/officeDocument/2006/relationships" ax:classid="{8BD21D40-EC42-11CE-9E0D-00AA006002F3}" ax:persistence="persistStreamInit" r:id="rId1"/>
</file>

<file path=xl/activeX/activeX9.xml><?xml version="1.0" encoding="utf-8"?>
<ax:ocx xmlns:ax="http://schemas.microsoft.com/office/2006/activeX" xmlns:r="http://schemas.openxmlformats.org/officeDocument/2006/relationships" ax:classid="{8BD21D40-EC42-11CE-9E0D-00AA006002F3}" ax:persistence="persistStreamInit" r:id="rId1"/>
</file>

<file path=xl/charts/_rels/chart1.xml.rels><?xml version="1.0" encoding="UTF-8" standalone="yes"?>
<Relationships xmlns="http://schemas.openxmlformats.org/package/2006/relationships"><Relationship Id="rId2" Type="http://schemas.microsoft.com/office/2011/relationships/chartColorStyle" Target="colors1.xml"/><Relationship Id="rId1" Type="http://schemas.microsoft.com/office/2011/relationships/chartStyle" Target="style1.xml"/></Relationships>
</file>

<file path=xl/charts/_rels/chart2.xml.rels><?xml version="1.0" encoding="UTF-8" standalone="yes"?>
<Relationships xmlns="http://schemas.openxmlformats.org/package/2006/relationships"><Relationship Id="rId2" Type="http://schemas.microsoft.com/office/2011/relationships/chartColorStyle" Target="colors2.xml"/><Relationship Id="rId1" Type="http://schemas.microsoft.com/office/2011/relationships/chartStyle" Target="style2.xml"/></Relationships>
</file>

<file path=xl/charts/_rels/chart3.xml.rels><?xml version="1.0" encoding="UTF-8" standalone="yes"?>
<Relationships xmlns="http://schemas.openxmlformats.org/package/2006/relationships"><Relationship Id="rId3" Type="http://schemas.openxmlformats.org/officeDocument/2006/relationships/chartUserShapes" Target="../drawings/drawing3.xml"/><Relationship Id="rId2" Type="http://schemas.microsoft.com/office/2011/relationships/chartColorStyle" Target="colors3.xml"/><Relationship Id="rId1" Type="http://schemas.microsoft.com/office/2011/relationships/chartStyle" Target="style3.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sz="1400" b="1" i="0" u="none" strike="noStrike" kern="1200" spc="0" baseline="0">
                <a:solidFill>
                  <a:sysClr val="windowText" lastClr="000000"/>
                </a:solidFill>
                <a:latin typeface="+mn-lt"/>
                <a:ea typeface="+mn-ea"/>
                <a:cs typeface="+mn-cs"/>
              </a:defRPr>
            </a:pPr>
            <a:r>
              <a:rPr lang="en-US" b="1">
                <a:solidFill>
                  <a:sysClr val="windowText" lastClr="000000"/>
                </a:solidFill>
              </a:rPr>
              <a:t>Household Resources</a:t>
            </a:r>
          </a:p>
        </c:rich>
      </c:tx>
      <c:overlay val="0"/>
      <c:spPr>
        <a:noFill/>
        <a:ln>
          <a:noFill/>
        </a:ln>
        <a:effectLst/>
      </c:spPr>
      <c:txPr>
        <a:bodyPr rot="0" spcFirstLastPara="1" vertOverflow="ellipsis" vert="horz" wrap="square" anchor="ctr" anchorCtr="1"/>
        <a:lstStyle/>
        <a:p>
          <a:pPr>
            <a:defRPr sz="1400" b="1" i="0" u="none" strike="noStrike" kern="1200" spc="0" baseline="0">
              <a:solidFill>
                <a:sysClr val="windowText" lastClr="000000"/>
              </a:solidFill>
              <a:latin typeface="+mn-lt"/>
              <a:ea typeface="+mn-ea"/>
              <a:cs typeface="+mn-cs"/>
            </a:defRPr>
          </a:pPr>
          <a:endParaRPr lang="en-US"/>
        </a:p>
      </c:txPr>
    </c:title>
    <c:autoTitleDeleted val="0"/>
    <c:plotArea>
      <c:layout>
        <c:manualLayout>
          <c:layoutTarget val="inner"/>
          <c:xMode val="edge"/>
          <c:yMode val="edge"/>
          <c:x val="0.12772403449568803"/>
          <c:y val="0.15729531108011013"/>
          <c:w val="0.84575396429876648"/>
          <c:h val="0.65095936842450508"/>
        </c:manualLayout>
      </c:layout>
      <c:barChart>
        <c:barDir val="col"/>
        <c:grouping val="clustered"/>
        <c:varyColors val="0"/>
        <c:ser>
          <c:idx val="0"/>
          <c:order val="0"/>
          <c:tx>
            <c:strRef>
              <c:f>'Total income package'!$B$90</c:f>
              <c:strCache>
                <c:ptCount val="1"/>
                <c:pt idx="0">
                  <c:v>$1,289.00</c:v>
                </c:pt>
              </c:strCache>
            </c:strRef>
          </c:tx>
          <c:spPr>
            <a:solidFill>
              <a:schemeClr val="accent2"/>
            </a:solidFill>
            <a:ln>
              <a:noFill/>
            </a:ln>
            <a:effectLst/>
          </c:spPr>
          <c:invertIfNegative val="0"/>
          <c:dLbls>
            <c:dLbl>
              <c:idx val="0"/>
              <c:layout>
                <c:manualLayout>
                  <c:x val="-8.5231111808139332E-2"/>
                  <c:y val="-1.1610820761581098E-2"/>
                </c:manualLayout>
              </c:layout>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1-FFC6-4666-BB42-B5302C4BB256}"/>
                </c:ext>
              </c:extLst>
            </c:dLbl>
            <c:spPr>
              <a:noFill/>
              <a:ln>
                <a:noFill/>
              </a:ln>
              <a:effectLst/>
            </c:spPr>
            <c:txPr>
              <a:bodyPr rot="0" spcFirstLastPara="1" vertOverflow="ellipsis" vert="horz" wrap="square" lIns="38100" tIns="19050" rIns="38100" bIns="19050" anchor="ctr" anchorCtr="1">
                <a:spAutoFit/>
              </a:bodyPr>
              <a:lstStyle/>
              <a:p>
                <a:pPr>
                  <a:defRPr sz="1100" b="1"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'Total income package'!$C$89:$D$89</c:f>
              <c:strCache>
                <c:ptCount val="2"/>
                <c:pt idx="0">
                  <c:v>Monthly Selected benefits</c:v>
                </c:pt>
                <c:pt idx="1">
                  <c:v>Overall Resources
Selected benefits + income</c:v>
                </c:pt>
              </c:strCache>
            </c:strRef>
          </c:cat>
          <c:val>
            <c:numRef>
              <c:f>'Total income package'!$C$90:$D$90</c:f>
              <c:numCache>
                <c:formatCode>"$"#,##0.00</c:formatCode>
                <c:ptCount val="2"/>
                <c:pt idx="0">
                  <c:v>2281.3041666666668</c:v>
                </c:pt>
                <c:pt idx="1">
                  <c:v>3570.3041666666668</c:v>
                </c:pt>
              </c:numCache>
            </c:numRef>
          </c:val>
          <c:extLst>
            <c:ext xmlns:c16="http://schemas.microsoft.com/office/drawing/2014/chart" uri="{C3380CC4-5D6E-409C-BE32-E72D297353CC}">
              <c16:uniqueId val="{00000000-ACBD-469E-916D-C066F7AF49E8}"/>
            </c:ext>
          </c:extLst>
        </c:ser>
        <c:ser>
          <c:idx val="1"/>
          <c:order val="1"/>
          <c:tx>
            <c:strRef>
              <c:f>'Total income package'!$B$91</c:f>
              <c:strCache>
                <c:ptCount val="1"/>
                <c:pt idx="0">
                  <c:v>$1,289.00</c:v>
                </c:pt>
              </c:strCache>
            </c:strRef>
          </c:tx>
          <c:spPr>
            <a:solidFill>
              <a:schemeClr val="accent4"/>
            </a:solidFill>
            <a:ln>
              <a:noFill/>
            </a:ln>
            <a:effectLst/>
          </c:spPr>
          <c:invertIfNegative val="0"/>
          <c:dPt>
            <c:idx val="0"/>
            <c:invertIfNegative val="0"/>
            <c:bubble3D val="0"/>
            <c:extLst>
              <c:ext xmlns:c16="http://schemas.microsoft.com/office/drawing/2014/chart" uri="{C3380CC4-5D6E-409C-BE32-E72D297353CC}">
                <c16:uniqueId val="{00000002-FFC6-4666-BB42-B5302C4BB256}"/>
              </c:ext>
            </c:extLst>
          </c:dPt>
          <c:dPt>
            <c:idx val="1"/>
            <c:invertIfNegative val="0"/>
            <c:bubble3D val="0"/>
            <c:extLst>
              <c:ext xmlns:c16="http://schemas.microsoft.com/office/drawing/2014/chart" uri="{C3380CC4-5D6E-409C-BE32-E72D297353CC}">
                <c16:uniqueId val="{00000000-FFC6-4666-BB42-B5302C4BB256}"/>
              </c:ext>
            </c:extLst>
          </c:dPt>
          <c:dLbls>
            <c:spPr>
              <a:noFill/>
              <a:ln>
                <a:noFill/>
              </a:ln>
              <a:effectLst/>
            </c:spPr>
            <c:txPr>
              <a:bodyPr rot="0" spcFirstLastPara="1" vertOverflow="ellipsis" vert="horz" wrap="square" lIns="38100" tIns="19050" rIns="38100" bIns="19050" anchor="ctr" anchorCtr="1">
                <a:spAutoFit/>
              </a:bodyPr>
              <a:lstStyle/>
              <a:p>
                <a:pPr>
                  <a:defRPr sz="1100" b="1"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'Total income package'!$C$89:$D$89</c:f>
              <c:strCache>
                <c:ptCount val="2"/>
                <c:pt idx="0">
                  <c:v>Monthly Selected benefits</c:v>
                </c:pt>
                <c:pt idx="1">
                  <c:v>Overall Resources
Selected benefits + income</c:v>
                </c:pt>
              </c:strCache>
            </c:strRef>
          </c:cat>
          <c:val>
            <c:numRef>
              <c:f>'Total income package'!$C$91:$D$91</c:f>
              <c:numCache>
                <c:formatCode>"$"#,##0.00</c:formatCode>
                <c:ptCount val="2"/>
                <c:pt idx="0">
                  <c:v>2281.3041666666668</c:v>
                </c:pt>
                <c:pt idx="1">
                  <c:v>3570.3041666666668</c:v>
                </c:pt>
              </c:numCache>
            </c:numRef>
          </c:val>
          <c:extLst>
            <c:ext xmlns:c16="http://schemas.microsoft.com/office/drawing/2014/chart" uri="{C3380CC4-5D6E-409C-BE32-E72D297353CC}">
              <c16:uniqueId val="{00000001-9AAE-4A85-9BC1-62905EF6F934}"/>
            </c:ext>
          </c:extLst>
        </c:ser>
        <c:dLbls>
          <c:showLegendKey val="0"/>
          <c:showVal val="0"/>
          <c:showCatName val="0"/>
          <c:showSerName val="0"/>
          <c:showPercent val="0"/>
          <c:showBubbleSize val="0"/>
        </c:dLbls>
        <c:gapWidth val="150"/>
        <c:axId val="2142592368"/>
        <c:axId val="2142586128"/>
      </c:barChart>
      <c:catAx>
        <c:axId val="2142592368"/>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ysClr val="windowText" lastClr="000000"/>
                </a:solidFill>
                <a:latin typeface="+mn-lt"/>
                <a:ea typeface="+mn-ea"/>
                <a:cs typeface="+mn-cs"/>
              </a:defRPr>
            </a:pPr>
            <a:endParaRPr lang="en-US"/>
          </a:p>
        </c:txPr>
        <c:crossAx val="2142586128"/>
        <c:crosses val="autoZero"/>
        <c:auto val="1"/>
        <c:lblAlgn val="ctr"/>
        <c:lblOffset val="100"/>
        <c:noMultiLvlLbl val="0"/>
      </c:catAx>
      <c:valAx>
        <c:axId val="2142586128"/>
        <c:scaling>
          <c:orientation val="minMax"/>
        </c:scaling>
        <c:delete val="0"/>
        <c:axPos val="l"/>
        <c:majorGridlines>
          <c:spPr>
            <a:ln w="9525" cap="flat" cmpd="sng" algn="ctr">
              <a:solidFill>
                <a:schemeClr val="bg1">
                  <a:lumMod val="50000"/>
                </a:schemeClr>
              </a:solidFill>
              <a:round/>
            </a:ln>
            <a:effectLst/>
          </c:spPr>
        </c:majorGridlines>
        <c:numFmt formatCode="&quot;$&quot;#,##0" sourceLinked="0"/>
        <c:majorTickMark val="none"/>
        <c:minorTickMark val="none"/>
        <c:tickLblPos val="nextTo"/>
        <c:spPr>
          <a:noFill/>
          <a:ln>
            <a:noFill/>
          </a:ln>
          <a:effectLst/>
        </c:spPr>
        <c:txPr>
          <a:bodyPr rot="-60000000" spcFirstLastPara="1" vertOverflow="ellipsis" vert="horz" wrap="square" anchor="ctr" anchorCtr="1"/>
          <a:lstStyle/>
          <a:p>
            <a:pPr>
              <a:defRPr sz="1100" b="0" i="0" u="none" strike="noStrike" kern="1200" baseline="0">
                <a:solidFill>
                  <a:sysClr val="windowText" lastClr="000000"/>
                </a:solidFill>
                <a:latin typeface="+mn-lt"/>
                <a:ea typeface="+mn-ea"/>
                <a:cs typeface="+mn-cs"/>
              </a:defRPr>
            </a:pPr>
            <a:endParaRPr lang="en-US"/>
          </a:p>
        </c:txPr>
        <c:crossAx val="2142592368"/>
        <c:crosses val="autoZero"/>
        <c:crossBetween val="between"/>
      </c:valAx>
      <c:spPr>
        <a:solidFill>
          <a:schemeClr val="bg1">
            <a:lumMod val="95000"/>
          </a:schemeClr>
        </a:solidFill>
        <a:ln>
          <a:noFill/>
        </a:ln>
        <a:effectLst/>
      </c:spPr>
    </c:plotArea>
    <c:legend>
      <c:legendPos val="b"/>
      <c:overlay val="0"/>
      <c:spPr>
        <a:noFill/>
        <a:ln>
          <a:noFill/>
        </a:ln>
        <a:effectLst/>
      </c:spPr>
      <c:txPr>
        <a:bodyPr rot="0" spcFirstLastPara="1" vertOverflow="ellipsis" vert="horz" wrap="square" anchor="ctr" anchorCtr="1"/>
        <a:lstStyle/>
        <a:p>
          <a:pPr>
            <a:defRPr sz="1100" b="1" i="0" u="none" strike="noStrike" kern="1200" baseline="0">
              <a:solidFill>
                <a:sysClr val="windowText" lastClr="000000"/>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tx2">
        <a:lumMod val="10000"/>
        <a:lumOff val="90000"/>
      </a:schemeClr>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chartSpace>
</file>

<file path=xl/charts/chart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sz="5400" b="0" i="0" u="none" strike="noStrike" kern="1200" spc="0" baseline="0">
                <a:solidFill>
                  <a:sysClr val="windowText" lastClr="000000"/>
                </a:solidFill>
                <a:latin typeface="+mn-lt"/>
                <a:ea typeface="+mn-ea"/>
                <a:cs typeface="+mn-cs"/>
              </a:defRPr>
            </a:pPr>
            <a:r>
              <a:rPr lang="en-US" sz="5400">
                <a:solidFill>
                  <a:sysClr val="windowText" lastClr="000000"/>
                </a:solidFill>
              </a:rPr>
              <a:t>Breakdown of Benefits Package by Earned Income</a:t>
            </a:r>
          </a:p>
        </c:rich>
      </c:tx>
      <c:layout>
        <c:manualLayout>
          <c:xMode val="edge"/>
          <c:yMode val="edge"/>
          <c:x val="0.34065844998252814"/>
          <c:y val="1.8312622629169391E-2"/>
        </c:manualLayout>
      </c:layout>
      <c:overlay val="0"/>
      <c:spPr>
        <a:noFill/>
        <a:ln>
          <a:noFill/>
        </a:ln>
        <a:effectLst/>
      </c:spPr>
      <c:txPr>
        <a:bodyPr rot="0" spcFirstLastPara="1" vertOverflow="ellipsis" vert="horz" wrap="square" anchor="ctr" anchorCtr="1"/>
        <a:lstStyle/>
        <a:p>
          <a:pPr>
            <a:defRPr sz="5400" b="0" i="0" u="none" strike="noStrike" kern="1200" spc="0" baseline="0">
              <a:solidFill>
                <a:sysClr val="windowText" lastClr="000000"/>
              </a:solidFill>
              <a:latin typeface="+mn-lt"/>
              <a:ea typeface="+mn-ea"/>
              <a:cs typeface="+mn-cs"/>
            </a:defRPr>
          </a:pPr>
          <a:endParaRPr lang="en-US"/>
        </a:p>
      </c:txPr>
    </c:title>
    <c:autoTitleDeleted val="0"/>
    <c:plotArea>
      <c:layout>
        <c:manualLayout>
          <c:layoutTarget val="inner"/>
          <c:xMode val="edge"/>
          <c:yMode val="edge"/>
          <c:x val="0.10174794172737772"/>
          <c:y val="0.19771592919874015"/>
          <c:w val="0.85684439448111571"/>
          <c:h val="0.58482095522374167"/>
        </c:manualLayout>
      </c:layout>
      <c:areaChart>
        <c:grouping val="stacked"/>
        <c:varyColors val="0"/>
        <c:ser>
          <c:idx val="6"/>
          <c:order val="2"/>
          <c:tx>
            <c:strRef>
              <c:f>'Use this for graphs'!$C$1</c:f>
              <c:strCache>
                <c:ptCount val="1"/>
                <c:pt idx="0">
                  <c:v>Annual Child Care Subsidy</c:v>
                </c:pt>
              </c:strCache>
            </c:strRef>
          </c:tx>
          <c:spPr>
            <a:solidFill>
              <a:schemeClr val="accent1">
                <a:lumMod val="60000"/>
              </a:schemeClr>
            </a:solidFill>
            <a:ln>
              <a:noFill/>
            </a:ln>
            <a:effectLst/>
          </c:spPr>
          <c:cat>
            <c:numRef>
              <c:f>'Use this for graphs'!$A$2:$A$202</c:f>
              <c:numCache>
                <c:formatCode>"$"#,##0</c:formatCode>
                <c:ptCount val="201"/>
                <c:pt idx="0">
                  <c:v>0</c:v>
                </c:pt>
                <c:pt idx="1">
                  <c:v>500</c:v>
                </c:pt>
                <c:pt idx="2">
                  <c:v>1000</c:v>
                </c:pt>
                <c:pt idx="3">
                  <c:v>1500</c:v>
                </c:pt>
                <c:pt idx="4">
                  <c:v>2000</c:v>
                </c:pt>
                <c:pt idx="5">
                  <c:v>2500</c:v>
                </c:pt>
                <c:pt idx="6">
                  <c:v>3000</c:v>
                </c:pt>
                <c:pt idx="7">
                  <c:v>3500</c:v>
                </c:pt>
                <c:pt idx="8">
                  <c:v>4000</c:v>
                </c:pt>
                <c:pt idx="9">
                  <c:v>4500</c:v>
                </c:pt>
                <c:pt idx="10">
                  <c:v>5000</c:v>
                </c:pt>
                <c:pt idx="11">
                  <c:v>5500</c:v>
                </c:pt>
                <c:pt idx="12">
                  <c:v>6000</c:v>
                </c:pt>
                <c:pt idx="13">
                  <c:v>6500</c:v>
                </c:pt>
                <c:pt idx="14">
                  <c:v>7000</c:v>
                </c:pt>
                <c:pt idx="15">
                  <c:v>7500</c:v>
                </c:pt>
                <c:pt idx="16">
                  <c:v>8000</c:v>
                </c:pt>
                <c:pt idx="17">
                  <c:v>8500</c:v>
                </c:pt>
                <c:pt idx="18">
                  <c:v>9000</c:v>
                </c:pt>
                <c:pt idx="19">
                  <c:v>9500</c:v>
                </c:pt>
                <c:pt idx="20">
                  <c:v>10000</c:v>
                </c:pt>
                <c:pt idx="21">
                  <c:v>10500</c:v>
                </c:pt>
                <c:pt idx="22">
                  <c:v>11000</c:v>
                </c:pt>
                <c:pt idx="23">
                  <c:v>11500</c:v>
                </c:pt>
                <c:pt idx="24">
                  <c:v>12000</c:v>
                </c:pt>
                <c:pt idx="25">
                  <c:v>12500</c:v>
                </c:pt>
                <c:pt idx="26">
                  <c:v>13000</c:v>
                </c:pt>
                <c:pt idx="27">
                  <c:v>13500</c:v>
                </c:pt>
                <c:pt idx="28">
                  <c:v>14000</c:v>
                </c:pt>
                <c:pt idx="29">
                  <c:v>14500</c:v>
                </c:pt>
                <c:pt idx="30">
                  <c:v>15000</c:v>
                </c:pt>
                <c:pt idx="31">
                  <c:v>15500</c:v>
                </c:pt>
                <c:pt idx="32">
                  <c:v>16000</c:v>
                </c:pt>
                <c:pt idx="33">
                  <c:v>16500</c:v>
                </c:pt>
                <c:pt idx="34">
                  <c:v>17000</c:v>
                </c:pt>
                <c:pt idx="35">
                  <c:v>17500</c:v>
                </c:pt>
                <c:pt idx="36">
                  <c:v>18000</c:v>
                </c:pt>
                <c:pt idx="37">
                  <c:v>18500</c:v>
                </c:pt>
                <c:pt idx="38">
                  <c:v>19000</c:v>
                </c:pt>
                <c:pt idx="39">
                  <c:v>19500</c:v>
                </c:pt>
                <c:pt idx="40">
                  <c:v>20000</c:v>
                </c:pt>
                <c:pt idx="41">
                  <c:v>20500</c:v>
                </c:pt>
                <c:pt idx="42">
                  <c:v>21000</c:v>
                </c:pt>
                <c:pt idx="43">
                  <c:v>21500</c:v>
                </c:pt>
                <c:pt idx="44">
                  <c:v>22000</c:v>
                </c:pt>
                <c:pt idx="45">
                  <c:v>22500</c:v>
                </c:pt>
                <c:pt idx="46">
                  <c:v>23000</c:v>
                </c:pt>
                <c:pt idx="47">
                  <c:v>23500</c:v>
                </c:pt>
                <c:pt idx="48">
                  <c:v>24000</c:v>
                </c:pt>
                <c:pt idx="49">
                  <c:v>24500</c:v>
                </c:pt>
                <c:pt idx="50">
                  <c:v>25000</c:v>
                </c:pt>
                <c:pt idx="51">
                  <c:v>25500</c:v>
                </c:pt>
                <c:pt idx="52">
                  <c:v>26000</c:v>
                </c:pt>
                <c:pt idx="53">
                  <c:v>26500</c:v>
                </c:pt>
                <c:pt idx="54">
                  <c:v>27000</c:v>
                </c:pt>
                <c:pt idx="55">
                  <c:v>27500</c:v>
                </c:pt>
                <c:pt idx="56">
                  <c:v>28000</c:v>
                </c:pt>
                <c:pt idx="57">
                  <c:v>28500</c:v>
                </c:pt>
                <c:pt idx="58">
                  <c:v>29000</c:v>
                </c:pt>
                <c:pt idx="59">
                  <c:v>29500</c:v>
                </c:pt>
                <c:pt idx="60">
                  <c:v>30000</c:v>
                </c:pt>
                <c:pt idx="61">
                  <c:v>30500</c:v>
                </c:pt>
                <c:pt idx="62">
                  <c:v>31000</c:v>
                </c:pt>
                <c:pt idx="63">
                  <c:v>31500</c:v>
                </c:pt>
                <c:pt idx="64">
                  <c:v>32000</c:v>
                </c:pt>
                <c:pt idx="65">
                  <c:v>32500</c:v>
                </c:pt>
                <c:pt idx="66">
                  <c:v>33000</c:v>
                </c:pt>
                <c:pt idx="67">
                  <c:v>33500</c:v>
                </c:pt>
                <c:pt idx="68">
                  <c:v>34000</c:v>
                </c:pt>
                <c:pt idx="69">
                  <c:v>34500</c:v>
                </c:pt>
                <c:pt idx="70">
                  <c:v>35000</c:v>
                </c:pt>
                <c:pt idx="71">
                  <c:v>35500</c:v>
                </c:pt>
                <c:pt idx="72">
                  <c:v>36000</c:v>
                </c:pt>
                <c:pt idx="73">
                  <c:v>36500</c:v>
                </c:pt>
                <c:pt idx="74">
                  <c:v>37000</c:v>
                </c:pt>
                <c:pt idx="75">
                  <c:v>37500</c:v>
                </c:pt>
                <c:pt idx="76">
                  <c:v>38000</c:v>
                </c:pt>
                <c:pt idx="77">
                  <c:v>38500</c:v>
                </c:pt>
                <c:pt idx="78">
                  <c:v>39000</c:v>
                </c:pt>
                <c:pt idx="79">
                  <c:v>39500</c:v>
                </c:pt>
                <c:pt idx="80">
                  <c:v>40000</c:v>
                </c:pt>
                <c:pt idx="81">
                  <c:v>40500</c:v>
                </c:pt>
                <c:pt idx="82">
                  <c:v>41000</c:v>
                </c:pt>
                <c:pt idx="83">
                  <c:v>41500</c:v>
                </c:pt>
                <c:pt idx="84">
                  <c:v>42000</c:v>
                </c:pt>
                <c:pt idx="85">
                  <c:v>42500</c:v>
                </c:pt>
                <c:pt idx="86">
                  <c:v>43000</c:v>
                </c:pt>
                <c:pt idx="87">
                  <c:v>43500</c:v>
                </c:pt>
                <c:pt idx="88">
                  <c:v>44000</c:v>
                </c:pt>
                <c:pt idx="89">
                  <c:v>44500</c:v>
                </c:pt>
                <c:pt idx="90">
                  <c:v>45000</c:v>
                </c:pt>
                <c:pt idx="91">
                  <c:v>45500</c:v>
                </c:pt>
                <c:pt idx="92">
                  <c:v>46000</c:v>
                </c:pt>
                <c:pt idx="93">
                  <c:v>46500</c:v>
                </c:pt>
                <c:pt idx="94">
                  <c:v>47000</c:v>
                </c:pt>
                <c:pt idx="95">
                  <c:v>47500</c:v>
                </c:pt>
                <c:pt idx="96">
                  <c:v>48000</c:v>
                </c:pt>
                <c:pt idx="97">
                  <c:v>48500</c:v>
                </c:pt>
                <c:pt idx="98">
                  <c:v>49000</c:v>
                </c:pt>
                <c:pt idx="99">
                  <c:v>49500</c:v>
                </c:pt>
                <c:pt idx="100">
                  <c:v>50000</c:v>
                </c:pt>
                <c:pt idx="101">
                  <c:v>50500</c:v>
                </c:pt>
                <c:pt idx="102">
                  <c:v>51000</c:v>
                </c:pt>
                <c:pt idx="103">
                  <c:v>51500</c:v>
                </c:pt>
                <c:pt idx="104">
                  <c:v>52000</c:v>
                </c:pt>
                <c:pt idx="105">
                  <c:v>52500</c:v>
                </c:pt>
                <c:pt idx="106">
                  <c:v>53000</c:v>
                </c:pt>
                <c:pt idx="107">
                  <c:v>53500</c:v>
                </c:pt>
                <c:pt idx="108">
                  <c:v>54000</c:v>
                </c:pt>
                <c:pt idx="109">
                  <c:v>54500</c:v>
                </c:pt>
                <c:pt idx="110">
                  <c:v>55000</c:v>
                </c:pt>
                <c:pt idx="111">
                  <c:v>55500</c:v>
                </c:pt>
                <c:pt idx="112">
                  <c:v>56000</c:v>
                </c:pt>
                <c:pt idx="113">
                  <c:v>56500</c:v>
                </c:pt>
                <c:pt idx="114">
                  <c:v>57000</c:v>
                </c:pt>
                <c:pt idx="115">
                  <c:v>57500</c:v>
                </c:pt>
                <c:pt idx="116">
                  <c:v>58000</c:v>
                </c:pt>
                <c:pt idx="117">
                  <c:v>58500</c:v>
                </c:pt>
                <c:pt idx="118">
                  <c:v>59000</c:v>
                </c:pt>
                <c:pt idx="119">
                  <c:v>59500</c:v>
                </c:pt>
                <c:pt idx="120">
                  <c:v>60000</c:v>
                </c:pt>
                <c:pt idx="121">
                  <c:v>60500</c:v>
                </c:pt>
                <c:pt idx="122">
                  <c:v>61000</c:v>
                </c:pt>
                <c:pt idx="123">
                  <c:v>61500</c:v>
                </c:pt>
                <c:pt idx="124">
                  <c:v>62000</c:v>
                </c:pt>
                <c:pt idx="125">
                  <c:v>62500</c:v>
                </c:pt>
                <c:pt idx="126">
                  <c:v>63000</c:v>
                </c:pt>
                <c:pt idx="127">
                  <c:v>63500</c:v>
                </c:pt>
                <c:pt idx="128">
                  <c:v>64000</c:v>
                </c:pt>
                <c:pt idx="129">
                  <c:v>64500</c:v>
                </c:pt>
                <c:pt idx="130">
                  <c:v>65000</c:v>
                </c:pt>
                <c:pt idx="131">
                  <c:v>65500</c:v>
                </c:pt>
                <c:pt idx="132">
                  <c:v>66000</c:v>
                </c:pt>
                <c:pt idx="133">
                  <c:v>66500</c:v>
                </c:pt>
                <c:pt idx="134">
                  <c:v>67000</c:v>
                </c:pt>
                <c:pt idx="135">
                  <c:v>67500</c:v>
                </c:pt>
                <c:pt idx="136">
                  <c:v>68000</c:v>
                </c:pt>
                <c:pt idx="137">
                  <c:v>68500</c:v>
                </c:pt>
                <c:pt idx="138">
                  <c:v>69000</c:v>
                </c:pt>
                <c:pt idx="139">
                  <c:v>69500</c:v>
                </c:pt>
                <c:pt idx="140">
                  <c:v>70000</c:v>
                </c:pt>
                <c:pt idx="141">
                  <c:v>70500</c:v>
                </c:pt>
                <c:pt idx="142">
                  <c:v>71000</c:v>
                </c:pt>
                <c:pt idx="143">
                  <c:v>71500</c:v>
                </c:pt>
                <c:pt idx="144">
                  <c:v>72000</c:v>
                </c:pt>
                <c:pt idx="145">
                  <c:v>72500</c:v>
                </c:pt>
                <c:pt idx="146">
                  <c:v>73000</c:v>
                </c:pt>
                <c:pt idx="147">
                  <c:v>73500</c:v>
                </c:pt>
                <c:pt idx="148">
                  <c:v>74000</c:v>
                </c:pt>
                <c:pt idx="149">
                  <c:v>74500</c:v>
                </c:pt>
                <c:pt idx="150">
                  <c:v>75000</c:v>
                </c:pt>
                <c:pt idx="151">
                  <c:v>75500</c:v>
                </c:pt>
                <c:pt idx="152">
                  <c:v>76000</c:v>
                </c:pt>
                <c:pt idx="153">
                  <c:v>76500</c:v>
                </c:pt>
                <c:pt idx="154">
                  <c:v>77000</c:v>
                </c:pt>
                <c:pt idx="155">
                  <c:v>77500</c:v>
                </c:pt>
                <c:pt idx="156">
                  <c:v>78000</c:v>
                </c:pt>
                <c:pt idx="157">
                  <c:v>78500</c:v>
                </c:pt>
                <c:pt idx="158">
                  <c:v>79000</c:v>
                </c:pt>
                <c:pt idx="159">
                  <c:v>79500</c:v>
                </c:pt>
                <c:pt idx="160">
                  <c:v>80000</c:v>
                </c:pt>
                <c:pt idx="161">
                  <c:v>80500</c:v>
                </c:pt>
                <c:pt idx="162">
                  <c:v>81000</c:v>
                </c:pt>
                <c:pt idx="163">
                  <c:v>81500</c:v>
                </c:pt>
                <c:pt idx="164">
                  <c:v>82000</c:v>
                </c:pt>
                <c:pt idx="165">
                  <c:v>82500</c:v>
                </c:pt>
                <c:pt idx="166">
                  <c:v>83000</c:v>
                </c:pt>
                <c:pt idx="167">
                  <c:v>83500</c:v>
                </c:pt>
                <c:pt idx="168">
                  <c:v>84000</c:v>
                </c:pt>
                <c:pt idx="169">
                  <c:v>84500</c:v>
                </c:pt>
                <c:pt idx="170">
                  <c:v>85000</c:v>
                </c:pt>
                <c:pt idx="171">
                  <c:v>85500</c:v>
                </c:pt>
                <c:pt idx="172">
                  <c:v>86000</c:v>
                </c:pt>
                <c:pt idx="173">
                  <c:v>86500</c:v>
                </c:pt>
                <c:pt idx="174">
                  <c:v>87000</c:v>
                </c:pt>
                <c:pt idx="175">
                  <c:v>87500</c:v>
                </c:pt>
                <c:pt idx="176">
                  <c:v>88000</c:v>
                </c:pt>
                <c:pt idx="177">
                  <c:v>88500</c:v>
                </c:pt>
                <c:pt idx="178">
                  <c:v>89000</c:v>
                </c:pt>
                <c:pt idx="179">
                  <c:v>89500</c:v>
                </c:pt>
                <c:pt idx="180">
                  <c:v>90000</c:v>
                </c:pt>
                <c:pt idx="181">
                  <c:v>90500</c:v>
                </c:pt>
                <c:pt idx="182">
                  <c:v>91000</c:v>
                </c:pt>
                <c:pt idx="183">
                  <c:v>91500</c:v>
                </c:pt>
                <c:pt idx="184">
                  <c:v>92000</c:v>
                </c:pt>
                <c:pt idx="185">
                  <c:v>92500</c:v>
                </c:pt>
                <c:pt idx="186">
                  <c:v>93000</c:v>
                </c:pt>
                <c:pt idx="187">
                  <c:v>93500</c:v>
                </c:pt>
                <c:pt idx="188">
                  <c:v>94000</c:v>
                </c:pt>
                <c:pt idx="189">
                  <c:v>94500</c:v>
                </c:pt>
                <c:pt idx="190">
                  <c:v>95000</c:v>
                </c:pt>
                <c:pt idx="191">
                  <c:v>95500</c:v>
                </c:pt>
                <c:pt idx="192">
                  <c:v>96000</c:v>
                </c:pt>
                <c:pt idx="193">
                  <c:v>96500</c:v>
                </c:pt>
                <c:pt idx="194">
                  <c:v>97000</c:v>
                </c:pt>
                <c:pt idx="195">
                  <c:v>97500</c:v>
                </c:pt>
                <c:pt idx="196">
                  <c:v>98000</c:v>
                </c:pt>
                <c:pt idx="197">
                  <c:v>98500</c:v>
                </c:pt>
                <c:pt idx="198">
                  <c:v>99000</c:v>
                </c:pt>
                <c:pt idx="199">
                  <c:v>99500</c:v>
                </c:pt>
                <c:pt idx="200">
                  <c:v>100000</c:v>
                </c:pt>
              </c:numCache>
            </c:numRef>
          </c:cat>
          <c:val>
            <c:numRef>
              <c:f>'Use this for graphs'!$C$2:$C$202</c:f>
              <c:numCache>
                <c:formatCode>"$"#,##0</c:formatCode>
                <c:ptCount val="201"/>
                <c:pt idx="0">
                  <c:v>0</c:v>
                </c:pt>
                <c:pt idx="1">
                  <c:v>0</c:v>
                </c:pt>
                <c:pt idx="2">
                  <c:v>0</c:v>
                </c:pt>
                <c:pt idx="3">
                  <c:v>0</c:v>
                </c:pt>
                <c:pt idx="4">
                  <c:v>0</c:v>
                </c:pt>
                <c:pt idx="5">
                  <c:v>0</c:v>
                </c:pt>
                <c:pt idx="6">
                  <c:v>0</c:v>
                </c:pt>
                <c:pt idx="7">
                  <c:v>0</c:v>
                </c:pt>
                <c:pt idx="8">
                  <c:v>0</c:v>
                </c:pt>
                <c:pt idx="9">
                  <c:v>0</c:v>
                </c:pt>
                <c:pt idx="10">
                  <c:v>0</c:v>
                </c:pt>
                <c:pt idx="11">
                  <c:v>0</c:v>
                </c:pt>
                <c:pt idx="12">
                  <c:v>0</c:v>
                </c:pt>
                <c:pt idx="13">
                  <c:v>0</c:v>
                </c:pt>
                <c:pt idx="14">
                  <c:v>0</c:v>
                </c:pt>
                <c:pt idx="15">
                  <c:v>0</c:v>
                </c:pt>
                <c:pt idx="16">
                  <c:v>0</c:v>
                </c:pt>
                <c:pt idx="17">
                  <c:v>0</c:v>
                </c:pt>
                <c:pt idx="18">
                  <c:v>0</c:v>
                </c:pt>
                <c:pt idx="19">
                  <c:v>0</c:v>
                </c:pt>
                <c:pt idx="20">
                  <c:v>0</c:v>
                </c:pt>
                <c:pt idx="21">
                  <c:v>0</c:v>
                </c:pt>
                <c:pt idx="22">
                  <c:v>0</c:v>
                </c:pt>
                <c:pt idx="23">
                  <c:v>0</c:v>
                </c:pt>
                <c:pt idx="24">
                  <c:v>0</c:v>
                </c:pt>
                <c:pt idx="25">
                  <c:v>0</c:v>
                </c:pt>
                <c:pt idx="26">
                  <c:v>0</c:v>
                </c:pt>
                <c:pt idx="27">
                  <c:v>0</c:v>
                </c:pt>
                <c:pt idx="28">
                  <c:v>0</c:v>
                </c:pt>
                <c:pt idx="29">
                  <c:v>0</c:v>
                </c:pt>
                <c:pt idx="30">
                  <c:v>0</c:v>
                </c:pt>
                <c:pt idx="31">
                  <c:v>0</c:v>
                </c:pt>
                <c:pt idx="32">
                  <c:v>0</c:v>
                </c:pt>
                <c:pt idx="33">
                  <c:v>0</c:v>
                </c:pt>
                <c:pt idx="34">
                  <c:v>0</c:v>
                </c:pt>
                <c:pt idx="35">
                  <c:v>0</c:v>
                </c:pt>
                <c:pt idx="36">
                  <c:v>0</c:v>
                </c:pt>
                <c:pt idx="37">
                  <c:v>0</c:v>
                </c:pt>
                <c:pt idx="38">
                  <c:v>0</c:v>
                </c:pt>
                <c:pt idx="39">
                  <c:v>0</c:v>
                </c:pt>
                <c:pt idx="40">
                  <c:v>0</c:v>
                </c:pt>
                <c:pt idx="41">
                  <c:v>0</c:v>
                </c:pt>
                <c:pt idx="42">
                  <c:v>0</c:v>
                </c:pt>
                <c:pt idx="43">
                  <c:v>0</c:v>
                </c:pt>
                <c:pt idx="44">
                  <c:v>0</c:v>
                </c:pt>
                <c:pt idx="45">
                  <c:v>0</c:v>
                </c:pt>
                <c:pt idx="46">
                  <c:v>0</c:v>
                </c:pt>
                <c:pt idx="47">
                  <c:v>0</c:v>
                </c:pt>
                <c:pt idx="48">
                  <c:v>0</c:v>
                </c:pt>
                <c:pt idx="49">
                  <c:v>0</c:v>
                </c:pt>
                <c:pt idx="50">
                  <c:v>0</c:v>
                </c:pt>
                <c:pt idx="51">
                  <c:v>0</c:v>
                </c:pt>
                <c:pt idx="52">
                  <c:v>0</c:v>
                </c:pt>
                <c:pt idx="53">
                  <c:v>0</c:v>
                </c:pt>
                <c:pt idx="54">
                  <c:v>0</c:v>
                </c:pt>
                <c:pt idx="55">
                  <c:v>0</c:v>
                </c:pt>
                <c:pt idx="56">
                  <c:v>0</c:v>
                </c:pt>
                <c:pt idx="57">
                  <c:v>0</c:v>
                </c:pt>
                <c:pt idx="58">
                  <c:v>0</c:v>
                </c:pt>
                <c:pt idx="59">
                  <c:v>0</c:v>
                </c:pt>
                <c:pt idx="60">
                  <c:v>0</c:v>
                </c:pt>
                <c:pt idx="61">
                  <c:v>0</c:v>
                </c:pt>
                <c:pt idx="62">
                  <c:v>0</c:v>
                </c:pt>
                <c:pt idx="63">
                  <c:v>0</c:v>
                </c:pt>
                <c:pt idx="64">
                  <c:v>0</c:v>
                </c:pt>
                <c:pt idx="65">
                  <c:v>0</c:v>
                </c:pt>
                <c:pt idx="66">
                  <c:v>0</c:v>
                </c:pt>
                <c:pt idx="67">
                  <c:v>0</c:v>
                </c:pt>
                <c:pt idx="68">
                  <c:v>0</c:v>
                </c:pt>
                <c:pt idx="69">
                  <c:v>0</c:v>
                </c:pt>
                <c:pt idx="70">
                  <c:v>0</c:v>
                </c:pt>
                <c:pt idx="71">
                  <c:v>0</c:v>
                </c:pt>
                <c:pt idx="72">
                  <c:v>0</c:v>
                </c:pt>
                <c:pt idx="73">
                  <c:v>0</c:v>
                </c:pt>
                <c:pt idx="74">
                  <c:v>0</c:v>
                </c:pt>
                <c:pt idx="75">
                  <c:v>0</c:v>
                </c:pt>
                <c:pt idx="76">
                  <c:v>0</c:v>
                </c:pt>
                <c:pt idx="77">
                  <c:v>0</c:v>
                </c:pt>
                <c:pt idx="78">
                  <c:v>0</c:v>
                </c:pt>
                <c:pt idx="79">
                  <c:v>0</c:v>
                </c:pt>
                <c:pt idx="80">
                  <c:v>0</c:v>
                </c:pt>
                <c:pt idx="81">
                  <c:v>0</c:v>
                </c:pt>
                <c:pt idx="82">
                  <c:v>0</c:v>
                </c:pt>
                <c:pt idx="83">
                  <c:v>0</c:v>
                </c:pt>
                <c:pt idx="84">
                  <c:v>0</c:v>
                </c:pt>
                <c:pt idx="85">
                  <c:v>0</c:v>
                </c:pt>
                <c:pt idx="86">
                  <c:v>0</c:v>
                </c:pt>
                <c:pt idx="87">
                  <c:v>0</c:v>
                </c:pt>
                <c:pt idx="88">
                  <c:v>0</c:v>
                </c:pt>
                <c:pt idx="89">
                  <c:v>0</c:v>
                </c:pt>
                <c:pt idx="90">
                  <c:v>0</c:v>
                </c:pt>
                <c:pt idx="91">
                  <c:v>0</c:v>
                </c:pt>
                <c:pt idx="92">
                  <c:v>0</c:v>
                </c:pt>
                <c:pt idx="93">
                  <c:v>0</c:v>
                </c:pt>
                <c:pt idx="94">
                  <c:v>0</c:v>
                </c:pt>
                <c:pt idx="95">
                  <c:v>0</c:v>
                </c:pt>
                <c:pt idx="96">
                  <c:v>0</c:v>
                </c:pt>
                <c:pt idx="97">
                  <c:v>0</c:v>
                </c:pt>
                <c:pt idx="98">
                  <c:v>0</c:v>
                </c:pt>
                <c:pt idx="99">
                  <c:v>0</c:v>
                </c:pt>
                <c:pt idx="100">
                  <c:v>0</c:v>
                </c:pt>
                <c:pt idx="101">
                  <c:v>0</c:v>
                </c:pt>
                <c:pt idx="102">
                  <c:v>0</c:v>
                </c:pt>
                <c:pt idx="103">
                  <c:v>0</c:v>
                </c:pt>
                <c:pt idx="104">
                  <c:v>0</c:v>
                </c:pt>
                <c:pt idx="105">
                  <c:v>0</c:v>
                </c:pt>
                <c:pt idx="106">
                  <c:v>0</c:v>
                </c:pt>
                <c:pt idx="107">
                  <c:v>0</c:v>
                </c:pt>
                <c:pt idx="108">
                  <c:v>0</c:v>
                </c:pt>
                <c:pt idx="109">
                  <c:v>0</c:v>
                </c:pt>
                <c:pt idx="110">
                  <c:v>0</c:v>
                </c:pt>
                <c:pt idx="111">
                  <c:v>0</c:v>
                </c:pt>
                <c:pt idx="112">
                  <c:v>0</c:v>
                </c:pt>
                <c:pt idx="113">
                  <c:v>0</c:v>
                </c:pt>
                <c:pt idx="114">
                  <c:v>0</c:v>
                </c:pt>
                <c:pt idx="115">
                  <c:v>0</c:v>
                </c:pt>
                <c:pt idx="116">
                  <c:v>0</c:v>
                </c:pt>
                <c:pt idx="117">
                  <c:v>0</c:v>
                </c:pt>
                <c:pt idx="118">
                  <c:v>0</c:v>
                </c:pt>
                <c:pt idx="119">
                  <c:v>0</c:v>
                </c:pt>
                <c:pt idx="120">
                  <c:v>0</c:v>
                </c:pt>
                <c:pt idx="121">
                  <c:v>0</c:v>
                </c:pt>
                <c:pt idx="122">
                  <c:v>0</c:v>
                </c:pt>
                <c:pt idx="123">
                  <c:v>0</c:v>
                </c:pt>
                <c:pt idx="124">
                  <c:v>0</c:v>
                </c:pt>
                <c:pt idx="125">
                  <c:v>0</c:v>
                </c:pt>
                <c:pt idx="126">
                  <c:v>0</c:v>
                </c:pt>
                <c:pt idx="127">
                  <c:v>0</c:v>
                </c:pt>
                <c:pt idx="128">
                  <c:v>0</c:v>
                </c:pt>
                <c:pt idx="129">
                  <c:v>0</c:v>
                </c:pt>
                <c:pt idx="130">
                  <c:v>0</c:v>
                </c:pt>
                <c:pt idx="131">
                  <c:v>0</c:v>
                </c:pt>
                <c:pt idx="132">
                  <c:v>0</c:v>
                </c:pt>
                <c:pt idx="133">
                  <c:v>0</c:v>
                </c:pt>
                <c:pt idx="134">
                  <c:v>0</c:v>
                </c:pt>
                <c:pt idx="135">
                  <c:v>0</c:v>
                </c:pt>
                <c:pt idx="136">
                  <c:v>0</c:v>
                </c:pt>
                <c:pt idx="137">
                  <c:v>0</c:v>
                </c:pt>
                <c:pt idx="138">
                  <c:v>0</c:v>
                </c:pt>
                <c:pt idx="139">
                  <c:v>0</c:v>
                </c:pt>
                <c:pt idx="140">
                  <c:v>0</c:v>
                </c:pt>
                <c:pt idx="141">
                  <c:v>0</c:v>
                </c:pt>
                <c:pt idx="142">
                  <c:v>0</c:v>
                </c:pt>
                <c:pt idx="143">
                  <c:v>0</c:v>
                </c:pt>
                <c:pt idx="144">
                  <c:v>0</c:v>
                </c:pt>
                <c:pt idx="145">
                  <c:v>0</c:v>
                </c:pt>
                <c:pt idx="146">
                  <c:v>0</c:v>
                </c:pt>
                <c:pt idx="147">
                  <c:v>0</c:v>
                </c:pt>
                <c:pt idx="148">
                  <c:v>0</c:v>
                </c:pt>
                <c:pt idx="149">
                  <c:v>0</c:v>
                </c:pt>
                <c:pt idx="150">
                  <c:v>0</c:v>
                </c:pt>
                <c:pt idx="151">
                  <c:v>0</c:v>
                </c:pt>
                <c:pt idx="152">
                  <c:v>0</c:v>
                </c:pt>
                <c:pt idx="153">
                  <c:v>0</c:v>
                </c:pt>
                <c:pt idx="154">
                  <c:v>0</c:v>
                </c:pt>
                <c:pt idx="155">
                  <c:v>0</c:v>
                </c:pt>
                <c:pt idx="156">
                  <c:v>0</c:v>
                </c:pt>
                <c:pt idx="157">
                  <c:v>0</c:v>
                </c:pt>
                <c:pt idx="158">
                  <c:v>0</c:v>
                </c:pt>
                <c:pt idx="159">
                  <c:v>0</c:v>
                </c:pt>
                <c:pt idx="160">
                  <c:v>0</c:v>
                </c:pt>
                <c:pt idx="161">
                  <c:v>0</c:v>
                </c:pt>
                <c:pt idx="162">
                  <c:v>0</c:v>
                </c:pt>
                <c:pt idx="163">
                  <c:v>0</c:v>
                </c:pt>
                <c:pt idx="164">
                  <c:v>0</c:v>
                </c:pt>
                <c:pt idx="165">
                  <c:v>0</c:v>
                </c:pt>
                <c:pt idx="166">
                  <c:v>0</c:v>
                </c:pt>
                <c:pt idx="167">
                  <c:v>0</c:v>
                </c:pt>
                <c:pt idx="168">
                  <c:v>0</c:v>
                </c:pt>
                <c:pt idx="169">
                  <c:v>0</c:v>
                </c:pt>
                <c:pt idx="170">
                  <c:v>0</c:v>
                </c:pt>
                <c:pt idx="171">
                  <c:v>0</c:v>
                </c:pt>
                <c:pt idx="172">
                  <c:v>0</c:v>
                </c:pt>
                <c:pt idx="173">
                  <c:v>0</c:v>
                </c:pt>
                <c:pt idx="174">
                  <c:v>0</c:v>
                </c:pt>
                <c:pt idx="175">
                  <c:v>0</c:v>
                </c:pt>
                <c:pt idx="176">
                  <c:v>0</c:v>
                </c:pt>
                <c:pt idx="177">
                  <c:v>0</c:v>
                </c:pt>
                <c:pt idx="178">
                  <c:v>0</c:v>
                </c:pt>
                <c:pt idx="179">
                  <c:v>0</c:v>
                </c:pt>
                <c:pt idx="180">
                  <c:v>0</c:v>
                </c:pt>
                <c:pt idx="181">
                  <c:v>0</c:v>
                </c:pt>
                <c:pt idx="182">
                  <c:v>0</c:v>
                </c:pt>
                <c:pt idx="183">
                  <c:v>0</c:v>
                </c:pt>
                <c:pt idx="184">
                  <c:v>0</c:v>
                </c:pt>
                <c:pt idx="185">
                  <c:v>0</c:v>
                </c:pt>
                <c:pt idx="186">
                  <c:v>0</c:v>
                </c:pt>
                <c:pt idx="187">
                  <c:v>0</c:v>
                </c:pt>
                <c:pt idx="188">
                  <c:v>0</c:v>
                </c:pt>
                <c:pt idx="189">
                  <c:v>0</c:v>
                </c:pt>
                <c:pt idx="190">
                  <c:v>0</c:v>
                </c:pt>
                <c:pt idx="191">
                  <c:v>0</c:v>
                </c:pt>
                <c:pt idx="192">
                  <c:v>0</c:v>
                </c:pt>
                <c:pt idx="193">
                  <c:v>0</c:v>
                </c:pt>
                <c:pt idx="194">
                  <c:v>0</c:v>
                </c:pt>
                <c:pt idx="195">
                  <c:v>0</c:v>
                </c:pt>
                <c:pt idx="196">
                  <c:v>0</c:v>
                </c:pt>
                <c:pt idx="197">
                  <c:v>0</c:v>
                </c:pt>
                <c:pt idx="198">
                  <c:v>0</c:v>
                </c:pt>
                <c:pt idx="199">
                  <c:v>0</c:v>
                </c:pt>
                <c:pt idx="200">
                  <c:v>0</c:v>
                </c:pt>
              </c:numCache>
            </c:numRef>
          </c:val>
          <c:extLst>
            <c:ext xmlns:c16="http://schemas.microsoft.com/office/drawing/2014/chart" uri="{C3380CC4-5D6E-409C-BE32-E72D297353CC}">
              <c16:uniqueId val="{00000006-9161-490F-91EC-5745335BC484}"/>
            </c:ext>
          </c:extLst>
        </c:ser>
        <c:ser>
          <c:idx val="7"/>
          <c:order val="3"/>
          <c:tx>
            <c:strRef>
              <c:f>'Use this for graphs'!$D$1</c:f>
              <c:strCache>
                <c:ptCount val="1"/>
                <c:pt idx="0">
                  <c:v>TANF</c:v>
                </c:pt>
              </c:strCache>
            </c:strRef>
          </c:tx>
          <c:spPr>
            <a:solidFill>
              <a:schemeClr val="accent2">
                <a:lumMod val="60000"/>
              </a:schemeClr>
            </a:solidFill>
            <a:ln>
              <a:noFill/>
            </a:ln>
            <a:effectLst/>
          </c:spPr>
          <c:cat>
            <c:numRef>
              <c:f>'Use this for graphs'!$A$2:$A$202</c:f>
              <c:numCache>
                <c:formatCode>"$"#,##0</c:formatCode>
                <c:ptCount val="201"/>
                <c:pt idx="0">
                  <c:v>0</c:v>
                </c:pt>
                <c:pt idx="1">
                  <c:v>500</c:v>
                </c:pt>
                <c:pt idx="2">
                  <c:v>1000</c:v>
                </c:pt>
                <c:pt idx="3">
                  <c:v>1500</c:v>
                </c:pt>
                <c:pt idx="4">
                  <c:v>2000</c:v>
                </c:pt>
                <c:pt idx="5">
                  <c:v>2500</c:v>
                </c:pt>
                <c:pt idx="6">
                  <c:v>3000</c:v>
                </c:pt>
                <c:pt idx="7">
                  <c:v>3500</c:v>
                </c:pt>
                <c:pt idx="8">
                  <c:v>4000</c:v>
                </c:pt>
                <c:pt idx="9">
                  <c:v>4500</c:v>
                </c:pt>
                <c:pt idx="10">
                  <c:v>5000</c:v>
                </c:pt>
                <c:pt idx="11">
                  <c:v>5500</c:v>
                </c:pt>
                <c:pt idx="12">
                  <c:v>6000</c:v>
                </c:pt>
                <c:pt idx="13">
                  <c:v>6500</c:v>
                </c:pt>
                <c:pt idx="14">
                  <c:v>7000</c:v>
                </c:pt>
                <c:pt idx="15">
                  <c:v>7500</c:v>
                </c:pt>
                <c:pt idx="16">
                  <c:v>8000</c:v>
                </c:pt>
                <c:pt idx="17">
                  <c:v>8500</c:v>
                </c:pt>
                <c:pt idx="18">
                  <c:v>9000</c:v>
                </c:pt>
                <c:pt idx="19">
                  <c:v>9500</c:v>
                </c:pt>
                <c:pt idx="20">
                  <c:v>10000</c:v>
                </c:pt>
                <c:pt idx="21">
                  <c:v>10500</c:v>
                </c:pt>
                <c:pt idx="22">
                  <c:v>11000</c:v>
                </c:pt>
                <c:pt idx="23">
                  <c:v>11500</c:v>
                </c:pt>
                <c:pt idx="24">
                  <c:v>12000</c:v>
                </c:pt>
                <c:pt idx="25">
                  <c:v>12500</c:v>
                </c:pt>
                <c:pt idx="26">
                  <c:v>13000</c:v>
                </c:pt>
                <c:pt idx="27">
                  <c:v>13500</c:v>
                </c:pt>
                <c:pt idx="28">
                  <c:v>14000</c:v>
                </c:pt>
                <c:pt idx="29">
                  <c:v>14500</c:v>
                </c:pt>
                <c:pt idx="30">
                  <c:v>15000</c:v>
                </c:pt>
                <c:pt idx="31">
                  <c:v>15500</c:v>
                </c:pt>
                <c:pt idx="32">
                  <c:v>16000</c:v>
                </c:pt>
                <c:pt idx="33">
                  <c:v>16500</c:v>
                </c:pt>
                <c:pt idx="34">
                  <c:v>17000</c:v>
                </c:pt>
                <c:pt idx="35">
                  <c:v>17500</c:v>
                </c:pt>
                <c:pt idx="36">
                  <c:v>18000</c:v>
                </c:pt>
                <c:pt idx="37">
                  <c:v>18500</c:v>
                </c:pt>
                <c:pt idx="38">
                  <c:v>19000</c:v>
                </c:pt>
                <c:pt idx="39">
                  <c:v>19500</c:v>
                </c:pt>
                <c:pt idx="40">
                  <c:v>20000</c:v>
                </c:pt>
                <c:pt idx="41">
                  <c:v>20500</c:v>
                </c:pt>
                <c:pt idx="42">
                  <c:v>21000</c:v>
                </c:pt>
                <c:pt idx="43">
                  <c:v>21500</c:v>
                </c:pt>
                <c:pt idx="44">
                  <c:v>22000</c:v>
                </c:pt>
                <c:pt idx="45">
                  <c:v>22500</c:v>
                </c:pt>
                <c:pt idx="46">
                  <c:v>23000</c:v>
                </c:pt>
                <c:pt idx="47">
                  <c:v>23500</c:v>
                </c:pt>
                <c:pt idx="48">
                  <c:v>24000</c:v>
                </c:pt>
                <c:pt idx="49">
                  <c:v>24500</c:v>
                </c:pt>
                <c:pt idx="50">
                  <c:v>25000</c:v>
                </c:pt>
                <c:pt idx="51">
                  <c:v>25500</c:v>
                </c:pt>
                <c:pt idx="52">
                  <c:v>26000</c:v>
                </c:pt>
                <c:pt idx="53">
                  <c:v>26500</c:v>
                </c:pt>
                <c:pt idx="54">
                  <c:v>27000</c:v>
                </c:pt>
                <c:pt idx="55">
                  <c:v>27500</c:v>
                </c:pt>
                <c:pt idx="56">
                  <c:v>28000</c:v>
                </c:pt>
                <c:pt idx="57">
                  <c:v>28500</c:v>
                </c:pt>
                <c:pt idx="58">
                  <c:v>29000</c:v>
                </c:pt>
                <c:pt idx="59">
                  <c:v>29500</c:v>
                </c:pt>
                <c:pt idx="60">
                  <c:v>30000</c:v>
                </c:pt>
                <c:pt idx="61">
                  <c:v>30500</c:v>
                </c:pt>
                <c:pt idx="62">
                  <c:v>31000</c:v>
                </c:pt>
                <c:pt idx="63">
                  <c:v>31500</c:v>
                </c:pt>
                <c:pt idx="64">
                  <c:v>32000</c:v>
                </c:pt>
                <c:pt idx="65">
                  <c:v>32500</c:v>
                </c:pt>
                <c:pt idx="66">
                  <c:v>33000</c:v>
                </c:pt>
                <c:pt idx="67">
                  <c:v>33500</c:v>
                </c:pt>
                <c:pt idx="68">
                  <c:v>34000</c:v>
                </c:pt>
                <c:pt idx="69">
                  <c:v>34500</c:v>
                </c:pt>
                <c:pt idx="70">
                  <c:v>35000</c:v>
                </c:pt>
                <c:pt idx="71">
                  <c:v>35500</c:v>
                </c:pt>
                <c:pt idx="72">
                  <c:v>36000</c:v>
                </c:pt>
                <c:pt idx="73">
                  <c:v>36500</c:v>
                </c:pt>
                <c:pt idx="74">
                  <c:v>37000</c:v>
                </c:pt>
                <c:pt idx="75">
                  <c:v>37500</c:v>
                </c:pt>
                <c:pt idx="76">
                  <c:v>38000</c:v>
                </c:pt>
                <c:pt idx="77">
                  <c:v>38500</c:v>
                </c:pt>
                <c:pt idx="78">
                  <c:v>39000</c:v>
                </c:pt>
                <c:pt idx="79">
                  <c:v>39500</c:v>
                </c:pt>
                <c:pt idx="80">
                  <c:v>40000</c:v>
                </c:pt>
                <c:pt idx="81">
                  <c:v>40500</c:v>
                </c:pt>
                <c:pt idx="82">
                  <c:v>41000</c:v>
                </c:pt>
                <c:pt idx="83">
                  <c:v>41500</c:v>
                </c:pt>
                <c:pt idx="84">
                  <c:v>42000</c:v>
                </c:pt>
                <c:pt idx="85">
                  <c:v>42500</c:v>
                </c:pt>
                <c:pt idx="86">
                  <c:v>43000</c:v>
                </c:pt>
                <c:pt idx="87">
                  <c:v>43500</c:v>
                </c:pt>
                <c:pt idx="88">
                  <c:v>44000</c:v>
                </c:pt>
                <c:pt idx="89">
                  <c:v>44500</c:v>
                </c:pt>
                <c:pt idx="90">
                  <c:v>45000</c:v>
                </c:pt>
                <c:pt idx="91">
                  <c:v>45500</c:v>
                </c:pt>
                <c:pt idx="92">
                  <c:v>46000</c:v>
                </c:pt>
                <c:pt idx="93">
                  <c:v>46500</c:v>
                </c:pt>
                <c:pt idx="94">
                  <c:v>47000</c:v>
                </c:pt>
                <c:pt idx="95">
                  <c:v>47500</c:v>
                </c:pt>
                <c:pt idx="96">
                  <c:v>48000</c:v>
                </c:pt>
                <c:pt idx="97">
                  <c:v>48500</c:v>
                </c:pt>
                <c:pt idx="98">
                  <c:v>49000</c:v>
                </c:pt>
                <c:pt idx="99">
                  <c:v>49500</c:v>
                </c:pt>
                <c:pt idx="100">
                  <c:v>50000</c:v>
                </c:pt>
                <c:pt idx="101">
                  <c:v>50500</c:v>
                </c:pt>
                <c:pt idx="102">
                  <c:v>51000</c:v>
                </c:pt>
                <c:pt idx="103">
                  <c:v>51500</c:v>
                </c:pt>
                <c:pt idx="104">
                  <c:v>52000</c:v>
                </c:pt>
                <c:pt idx="105">
                  <c:v>52500</c:v>
                </c:pt>
                <c:pt idx="106">
                  <c:v>53000</c:v>
                </c:pt>
                <c:pt idx="107">
                  <c:v>53500</c:v>
                </c:pt>
                <c:pt idx="108">
                  <c:v>54000</c:v>
                </c:pt>
                <c:pt idx="109">
                  <c:v>54500</c:v>
                </c:pt>
                <c:pt idx="110">
                  <c:v>55000</c:v>
                </c:pt>
                <c:pt idx="111">
                  <c:v>55500</c:v>
                </c:pt>
                <c:pt idx="112">
                  <c:v>56000</c:v>
                </c:pt>
                <c:pt idx="113">
                  <c:v>56500</c:v>
                </c:pt>
                <c:pt idx="114">
                  <c:v>57000</c:v>
                </c:pt>
                <c:pt idx="115">
                  <c:v>57500</c:v>
                </c:pt>
                <c:pt idx="116">
                  <c:v>58000</c:v>
                </c:pt>
                <c:pt idx="117">
                  <c:v>58500</c:v>
                </c:pt>
                <c:pt idx="118">
                  <c:v>59000</c:v>
                </c:pt>
                <c:pt idx="119">
                  <c:v>59500</c:v>
                </c:pt>
                <c:pt idx="120">
                  <c:v>60000</c:v>
                </c:pt>
                <c:pt idx="121">
                  <c:v>60500</c:v>
                </c:pt>
                <c:pt idx="122">
                  <c:v>61000</c:v>
                </c:pt>
                <c:pt idx="123">
                  <c:v>61500</c:v>
                </c:pt>
                <c:pt idx="124">
                  <c:v>62000</c:v>
                </c:pt>
                <c:pt idx="125">
                  <c:v>62500</c:v>
                </c:pt>
                <c:pt idx="126">
                  <c:v>63000</c:v>
                </c:pt>
                <c:pt idx="127">
                  <c:v>63500</c:v>
                </c:pt>
                <c:pt idx="128">
                  <c:v>64000</c:v>
                </c:pt>
                <c:pt idx="129">
                  <c:v>64500</c:v>
                </c:pt>
                <c:pt idx="130">
                  <c:v>65000</c:v>
                </c:pt>
                <c:pt idx="131">
                  <c:v>65500</c:v>
                </c:pt>
                <c:pt idx="132">
                  <c:v>66000</c:v>
                </c:pt>
                <c:pt idx="133">
                  <c:v>66500</c:v>
                </c:pt>
                <c:pt idx="134">
                  <c:v>67000</c:v>
                </c:pt>
                <c:pt idx="135">
                  <c:v>67500</c:v>
                </c:pt>
                <c:pt idx="136">
                  <c:v>68000</c:v>
                </c:pt>
                <c:pt idx="137">
                  <c:v>68500</c:v>
                </c:pt>
                <c:pt idx="138">
                  <c:v>69000</c:v>
                </c:pt>
                <c:pt idx="139">
                  <c:v>69500</c:v>
                </c:pt>
                <c:pt idx="140">
                  <c:v>70000</c:v>
                </c:pt>
                <c:pt idx="141">
                  <c:v>70500</c:v>
                </c:pt>
                <c:pt idx="142">
                  <c:v>71000</c:v>
                </c:pt>
                <c:pt idx="143">
                  <c:v>71500</c:v>
                </c:pt>
                <c:pt idx="144">
                  <c:v>72000</c:v>
                </c:pt>
                <c:pt idx="145">
                  <c:v>72500</c:v>
                </c:pt>
                <c:pt idx="146">
                  <c:v>73000</c:v>
                </c:pt>
                <c:pt idx="147">
                  <c:v>73500</c:v>
                </c:pt>
                <c:pt idx="148">
                  <c:v>74000</c:v>
                </c:pt>
                <c:pt idx="149">
                  <c:v>74500</c:v>
                </c:pt>
                <c:pt idx="150">
                  <c:v>75000</c:v>
                </c:pt>
                <c:pt idx="151">
                  <c:v>75500</c:v>
                </c:pt>
                <c:pt idx="152">
                  <c:v>76000</c:v>
                </c:pt>
                <c:pt idx="153">
                  <c:v>76500</c:v>
                </c:pt>
                <c:pt idx="154">
                  <c:v>77000</c:v>
                </c:pt>
                <c:pt idx="155">
                  <c:v>77500</c:v>
                </c:pt>
                <c:pt idx="156">
                  <c:v>78000</c:v>
                </c:pt>
                <c:pt idx="157">
                  <c:v>78500</c:v>
                </c:pt>
                <c:pt idx="158">
                  <c:v>79000</c:v>
                </c:pt>
                <c:pt idx="159">
                  <c:v>79500</c:v>
                </c:pt>
                <c:pt idx="160">
                  <c:v>80000</c:v>
                </c:pt>
                <c:pt idx="161">
                  <c:v>80500</c:v>
                </c:pt>
                <c:pt idx="162">
                  <c:v>81000</c:v>
                </c:pt>
                <c:pt idx="163">
                  <c:v>81500</c:v>
                </c:pt>
                <c:pt idx="164">
                  <c:v>82000</c:v>
                </c:pt>
                <c:pt idx="165">
                  <c:v>82500</c:v>
                </c:pt>
                <c:pt idx="166">
                  <c:v>83000</c:v>
                </c:pt>
                <c:pt idx="167">
                  <c:v>83500</c:v>
                </c:pt>
                <c:pt idx="168">
                  <c:v>84000</c:v>
                </c:pt>
                <c:pt idx="169">
                  <c:v>84500</c:v>
                </c:pt>
                <c:pt idx="170">
                  <c:v>85000</c:v>
                </c:pt>
                <c:pt idx="171">
                  <c:v>85500</c:v>
                </c:pt>
                <c:pt idx="172">
                  <c:v>86000</c:v>
                </c:pt>
                <c:pt idx="173">
                  <c:v>86500</c:v>
                </c:pt>
                <c:pt idx="174">
                  <c:v>87000</c:v>
                </c:pt>
                <c:pt idx="175">
                  <c:v>87500</c:v>
                </c:pt>
                <c:pt idx="176">
                  <c:v>88000</c:v>
                </c:pt>
                <c:pt idx="177">
                  <c:v>88500</c:v>
                </c:pt>
                <c:pt idx="178">
                  <c:v>89000</c:v>
                </c:pt>
                <c:pt idx="179">
                  <c:v>89500</c:v>
                </c:pt>
                <c:pt idx="180">
                  <c:v>90000</c:v>
                </c:pt>
                <c:pt idx="181">
                  <c:v>90500</c:v>
                </c:pt>
                <c:pt idx="182">
                  <c:v>91000</c:v>
                </c:pt>
                <c:pt idx="183">
                  <c:v>91500</c:v>
                </c:pt>
                <c:pt idx="184">
                  <c:v>92000</c:v>
                </c:pt>
                <c:pt idx="185">
                  <c:v>92500</c:v>
                </c:pt>
                <c:pt idx="186">
                  <c:v>93000</c:v>
                </c:pt>
                <c:pt idx="187">
                  <c:v>93500</c:v>
                </c:pt>
                <c:pt idx="188">
                  <c:v>94000</c:v>
                </c:pt>
                <c:pt idx="189">
                  <c:v>94500</c:v>
                </c:pt>
                <c:pt idx="190">
                  <c:v>95000</c:v>
                </c:pt>
                <c:pt idx="191">
                  <c:v>95500</c:v>
                </c:pt>
                <c:pt idx="192">
                  <c:v>96000</c:v>
                </c:pt>
                <c:pt idx="193">
                  <c:v>96500</c:v>
                </c:pt>
                <c:pt idx="194">
                  <c:v>97000</c:v>
                </c:pt>
                <c:pt idx="195">
                  <c:v>97500</c:v>
                </c:pt>
                <c:pt idx="196">
                  <c:v>98000</c:v>
                </c:pt>
                <c:pt idx="197">
                  <c:v>98500</c:v>
                </c:pt>
                <c:pt idx="198">
                  <c:v>99000</c:v>
                </c:pt>
                <c:pt idx="199">
                  <c:v>99500</c:v>
                </c:pt>
                <c:pt idx="200">
                  <c:v>100000</c:v>
                </c:pt>
              </c:numCache>
            </c:numRef>
          </c:cat>
          <c:val>
            <c:numRef>
              <c:f>'Use this for graphs'!$D$2:$D$202</c:f>
              <c:numCache>
                <c:formatCode>"$"#,##0</c:formatCode>
                <c:ptCount val="201"/>
                <c:pt idx="0">
                  <c:v>4620</c:v>
                </c:pt>
                <c:pt idx="1">
                  <c:v>4620</c:v>
                </c:pt>
                <c:pt idx="2">
                  <c:v>4620</c:v>
                </c:pt>
                <c:pt idx="3">
                  <c:v>4620</c:v>
                </c:pt>
                <c:pt idx="4">
                  <c:v>4620</c:v>
                </c:pt>
                <c:pt idx="5">
                  <c:v>4620</c:v>
                </c:pt>
                <c:pt idx="6">
                  <c:v>4226.3999999999996</c:v>
                </c:pt>
                <c:pt idx="7">
                  <c:v>3826.4</c:v>
                </c:pt>
                <c:pt idx="8">
                  <c:v>3426.4000000000005</c:v>
                </c:pt>
                <c:pt idx="9">
                  <c:v>3026.3999999999996</c:v>
                </c:pt>
                <c:pt idx="10">
                  <c:v>2626.3999999999996</c:v>
                </c:pt>
                <c:pt idx="11">
                  <c:v>2226.4000000000005</c:v>
                </c:pt>
                <c:pt idx="12">
                  <c:v>1826.3999999999999</c:v>
                </c:pt>
                <c:pt idx="13">
                  <c:v>1426.4</c:v>
                </c:pt>
                <c:pt idx="14">
                  <c:v>1026.3999999999996</c:v>
                </c:pt>
                <c:pt idx="15">
                  <c:v>626.39999999999986</c:v>
                </c:pt>
                <c:pt idx="16">
                  <c:v>226.40000000000009</c:v>
                </c:pt>
                <c:pt idx="17">
                  <c:v>0</c:v>
                </c:pt>
                <c:pt idx="18">
                  <c:v>0</c:v>
                </c:pt>
                <c:pt idx="19">
                  <c:v>0</c:v>
                </c:pt>
                <c:pt idx="20">
                  <c:v>0</c:v>
                </c:pt>
                <c:pt idx="21">
                  <c:v>0</c:v>
                </c:pt>
                <c:pt idx="22">
                  <c:v>0</c:v>
                </c:pt>
                <c:pt idx="23">
                  <c:v>0</c:v>
                </c:pt>
                <c:pt idx="24">
                  <c:v>0</c:v>
                </c:pt>
                <c:pt idx="25">
                  <c:v>0</c:v>
                </c:pt>
                <c:pt idx="26">
                  <c:v>0</c:v>
                </c:pt>
                <c:pt idx="27">
                  <c:v>0</c:v>
                </c:pt>
                <c:pt idx="28">
                  <c:v>0</c:v>
                </c:pt>
                <c:pt idx="29">
                  <c:v>0</c:v>
                </c:pt>
                <c:pt idx="30">
                  <c:v>0</c:v>
                </c:pt>
                <c:pt idx="31">
                  <c:v>0</c:v>
                </c:pt>
                <c:pt idx="32">
                  <c:v>0</c:v>
                </c:pt>
                <c:pt idx="33">
                  <c:v>0</c:v>
                </c:pt>
                <c:pt idx="34">
                  <c:v>0</c:v>
                </c:pt>
                <c:pt idx="35">
                  <c:v>0</c:v>
                </c:pt>
                <c:pt idx="36">
                  <c:v>0</c:v>
                </c:pt>
                <c:pt idx="37">
                  <c:v>0</c:v>
                </c:pt>
                <c:pt idx="38">
                  <c:v>0</c:v>
                </c:pt>
                <c:pt idx="39">
                  <c:v>0</c:v>
                </c:pt>
                <c:pt idx="40">
                  <c:v>0</c:v>
                </c:pt>
                <c:pt idx="41">
                  <c:v>0</c:v>
                </c:pt>
                <c:pt idx="42">
                  <c:v>0</c:v>
                </c:pt>
                <c:pt idx="43">
                  <c:v>0</c:v>
                </c:pt>
                <c:pt idx="44">
                  <c:v>0</c:v>
                </c:pt>
                <c:pt idx="45">
                  <c:v>0</c:v>
                </c:pt>
                <c:pt idx="46">
                  <c:v>0</c:v>
                </c:pt>
                <c:pt idx="47">
                  <c:v>0</c:v>
                </c:pt>
                <c:pt idx="48">
                  <c:v>0</c:v>
                </c:pt>
                <c:pt idx="49">
                  <c:v>0</c:v>
                </c:pt>
                <c:pt idx="50">
                  <c:v>0</c:v>
                </c:pt>
                <c:pt idx="51">
                  <c:v>0</c:v>
                </c:pt>
                <c:pt idx="52">
                  <c:v>0</c:v>
                </c:pt>
                <c:pt idx="53">
                  <c:v>0</c:v>
                </c:pt>
                <c:pt idx="54">
                  <c:v>0</c:v>
                </c:pt>
                <c:pt idx="55">
                  <c:v>0</c:v>
                </c:pt>
                <c:pt idx="56">
                  <c:v>0</c:v>
                </c:pt>
                <c:pt idx="57">
                  <c:v>0</c:v>
                </c:pt>
                <c:pt idx="58">
                  <c:v>0</c:v>
                </c:pt>
                <c:pt idx="59">
                  <c:v>0</c:v>
                </c:pt>
                <c:pt idx="60">
                  <c:v>0</c:v>
                </c:pt>
                <c:pt idx="61">
                  <c:v>0</c:v>
                </c:pt>
                <c:pt idx="62">
                  <c:v>0</c:v>
                </c:pt>
                <c:pt idx="63">
                  <c:v>0</c:v>
                </c:pt>
                <c:pt idx="64">
                  <c:v>0</c:v>
                </c:pt>
                <c:pt idx="65">
                  <c:v>0</c:v>
                </c:pt>
                <c:pt idx="66">
                  <c:v>0</c:v>
                </c:pt>
                <c:pt idx="67">
                  <c:v>0</c:v>
                </c:pt>
                <c:pt idx="68">
                  <c:v>0</c:v>
                </c:pt>
                <c:pt idx="69">
                  <c:v>0</c:v>
                </c:pt>
                <c:pt idx="70">
                  <c:v>0</c:v>
                </c:pt>
                <c:pt idx="71">
                  <c:v>0</c:v>
                </c:pt>
                <c:pt idx="72">
                  <c:v>0</c:v>
                </c:pt>
                <c:pt idx="73">
                  <c:v>0</c:v>
                </c:pt>
                <c:pt idx="74">
                  <c:v>0</c:v>
                </c:pt>
                <c:pt idx="75">
                  <c:v>0</c:v>
                </c:pt>
                <c:pt idx="76">
                  <c:v>0</c:v>
                </c:pt>
                <c:pt idx="77">
                  <c:v>0</c:v>
                </c:pt>
                <c:pt idx="78">
                  <c:v>0</c:v>
                </c:pt>
                <c:pt idx="79">
                  <c:v>0</c:v>
                </c:pt>
                <c:pt idx="80">
                  <c:v>0</c:v>
                </c:pt>
                <c:pt idx="81">
                  <c:v>0</c:v>
                </c:pt>
                <c:pt idx="82">
                  <c:v>0</c:v>
                </c:pt>
                <c:pt idx="83">
                  <c:v>0</c:v>
                </c:pt>
                <c:pt idx="84">
                  <c:v>0</c:v>
                </c:pt>
                <c:pt idx="85">
                  <c:v>0</c:v>
                </c:pt>
                <c:pt idx="86">
                  <c:v>0</c:v>
                </c:pt>
                <c:pt idx="87">
                  <c:v>0</c:v>
                </c:pt>
                <c:pt idx="88">
                  <c:v>0</c:v>
                </c:pt>
                <c:pt idx="89">
                  <c:v>0</c:v>
                </c:pt>
                <c:pt idx="90">
                  <c:v>0</c:v>
                </c:pt>
                <c:pt idx="91">
                  <c:v>0</c:v>
                </c:pt>
                <c:pt idx="92">
                  <c:v>0</c:v>
                </c:pt>
                <c:pt idx="93">
                  <c:v>0</c:v>
                </c:pt>
                <c:pt idx="94">
                  <c:v>0</c:v>
                </c:pt>
                <c:pt idx="95">
                  <c:v>0</c:v>
                </c:pt>
                <c:pt idx="96">
                  <c:v>0</c:v>
                </c:pt>
                <c:pt idx="97">
                  <c:v>0</c:v>
                </c:pt>
                <c:pt idx="98">
                  <c:v>0</c:v>
                </c:pt>
                <c:pt idx="99">
                  <c:v>0</c:v>
                </c:pt>
                <c:pt idx="100">
                  <c:v>0</c:v>
                </c:pt>
                <c:pt idx="101">
                  <c:v>0</c:v>
                </c:pt>
                <c:pt idx="102">
                  <c:v>0</c:v>
                </c:pt>
                <c:pt idx="103">
                  <c:v>0</c:v>
                </c:pt>
                <c:pt idx="104">
                  <c:v>0</c:v>
                </c:pt>
                <c:pt idx="105">
                  <c:v>0</c:v>
                </c:pt>
                <c:pt idx="106">
                  <c:v>0</c:v>
                </c:pt>
                <c:pt idx="107">
                  <c:v>0</c:v>
                </c:pt>
                <c:pt idx="108">
                  <c:v>0</c:v>
                </c:pt>
                <c:pt idx="109">
                  <c:v>0</c:v>
                </c:pt>
                <c:pt idx="110">
                  <c:v>0</c:v>
                </c:pt>
                <c:pt idx="111">
                  <c:v>0</c:v>
                </c:pt>
                <c:pt idx="112">
                  <c:v>0</c:v>
                </c:pt>
                <c:pt idx="113">
                  <c:v>0</c:v>
                </c:pt>
                <c:pt idx="114">
                  <c:v>0</c:v>
                </c:pt>
                <c:pt idx="115">
                  <c:v>0</c:v>
                </c:pt>
                <c:pt idx="116">
                  <c:v>0</c:v>
                </c:pt>
                <c:pt idx="117">
                  <c:v>0</c:v>
                </c:pt>
                <c:pt idx="118">
                  <c:v>0</c:v>
                </c:pt>
                <c:pt idx="119">
                  <c:v>0</c:v>
                </c:pt>
                <c:pt idx="120">
                  <c:v>0</c:v>
                </c:pt>
                <c:pt idx="121">
                  <c:v>0</c:v>
                </c:pt>
                <c:pt idx="122">
                  <c:v>0</c:v>
                </c:pt>
                <c:pt idx="123">
                  <c:v>0</c:v>
                </c:pt>
                <c:pt idx="124">
                  <c:v>0</c:v>
                </c:pt>
                <c:pt idx="125">
                  <c:v>0</c:v>
                </c:pt>
                <c:pt idx="126">
                  <c:v>0</c:v>
                </c:pt>
                <c:pt idx="127">
                  <c:v>0</c:v>
                </c:pt>
                <c:pt idx="128">
                  <c:v>0</c:v>
                </c:pt>
                <c:pt idx="129">
                  <c:v>0</c:v>
                </c:pt>
                <c:pt idx="130">
                  <c:v>0</c:v>
                </c:pt>
                <c:pt idx="131">
                  <c:v>0</c:v>
                </c:pt>
                <c:pt idx="132">
                  <c:v>0</c:v>
                </c:pt>
                <c:pt idx="133">
                  <c:v>0</c:v>
                </c:pt>
                <c:pt idx="134">
                  <c:v>0</c:v>
                </c:pt>
                <c:pt idx="135">
                  <c:v>0</c:v>
                </c:pt>
                <c:pt idx="136">
                  <c:v>0</c:v>
                </c:pt>
                <c:pt idx="137">
                  <c:v>0</c:v>
                </c:pt>
                <c:pt idx="138">
                  <c:v>0</c:v>
                </c:pt>
                <c:pt idx="139">
                  <c:v>0</c:v>
                </c:pt>
                <c:pt idx="140">
                  <c:v>0</c:v>
                </c:pt>
                <c:pt idx="141">
                  <c:v>0</c:v>
                </c:pt>
                <c:pt idx="142">
                  <c:v>0</c:v>
                </c:pt>
                <c:pt idx="143">
                  <c:v>0</c:v>
                </c:pt>
                <c:pt idx="144">
                  <c:v>0</c:v>
                </c:pt>
                <c:pt idx="145">
                  <c:v>0</c:v>
                </c:pt>
                <c:pt idx="146">
                  <c:v>0</c:v>
                </c:pt>
                <c:pt idx="147">
                  <c:v>0</c:v>
                </c:pt>
                <c:pt idx="148">
                  <c:v>0</c:v>
                </c:pt>
                <c:pt idx="149">
                  <c:v>0</c:v>
                </c:pt>
                <c:pt idx="150">
                  <c:v>0</c:v>
                </c:pt>
                <c:pt idx="151">
                  <c:v>0</c:v>
                </c:pt>
                <c:pt idx="152">
                  <c:v>0</c:v>
                </c:pt>
                <c:pt idx="153">
                  <c:v>0</c:v>
                </c:pt>
                <c:pt idx="154">
                  <c:v>0</c:v>
                </c:pt>
                <c:pt idx="155">
                  <c:v>0</c:v>
                </c:pt>
                <c:pt idx="156">
                  <c:v>0</c:v>
                </c:pt>
                <c:pt idx="157">
                  <c:v>0</c:v>
                </c:pt>
                <c:pt idx="158">
                  <c:v>0</c:v>
                </c:pt>
                <c:pt idx="159">
                  <c:v>0</c:v>
                </c:pt>
                <c:pt idx="160">
                  <c:v>0</c:v>
                </c:pt>
                <c:pt idx="161">
                  <c:v>0</c:v>
                </c:pt>
                <c:pt idx="162">
                  <c:v>0</c:v>
                </c:pt>
                <c:pt idx="163">
                  <c:v>0</c:v>
                </c:pt>
                <c:pt idx="164">
                  <c:v>0</c:v>
                </c:pt>
                <c:pt idx="165">
                  <c:v>0</c:v>
                </c:pt>
                <c:pt idx="166">
                  <c:v>0</c:v>
                </c:pt>
                <c:pt idx="167">
                  <c:v>0</c:v>
                </c:pt>
                <c:pt idx="168">
                  <c:v>0</c:v>
                </c:pt>
                <c:pt idx="169">
                  <c:v>0</c:v>
                </c:pt>
                <c:pt idx="170">
                  <c:v>0</c:v>
                </c:pt>
                <c:pt idx="171">
                  <c:v>0</c:v>
                </c:pt>
                <c:pt idx="172">
                  <c:v>0</c:v>
                </c:pt>
                <c:pt idx="173">
                  <c:v>0</c:v>
                </c:pt>
                <c:pt idx="174">
                  <c:v>0</c:v>
                </c:pt>
                <c:pt idx="175">
                  <c:v>0</c:v>
                </c:pt>
                <c:pt idx="176">
                  <c:v>0</c:v>
                </c:pt>
                <c:pt idx="177">
                  <c:v>0</c:v>
                </c:pt>
                <c:pt idx="178">
                  <c:v>0</c:v>
                </c:pt>
                <c:pt idx="179">
                  <c:v>0</c:v>
                </c:pt>
                <c:pt idx="180">
                  <c:v>0</c:v>
                </c:pt>
                <c:pt idx="181">
                  <c:v>0</c:v>
                </c:pt>
                <c:pt idx="182">
                  <c:v>0</c:v>
                </c:pt>
                <c:pt idx="183">
                  <c:v>0</c:v>
                </c:pt>
                <c:pt idx="184">
                  <c:v>0</c:v>
                </c:pt>
                <c:pt idx="185">
                  <c:v>0</c:v>
                </c:pt>
                <c:pt idx="186">
                  <c:v>0</c:v>
                </c:pt>
                <c:pt idx="187">
                  <c:v>0</c:v>
                </c:pt>
                <c:pt idx="188">
                  <c:v>0</c:v>
                </c:pt>
                <c:pt idx="189">
                  <c:v>0</c:v>
                </c:pt>
                <c:pt idx="190">
                  <c:v>0</c:v>
                </c:pt>
                <c:pt idx="191">
                  <c:v>0</c:v>
                </c:pt>
                <c:pt idx="192">
                  <c:v>0</c:v>
                </c:pt>
                <c:pt idx="193">
                  <c:v>0</c:v>
                </c:pt>
                <c:pt idx="194">
                  <c:v>0</c:v>
                </c:pt>
                <c:pt idx="195">
                  <c:v>0</c:v>
                </c:pt>
                <c:pt idx="196">
                  <c:v>0</c:v>
                </c:pt>
                <c:pt idx="197">
                  <c:v>0</c:v>
                </c:pt>
                <c:pt idx="198">
                  <c:v>0</c:v>
                </c:pt>
                <c:pt idx="199">
                  <c:v>0</c:v>
                </c:pt>
                <c:pt idx="200">
                  <c:v>0</c:v>
                </c:pt>
              </c:numCache>
            </c:numRef>
          </c:val>
          <c:extLst>
            <c:ext xmlns:c16="http://schemas.microsoft.com/office/drawing/2014/chart" uri="{C3380CC4-5D6E-409C-BE32-E72D297353CC}">
              <c16:uniqueId val="{00000007-9161-490F-91EC-5745335BC484}"/>
            </c:ext>
          </c:extLst>
        </c:ser>
        <c:ser>
          <c:idx val="8"/>
          <c:order val="4"/>
          <c:tx>
            <c:strRef>
              <c:f>'Use this for graphs'!$E$1</c:f>
              <c:strCache>
                <c:ptCount val="1"/>
                <c:pt idx="0">
                  <c:v>Annual SNAP Benefit</c:v>
                </c:pt>
              </c:strCache>
            </c:strRef>
          </c:tx>
          <c:spPr>
            <a:solidFill>
              <a:schemeClr val="accent3">
                <a:lumMod val="60000"/>
              </a:schemeClr>
            </a:solidFill>
            <a:ln>
              <a:noFill/>
            </a:ln>
            <a:effectLst/>
          </c:spPr>
          <c:cat>
            <c:numRef>
              <c:f>'Use this for graphs'!$A$2:$A$202</c:f>
              <c:numCache>
                <c:formatCode>"$"#,##0</c:formatCode>
                <c:ptCount val="201"/>
                <c:pt idx="0">
                  <c:v>0</c:v>
                </c:pt>
                <c:pt idx="1">
                  <c:v>500</c:v>
                </c:pt>
                <c:pt idx="2">
                  <c:v>1000</c:v>
                </c:pt>
                <c:pt idx="3">
                  <c:v>1500</c:v>
                </c:pt>
                <c:pt idx="4">
                  <c:v>2000</c:v>
                </c:pt>
                <c:pt idx="5">
                  <c:v>2500</c:v>
                </c:pt>
                <c:pt idx="6">
                  <c:v>3000</c:v>
                </c:pt>
                <c:pt idx="7">
                  <c:v>3500</c:v>
                </c:pt>
                <c:pt idx="8">
                  <c:v>4000</c:v>
                </c:pt>
                <c:pt idx="9">
                  <c:v>4500</c:v>
                </c:pt>
                <c:pt idx="10">
                  <c:v>5000</c:v>
                </c:pt>
                <c:pt idx="11">
                  <c:v>5500</c:v>
                </c:pt>
                <c:pt idx="12">
                  <c:v>6000</c:v>
                </c:pt>
                <c:pt idx="13">
                  <c:v>6500</c:v>
                </c:pt>
                <c:pt idx="14">
                  <c:v>7000</c:v>
                </c:pt>
                <c:pt idx="15">
                  <c:v>7500</c:v>
                </c:pt>
                <c:pt idx="16">
                  <c:v>8000</c:v>
                </c:pt>
                <c:pt idx="17">
                  <c:v>8500</c:v>
                </c:pt>
                <c:pt idx="18">
                  <c:v>9000</c:v>
                </c:pt>
                <c:pt idx="19">
                  <c:v>9500</c:v>
                </c:pt>
                <c:pt idx="20">
                  <c:v>10000</c:v>
                </c:pt>
                <c:pt idx="21">
                  <c:v>10500</c:v>
                </c:pt>
                <c:pt idx="22">
                  <c:v>11000</c:v>
                </c:pt>
                <c:pt idx="23">
                  <c:v>11500</c:v>
                </c:pt>
                <c:pt idx="24">
                  <c:v>12000</c:v>
                </c:pt>
                <c:pt idx="25">
                  <c:v>12500</c:v>
                </c:pt>
                <c:pt idx="26">
                  <c:v>13000</c:v>
                </c:pt>
                <c:pt idx="27">
                  <c:v>13500</c:v>
                </c:pt>
                <c:pt idx="28">
                  <c:v>14000</c:v>
                </c:pt>
                <c:pt idx="29">
                  <c:v>14500</c:v>
                </c:pt>
                <c:pt idx="30">
                  <c:v>15000</c:v>
                </c:pt>
                <c:pt idx="31">
                  <c:v>15500</c:v>
                </c:pt>
                <c:pt idx="32">
                  <c:v>16000</c:v>
                </c:pt>
                <c:pt idx="33">
                  <c:v>16500</c:v>
                </c:pt>
                <c:pt idx="34">
                  <c:v>17000</c:v>
                </c:pt>
                <c:pt idx="35">
                  <c:v>17500</c:v>
                </c:pt>
                <c:pt idx="36">
                  <c:v>18000</c:v>
                </c:pt>
                <c:pt idx="37">
                  <c:v>18500</c:v>
                </c:pt>
                <c:pt idx="38">
                  <c:v>19000</c:v>
                </c:pt>
                <c:pt idx="39">
                  <c:v>19500</c:v>
                </c:pt>
                <c:pt idx="40">
                  <c:v>20000</c:v>
                </c:pt>
                <c:pt idx="41">
                  <c:v>20500</c:v>
                </c:pt>
                <c:pt idx="42">
                  <c:v>21000</c:v>
                </c:pt>
                <c:pt idx="43">
                  <c:v>21500</c:v>
                </c:pt>
                <c:pt idx="44">
                  <c:v>22000</c:v>
                </c:pt>
                <c:pt idx="45">
                  <c:v>22500</c:v>
                </c:pt>
                <c:pt idx="46">
                  <c:v>23000</c:v>
                </c:pt>
                <c:pt idx="47">
                  <c:v>23500</c:v>
                </c:pt>
                <c:pt idx="48">
                  <c:v>24000</c:v>
                </c:pt>
                <c:pt idx="49">
                  <c:v>24500</c:v>
                </c:pt>
                <c:pt idx="50">
                  <c:v>25000</c:v>
                </c:pt>
                <c:pt idx="51">
                  <c:v>25500</c:v>
                </c:pt>
                <c:pt idx="52">
                  <c:v>26000</c:v>
                </c:pt>
                <c:pt idx="53">
                  <c:v>26500</c:v>
                </c:pt>
                <c:pt idx="54">
                  <c:v>27000</c:v>
                </c:pt>
                <c:pt idx="55">
                  <c:v>27500</c:v>
                </c:pt>
                <c:pt idx="56">
                  <c:v>28000</c:v>
                </c:pt>
                <c:pt idx="57">
                  <c:v>28500</c:v>
                </c:pt>
                <c:pt idx="58">
                  <c:v>29000</c:v>
                </c:pt>
                <c:pt idx="59">
                  <c:v>29500</c:v>
                </c:pt>
                <c:pt idx="60">
                  <c:v>30000</c:v>
                </c:pt>
                <c:pt idx="61">
                  <c:v>30500</c:v>
                </c:pt>
                <c:pt idx="62">
                  <c:v>31000</c:v>
                </c:pt>
                <c:pt idx="63">
                  <c:v>31500</c:v>
                </c:pt>
                <c:pt idx="64">
                  <c:v>32000</c:v>
                </c:pt>
                <c:pt idx="65">
                  <c:v>32500</c:v>
                </c:pt>
                <c:pt idx="66">
                  <c:v>33000</c:v>
                </c:pt>
                <c:pt idx="67">
                  <c:v>33500</c:v>
                </c:pt>
                <c:pt idx="68">
                  <c:v>34000</c:v>
                </c:pt>
                <c:pt idx="69">
                  <c:v>34500</c:v>
                </c:pt>
                <c:pt idx="70">
                  <c:v>35000</c:v>
                </c:pt>
                <c:pt idx="71">
                  <c:v>35500</c:v>
                </c:pt>
                <c:pt idx="72">
                  <c:v>36000</c:v>
                </c:pt>
                <c:pt idx="73">
                  <c:v>36500</c:v>
                </c:pt>
                <c:pt idx="74">
                  <c:v>37000</c:v>
                </c:pt>
                <c:pt idx="75">
                  <c:v>37500</c:v>
                </c:pt>
                <c:pt idx="76">
                  <c:v>38000</c:v>
                </c:pt>
                <c:pt idx="77">
                  <c:v>38500</c:v>
                </c:pt>
                <c:pt idx="78">
                  <c:v>39000</c:v>
                </c:pt>
                <c:pt idx="79">
                  <c:v>39500</c:v>
                </c:pt>
                <c:pt idx="80">
                  <c:v>40000</c:v>
                </c:pt>
                <c:pt idx="81">
                  <c:v>40500</c:v>
                </c:pt>
                <c:pt idx="82">
                  <c:v>41000</c:v>
                </c:pt>
                <c:pt idx="83">
                  <c:v>41500</c:v>
                </c:pt>
                <c:pt idx="84">
                  <c:v>42000</c:v>
                </c:pt>
                <c:pt idx="85">
                  <c:v>42500</c:v>
                </c:pt>
                <c:pt idx="86">
                  <c:v>43000</c:v>
                </c:pt>
                <c:pt idx="87">
                  <c:v>43500</c:v>
                </c:pt>
                <c:pt idx="88">
                  <c:v>44000</c:v>
                </c:pt>
                <c:pt idx="89">
                  <c:v>44500</c:v>
                </c:pt>
                <c:pt idx="90">
                  <c:v>45000</c:v>
                </c:pt>
                <c:pt idx="91">
                  <c:v>45500</c:v>
                </c:pt>
                <c:pt idx="92">
                  <c:v>46000</c:v>
                </c:pt>
                <c:pt idx="93">
                  <c:v>46500</c:v>
                </c:pt>
                <c:pt idx="94">
                  <c:v>47000</c:v>
                </c:pt>
                <c:pt idx="95">
                  <c:v>47500</c:v>
                </c:pt>
                <c:pt idx="96">
                  <c:v>48000</c:v>
                </c:pt>
                <c:pt idx="97">
                  <c:v>48500</c:v>
                </c:pt>
                <c:pt idx="98">
                  <c:v>49000</c:v>
                </c:pt>
                <c:pt idx="99">
                  <c:v>49500</c:v>
                </c:pt>
                <c:pt idx="100">
                  <c:v>50000</c:v>
                </c:pt>
                <c:pt idx="101">
                  <c:v>50500</c:v>
                </c:pt>
                <c:pt idx="102">
                  <c:v>51000</c:v>
                </c:pt>
                <c:pt idx="103">
                  <c:v>51500</c:v>
                </c:pt>
                <c:pt idx="104">
                  <c:v>52000</c:v>
                </c:pt>
                <c:pt idx="105">
                  <c:v>52500</c:v>
                </c:pt>
                <c:pt idx="106">
                  <c:v>53000</c:v>
                </c:pt>
                <c:pt idx="107">
                  <c:v>53500</c:v>
                </c:pt>
                <c:pt idx="108">
                  <c:v>54000</c:v>
                </c:pt>
                <c:pt idx="109">
                  <c:v>54500</c:v>
                </c:pt>
                <c:pt idx="110">
                  <c:v>55000</c:v>
                </c:pt>
                <c:pt idx="111">
                  <c:v>55500</c:v>
                </c:pt>
                <c:pt idx="112">
                  <c:v>56000</c:v>
                </c:pt>
                <c:pt idx="113">
                  <c:v>56500</c:v>
                </c:pt>
                <c:pt idx="114">
                  <c:v>57000</c:v>
                </c:pt>
                <c:pt idx="115">
                  <c:v>57500</c:v>
                </c:pt>
                <c:pt idx="116">
                  <c:v>58000</c:v>
                </c:pt>
                <c:pt idx="117">
                  <c:v>58500</c:v>
                </c:pt>
                <c:pt idx="118">
                  <c:v>59000</c:v>
                </c:pt>
                <c:pt idx="119">
                  <c:v>59500</c:v>
                </c:pt>
                <c:pt idx="120">
                  <c:v>60000</c:v>
                </c:pt>
                <c:pt idx="121">
                  <c:v>60500</c:v>
                </c:pt>
                <c:pt idx="122">
                  <c:v>61000</c:v>
                </c:pt>
                <c:pt idx="123">
                  <c:v>61500</c:v>
                </c:pt>
                <c:pt idx="124">
                  <c:v>62000</c:v>
                </c:pt>
                <c:pt idx="125">
                  <c:v>62500</c:v>
                </c:pt>
                <c:pt idx="126">
                  <c:v>63000</c:v>
                </c:pt>
                <c:pt idx="127">
                  <c:v>63500</c:v>
                </c:pt>
                <c:pt idx="128">
                  <c:v>64000</c:v>
                </c:pt>
                <c:pt idx="129">
                  <c:v>64500</c:v>
                </c:pt>
                <c:pt idx="130">
                  <c:v>65000</c:v>
                </c:pt>
                <c:pt idx="131">
                  <c:v>65500</c:v>
                </c:pt>
                <c:pt idx="132">
                  <c:v>66000</c:v>
                </c:pt>
                <c:pt idx="133">
                  <c:v>66500</c:v>
                </c:pt>
                <c:pt idx="134">
                  <c:v>67000</c:v>
                </c:pt>
                <c:pt idx="135">
                  <c:v>67500</c:v>
                </c:pt>
                <c:pt idx="136">
                  <c:v>68000</c:v>
                </c:pt>
                <c:pt idx="137">
                  <c:v>68500</c:v>
                </c:pt>
                <c:pt idx="138">
                  <c:v>69000</c:v>
                </c:pt>
                <c:pt idx="139">
                  <c:v>69500</c:v>
                </c:pt>
                <c:pt idx="140">
                  <c:v>70000</c:v>
                </c:pt>
                <c:pt idx="141">
                  <c:v>70500</c:v>
                </c:pt>
                <c:pt idx="142">
                  <c:v>71000</c:v>
                </c:pt>
                <c:pt idx="143">
                  <c:v>71500</c:v>
                </c:pt>
                <c:pt idx="144">
                  <c:v>72000</c:v>
                </c:pt>
                <c:pt idx="145">
                  <c:v>72500</c:v>
                </c:pt>
                <c:pt idx="146">
                  <c:v>73000</c:v>
                </c:pt>
                <c:pt idx="147">
                  <c:v>73500</c:v>
                </c:pt>
                <c:pt idx="148">
                  <c:v>74000</c:v>
                </c:pt>
                <c:pt idx="149">
                  <c:v>74500</c:v>
                </c:pt>
                <c:pt idx="150">
                  <c:v>75000</c:v>
                </c:pt>
                <c:pt idx="151">
                  <c:v>75500</c:v>
                </c:pt>
                <c:pt idx="152">
                  <c:v>76000</c:v>
                </c:pt>
                <c:pt idx="153">
                  <c:v>76500</c:v>
                </c:pt>
                <c:pt idx="154">
                  <c:v>77000</c:v>
                </c:pt>
                <c:pt idx="155">
                  <c:v>77500</c:v>
                </c:pt>
                <c:pt idx="156">
                  <c:v>78000</c:v>
                </c:pt>
                <c:pt idx="157">
                  <c:v>78500</c:v>
                </c:pt>
                <c:pt idx="158">
                  <c:v>79000</c:v>
                </c:pt>
                <c:pt idx="159">
                  <c:v>79500</c:v>
                </c:pt>
                <c:pt idx="160">
                  <c:v>80000</c:v>
                </c:pt>
                <c:pt idx="161">
                  <c:v>80500</c:v>
                </c:pt>
                <c:pt idx="162">
                  <c:v>81000</c:v>
                </c:pt>
                <c:pt idx="163">
                  <c:v>81500</c:v>
                </c:pt>
                <c:pt idx="164">
                  <c:v>82000</c:v>
                </c:pt>
                <c:pt idx="165">
                  <c:v>82500</c:v>
                </c:pt>
                <c:pt idx="166">
                  <c:v>83000</c:v>
                </c:pt>
                <c:pt idx="167">
                  <c:v>83500</c:v>
                </c:pt>
                <c:pt idx="168">
                  <c:v>84000</c:v>
                </c:pt>
                <c:pt idx="169">
                  <c:v>84500</c:v>
                </c:pt>
                <c:pt idx="170">
                  <c:v>85000</c:v>
                </c:pt>
                <c:pt idx="171">
                  <c:v>85500</c:v>
                </c:pt>
                <c:pt idx="172">
                  <c:v>86000</c:v>
                </c:pt>
                <c:pt idx="173">
                  <c:v>86500</c:v>
                </c:pt>
                <c:pt idx="174">
                  <c:v>87000</c:v>
                </c:pt>
                <c:pt idx="175">
                  <c:v>87500</c:v>
                </c:pt>
                <c:pt idx="176">
                  <c:v>88000</c:v>
                </c:pt>
                <c:pt idx="177">
                  <c:v>88500</c:v>
                </c:pt>
                <c:pt idx="178">
                  <c:v>89000</c:v>
                </c:pt>
                <c:pt idx="179">
                  <c:v>89500</c:v>
                </c:pt>
                <c:pt idx="180">
                  <c:v>90000</c:v>
                </c:pt>
                <c:pt idx="181">
                  <c:v>90500</c:v>
                </c:pt>
                <c:pt idx="182">
                  <c:v>91000</c:v>
                </c:pt>
                <c:pt idx="183">
                  <c:v>91500</c:v>
                </c:pt>
                <c:pt idx="184">
                  <c:v>92000</c:v>
                </c:pt>
                <c:pt idx="185">
                  <c:v>92500</c:v>
                </c:pt>
                <c:pt idx="186">
                  <c:v>93000</c:v>
                </c:pt>
                <c:pt idx="187">
                  <c:v>93500</c:v>
                </c:pt>
                <c:pt idx="188">
                  <c:v>94000</c:v>
                </c:pt>
                <c:pt idx="189">
                  <c:v>94500</c:v>
                </c:pt>
                <c:pt idx="190">
                  <c:v>95000</c:v>
                </c:pt>
                <c:pt idx="191">
                  <c:v>95500</c:v>
                </c:pt>
                <c:pt idx="192">
                  <c:v>96000</c:v>
                </c:pt>
                <c:pt idx="193">
                  <c:v>96500</c:v>
                </c:pt>
                <c:pt idx="194">
                  <c:v>97000</c:v>
                </c:pt>
                <c:pt idx="195">
                  <c:v>97500</c:v>
                </c:pt>
                <c:pt idx="196">
                  <c:v>98000</c:v>
                </c:pt>
                <c:pt idx="197">
                  <c:v>98500</c:v>
                </c:pt>
                <c:pt idx="198">
                  <c:v>99000</c:v>
                </c:pt>
                <c:pt idx="199">
                  <c:v>99500</c:v>
                </c:pt>
                <c:pt idx="200">
                  <c:v>100000</c:v>
                </c:pt>
              </c:numCache>
            </c:numRef>
          </c:cat>
          <c:val>
            <c:numRef>
              <c:f>'Use this for graphs'!$E$2:$E$202</c:f>
              <c:numCache>
                <c:formatCode>"$"#,##0_);[Red]\("$"#,##0\)</c:formatCode>
                <c:ptCount val="201"/>
                <c:pt idx="0">
                  <c:v>6552</c:v>
                </c:pt>
                <c:pt idx="1">
                  <c:v>6552</c:v>
                </c:pt>
                <c:pt idx="2">
                  <c:v>6552</c:v>
                </c:pt>
                <c:pt idx="3">
                  <c:v>6552</c:v>
                </c:pt>
                <c:pt idx="4">
                  <c:v>6552</c:v>
                </c:pt>
                <c:pt idx="5">
                  <c:v>6552</c:v>
                </c:pt>
                <c:pt idx="6">
                  <c:v>6552</c:v>
                </c:pt>
                <c:pt idx="7">
                  <c:v>6552</c:v>
                </c:pt>
                <c:pt idx="8">
                  <c:v>6552</c:v>
                </c:pt>
                <c:pt idx="9">
                  <c:v>6552</c:v>
                </c:pt>
                <c:pt idx="10">
                  <c:v>6552</c:v>
                </c:pt>
                <c:pt idx="11">
                  <c:v>6552</c:v>
                </c:pt>
                <c:pt idx="12">
                  <c:v>6552</c:v>
                </c:pt>
                <c:pt idx="13">
                  <c:v>6552</c:v>
                </c:pt>
                <c:pt idx="14">
                  <c:v>6552</c:v>
                </c:pt>
                <c:pt idx="15">
                  <c:v>6552</c:v>
                </c:pt>
                <c:pt idx="16">
                  <c:v>6552</c:v>
                </c:pt>
                <c:pt idx="17">
                  <c:v>6552</c:v>
                </c:pt>
                <c:pt idx="18">
                  <c:v>6552</c:v>
                </c:pt>
                <c:pt idx="19">
                  <c:v>6552</c:v>
                </c:pt>
                <c:pt idx="20">
                  <c:v>6552</c:v>
                </c:pt>
                <c:pt idx="21">
                  <c:v>6552</c:v>
                </c:pt>
                <c:pt idx="22">
                  <c:v>6552</c:v>
                </c:pt>
                <c:pt idx="23">
                  <c:v>6552</c:v>
                </c:pt>
                <c:pt idx="24">
                  <c:v>6420</c:v>
                </c:pt>
                <c:pt idx="25">
                  <c:v>6240</c:v>
                </c:pt>
                <c:pt idx="26">
                  <c:v>6060</c:v>
                </c:pt>
                <c:pt idx="27">
                  <c:v>5880</c:v>
                </c:pt>
                <c:pt idx="28">
                  <c:v>5700</c:v>
                </c:pt>
                <c:pt idx="29">
                  <c:v>5520</c:v>
                </c:pt>
                <c:pt idx="30">
                  <c:v>5340</c:v>
                </c:pt>
                <c:pt idx="31">
                  <c:v>5160</c:v>
                </c:pt>
                <c:pt idx="32">
                  <c:v>4980</c:v>
                </c:pt>
                <c:pt idx="33">
                  <c:v>4800</c:v>
                </c:pt>
                <c:pt idx="34">
                  <c:v>4620</c:v>
                </c:pt>
                <c:pt idx="35">
                  <c:v>4440</c:v>
                </c:pt>
                <c:pt idx="36">
                  <c:v>4260</c:v>
                </c:pt>
                <c:pt idx="37">
                  <c:v>4080</c:v>
                </c:pt>
                <c:pt idx="38">
                  <c:v>3900</c:v>
                </c:pt>
                <c:pt idx="39">
                  <c:v>3720</c:v>
                </c:pt>
                <c:pt idx="40">
                  <c:v>3540</c:v>
                </c:pt>
                <c:pt idx="41">
                  <c:v>3360</c:v>
                </c:pt>
                <c:pt idx="42">
                  <c:v>3180</c:v>
                </c:pt>
                <c:pt idx="43">
                  <c:v>3000</c:v>
                </c:pt>
                <c:pt idx="44">
                  <c:v>2820</c:v>
                </c:pt>
                <c:pt idx="45">
                  <c:v>2640</c:v>
                </c:pt>
                <c:pt idx="46">
                  <c:v>2460</c:v>
                </c:pt>
                <c:pt idx="47">
                  <c:v>2280</c:v>
                </c:pt>
                <c:pt idx="48">
                  <c:v>2100</c:v>
                </c:pt>
                <c:pt idx="49">
                  <c:v>1920</c:v>
                </c:pt>
                <c:pt idx="50">
                  <c:v>1740</c:v>
                </c:pt>
                <c:pt idx="51">
                  <c:v>1560</c:v>
                </c:pt>
                <c:pt idx="52">
                  <c:v>1380</c:v>
                </c:pt>
                <c:pt idx="53">
                  <c:v>1200</c:v>
                </c:pt>
                <c:pt idx="54">
                  <c:v>1020</c:v>
                </c:pt>
                <c:pt idx="55">
                  <c:v>840</c:v>
                </c:pt>
                <c:pt idx="56">
                  <c:v>660</c:v>
                </c:pt>
                <c:pt idx="57">
                  <c:v>480</c:v>
                </c:pt>
                <c:pt idx="58">
                  <c:v>300</c:v>
                </c:pt>
                <c:pt idx="59">
                  <c:v>120</c:v>
                </c:pt>
                <c:pt idx="60">
                  <c:v>0</c:v>
                </c:pt>
                <c:pt idx="61">
                  <c:v>0</c:v>
                </c:pt>
                <c:pt idx="62">
                  <c:v>0</c:v>
                </c:pt>
                <c:pt idx="63">
                  <c:v>0</c:v>
                </c:pt>
                <c:pt idx="64">
                  <c:v>0</c:v>
                </c:pt>
                <c:pt idx="65">
                  <c:v>0</c:v>
                </c:pt>
                <c:pt idx="66">
                  <c:v>0</c:v>
                </c:pt>
                <c:pt idx="67">
                  <c:v>0</c:v>
                </c:pt>
                <c:pt idx="68">
                  <c:v>0</c:v>
                </c:pt>
                <c:pt idx="69">
                  <c:v>0</c:v>
                </c:pt>
                <c:pt idx="70">
                  <c:v>0</c:v>
                </c:pt>
                <c:pt idx="71">
                  <c:v>0</c:v>
                </c:pt>
                <c:pt idx="72">
                  <c:v>0</c:v>
                </c:pt>
                <c:pt idx="73">
                  <c:v>0</c:v>
                </c:pt>
                <c:pt idx="74">
                  <c:v>0</c:v>
                </c:pt>
                <c:pt idx="75">
                  <c:v>0</c:v>
                </c:pt>
                <c:pt idx="76">
                  <c:v>0</c:v>
                </c:pt>
                <c:pt idx="77">
                  <c:v>0</c:v>
                </c:pt>
                <c:pt idx="78">
                  <c:v>0</c:v>
                </c:pt>
                <c:pt idx="79">
                  <c:v>0</c:v>
                </c:pt>
                <c:pt idx="80">
                  <c:v>0</c:v>
                </c:pt>
                <c:pt idx="81">
                  <c:v>0</c:v>
                </c:pt>
                <c:pt idx="82">
                  <c:v>0</c:v>
                </c:pt>
                <c:pt idx="83">
                  <c:v>0</c:v>
                </c:pt>
                <c:pt idx="84">
                  <c:v>0</c:v>
                </c:pt>
                <c:pt idx="85">
                  <c:v>0</c:v>
                </c:pt>
                <c:pt idx="86">
                  <c:v>0</c:v>
                </c:pt>
                <c:pt idx="87">
                  <c:v>0</c:v>
                </c:pt>
                <c:pt idx="88">
                  <c:v>0</c:v>
                </c:pt>
                <c:pt idx="89">
                  <c:v>0</c:v>
                </c:pt>
                <c:pt idx="90">
                  <c:v>0</c:v>
                </c:pt>
                <c:pt idx="91">
                  <c:v>0</c:v>
                </c:pt>
                <c:pt idx="92">
                  <c:v>0</c:v>
                </c:pt>
                <c:pt idx="93">
                  <c:v>0</c:v>
                </c:pt>
                <c:pt idx="94">
                  <c:v>0</c:v>
                </c:pt>
                <c:pt idx="95">
                  <c:v>0</c:v>
                </c:pt>
                <c:pt idx="96">
                  <c:v>0</c:v>
                </c:pt>
                <c:pt idx="97">
                  <c:v>0</c:v>
                </c:pt>
                <c:pt idx="98">
                  <c:v>0</c:v>
                </c:pt>
                <c:pt idx="99">
                  <c:v>0</c:v>
                </c:pt>
                <c:pt idx="100">
                  <c:v>0</c:v>
                </c:pt>
                <c:pt idx="101">
                  <c:v>0</c:v>
                </c:pt>
                <c:pt idx="102">
                  <c:v>0</c:v>
                </c:pt>
                <c:pt idx="103">
                  <c:v>0</c:v>
                </c:pt>
                <c:pt idx="104">
                  <c:v>0</c:v>
                </c:pt>
                <c:pt idx="105">
                  <c:v>0</c:v>
                </c:pt>
                <c:pt idx="106">
                  <c:v>0</c:v>
                </c:pt>
                <c:pt idx="107">
                  <c:v>0</c:v>
                </c:pt>
                <c:pt idx="108">
                  <c:v>0</c:v>
                </c:pt>
                <c:pt idx="109">
                  <c:v>0</c:v>
                </c:pt>
                <c:pt idx="110">
                  <c:v>0</c:v>
                </c:pt>
                <c:pt idx="111">
                  <c:v>0</c:v>
                </c:pt>
                <c:pt idx="112">
                  <c:v>0</c:v>
                </c:pt>
                <c:pt idx="113">
                  <c:v>0</c:v>
                </c:pt>
                <c:pt idx="114">
                  <c:v>0</c:v>
                </c:pt>
                <c:pt idx="115">
                  <c:v>0</c:v>
                </c:pt>
                <c:pt idx="116">
                  <c:v>0</c:v>
                </c:pt>
                <c:pt idx="117">
                  <c:v>0</c:v>
                </c:pt>
                <c:pt idx="118">
                  <c:v>0</c:v>
                </c:pt>
                <c:pt idx="119">
                  <c:v>0</c:v>
                </c:pt>
                <c:pt idx="120">
                  <c:v>0</c:v>
                </c:pt>
                <c:pt idx="121">
                  <c:v>0</c:v>
                </c:pt>
                <c:pt idx="122">
                  <c:v>0</c:v>
                </c:pt>
                <c:pt idx="123">
                  <c:v>0</c:v>
                </c:pt>
                <c:pt idx="124">
                  <c:v>0</c:v>
                </c:pt>
                <c:pt idx="125">
                  <c:v>0</c:v>
                </c:pt>
                <c:pt idx="126">
                  <c:v>0</c:v>
                </c:pt>
                <c:pt idx="127">
                  <c:v>0</c:v>
                </c:pt>
                <c:pt idx="128">
                  <c:v>0</c:v>
                </c:pt>
                <c:pt idx="129">
                  <c:v>0</c:v>
                </c:pt>
                <c:pt idx="130">
                  <c:v>0</c:v>
                </c:pt>
                <c:pt idx="131">
                  <c:v>0</c:v>
                </c:pt>
                <c:pt idx="132">
                  <c:v>0</c:v>
                </c:pt>
                <c:pt idx="133">
                  <c:v>0</c:v>
                </c:pt>
                <c:pt idx="134">
                  <c:v>0</c:v>
                </c:pt>
                <c:pt idx="135">
                  <c:v>0</c:v>
                </c:pt>
                <c:pt idx="136">
                  <c:v>0</c:v>
                </c:pt>
                <c:pt idx="137">
                  <c:v>0</c:v>
                </c:pt>
                <c:pt idx="138">
                  <c:v>0</c:v>
                </c:pt>
                <c:pt idx="139">
                  <c:v>0</c:v>
                </c:pt>
                <c:pt idx="140">
                  <c:v>0</c:v>
                </c:pt>
                <c:pt idx="141">
                  <c:v>0</c:v>
                </c:pt>
                <c:pt idx="142">
                  <c:v>0</c:v>
                </c:pt>
                <c:pt idx="143">
                  <c:v>0</c:v>
                </c:pt>
                <c:pt idx="144">
                  <c:v>0</c:v>
                </c:pt>
                <c:pt idx="145">
                  <c:v>0</c:v>
                </c:pt>
                <c:pt idx="146">
                  <c:v>0</c:v>
                </c:pt>
                <c:pt idx="147">
                  <c:v>0</c:v>
                </c:pt>
                <c:pt idx="148">
                  <c:v>0</c:v>
                </c:pt>
                <c:pt idx="149">
                  <c:v>0</c:v>
                </c:pt>
                <c:pt idx="150">
                  <c:v>0</c:v>
                </c:pt>
                <c:pt idx="151">
                  <c:v>0</c:v>
                </c:pt>
                <c:pt idx="152">
                  <c:v>0</c:v>
                </c:pt>
                <c:pt idx="153">
                  <c:v>0</c:v>
                </c:pt>
                <c:pt idx="154">
                  <c:v>0</c:v>
                </c:pt>
                <c:pt idx="155">
                  <c:v>0</c:v>
                </c:pt>
                <c:pt idx="156">
                  <c:v>0</c:v>
                </c:pt>
                <c:pt idx="157">
                  <c:v>0</c:v>
                </c:pt>
                <c:pt idx="158">
                  <c:v>0</c:v>
                </c:pt>
                <c:pt idx="159">
                  <c:v>0</c:v>
                </c:pt>
                <c:pt idx="160">
                  <c:v>0</c:v>
                </c:pt>
                <c:pt idx="161">
                  <c:v>0</c:v>
                </c:pt>
                <c:pt idx="162">
                  <c:v>0</c:v>
                </c:pt>
                <c:pt idx="163">
                  <c:v>0</c:v>
                </c:pt>
                <c:pt idx="164">
                  <c:v>0</c:v>
                </c:pt>
                <c:pt idx="165">
                  <c:v>0</c:v>
                </c:pt>
                <c:pt idx="166">
                  <c:v>0</c:v>
                </c:pt>
                <c:pt idx="167">
                  <c:v>0</c:v>
                </c:pt>
                <c:pt idx="168">
                  <c:v>0</c:v>
                </c:pt>
                <c:pt idx="169">
                  <c:v>0</c:v>
                </c:pt>
                <c:pt idx="170">
                  <c:v>0</c:v>
                </c:pt>
                <c:pt idx="171">
                  <c:v>0</c:v>
                </c:pt>
                <c:pt idx="172">
                  <c:v>0</c:v>
                </c:pt>
                <c:pt idx="173">
                  <c:v>0</c:v>
                </c:pt>
                <c:pt idx="174">
                  <c:v>0</c:v>
                </c:pt>
                <c:pt idx="175">
                  <c:v>0</c:v>
                </c:pt>
                <c:pt idx="176">
                  <c:v>0</c:v>
                </c:pt>
                <c:pt idx="177">
                  <c:v>0</c:v>
                </c:pt>
                <c:pt idx="178">
                  <c:v>0</c:v>
                </c:pt>
                <c:pt idx="179">
                  <c:v>0</c:v>
                </c:pt>
                <c:pt idx="180">
                  <c:v>0</c:v>
                </c:pt>
                <c:pt idx="181">
                  <c:v>0</c:v>
                </c:pt>
                <c:pt idx="182">
                  <c:v>0</c:v>
                </c:pt>
                <c:pt idx="183">
                  <c:v>0</c:v>
                </c:pt>
                <c:pt idx="184">
                  <c:v>0</c:v>
                </c:pt>
                <c:pt idx="185">
                  <c:v>0</c:v>
                </c:pt>
                <c:pt idx="186">
                  <c:v>0</c:v>
                </c:pt>
                <c:pt idx="187">
                  <c:v>0</c:v>
                </c:pt>
                <c:pt idx="188">
                  <c:v>0</c:v>
                </c:pt>
                <c:pt idx="189">
                  <c:v>0</c:v>
                </c:pt>
                <c:pt idx="190">
                  <c:v>0</c:v>
                </c:pt>
                <c:pt idx="191">
                  <c:v>0</c:v>
                </c:pt>
                <c:pt idx="192">
                  <c:v>0</c:v>
                </c:pt>
                <c:pt idx="193">
                  <c:v>0</c:v>
                </c:pt>
                <c:pt idx="194">
                  <c:v>0</c:v>
                </c:pt>
                <c:pt idx="195">
                  <c:v>0</c:v>
                </c:pt>
                <c:pt idx="196">
                  <c:v>0</c:v>
                </c:pt>
                <c:pt idx="197">
                  <c:v>0</c:v>
                </c:pt>
                <c:pt idx="198">
                  <c:v>0</c:v>
                </c:pt>
                <c:pt idx="199">
                  <c:v>0</c:v>
                </c:pt>
                <c:pt idx="200">
                  <c:v>0</c:v>
                </c:pt>
              </c:numCache>
            </c:numRef>
          </c:val>
          <c:extLst>
            <c:ext xmlns:c16="http://schemas.microsoft.com/office/drawing/2014/chart" uri="{C3380CC4-5D6E-409C-BE32-E72D297353CC}">
              <c16:uniqueId val="{00000008-9161-490F-91EC-5745335BC484}"/>
            </c:ext>
          </c:extLst>
        </c:ser>
        <c:ser>
          <c:idx val="9"/>
          <c:order val="5"/>
          <c:tx>
            <c:strRef>
              <c:f>'Use this for graphs'!$F$1</c:f>
              <c:strCache>
                <c:ptCount val="1"/>
                <c:pt idx="0">
                  <c:v>Annual WIC Benefit</c:v>
                </c:pt>
              </c:strCache>
            </c:strRef>
          </c:tx>
          <c:spPr>
            <a:solidFill>
              <a:schemeClr val="accent4">
                <a:lumMod val="60000"/>
              </a:schemeClr>
            </a:solidFill>
            <a:ln>
              <a:noFill/>
            </a:ln>
            <a:effectLst/>
          </c:spPr>
          <c:cat>
            <c:numRef>
              <c:f>'Use this for graphs'!$A$2:$A$202</c:f>
              <c:numCache>
                <c:formatCode>"$"#,##0</c:formatCode>
                <c:ptCount val="201"/>
                <c:pt idx="0">
                  <c:v>0</c:v>
                </c:pt>
                <c:pt idx="1">
                  <c:v>500</c:v>
                </c:pt>
                <c:pt idx="2">
                  <c:v>1000</c:v>
                </c:pt>
                <c:pt idx="3">
                  <c:v>1500</c:v>
                </c:pt>
                <c:pt idx="4">
                  <c:v>2000</c:v>
                </c:pt>
                <c:pt idx="5">
                  <c:v>2500</c:v>
                </c:pt>
                <c:pt idx="6">
                  <c:v>3000</c:v>
                </c:pt>
                <c:pt idx="7">
                  <c:v>3500</c:v>
                </c:pt>
                <c:pt idx="8">
                  <c:v>4000</c:v>
                </c:pt>
                <c:pt idx="9">
                  <c:v>4500</c:v>
                </c:pt>
                <c:pt idx="10">
                  <c:v>5000</c:v>
                </c:pt>
                <c:pt idx="11">
                  <c:v>5500</c:v>
                </c:pt>
                <c:pt idx="12">
                  <c:v>6000</c:v>
                </c:pt>
                <c:pt idx="13">
                  <c:v>6500</c:v>
                </c:pt>
                <c:pt idx="14">
                  <c:v>7000</c:v>
                </c:pt>
                <c:pt idx="15">
                  <c:v>7500</c:v>
                </c:pt>
                <c:pt idx="16">
                  <c:v>8000</c:v>
                </c:pt>
                <c:pt idx="17">
                  <c:v>8500</c:v>
                </c:pt>
                <c:pt idx="18">
                  <c:v>9000</c:v>
                </c:pt>
                <c:pt idx="19">
                  <c:v>9500</c:v>
                </c:pt>
                <c:pt idx="20">
                  <c:v>10000</c:v>
                </c:pt>
                <c:pt idx="21">
                  <c:v>10500</c:v>
                </c:pt>
                <c:pt idx="22">
                  <c:v>11000</c:v>
                </c:pt>
                <c:pt idx="23">
                  <c:v>11500</c:v>
                </c:pt>
                <c:pt idx="24">
                  <c:v>12000</c:v>
                </c:pt>
                <c:pt idx="25">
                  <c:v>12500</c:v>
                </c:pt>
                <c:pt idx="26">
                  <c:v>13000</c:v>
                </c:pt>
                <c:pt idx="27">
                  <c:v>13500</c:v>
                </c:pt>
                <c:pt idx="28">
                  <c:v>14000</c:v>
                </c:pt>
                <c:pt idx="29">
                  <c:v>14500</c:v>
                </c:pt>
                <c:pt idx="30">
                  <c:v>15000</c:v>
                </c:pt>
                <c:pt idx="31">
                  <c:v>15500</c:v>
                </c:pt>
                <c:pt idx="32">
                  <c:v>16000</c:v>
                </c:pt>
                <c:pt idx="33">
                  <c:v>16500</c:v>
                </c:pt>
                <c:pt idx="34">
                  <c:v>17000</c:v>
                </c:pt>
                <c:pt idx="35">
                  <c:v>17500</c:v>
                </c:pt>
                <c:pt idx="36">
                  <c:v>18000</c:v>
                </c:pt>
                <c:pt idx="37">
                  <c:v>18500</c:v>
                </c:pt>
                <c:pt idx="38">
                  <c:v>19000</c:v>
                </c:pt>
                <c:pt idx="39">
                  <c:v>19500</c:v>
                </c:pt>
                <c:pt idx="40">
                  <c:v>20000</c:v>
                </c:pt>
                <c:pt idx="41">
                  <c:v>20500</c:v>
                </c:pt>
                <c:pt idx="42">
                  <c:v>21000</c:v>
                </c:pt>
                <c:pt idx="43">
                  <c:v>21500</c:v>
                </c:pt>
                <c:pt idx="44">
                  <c:v>22000</c:v>
                </c:pt>
                <c:pt idx="45">
                  <c:v>22500</c:v>
                </c:pt>
                <c:pt idx="46">
                  <c:v>23000</c:v>
                </c:pt>
                <c:pt idx="47">
                  <c:v>23500</c:v>
                </c:pt>
                <c:pt idx="48">
                  <c:v>24000</c:v>
                </c:pt>
                <c:pt idx="49">
                  <c:v>24500</c:v>
                </c:pt>
                <c:pt idx="50">
                  <c:v>25000</c:v>
                </c:pt>
                <c:pt idx="51">
                  <c:v>25500</c:v>
                </c:pt>
                <c:pt idx="52">
                  <c:v>26000</c:v>
                </c:pt>
                <c:pt idx="53">
                  <c:v>26500</c:v>
                </c:pt>
                <c:pt idx="54">
                  <c:v>27000</c:v>
                </c:pt>
                <c:pt idx="55">
                  <c:v>27500</c:v>
                </c:pt>
                <c:pt idx="56">
                  <c:v>28000</c:v>
                </c:pt>
                <c:pt idx="57">
                  <c:v>28500</c:v>
                </c:pt>
                <c:pt idx="58">
                  <c:v>29000</c:v>
                </c:pt>
                <c:pt idx="59">
                  <c:v>29500</c:v>
                </c:pt>
                <c:pt idx="60">
                  <c:v>30000</c:v>
                </c:pt>
                <c:pt idx="61">
                  <c:v>30500</c:v>
                </c:pt>
                <c:pt idx="62">
                  <c:v>31000</c:v>
                </c:pt>
                <c:pt idx="63">
                  <c:v>31500</c:v>
                </c:pt>
                <c:pt idx="64">
                  <c:v>32000</c:v>
                </c:pt>
                <c:pt idx="65">
                  <c:v>32500</c:v>
                </c:pt>
                <c:pt idx="66">
                  <c:v>33000</c:v>
                </c:pt>
                <c:pt idx="67">
                  <c:v>33500</c:v>
                </c:pt>
                <c:pt idx="68">
                  <c:v>34000</c:v>
                </c:pt>
                <c:pt idx="69">
                  <c:v>34500</c:v>
                </c:pt>
                <c:pt idx="70">
                  <c:v>35000</c:v>
                </c:pt>
                <c:pt idx="71">
                  <c:v>35500</c:v>
                </c:pt>
                <c:pt idx="72">
                  <c:v>36000</c:v>
                </c:pt>
                <c:pt idx="73">
                  <c:v>36500</c:v>
                </c:pt>
                <c:pt idx="74">
                  <c:v>37000</c:v>
                </c:pt>
                <c:pt idx="75">
                  <c:v>37500</c:v>
                </c:pt>
                <c:pt idx="76">
                  <c:v>38000</c:v>
                </c:pt>
                <c:pt idx="77">
                  <c:v>38500</c:v>
                </c:pt>
                <c:pt idx="78">
                  <c:v>39000</c:v>
                </c:pt>
                <c:pt idx="79">
                  <c:v>39500</c:v>
                </c:pt>
                <c:pt idx="80">
                  <c:v>40000</c:v>
                </c:pt>
                <c:pt idx="81">
                  <c:v>40500</c:v>
                </c:pt>
                <c:pt idx="82">
                  <c:v>41000</c:v>
                </c:pt>
                <c:pt idx="83">
                  <c:v>41500</c:v>
                </c:pt>
                <c:pt idx="84">
                  <c:v>42000</c:v>
                </c:pt>
                <c:pt idx="85">
                  <c:v>42500</c:v>
                </c:pt>
                <c:pt idx="86">
                  <c:v>43000</c:v>
                </c:pt>
                <c:pt idx="87">
                  <c:v>43500</c:v>
                </c:pt>
                <c:pt idx="88">
                  <c:v>44000</c:v>
                </c:pt>
                <c:pt idx="89">
                  <c:v>44500</c:v>
                </c:pt>
                <c:pt idx="90">
                  <c:v>45000</c:v>
                </c:pt>
                <c:pt idx="91">
                  <c:v>45500</c:v>
                </c:pt>
                <c:pt idx="92">
                  <c:v>46000</c:v>
                </c:pt>
                <c:pt idx="93">
                  <c:v>46500</c:v>
                </c:pt>
                <c:pt idx="94">
                  <c:v>47000</c:v>
                </c:pt>
                <c:pt idx="95">
                  <c:v>47500</c:v>
                </c:pt>
                <c:pt idx="96">
                  <c:v>48000</c:v>
                </c:pt>
                <c:pt idx="97">
                  <c:v>48500</c:v>
                </c:pt>
                <c:pt idx="98">
                  <c:v>49000</c:v>
                </c:pt>
                <c:pt idx="99">
                  <c:v>49500</c:v>
                </c:pt>
                <c:pt idx="100">
                  <c:v>50000</c:v>
                </c:pt>
                <c:pt idx="101">
                  <c:v>50500</c:v>
                </c:pt>
                <c:pt idx="102">
                  <c:v>51000</c:v>
                </c:pt>
                <c:pt idx="103">
                  <c:v>51500</c:v>
                </c:pt>
                <c:pt idx="104">
                  <c:v>52000</c:v>
                </c:pt>
                <c:pt idx="105">
                  <c:v>52500</c:v>
                </c:pt>
                <c:pt idx="106">
                  <c:v>53000</c:v>
                </c:pt>
                <c:pt idx="107">
                  <c:v>53500</c:v>
                </c:pt>
                <c:pt idx="108">
                  <c:v>54000</c:v>
                </c:pt>
                <c:pt idx="109">
                  <c:v>54500</c:v>
                </c:pt>
                <c:pt idx="110">
                  <c:v>55000</c:v>
                </c:pt>
                <c:pt idx="111">
                  <c:v>55500</c:v>
                </c:pt>
                <c:pt idx="112">
                  <c:v>56000</c:v>
                </c:pt>
                <c:pt idx="113">
                  <c:v>56500</c:v>
                </c:pt>
                <c:pt idx="114">
                  <c:v>57000</c:v>
                </c:pt>
                <c:pt idx="115">
                  <c:v>57500</c:v>
                </c:pt>
                <c:pt idx="116">
                  <c:v>58000</c:v>
                </c:pt>
                <c:pt idx="117">
                  <c:v>58500</c:v>
                </c:pt>
                <c:pt idx="118">
                  <c:v>59000</c:v>
                </c:pt>
                <c:pt idx="119">
                  <c:v>59500</c:v>
                </c:pt>
                <c:pt idx="120">
                  <c:v>60000</c:v>
                </c:pt>
                <c:pt idx="121">
                  <c:v>60500</c:v>
                </c:pt>
                <c:pt idx="122">
                  <c:v>61000</c:v>
                </c:pt>
                <c:pt idx="123">
                  <c:v>61500</c:v>
                </c:pt>
                <c:pt idx="124">
                  <c:v>62000</c:v>
                </c:pt>
                <c:pt idx="125">
                  <c:v>62500</c:v>
                </c:pt>
                <c:pt idx="126">
                  <c:v>63000</c:v>
                </c:pt>
                <c:pt idx="127">
                  <c:v>63500</c:v>
                </c:pt>
                <c:pt idx="128">
                  <c:v>64000</c:v>
                </c:pt>
                <c:pt idx="129">
                  <c:v>64500</c:v>
                </c:pt>
                <c:pt idx="130">
                  <c:v>65000</c:v>
                </c:pt>
                <c:pt idx="131">
                  <c:v>65500</c:v>
                </c:pt>
                <c:pt idx="132">
                  <c:v>66000</c:v>
                </c:pt>
                <c:pt idx="133">
                  <c:v>66500</c:v>
                </c:pt>
                <c:pt idx="134">
                  <c:v>67000</c:v>
                </c:pt>
                <c:pt idx="135">
                  <c:v>67500</c:v>
                </c:pt>
                <c:pt idx="136">
                  <c:v>68000</c:v>
                </c:pt>
                <c:pt idx="137">
                  <c:v>68500</c:v>
                </c:pt>
                <c:pt idx="138">
                  <c:v>69000</c:v>
                </c:pt>
                <c:pt idx="139">
                  <c:v>69500</c:v>
                </c:pt>
                <c:pt idx="140">
                  <c:v>70000</c:v>
                </c:pt>
                <c:pt idx="141">
                  <c:v>70500</c:v>
                </c:pt>
                <c:pt idx="142">
                  <c:v>71000</c:v>
                </c:pt>
                <c:pt idx="143">
                  <c:v>71500</c:v>
                </c:pt>
                <c:pt idx="144">
                  <c:v>72000</c:v>
                </c:pt>
                <c:pt idx="145">
                  <c:v>72500</c:v>
                </c:pt>
                <c:pt idx="146">
                  <c:v>73000</c:v>
                </c:pt>
                <c:pt idx="147">
                  <c:v>73500</c:v>
                </c:pt>
                <c:pt idx="148">
                  <c:v>74000</c:v>
                </c:pt>
                <c:pt idx="149">
                  <c:v>74500</c:v>
                </c:pt>
                <c:pt idx="150">
                  <c:v>75000</c:v>
                </c:pt>
                <c:pt idx="151">
                  <c:v>75500</c:v>
                </c:pt>
                <c:pt idx="152">
                  <c:v>76000</c:v>
                </c:pt>
                <c:pt idx="153">
                  <c:v>76500</c:v>
                </c:pt>
                <c:pt idx="154">
                  <c:v>77000</c:v>
                </c:pt>
                <c:pt idx="155">
                  <c:v>77500</c:v>
                </c:pt>
                <c:pt idx="156">
                  <c:v>78000</c:v>
                </c:pt>
                <c:pt idx="157">
                  <c:v>78500</c:v>
                </c:pt>
                <c:pt idx="158">
                  <c:v>79000</c:v>
                </c:pt>
                <c:pt idx="159">
                  <c:v>79500</c:v>
                </c:pt>
                <c:pt idx="160">
                  <c:v>80000</c:v>
                </c:pt>
                <c:pt idx="161">
                  <c:v>80500</c:v>
                </c:pt>
                <c:pt idx="162">
                  <c:v>81000</c:v>
                </c:pt>
                <c:pt idx="163">
                  <c:v>81500</c:v>
                </c:pt>
                <c:pt idx="164">
                  <c:v>82000</c:v>
                </c:pt>
                <c:pt idx="165">
                  <c:v>82500</c:v>
                </c:pt>
                <c:pt idx="166">
                  <c:v>83000</c:v>
                </c:pt>
                <c:pt idx="167">
                  <c:v>83500</c:v>
                </c:pt>
                <c:pt idx="168">
                  <c:v>84000</c:v>
                </c:pt>
                <c:pt idx="169">
                  <c:v>84500</c:v>
                </c:pt>
                <c:pt idx="170">
                  <c:v>85000</c:v>
                </c:pt>
                <c:pt idx="171">
                  <c:v>85500</c:v>
                </c:pt>
                <c:pt idx="172">
                  <c:v>86000</c:v>
                </c:pt>
                <c:pt idx="173">
                  <c:v>86500</c:v>
                </c:pt>
                <c:pt idx="174">
                  <c:v>87000</c:v>
                </c:pt>
                <c:pt idx="175">
                  <c:v>87500</c:v>
                </c:pt>
                <c:pt idx="176">
                  <c:v>88000</c:v>
                </c:pt>
                <c:pt idx="177">
                  <c:v>88500</c:v>
                </c:pt>
                <c:pt idx="178">
                  <c:v>89000</c:v>
                </c:pt>
                <c:pt idx="179">
                  <c:v>89500</c:v>
                </c:pt>
                <c:pt idx="180">
                  <c:v>90000</c:v>
                </c:pt>
                <c:pt idx="181">
                  <c:v>90500</c:v>
                </c:pt>
                <c:pt idx="182">
                  <c:v>91000</c:v>
                </c:pt>
                <c:pt idx="183">
                  <c:v>91500</c:v>
                </c:pt>
                <c:pt idx="184">
                  <c:v>92000</c:v>
                </c:pt>
                <c:pt idx="185">
                  <c:v>92500</c:v>
                </c:pt>
                <c:pt idx="186">
                  <c:v>93000</c:v>
                </c:pt>
                <c:pt idx="187">
                  <c:v>93500</c:v>
                </c:pt>
                <c:pt idx="188">
                  <c:v>94000</c:v>
                </c:pt>
                <c:pt idx="189">
                  <c:v>94500</c:v>
                </c:pt>
                <c:pt idx="190">
                  <c:v>95000</c:v>
                </c:pt>
                <c:pt idx="191">
                  <c:v>95500</c:v>
                </c:pt>
                <c:pt idx="192">
                  <c:v>96000</c:v>
                </c:pt>
                <c:pt idx="193">
                  <c:v>96500</c:v>
                </c:pt>
                <c:pt idx="194">
                  <c:v>97000</c:v>
                </c:pt>
                <c:pt idx="195">
                  <c:v>97500</c:v>
                </c:pt>
                <c:pt idx="196">
                  <c:v>98000</c:v>
                </c:pt>
                <c:pt idx="197">
                  <c:v>98500</c:v>
                </c:pt>
                <c:pt idx="198">
                  <c:v>99000</c:v>
                </c:pt>
                <c:pt idx="199">
                  <c:v>99500</c:v>
                </c:pt>
                <c:pt idx="200">
                  <c:v>100000</c:v>
                </c:pt>
              </c:numCache>
            </c:numRef>
          </c:cat>
          <c:val>
            <c:numRef>
              <c:f>'Use this for graphs'!$F$2:$F$202</c:f>
              <c:numCache>
                <c:formatCode>"$"#,##0.00</c:formatCode>
                <c:ptCount val="201"/>
                <c:pt idx="0">
                  <c:v>0</c:v>
                </c:pt>
                <c:pt idx="1">
                  <c:v>0</c:v>
                </c:pt>
                <c:pt idx="2">
                  <c:v>0</c:v>
                </c:pt>
                <c:pt idx="3">
                  <c:v>0</c:v>
                </c:pt>
                <c:pt idx="4">
                  <c:v>0</c:v>
                </c:pt>
                <c:pt idx="5">
                  <c:v>0</c:v>
                </c:pt>
                <c:pt idx="6">
                  <c:v>0</c:v>
                </c:pt>
                <c:pt idx="7">
                  <c:v>0</c:v>
                </c:pt>
                <c:pt idx="8">
                  <c:v>0</c:v>
                </c:pt>
                <c:pt idx="9">
                  <c:v>0</c:v>
                </c:pt>
                <c:pt idx="10">
                  <c:v>0</c:v>
                </c:pt>
                <c:pt idx="11">
                  <c:v>0</c:v>
                </c:pt>
                <c:pt idx="12">
                  <c:v>0</c:v>
                </c:pt>
                <c:pt idx="13">
                  <c:v>0</c:v>
                </c:pt>
                <c:pt idx="14">
                  <c:v>0</c:v>
                </c:pt>
                <c:pt idx="15">
                  <c:v>0</c:v>
                </c:pt>
                <c:pt idx="16">
                  <c:v>0</c:v>
                </c:pt>
                <c:pt idx="17">
                  <c:v>0</c:v>
                </c:pt>
                <c:pt idx="18">
                  <c:v>0</c:v>
                </c:pt>
                <c:pt idx="19">
                  <c:v>0</c:v>
                </c:pt>
                <c:pt idx="20">
                  <c:v>0</c:v>
                </c:pt>
                <c:pt idx="21">
                  <c:v>0</c:v>
                </c:pt>
                <c:pt idx="22">
                  <c:v>0</c:v>
                </c:pt>
                <c:pt idx="23">
                  <c:v>0</c:v>
                </c:pt>
                <c:pt idx="24">
                  <c:v>0</c:v>
                </c:pt>
                <c:pt idx="25">
                  <c:v>0</c:v>
                </c:pt>
                <c:pt idx="26">
                  <c:v>0</c:v>
                </c:pt>
                <c:pt idx="27">
                  <c:v>0</c:v>
                </c:pt>
                <c:pt idx="28">
                  <c:v>0</c:v>
                </c:pt>
                <c:pt idx="29">
                  <c:v>0</c:v>
                </c:pt>
                <c:pt idx="30">
                  <c:v>0</c:v>
                </c:pt>
                <c:pt idx="31">
                  <c:v>0</c:v>
                </c:pt>
                <c:pt idx="32">
                  <c:v>0</c:v>
                </c:pt>
                <c:pt idx="33">
                  <c:v>0</c:v>
                </c:pt>
                <c:pt idx="34">
                  <c:v>0</c:v>
                </c:pt>
                <c:pt idx="35">
                  <c:v>0</c:v>
                </c:pt>
                <c:pt idx="36">
                  <c:v>0</c:v>
                </c:pt>
                <c:pt idx="37">
                  <c:v>0</c:v>
                </c:pt>
                <c:pt idx="38">
                  <c:v>0</c:v>
                </c:pt>
                <c:pt idx="39">
                  <c:v>0</c:v>
                </c:pt>
                <c:pt idx="40">
                  <c:v>0</c:v>
                </c:pt>
                <c:pt idx="41">
                  <c:v>0</c:v>
                </c:pt>
                <c:pt idx="42">
                  <c:v>0</c:v>
                </c:pt>
                <c:pt idx="43">
                  <c:v>0</c:v>
                </c:pt>
                <c:pt idx="44">
                  <c:v>0</c:v>
                </c:pt>
                <c:pt idx="45">
                  <c:v>0</c:v>
                </c:pt>
                <c:pt idx="46">
                  <c:v>0</c:v>
                </c:pt>
                <c:pt idx="47">
                  <c:v>0</c:v>
                </c:pt>
                <c:pt idx="48">
                  <c:v>0</c:v>
                </c:pt>
                <c:pt idx="49">
                  <c:v>0</c:v>
                </c:pt>
                <c:pt idx="50">
                  <c:v>0</c:v>
                </c:pt>
                <c:pt idx="51">
                  <c:v>0</c:v>
                </c:pt>
                <c:pt idx="52">
                  <c:v>0</c:v>
                </c:pt>
                <c:pt idx="53">
                  <c:v>0</c:v>
                </c:pt>
                <c:pt idx="54">
                  <c:v>0</c:v>
                </c:pt>
                <c:pt idx="55">
                  <c:v>0</c:v>
                </c:pt>
                <c:pt idx="56">
                  <c:v>0</c:v>
                </c:pt>
                <c:pt idx="57">
                  <c:v>0</c:v>
                </c:pt>
                <c:pt idx="58">
                  <c:v>0</c:v>
                </c:pt>
                <c:pt idx="59">
                  <c:v>0</c:v>
                </c:pt>
                <c:pt idx="60">
                  <c:v>0</c:v>
                </c:pt>
                <c:pt idx="61">
                  <c:v>0</c:v>
                </c:pt>
                <c:pt idx="62">
                  <c:v>0</c:v>
                </c:pt>
                <c:pt idx="63">
                  <c:v>0</c:v>
                </c:pt>
                <c:pt idx="64">
                  <c:v>0</c:v>
                </c:pt>
                <c:pt idx="65">
                  <c:v>0</c:v>
                </c:pt>
                <c:pt idx="66">
                  <c:v>0</c:v>
                </c:pt>
                <c:pt idx="67">
                  <c:v>0</c:v>
                </c:pt>
                <c:pt idx="68">
                  <c:v>0</c:v>
                </c:pt>
                <c:pt idx="69">
                  <c:v>0</c:v>
                </c:pt>
                <c:pt idx="70">
                  <c:v>0</c:v>
                </c:pt>
                <c:pt idx="71">
                  <c:v>0</c:v>
                </c:pt>
                <c:pt idx="72">
                  <c:v>0</c:v>
                </c:pt>
                <c:pt idx="73">
                  <c:v>0</c:v>
                </c:pt>
                <c:pt idx="74">
                  <c:v>0</c:v>
                </c:pt>
                <c:pt idx="75">
                  <c:v>0</c:v>
                </c:pt>
                <c:pt idx="76">
                  <c:v>0</c:v>
                </c:pt>
                <c:pt idx="77">
                  <c:v>0</c:v>
                </c:pt>
                <c:pt idx="78">
                  <c:v>0</c:v>
                </c:pt>
                <c:pt idx="79">
                  <c:v>0</c:v>
                </c:pt>
                <c:pt idx="80">
                  <c:v>0</c:v>
                </c:pt>
                <c:pt idx="81">
                  <c:v>0</c:v>
                </c:pt>
                <c:pt idx="82">
                  <c:v>0</c:v>
                </c:pt>
                <c:pt idx="83">
                  <c:v>0</c:v>
                </c:pt>
                <c:pt idx="84">
                  <c:v>0</c:v>
                </c:pt>
                <c:pt idx="85">
                  <c:v>0</c:v>
                </c:pt>
                <c:pt idx="86">
                  <c:v>0</c:v>
                </c:pt>
                <c:pt idx="87">
                  <c:v>0</c:v>
                </c:pt>
                <c:pt idx="88">
                  <c:v>0</c:v>
                </c:pt>
                <c:pt idx="89">
                  <c:v>0</c:v>
                </c:pt>
                <c:pt idx="90">
                  <c:v>0</c:v>
                </c:pt>
                <c:pt idx="91">
                  <c:v>0</c:v>
                </c:pt>
                <c:pt idx="92">
                  <c:v>0</c:v>
                </c:pt>
                <c:pt idx="93">
                  <c:v>0</c:v>
                </c:pt>
                <c:pt idx="94">
                  <c:v>0</c:v>
                </c:pt>
                <c:pt idx="95">
                  <c:v>0</c:v>
                </c:pt>
                <c:pt idx="96">
                  <c:v>0</c:v>
                </c:pt>
                <c:pt idx="97">
                  <c:v>0</c:v>
                </c:pt>
                <c:pt idx="98">
                  <c:v>0</c:v>
                </c:pt>
                <c:pt idx="99">
                  <c:v>0</c:v>
                </c:pt>
                <c:pt idx="100">
                  <c:v>0</c:v>
                </c:pt>
                <c:pt idx="101">
                  <c:v>0</c:v>
                </c:pt>
                <c:pt idx="102">
                  <c:v>0</c:v>
                </c:pt>
                <c:pt idx="103">
                  <c:v>0</c:v>
                </c:pt>
                <c:pt idx="104">
                  <c:v>0</c:v>
                </c:pt>
                <c:pt idx="105">
                  <c:v>0</c:v>
                </c:pt>
                <c:pt idx="106">
                  <c:v>0</c:v>
                </c:pt>
                <c:pt idx="107">
                  <c:v>0</c:v>
                </c:pt>
                <c:pt idx="108">
                  <c:v>0</c:v>
                </c:pt>
                <c:pt idx="109">
                  <c:v>0</c:v>
                </c:pt>
                <c:pt idx="110">
                  <c:v>0</c:v>
                </c:pt>
                <c:pt idx="111">
                  <c:v>0</c:v>
                </c:pt>
                <c:pt idx="112">
                  <c:v>0</c:v>
                </c:pt>
                <c:pt idx="113">
                  <c:v>0</c:v>
                </c:pt>
                <c:pt idx="114">
                  <c:v>0</c:v>
                </c:pt>
                <c:pt idx="115">
                  <c:v>0</c:v>
                </c:pt>
                <c:pt idx="116">
                  <c:v>0</c:v>
                </c:pt>
                <c:pt idx="117">
                  <c:v>0</c:v>
                </c:pt>
                <c:pt idx="118">
                  <c:v>0</c:v>
                </c:pt>
                <c:pt idx="119">
                  <c:v>0</c:v>
                </c:pt>
                <c:pt idx="120">
                  <c:v>0</c:v>
                </c:pt>
                <c:pt idx="121">
                  <c:v>0</c:v>
                </c:pt>
                <c:pt idx="122">
                  <c:v>0</c:v>
                </c:pt>
                <c:pt idx="123">
                  <c:v>0</c:v>
                </c:pt>
                <c:pt idx="124">
                  <c:v>0</c:v>
                </c:pt>
                <c:pt idx="125">
                  <c:v>0</c:v>
                </c:pt>
                <c:pt idx="126">
                  <c:v>0</c:v>
                </c:pt>
                <c:pt idx="127">
                  <c:v>0</c:v>
                </c:pt>
                <c:pt idx="128">
                  <c:v>0</c:v>
                </c:pt>
                <c:pt idx="129">
                  <c:v>0</c:v>
                </c:pt>
                <c:pt idx="130">
                  <c:v>0</c:v>
                </c:pt>
                <c:pt idx="131">
                  <c:v>0</c:v>
                </c:pt>
                <c:pt idx="132">
                  <c:v>0</c:v>
                </c:pt>
                <c:pt idx="133">
                  <c:v>0</c:v>
                </c:pt>
                <c:pt idx="134">
                  <c:v>0</c:v>
                </c:pt>
                <c:pt idx="135">
                  <c:v>0</c:v>
                </c:pt>
                <c:pt idx="136">
                  <c:v>0</c:v>
                </c:pt>
                <c:pt idx="137">
                  <c:v>0</c:v>
                </c:pt>
                <c:pt idx="138">
                  <c:v>0</c:v>
                </c:pt>
                <c:pt idx="139">
                  <c:v>0</c:v>
                </c:pt>
                <c:pt idx="140">
                  <c:v>0</c:v>
                </c:pt>
                <c:pt idx="141">
                  <c:v>0</c:v>
                </c:pt>
                <c:pt idx="142">
                  <c:v>0</c:v>
                </c:pt>
                <c:pt idx="143">
                  <c:v>0</c:v>
                </c:pt>
                <c:pt idx="144">
                  <c:v>0</c:v>
                </c:pt>
                <c:pt idx="145">
                  <c:v>0</c:v>
                </c:pt>
                <c:pt idx="146">
                  <c:v>0</c:v>
                </c:pt>
                <c:pt idx="147">
                  <c:v>0</c:v>
                </c:pt>
                <c:pt idx="148">
                  <c:v>0</c:v>
                </c:pt>
                <c:pt idx="149">
                  <c:v>0</c:v>
                </c:pt>
                <c:pt idx="150">
                  <c:v>0</c:v>
                </c:pt>
                <c:pt idx="151">
                  <c:v>0</c:v>
                </c:pt>
                <c:pt idx="152">
                  <c:v>0</c:v>
                </c:pt>
                <c:pt idx="153">
                  <c:v>0</c:v>
                </c:pt>
                <c:pt idx="154">
                  <c:v>0</c:v>
                </c:pt>
                <c:pt idx="155">
                  <c:v>0</c:v>
                </c:pt>
                <c:pt idx="156">
                  <c:v>0</c:v>
                </c:pt>
                <c:pt idx="157">
                  <c:v>0</c:v>
                </c:pt>
                <c:pt idx="158">
                  <c:v>0</c:v>
                </c:pt>
                <c:pt idx="159">
                  <c:v>0</c:v>
                </c:pt>
                <c:pt idx="160">
                  <c:v>0</c:v>
                </c:pt>
                <c:pt idx="161">
                  <c:v>0</c:v>
                </c:pt>
                <c:pt idx="162">
                  <c:v>0</c:v>
                </c:pt>
                <c:pt idx="163">
                  <c:v>0</c:v>
                </c:pt>
                <c:pt idx="164">
                  <c:v>0</c:v>
                </c:pt>
                <c:pt idx="165">
                  <c:v>0</c:v>
                </c:pt>
                <c:pt idx="166">
                  <c:v>0</c:v>
                </c:pt>
                <c:pt idx="167">
                  <c:v>0</c:v>
                </c:pt>
                <c:pt idx="168">
                  <c:v>0</c:v>
                </c:pt>
                <c:pt idx="169">
                  <c:v>0</c:v>
                </c:pt>
                <c:pt idx="170">
                  <c:v>0</c:v>
                </c:pt>
                <c:pt idx="171">
                  <c:v>0</c:v>
                </c:pt>
                <c:pt idx="172">
                  <c:v>0</c:v>
                </c:pt>
                <c:pt idx="173">
                  <c:v>0</c:v>
                </c:pt>
                <c:pt idx="174">
                  <c:v>0</c:v>
                </c:pt>
                <c:pt idx="175">
                  <c:v>0</c:v>
                </c:pt>
                <c:pt idx="176">
                  <c:v>0</c:v>
                </c:pt>
                <c:pt idx="177">
                  <c:v>0</c:v>
                </c:pt>
                <c:pt idx="178">
                  <c:v>0</c:v>
                </c:pt>
                <c:pt idx="179">
                  <c:v>0</c:v>
                </c:pt>
                <c:pt idx="180">
                  <c:v>0</c:v>
                </c:pt>
                <c:pt idx="181">
                  <c:v>0</c:v>
                </c:pt>
                <c:pt idx="182">
                  <c:v>0</c:v>
                </c:pt>
                <c:pt idx="183">
                  <c:v>0</c:v>
                </c:pt>
                <c:pt idx="184">
                  <c:v>0</c:v>
                </c:pt>
                <c:pt idx="185">
                  <c:v>0</c:v>
                </c:pt>
                <c:pt idx="186">
                  <c:v>0</c:v>
                </c:pt>
                <c:pt idx="187">
                  <c:v>0</c:v>
                </c:pt>
                <c:pt idx="188">
                  <c:v>0</c:v>
                </c:pt>
                <c:pt idx="189">
                  <c:v>0</c:v>
                </c:pt>
                <c:pt idx="190">
                  <c:v>0</c:v>
                </c:pt>
                <c:pt idx="191">
                  <c:v>0</c:v>
                </c:pt>
                <c:pt idx="192">
                  <c:v>0</c:v>
                </c:pt>
                <c:pt idx="193">
                  <c:v>0</c:v>
                </c:pt>
                <c:pt idx="194">
                  <c:v>0</c:v>
                </c:pt>
                <c:pt idx="195">
                  <c:v>0</c:v>
                </c:pt>
                <c:pt idx="196">
                  <c:v>0</c:v>
                </c:pt>
                <c:pt idx="197">
                  <c:v>0</c:v>
                </c:pt>
                <c:pt idx="198">
                  <c:v>0</c:v>
                </c:pt>
                <c:pt idx="199">
                  <c:v>0</c:v>
                </c:pt>
                <c:pt idx="200">
                  <c:v>0</c:v>
                </c:pt>
              </c:numCache>
            </c:numRef>
          </c:val>
          <c:extLst>
            <c:ext xmlns:c16="http://schemas.microsoft.com/office/drawing/2014/chart" uri="{C3380CC4-5D6E-409C-BE32-E72D297353CC}">
              <c16:uniqueId val="{00000009-9161-490F-91EC-5745335BC484}"/>
            </c:ext>
          </c:extLst>
        </c:ser>
        <c:ser>
          <c:idx val="10"/>
          <c:order val="6"/>
          <c:tx>
            <c:strRef>
              <c:f>'Use this for graphs'!$G$1</c:f>
              <c:strCache>
                <c:ptCount val="1"/>
                <c:pt idx="0">
                  <c:v>Housing Choice Voucher</c:v>
                </c:pt>
              </c:strCache>
            </c:strRef>
          </c:tx>
          <c:spPr>
            <a:solidFill>
              <a:schemeClr val="accent5">
                <a:lumMod val="60000"/>
              </a:schemeClr>
            </a:solidFill>
            <a:ln>
              <a:noFill/>
            </a:ln>
            <a:effectLst/>
          </c:spPr>
          <c:cat>
            <c:numRef>
              <c:f>'Use this for graphs'!$A$2:$A$202</c:f>
              <c:numCache>
                <c:formatCode>"$"#,##0</c:formatCode>
                <c:ptCount val="201"/>
                <c:pt idx="0">
                  <c:v>0</c:v>
                </c:pt>
                <c:pt idx="1">
                  <c:v>500</c:v>
                </c:pt>
                <c:pt idx="2">
                  <c:v>1000</c:v>
                </c:pt>
                <c:pt idx="3">
                  <c:v>1500</c:v>
                </c:pt>
                <c:pt idx="4">
                  <c:v>2000</c:v>
                </c:pt>
                <c:pt idx="5">
                  <c:v>2500</c:v>
                </c:pt>
                <c:pt idx="6">
                  <c:v>3000</c:v>
                </c:pt>
                <c:pt idx="7">
                  <c:v>3500</c:v>
                </c:pt>
                <c:pt idx="8">
                  <c:v>4000</c:v>
                </c:pt>
                <c:pt idx="9">
                  <c:v>4500</c:v>
                </c:pt>
                <c:pt idx="10">
                  <c:v>5000</c:v>
                </c:pt>
                <c:pt idx="11">
                  <c:v>5500</c:v>
                </c:pt>
                <c:pt idx="12">
                  <c:v>6000</c:v>
                </c:pt>
                <c:pt idx="13">
                  <c:v>6500</c:v>
                </c:pt>
                <c:pt idx="14">
                  <c:v>7000</c:v>
                </c:pt>
                <c:pt idx="15">
                  <c:v>7500</c:v>
                </c:pt>
                <c:pt idx="16">
                  <c:v>8000</c:v>
                </c:pt>
                <c:pt idx="17">
                  <c:v>8500</c:v>
                </c:pt>
                <c:pt idx="18">
                  <c:v>9000</c:v>
                </c:pt>
                <c:pt idx="19">
                  <c:v>9500</c:v>
                </c:pt>
                <c:pt idx="20">
                  <c:v>10000</c:v>
                </c:pt>
                <c:pt idx="21">
                  <c:v>10500</c:v>
                </c:pt>
                <c:pt idx="22">
                  <c:v>11000</c:v>
                </c:pt>
                <c:pt idx="23">
                  <c:v>11500</c:v>
                </c:pt>
                <c:pt idx="24">
                  <c:v>12000</c:v>
                </c:pt>
                <c:pt idx="25">
                  <c:v>12500</c:v>
                </c:pt>
                <c:pt idx="26">
                  <c:v>13000</c:v>
                </c:pt>
                <c:pt idx="27">
                  <c:v>13500</c:v>
                </c:pt>
                <c:pt idx="28">
                  <c:v>14000</c:v>
                </c:pt>
                <c:pt idx="29">
                  <c:v>14500</c:v>
                </c:pt>
                <c:pt idx="30">
                  <c:v>15000</c:v>
                </c:pt>
                <c:pt idx="31">
                  <c:v>15500</c:v>
                </c:pt>
                <c:pt idx="32">
                  <c:v>16000</c:v>
                </c:pt>
                <c:pt idx="33">
                  <c:v>16500</c:v>
                </c:pt>
                <c:pt idx="34">
                  <c:v>17000</c:v>
                </c:pt>
                <c:pt idx="35">
                  <c:v>17500</c:v>
                </c:pt>
                <c:pt idx="36">
                  <c:v>18000</c:v>
                </c:pt>
                <c:pt idx="37">
                  <c:v>18500</c:v>
                </c:pt>
                <c:pt idx="38">
                  <c:v>19000</c:v>
                </c:pt>
                <c:pt idx="39">
                  <c:v>19500</c:v>
                </c:pt>
                <c:pt idx="40">
                  <c:v>20000</c:v>
                </c:pt>
                <c:pt idx="41">
                  <c:v>20500</c:v>
                </c:pt>
                <c:pt idx="42">
                  <c:v>21000</c:v>
                </c:pt>
                <c:pt idx="43">
                  <c:v>21500</c:v>
                </c:pt>
                <c:pt idx="44">
                  <c:v>22000</c:v>
                </c:pt>
                <c:pt idx="45">
                  <c:v>22500</c:v>
                </c:pt>
                <c:pt idx="46">
                  <c:v>23000</c:v>
                </c:pt>
                <c:pt idx="47">
                  <c:v>23500</c:v>
                </c:pt>
                <c:pt idx="48">
                  <c:v>24000</c:v>
                </c:pt>
                <c:pt idx="49">
                  <c:v>24500</c:v>
                </c:pt>
                <c:pt idx="50">
                  <c:v>25000</c:v>
                </c:pt>
                <c:pt idx="51">
                  <c:v>25500</c:v>
                </c:pt>
                <c:pt idx="52">
                  <c:v>26000</c:v>
                </c:pt>
                <c:pt idx="53">
                  <c:v>26500</c:v>
                </c:pt>
                <c:pt idx="54">
                  <c:v>27000</c:v>
                </c:pt>
                <c:pt idx="55">
                  <c:v>27500</c:v>
                </c:pt>
                <c:pt idx="56">
                  <c:v>28000</c:v>
                </c:pt>
                <c:pt idx="57">
                  <c:v>28500</c:v>
                </c:pt>
                <c:pt idx="58">
                  <c:v>29000</c:v>
                </c:pt>
                <c:pt idx="59">
                  <c:v>29500</c:v>
                </c:pt>
                <c:pt idx="60">
                  <c:v>30000</c:v>
                </c:pt>
                <c:pt idx="61">
                  <c:v>30500</c:v>
                </c:pt>
                <c:pt idx="62">
                  <c:v>31000</c:v>
                </c:pt>
                <c:pt idx="63">
                  <c:v>31500</c:v>
                </c:pt>
                <c:pt idx="64">
                  <c:v>32000</c:v>
                </c:pt>
                <c:pt idx="65">
                  <c:v>32500</c:v>
                </c:pt>
                <c:pt idx="66">
                  <c:v>33000</c:v>
                </c:pt>
                <c:pt idx="67">
                  <c:v>33500</c:v>
                </c:pt>
                <c:pt idx="68">
                  <c:v>34000</c:v>
                </c:pt>
                <c:pt idx="69">
                  <c:v>34500</c:v>
                </c:pt>
                <c:pt idx="70">
                  <c:v>35000</c:v>
                </c:pt>
                <c:pt idx="71">
                  <c:v>35500</c:v>
                </c:pt>
                <c:pt idx="72">
                  <c:v>36000</c:v>
                </c:pt>
                <c:pt idx="73">
                  <c:v>36500</c:v>
                </c:pt>
                <c:pt idx="74">
                  <c:v>37000</c:v>
                </c:pt>
                <c:pt idx="75">
                  <c:v>37500</c:v>
                </c:pt>
                <c:pt idx="76">
                  <c:v>38000</c:v>
                </c:pt>
                <c:pt idx="77">
                  <c:v>38500</c:v>
                </c:pt>
                <c:pt idx="78">
                  <c:v>39000</c:v>
                </c:pt>
                <c:pt idx="79">
                  <c:v>39500</c:v>
                </c:pt>
                <c:pt idx="80">
                  <c:v>40000</c:v>
                </c:pt>
                <c:pt idx="81">
                  <c:v>40500</c:v>
                </c:pt>
                <c:pt idx="82">
                  <c:v>41000</c:v>
                </c:pt>
                <c:pt idx="83">
                  <c:v>41500</c:v>
                </c:pt>
                <c:pt idx="84">
                  <c:v>42000</c:v>
                </c:pt>
                <c:pt idx="85">
                  <c:v>42500</c:v>
                </c:pt>
                <c:pt idx="86">
                  <c:v>43000</c:v>
                </c:pt>
                <c:pt idx="87">
                  <c:v>43500</c:v>
                </c:pt>
                <c:pt idx="88">
                  <c:v>44000</c:v>
                </c:pt>
                <c:pt idx="89">
                  <c:v>44500</c:v>
                </c:pt>
                <c:pt idx="90">
                  <c:v>45000</c:v>
                </c:pt>
                <c:pt idx="91">
                  <c:v>45500</c:v>
                </c:pt>
                <c:pt idx="92">
                  <c:v>46000</c:v>
                </c:pt>
                <c:pt idx="93">
                  <c:v>46500</c:v>
                </c:pt>
                <c:pt idx="94">
                  <c:v>47000</c:v>
                </c:pt>
                <c:pt idx="95">
                  <c:v>47500</c:v>
                </c:pt>
                <c:pt idx="96">
                  <c:v>48000</c:v>
                </c:pt>
                <c:pt idx="97">
                  <c:v>48500</c:v>
                </c:pt>
                <c:pt idx="98">
                  <c:v>49000</c:v>
                </c:pt>
                <c:pt idx="99">
                  <c:v>49500</c:v>
                </c:pt>
                <c:pt idx="100">
                  <c:v>50000</c:v>
                </c:pt>
                <c:pt idx="101">
                  <c:v>50500</c:v>
                </c:pt>
                <c:pt idx="102">
                  <c:v>51000</c:v>
                </c:pt>
                <c:pt idx="103">
                  <c:v>51500</c:v>
                </c:pt>
                <c:pt idx="104">
                  <c:v>52000</c:v>
                </c:pt>
                <c:pt idx="105">
                  <c:v>52500</c:v>
                </c:pt>
                <c:pt idx="106">
                  <c:v>53000</c:v>
                </c:pt>
                <c:pt idx="107">
                  <c:v>53500</c:v>
                </c:pt>
                <c:pt idx="108">
                  <c:v>54000</c:v>
                </c:pt>
                <c:pt idx="109">
                  <c:v>54500</c:v>
                </c:pt>
                <c:pt idx="110">
                  <c:v>55000</c:v>
                </c:pt>
                <c:pt idx="111">
                  <c:v>55500</c:v>
                </c:pt>
                <c:pt idx="112">
                  <c:v>56000</c:v>
                </c:pt>
                <c:pt idx="113">
                  <c:v>56500</c:v>
                </c:pt>
                <c:pt idx="114">
                  <c:v>57000</c:v>
                </c:pt>
                <c:pt idx="115">
                  <c:v>57500</c:v>
                </c:pt>
                <c:pt idx="116">
                  <c:v>58000</c:v>
                </c:pt>
                <c:pt idx="117">
                  <c:v>58500</c:v>
                </c:pt>
                <c:pt idx="118">
                  <c:v>59000</c:v>
                </c:pt>
                <c:pt idx="119">
                  <c:v>59500</c:v>
                </c:pt>
                <c:pt idx="120">
                  <c:v>60000</c:v>
                </c:pt>
                <c:pt idx="121">
                  <c:v>60500</c:v>
                </c:pt>
                <c:pt idx="122">
                  <c:v>61000</c:v>
                </c:pt>
                <c:pt idx="123">
                  <c:v>61500</c:v>
                </c:pt>
                <c:pt idx="124">
                  <c:v>62000</c:v>
                </c:pt>
                <c:pt idx="125">
                  <c:v>62500</c:v>
                </c:pt>
                <c:pt idx="126">
                  <c:v>63000</c:v>
                </c:pt>
                <c:pt idx="127">
                  <c:v>63500</c:v>
                </c:pt>
                <c:pt idx="128">
                  <c:v>64000</c:v>
                </c:pt>
                <c:pt idx="129">
                  <c:v>64500</c:v>
                </c:pt>
                <c:pt idx="130">
                  <c:v>65000</c:v>
                </c:pt>
                <c:pt idx="131">
                  <c:v>65500</c:v>
                </c:pt>
                <c:pt idx="132">
                  <c:v>66000</c:v>
                </c:pt>
                <c:pt idx="133">
                  <c:v>66500</c:v>
                </c:pt>
                <c:pt idx="134">
                  <c:v>67000</c:v>
                </c:pt>
                <c:pt idx="135">
                  <c:v>67500</c:v>
                </c:pt>
                <c:pt idx="136">
                  <c:v>68000</c:v>
                </c:pt>
                <c:pt idx="137">
                  <c:v>68500</c:v>
                </c:pt>
                <c:pt idx="138">
                  <c:v>69000</c:v>
                </c:pt>
                <c:pt idx="139">
                  <c:v>69500</c:v>
                </c:pt>
                <c:pt idx="140">
                  <c:v>70000</c:v>
                </c:pt>
                <c:pt idx="141">
                  <c:v>70500</c:v>
                </c:pt>
                <c:pt idx="142">
                  <c:v>71000</c:v>
                </c:pt>
                <c:pt idx="143">
                  <c:v>71500</c:v>
                </c:pt>
                <c:pt idx="144">
                  <c:v>72000</c:v>
                </c:pt>
                <c:pt idx="145">
                  <c:v>72500</c:v>
                </c:pt>
                <c:pt idx="146">
                  <c:v>73000</c:v>
                </c:pt>
                <c:pt idx="147">
                  <c:v>73500</c:v>
                </c:pt>
                <c:pt idx="148">
                  <c:v>74000</c:v>
                </c:pt>
                <c:pt idx="149">
                  <c:v>74500</c:v>
                </c:pt>
                <c:pt idx="150">
                  <c:v>75000</c:v>
                </c:pt>
                <c:pt idx="151">
                  <c:v>75500</c:v>
                </c:pt>
                <c:pt idx="152">
                  <c:v>76000</c:v>
                </c:pt>
                <c:pt idx="153">
                  <c:v>76500</c:v>
                </c:pt>
                <c:pt idx="154">
                  <c:v>77000</c:v>
                </c:pt>
                <c:pt idx="155">
                  <c:v>77500</c:v>
                </c:pt>
                <c:pt idx="156">
                  <c:v>78000</c:v>
                </c:pt>
                <c:pt idx="157">
                  <c:v>78500</c:v>
                </c:pt>
                <c:pt idx="158">
                  <c:v>79000</c:v>
                </c:pt>
                <c:pt idx="159">
                  <c:v>79500</c:v>
                </c:pt>
                <c:pt idx="160">
                  <c:v>80000</c:v>
                </c:pt>
                <c:pt idx="161">
                  <c:v>80500</c:v>
                </c:pt>
                <c:pt idx="162">
                  <c:v>81000</c:v>
                </c:pt>
                <c:pt idx="163">
                  <c:v>81500</c:v>
                </c:pt>
                <c:pt idx="164">
                  <c:v>82000</c:v>
                </c:pt>
                <c:pt idx="165">
                  <c:v>82500</c:v>
                </c:pt>
                <c:pt idx="166">
                  <c:v>83000</c:v>
                </c:pt>
                <c:pt idx="167">
                  <c:v>83500</c:v>
                </c:pt>
                <c:pt idx="168">
                  <c:v>84000</c:v>
                </c:pt>
                <c:pt idx="169">
                  <c:v>84500</c:v>
                </c:pt>
                <c:pt idx="170">
                  <c:v>85000</c:v>
                </c:pt>
                <c:pt idx="171">
                  <c:v>85500</c:v>
                </c:pt>
                <c:pt idx="172">
                  <c:v>86000</c:v>
                </c:pt>
                <c:pt idx="173">
                  <c:v>86500</c:v>
                </c:pt>
                <c:pt idx="174">
                  <c:v>87000</c:v>
                </c:pt>
                <c:pt idx="175">
                  <c:v>87500</c:v>
                </c:pt>
                <c:pt idx="176">
                  <c:v>88000</c:v>
                </c:pt>
                <c:pt idx="177">
                  <c:v>88500</c:v>
                </c:pt>
                <c:pt idx="178">
                  <c:v>89000</c:v>
                </c:pt>
                <c:pt idx="179">
                  <c:v>89500</c:v>
                </c:pt>
                <c:pt idx="180">
                  <c:v>90000</c:v>
                </c:pt>
                <c:pt idx="181">
                  <c:v>90500</c:v>
                </c:pt>
                <c:pt idx="182">
                  <c:v>91000</c:v>
                </c:pt>
                <c:pt idx="183">
                  <c:v>91500</c:v>
                </c:pt>
                <c:pt idx="184">
                  <c:v>92000</c:v>
                </c:pt>
                <c:pt idx="185">
                  <c:v>92500</c:v>
                </c:pt>
                <c:pt idx="186">
                  <c:v>93000</c:v>
                </c:pt>
                <c:pt idx="187">
                  <c:v>93500</c:v>
                </c:pt>
                <c:pt idx="188">
                  <c:v>94000</c:v>
                </c:pt>
                <c:pt idx="189">
                  <c:v>94500</c:v>
                </c:pt>
                <c:pt idx="190">
                  <c:v>95000</c:v>
                </c:pt>
                <c:pt idx="191">
                  <c:v>95500</c:v>
                </c:pt>
                <c:pt idx="192">
                  <c:v>96000</c:v>
                </c:pt>
                <c:pt idx="193">
                  <c:v>96500</c:v>
                </c:pt>
                <c:pt idx="194">
                  <c:v>97000</c:v>
                </c:pt>
                <c:pt idx="195">
                  <c:v>97500</c:v>
                </c:pt>
                <c:pt idx="196">
                  <c:v>98000</c:v>
                </c:pt>
                <c:pt idx="197">
                  <c:v>98500</c:v>
                </c:pt>
                <c:pt idx="198">
                  <c:v>99000</c:v>
                </c:pt>
                <c:pt idx="199">
                  <c:v>99500</c:v>
                </c:pt>
                <c:pt idx="200">
                  <c:v>100000</c:v>
                </c:pt>
              </c:numCache>
            </c:numRef>
          </c:cat>
          <c:val>
            <c:numRef>
              <c:f>'Use this for graphs'!$G$2:$G$202</c:f>
              <c:numCache>
                <c:formatCode>"$"#,##0</c:formatCode>
                <c:ptCount val="201"/>
                <c:pt idx="0">
                  <c:v>10457.988000000001</c:v>
                </c:pt>
                <c:pt idx="1">
                  <c:v>10188</c:v>
                </c:pt>
                <c:pt idx="2">
                  <c:v>10038</c:v>
                </c:pt>
                <c:pt idx="3">
                  <c:v>9888</c:v>
                </c:pt>
                <c:pt idx="4">
                  <c:v>9738</c:v>
                </c:pt>
                <c:pt idx="5">
                  <c:v>9588</c:v>
                </c:pt>
                <c:pt idx="6">
                  <c:v>9556.08</c:v>
                </c:pt>
                <c:pt idx="7">
                  <c:v>9526.08</c:v>
                </c:pt>
                <c:pt idx="8">
                  <c:v>9496.08</c:v>
                </c:pt>
                <c:pt idx="9">
                  <c:v>9466.08</c:v>
                </c:pt>
                <c:pt idx="10">
                  <c:v>9436.08</c:v>
                </c:pt>
                <c:pt idx="11">
                  <c:v>9406.08</c:v>
                </c:pt>
                <c:pt idx="12">
                  <c:v>9376.08</c:v>
                </c:pt>
                <c:pt idx="13">
                  <c:v>9346.08</c:v>
                </c:pt>
                <c:pt idx="14">
                  <c:v>9316.08</c:v>
                </c:pt>
                <c:pt idx="15">
                  <c:v>9286.08</c:v>
                </c:pt>
                <c:pt idx="16">
                  <c:v>9256.08</c:v>
                </c:pt>
                <c:pt idx="17">
                  <c:v>9174</c:v>
                </c:pt>
                <c:pt idx="18">
                  <c:v>9024</c:v>
                </c:pt>
                <c:pt idx="19">
                  <c:v>8874</c:v>
                </c:pt>
                <c:pt idx="20">
                  <c:v>8724</c:v>
                </c:pt>
                <c:pt idx="21">
                  <c:v>8574</c:v>
                </c:pt>
                <c:pt idx="22">
                  <c:v>8424</c:v>
                </c:pt>
                <c:pt idx="23">
                  <c:v>8274</c:v>
                </c:pt>
                <c:pt idx="24">
                  <c:v>8124</c:v>
                </c:pt>
                <c:pt idx="25">
                  <c:v>7974</c:v>
                </c:pt>
                <c:pt idx="26">
                  <c:v>7824</c:v>
                </c:pt>
                <c:pt idx="27">
                  <c:v>7674</c:v>
                </c:pt>
                <c:pt idx="28">
                  <c:v>7524</c:v>
                </c:pt>
                <c:pt idx="29">
                  <c:v>7374</c:v>
                </c:pt>
                <c:pt idx="30">
                  <c:v>7224</c:v>
                </c:pt>
                <c:pt idx="31">
                  <c:v>7074</c:v>
                </c:pt>
                <c:pt idx="32">
                  <c:v>6924</c:v>
                </c:pt>
                <c:pt idx="33">
                  <c:v>6774</c:v>
                </c:pt>
                <c:pt idx="34">
                  <c:v>6624</c:v>
                </c:pt>
                <c:pt idx="35">
                  <c:v>6474</c:v>
                </c:pt>
                <c:pt idx="36">
                  <c:v>6324</c:v>
                </c:pt>
                <c:pt idx="37">
                  <c:v>6174</c:v>
                </c:pt>
                <c:pt idx="38">
                  <c:v>6024.0000000000009</c:v>
                </c:pt>
                <c:pt idx="39">
                  <c:v>5874</c:v>
                </c:pt>
                <c:pt idx="40">
                  <c:v>5724</c:v>
                </c:pt>
                <c:pt idx="41">
                  <c:v>5574</c:v>
                </c:pt>
                <c:pt idx="42">
                  <c:v>5424</c:v>
                </c:pt>
                <c:pt idx="43">
                  <c:v>5274</c:v>
                </c:pt>
                <c:pt idx="44">
                  <c:v>5124</c:v>
                </c:pt>
                <c:pt idx="45">
                  <c:v>4974</c:v>
                </c:pt>
                <c:pt idx="46">
                  <c:v>4824</c:v>
                </c:pt>
                <c:pt idx="47">
                  <c:v>4674.0000000000018</c:v>
                </c:pt>
                <c:pt idx="48">
                  <c:v>4524</c:v>
                </c:pt>
                <c:pt idx="49">
                  <c:v>4373.9999999999982</c:v>
                </c:pt>
                <c:pt idx="50">
                  <c:v>4224</c:v>
                </c:pt>
                <c:pt idx="51">
                  <c:v>4074</c:v>
                </c:pt>
                <c:pt idx="52">
                  <c:v>3924.0000000000014</c:v>
                </c:pt>
                <c:pt idx="53">
                  <c:v>3774</c:v>
                </c:pt>
                <c:pt idx="54">
                  <c:v>3624</c:v>
                </c:pt>
                <c:pt idx="55">
                  <c:v>3474.0000000000014</c:v>
                </c:pt>
                <c:pt idx="56">
                  <c:v>3324</c:v>
                </c:pt>
                <c:pt idx="57">
                  <c:v>3174</c:v>
                </c:pt>
                <c:pt idx="58">
                  <c:v>3024.0000000000014</c:v>
                </c:pt>
                <c:pt idx="59">
                  <c:v>2874</c:v>
                </c:pt>
                <c:pt idx="60">
                  <c:v>2724</c:v>
                </c:pt>
                <c:pt idx="61">
                  <c:v>2574.0000000000014</c:v>
                </c:pt>
                <c:pt idx="62">
                  <c:v>2424</c:v>
                </c:pt>
                <c:pt idx="63">
                  <c:v>2274</c:v>
                </c:pt>
                <c:pt idx="64">
                  <c:v>2124.0000000000014</c:v>
                </c:pt>
                <c:pt idx="65">
                  <c:v>1974</c:v>
                </c:pt>
                <c:pt idx="66">
                  <c:v>1824</c:v>
                </c:pt>
                <c:pt idx="67">
                  <c:v>1674.0000000000014</c:v>
                </c:pt>
                <c:pt idx="68">
                  <c:v>1524</c:v>
                </c:pt>
                <c:pt idx="69">
                  <c:v>1374</c:v>
                </c:pt>
                <c:pt idx="70">
                  <c:v>1224.0000000000014</c:v>
                </c:pt>
                <c:pt idx="71">
                  <c:v>1074</c:v>
                </c:pt>
                <c:pt idx="72">
                  <c:v>924</c:v>
                </c:pt>
                <c:pt idx="73">
                  <c:v>774.00000000000136</c:v>
                </c:pt>
                <c:pt idx="74">
                  <c:v>624</c:v>
                </c:pt>
                <c:pt idx="75">
                  <c:v>474</c:v>
                </c:pt>
                <c:pt idx="76">
                  <c:v>324.00000000000136</c:v>
                </c:pt>
                <c:pt idx="77">
                  <c:v>174</c:v>
                </c:pt>
                <c:pt idx="78">
                  <c:v>24</c:v>
                </c:pt>
                <c:pt idx="79">
                  <c:v>0</c:v>
                </c:pt>
                <c:pt idx="80">
                  <c:v>0</c:v>
                </c:pt>
                <c:pt idx="81">
                  <c:v>0</c:v>
                </c:pt>
                <c:pt idx="82">
                  <c:v>0</c:v>
                </c:pt>
                <c:pt idx="83">
                  <c:v>0</c:v>
                </c:pt>
                <c:pt idx="84">
                  <c:v>0</c:v>
                </c:pt>
                <c:pt idx="85">
                  <c:v>0</c:v>
                </c:pt>
                <c:pt idx="86">
                  <c:v>0</c:v>
                </c:pt>
                <c:pt idx="87">
                  <c:v>0</c:v>
                </c:pt>
                <c:pt idx="88">
                  <c:v>0</c:v>
                </c:pt>
                <c:pt idx="89">
                  <c:v>0</c:v>
                </c:pt>
                <c:pt idx="90">
                  <c:v>0</c:v>
                </c:pt>
                <c:pt idx="91">
                  <c:v>0</c:v>
                </c:pt>
                <c:pt idx="92">
                  <c:v>0</c:v>
                </c:pt>
                <c:pt idx="93">
                  <c:v>0</c:v>
                </c:pt>
                <c:pt idx="94">
                  <c:v>0</c:v>
                </c:pt>
                <c:pt idx="95">
                  <c:v>0</c:v>
                </c:pt>
                <c:pt idx="96">
                  <c:v>0</c:v>
                </c:pt>
                <c:pt idx="97">
                  <c:v>0</c:v>
                </c:pt>
                <c:pt idx="98">
                  <c:v>0</c:v>
                </c:pt>
                <c:pt idx="99">
                  <c:v>0</c:v>
                </c:pt>
                <c:pt idx="100">
                  <c:v>0</c:v>
                </c:pt>
                <c:pt idx="101">
                  <c:v>0</c:v>
                </c:pt>
                <c:pt idx="102">
                  <c:v>0</c:v>
                </c:pt>
                <c:pt idx="103">
                  <c:v>0</c:v>
                </c:pt>
                <c:pt idx="104">
                  <c:v>0</c:v>
                </c:pt>
                <c:pt idx="105">
                  <c:v>0</c:v>
                </c:pt>
                <c:pt idx="106">
                  <c:v>0</c:v>
                </c:pt>
                <c:pt idx="107">
                  <c:v>0</c:v>
                </c:pt>
                <c:pt idx="108">
                  <c:v>0</c:v>
                </c:pt>
                <c:pt idx="109">
                  <c:v>0</c:v>
                </c:pt>
                <c:pt idx="110">
                  <c:v>0</c:v>
                </c:pt>
                <c:pt idx="111">
                  <c:v>0</c:v>
                </c:pt>
                <c:pt idx="112">
                  <c:v>0</c:v>
                </c:pt>
                <c:pt idx="113">
                  <c:v>0</c:v>
                </c:pt>
                <c:pt idx="114">
                  <c:v>0</c:v>
                </c:pt>
                <c:pt idx="115">
                  <c:v>0</c:v>
                </c:pt>
                <c:pt idx="116">
                  <c:v>0</c:v>
                </c:pt>
                <c:pt idx="117">
                  <c:v>0</c:v>
                </c:pt>
                <c:pt idx="118">
                  <c:v>0</c:v>
                </c:pt>
                <c:pt idx="119">
                  <c:v>0</c:v>
                </c:pt>
                <c:pt idx="120">
                  <c:v>0</c:v>
                </c:pt>
                <c:pt idx="121">
                  <c:v>0</c:v>
                </c:pt>
                <c:pt idx="122">
                  <c:v>0</c:v>
                </c:pt>
                <c:pt idx="123">
                  <c:v>0</c:v>
                </c:pt>
                <c:pt idx="124">
                  <c:v>0</c:v>
                </c:pt>
                <c:pt idx="125">
                  <c:v>0</c:v>
                </c:pt>
                <c:pt idx="126">
                  <c:v>0</c:v>
                </c:pt>
                <c:pt idx="127">
                  <c:v>0</c:v>
                </c:pt>
                <c:pt idx="128">
                  <c:v>0</c:v>
                </c:pt>
                <c:pt idx="129">
                  <c:v>0</c:v>
                </c:pt>
                <c:pt idx="130">
                  <c:v>0</c:v>
                </c:pt>
                <c:pt idx="131">
                  <c:v>0</c:v>
                </c:pt>
                <c:pt idx="132">
                  <c:v>0</c:v>
                </c:pt>
                <c:pt idx="133">
                  <c:v>0</c:v>
                </c:pt>
                <c:pt idx="134">
                  <c:v>0</c:v>
                </c:pt>
                <c:pt idx="135">
                  <c:v>0</c:v>
                </c:pt>
                <c:pt idx="136">
                  <c:v>0</c:v>
                </c:pt>
                <c:pt idx="137">
                  <c:v>0</c:v>
                </c:pt>
                <c:pt idx="138">
                  <c:v>0</c:v>
                </c:pt>
                <c:pt idx="139">
                  <c:v>0</c:v>
                </c:pt>
                <c:pt idx="140">
                  <c:v>0</c:v>
                </c:pt>
                <c:pt idx="141">
                  <c:v>0</c:v>
                </c:pt>
                <c:pt idx="142">
                  <c:v>0</c:v>
                </c:pt>
                <c:pt idx="143">
                  <c:v>0</c:v>
                </c:pt>
                <c:pt idx="144">
                  <c:v>0</c:v>
                </c:pt>
                <c:pt idx="145">
                  <c:v>0</c:v>
                </c:pt>
                <c:pt idx="146">
                  <c:v>0</c:v>
                </c:pt>
                <c:pt idx="147">
                  <c:v>0</c:v>
                </c:pt>
                <c:pt idx="148">
                  <c:v>0</c:v>
                </c:pt>
                <c:pt idx="149">
                  <c:v>0</c:v>
                </c:pt>
                <c:pt idx="150">
                  <c:v>0</c:v>
                </c:pt>
                <c:pt idx="151">
                  <c:v>0</c:v>
                </c:pt>
                <c:pt idx="152">
                  <c:v>0</c:v>
                </c:pt>
                <c:pt idx="153">
                  <c:v>0</c:v>
                </c:pt>
                <c:pt idx="154">
                  <c:v>0</c:v>
                </c:pt>
                <c:pt idx="155">
                  <c:v>0</c:v>
                </c:pt>
                <c:pt idx="156">
                  <c:v>0</c:v>
                </c:pt>
                <c:pt idx="157">
                  <c:v>0</c:v>
                </c:pt>
                <c:pt idx="158">
                  <c:v>0</c:v>
                </c:pt>
                <c:pt idx="159">
                  <c:v>0</c:v>
                </c:pt>
                <c:pt idx="160">
                  <c:v>0</c:v>
                </c:pt>
                <c:pt idx="161">
                  <c:v>0</c:v>
                </c:pt>
                <c:pt idx="162">
                  <c:v>0</c:v>
                </c:pt>
                <c:pt idx="163">
                  <c:v>0</c:v>
                </c:pt>
                <c:pt idx="164">
                  <c:v>0</c:v>
                </c:pt>
                <c:pt idx="165">
                  <c:v>0</c:v>
                </c:pt>
                <c:pt idx="166">
                  <c:v>0</c:v>
                </c:pt>
                <c:pt idx="167">
                  <c:v>0</c:v>
                </c:pt>
                <c:pt idx="168">
                  <c:v>0</c:v>
                </c:pt>
                <c:pt idx="169">
                  <c:v>0</c:v>
                </c:pt>
                <c:pt idx="170">
                  <c:v>0</c:v>
                </c:pt>
                <c:pt idx="171">
                  <c:v>0</c:v>
                </c:pt>
                <c:pt idx="172">
                  <c:v>0</c:v>
                </c:pt>
                <c:pt idx="173">
                  <c:v>0</c:v>
                </c:pt>
                <c:pt idx="174">
                  <c:v>0</c:v>
                </c:pt>
                <c:pt idx="175">
                  <c:v>0</c:v>
                </c:pt>
                <c:pt idx="176">
                  <c:v>0</c:v>
                </c:pt>
                <c:pt idx="177">
                  <c:v>0</c:v>
                </c:pt>
                <c:pt idx="178">
                  <c:v>0</c:v>
                </c:pt>
                <c:pt idx="179">
                  <c:v>0</c:v>
                </c:pt>
                <c:pt idx="180">
                  <c:v>0</c:v>
                </c:pt>
                <c:pt idx="181">
                  <c:v>0</c:v>
                </c:pt>
                <c:pt idx="182">
                  <c:v>0</c:v>
                </c:pt>
                <c:pt idx="183">
                  <c:v>0</c:v>
                </c:pt>
                <c:pt idx="184">
                  <c:v>0</c:v>
                </c:pt>
                <c:pt idx="185">
                  <c:v>0</c:v>
                </c:pt>
                <c:pt idx="186">
                  <c:v>0</c:v>
                </c:pt>
                <c:pt idx="187">
                  <c:v>0</c:v>
                </c:pt>
                <c:pt idx="188">
                  <c:v>0</c:v>
                </c:pt>
                <c:pt idx="189">
                  <c:v>0</c:v>
                </c:pt>
                <c:pt idx="190">
                  <c:v>0</c:v>
                </c:pt>
                <c:pt idx="191">
                  <c:v>0</c:v>
                </c:pt>
                <c:pt idx="192">
                  <c:v>0</c:v>
                </c:pt>
                <c:pt idx="193">
                  <c:v>0</c:v>
                </c:pt>
                <c:pt idx="194">
                  <c:v>0</c:v>
                </c:pt>
                <c:pt idx="195">
                  <c:v>0</c:v>
                </c:pt>
                <c:pt idx="196">
                  <c:v>0</c:v>
                </c:pt>
                <c:pt idx="197">
                  <c:v>0</c:v>
                </c:pt>
                <c:pt idx="198">
                  <c:v>0</c:v>
                </c:pt>
                <c:pt idx="199">
                  <c:v>0</c:v>
                </c:pt>
                <c:pt idx="200">
                  <c:v>0</c:v>
                </c:pt>
              </c:numCache>
            </c:numRef>
          </c:val>
          <c:extLst>
            <c:ext xmlns:c16="http://schemas.microsoft.com/office/drawing/2014/chart" uri="{C3380CC4-5D6E-409C-BE32-E72D297353CC}">
              <c16:uniqueId val="{0000000A-9161-490F-91EC-5745335BC484}"/>
            </c:ext>
          </c:extLst>
        </c:ser>
        <c:ser>
          <c:idx val="13"/>
          <c:order val="7"/>
          <c:tx>
            <c:strRef>
              <c:f>'Use this for graphs'!$H$1</c:f>
              <c:strCache>
                <c:ptCount val="1"/>
                <c:pt idx="0">
                  <c:v>Fed + State EITC</c:v>
                </c:pt>
              </c:strCache>
            </c:strRef>
          </c:tx>
          <c:spPr>
            <a:solidFill>
              <a:schemeClr val="accent2">
                <a:lumMod val="80000"/>
                <a:lumOff val="20000"/>
              </a:schemeClr>
            </a:solidFill>
            <a:ln>
              <a:noFill/>
            </a:ln>
            <a:effectLst/>
          </c:spPr>
          <c:cat>
            <c:numRef>
              <c:f>'Use this for graphs'!$A$2:$A$202</c:f>
              <c:numCache>
                <c:formatCode>"$"#,##0</c:formatCode>
                <c:ptCount val="201"/>
                <c:pt idx="0">
                  <c:v>0</c:v>
                </c:pt>
                <c:pt idx="1">
                  <c:v>500</c:v>
                </c:pt>
                <c:pt idx="2">
                  <c:v>1000</c:v>
                </c:pt>
                <c:pt idx="3">
                  <c:v>1500</c:v>
                </c:pt>
                <c:pt idx="4">
                  <c:v>2000</c:v>
                </c:pt>
                <c:pt idx="5">
                  <c:v>2500</c:v>
                </c:pt>
                <c:pt idx="6">
                  <c:v>3000</c:v>
                </c:pt>
                <c:pt idx="7">
                  <c:v>3500</c:v>
                </c:pt>
                <c:pt idx="8">
                  <c:v>4000</c:v>
                </c:pt>
                <c:pt idx="9">
                  <c:v>4500</c:v>
                </c:pt>
                <c:pt idx="10">
                  <c:v>5000</c:v>
                </c:pt>
                <c:pt idx="11">
                  <c:v>5500</c:v>
                </c:pt>
                <c:pt idx="12">
                  <c:v>6000</c:v>
                </c:pt>
                <c:pt idx="13">
                  <c:v>6500</c:v>
                </c:pt>
                <c:pt idx="14">
                  <c:v>7000</c:v>
                </c:pt>
                <c:pt idx="15">
                  <c:v>7500</c:v>
                </c:pt>
                <c:pt idx="16">
                  <c:v>8000</c:v>
                </c:pt>
                <c:pt idx="17">
                  <c:v>8500</c:v>
                </c:pt>
                <c:pt idx="18">
                  <c:v>9000</c:v>
                </c:pt>
                <c:pt idx="19">
                  <c:v>9500</c:v>
                </c:pt>
                <c:pt idx="20">
                  <c:v>10000</c:v>
                </c:pt>
                <c:pt idx="21">
                  <c:v>10500</c:v>
                </c:pt>
                <c:pt idx="22">
                  <c:v>11000</c:v>
                </c:pt>
                <c:pt idx="23">
                  <c:v>11500</c:v>
                </c:pt>
                <c:pt idx="24">
                  <c:v>12000</c:v>
                </c:pt>
                <c:pt idx="25">
                  <c:v>12500</c:v>
                </c:pt>
                <c:pt idx="26">
                  <c:v>13000</c:v>
                </c:pt>
                <c:pt idx="27">
                  <c:v>13500</c:v>
                </c:pt>
                <c:pt idx="28">
                  <c:v>14000</c:v>
                </c:pt>
                <c:pt idx="29">
                  <c:v>14500</c:v>
                </c:pt>
                <c:pt idx="30">
                  <c:v>15000</c:v>
                </c:pt>
                <c:pt idx="31">
                  <c:v>15500</c:v>
                </c:pt>
                <c:pt idx="32">
                  <c:v>16000</c:v>
                </c:pt>
                <c:pt idx="33">
                  <c:v>16500</c:v>
                </c:pt>
                <c:pt idx="34">
                  <c:v>17000</c:v>
                </c:pt>
                <c:pt idx="35">
                  <c:v>17500</c:v>
                </c:pt>
                <c:pt idx="36">
                  <c:v>18000</c:v>
                </c:pt>
                <c:pt idx="37">
                  <c:v>18500</c:v>
                </c:pt>
                <c:pt idx="38">
                  <c:v>19000</c:v>
                </c:pt>
                <c:pt idx="39">
                  <c:v>19500</c:v>
                </c:pt>
                <c:pt idx="40">
                  <c:v>20000</c:v>
                </c:pt>
                <c:pt idx="41">
                  <c:v>20500</c:v>
                </c:pt>
                <c:pt idx="42">
                  <c:v>21000</c:v>
                </c:pt>
                <c:pt idx="43">
                  <c:v>21500</c:v>
                </c:pt>
                <c:pt idx="44">
                  <c:v>22000</c:v>
                </c:pt>
                <c:pt idx="45">
                  <c:v>22500</c:v>
                </c:pt>
                <c:pt idx="46">
                  <c:v>23000</c:v>
                </c:pt>
                <c:pt idx="47">
                  <c:v>23500</c:v>
                </c:pt>
                <c:pt idx="48">
                  <c:v>24000</c:v>
                </c:pt>
                <c:pt idx="49">
                  <c:v>24500</c:v>
                </c:pt>
                <c:pt idx="50">
                  <c:v>25000</c:v>
                </c:pt>
                <c:pt idx="51">
                  <c:v>25500</c:v>
                </c:pt>
                <c:pt idx="52">
                  <c:v>26000</c:v>
                </c:pt>
                <c:pt idx="53">
                  <c:v>26500</c:v>
                </c:pt>
                <c:pt idx="54">
                  <c:v>27000</c:v>
                </c:pt>
                <c:pt idx="55">
                  <c:v>27500</c:v>
                </c:pt>
                <c:pt idx="56">
                  <c:v>28000</c:v>
                </c:pt>
                <c:pt idx="57">
                  <c:v>28500</c:v>
                </c:pt>
                <c:pt idx="58">
                  <c:v>29000</c:v>
                </c:pt>
                <c:pt idx="59">
                  <c:v>29500</c:v>
                </c:pt>
                <c:pt idx="60">
                  <c:v>30000</c:v>
                </c:pt>
                <c:pt idx="61">
                  <c:v>30500</c:v>
                </c:pt>
                <c:pt idx="62">
                  <c:v>31000</c:v>
                </c:pt>
                <c:pt idx="63">
                  <c:v>31500</c:v>
                </c:pt>
                <c:pt idx="64">
                  <c:v>32000</c:v>
                </c:pt>
                <c:pt idx="65">
                  <c:v>32500</c:v>
                </c:pt>
                <c:pt idx="66">
                  <c:v>33000</c:v>
                </c:pt>
                <c:pt idx="67">
                  <c:v>33500</c:v>
                </c:pt>
                <c:pt idx="68">
                  <c:v>34000</c:v>
                </c:pt>
                <c:pt idx="69">
                  <c:v>34500</c:v>
                </c:pt>
                <c:pt idx="70">
                  <c:v>35000</c:v>
                </c:pt>
                <c:pt idx="71">
                  <c:v>35500</c:v>
                </c:pt>
                <c:pt idx="72">
                  <c:v>36000</c:v>
                </c:pt>
                <c:pt idx="73">
                  <c:v>36500</c:v>
                </c:pt>
                <c:pt idx="74">
                  <c:v>37000</c:v>
                </c:pt>
                <c:pt idx="75">
                  <c:v>37500</c:v>
                </c:pt>
                <c:pt idx="76">
                  <c:v>38000</c:v>
                </c:pt>
                <c:pt idx="77">
                  <c:v>38500</c:v>
                </c:pt>
                <c:pt idx="78">
                  <c:v>39000</c:v>
                </c:pt>
                <c:pt idx="79">
                  <c:v>39500</c:v>
                </c:pt>
                <c:pt idx="80">
                  <c:v>40000</c:v>
                </c:pt>
                <c:pt idx="81">
                  <c:v>40500</c:v>
                </c:pt>
                <c:pt idx="82">
                  <c:v>41000</c:v>
                </c:pt>
                <c:pt idx="83">
                  <c:v>41500</c:v>
                </c:pt>
                <c:pt idx="84">
                  <c:v>42000</c:v>
                </c:pt>
                <c:pt idx="85">
                  <c:v>42500</c:v>
                </c:pt>
                <c:pt idx="86">
                  <c:v>43000</c:v>
                </c:pt>
                <c:pt idx="87">
                  <c:v>43500</c:v>
                </c:pt>
                <c:pt idx="88">
                  <c:v>44000</c:v>
                </c:pt>
                <c:pt idx="89">
                  <c:v>44500</c:v>
                </c:pt>
                <c:pt idx="90">
                  <c:v>45000</c:v>
                </c:pt>
                <c:pt idx="91">
                  <c:v>45500</c:v>
                </c:pt>
                <c:pt idx="92">
                  <c:v>46000</c:v>
                </c:pt>
                <c:pt idx="93">
                  <c:v>46500</c:v>
                </c:pt>
                <c:pt idx="94">
                  <c:v>47000</c:v>
                </c:pt>
                <c:pt idx="95">
                  <c:v>47500</c:v>
                </c:pt>
                <c:pt idx="96">
                  <c:v>48000</c:v>
                </c:pt>
                <c:pt idx="97">
                  <c:v>48500</c:v>
                </c:pt>
                <c:pt idx="98">
                  <c:v>49000</c:v>
                </c:pt>
                <c:pt idx="99">
                  <c:v>49500</c:v>
                </c:pt>
                <c:pt idx="100">
                  <c:v>50000</c:v>
                </c:pt>
                <c:pt idx="101">
                  <c:v>50500</c:v>
                </c:pt>
                <c:pt idx="102">
                  <c:v>51000</c:v>
                </c:pt>
                <c:pt idx="103">
                  <c:v>51500</c:v>
                </c:pt>
                <c:pt idx="104">
                  <c:v>52000</c:v>
                </c:pt>
                <c:pt idx="105">
                  <c:v>52500</c:v>
                </c:pt>
                <c:pt idx="106">
                  <c:v>53000</c:v>
                </c:pt>
                <c:pt idx="107">
                  <c:v>53500</c:v>
                </c:pt>
                <c:pt idx="108">
                  <c:v>54000</c:v>
                </c:pt>
                <c:pt idx="109">
                  <c:v>54500</c:v>
                </c:pt>
                <c:pt idx="110">
                  <c:v>55000</c:v>
                </c:pt>
                <c:pt idx="111">
                  <c:v>55500</c:v>
                </c:pt>
                <c:pt idx="112">
                  <c:v>56000</c:v>
                </c:pt>
                <c:pt idx="113">
                  <c:v>56500</c:v>
                </c:pt>
                <c:pt idx="114">
                  <c:v>57000</c:v>
                </c:pt>
                <c:pt idx="115">
                  <c:v>57500</c:v>
                </c:pt>
                <c:pt idx="116">
                  <c:v>58000</c:v>
                </c:pt>
                <c:pt idx="117">
                  <c:v>58500</c:v>
                </c:pt>
                <c:pt idx="118">
                  <c:v>59000</c:v>
                </c:pt>
                <c:pt idx="119">
                  <c:v>59500</c:v>
                </c:pt>
                <c:pt idx="120">
                  <c:v>60000</c:v>
                </c:pt>
                <c:pt idx="121">
                  <c:v>60500</c:v>
                </c:pt>
                <c:pt idx="122">
                  <c:v>61000</c:v>
                </c:pt>
                <c:pt idx="123">
                  <c:v>61500</c:v>
                </c:pt>
                <c:pt idx="124">
                  <c:v>62000</c:v>
                </c:pt>
                <c:pt idx="125">
                  <c:v>62500</c:v>
                </c:pt>
                <c:pt idx="126">
                  <c:v>63000</c:v>
                </c:pt>
                <c:pt idx="127">
                  <c:v>63500</c:v>
                </c:pt>
                <c:pt idx="128">
                  <c:v>64000</c:v>
                </c:pt>
                <c:pt idx="129">
                  <c:v>64500</c:v>
                </c:pt>
                <c:pt idx="130">
                  <c:v>65000</c:v>
                </c:pt>
                <c:pt idx="131">
                  <c:v>65500</c:v>
                </c:pt>
                <c:pt idx="132">
                  <c:v>66000</c:v>
                </c:pt>
                <c:pt idx="133">
                  <c:v>66500</c:v>
                </c:pt>
                <c:pt idx="134">
                  <c:v>67000</c:v>
                </c:pt>
                <c:pt idx="135">
                  <c:v>67500</c:v>
                </c:pt>
                <c:pt idx="136">
                  <c:v>68000</c:v>
                </c:pt>
                <c:pt idx="137">
                  <c:v>68500</c:v>
                </c:pt>
                <c:pt idx="138">
                  <c:v>69000</c:v>
                </c:pt>
                <c:pt idx="139">
                  <c:v>69500</c:v>
                </c:pt>
                <c:pt idx="140">
                  <c:v>70000</c:v>
                </c:pt>
                <c:pt idx="141">
                  <c:v>70500</c:v>
                </c:pt>
                <c:pt idx="142">
                  <c:v>71000</c:v>
                </c:pt>
                <c:pt idx="143">
                  <c:v>71500</c:v>
                </c:pt>
                <c:pt idx="144">
                  <c:v>72000</c:v>
                </c:pt>
                <c:pt idx="145">
                  <c:v>72500</c:v>
                </c:pt>
                <c:pt idx="146">
                  <c:v>73000</c:v>
                </c:pt>
                <c:pt idx="147">
                  <c:v>73500</c:v>
                </c:pt>
                <c:pt idx="148">
                  <c:v>74000</c:v>
                </c:pt>
                <c:pt idx="149">
                  <c:v>74500</c:v>
                </c:pt>
                <c:pt idx="150">
                  <c:v>75000</c:v>
                </c:pt>
                <c:pt idx="151">
                  <c:v>75500</c:v>
                </c:pt>
                <c:pt idx="152">
                  <c:v>76000</c:v>
                </c:pt>
                <c:pt idx="153">
                  <c:v>76500</c:v>
                </c:pt>
                <c:pt idx="154">
                  <c:v>77000</c:v>
                </c:pt>
                <c:pt idx="155">
                  <c:v>77500</c:v>
                </c:pt>
                <c:pt idx="156">
                  <c:v>78000</c:v>
                </c:pt>
                <c:pt idx="157">
                  <c:v>78500</c:v>
                </c:pt>
                <c:pt idx="158">
                  <c:v>79000</c:v>
                </c:pt>
                <c:pt idx="159">
                  <c:v>79500</c:v>
                </c:pt>
                <c:pt idx="160">
                  <c:v>80000</c:v>
                </c:pt>
                <c:pt idx="161">
                  <c:v>80500</c:v>
                </c:pt>
                <c:pt idx="162">
                  <c:v>81000</c:v>
                </c:pt>
                <c:pt idx="163">
                  <c:v>81500</c:v>
                </c:pt>
                <c:pt idx="164">
                  <c:v>82000</c:v>
                </c:pt>
                <c:pt idx="165">
                  <c:v>82500</c:v>
                </c:pt>
                <c:pt idx="166">
                  <c:v>83000</c:v>
                </c:pt>
                <c:pt idx="167">
                  <c:v>83500</c:v>
                </c:pt>
                <c:pt idx="168">
                  <c:v>84000</c:v>
                </c:pt>
                <c:pt idx="169">
                  <c:v>84500</c:v>
                </c:pt>
                <c:pt idx="170">
                  <c:v>85000</c:v>
                </c:pt>
                <c:pt idx="171">
                  <c:v>85500</c:v>
                </c:pt>
                <c:pt idx="172">
                  <c:v>86000</c:v>
                </c:pt>
                <c:pt idx="173">
                  <c:v>86500</c:v>
                </c:pt>
                <c:pt idx="174">
                  <c:v>87000</c:v>
                </c:pt>
                <c:pt idx="175">
                  <c:v>87500</c:v>
                </c:pt>
                <c:pt idx="176">
                  <c:v>88000</c:v>
                </c:pt>
                <c:pt idx="177">
                  <c:v>88500</c:v>
                </c:pt>
                <c:pt idx="178">
                  <c:v>89000</c:v>
                </c:pt>
                <c:pt idx="179">
                  <c:v>89500</c:v>
                </c:pt>
                <c:pt idx="180">
                  <c:v>90000</c:v>
                </c:pt>
                <c:pt idx="181">
                  <c:v>90500</c:v>
                </c:pt>
                <c:pt idx="182">
                  <c:v>91000</c:v>
                </c:pt>
                <c:pt idx="183">
                  <c:v>91500</c:v>
                </c:pt>
                <c:pt idx="184">
                  <c:v>92000</c:v>
                </c:pt>
                <c:pt idx="185">
                  <c:v>92500</c:v>
                </c:pt>
                <c:pt idx="186">
                  <c:v>93000</c:v>
                </c:pt>
                <c:pt idx="187">
                  <c:v>93500</c:v>
                </c:pt>
                <c:pt idx="188">
                  <c:v>94000</c:v>
                </c:pt>
                <c:pt idx="189">
                  <c:v>94500</c:v>
                </c:pt>
                <c:pt idx="190">
                  <c:v>95000</c:v>
                </c:pt>
                <c:pt idx="191">
                  <c:v>95500</c:v>
                </c:pt>
                <c:pt idx="192">
                  <c:v>96000</c:v>
                </c:pt>
                <c:pt idx="193">
                  <c:v>96500</c:v>
                </c:pt>
                <c:pt idx="194">
                  <c:v>97000</c:v>
                </c:pt>
                <c:pt idx="195">
                  <c:v>97500</c:v>
                </c:pt>
                <c:pt idx="196">
                  <c:v>98000</c:v>
                </c:pt>
                <c:pt idx="197">
                  <c:v>98500</c:v>
                </c:pt>
                <c:pt idx="198">
                  <c:v>99000</c:v>
                </c:pt>
                <c:pt idx="199">
                  <c:v>99500</c:v>
                </c:pt>
                <c:pt idx="200">
                  <c:v>100000</c:v>
                </c:pt>
              </c:numCache>
            </c:numRef>
          </c:cat>
          <c:val>
            <c:numRef>
              <c:f>'Use this for graphs'!$H$2:$H$202</c:f>
              <c:numCache>
                <c:formatCode>"$"#,##0</c:formatCode>
                <c:ptCount val="201"/>
                <c:pt idx="0" formatCode="&quot;$&quot;#,##0.00">
                  <c:v>0</c:v>
                </c:pt>
                <c:pt idx="1">
                  <c:v>204</c:v>
                </c:pt>
                <c:pt idx="2">
                  <c:v>408</c:v>
                </c:pt>
                <c:pt idx="3">
                  <c:v>612.00000000000011</c:v>
                </c:pt>
                <c:pt idx="4">
                  <c:v>816</c:v>
                </c:pt>
                <c:pt idx="5">
                  <c:v>1020.0000000000001</c:v>
                </c:pt>
                <c:pt idx="6">
                  <c:v>1224.0000000000002</c:v>
                </c:pt>
                <c:pt idx="7">
                  <c:v>1428</c:v>
                </c:pt>
                <c:pt idx="8">
                  <c:v>1632</c:v>
                </c:pt>
                <c:pt idx="9">
                  <c:v>1836</c:v>
                </c:pt>
                <c:pt idx="10">
                  <c:v>2040.0000000000002</c:v>
                </c:pt>
                <c:pt idx="11">
                  <c:v>2244.0000000000005</c:v>
                </c:pt>
                <c:pt idx="12">
                  <c:v>2448.0000000000005</c:v>
                </c:pt>
                <c:pt idx="13">
                  <c:v>2652</c:v>
                </c:pt>
                <c:pt idx="14">
                  <c:v>2856</c:v>
                </c:pt>
                <c:pt idx="15">
                  <c:v>3060</c:v>
                </c:pt>
                <c:pt idx="16">
                  <c:v>3264</c:v>
                </c:pt>
                <c:pt idx="17">
                  <c:v>3468</c:v>
                </c:pt>
                <c:pt idx="18">
                  <c:v>3672</c:v>
                </c:pt>
                <c:pt idx="19">
                  <c:v>3876.0000000000005</c:v>
                </c:pt>
                <c:pt idx="20">
                  <c:v>4080.0000000000005</c:v>
                </c:pt>
                <c:pt idx="21">
                  <c:v>4284.0000000000009</c:v>
                </c:pt>
                <c:pt idx="22">
                  <c:v>4488.0000000000009</c:v>
                </c:pt>
                <c:pt idx="23">
                  <c:v>4692.0000000000009</c:v>
                </c:pt>
                <c:pt idx="24">
                  <c:v>4896.0000000000009</c:v>
                </c:pt>
                <c:pt idx="25">
                  <c:v>5100</c:v>
                </c:pt>
                <c:pt idx="26">
                  <c:v>5304</c:v>
                </c:pt>
                <c:pt idx="27">
                  <c:v>5312.4</c:v>
                </c:pt>
                <c:pt idx="28">
                  <c:v>5312.4</c:v>
                </c:pt>
                <c:pt idx="29">
                  <c:v>5312.4</c:v>
                </c:pt>
                <c:pt idx="30">
                  <c:v>5312.4</c:v>
                </c:pt>
                <c:pt idx="31">
                  <c:v>5312.4</c:v>
                </c:pt>
                <c:pt idx="32">
                  <c:v>5312.4</c:v>
                </c:pt>
                <c:pt idx="33">
                  <c:v>5312.4</c:v>
                </c:pt>
                <c:pt idx="34">
                  <c:v>5312.4</c:v>
                </c:pt>
                <c:pt idx="35">
                  <c:v>5312.4</c:v>
                </c:pt>
                <c:pt idx="36">
                  <c:v>5312.4</c:v>
                </c:pt>
                <c:pt idx="37">
                  <c:v>5312.4</c:v>
                </c:pt>
                <c:pt idx="38">
                  <c:v>5312.4</c:v>
                </c:pt>
                <c:pt idx="39">
                  <c:v>5312.4</c:v>
                </c:pt>
                <c:pt idx="40">
                  <c:v>5312.4</c:v>
                </c:pt>
                <c:pt idx="41">
                  <c:v>5312.4</c:v>
                </c:pt>
                <c:pt idx="42">
                  <c:v>5312.4</c:v>
                </c:pt>
                <c:pt idx="43">
                  <c:v>5312.4</c:v>
                </c:pt>
                <c:pt idx="44">
                  <c:v>5312.4</c:v>
                </c:pt>
                <c:pt idx="45">
                  <c:v>5312.4</c:v>
                </c:pt>
                <c:pt idx="46">
                  <c:v>5312.4</c:v>
                </c:pt>
                <c:pt idx="47">
                  <c:v>5312.4</c:v>
                </c:pt>
                <c:pt idx="48">
                  <c:v>5291.4981600000001</c:v>
                </c:pt>
                <c:pt idx="49">
                  <c:v>5195.61816</c:v>
                </c:pt>
                <c:pt idx="50">
                  <c:v>5099.7381599999999</c:v>
                </c:pt>
                <c:pt idx="51">
                  <c:v>5003.8581599999998</c:v>
                </c:pt>
                <c:pt idx="52">
                  <c:v>4907.9781600000006</c:v>
                </c:pt>
                <c:pt idx="53">
                  <c:v>4812.0981599999996</c:v>
                </c:pt>
                <c:pt idx="54">
                  <c:v>4716.2181600000004</c:v>
                </c:pt>
                <c:pt idx="55">
                  <c:v>4620.3381599999993</c:v>
                </c:pt>
                <c:pt idx="56">
                  <c:v>4524.4581600000001</c:v>
                </c:pt>
                <c:pt idx="57">
                  <c:v>4428.57816</c:v>
                </c:pt>
                <c:pt idx="58">
                  <c:v>4332.6981599999999</c:v>
                </c:pt>
                <c:pt idx="59">
                  <c:v>4236.8181600000007</c:v>
                </c:pt>
                <c:pt idx="60">
                  <c:v>4140.9381599999997</c:v>
                </c:pt>
                <c:pt idx="61">
                  <c:v>4045.05816</c:v>
                </c:pt>
                <c:pt idx="62">
                  <c:v>3949.1781599999999</c:v>
                </c:pt>
                <c:pt idx="63">
                  <c:v>3853.2981599999998</c:v>
                </c:pt>
                <c:pt idx="64">
                  <c:v>3757.4181600000002</c:v>
                </c:pt>
                <c:pt idx="65">
                  <c:v>3661.5381599999996</c:v>
                </c:pt>
                <c:pt idx="66">
                  <c:v>3565.65816</c:v>
                </c:pt>
                <c:pt idx="67">
                  <c:v>3469.7781599999998</c:v>
                </c:pt>
                <c:pt idx="68">
                  <c:v>3373.8981599999997</c:v>
                </c:pt>
                <c:pt idx="69">
                  <c:v>3278.0181600000005</c:v>
                </c:pt>
                <c:pt idx="70">
                  <c:v>3182.1381599999995</c:v>
                </c:pt>
                <c:pt idx="71">
                  <c:v>3086.2581600000003</c:v>
                </c:pt>
                <c:pt idx="72">
                  <c:v>2990.3781600000002</c:v>
                </c:pt>
                <c:pt idx="73">
                  <c:v>2894.4981600000001</c:v>
                </c:pt>
                <c:pt idx="74">
                  <c:v>2798.61816</c:v>
                </c:pt>
                <c:pt idx="75">
                  <c:v>2702.7381600000003</c:v>
                </c:pt>
                <c:pt idx="76">
                  <c:v>2606.8581600000002</c:v>
                </c:pt>
                <c:pt idx="77">
                  <c:v>2510.9781600000001</c:v>
                </c:pt>
                <c:pt idx="78">
                  <c:v>2415.09816</c:v>
                </c:pt>
                <c:pt idx="79">
                  <c:v>2319.2181599999999</c:v>
                </c:pt>
                <c:pt idx="80">
                  <c:v>2223.3381600000002</c:v>
                </c:pt>
                <c:pt idx="81">
                  <c:v>2127.4581600000001</c:v>
                </c:pt>
                <c:pt idx="82">
                  <c:v>2031.57816</c:v>
                </c:pt>
                <c:pt idx="83">
                  <c:v>1935.6981599999999</c:v>
                </c:pt>
                <c:pt idx="84">
                  <c:v>1839.8181599999998</c:v>
                </c:pt>
                <c:pt idx="85">
                  <c:v>1743.9381600000002</c:v>
                </c:pt>
                <c:pt idx="86">
                  <c:v>1648.05816</c:v>
                </c:pt>
                <c:pt idx="87">
                  <c:v>1552.1781599999999</c:v>
                </c:pt>
                <c:pt idx="88">
                  <c:v>1456.2981599999998</c:v>
                </c:pt>
                <c:pt idx="89">
                  <c:v>1360.4181599999997</c:v>
                </c:pt>
                <c:pt idx="90">
                  <c:v>1264.5381600000003</c:v>
                </c:pt>
                <c:pt idx="91">
                  <c:v>1168.6581600000002</c:v>
                </c:pt>
                <c:pt idx="92">
                  <c:v>1072.7781600000001</c:v>
                </c:pt>
                <c:pt idx="93">
                  <c:v>976.89815999999996</c:v>
                </c:pt>
                <c:pt idx="94">
                  <c:v>881.01815999999985</c:v>
                </c:pt>
                <c:pt idx="95">
                  <c:v>785.1381600000002</c:v>
                </c:pt>
                <c:pt idx="96">
                  <c:v>689.25816000000009</c:v>
                </c:pt>
                <c:pt idx="97">
                  <c:v>593.37815999999998</c:v>
                </c:pt>
                <c:pt idx="98">
                  <c:v>497.49815999999993</c:v>
                </c:pt>
                <c:pt idx="99">
                  <c:v>401.61815999999982</c:v>
                </c:pt>
                <c:pt idx="100">
                  <c:v>305.73815999999971</c:v>
                </c:pt>
                <c:pt idx="101">
                  <c:v>0</c:v>
                </c:pt>
                <c:pt idx="102">
                  <c:v>0</c:v>
                </c:pt>
                <c:pt idx="103">
                  <c:v>0</c:v>
                </c:pt>
                <c:pt idx="104">
                  <c:v>0</c:v>
                </c:pt>
                <c:pt idx="105">
                  <c:v>0</c:v>
                </c:pt>
                <c:pt idx="106">
                  <c:v>0</c:v>
                </c:pt>
                <c:pt idx="107">
                  <c:v>0</c:v>
                </c:pt>
                <c:pt idx="108">
                  <c:v>0</c:v>
                </c:pt>
                <c:pt idx="109">
                  <c:v>0</c:v>
                </c:pt>
                <c:pt idx="110">
                  <c:v>0</c:v>
                </c:pt>
                <c:pt idx="111">
                  <c:v>0</c:v>
                </c:pt>
                <c:pt idx="112">
                  <c:v>0</c:v>
                </c:pt>
                <c:pt idx="113">
                  <c:v>0</c:v>
                </c:pt>
                <c:pt idx="114">
                  <c:v>0</c:v>
                </c:pt>
                <c:pt idx="115">
                  <c:v>0</c:v>
                </c:pt>
                <c:pt idx="116">
                  <c:v>0</c:v>
                </c:pt>
                <c:pt idx="117">
                  <c:v>0</c:v>
                </c:pt>
                <c:pt idx="118">
                  <c:v>0</c:v>
                </c:pt>
                <c:pt idx="119">
                  <c:v>0</c:v>
                </c:pt>
                <c:pt idx="120">
                  <c:v>0</c:v>
                </c:pt>
                <c:pt idx="121">
                  <c:v>0</c:v>
                </c:pt>
                <c:pt idx="122">
                  <c:v>0</c:v>
                </c:pt>
                <c:pt idx="123">
                  <c:v>0</c:v>
                </c:pt>
                <c:pt idx="124">
                  <c:v>0</c:v>
                </c:pt>
                <c:pt idx="125">
                  <c:v>0</c:v>
                </c:pt>
                <c:pt idx="126">
                  <c:v>0</c:v>
                </c:pt>
                <c:pt idx="127">
                  <c:v>0</c:v>
                </c:pt>
                <c:pt idx="128">
                  <c:v>0</c:v>
                </c:pt>
                <c:pt idx="129">
                  <c:v>0</c:v>
                </c:pt>
                <c:pt idx="130">
                  <c:v>0</c:v>
                </c:pt>
                <c:pt idx="131">
                  <c:v>0</c:v>
                </c:pt>
                <c:pt idx="132">
                  <c:v>0</c:v>
                </c:pt>
                <c:pt idx="133">
                  <c:v>0</c:v>
                </c:pt>
                <c:pt idx="134">
                  <c:v>0</c:v>
                </c:pt>
                <c:pt idx="135">
                  <c:v>0</c:v>
                </c:pt>
                <c:pt idx="136">
                  <c:v>0</c:v>
                </c:pt>
                <c:pt idx="137">
                  <c:v>0</c:v>
                </c:pt>
                <c:pt idx="138">
                  <c:v>0</c:v>
                </c:pt>
                <c:pt idx="139">
                  <c:v>0</c:v>
                </c:pt>
                <c:pt idx="140">
                  <c:v>0</c:v>
                </c:pt>
                <c:pt idx="141">
                  <c:v>0</c:v>
                </c:pt>
                <c:pt idx="142">
                  <c:v>0</c:v>
                </c:pt>
                <c:pt idx="143">
                  <c:v>0</c:v>
                </c:pt>
                <c:pt idx="144">
                  <c:v>0</c:v>
                </c:pt>
                <c:pt idx="145">
                  <c:v>0</c:v>
                </c:pt>
                <c:pt idx="146">
                  <c:v>0</c:v>
                </c:pt>
                <c:pt idx="147">
                  <c:v>0</c:v>
                </c:pt>
                <c:pt idx="148">
                  <c:v>0</c:v>
                </c:pt>
                <c:pt idx="149">
                  <c:v>0</c:v>
                </c:pt>
                <c:pt idx="150">
                  <c:v>0</c:v>
                </c:pt>
                <c:pt idx="151">
                  <c:v>0</c:v>
                </c:pt>
                <c:pt idx="152">
                  <c:v>0</c:v>
                </c:pt>
                <c:pt idx="153">
                  <c:v>0</c:v>
                </c:pt>
                <c:pt idx="154">
                  <c:v>0</c:v>
                </c:pt>
                <c:pt idx="155">
                  <c:v>0</c:v>
                </c:pt>
                <c:pt idx="156">
                  <c:v>0</c:v>
                </c:pt>
                <c:pt idx="157">
                  <c:v>0</c:v>
                </c:pt>
                <c:pt idx="158">
                  <c:v>0</c:v>
                </c:pt>
                <c:pt idx="159">
                  <c:v>0</c:v>
                </c:pt>
                <c:pt idx="160">
                  <c:v>0</c:v>
                </c:pt>
                <c:pt idx="161">
                  <c:v>0</c:v>
                </c:pt>
                <c:pt idx="162">
                  <c:v>0</c:v>
                </c:pt>
                <c:pt idx="163">
                  <c:v>0</c:v>
                </c:pt>
                <c:pt idx="164">
                  <c:v>0</c:v>
                </c:pt>
                <c:pt idx="165">
                  <c:v>0</c:v>
                </c:pt>
                <c:pt idx="166">
                  <c:v>0</c:v>
                </c:pt>
                <c:pt idx="167">
                  <c:v>0</c:v>
                </c:pt>
                <c:pt idx="168">
                  <c:v>0</c:v>
                </c:pt>
                <c:pt idx="169">
                  <c:v>0</c:v>
                </c:pt>
                <c:pt idx="170">
                  <c:v>0</c:v>
                </c:pt>
                <c:pt idx="171">
                  <c:v>0</c:v>
                </c:pt>
                <c:pt idx="172">
                  <c:v>0</c:v>
                </c:pt>
                <c:pt idx="173">
                  <c:v>0</c:v>
                </c:pt>
                <c:pt idx="174">
                  <c:v>0</c:v>
                </c:pt>
                <c:pt idx="175">
                  <c:v>0</c:v>
                </c:pt>
                <c:pt idx="176">
                  <c:v>0</c:v>
                </c:pt>
                <c:pt idx="177">
                  <c:v>0</c:v>
                </c:pt>
                <c:pt idx="178">
                  <c:v>0</c:v>
                </c:pt>
                <c:pt idx="179">
                  <c:v>0</c:v>
                </c:pt>
                <c:pt idx="180">
                  <c:v>0</c:v>
                </c:pt>
                <c:pt idx="181">
                  <c:v>0</c:v>
                </c:pt>
                <c:pt idx="182">
                  <c:v>0</c:v>
                </c:pt>
                <c:pt idx="183">
                  <c:v>0</c:v>
                </c:pt>
                <c:pt idx="184">
                  <c:v>0</c:v>
                </c:pt>
                <c:pt idx="185">
                  <c:v>0</c:v>
                </c:pt>
                <c:pt idx="186">
                  <c:v>0</c:v>
                </c:pt>
                <c:pt idx="187">
                  <c:v>0</c:v>
                </c:pt>
                <c:pt idx="188">
                  <c:v>0</c:v>
                </c:pt>
                <c:pt idx="189">
                  <c:v>0</c:v>
                </c:pt>
                <c:pt idx="190">
                  <c:v>0</c:v>
                </c:pt>
                <c:pt idx="191">
                  <c:v>0</c:v>
                </c:pt>
                <c:pt idx="192">
                  <c:v>0</c:v>
                </c:pt>
                <c:pt idx="193">
                  <c:v>0</c:v>
                </c:pt>
                <c:pt idx="194">
                  <c:v>0</c:v>
                </c:pt>
                <c:pt idx="195">
                  <c:v>0</c:v>
                </c:pt>
                <c:pt idx="196">
                  <c:v>0</c:v>
                </c:pt>
                <c:pt idx="197">
                  <c:v>0</c:v>
                </c:pt>
                <c:pt idx="198">
                  <c:v>0</c:v>
                </c:pt>
                <c:pt idx="199">
                  <c:v>0</c:v>
                </c:pt>
                <c:pt idx="200">
                  <c:v>0</c:v>
                </c:pt>
              </c:numCache>
            </c:numRef>
          </c:val>
          <c:extLst>
            <c:ext xmlns:c16="http://schemas.microsoft.com/office/drawing/2014/chart" uri="{C3380CC4-5D6E-409C-BE32-E72D297353CC}">
              <c16:uniqueId val="{0000000D-9161-490F-91EC-5745335BC484}"/>
            </c:ext>
          </c:extLst>
        </c:ser>
        <c:ser>
          <c:idx val="0"/>
          <c:order val="8"/>
          <c:tx>
            <c:strRef>
              <c:f>'Use this for graphs'!$I$1</c:f>
              <c:strCache>
                <c:ptCount val="1"/>
                <c:pt idx="0">
                  <c:v>Value of Medicaid</c:v>
                </c:pt>
              </c:strCache>
            </c:strRef>
          </c:tx>
          <c:spPr>
            <a:solidFill>
              <a:schemeClr val="accent1"/>
            </a:solidFill>
            <a:ln>
              <a:noFill/>
            </a:ln>
            <a:effectLst/>
          </c:spPr>
          <c:cat>
            <c:numRef>
              <c:f>'Use this for graphs'!$A$2:$A$202</c:f>
              <c:numCache>
                <c:formatCode>"$"#,##0</c:formatCode>
                <c:ptCount val="201"/>
                <c:pt idx="0">
                  <c:v>0</c:v>
                </c:pt>
                <c:pt idx="1">
                  <c:v>500</c:v>
                </c:pt>
                <c:pt idx="2">
                  <c:v>1000</c:v>
                </c:pt>
                <c:pt idx="3">
                  <c:v>1500</c:v>
                </c:pt>
                <c:pt idx="4">
                  <c:v>2000</c:v>
                </c:pt>
                <c:pt idx="5">
                  <c:v>2500</c:v>
                </c:pt>
                <c:pt idx="6">
                  <c:v>3000</c:v>
                </c:pt>
                <c:pt idx="7">
                  <c:v>3500</c:v>
                </c:pt>
                <c:pt idx="8">
                  <c:v>4000</c:v>
                </c:pt>
                <c:pt idx="9">
                  <c:v>4500</c:v>
                </c:pt>
                <c:pt idx="10">
                  <c:v>5000</c:v>
                </c:pt>
                <c:pt idx="11">
                  <c:v>5500</c:v>
                </c:pt>
                <c:pt idx="12">
                  <c:v>6000</c:v>
                </c:pt>
                <c:pt idx="13">
                  <c:v>6500</c:v>
                </c:pt>
                <c:pt idx="14">
                  <c:v>7000</c:v>
                </c:pt>
                <c:pt idx="15">
                  <c:v>7500</c:v>
                </c:pt>
                <c:pt idx="16">
                  <c:v>8000</c:v>
                </c:pt>
                <c:pt idx="17">
                  <c:v>8500</c:v>
                </c:pt>
                <c:pt idx="18">
                  <c:v>9000</c:v>
                </c:pt>
                <c:pt idx="19">
                  <c:v>9500</c:v>
                </c:pt>
                <c:pt idx="20">
                  <c:v>10000</c:v>
                </c:pt>
                <c:pt idx="21">
                  <c:v>10500</c:v>
                </c:pt>
                <c:pt idx="22">
                  <c:v>11000</c:v>
                </c:pt>
                <c:pt idx="23">
                  <c:v>11500</c:v>
                </c:pt>
                <c:pt idx="24">
                  <c:v>12000</c:v>
                </c:pt>
                <c:pt idx="25">
                  <c:v>12500</c:v>
                </c:pt>
                <c:pt idx="26">
                  <c:v>13000</c:v>
                </c:pt>
                <c:pt idx="27">
                  <c:v>13500</c:v>
                </c:pt>
                <c:pt idx="28">
                  <c:v>14000</c:v>
                </c:pt>
                <c:pt idx="29">
                  <c:v>14500</c:v>
                </c:pt>
                <c:pt idx="30">
                  <c:v>15000</c:v>
                </c:pt>
                <c:pt idx="31">
                  <c:v>15500</c:v>
                </c:pt>
                <c:pt idx="32">
                  <c:v>16000</c:v>
                </c:pt>
                <c:pt idx="33">
                  <c:v>16500</c:v>
                </c:pt>
                <c:pt idx="34">
                  <c:v>17000</c:v>
                </c:pt>
                <c:pt idx="35">
                  <c:v>17500</c:v>
                </c:pt>
                <c:pt idx="36">
                  <c:v>18000</c:v>
                </c:pt>
                <c:pt idx="37">
                  <c:v>18500</c:v>
                </c:pt>
                <c:pt idx="38">
                  <c:v>19000</c:v>
                </c:pt>
                <c:pt idx="39">
                  <c:v>19500</c:v>
                </c:pt>
                <c:pt idx="40">
                  <c:v>20000</c:v>
                </c:pt>
                <c:pt idx="41">
                  <c:v>20500</c:v>
                </c:pt>
                <c:pt idx="42">
                  <c:v>21000</c:v>
                </c:pt>
                <c:pt idx="43">
                  <c:v>21500</c:v>
                </c:pt>
                <c:pt idx="44">
                  <c:v>22000</c:v>
                </c:pt>
                <c:pt idx="45">
                  <c:v>22500</c:v>
                </c:pt>
                <c:pt idx="46">
                  <c:v>23000</c:v>
                </c:pt>
                <c:pt idx="47">
                  <c:v>23500</c:v>
                </c:pt>
                <c:pt idx="48">
                  <c:v>24000</c:v>
                </c:pt>
                <c:pt idx="49">
                  <c:v>24500</c:v>
                </c:pt>
                <c:pt idx="50">
                  <c:v>25000</c:v>
                </c:pt>
                <c:pt idx="51">
                  <c:v>25500</c:v>
                </c:pt>
                <c:pt idx="52">
                  <c:v>26000</c:v>
                </c:pt>
                <c:pt idx="53">
                  <c:v>26500</c:v>
                </c:pt>
                <c:pt idx="54">
                  <c:v>27000</c:v>
                </c:pt>
                <c:pt idx="55">
                  <c:v>27500</c:v>
                </c:pt>
                <c:pt idx="56">
                  <c:v>28000</c:v>
                </c:pt>
                <c:pt idx="57">
                  <c:v>28500</c:v>
                </c:pt>
                <c:pt idx="58">
                  <c:v>29000</c:v>
                </c:pt>
                <c:pt idx="59">
                  <c:v>29500</c:v>
                </c:pt>
                <c:pt idx="60">
                  <c:v>30000</c:v>
                </c:pt>
                <c:pt idx="61">
                  <c:v>30500</c:v>
                </c:pt>
                <c:pt idx="62">
                  <c:v>31000</c:v>
                </c:pt>
                <c:pt idx="63">
                  <c:v>31500</c:v>
                </c:pt>
                <c:pt idx="64">
                  <c:v>32000</c:v>
                </c:pt>
                <c:pt idx="65">
                  <c:v>32500</c:v>
                </c:pt>
                <c:pt idx="66">
                  <c:v>33000</c:v>
                </c:pt>
                <c:pt idx="67">
                  <c:v>33500</c:v>
                </c:pt>
                <c:pt idx="68">
                  <c:v>34000</c:v>
                </c:pt>
                <c:pt idx="69">
                  <c:v>34500</c:v>
                </c:pt>
                <c:pt idx="70">
                  <c:v>35000</c:v>
                </c:pt>
                <c:pt idx="71">
                  <c:v>35500</c:v>
                </c:pt>
                <c:pt idx="72">
                  <c:v>36000</c:v>
                </c:pt>
                <c:pt idx="73">
                  <c:v>36500</c:v>
                </c:pt>
                <c:pt idx="74">
                  <c:v>37000</c:v>
                </c:pt>
                <c:pt idx="75">
                  <c:v>37500</c:v>
                </c:pt>
                <c:pt idx="76">
                  <c:v>38000</c:v>
                </c:pt>
                <c:pt idx="77">
                  <c:v>38500</c:v>
                </c:pt>
                <c:pt idx="78">
                  <c:v>39000</c:v>
                </c:pt>
                <c:pt idx="79">
                  <c:v>39500</c:v>
                </c:pt>
                <c:pt idx="80">
                  <c:v>40000</c:v>
                </c:pt>
                <c:pt idx="81">
                  <c:v>40500</c:v>
                </c:pt>
                <c:pt idx="82">
                  <c:v>41000</c:v>
                </c:pt>
                <c:pt idx="83">
                  <c:v>41500</c:v>
                </c:pt>
                <c:pt idx="84">
                  <c:v>42000</c:v>
                </c:pt>
                <c:pt idx="85">
                  <c:v>42500</c:v>
                </c:pt>
                <c:pt idx="86">
                  <c:v>43000</c:v>
                </c:pt>
                <c:pt idx="87">
                  <c:v>43500</c:v>
                </c:pt>
                <c:pt idx="88">
                  <c:v>44000</c:v>
                </c:pt>
                <c:pt idx="89">
                  <c:v>44500</c:v>
                </c:pt>
                <c:pt idx="90">
                  <c:v>45000</c:v>
                </c:pt>
                <c:pt idx="91">
                  <c:v>45500</c:v>
                </c:pt>
                <c:pt idx="92">
                  <c:v>46000</c:v>
                </c:pt>
                <c:pt idx="93">
                  <c:v>46500</c:v>
                </c:pt>
                <c:pt idx="94">
                  <c:v>47000</c:v>
                </c:pt>
                <c:pt idx="95">
                  <c:v>47500</c:v>
                </c:pt>
                <c:pt idx="96">
                  <c:v>48000</c:v>
                </c:pt>
                <c:pt idx="97">
                  <c:v>48500</c:v>
                </c:pt>
                <c:pt idx="98">
                  <c:v>49000</c:v>
                </c:pt>
                <c:pt idx="99">
                  <c:v>49500</c:v>
                </c:pt>
                <c:pt idx="100">
                  <c:v>50000</c:v>
                </c:pt>
                <c:pt idx="101">
                  <c:v>50500</c:v>
                </c:pt>
                <c:pt idx="102">
                  <c:v>51000</c:v>
                </c:pt>
                <c:pt idx="103">
                  <c:v>51500</c:v>
                </c:pt>
                <c:pt idx="104">
                  <c:v>52000</c:v>
                </c:pt>
                <c:pt idx="105">
                  <c:v>52500</c:v>
                </c:pt>
                <c:pt idx="106">
                  <c:v>53000</c:v>
                </c:pt>
                <c:pt idx="107">
                  <c:v>53500</c:v>
                </c:pt>
                <c:pt idx="108">
                  <c:v>54000</c:v>
                </c:pt>
                <c:pt idx="109">
                  <c:v>54500</c:v>
                </c:pt>
                <c:pt idx="110">
                  <c:v>55000</c:v>
                </c:pt>
                <c:pt idx="111">
                  <c:v>55500</c:v>
                </c:pt>
                <c:pt idx="112">
                  <c:v>56000</c:v>
                </c:pt>
                <c:pt idx="113">
                  <c:v>56500</c:v>
                </c:pt>
                <c:pt idx="114">
                  <c:v>57000</c:v>
                </c:pt>
                <c:pt idx="115">
                  <c:v>57500</c:v>
                </c:pt>
                <c:pt idx="116">
                  <c:v>58000</c:v>
                </c:pt>
                <c:pt idx="117">
                  <c:v>58500</c:v>
                </c:pt>
                <c:pt idx="118">
                  <c:v>59000</c:v>
                </c:pt>
                <c:pt idx="119">
                  <c:v>59500</c:v>
                </c:pt>
                <c:pt idx="120">
                  <c:v>60000</c:v>
                </c:pt>
                <c:pt idx="121">
                  <c:v>60500</c:v>
                </c:pt>
                <c:pt idx="122">
                  <c:v>61000</c:v>
                </c:pt>
                <c:pt idx="123">
                  <c:v>61500</c:v>
                </c:pt>
                <c:pt idx="124">
                  <c:v>62000</c:v>
                </c:pt>
                <c:pt idx="125">
                  <c:v>62500</c:v>
                </c:pt>
                <c:pt idx="126">
                  <c:v>63000</c:v>
                </c:pt>
                <c:pt idx="127">
                  <c:v>63500</c:v>
                </c:pt>
                <c:pt idx="128">
                  <c:v>64000</c:v>
                </c:pt>
                <c:pt idx="129">
                  <c:v>64500</c:v>
                </c:pt>
                <c:pt idx="130">
                  <c:v>65000</c:v>
                </c:pt>
                <c:pt idx="131">
                  <c:v>65500</c:v>
                </c:pt>
                <c:pt idx="132">
                  <c:v>66000</c:v>
                </c:pt>
                <c:pt idx="133">
                  <c:v>66500</c:v>
                </c:pt>
                <c:pt idx="134">
                  <c:v>67000</c:v>
                </c:pt>
                <c:pt idx="135">
                  <c:v>67500</c:v>
                </c:pt>
                <c:pt idx="136">
                  <c:v>68000</c:v>
                </c:pt>
                <c:pt idx="137">
                  <c:v>68500</c:v>
                </c:pt>
                <c:pt idx="138">
                  <c:v>69000</c:v>
                </c:pt>
                <c:pt idx="139">
                  <c:v>69500</c:v>
                </c:pt>
                <c:pt idx="140">
                  <c:v>70000</c:v>
                </c:pt>
                <c:pt idx="141">
                  <c:v>70500</c:v>
                </c:pt>
                <c:pt idx="142">
                  <c:v>71000</c:v>
                </c:pt>
                <c:pt idx="143">
                  <c:v>71500</c:v>
                </c:pt>
                <c:pt idx="144">
                  <c:v>72000</c:v>
                </c:pt>
                <c:pt idx="145">
                  <c:v>72500</c:v>
                </c:pt>
                <c:pt idx="146">
                  <c:v>73000</c:v>
                </c:pt>
                <c:pt idx="147">
                  <c:v>73500</c:v>
                </c:pt>
                <c:pt idx="148">
                  <c:v>74000</c:v>
                </c:pt>
                <c:pt idx="149">
                  <c:v>74500</c:v>
                </c:pt>
                <c:pt idx="150">
                  <c:v>75000</c:v>
                </c:pt>
                <c:pt idx="151">
                  <c:v>75500</c:v>
                </c:pt>
                <c:pt idx="152">
                  <c:v>76000</c:v>
                </c:pt>
                <c:pt idx="153">
                  <c:v>76500</c:v>
                </c:pt>
                <c:pt idx="154">
                  <c:v>77000</c:v>
                </c:pt>
                <c:pt idx="155">
                  <c:v>77500</c:v>
                </c:pt>
                <c:pt idx="156">
                  <c:v>78000</c:v>
                </c:pt>
                <c:pt idx="157">
                  <c:v>78500</c:v>
                </c:pt>
                <c:pt idx="158">
                  <c:v>79000</c:v>
                </c:pt>
                <c:pt idx="159">
                  <c:v>79500</c:v>
                </c:pt>
                <c:pt idx="160">
                  <c:v>80000</c:v>
                </c:pt>
                <c:pt idx="161">
                  <c:v>80500</c:v>
                </c:pt>
                <c:pt idx="162">
                  <c:v>81000</c:v>
                </c:pt>
                <c:pt idx="163">
                  <c:v>81500</c:v>
                </c:pt>
                <c:pt idx="164">
                  <c:v>82000</c:v>
                </c:pt>
                <c:pt idx="165">
                  <c:v>82500</c:v>
                </c:pt>
                <c:pt idx="166">
                  <c:v>83000</c:v>
                </c:pt>
                <c:pt idx="167">
                  <c:v>83500</c:v>
                </c:pt>
                <c:pt idx="168">
                  <c:v>84000</c:v>
                </c:pt>
                <c:pt idx="169">
                  <c:v>84500</c:v>
                </c:pt>
                <c:pt idx="170">
                  <c:v>85000</c:v>
                </c:pt>
                <c:pt idx="171">
                  <c:v>85500</c:v>
                </c:pt>
                <c:pt idx="172">
                  <c:v>86000</c:v>
                </c:pt>
                <c:pt idx="173">
                  <c:v>86500</c:v>
                </c:pt>
                <c:pt idx="174">
                  <c:v>87000</c:v>
                </c:pt>
                <c:pt idx="175">
                  <c:v>87500</c:v>
                </c:pt>
                <c:pt idx="176">
                  <c:v>88000</c:v>
                </c:pt>
                <c:pt idx="177">
                  <c:v>88500</c:v>
                </c:pt>
                <c:pt idx="178">
                  <c:v>89000</c:v>
                </c:pt>
                <c:pt idx="179">
                  <c:v>89500</c:v>
                </c:pt>
                <c:pt idx="180">
                  <c:v>90000</c:v>
                </c:pt>
                <c:pt idx="181">
                  <c:v>90500</c:v>
                </c:pt>
                <c:pt idx="182">
                  <c:v>91000</c:v>
                </c:pt>
                <c:pt idx="183">
                  <c:v>91500</c:v>
                </c:pt>
                <c:pt idx="184">
                  <c:v>92000</c:v>
                </c:pt>
                <c:pt idx="185">
                  <c:v>92500</c:v>
                </c:pt>
                <c:pt idx="186">
                  <c:v>93000</c:v>
                </c:pt>
                <c:pt idx="187">
                  <c:v>93500</c:v>
                </c:pt>
                <c:pt idx="188">
                  <c:v>94000</c:v>
                </c:pt>
                <c:pt idx="189">
                  <c:v>94500</c:v>
                </c:pt>
                <c:pt idx="190">
                  <c:v>95000</c:v>
                </c:pt>
                <c:pt idx="191">
                  <c:v>95500</c:v>
                </c:pt>
                <c:pt idx="192">
                  <c:v>96000</c:v>
                </c:pt>
                <c:pt idx="193">
                  <c:v>96500</c:v>
                </c:pt>
                <c:pt idx="194">
                  <c:v>97000</c:v>
                </c:pt>
                <c:pt idx="195">
                  <c:v>97500</c:v>
                </c:pt>
                <c:pt idx="196">
                  <c:v>98000</c:v>
                </c:pt>
                <c:pt idx="197">
                  <c:v>98500</c:v>
                </c:pt>
                <c:pt idx="198">
                  <c:v>99000</c:v>
                </c:pt>
                <c:pt idx="199">
                  <c:v>99500</c:v>
                </c:pt>
                <c:pt idx="200">
                  <c:v>100000</c:v>
                </c:pt>
              </c:numCache>
            </c:numRef>
          </c:cat>
          <c:val>
            <c:numRef>
              <c:f>'Use this for graphs'!$I$2:$I$202</c:f>
              <c:numCache>
                <c:formatCode>"$"#,##0.00_);[Red]\("$"#,##0.00\)</c:formatCode>
                <c:ptCount val="201"/>
                <c:pt idx="0">
                  <c:v>10029</c:v>
                </c:pt>
                <c:pt idx="1">
                  <c:v>10029</c:v>
                </c:pt>
                <c:pt idx="2">
                  <c:v>10029</c:v>
                </c:pt>
                <c:pt idx="3">
                  <c:v>10029</c:v>
                </c:pt>
                <c:pt idx="4">
                  <c:v>10029</c:v>
                </c:pt>
                <c:pt idx="5">
                  <c:v>10029</c:v>
                </c:pt>
                <c:pt idx="6">
                  <c:v>10029</c:v>
                </c:pt>
                <c:pt idx="7">
                  <c:v>10029</c:v>
                </c:pt>
                <c:pt idx="8">
                  <c:v>10029</c:v>
                </c:pt>
                <c:pt idx="9">
                  <c:v>10029</c:v>
                </c:pt>
                <c:pt idx="10">
                  <c:v>10029</c:v>
                </c:pt>
                <c:pt idx="11">
                  <c:v>10029</c:v>
                </c:pt>
                <c:pt idx="12">
                  <c:v>10029</c:v>
                </c:pt>
                <c:pt idx="13">
                  <c:v>10029</c:v>
                </c:pt>
                <c:pt idx="14">
                  <c:v>10029</c:v>
                </c:pt>
                <c:pt idx="15">
                  <c:v>10029</c:v>
                </c:pt>
                <c:pt idx="16">
                  <c:v>10029</c:v>
                </c:pt>
                <c:pt idx="17">
                  <c:v>10029</c:v>
                </c:pt>
                <c:pt idx="18">
                  <c:v>10029</c:v>
                </c:pt>
                <c:pt idx="19">
                  <c:v>10029</c:v>
                </c:pt>
                <c:pt idx="20">
                  <c:v>10029</c:v>
                </c:pt>
                <c:pt idx="21">
                  <c:v>10029</c:v>
                </c:pt>
                <c:pt idx="22">
                  <c:v>10029</c:v>
                </c:pt>
                <c:pt idx="23">
                  <c:v>10029</c:v>
                </c:pt>
                <c:pt idx="24">
                  <c:v>10029</c:v>
                </c:pt>
                <c:pt idx="25">
                  <c:v>10029</c:v>
                </c:pt>
                <c:pt idx="26">
                  <c:v>10029</c:v>
                </c:pt>
                <c:pt idx="27">
                  <c:v>10029</c:v>
                </c:pt>
                <c:pt idx="28">
                  <c:v>10029</c:v>
                </c:pt>
                <c:pt idx="29">
                  <c:v>10029</c:v>
                </c:pt>
                <c:pt idx="30">
                  <c:v>10029</c:v>
                </c:pt>
                <c:pt idx="31">
                  <c:v>10029</c:v>
                </c:pt>
                <c:pt idx="32">
                  <c:v>10029</c:v>
                </c:pt>
                <c:pt idx="33">
                  <c:v>10029</c:v>
                </c:pt>
                <c:pt idx="34">
                  <c:v>10029</c:v>
                </c:pt>
                <c:pt idx="35">
                  <c:v>10029</c:v>
                </c:pt>
                <c:pt idx="36">
                  <c:v>10029</c:v>
                </c:pt>
                <c:pt idx="37">
                  <c:v>10029</c:v>
                </c:pt>
                <c:pt idx="38">
                  <c:v>10029</c:v>
                </c:pt>
                <c:pt idx="39">
                  <c:v>10029</c:v>
                </c:pt>
                <c:pt idx="40">
                  <c:v>10029</c:v>
                </c:pt>
                <c:pt idx="41">
                  <c:v>10029</c:v>
                </c:pt>
                <c:pt idx="42">
                  <c:v>10029</c:v>
                </c:pt>
                <c:pt idx="43">
                  <c:v>10029</c:v>
                </c:pt>
                <c:pt idx="44">
                  <c:v>10029</c:v>
                </c:pt>
                <c:pt idx="45">
                  <c:v>10029</c:v>
                </c:pt>
                <c:pt idx="46">
                  <c:v>10029</c:v>
                </c:pt>
                <c:pt idx="47">
                  <c:v>10029</c:v>
                </c:pt>
                <c:pt idx="48">
                  <c:v>10029</c:v>
                </c:pt>
                <c:pt idx="49">
                  <c:v>10029</c:v>
                </c:pt>
                <c:pt idx="50">
                  <c:v>10029</c:v>
                </c:pt>
                <c:pt idx="51">
                  <c:v>10029</c:v>
                </c:pt>
                <c:pt idx="52">
                  <c:v>10029</c:v>
                </c:pt>
                <c:pt idx="53">
                  <c:v>10029</c:v>
                </c:pt>
                <c:pt idx="54">
                  <c:v>10029</c:v>
                </c:pt>
                <c:pt idx="55">
                  <c:v>10029</c:v>
                </c:pt>
                <c:pt idx="56">
                  <c:v>10029</c:v>
                </c:pt>
                <c:pt idx="57">
                  <c:v>10029</c:v>
                </c:pt>
                <c:pt idx="58">
                  <c:v>10029</c:v>
                </c:pt>
                <c:pt idx="59">
                  <c:v>10029</c:v>
                </c:pt>
                <c:pt idx="60">
                  <c:v>3822</c:v>
                </c:pt>
                <c:pt idx="61">
                  <c:v>3822</c:v>
                </c:pt>
                <c:pt idx="62">
                  <c:v>3822</c:v>
                </c:pt>
                <c:pt idx="63">
                  <c:v>3822</c:v>
                </c:pt>
                <c:pt idx="64">
                  <c:v>3822</c:v>
                </c:pt>
                <c:pt idx="65">
                  <c:v>3822</c:v>
                </c:pt>
                <c:pt idx="66">
                  <c:v>3822</c:v>
                </c:pt>
                <c:pt idx="67">
                  <c:v>3822</c:v>
                </c:pt>
                <c:pt idx="68">
                  <c:v>3822</c:v>
                </c:pt>
                <c:pt idx="69">
                  <c:v>3822</c:v>
                </c:pt>
                <c:pt idx="70">
                  <c:v>3822</c:v>
                </c:pt>
                <c:pt idx="71">
                  <c:v>3822</c:v>
                </c:pt>
                <c:pt idx="72">
                  <c:v>3822</c:v>
                </c:pt>
                <c:pt idx="73">
                  <c:v>3822</c:v>
                </c:pt>
                <c:pt idx="74">
                  <c:v>3822</c:v>
                </c:pt>
                <c:pt idx="75">
                  <c:v>3822</c:v>
                </c:pt>
                <c:pt idx="76">
                  <c:v>3822</c:v>
                </c:pt>
                <c:pt idx="77">
                  <c:v>3822</c:v>
                </c:pt>
                <c:pt idx="78">
                  <c:v>3822</c:v>
                </c:pt>
                <c:pt idx="79">
                  <c:v>3822</c:v>
                </c:pt>
                <c:pt idx="80">
                  <c:v>3822</c:v>
                </c:pt>
                <c:pt idx="81">
                  <c:v>3822</c:v>
                </c:pt>
                <c:pt idx="82">
                  <c:v>3822</c:v>
                </c:pt>
                <c:pt idx="83">
                  <c:v>3822</c:v>
                </c:pt>
                <c:pt idx="84">
                  <c:v>3822</c:v>
                </c:pt>
                <c:pt idx="85">
                  <c:v>3822</c:v>
                </c:pt>
                <c:pt idx="86">
                  <c:v>3822</c:v>
                </c:pt>
                <c:pt idx="87">
                  <c:v>0</c:v>
                </c:pt>
                <c:pt idx="88">
                  <c:v>0</c:v>
                </c:pt>
                <c:pt idx="89">
                  <c:v>0</c:v>
                </c:pt>
                <c:pt idx="90">
                  <c:v>0</c:v>
                </c:pt>
                <c:pt idx="91">
                  <c:v>0</c:v>
                </c:pt>
                <c:pt idx="92">
                  <c:v>0</c:v>
                </c:pt>
                <c:pt idx="93">
                  <c:v>0</c:v>
                </c:pt>
                <c:pt idx="94">
                  <c:v>0</c:v>
                </c:pt>
                <c:pt idx="95">
                  <c:v>0</c:v>
                </c:pt>
                <c:pt idx="96">
                  <c:v>0</c:v>
                </c:pt>
                <c:pt idx="97">
                  <c:v>0</c:v>
                </c:pt>
                <c:pt idx="98">
                  <c:v>0</c:v>
                </c:pt>
                <c:pt idx="99">
                  <c:v>0</c:v>
                </c:pt>
                <c:pt idx="100">
                  <c:v>0</c:v>
                </c:pt>
                <c:pt idx="101">
                  <c:v>0</c:v>
                </c:pt>
                <c:pt idx="102">
                  <c:v>0</c:v>
                </c:pt>
                <c:pt idx="103">
                  <c:v>0</c:v>
                </c:pt>
                <c:pt idx="104">
                  <c:v>0</c:v>
                </c:pt>
                <c:pt idx="105">
                  <c:v>0</c:v>
                </c:pt>
                <c:pt idx="106">
                  <c:v>0</c:v>
                </c:pt>
                <c:pt idx="107">
                  <c:v>0</c:v>
                </c:pt>
                <c:pt idx="108">
                  <c:v>0</c:v>
                </c:pt>
                <c:pt idx="109">
                  <c:v>0</c:v>
                </c:pt>
                <c:pt idx="110">
                  <c:v>0</c:v>
                </c:pt>
                <c:pt idx="111">
                  <c:v>0</c:v>
                </c:pt>
                <c:pt idx="112">
                  <c:v>0</c:v>
                </c:pt>
                <c:pt idx="113">
                  <c:v>0</c:v>
                </c:pt>
                <c:pt idx="114">
                  <c:v>0</c:v>
                </c:pt>
                <c:pt idx="115">
                  <c:v>0</c:v>
                </c:pt>
                <c:pt idx="116">
                  <c:v>0</c:v>
                </c:pt>
                <c:pt idx="117">
                  <c:v>0</c:v>
                </c:pt>
                <c:pt idx="118">
                  <c:v>0</c:v>
                </c:pt>
                <c:pt idx="119">
                  <c:v>0</c:v>
                </c:pt>
                <c:pt idx="120">
                  <c:v>0</c:v>
                </c:pt>
                <c:pt idx="121">
                  <c:v>0</c:v>
                </c:pt>
                <c:pt idx="122">
                  <c:v>0</c:v>
                </c:pt>
                <c:pt idx="123">
                  <c:v>0</c:v>
                </c:pt>
                <c:pt idx="124">
                  <c:v>0</c:v>
                </c:pt>
                <c:pt idx="125">
                  <c:v>0</c:v>
                </c:pt>
                <c:pt idx="126">
                  <c:v>0</c:v>
                </c:pt>
                <c:pt idx="127">
                  <c:v>0</c:v>
                </c:pt>
                <c:pt idx="128">
                  <c:v>0</c:v>
                </c:pt>
                <c:pt idx="129">
                  <c:v>0</c:v>
                </c:pt>
                <c:pt idx="130">
                  <c:v>0</c:v>
                </c:pt>
                <c:pt idx="131">
                  <c:v>0</c:v>
                </c:pt>
                <c:pt idx="132">
                  <c:v>0</c:v>
                </c:pt>
                <c:pt idx="133">
                  <c:v>0</c:v>
                </c:pt>
                <c:pt idx="134">
                  <c:v>0</c:v>
                </c:pt>
                <c:pt idx="135">
                  <c:v>0</c:v>
                </c:pt>
                <c:pt idx="136">
                  <c:v>0</c:v>
                </c:pt>
                <c:pt idx="137">
                  <c:v>0</c:v>
                </c:pt>
                <c:pt idx="138">
                  <c:v>0</c:v>
                </c:pt>
                <c:pt idx="139">
                  <c:v>0</c:v>
                </c:pt>
                <c:pt idx="140">
                  <c:v>0</c:v>
                </c:pt>
                <c:pt idx="141">
                  <c:v>0</c:v>
                </c:pt>
                <c:pt idx="142">
                  <c:v>0</c:v>
                </c:pt>
                <c:pt idx="143">
                  <c:v>0</c:v>
                </c:pt>
                <c:pt idx="144">
                  <c:v>0</c:v>
                </c:pt>
                <c:pt idx="145">
                  <c:v>0</c:v>
                </c:pt>
                <c:pt idx="146">
                  <c:v>0</c:v>
                </c:pt>
                <c:pt idx="147">
                  <c:v>0</c:v>
                </c:pt>
                <c:pt idx="148">
                  <c:v>0</c:v>
                </c:pt>
                <c:pt idx="149">
                  <c:v>0</c:v>
                </c:pt>
                <c:pt idx="150">
                  <c:v>0</c:v>
                </c:pt>
                <c:pt idx="151">
                  <c:v>0</c:v>
                </c:pt>
                <c:pt idx="152">
                  <c:v>0</c:v>
                </c:pt>
                <c:pt idx="153">
                  <c:v>0</c:v>
                </c:pt>
                <c:pt idx="154">
                  <c:v>0</c:v>
                </c:pt>
                <c:pt idx="155">
                  <c:v>0</c:v>
                </c:pt>
                <c:pt idx="156">
                  <c:v>0</c:v>
                </c:pt>
                <c:pt idx="157">
                  <c:v>0</c:v>
                </c:pt>
                <c:pt idx="158">
                  <c:v>0</c:v>
                </c:pt>
                <c:pt idx="159">
                  <c:v>0</c:v>
                </c:pt>
                <c:pt idx="160">
                  <c:v>0</c:v>
                </c:pt>
                <c:pt idx="161">
                  <c:v>0</c:v>
                </c:pt>
                <c:pt idx="162">
                  <c:v>0</c:v>
                </c:pt>
                <c:pt idx="163">
                  <c:v>0</c:v>
                </c:pt>
                <c:pt idx="164">
                  <c:v>0</c:v>
                </c:pt>
                <c:pt idx="165">
                  <c:v>0</c:v>
                </c:pt>
                <c:pt idx="166">
                  <c:v>0</c:v>
                </c:pt>
                <c:pt idx="167">
                  <c:v>0</c:v>
                </c:pt>
                <c:pt idx="168">
                  <c:v>0</c:v>
                </c:pt>
                <c:pt idx="169">
                  <c:v>0</c:v>
                </c:pt>
                <c:pt idx="170">
                  <c:v>0</c:v>
                </c:pt>
                <c:pt idx="171">
                  <c:v>0</c:v>
                </c:pt>
                <c:pt idx="172">
                  <c:v>0</c:v>
                </c:pt>
                <c:pt idx="173">
                  <c:v>0</c:v>
                </c:pt>
                <c:pt idx="174">
                  <c:v>0</c:v>
                </c:pt>
                <c:pt idx="175">
                  <c:v>0</c:v>
                </c:pt>
                <c:pt idx="176">
                  <c:v>0</c:v>
                </c:pt>
                <c:pt idx="177">
                  <c:v>0</c:v>
                </c:pt>
                <c:pt idx="178">
                  <c:v>0</c:v>
                </c:pt>
                <c:pt idx="179">
                  <c:v>0</c:v>
                </c:pt>
                <c:pt idx="180">
                  <c:v>0</c:v>
                </c:pt>
                <c:pt idx="181">
                  <c:v>0</c:v>
                </c:pt>
                <c:pt idx="182">
                  <c:v>0</c:v>
                </c:pt>
                <c:pt idx="183">
                  <c:v>0</c:v>
                </c:pt>
                <c:pt idx="184">
                  <c:v>0</c:v>
                </c:pt>
                <c:pt idx="185">
                  <c:v>0</c:v>
                </c:pt>
                <c:pt idx="186">
                  <c:v>0</c:v>
                </c:pt>
                <c:pt idx="187">
                  <c:v>0</c:v>
                </c:pt>
                <c:pt idx="188">
                  <c:v>0</c:v>
                </c:pt>
                <c:pt idx="189">
                  <c:v>0</c:v>
                </c:pt>
                <c:pt idx="190">
                  <c:v>0</c:v>
                </c:pt>
                <c:pt idx="191">
                  <c:v>0</c:v>
                </c:pt>
                <c:pt idx="192">
                  <c:v>0</c:v>
                </c:pt>
                <c:pt idx="193">
                  <c:v>0</c:v>
                </c:pt>
                <c:pt idx="194">
                  <c:v>0</c:v>
                </c:pt>
                <c:pt idx="195">
                  <c:v>0</c:v>
                </c:pt>
                <c:pt idx="196">
                  <c:v>0</c:v>
                </c:pt>
                <c:pt idx="197">
                  <c:v>0</c:v>
                </c:pt>
                <c:pt idx="198">
                  <c:v>0</c:v>
                </c:pt>
                <c:pt idx="199">
                  <c:v>0</c:v>
                </c:pt>
                <c:pt idx="200">
                  <c:v>0</c:v>
                </c:pt>
              </c:numCache>
            </c:numRef>
          </c:val>
          <c:extLst>
            <c:ext xmlns:c16="http://schemas.microsoft.com/office/drawing/2014/chart" uri="{C3380CC4-5D6E-409C-BE32-E72D297353CC}">
              <c16:uniqueId val="{0000000E-9161-490F-91EC-5745335BC484}"/>
            </c:ext>
          </c:extLst>
        </c:ser>
        <c:ser>
          <c:idx val="1"/>
          <c:order val="9"/>
          <c:tx>
            <c:strRef>
              <c:f>'Use this for graphs'!$J$1</c:f>
              <c:strCache>
                <c:ptCount val="1"/>
                <c:pt idx="0">
                  <c:v>Value of Marketplace Subsidies</c:v>
                </c:pt>
              </c:strCache>
            </c:strRef>
          </c:tx>
          <c:spPr>
            <a:solidFill>
              <a:schemeClr val="accent2"/>
            </a:solidFill>
            <a:ln>
              <a:noFill/>
            </a:ln>
            <a:effectLst/>
          </c:spPr>
          <c:cat>
            <c:numRef>
              <c:f>'Use this for graphs'!$A$2:$A$202</c:f>
              <c:numCache>
                <c:formatCode>"$"#,##0</c:formatCode>
                <c:ptCount val="201"/>
                <c:pt idx="0">
                  <c:v>0</c:v>
                </c:pt>
                <c:pt idx="1">
                  <c:v>500</c:v>
                </c:pt>
                <c:pt idx="2">
                  <c:v>1000</c:v>
                </c:pt>
                <c:pt idx="3">
                  <c:v>1500</c:v>
                </c:pt>
                <c:pt idx="4">
                  <c:v>2000</c:v>
                </c:pt>
                <c:pt idx="5">
                  <c:v>2500</c:v>
                </c:pt>
                <c:pt idx="6">
                  <c:v>3000</c:v>
                </c:pt>
                <c:pt idx="7">
                  <c:v>3500</c:v>
                </c:pt>
                <c:pt idx="8">
                  <c:v>4000</c:v>
                </c:pt>
                <c:pt idx="9">
                  <c:v>4500</c:v>
                </c:pt>
                <c:pt idx="10">
                  <c:v>5000</c:v>
                </c:pt>
                <c:pt idx="11">
                  <c:v>5500</c:v>
                </c:pt>
                <c:pt idx="12">
                  <c:v>6000</c:v>
                </c:pt>
                <c:pt idx="13">
                  <c:v>6500</c:v>
                </c:pt>
                <c:pt idx="14">
                  <c:v>7000</c:v>
                </c:pt>
                <c:pt idx="15">
                  <c:v>7500</c:v>
                </c:pt>
                <c:pt idx="16">
                  <c:v>8000</c:v>
                </c:pt>
                <c:pt idx="17">
                  <c:v>8500</c:v>
                </c:pt>
                <c:pt idx="18">
                  <c:v>9000</c:v>
                </c:pt>
                <c:pt idx="19">
                  <c:v>9500</c:v>
                </c:pt>
                <c:pt idx="20">
                  <c:v>10000</c:v>
                </c:pt>
                <c:pt idx="21">
                  <c:v>10500</c:v>
                </c:pt>
                <c:pt idx="22">
                  <c:v>11000</c:v>
                </c:pt>
                <c:pt idx="23">
                  <c:v>11500</c:v>
                </c:pt>
                <c:pt idx="24">
                  <c:v>12000</c:v>
                </c:pt>
                <c:pt idx="25">
                  <c:v>12500</c:v>
                </c:pt>
                <c:pt idx="26">
                  <c:v>13000</c:v>
                </c:pt>
                <c:pt idx="27">
                  <c:v>13500</c:v>
                </c:pt>
                <c:pt idx="28">
                  <c:v>14000</c:v>
                </c:pt>
                <c:pt idx="29">
                  <c:v>14500</c:v>
                </c:pt>
                <c:pt idx="30">
                  <c:v>15000</c:v>
                </c:pt>
                <c:pt idx="31">
                  <c:v>15500</c:v>
                </c:pt>
                <c:pt idx="32">
                  <c:v>16000</c:v>
                </c:pt>
                <c:pt idx="33">
                  <c:v>16500</c:v>
                </c:pt>
                <c:pt idx="34">
                  <c:v>17000</c:v>
                </c:pt>
                <c:pt idx="35">
                  <c:v>17500</c:v>
                </c:pt>
                <c:pt idx="36">
                  <c:v>18000</c:v>
                </c:pt>
                <c:pt idx="37">
                  <c:v>18500</c:v>
                </c:pt>
                <c:pt idx="38">
                  <c:v>19000</c:v>
                </c:pt>
                <c:pt idx="39">
                  <c:v>19500</c:v>
                </c:pt>
                <c:pt idx="40">
                  <c:v>20000</c:v>
                </c:pt>
                <c:pt idx="41">
                  <c:v>20500</c:v>
                </c:pt>
                <c:pt idx="42">
                  <c:v>21000</c:v>
                </c:pt>
                <c:pt idx="43">
                  <c:v>21500</c:v>
                </c:pt>
                <c:pt idx="44">
                  <c:v>22000</c:v>
                </c:pt>
                <c:pt idx="45">
                  <c:v>22500</c:v>
                </c:pt>
                <c:pt idx="46">
                  <c:v>23000</c:v>
                </c:pt>
                <c:pt idx="47">
                  <c:v>23500</c:v>
                </c:pt>
                <c:pt idx="48">
                  <c:v>24000</c:v>
                </c:pt>
                <c:pt idx="49">
                  <c:v>24500</c:v>
                </c:pt>
                <c:pt idx="50">
                  <c:v>25000</c:v>
                </c:pt>
                <c:pt idx="51">
                  <c:v>25500</c:v>
                </c:pt>
                <c:pt idx="52">
                  <c:v>26000</c:v>
                </c:pt>
                <c:pt idx="53">
                  <c:v>26500</c:v>
                </c:pt>
                <c:pt idx="54">
                  <c:v>27000</c:v>
                </c:pt>
                <c:pt idx="55">
                  <c:v>27500</c:v>
                </c:pt>
                <c:pt idx="56">
                  <c:v>28000</c:v>
                </c:pt>
                <c:pt idx="57">
                  <c:v>28500</c:v>
                </c:pt>
                <c:pt idx="58">
                  <c:v>29000</c:v>
                </c:pt>
                <c:pt idx="59">
                  <c:v>29500</c:v>
                </c:pt>
                <c:pt idx="60">
                  <c:v>30000</c:v>
                </c:pt>
                <c:pt idx="61">
                  <c:v>30500</c:v>
                </c:pt>
                <c:pt idx="62">
                  <c:v>31000</c:v>
                </c:pt>
                <c:pt idx="63">
                  <c:v>31500</c:v>
                </c:pt>
                <c:pt idx="64">
                  <c:v>32000</c:v>
                </c:pt>
                <c:pt idx="65">
                  <c:v>32500</c:v>
                </c:pt>
                <c:pt idx="66">
                  <c:v>33000</c:v>
                </c:pt>
                <c:pt idx="67">
                  <c:v>33500</c:v>
                </c:pt>
                <c:pt idx="68">
                  <c:v>34000</c:v>
                </c:pt>
                <c:pt idx="69">
                  <c:v>34500</c:v>
                </c:pt>
                <c:pt idx="70">
                  <c:v>35000</c:v>
                </c:pt>
                <c:pt idx="71">
                  <c:v>35500</c:v>
                </c:pt>
                <c:pt idx="72">
                  <c:v>36000</c:v>
                </c:pt>
                <c:pt idx="73">
                  <c:v>36500</c:v>
                </c:pt>
                <c:pt idx="74">
                  <c:v>37000</c:v>
                </c:pt>
                <c:pt idx="75">
                  <c:v>37500</c:v>
                </c:pt>
                <c:pt idx="76">
                  <c:v>38000</c:v>
                </c:pt>
                <c:pt idx="77">
                  <c:v>38500</c:v>
                </c:pt>
                <c:pt idx="78">
                  <c:v>39000</c:v>
                </c:pt>
                <c:pt idx="79">
                  <c:v>39500</c:v>
                </c:pt>
                <c:pt idx="80">
                  <c:v>40000</c:v>
                </c:pt>
                <c:pt idx="81">
                  <c:v>40500</c:v>
                </c:pt>
                <c:pt idx="82">
                  <c:v>41000</c:v>
                </c:pt>
                <c:pt idx="83">
                  <c:v>41500</c:v>
                </c:pt>
                <c:pt idx="84">
                  <c:v>42000</c:v>
                </c:pt>
                <c:pt idx="85">
                  <c:v>42500</c:v>
                </c:pt>
                <c:pt idx="86">
                  <c:v>43000</c:v>
                </c:pt>
                <c:pt idx="87">
                  <c:v>43500</c:v>
                </c:pt>
                <c:pt idx="88">
                  <c:v>44000</c:v>
                </c:pt>
                <c:pt idx="89">
                  <c:v>44500</c:v>
                </c:pt>
                <c:pt idx="90">
                  <c:v>45000</c:v>
                </c:pt>
                <c:pt idx="91">
                  <c:v>45500</c:v>
                </c:pt>
                <c:pt idx="92">
                  <c:v>46000</c:v>
                </c:pt>
                <c:pt idx="93">
                  <c:v>46500</c:v>
                </c:pt>
                <c:pt idx="94">
                  <c:v>47000</c:v>
                </c:pt>
                <c:pt idx="95">
                  <c:v>47500</c:v>
                </c:pt>
                <c:pt idx="96">
                  <c:v>48000</c:v>
                </c:pt>
                <c:pt idx="97">
                  <c:v>48500</c:v>
                </c:pt>
                <c:pt idx="98">
                  <c:v>49000</c:v>
                </c:pt>
                <c:pt idx="99">
                  <c:v>49500</c:v>
                </c:pt>
                <c:pt idx="100">
                  <c:v>50000</c:v>
                </c:pt>
                <c:pt idx="101">
                  <c:v>50500</c:v>
                </c:pt>
                <c:pt idx="102">
                  <c:v>51000</c:v>
                </c:pt>
                <c:pt idx="103">
                  <c:v>51500</c:v>
                </c:pt>
                <c:pt idx="104">
                  <c:v>52000</c:v>
                </c:pt>
                <c:pt idx="105">
                  <c:v>52500</c:v>
                </c:pt>
                <c:pt idx="106">
                  <c:v>53000</c:v>
                </c:pt>
                <c:pt idx="107">
                  <c:v>53500</c:v>
                </c:pt>
                <c:pt idx="108">
                  <c:v>54000</c:v>
                </c:pt>
                <c:pt idx="109">
                  <c:v>54500</c:v>
                </c:pt>
                <c:pt idx="110">
                  <c:v>55000</c:v>
                </c:pt>
                <c:pt idx="111">
                  <c:v>55500</c:v>
                </c:pt>
                <c:pt idx="112">
                  <c:v>56000</c:v>
                </c:pt>
                <c:pt idx="113">
                  <c:v>56500</c:v>
                </c:pt>
                <c:pt idx="114">
                  <c:v>57000</c:v>
                </c:pt>
                <c:pt idx="115">
                  <c:v>57500</c:v>
                </c:pt>
                <c:pt idx="116">
                  <c:v>58000</c:v>
                </c:pt>
                <c:pt idx="117">
                  <c:v>58500</c:v>
                </c:pt>
                <c:pt idx="118">
                  <c:v>59000</c:v>
                </c:pt>
                <c:pt idx="119">
                  <c:v>59500</c:v>
                </c:pt>
                <c:pt idx="120">
                  <c:v>60000</c:v>
                </c:pt>
                <c:pt idx="121">
                  <c:v>60500</c:v>
                </c:pt>
                <c:pt idx="122">
                  <c:v>61000</c:v>
                </c:pt>
                <c:pt idx="123">
                  <c:v>61500</c:v>
                </c:pt>
                <c:pt idx="124">
                  <c:v>62000</c:v>
                </c:pt>
                <c:pt idx="125">
                  <c:v>62500</c:v>
                </c:pt>
                <c:pt idx="126">
                  <c:v>63000</c:v>
                </c:pt>
                <c:pt idx="127">
                  <c:v>63500</c:v>
                </c:pt>
                <c:pt idx="128">
                  <c:v>64000</c:v>
                </c:pt>
                <c:pt idx="129">
                  <c:v>64500</c:v>
                </c:pt>
                <c:pt idx="130">
                  <c:v>65000</c:v>
                </c:pt>
                <c:pt idx="131">
                  <c:v>65500</c:v>
                </c:pt>
                <c:pt idx="132">
                  <c:v>66000</c:v>
                </c:pt>
                <c:pt idx="133">
                  <c:v>66500</c:v>
                </c:pt>
                <c:pt idx="134">
                  <c:v>67000</c:v>
                </c:pt>
                <c:pt idx="135">
                  <c:v>67500</c:v>
                </c:pt>
                <c:pt idx="136">
                  <c:v>68000</c:v>
                </c:pt>
                <c:pt idx="137">
                  <c:v>68500</c:v>
                </c:pt>
                <c:pt idx="138">
                  <c:v>69000</c:v>
                </c:pt>
                <c:pt idx="139">
                  <c:v>69500</c:v>
                </c:pt>
                <c:pt idx="140">
                  <c:v>70000</c:v>
                </c:pt>
                <c:pt idx="141">
                  <c:v>70500</c:v>
                </c:pt>
                <c:pt idx="142">
                  <c:v>71000</c:v>
                </c:pt>
                <c:pt idx="143">
                  <c:v>71500</c:v>
                </c:pt>
                <c:pt idx="144">
                  <c:v>72000</c:v>
                </c:pt>
                <c:pt idx="145">
                  <c:v>72500</c:v>
                </c:pt>
                <c:pt idx="146">
                  <c:v>73000</c:v>
                </c:pt>
                <c:pt idx="147">
                  <c:v>73500</c:v>
                </c:pt>
                <c:pt idx="148">
                  <c:v>74000</c:v>
                </c:pt>
                <c:pt idx="149">
                  <c:v>74500</c:v>
                </c:pt>
                <c:pt idx="150">
                  <c:v>75000</c:v>
                </c:pt>
                <c:pt idx="151">
                  <c:v>75500</c:v>
                </c:pt>
                <c:pt idx="152">
                  <c:v>76000</c:v>
                </c:pt>
                <c:pt idx="153">
                  <c:v>76500</c:v>
                </c:pt>
                <c:pt idx="154">
                  <c:v>77000</c:v>
                </c:pt>
                <c:pt idx="155">
                  <c:v>77500</c:v>
                </c:pt>
                <c:pt idx="156">
                  <c:v>78000</c:v>
                </c:pt>
                <c:pt idx="157">
                  <c:v>78500</c:v>
                </c:pt>
                <c:pt idx="158">
                  <c:v>79000</c:v>
                </c:pt>
                <c:pt idx="159">
                  <c:v>79500</c:v>
                </c:pt>
                <c:pt idx="160">
                  <c:v>80000</c:v>
                </c:pt>
                <c:pt idx="161">
                  <c:v>80500</c:v>
                </c:pt>
                <c:pt idx="162">
                  <c:v>81000</c:v>
                </c:pt>
                <c:pt idx="163">
                  <c:v>81500</c:v>
                </c:pt>
                <c:pt idx="164">
                  <c:v>82000</c:v>
                </c:pt>
                <c:pt idx="165">
                  <c:v>82500</c:v>
                </c:pt>
                <c:pt idx="166">
                  <c:v>83000</c:v>
                </c:pt>
                <c:pt idx="167">
                  <c:v>83500</c:v>
                </c:pt>
                <c:pt idx="168">
                  <c:v>84000</c:v>
                </c:pt>
                <c:pt idx="169">
                  <c:v>84500</c:v>
                </c:pt>
                <c:pt idx="170">
                  <c:v>85000</c:v>
                </c:pt>
                <c:pt idx="171">
                  <c:v>85500</c:v>
                </c:pt>
                <c:pt idx="172">
                  <c:v>86000</c:v>
                </c:pt>
                <c:pt idx="173">
                  <c:v>86500</c:v>
                </c:pt>
                <c:pt idx="174">
                  <c:v>87000</c:v>
                </c:pt>
                <c:pt idx="175">
                  <c:v>87500</c:v>
                </c:pt>
                <c:pt idx="176">
                  <c:v>88000</c:v>
                </c:pt>
                <c:pt idx="177">
                  <c:v>88500</c:v>
                </c:pt>
                <c:pt idx="178">
                  <c:v>89000</c:v>
                </c:pt>
                <c:pt idx="179">
                  <c:v>89500</c:v>
                </c:pt>
                <c:pt idx="180">
                  <c:v>90000</c:v>
                </c:pt>
                <c:pt idx="181">
                  <c:v>90500</c:v>
                </c:pt>
                <c:pt idx="182">
                  <c:v>91000</c:v>
                </c:pt>
                <c:pt idx="183">
                  <c:v>91500</c:v>
                </c:pt>
                <c:pt idx="184">
                  <c:v>92000</c:v>
                </c:pt>
                <c:pt idx="185">
                  <c:v>92500</c:v>
                </c:pt>
                <c:pt idx="186">
                  <c:v>93000</c:v>
                </c:pt>
                <c:pt idx="187">
                  <c:v>93500</c:v>
                </c:pt>
                <c:pt idx="188">
                  <c:v>94000</c:v>
                </c:pt>
                <c:pt idx="189">
                  <c:v>94500</c:v>
                </c:pt>
                <c:pt idx="190">
                  <c:v>95000</c:v>
                </c:pt>
                <c:pt idx="191">
                  <c:v>95500</c:v>
                </c:pt>
                <c:pt idx="192">
                  <c:v>96000</c:v>
                </c:pt>
                <c:pt idx="193">
                  <c:v>96500</c:v>
                </c:pt>
                <c:pt idx="194">
                  <c:v>97000</c:v>
                </c:pt>
                <c:pt idx="195">
                  <c:v>97500</c:v>
                </c:pt>
                <c:pt idx="196">
                  <c:v>98000</c:v>
                </c:pt>
                <c:pt idx="197">
                  <c:v>98500</c:v>
                </c:pt>
                <c:pt idx="198">
                  <c:v>99000</c:v>
                </c:pt>
                <c:pt idx="199">
                  <c:v>99500</c:v>
                </c:pt>
                <c:pt idx="200">
                  <c:v>100000</c:v>
                </c:pt>
              </c:numCache>
            </c:numRef>
          </c:cat>
          <c:val>
            <c:numRef>
              <c:f>'Use this for graphs'!$J$2:$J$202</c:f>
            </c:numRef>
          </c:val>
          <c:extLst>
            <c:ext xmlns:c16="http://schemas.microsoft.com/office/drawing/2014/chart" uri="{C3380CC4-5D6E-409C-BE32-E72D297353CC}">
              <c16:uniqueId val="{00000000-5CD8-4314-84A8-3D208028037A}"/>
            </c:ext>
          </c:extLst>
        </c:ser>
        <c:dLbls>
          <c:showLegendKey val="0"/>
          <c:showVal val="0"/>
          <c:showCatName val="0"/>
          <c:showSerName val="0"/>
          <c:showPercent val="0"/>
          <c:showBubbleSize val="0"/>
        </c:dLbls>
        <c:axId val="124475503"/>
        <c:axId val="124477423"/>
        <c:extLst>
          <c:ext xmlns:c15="http://schemas.microsoft.com/office/drawing/2012/chart" uri="{02D57815-91ED-43cb-92C2-25804820EDAC}">
            <c15:filteredAreaSeries>
              <c15:ser>
                <c:idx val="4"/>
                <c:order val="0"/>
                <c:tx>
                  <c:strRef>
                    <c:extLst>
                      <c:ext uri="{02D57815-91ED-43cb-92C2-25804820EDAC}">
                        <c15:formulaRef>
                          <c15:sqref>'Use this for graphs'!$A$1</c15:sqref>
                        </c15:formulaRef>
                      </c:ext>
                    </c:extLst>
                    <c:strCache>
                      <c:ptCount val="1"/>
                      <c:pt idx="0">
                        <c:v>Annual earned income</c:v>
                      </c:pt>
                    </c:strCache>
                  </c:strRef>
                </c:tx>
                <c:spPr>
                  <a:solidFill>
                    <a:schemeClr val="accent5"/>
                  </a:solidFill>
                  <a:ln>
                    <a:noFill/>
                  </a:ln>
                  <a:effectLst/>
                </c:spPr>
                <c:cat>
                  <c:numRef>
                    <c:extLst>
                      <c:ext uri="{02D57815-91ED-43cb-92C2-25804820EDAC}">
                        <c15:formulaRef>
                          <c15:sqref>'Use this for graphs'!$A$2:$A$202</c15:sqref>
                        </c15:formulaRef>
                      </c:ext>
                    </c:extLst>
                    <c:numCache>
                      <c:formatCode>"$"#,##0</c:formatCode>
                      <c:ptCount val="201"/>
                      <c:pt idx="0">
                        <c:v>0</c:v>
                      </c:pt>
                      <c:pt idx="1">
                        <c:v>500</c:v>
                      </c:pt>
                      <c:pt idx="2">
                        <c:v>1000</c:v>
                      </c:pt>
                      <c:pt idx="3">
                        <c:v>1500</c:v>
                      </c:pt>
                      <c:pt idx="4">
                        <c:v>2000</c:v>
                      </c:pt>
                      <c:pt idx="5">
                        <c:v>2500</c:v>
                      </c:pt>
                      <c:pt idx="6">
                        <c:v>3000</c:v>
                      </c:pt>
                      <c:pt idx="7">
                        <c:v>3500</c:v>
                      </c:pt>
                      <c:pt idx="8">
                        <c:v>4000</c:v>
                      </c:pt>
                      <c:pt idx="9">
                        <c:v>4500</c:v>
                      </c:pt>
                      <c:pt idx="10">
                        <c:v>5000</c:v>
                      </c:pt>
                      <c:pt idx="11">
                        <c:v>5500</c:v>
                      </c:pt>
                      <c:pt idx="12">
                        <c:v>6000</c:v>
                      </c:pt>
                      <c:pt idx="13">
                        <c:v>6500</c:v>
                      </c:pt>
                      <c:pt idx="14">
                        <c:v>7000</c:v>
                      </c:pt>
                      <c:pt idx="15">
                        <c:v>7500</c:v>
                      </c:pt>
                      <c:pt idx="16">
                        <c:v>8000</c:v>
                      </c:pt>
                      <c:pt idx="17">
                        <c:v>8500</c:v>
                      </c:pt>
                      <c:pt idx="18">
                        <c:v>9000</c:v>
                      </c:pt>
                      <c:pt idx="19">
                        <c:v>9500</c:v>
                      </c:pt>
                      <c:pt idx="20">
                        <c:v>10000</c:v>
                      </c:pt>
                      <c:pt idx="21">
                        <c:v>10500</c:v>
                      </c:pt>
                      <c:pt idx="22">
                        <c:v>11000</c:v>
                      </c:pt>
                      <c:pt idx="23">
                        <c:v>11500</c:v>
                      </c:pt>
                      <c:pt idx="24">
                        <c:v>12000</c:v>
                      </c:pt>
                      <c:pt idx="25">
                        <c:v>12500</c:v>
                      </c:pt>
                      <c:pt idx="26">
                        <c:v>13000</c:v>
                      </c:pt>
                      <c:pt idx="27">
                        <c:v>13500</c:v>
                      </c:pt>
                      <c:pt idx="28">
                        <c:v>14000</c:v>
                      </c:pt>
                      <c:pt idx="29">
                        <c:v>14500</c:v>
                      </c:pt>
                      <c:pt idx="30">
                        <c:v>15000</c:v>
                      </c:pt>
                      <c:pt idx="31">
                        <c:v>15500</c:v>
                      </c:pt>
                      <c:pt idx="32">
                        <c:v>16000</c:v>
                      </c:pt>
                      <c:pt idx="33">
                        <c:v>16500</c:v>
                      </c:pt>
                      <c:pt idx="34">
                        <c:v>17000</c:v>
                      </c:pt>
                      <c:pt idx="35">
                        <c:v>17500</c:v>
                      </c:pt>
                      <c:pt idx="36">
                        <c:v>18000</c:v>
                      </c:pt>
                      <c:pt idx="37">
                        <c:v>18500</c:v>
                      </c:pt>
                      <c:pt idx="38">
                        <c:v>19000</c:v>
                      </c:pt>
                      <c:pt idx="39">
                        <c:v>19500</c:v>
                      </c:pt>
                      <c:pt idx="40">
                        <c:v>20000</c:v>
                      </c:pt>
                      <c:pt idx="41">
                        <c:v>20500</c:v>
                      </c:pt>
                      <c:pt idx="42">
                        <c:v>21000</c:v>
                      </c:pt>
                      <c:pt idx="43">
                        <c:v>21500</c:v>
                      </c:pt>
                      <c:pt idx="44">
                        <c:v>22000</c:v>
                      </c:pt>
                      <c:pt idx="45">
                        <c:v>22500</c:v>
                      </c:pt>
                      <c:pt idx="46">
                        <c:v>23000</c:v>
                      </c:pt>
                      <c:pt idx="47">
                        <c:v>23500</c:v>
                      </c:pt>
                      <c:pt idx="48">
                        <c:v>24000</c:v>
                      </c:pt>
                      <c:pt idx="49">
                        <c:v>24500</c:v>
                      </c:pt>
                      <c:pt idx="50">
                        <c:v>25000</c:v>
                      </c:pt>
                      <c:pt idx="51">
                        <c:v>25500</c:v>
                      </c:pt>
                      <c:pt idx="52">
                        <c:v>26000</c:v>
                      </c:pt>
                      <c:pt idx="53">
                        <c:v>26500</c:v>
                      </c:pt>
                      <c:pt idx="54">
                        <c:v>27000</c:v>
                      </c:pt>
                      <c:pt idx="55">
                        <c:v>27500</c:v>
                      </c:pt>
                      <c:pt idx="56">
                        <c:v>28000</c:v>
                      </c:pt>
                      <c:pt idx="57">
                        <c:v>28500</c:v>
                      </c:pt>
                      <c:pt idx="58">
                        <c:v>29000</c:v>
                      </c:pt>
                      <c:pt idx="59">
                        <c:v>29500</c:v>
                      </c:pt>
                      <c:pt idx="60">
                        <c:v>30000</c:v>
                      </c:pt>
                      <c:pt idx="61">
                        <c:v>30500</c:v>
                      </c:pt>
                      <c:pt idx="62">
                        <c:v>31000</c:v>
                      </c:pt>
                      <c:pt idx="63">
                        <c:v>31500</c:v>
                      </c:pt>
                      <c:pt idx="64">
                        <c:v>32000</c:v>
                      </c:pt>
                      <c:pt idx="65">
                        <c:v>32500</c:v>
                      </c:pt>
                      <c:pt idx="66">
                        <c:v>33000</c:v>
                      </c:pt>
                      <c:pt idx="67">
                        <c:v>33500</c:v>
                      </c:pt>
                      <c:pt idx="68">
                        <c:v>34000</c:v>
                      </c:pt>
                      <c:pt idx="69">
                        <c:v>34500</c:v>
                      </c:pt>
                      <c:pt idx="70">
                        <c:v>35000</c:v>
                      </c:pt>
                      <c:pt idx="71">
                        <c:v>35500</c:v>
                      </c:pt>
                      <c:pt idx="72">
                        <c:v>36000</c:v>
                      </c:pt>
                      <c:pt idx="73">
                        <c:v>36500</c:v>
                      </c:pt>
                      <c:pt idx="74">
                        <c:v>37000</c:v>
                      </c:pt>
                      <c:pt idx="75">
                        <c:v>37500</c:v>
                      </c:pt>
                      <c:pt idx="76">
                        <c:v>38000</c:v>
                      </c:pt>
                      <c:pt idx="77">
                        <c:v>38500</c:v>
                      </c:pt>
                      <c:pt idx="78">
                        <c:v>39000</c:v>
                      </c:pt>
                      <c:pt idx="79">
                        <c:v>39500</c:v>
                      </c:pt>
                      <c:pt idx="80">
                        <c:v>40000</c:v>
                      </c:pt>
                      <c:pt idx="81">
                        <c:v>40500</c:v>
                      </c:pt>
                      <c:pt idx="82">
                        <c:v>41000</c:v>
                      </c:pt>
                      <c:pt idx="83">
                        <c:v>41500</c:v>
                      </c:pt>
                      <c:pt idx="84">
                        <c:v>42000</c:v>
                      </c:pt>
                      <c:pt idx="85">
                        <c:v>42500</c:v>
                      </c:pt>
                      <c:pt idx="86">
                        <c:v>43000</c:v>
                      </c:pt>
                      <c:pt idx="87">
                        <c:v>43500</c:v>
                      </c:pt>
                      <c:pt idx="88">
                        <c:v>44000</c:v>
                      </c:pt>
                      <c:pt idx="89">
                        <c:v>44500</c:v>
                      </c:pt>
                      <c:pt idx="90">
                        <c:v>45000</c:v>
                      </c:pt>
                      <c:pt idx="91">
                        <c:v>45500</c:v>
                      </c:pt>
                      <c:pt idx="92">
                        <c:v>46000</c:v>
                      </c:pt>
                      <c:pt idx="93">
                        <c:v>46500</c:v>
                      </c:pt>
                      <c:pt idx="94">
                        <c:v>47000</c:v>
                      </c:pt>
                      <c:pt idx="95">
                        <c:v>47500</c:v>
                      </c:pt>
                      <c:pt idx="96">
                        <c:v>48000</c:v>
                      </c:pt>
                      <c:pt idx="97">
                        <c:v>48500</c:v>
                      </c:pt>
                      <c:pt idx="98">
                        <c:v>49000</c:v>
                      </c:pt>
                      <c:pt idx="99">
                        <c:v>49500</c:v>
                      </c:pt>
                      <c:pt idx="100">
                        <c:v>50000</c:v>
                      </c:pt>
                      <c:pt idx="101">
                        <c:v>50500</c:v>
                      </c:pt>
                      <c:pt idx="102">
                        <c:v>51000</c:v>
                      </c:pt>
                      <c:pt idx="103">
                        <c:v>51500</c:v>
                      </c:pt>
                      <c:pt idx="104">
                        <c:v>52000</c:v>
                      </c:pt>
                      <c:pt idx="105">
                        <c:v>52500</c:v>
                      </c:pt>
                      <c:pt idx="106">
                        <c:v>53000</c:v>
                      </c:pt>
                      <c:pt idx="107">
                        <c:v>53500</c:v>
                      </c:pt>
                      <c:pt idx="108">
                        <c:v>54000</c:v>
                      </c:pt>
                      <c:pt idx="109">
                        <c:v>54500</c:v>
                      </c:pt>
                      <c:pt idx="110">
                        <c:v>55000</c:v>
                      </c:pt>
                      <c:pt idx="111">
                        <c:v>55500</c:v>
                      </c:pt>
                      <c:pt idx="112">
                        <c:v>56000</c:v>
                      </c:pt>
                      <c:pt idx="113">
                        <c:v>56500</c:v>
                      </c:pt>
                      <c:pt idx="114">
                        <c:v>57000</c:v>
                      </c:pt>
                      <c:pt idx="115">
                        <c:v>57500</c:v>
                      </c:pt>
                      <c:pt idx="116">
                        <c:v>58000</c:v>
                      </c:pt>
                      <c:pt idx="117">
                        <c:v>58500</c:v>
                      </c:pt>
                      <c:pt idx="118">
                        <c:v>59000</c:v>
                      </c:pt>
                      <c:pt idx="119">
                        <c:v>59500</c:v>
                      </c:pt>
                      <c:pt idx="120">
                        <c:v>60000</c:v>
                      </c:pt>
                      <c:pt idx="121">
                        <c:v>60500</c:v>
                      </c:pt>
                      <c:pt idx="122">
                        <c:v>61000</c:v>
                      </c:pt>
                      <c:pt idx="123">
                        <c:v>61500</c:v>
                      </c:pt>
                      <c:pt idx="124">
                        <c:v>62000</c:v>
                      </c:pt>
                      <c:pt idx="125">
                        <c:v>62500</c:v>
                      </c:pt>
                      <c:pt idx="126">
                        <c:v>63000</c:v>
                      </c:pt>
                      <c:pt idx="127">
                        <c:v>63500</c:v>
                      </c:pt>
                      <c:pt idx="128">
                        <c:v>64000</c:v>
                      </c:pt>
                      <c:pt idx="129">
                        <c:v>64500</c:v>
                      </c:pt>
                      <c:pt idx="130">
                        <c:v>65000</c:v>
                      </c:pt>
                      <c:pt idx="131">
                        <c:v>65500</c:v>
                      </c:pt>
                      <c:pt idx="132">
                        <c:v>66000</c:v>
                      </c:pt>
                      <c:pt idx="133">
                        <c:v>66500</c:v>
                      </c:pt>
                      <c:pt idx="134">
                        <c:v>67000</c:v>
                      </c:pt>
                      <c:pt idx="135">
                        <c:v>67500</c:v>
                      </c:pt>
                      <c:pt idx="136">
                        <c:v>68000</c:v>
                      </c:pt>
                      <c:pt idx="137">
                        <c:v>68500</c:v>
                      </c:pt>
                      <c:pt idx="138">
                        <c:v>69000</c:v>
                      </c:pt>
                      <c:pt idx="139">
                        <c:v>69500</c:v>
                      </c:pt>
                      <c:pt idx="140">
                        <c:v>70000</c:v>
                      </c:pt>
                      <c:pt idx="141">
                        <c:v>70500</c:v>
                      </c:pt>
                      <c:pt idx="142">
                        <c:v>71000</c:v>
                      </c:pt>
                      <c:pt idx="143">
                        <c:v>71500</c:v>
                      </c:pt>
                      <c:pt idx="144">
                        <c:v>72000</c:v>
                      </c:pt>
                      <c:pt idx="145">
                        <c:v>72500</c:v>
                      </c:pt>
                      <c:pt idx="146">
                        <c:v>73000</c:v>
                      </c:pt>
                      <c:pt idx="147">
                        <c:v>73500</c:v>
                      </c:pt>
                      <c:pt idx="148">
                        <c:v>74000</c:v>
                      </c:pt>
                      <c:pt idx="149">
                        <c:v>74500</c:v>
                      </c:pt>
                      <c:pt idx="150">
                        <c:v>75000</c:v>
                      </c:pt>
                      <c:pt idx="151">
                        <c:v>75500</c:v>
                      </c:pt>
                      <c:pt idx="152">
                        <c:v>76000</c:v>
                      </c:pt>
                      <c:pt idx="153">
                        <c:v>76500</c:v>
                      </c:pt>
                      <c:pt idx="154">
                        <c:v>77000</c:v>
                      </c:pt>
                      <c:pt idx="155">
                        <c:v>77500</c:v>
                      </c:pt>
                      <c:pt idx="156">
                        <c:v>78000</c:v>
                      </c:pt>
                      <c:pt idx="157">
                        <c:v>78500</c:v>
                      </c:pt>
                      <c:pt idx="158">
                        <c:v>79000</c:v>
                      </c:pt>
                      <c:pt idx="159">
                        <c:v>79500</c:v>
                      </c:pt>
                      <c:pt idx="160">
                        <c:v>80000</c:v>
                      </c:pt>
                      <c:pt idx="161">
                        <c:v>80500</c:v>
                      </c:pt>
                      <c:pt idx="162">
                        <c:v>81000</c:v>
                      </c:pt>
                      <c:pt idx="163">
                        <c:v>81500</c:v>
                      </c:pt>
                      <c:pt idx="164">
                        <c:v>82000</c:v>
                      </c:pt>
                      <c:pt idx="165">
                        <c:v>82500</c:v>
                      </c:pt>
                      <c:pt idx="166">
                        <c:v>83000</c:v>
                      </c:pt>
                      <c:pt idx="167">
                        <c:v>83500</c:v>
                      </c:pt>
                      <c:pt idx="168">
                        <c:v>84000</c:v>
                      </c:pt>
                      <c:pt idx="169">
                        <c:v>84500</c:v>
                      </c:pt>
                      <c:pt idx="170">
                        <c:v>85000</c:v>
                      </c:pt>
                      <c:pt idx="171">
                        <c:v>85500</c:v>
                      </c:pt>
                      <c:pt idx="172">
                        <c:v>86000</c:v>
                      </c:pt>
                      <c:pt idx="173">
                        <c:v>86500</c:v>
                      </c:pt>
                      <c:pt idx="174">
                        <c:v>87000</c:v>
                      </c:pt>
                      <c:pt idx="175">
                        <c:v>87500</c:v>
                      </c:pt>
                      <c:pt idx="176">
                        <c:v>88000</c:v>
                      </c:pt>
                      <c:pt idx="177">
                        <c:v>88500</c:v>
                      </c:pt>
                      <c:pt idx="178">
                        <c:v>89000</c:v>
                      </c:pt>
                      <c:pt idx="179">
                        <c:v>89500</c:v>
                      </c:pt>
                      <c:pt idx="180">
                        <c:v>90000</c:v>
                      </c:pt>
                      <c:pt idx="181">
                        <c:v>90500</c:v>
                      </c:pt>
                      <c:pt idx="182">
                        <c:v>91000</c:v>
                      </c:pt>
                      <c:pt idx="183">
                        <c:v>91500</c:v>
                      </c:pt>
                      <c:pt idx="184">
                        <c:v>92000</c:v>
                      </c:pt>
                      <c:pt idx="185">
                        <c:v>92500</c:v>
                      </c:pt>
                      <c:pt idx="186">
                        <c:v>93000</c:v>
                      </c:pt>
                      <c:pt idx="187">
                        <c:v>93500</c:v>
                      </c:pt>
                      <c:pt idx="188">
                        <c:v>94000</c:v>
                      </c:pt>
                      <c:pt idx="189">
                        <c:v>94500</c:v>
                      </c:pt>
                      <c:pt idx="190">
                        <c:v>95000</c:v>
                      </c:pt>
                      <c:pt idx="191">
                        <c:v>95500</c:v>
                      </c:pt>
                      <c:pt idx="192">
                        <c:v>96000</c:v>
                      </c:pt>
                      <c:pt idx="193">
                        <c:v>96500</c:v>
                      </c:pt>
                      <c:pt idx="194">
                        <c:v>97000</c:v>
                      </c:pt>
                      <c:pt idx="195">
                        <c:v>97500</c:v>
                      </c:pt>
                      <c:pt idx="196">
                        <c:v>98000</c:v>
                      </c:pt>
                      <c:pt idx="197">
                        <c:v>98500</c:v>
                      </c:pt>
                      <c:pt idx="198">
                        <c:v>99000</c:v>
                      </c:pt>
                      <c:pt idx="199">
                        <c:v>99500</c:v>
                      </c:pt>
                      <c:pt idx="200">
                        <c:v>100000</c:v>
                      </c:pt>
                    </c:numCache>
                  </c:numRef>
                </c:cat>
                <c:val>
                  <c:numRef>
                    <c:extLst>
                      <c:ext uri="{02D57815-91ED-43cb-92C2-25804820EDAC}">
                        <c15:formulaRef>
                          <c15:sqref>'Use this for graphs'!$A$2:$A$202</c15:sqref>
                        </c15:formulaRef>
                      </c:ext>
                    </c:extLst>
                    <c:numCache>
                      <c:formatCode>"$"#,##0</c:formatCode>
                      <c:ptCount val="201"/>
                      <c:pt idx="0">
                        <c:v>0</c:v>
                      </c:pt>
                      <c:pt idx="1">
                        <c:v>500</c:v>
                      </c:pt>
                      <c:pt idx="2">
                        <c:v>1000</c:v>
                      </c:pt>
                      <c:pt idx="3">
                        <c:v>1500</c:v>
                      </c:pt>
                      <c:pt idx="4">
                        <c:v>2000</c:v>
                      </c:pt>
                      <c:pt idx="5">
                        <c:v>2500</c:v>
                      </c:pt>
                      <c:pt idx="6">
                        <c:v>3000</c:v>
                      </c:pt>
                      <c:pt idx="7">
                        <c:v>3500</c:v>
                      </c:pt>
                      <c:pt idx="8">
                        <c:v>4000</c:v>
                      </c:pt>
                      <c:pt idx="9">
                        <c:v>4500</c:v>
                      </c:pt>
                      <c:pt idx="10">
                        <c:v>5000</c:v>
                      </c:pt>
                      <c:pt idx="11">
                        <c:v>5500</c:v>
                      </c:pt>
                      <c:pt idx="12">
                        <c:v>6000</c:v>
                      </c:pt>
                      <c:pt idx="13">
                        <c:v>6500</c:v>
                      </c:pt>
                      <c:pt idx="14">
                        <c:v>7000</c:v>
                      </c:pt>
                      <c:pt idx="15">
                        <c:v>7500</c:v>
                      </c:pt>
                      <c:pt idx="16">
                        <c:v>8000</c:v>
                      </c:pt>
                      <c:pt idx="17">
                        <c:v>8500</c:v>
                      </c:pt>
                      <c:pt idx="18">
                        <c:v>9000</c:v>
                      </c:pt>
                      <c:pt idx="19">
                        <c:v>9500</c:v>
                      </c:pt>
                      <c:pt idx="20">
                        <c:v>10000</c:v>
                      </c:pt>
                      <c:pt idx="21">
                        <c:v>10500</c:v>
                      </c:pt>
                      <c:pt idx="22">
                        <c:v>11000</c:v>
                      </c:pt>
                      <c:pt idx="23">
                        <c:v>11500</c:v>
                      </c:pt>
                      <c:pt idx="24">
                        <c:v>12000</c:v>
                      </c:pt>
                      <c:pt idx="25">
                        <c:v>12500</c:v>
                      </c:pt>
                      <c:pt idx="26">
                        <c:v>13000</c:v>
                      </c:pt>
                      <c:pt idx="27">
                        <c:v>13500</c:v>
                      </c:pt>
                      <c:pt idx="28">
                        <c:v>14000</c:v>
                      </c:pt>
                      <c:pt idx="29">
                        <c:v>14500</c:v>
                      </c:pt>
                      <c:pt idx="30">
                        <c:v>15000</c:v>
                      </c:pt>
                      <c:pt idx="31">
                        <c:v>15500</c:v>
                      </c:pt>
                      <c:pt idx="32">
                        <c:v>16000</c:v>
                      </c:pt>
                      <c:pt idx="33">
                        <c:v>16500</c:v>
                      </c:pt>
                      <c:pt idx="34">
                        <c:v>17000</c:v>
                      </c:pt>
                      <c:pt idx="35">
                        <c:v>17500</c:v>
                      </c:pt>
                      <c:pt idx="36">
                        <c:v>18000</c:v>
                      </c:pt>
                      <c:pt idx="37">
                        <c:v>18500</c:v>
                      </c:pt>
                      <c:pt idx="38">
                        <c:v>19000</c:v>
                      </c:pt>
                      <c:pt idx="39">
                        <c:v>19500</c:v>
                      </c:pt>
                      <c:pt idx="40">
                        <c:v>20000</c:v>
                      </c:pt>
                      <c:pt idx="41">
                        <c:v>20500</c:v>
                      </c:pt>
                      <c:pt idx="42">
                        <c:v>21000</c:v>
                      </c:pt>
                      <c:pt idx="43">
                        <c:v>21500</c:v>
                      </c:pt>
                      <c:pt idx="44">
                        <c:v>22000</c:v>
                      </c:pt>
                      <c:pt idx="45">
                        <c:v>22500</c:v>
                      </c:pt>
                      <c:pt idx="46">
                        <c:v>23000</c:v>
                      </c:pt>
                      <c:pt idx="47">
                        <c:v>23500</c:v>
                      </c:pt>
                      <c:pt idx="48">
                        <c:v>24000</c:v>
                      </c:pt>
                      <c:pt idx="49">
                        <c:v>24500</c:v>
                      </c:pt>
                      <c:pt idx="50">
                        <c:v>25000</c:v>
                      </c:pt>
                      <c:pt idx="51">
                        <c:v>25500</c:v>
                      </c:pt>
                      <c:pt idx="52">
                        <c:v>26000</c:v>
                      </c:pt>
                      <c:pt idx="53">
                        <c:v>26500</c:v>
                      </c:pt>
                      <c:pt idx="54">
                        <c:v>27000</c:v>
                      </c:pt>
                      <c:pt idx="55">
                        <c:v>27500</c:v>
                      </c:pt>
                      <c:pt idx="56">
                        <c:v>28000</c:v>
                      </c:pt>
                      <c:pt idx="57">
                        <c:v>28500</c:v>
                      </c:pt>
                      <c:pt idx="58">
                        <c:v>29000</c:v>
                      </c:pt>
                      <c:pt idx="59">
                        <c:v>29500</c:v>
                      </c:pt>
                      <c:pt idx="60">
                        <c:v>30000</c:v>
                      </c:pt>
                      <c:pt idx="61">
                        <c:v>30500</c:v>
                      </c:pt>
                      <c:pt idx="62">
                        <c:v>31000</c:v>
                      </c:pt>
                      <c:pt idx="63">
                        <c:v>31500</c:v>
                      </c:pt>
                      <c:pt idx="64">
                        <c:v>32000</c:v>
                      </c:pt>
                      <c:pt idx="65">
                        <c:v>32500</c:v>
                      </c:pt>
                      <c:pt idx="66">
                        <c:v>33000</c:v>
                      </c:pt>
                      <c:pt idx="67">
                        <c:v>33500</c:v>
                      </c:pt>
                      <c:pt idx="68">
                        <c:v>34000</c:v>
                      </c:pt>
                      <c:pt idx="69">
                        <c:v>34500</c:v>
                      </c:pt>
                      <c:pt idx="70">
                        <c:v>35000</c:v>
                      </c:pt>
                      <c:pt idx="71">
                        <c:v>35500</c:v>
                      </c:pt>
                      <c:pt idx="72">
                        <c:v>36000</c:v>
                      </c:pt>
                      <c:pt idx="73">
                        <c:v>36500</c:v>
                      </c:pt>
                      <c:pt idx="74">
                        <c:v>37000</c:v>
                      </c:pt>
                      <c:pt idx="75">
                        <c:v>37500</c:v>
                      </c:pt>
                      <c:pt idx="76">
                        <c:v>38000</c:v>
                      </c:pt>
                      <c:pt idx="77">
                        <c:v>38500</c:v>
                      </c:pt>
                      <c:pt idx="78">
                        <c:v>39000</c:v>
                      </c:pt>
                      <c:pt idx="79">
                        <c:v>39500</c:v>
                      </c:pt>
                      <c:pt idx="80">
                        <c:v>40000</c:v>
                      </c:pt>
                      <c:pt idx="81">
                        <c:v>40500</c:v>
                      </c:pt>
                      <c:pt idx="82">
                        <c:v>41000</c:v>
                      </c:pt>
                      <c:pt idx="83">
                        <c:v>41500</c:v>
                      </c:pt>
                      <c:pt idx="84">
                        <c:v>42000</c:v>
                      </c:pt>
                      <c:pt idx="85">
                        <c:v>42500</c:v>
                      </c:pt>
                      <c:pt idx="86">
                        <c:v>43000</c:v>
                      </c:pt>
                      <c:pt idx="87">
                        <c:v>43500</c:v>
                      </c:pt>
                      <c:pt idx="88">
                        <c:v>44000</c:v>
                      </c:pt>
                      <c:pt idx="89">
                        <c:v>44500</c:v>
                      </c:pt>
                      <c:pt idx="90">
                        <c:v>45000</c:v>
                      </c:pt>
                      <c:pt idx="91">
                        <c:v>45500</c:v>
                      </c:pt>
                      <c:pt idx="92">
                        <c:v>46000</c:v>
                      </c:pt>
                      <c:pt idx="93">
                        <c:v>46500</c:v>
                      </c:pt>
                      <c:pt idx="94">
                        <c:v>47000</c:v>
                      </c:pt>
                      <c:pt idx="95">
                        <c:v>47500</c:v>
                      </c:pt>
                      <c:pt idx="96">
                        <c:v>48000</c:v>
                      </c:pt>
                      <c:pt idx="97">
                        <c:v>48500</c:v>
                      </c:pt>
                      <c:pt idx="98">
                        <c:v>49000</c:v>
                      </c:pt>
                      <c:pt idx="99">
                        <c:v>49500</c:v>
                      </c:pt>
                      <c:pt idx="100">
                        <c:v>50000</c:v>
                      </c:pt>
                      <c:pt idx="101">
                        <c:v>50500</c:v>
                      </c:pt>
                      <c:pt idx="102">
                        <c:v>51000</c:v>
                      </c:pt>
                      <c:pt idx="103">
                        <c:v>51500</c:v>
                      </c:pt>
                      <c:pt idx="104">
                        <c:v>52000</c:v>
                      </c:pt>
                      <c:pt idx="105">
                        <c:v>52500</c:v>
                      </c:pt>
                      <c:pt idx="106">
                        <c:v>53000</c:v>
                      </c:pt>
                      <c:pt idx="107">
                        <c:v>53500</c:v>
                      </c:pt>
                      <c:pt idx="108">
                        <c:v>54000</c:v>
                      </c:pt>
                      <c:pt idx="109">
                        <c:v>54500</c:v>
                      </c:pt>
                      <c:pt idx="110">
                        <c:v>55000</c:v>
                      </c:pt>
                      <c:pt idx="111">
                        <c:v>55500</c:v>
                      </c:pt>
                      <c:pt idx="112">
                        <c:v>56000</c:v>
                      </c:pt>
                      <c:pt idx="113">
                        <c:v>56500</c:v>
                      </c:pt>
                      <c:pt idx="114">
                        <c:v>57000</c:v>
                      </c:pt>
                      <c:pt idx="115">
                        <c:v>57500</c:v>
                      </c:pt>
                      <c:pt idx="116">
                        <c:v>58000</c:v>
                      </c:pt>
                      <c:pt idx="117">
                        <c:v>58500</c:v>
                      </c:pt>
                      <c:pt idx="118">
                        <c:v>59000</c:v>
                      </c:pt>
                      <c:pt idx="119">
                        <c:v>59500</c:v>
                      </c:pt>
                      <c:pt idx="120">
                        <c:v>60000</c:v>
                      </c:pt>
                      <c:pt idx="121">
                        <c:v>60500</c:v>
                      </c:pt>
                      <c:pt idx="122">
                        <c:v>61000</c:v>
                      </c:pt>
                      <c:pt idx="123">
                        <c:v>61500</c:v>
                      </c:pt>
                      <c:pt idx="124">
                        <c:v>62000</c:v>
                      </c:pt>
                      <c:pt idx="125">
                        <c:v>62500</c:v>
                      </c:pt>
                      <c:pt idx="126">
                        <c:v>63000</c:v>
                      </c:pt>
                      <c:pt idx="127">
                        <c:v>63500</c:v>
                      </c:pt>
                      <c:pt idx="128">
                        <c:v>64000</c:v>
                      </c:pt>
                      <c:pt idx="129">
                        <c:v>64500</c:v>
                      </c:pt>
                      <c:pt idx="130">
                        <c:v>65000</c:v>
                      </c:pt>
                      <c:pt idx="131">
                        <c:v>65500</c:v>
                      </c:pt>
                      <c:pt idx="132">
                        <c:v>66000</c:v>
                      </c:pt>
                      <c:pt idx="133">
                        <c:v>66500</c:v>
                      </c:pt>
                      <c:pt idx="134">
                        <c:v>67000</c:v>
                      </c:pt>
                      <c:pt idx="135">
                        <c:v>67500</c:v>
                      </c:pt>
                      <c:pt idx="136">
                        <c:v>68000</c:v>
                      </c:pt>
                      <c:pt idx="137">
                        <c:v>68500</c:v>
                      </c:pt>
                      <c:pt idx="138">
                        <c:v>69000</c:v>
                      </c:pt>
                      <c:pt idx="139">
                        <c:v>69500</c:v>
                      </c:pt>
                      <c:pt idx="140">
                        <c:v>70000</c:v>
                      </c:pt>
                      <c:pt idx="141">
                        <c:v>70500</c:v>
                      </c:pt>
                      <c:pt idx="142">
                        <c:v>71000</c:v>
                      </c:pt>
                      <c:pt idx="143">
                        <c:v>71500</c:v>
                      </c:pt>
                      <c:pt idx="144">
                        <c:v>72000</c:v>
                      </c:pt>
                      <c:pt idx="145">
                        <c:v>72500</c:v>
                      </c:pt>
                      <c:pt idx="146">
                        <c:v>73000</c:v>
                      </c:pt>
                      <c:pt idx="147">
                        <c:v>73500</c:v>
                      </c:pt>
                      <c:pt idx="148">
                        <c:v>74000</c:v>
                      </c:pt>
                      <c:pt idx="149">
                        <c:v>74500</c:v>
                      </c:pt>
                      <c:pt idx="150">
                        <c:v>75000</c:v>
                      </c:pt>
                      <c:pt idx="151">
                        <c:v>75500</c:v>
                      </c:pt>
                      <c:pt idx="152">
                        <c:v>76000</c:v>
                      </c:pt>
                      <c:pt idx="153">
                        <c:v>76500</c:v>
                      </c:pt>
                      <c:pt idx="154">
                        <c:v>77000</c:v>
                      </c:pt>
                      <c:pt idx="155">
                        <c:v>77500</c:v>
                      </c:pt>
                      <c:pt idx="156">
                        <c:v>78000</c:v>
                      </c:pt>
                      <c:pt idx="157">
                        <c:v>78500</c:v>
                      </c:pt>
                      <c:pt idx="158">
                        <c:v>79000</c:v>
                      </c:pt>
                      <c:pt idx="159">
                        <c:v>79500</c:v>
                      </c:pt>
                      <c:pt idx="160">
                        <c:v>80000</c:v>
                      </c:pt>
                      <c:pt idx="161">
                        <c:v>80500</c:v>
                      </c:pt>
                      <c:pt idx="162">
                        <c:v>81000</c:v>
                      </c:pt>
                      <c:pt idx="163">
                        <c:v>81500</c:v>
                      </c:pt>
                      <c:pt idx="164">
                        <c:v>82000</c:v>
                      </c:pt>
                      <c:pt idx="165">
                        <c:v>82500</c:v>
                      </c:pt>
                      <c:pt idx="166">
                        <c:v>83000</c:v>
                      </c:pt>
                      <c:pt idx="167">
                        <c:v>83500</c:v>
                      </c:pt>
                      <c:pt idx="168">
                        <c:v>84000</c:v>
                      </c:pt>
                      <c:pt idx="169">
                        <c:v>84500</c:v>
                      </c:pt>
                      <c:pt idx="170">
                        <c:v>85000</c:v>
                      </c:pt>
                      <c:pt idx="171">
                        <c:v>85500</c:v>
                      </c:pt>
                      <c:pt idx="172">
                        <c:v>86000</c:v>
                      </c:pt>
                      <c:pt idx="173">
                        <c:v>86500</c:v>
                      </c:pt>
                      <c:pt idx="174">
                        <c:v>87000</c:v>
                      </c:pt>
                      <c:pt idx="175">
                        <c:v>87500</c:v>
                      </c:pt>
                      <c:pt idx="176">
                        <c:v>88000</c:v>
                      </c:pt>
                      <c:pt idx="177">
                        <c:v>88500</c:v>
                      </c:pt>
                      <c:pt idx="178">
                        <c:v>89000</c:v>
                      </c:pt>
                      <c:pt idx="179">
                        <c:v>89500</c:v>
                      </c:pt>
                      <c:pt idx="180">
                        <c:v>90000</c:v>
                      </c:pt>
                      <c:pt idx="181">
                        <c:v>90500</c:v>
                      </c:pt>
                      <c:pt idx="182">
                        <c:v>91000</c:v>
                      </c:pt>
                      <c:pt idx="183">
                        <c:v>91500</c:v>
                      </c:pt>
                      <c:pt idx="184">
                        <c:v>92000</c:v>
                      </c:pt>
                      <c:pt idx="185">
                        <c:v>92500</c:v>
                      </c:pt>
                      <c:pt idx="186">
                        <c:v>93000</c:v>
                      </c:pt>
                      <c:pt idx="187">
                        <c:v>93500</c:v>
                      </c:pt>
                      <c:pt idx="188">
                        <c:v>94000</c:v>
                      </c:pt>
                      <c:pt idx="189">
                        <c:v>94500</c:v>
                      </c:pt>
                      <c:pt idx="190">
                        <c:v>95000</c:v>
                      </c:pt>
                      <c:pt idx="191">
                        <c:v>95500</c:v>
                      </c:pt>
                      <c:pt idx="192">
                        <c:v>96000</c:v>
                      </c:pt>
                      <c:pt idx="193">
                        <c:v>96500</c:v>
                      </c:pt>
                      <c:pt idx="194">
                        <c:v>97000</c:v>
                      </c:pt>
                      <c:pt idx="195">
                        <c:v>97500</c:v>
                      </c:pt>
                      <c:pt idx="196">
                        <c:v>98000</c:v>
                      </c:pt>
                      <c:pt idx="197">
                        <c:v>98500</c:v>
                      </c:pt>
                      <c:pt idx="198">
                        <c:v>99000</c:v>
                      </c:pt>
                      <c:pt idx="199">
                        <c:v>99500</c:v>
                      </c:pt>
                      <c:pt idx="200">
                        <c:v>100000</c:v>
                      </c:pt>
                    </c:numCache>
                  </c:numRef>
                </c:val>
                <c:extLst>
                  <c:ext xmlns:c16="http://schemas.microsoft.com/office/drawing/2014/chart" uri="{C3380CC4-5D6E-409C-BE32-E72D297353CC}">
                    <c16:uniqueId val="{00000004-9161-490F-91EC-5745335BC484}"/>
                  </c:ext>
                </c:extLst>
              </c15:ser>
            </c15:filteredAreaSeries>
            <c15:filteredAreaSeries>
              <c15:ser>
                <c:idx val="5"/>
                <c:order val="1"/>
                <c:tx>
                  <c:strRef>
                    <c:extLst xmlns:c15="http://schemas.microsoft.com/office/drawing/2012/chart">
                      <c:ext xmlns:c15="http://schemas.microsoft.com/office/drawing/2012/chart" uri="{02D57815-91ED-43cb-92C2-25804820EDAC}">
                        <c15:formulaRef>
                          <c15:sqref>'Use this for graphs'!$B$1</c15:sqref>
                        </c15:formulaRef>
                      </c:ext>
                    </c:extLst>
                    <c:strCache>
                      <c:ptCount val="1"/>
                      <c:pt idx="0">
                        <c:v>Monthly earned income</c:v>
                      </c:pt>
                    </c:strCache>
                  </c:strRef>
                </c:tx>
                <c:spPr>
                  <a:solidFill>
                    <a:schemeClr val="accent6"/>
                  </a:solidFill>
                  <a:ln>
                    <a:noFill/>
                  </a:ln>
                  <a:effectLst/>
                </c:spPr>
                <c:cat>
                  <c:numRef>
                    <c:extLst xmlns:c15="http://schemas.microsoft.com/office/drawing/2012/chart">
                      <c:ext xmlns:c15="http://schemas.microsoft.com/office/drawing/2012/chart" uri="{02D57815-91ED-43cb-92C2-25804820EDAC}">
                        <c15:formulaRef>
                          <c15:sqref>'Use this for graphs'!$A$2:$A$202</c15:sqref>
                        </c15:formulaRef>
                      </c:ext>
                    </c:extLst>
                    <c:numCache>
                      <c:formatCode>"$"#,##0</c:formatCode>
                      <c:ptCount val="201"/>
                      <c:pt idx="0">
                        <c:v>0</c:v>
                      </c:pt>
                      <c:pt idx="1">
                        <c:v>500</c:v>
                      </c:pt>
                      <c:pt idx="2">
                        <c:v>1000</c:v>
                      </c:pt>
                      <c:pt idx="3">
                        <c:v>1500</c:v>
                      </c:pt>
                      <c:pt idx="4">
                        <c:v>2000</c:v>
                      </c:pt>
                      <c:pt idx="5">
                        <c:v>2500</c:v>
                      </c:pt>
                      <c:pt idx="6">
                        <c:v>3000</c:v>
                      </c:pt>
                      <c:pt idx="7">
                        <c:v>3500</c:v>
                      </c:pt>
                      <c:pt idx="8">
                        <c:v>4000</c:v>
                      </c:pt>
                      <c:pt idx="9">
                        <c:v>4500</c:v>
                      </c:pt>
                      <c:pt idx="10">
                        <c:v>5000</c:v>
                      </c:pt>
                      <c:pt idx="11">
                        <c:v>5500</c:v>
                      </c:pt>
                      <c:pt idx="12">
                        <c:v>6000</c:v>
                      </c:pt>
                      <c:pt idx="13">
                        <c:v>6500</c:v>
                      </c:pt>
                      <c:pt idx="14">
                        <c:v>7000</c:v>
                      </c:pt>
                      <c:pt idx="15">
                        <c:v>7500</c:v>
                      </c:pt>
                      <c:pt idx="16">
                        <c:v>8000</c:v>
                      </c:pt>
                      <c:pt idx="17">
                        <c:v>8500</c:v>
                      </c:pt>
                      <c:pt idx="18">
                        <c:v>9000</c:v>
                      </c:pt>
                      <c:pt idx="19">
                        <c:v>9500</c:v>
                      </c:pt>
                      <c:pt idx="20">
                        <c:v>10000</c:v>
                      </c:pt>
                      <c:pt idx="21">
                        <c:v>10500</c:v>
                      </c:pt>
                      <c:pt idx="22">
                        <c:v>11000</c:v>
                      </c:pt>
                      <c:pt idx="23">
                        <c:v>11500</c:v>
                      </c:pt>
                      <c:pt idx="24">
                        <c:v>12000</c:v>
                      </c:pt>
                      <c:pt idx="25">
                        <c:v>12500</c:v>
                      </c:pt>
                      <c:pt idx="26">
                        <c:v>13000</c:v>
                      </c:pt>
                      <c:pt idx="27">
                        <c:v>13500</c:v>
                      </c:pt>
                      <c:pt idx="28">
                        <c:v>14000</c:v>
                      </c:pt>
                      <c:pt idx="29">
                        <c:v>14500</c:v>
                      </c:pt>
                      <c:pt idx="30">
                        <c:v>15000</c:v>
                      </c:pt>
                      <c:pt idx="31">
                        <c:v>15500</c:v>
                      </c:pt>
                      <c:pt idx="32">
                        <c:v>16000</c:v>
                      </c:pt>
                      <c:pt idx="33">
                        <c:v>16500</c:v>
                      </c:pt>
                      <c:pt idx="34">
                        <c:v>17000</c:v>
                      </c:pt>
                      <c:pt idx="35">
                        <c:v>17500</c:v>
                      </c:pt>
                      <c:pt idx="36">
                        <c:v>18000</c:v>
                      </c:pt>
                      <c:pt idx="37">
                        <c:v>18500</c:v>
                      </c:pt>
                      <c:pt idx="38">
                        <c:v>19000</c:v>
                      </c:pt>
                      <c:pt idx="39">
                        <c:v>19500</c:v>
                      </c:pt>
                      <c:pt idx="40">
                        <c:v>20000</c:v>
                      </c:pt>
                      <c:pt idx="41">
                        <c:v>20500</c:v>
                      </c:pt>
                      <c:pt idx="42">
                        <c:v>21000</c:v>
                      </c:pt>
                      <c:pt idx="43">
                        <c:v>21500</c:v>
                      </c:pt>
                      <c:pt idx="44">
                        <c:v>22000</c:v>
                      </c:pt>
                      <c:pt idx="45">
                        <c:v>22500</c:v>
                      </c:pt>
                      <c:pt idx="46">
                        <c:v>23000</c:v>
                      </c:pt>
                      <c:pt idx="47">
                        <c:v>23500</c:v>
                      </c:pt>
                      <c:pt idx="48">
                        <c:v>24000</c:v>
                      </c:pt>
                      <c:pt idx="49">
                        <c:v>24500</c:v>
                      </c:pt>
                      <c:pt idx="50">
                        <c:v>25000</c:v>
                      </c:pt>
                      <c:pt idx="51">
                        <c:v>25500</c:v>
                      </c:pt>
                      <c:pt idx="52">
                        <c:v>26000</c:v>
                      </c:pt>
                      <c:pt idx="53">
                        <c:v>26500</c:v>
                      </c:pt>
                      <c:pt idx="54">
                        <c:v>27000</c:v>
                      </c:pt>
                      <c:pt idx="55">
                        <c:v>27500</c:v>
                      </c:pt>
                      <c:pt idx="56">
                        <c:v>28000</c:v>
                      </c:pt>
                      <c:pt idx="57">
                        <c:v>28500</c:v>
                      </c:pt>
                      <c:pt idx="58">
                        <c:v>29000</c:v>
                      </c:pt>
                      <c:pt idx="59">
                        <c:v>29500</c:v>
                      </c:pt>
                      <c:pt idx="60">
                        <c:v>30000</c:v>
                      </c:pt>
                      <c:pt idx="61">
                        <c:v>30500</c:v>
                      </c:pt>
                      <c:pt idx="62">
                        <c:v>31000</c:v>
                      </c:pt>
                      <c:pt idx="63">
                        <c:v>31500</c:v>
                      </c:pt>
                      <c:pt idx="64">
                        <c:v>32000</c:v>
                      </c:pt>
                      <c:pt idx="65">
                        <c:v>32500</c:v>
                      </c:pt>
                      <c:pt idx="66">
                        <c:v>33000</c:v>
                      </c:pt>
                      <c:pt idx="67">
                        <c:v>33500</c:v>
                      </c:pt>
                      <c:pt idx="68">
                        <c:v>34000</c:v>
                      </c:pt>
                      <c:pt idx="69">
                        <c:v>34500</c:v>
                      </c:pt>
                      <c:pt idx="70">
                        <c:v>35000</c:v>
                      </c:pt>
                      <c:pt idx="71">
                        <c:v>35500</c:v>
                      </c:pt>
                      <c:pt idx="72">
                        <c:v>36000</c:v>
                      </c:pt>
                      <c:pt idx="73">
                        <c:v>36500</c:v>
                      </c:pt>
                      <c:pt idx="74">
                        <c:v>37000</c:v>
                      </c:pt>
                      <c:pt idx="75">
                        <c:v>37500</c:v>
                      </c:pt>
                      <c:pt idx="76">
                        <c:v>38000</c:v>
                      </c:pt>
                      <c:pt idx="77">
                        <c:v>38500</c:v>
                      </c:pt>
                      <c:pt idx="78">
                        <c:v>39000</c:v>
                      </c:pt>
                      <c:pt idx="79">
                        <c:v>39500</c:v>
                      </c:pt>
                      <c:pt idx="80">
                        <c:v>40000</c:v>
                      </c:pt>
                      <c:pt idx="81">
                        <c:v>40500</c:v>
                      </c:pt>
                      <c:pt idx="82">
                        <c:v>41000</c:v>
                      </c:pt>
                      <c:pt idx="83">
                        <c:v>41500</c:v>
                      </c:pt>
                      <c:pt idx="84">
                        <c:v>42000</c:v>
                      </c:pt>
                      <c:pt idx="85">
                        <c:v>42500</c:v>
                      </c:pt>
                      <c:pt idx="86">
                        <c:v>43000</c:v>
                      </c:pt>
                      <c:pt idx="87">
                        <c:v>43500</c:v>
                      </c:pt>
                      <c:pt idx="88">
                        <c:v>44000</c:v>
                      </c:pt>
                      <c:pt idx="89">
                        <c:v>44500</c:v>
                      </c:pt>
                      <c:pt idx="90">
                        <c:v>45000</c:v>
                      </c:pt>
                      <c:pt idx="91">
                        <c:v>45500</c:v>
                      </c:pt>
                      <c:pt idx="92">
                        <c:v>46000</c:v>
                      </c:pt>
                      <c:pt idx="93">
                        <c:v>46500</c:v>
                      </c:pt>
                      <c:pt idx="94">
                        <c:v>47000</c:v>
                      </c:pt>
                      <c:pt idx="95">
                        <c:v>47500</c:v>
                      </c:pt>
                      <c:pt idx="96">
                        <c:v>48000</c:v>
                      </c:pt>
                      <c:pt idx="97">
                        <c:v>48500</c:v>
                      </c:pt>
                      <c:pt idx="98">
                        <c:v>49000</c:v>
                      </c:pt>
                      <c:pt idx="99">
                        <c:v>49500</c:v>
                      </c:pt>
                      <c:pt idx="100">
                        <c:v>50000</c:v>
                      </c:pt>
                      <c:pt idx="101">
                        <c:v>50500</c:v>
                      </c:pt>
                      <c:pt idx="102">
                        <c:v>51000</c:v>
                      </c:pt>
                      <c:pt idx="103">
                        <c:v>51500</c:v>
                      </c:pt>
                      <c:pt idx="104">
                        <c:v>52000</c:v>
                      </c:pt>
                      <c:pt idx="105">
                        <c:v>52500</c:v>
                      </c:pt>
                      <c:pt idx="106">
                        <c:v>53000</c:v>
                      </c:pt>
                      <c:pt idx="107">
                        <c:v>53500</c:v>
                      </c:pt>
                      <c:pt idx="108">
                        <c:v>54000</c:v>
                      </c:pt>
                      <c:pt idx="109">
                        <c:v>54500</c:v>
                      </c:pt>
                      <c:pt idx="110">
                        <c:v>55000</c:v>
                      </c:pt>
                      <c:pt idx="111">
                        <c:v>55500</c:v>
                      </c:pt>
                      <c:pt idx="112">
                        <c:v>56000</c:v>
                      </c:pt>
                      <c:pt idx="113">
                        <c:v>56500</c:v>
                      </c:pt>
                      <c:pt idx="114">
                        <c:v>57000</c:v>
                      </c:pt>
                      <c:pt idx="115">
                        <c:v>57500</c:v>
                      </c:pt>
                      <c:pt idx="116">
                        <c:v>58000</c:v>
                      </c:pt>
                      <c:pt idx="117">
                        <c:v>58500</c:v>
                      </c:pt>
                      <c:pt idx="118">
                        <c:v>59000</c:v>
                      </c:pt>
                      <c:pt idx="119">
                        <c:v>59500</c:v>
                      </c:pt>
                      <c:pt idx="120">
                        <c:v>60000</c:v>
                      </c:pt>
                      <c:pt idx="121">
                        <c:v>60500</c:v>
                      </c:pt>
                      <c:pt idx="122">
                        <c:v>61000</c:v>
                      </c:pt>
                      <c:pt idx="123">
                        <c:v>61500</c:v>
                      </c:pt>
                      <c:pt idx="124">
                        <c:v>62000</c:v>
                      </c:pt>
                      <c:pt idx="125">
                        <c:v>62500</c:v>
                      </c:pt>
                      <c:pt idx="126">
                        <c:v>63000</c:v>
                      </c:pt>
                      <c:pt idx="127">
                        <c:v>63500</c:v>
                      </c:pt>
                      <c:pt idx="128">
                        <c:v>64000</c:v>
                      </c:pt>
                      <c:pt idx="129">
                        <c:v>64500</c:v>
                      </c:pt>
                      <c:pt idx="130">
                        <c:v>65000</c:v>
                      </c:pt>
                      <c:pt idx="131">
                        <c:v>65500</c:v>
                      </c:pt>
                      <c:pt idx="132">
                        <c:v>66000</c:v>
                      </c:pt>
                      <c:pt idx="133">
                        <c:v>66500</c:v>
                      </c:pt>
                      <c:pt idx="134">
                        <c:v>67000</c:v>
                      </c:pt>
                      <c:pt idx="135">
                        <c:v>67500</c:v>
                      </c:pt>
                      <c:pt idx="136">
                        <c:v>68000</c:v>
                      </c:pt>
                      <c:pt idx="137">
                        <c:v>68500</c:v>
                      </c:pt>
                      <c:pt idx="138">
                        <c:v>69000</c:v>
                      </c:pt>
                      <c:pt idx="139">
                        <c:v>69500</c:v>
                      </c:pt>
                      <c:pt idx="140">
                        <c:v>70000</c:v>
                      </c:pt>
                      <c:pt idx="141">
                        <c:v>70500</c:v>
                      </c:pt>
                      <c:pt idx="142">
                        <c:v>71000</c:v>
                      </c:pt>
                      <c:pt idx="143">
                        <c:v>71500</c:v>
                      </c:pt>
                      <c:pt idx="144">
                        <c:v>72000</c:v>
                      </c:pt>
                      <c:pt idx="145">
                        <c:v>72500</c:v>
                      </c:pt>
                      <c:pt idx="146">
                        <c:v>73000</c:v>
                      </c:pt>
                      <c:pt idx="147">
                        <c:v>73500</c:v>
                      </c:pt>
                      <c:pt idx="148">
                        <c:v>74000</c:v>
                      </c:pt>
                      <c:pt idx="149">
                        <c:v>74500</c:v>
                      </c:pt>
                      <c:pt idx="150">
                        <c:v>75000</c:v>
                      </c:pt>
                      <c:pt idx="151">
                        <c:v>75500</c:v>
                      </c:pt>
                      <c:pt idx="152">
                        <c:v>76000</c:v>
                      </c:pt>
                      <c:pt idx="153">
                        <c:v>76500</c:v>
                      </c:pt>
                      <c:pt idx="154">
                        <c:v>77000</c:v>
                      </c:pt>
                      <c:pt idx="155">
                        <c:v>77500</c:v>
                      </c:pt>
                      <c:pt idx="156">
                        <c:v>78000</c:v>
                      </c:pt>
                      <c:pt idx="157">
                        <c:v>78500</c:v>
                      </c:pt>
                      <c:pt idx="158">
                        <c:v>79000</c:v>
                      </c:pt>
                      <c:pt idx="159">
                        <c:v>79500</c:v>
                      </c:pt>
                      <c:pt idx="160">
                        <c:v>80000</c:v>
                      </c:pt>
                      <c:pt idx="161">
                        <c:v>80500</c:v>
                      </c:pt>
                      <c:pt idx="162">
                        <c:v>81000</c:v>
                      </c:pt>
                      <c:pt idx="163">
                        <c:v>81500</c:v>
                      </c:pt>
                      <c:pt idx="164">
                        <c:v>82000</c:v>
                      </c:pt>
                      <c:pt idx="165">
                        <c:v>82500</c:v>
                      </c:pt>
                      <c:pt idx="166">
                        <c:v>83000</c:v>
                      </c:pt>
                      <c:pt idx="167">
                        <c:v>83500</c:v>
                      </c:pt>
                      <c:pt idx="168">
                        <c:v>84000</c:v>
                      </c:pt>
                      <c:pt idx="169">
                        <c:v>84500</c:v>
                      </c:pt>
                      <c:pt idx="170">
                        <c:v>85000</c:v>
                      </c:pt>
                      <c:pt idx="171">
                        <c:v>85500</c:v>
                      </c:pt>
                      <c:pt idx="172">
                        <c:v>86000</c:v>
                      </c:pt>
                      <c:pt idx="173">
                        <c:v>86500</c:v>
                      </c:pt>
                      <c:pt idx="174">
                        <c:v>87000</c:v>
                      </c:pt>
                      <c:pt idx="175">
                        <c:v>87500</c:v>
                      </c:pt>
                      <c:pt idx="176">
                        <c:v>88000</c:v>
                      </c:pt>
                      <c:pt idx="177">
                        <c:v>88500</c:v>
                      </c:pt>
                      <c:pt idx="178">
                        <c:v>89000</c:v>
                      </c:pt>
                      <c:pt idx="179">
                        <c:v>89500</c:v>
                      </c:pt>
                      <c:pt idx="180">
                        <c:v>90000</c:v>
                      </c:pt>
                      <c:pt idx="181">
                        <c:v>90500</c:v>
                      </c:pt>
                      <c:pt idx="182">
                        <c:v>91000</c:v>
                      </c:pt>
                      <c:pt idx="183">
                        <c:v>91500</c:v>
                      </c:pt>
                      <c:pt idx="184">
                        <c:v>92000</c:v>
                      </c:pt>
                      <c:pt idx="185">
                        <c:v>92500</c:v>
                      </c:pt>
                      <c:pt idx="186">
                        <c:v>93000</c:v>
                      </c:pt>
                      <c:pt idx="187">
                        <c:v>93500</c:v>
                      </c:pt>
                      <c:pt idx="188">
                        <c:v>94000</c:v>
                      </c:pt>
                      <c:pt idx="189">
                        <c:v>94500</c:v>
                      </c:pt>
                      <c:pt idx="190">
                        <c:v>95000</c:v>
                      </c:pt>
                      <c:pt idx="191">
                        <c:v>95500</c:v>
                      </c:pt>
                      <c:pt idx="192">
                        <c:v>96000</c:v>
                      </c:pt>
                      <c:pt idx="193">
                        <c:v>96500</c:v>
                      </c:pt>
                      <c:pt idx="194">
                        <c:v>97000</c:v>
                      </c:pt>
                      <c:pt idx="195">
                        <c:v>97500</c:v>
                      </c:pt>
                      <c:pt idx="196">
                        <c:v>98000</c:v>
                      </c:pt>
                      <c:pt idx="197">
                        <c:v>98500</c:v>
                      </c:pt>
                      <c:pt idx="198">
                        <c:v>99000</c:v>
                      </c:pt>
                      <c:pt idx="199">
                        <c:v>99500</c:v>
                      </c:pt>
                      <c:pt idx="200">
                        <c:v>100000</c:v>
                      </c:pt>
                    </c:numCache>
                  </c:numRef>
                </c:cat>
                <c:val>
                  <c:numRef>
                    <c:extLst xmlns:c15="http://schemas.microsoft.com/office/drawing/2012/chart">
                      <c:ext xmlns:c15="http://schemas.microsoft.com/office/drawing/2012/chart" uri="{02D57815-91ED-43cb-92C2-25804820EDAC}">
                        <c15:formulaRef>
                          <c15:sqref>'Use this for graphs'!$B$2:$B$202</c15:sqref>
                        </c15:formulaRef>
                      </c:ext>
                    </c:extLst>
                    <c:numCache>
                      <c:formatCode>"$"#,##0.00_);[Red]\("$"#,##0.00\)</c:formatCode>
                      <c:ptCount val="201"/>
                      <c:pt idx="0">
                        <c:v>0</c:v>
                      </c:pt>
                      <c:pt idx="1">
                        <c:v>41.666666666666664</c:v>
                      </c:pt>
                      <c:pt idx="2">
                        <c:v>83.333333333333329</c:v>
                      </c:pt>
                      <c:pt idx="3">
                        <c:v>125</c:v>
                      </c:pt>
                      <c:pt idx="4">
                        <c:v>166.66666666666666</c:v>
                      </c:pt>
                      <c:pt idx="5">
                        <c:v>208.33333333333334</c:v>
                      </c:pt>
                      <c:pt idx="6">
                        <c:v>250</c:v>
                      </c:pt>
                      <c:pt idx="7">
                        <c:v>291.66666666666669</c:v>
                      </c:pt>
                      <c:pt idx="8">
                        <c:v>333.33333333333331</c:v>
                      </c:pt>
                      <c:pt idx="9">
                        <c:v>375</c:v>
                      </c:pt>
                      <c:pt idx="10">
                        <c:v>416.66666666666669</c:v>
                      </c:pt>
                      <c:pt idx="11">
                        <c:v>458.33333333333331</c:v>
                      </c:pt>
                      <c:pt idx="12">
                        <c:v>500</c:v>
                      </c:pt>
                      <c:pt idx="13">
                        <c:v>541.66666666666663</c:v>
                      </c:pt>
                      <c:pt idx="14">
                        <c:v>583.33333333333337</c:v>
                      </c:pt>
                      <c:pt idx="15">
                        <c:v>625</c:v>
                      </c:pt>
                      <c:pt idx="16">
                        <c:v>666.66666666666663</c:v>
                      </c:pt>
                      <c:pt idx="17">
                        <c:v>708.33333333333337</c:v>
                      </c:pt>
                      <c:pt idx="18">
                        <c:v>750</c:v>
                      </c:pt>
                      <c:pt idx="19">
                        <c:v>791.66666666666663</c:v>
                      </c:pt>
                      <c:pt idx="20">
                        <c:v>833.33333333333337</c:v>
                      </c:pt>
                      <c:pt idx="21">
                        <c:v>875</c:v>
                      </c:pt>
                      <c:pt idx="22">
                        <c:v>916.66666666666663</c:v>
                      </c:pt>
                      <c:pt idx="23">
                        <c:v>958.33333333333337</c:v>
                      </c:pt>
                      <c:pt idx="24">
                        <c:v>1000</c:v>
                      </c:pt>
                      <c:pt idx="25">
                        <c:v>1041.6666666666667</c:v>
                      </c:pt>
                      <c:pt idx="26">
                        <c:v>1083.3333333333333</c:v>
                      </c:pt>
                      <c:pt idx="27">
                        <c:v>1125</c:v>
                      </c:pt>
                      <c:pt idx="28">
                        <c:v>1166.6666666666667</c:v>
                      </c:pt>
                      <c:pt idx="29">
                        <c:v>1208.3333333333333</c:v>
                      </c:pt>
                      <c:pt idx="30">
                        <c:v>1250</c:v>
                      </c:pt>
                      <c:pt idx="31">
                        <c:v>1291.6666666666667</c:v>
                      </c:pt>
                      <c:pt idx="32">
                        <c:v>1333.3333333333333</c:v>
                      </c:pt>
                      <c:pt idx="33">
                        <c:v>1375</c:v>
                      </c:pt>
                      <c:pt idx="34">
                        <c:v>1416.6666666666667</c:v>
                      </c:pt>
                      <c:pt idx="35">
                        <c:v>1458.3333333333333</c:v>
                      </c:pt>
                      <c:pt idx="36">
                        <c:v>1500</c:v>
                      </c:pt>
                      <c:pt idx="37">
                        <c:v>1541.6666666666667</c:v>
                      </c:pt>
                      <c:pt idx="38">
                        <c:v>1583.3333333333333</c:v>
                      </c:pt>
                      <c:pt idx="39">
                        <c:v>1625</c:v>
                      </c:pt>
                      <c:pt idx="40">
                        <c:v>1666.6666666666667</c:v>
                      </c:pt>
                      <c:pt idx="41">
                        <c:v>1708.3333333333333</c:v>
                      </c:pt>
                      <c:pt idx="42">
                        <c:v>1750</c:v>
                      </c:pt>
                      <c:pt idx="43">
                        <c:v>1791.6666666666667</c:v>
                      </c:pt>
                      <c:pt idx="44">
                        <c:v>1833.3333333333333</c:v>
                      </c:pt>
                      <c:pt idx="45">
                        <c:v>1875</c:v>
                      </c:pt>
                      <c:pt idx="46">
                        <c:v>1916.6666666666667</c:v>
                      </c:pt>
                      <c:pt idx="47">
                        <c:v>1958.3333333333333</c:v>
                      </c:pt>
                      <c:pt idx="48">
                        <c:v>2000</c:v>
                      </c:pt>
                      <c:pt idx="49">
                        <c:v>2041.6666666666667</c:v>
                      </c:pt>
                      <c:pt idx="50">
                        <c:v>2083.3333333333335</c:v>
                      </c:pt>
                      <c:pt idx="51">
                        <c:v>2125</c:v>
                      </c:pt>
                      <c:pt idx="52">
                        <c:v>2166.6666666666665</c:v>
                      </c:pt>
                      <c:pt idx="53">
                        <c:v>2208.3333333333335</c:v>
                      </c:pt>
                      <c:pt idx="54">
                        <c:v>2250</c:v>
                      </c:pt>
                      <c:pt idx="55">
                        <c:v>2291.6666666666665</c:v>
                      </c:pt>
                      <c:pt idx="56">
                        <c:v>2333.3333333333335</c:v>
                      </c:pt>
                      <c:pt idx="57">
                        <c:v>2375</c:v>
                      </c:pt>
                      <c:pt idx="58">
                        <c:v>2416.6666666666665</c:v>
                      </c:pt>
                      <c:pt idx="59">
                        <c:v>2458.3333333333335</c:v>
                      </c:pt>
                      <c:pt idx="60">
                        <c:v>2500</c:v>
                      </c:pt>
                      <c:pt idx="61">
                        <c:v>2541.6666666666665</c:v>
                      </c:pt>
                      <c:pt idx="62">
                        <c:v>2583.3333333333335</c:v>
                      </c:pt>
                      <c:pt idx="63">
                        <c:v>2625</c:v>
                      </c:pt>
                      <c:pt idx="64">
                        <c:v>2666.6666666666665</c:v>
                      </c:pt>
                      <c:pt idx="65">
                        <c:v>2708.3333333333335</c:v>
                      </c:pt>
                      <c:pt idx="66">
                        <c:v>2750</c:v>
                      </c:pt>
                      <c:pt idx="67">
                        <c:v>2791.6666666666665</c:v>
                      </c:pt>
                      <c:pt idx="68">
                        <c:v>2833.3333333333335</c:v>
                      </c:pt>
                      <c:pt idx="69">
                        <c:v>2875</c:v>
                      </c:pt>
                      <c:pt idx="70">
                        <c:v>2916.6666666666665</c:v>
                      </c:pt>
                      <c:pt idx="71">
                        <c:v>2958.3333333333335</c:v>
                      </c:pt>
                      <c:pt idx="72">
                        <c:v>3000</c:v>
                      </c:pt>
                      <c:pt idx="73">
                        <c:v>3041.6666666666665</c:v>
                      </c:pt>
                      <c:pt idx="74">
                        <c:v>3083.3333333333335</c:v>
                      </c:pt>
                      <c:pt idx="75">
                        <c:v>3125</c:v>
                      </c:pt>
                      <c:pt idx="76">
                        <c:v>3166.6666666666665</c:v>
                      </c:pt>
                      <c:pt idx="77">
                        <c:v>3208.3333333333335</c:v>
                      </c:pt>
                      <c:pt idx="78">
                        <c:v>3250</c:v>
                      </c:pt>
                      <c:pt idx="79">
                        <c:v>3291.6666666666665</c:v>
                      </c:pt>
                      <c:pt idx="80">
                        <c:v>3333.3333333333335</c:v>
                      </c:pt>
                      <c:pt idx="81">
                        <c:v>3375</c:v>
                      </c:pt>
                      <c:pt idx="82">
                        <c:v>3416.6666666666665</c:v>
                      </c:pt>
                      <c:pt idx="83">
                        <c:v>3458.3333333333335</c:v>
                      </c:pt>
                      <c:pt idx="84">
                        <c:v>3500</c:v>
                      </c:pt>
                      <c:pt idx="85">
                        <c:v>3541.6666666666665</c:v>
                      </c:pt>
                      <c:pt idx="86">
                        <c:v>3583.3333333333335</c:v>
                      </c:pt>
                      <c:pt idx="87">
                        <c:v>3625</c:v>
                      </c:pt>
                      <c:pt idx="88">
                        <c:v>3666.6666666666665</c:v>
                      </c:pt>
                      <c:pt idx="89">
                        <c:v>3708.3333333333335</c:v>
                      </c:pt>
                      <c:pt idx="90">
                        <c:v>3750</c:v>
                      </c:pt>
                      <c:pt idx="91">
                        <c:v>3791.6666666666665</c:v>
                      </c:pt>
                      <c:pt idx="92">
                        <c:v>3833.3333333333335</c:v>
                      </c:pt>
                      <c:pt idx="93">
                        <c:v>3875</c:v>
                      </c:pt>
                      <c:pt idx="94">
                        <c:v>3916.6666666666665</c:v>
                      </c:pt>
                      <c:pt idx="95">
                        <c:v>3958.3333333333335</c:v>
                      </c:pt>
                      <c:pt idx="96">
                        <c:v>4000</c:v>
                      </c:pt>
                      <c:pt idx="97">
                        <c:v>4041.6666666666665</c:v>
                      </c:pt>
                      <c:pt idx="98">
                        <c:v>4083.3333333333335</c:v>
                      </c:pt>
                      <c:pt idx="99">
                        <c:v>4125</c:v>
                      </c:pt>
                      <c:pt idx="100">
                        <c:v>4166.666666666667</c:v>
                      </c:pt>
                      <c:pt idx="101">
                        <c:v>4208.333333333333</c:v>
                      </c:pt>
                      <c:pt idx="102">
                        <c:v>4250</c:v>
                      </c:pt>
                      <c:pt idx="103">
                        <c:v>4291.666666666667</c:v>
                      </c:pt>
                      <c:pt idx="104">
                        <c:v>4333.333333333333</c:v>
                      </c:pt>
                      <c:pt idx="105">
                        <c:v>4375</c:v>
                      </c:pt>
                      <c:pt idx="106">
                        <c:v>4416.666666666667</c:v>
                      </c:pt>
                      <c:pt idx="107">
                        <c:v>4458.333333333333</c:v>
                      </c:pt>
                      <c:pt idx="108">
                        <c:v>4500</c:v>
                      </c:pt>
                      <c:pt idx="109">
                        <c:v>4541.666666666667</c:v>
                      </c:pt>
                      <c:pt idx="110">
                        <c:v>4583.333333333333</c:v>
                      </c:pt>
                      <c:pt idx="111">
                        <c:v>4625</c:v>
                      </c:pt>
                      <c:pt idx="112">
                        <c:v>4666.666666666667</c:v>
                      </c:pt>
                      <c:pt idx="113">
                        <c:v>4708.333333333333</c:v>
                      </c:pt>
                      <c:pt idx="114">
                        <c:v>4750</c:v>
                      </c:pt>
                      <c:pt idx="115">
                        <c:v>4791.666666666667</c:v>
                      </c:pt>
                      <c:pt idx="116">
                        <c:v>4833.333333333333</c:v>
                      </c:pt>
                      <c:pt idx="117">
                        <c:v>4875</c:v>
                      </c:pt>
                      <c:pt idx="118">
                        <c:v>4916.666666666667</c:v>
                      </c:pt>
                      <c:pt idx="119">
                        <c:v>4958.333333333333</c:v>
                      </c:pt>
                      <c:pt idx="120">
                        <c:v>5000</c:v>
                      </c:pt>
                      <c:pt idx="121">
                        <c:v>5041.666666666667</c:v>
                      </c:pt>
                      <c:pt idx="122">
                        <c:v>5083.333333333333</c:v>
                      </c:pt>
                      <c:pt idx="123">
                        <c:v>5125</c:v>
                      </c:pt>
                      <c:pt idx="124">
                        <c:v>5166.666666666667</c:v>
                      </c:pt>
                      <c:pt idx="125">
                        <c:v>5208.333333333333</c:v>
                      </c:pt>
                      <c:pt idx="126">
                        <c:v>5250</c:v>
                      </c:pt>
                      <c:pt idx="127">
                        <c:v>5291.666666666667</c:v>
                      </c:pt>
                      <c:pt idx="128">
                        <c:v>5333.333333333333</c:v>
                      </c:pt>
                      <c:pt idx="129">
                        <c:v>5375</c:v>
                      </c:pt>
                      <c:pt idx="130">
                        <c:v>5416.666666666667</c:v>
                      </c:pt>
                      <c:pt idx="131">
                        <c:v>5458.333333333333</c:v>
                      </c:pt>
                      <c:pt idx="132">
                        <c:v>5500</c:v>
                      </c:pt>
                      <c:pt idx="133">
                        <c:v>5541.666666666667</c:v>
                      </c:pt>
                      <c:pt idx="134">
                        <c:v>5583.333333333333</c:v>
                      </c:pt>
                      <c:pt idx="135">
                        <c:v>5625</c:v>
                      </c:pt>
                      <c:pt idx="136">
                        <c:v>5666.666666666667</c:v>
                      </c:pt>
                      <c:pt idx="137">
                        <c:v>5708.333333333333</c:v>
                      </c:pt>
                      <c:pt idx="138">
                        <c:v>5750</c:v>
                      </c:pt>
                      <c:pt idx="139">
                        <c:v>5791.666666666667</c:v>
                      </c:pt>
                      <c:pt idx="140">
                        <c:v>5833.333333333333</c:v>
                      </c:pt>
                      <c:pt idx="141">
                        <c:v>5875</c:v>
                      </c:pt>
                      <c:pt idx="142">
                        <c:v>5916.666666666667</c:v>
                      </c:pt>
                      <c:pt idx="143">
                        <c:v>5958.333333333333</c:v>
                      </c:pt>
                      <c:pt idx="144">
                        <c:v>6000</c:v>
                      </c:pt>
                      <c:pt idx="145">
                        <c:v>6041.666666666667</c:v>
                      </c:pt>
                      <c:pt idx="146">
                        <c:v>6083.333333333333</c:v>
                      </c:pt>
                      <c:pt idx="147">
                        <c:v>6125</c:v>
                      </c:pt>
                      <c:pt idx="148">
                        <c:v>6166.666666666667</c:v>
                      </c:pt>
                      <c:pt idx="149">
                        <c:v>6208.333333333333</c:v>
                      </c:pt>
                      <c:pt idx="150">
                        <c:v>6250</c:v>
                      </c:pt>
                      <c:pt idx="151">
                        <c:v>6291.666666666667</c:v>
                      </c:pt>
                      <c:pt idx="152">
                        <c:v>6333.333333333333</c:v>
                      </c:pt>
                      <c:pt idx="153">
                        <c:v>6375</c:v>
                      </c:pt>
                      <c:pt idx="154">
                        <c:v>6416.666666666667</c:v>
                      </c:pt>
                      <c:pt idx="155">
                        <c:v>6458.333333333333</c:v>
                      </c:pt>
                      <c:pt idx="156">
                        <c:v>6500</c:v>
                      </c:pt>
                      <c:pt idx="157">
                        <c:v>6541.666666666667</c:v>
                      </c:pt>
                      <c:pt idx="158">
                        <c:v>6583.333333333333</c:v>
                      </c:pt>
                      <c:pt idx="159">
                        <c:v>6625</c:v>
                      </c:pt>
                      <c:pt idx="160">
                        <c:v>6666.666666666667</c:v>
                      </c:pt>
                      <c:pt idx="161">
                        <c:v>6708.333333333333</c:v>
                      </c:pt>
                      <c:pt idx="162">
                        <c:v>6750</c:v>
                      </c:pt>
                      <c:pt idx="163">
                        <c:v>6791.666666666667</c:v>
                      </c:pt>
                      <c:pt idx="164">
                        <c:v>6833.333333333333</c:v>
                      </c:pt>
                      <c:pt idx="165">
                        <c:v>6875</c:v>
                      </c:pt>
                      <c:pt idx="166">
                        <c:v>6916.666666666667</c:v>
                      </c:pt>
                      <c:pt idx="167">
                        <c:v>6958.333333333333</c:v>
                      </c:pt>
                      <c:pt idx="168">
                        <c:v>7000</c:v>
                      </c:pt>
                      <c:pt idx="169">
                        <c:v>7041.666666666667</c:v>
                      </c:pt>
                      <c:pt idx="170">
                        <c:v>7083.333333333333</c:v>
                      </c:pt>
                      <c:pt idx="171">
                        <c:v>7125</c:v>
                      </c:pt>
                      <c:pt idx="172">
                        <c:v>7166.666666666667</c:v>
                      </c:pt>
                      <c:pt idx="173">
                        <c:v>7208.333333333333</c:v>
                      </c:pt>
                      <c:pt idx="174">
                        <c:v>7250</c:v>
                      </c:pt>
                      <c:pt idx="175">
                        <c:v>7291.666666666667</c:v>
                      </c:pt>
                      <c:pt idx="176">
                        <c:v>7333.333333333333</c:v>
                      </c:pt>
                      <c:pt idx="177">
                        <c:v>7375</c:v>
                      </c:pt>
                      <c:pt idx="178">
                        <c:v>7416.666666666667</c:v>
                      </c:pt>
                      <c:pt idx="179">
                        <c:v>7458.333333333333</c:v>
                      </c:pt>
                      <c:pt idx="180">
                        <c:v>7500</c:v>
                      </c:pt>
                      <c:pt idx="181">
                        <c:v>7541.666666666667</c:v>
                      </c:pt>
                      <c:pt idx="182">
                        <c:v>7583.333333333333</c:v>
                      </c:pt>
                      <c:pt idx="183">
                        <c:v>7625</c:v>
                      </c:pt>
                      <c:pt idx="184">
                        <c:v>7666.666666666667</c:v>
                      </c:pt>
                      <c:pt idx="185">
                        <c:v>7708.333333333333</c:v>
                      </c:pt>
                      <c:pt idx="186">
                        <c:v>7750</c:v>
                      </c:pt>
                      <c:pt idx="187">
                        <c:v>7791.666666666667</c:v>
                      </c:pt>
                      <c:pt idx="188">
                        <c:v>7833.333333333333</c:v>
                      </c:pt>
                      <c:pt idx="189">
                        <c:v>7875</c:v>
                      </c:pt>
                      <c:pt idx="190">
                        <c:v>7916.666666666667</c:v>
                      </c:pt>
                      <c:pt idx="191">
                        <c:v>7958.333333333333</c:v>
                      </c:pt>
                      <c:pt idx="192">
                        <c:v>8000</c:v>
                      </c:pt>
                      <c:pt idx="193">
                        <c:v>8041.666666666667</c:v>
                      </c:pt>
                      <c:pt idx="194">
                        <c:v>8083.333333333333</c:v>
                      </c:pt>
                      <c:pt idx="195">
                        <c:v>8125</c:v>
                      </c:pt>
                      <c:pt idx="196">
                        <c:v>8166.666666666667</c:v>
                      </c:pt>
                      <c:pt idx="197">
                        <c:v>8208.3333333333339</c:v>
                      </c:pt>
                      <c:pt idx="198">
                        <c:v>8250</c:v>
                      </c:pt>
                      <c:pt idx="199">
                        <c:v>8291.6666666666661</c:v>
                      </c:pt>
                      <c:pt idx="200">
                        <c:v>8333.3333333333339</c:v>
                      </c:pt>
                    </c:numCache>
                  </c:numRef>
                </c:val>
                <c:extLst xmlns:c15="http://schemas.microsoft.com/office/drawing/2012/chart">
                  <c:ext xmlns:c16="http://schemas.microsoft.com/office/drawing/2014/chart" uri="{C3380CC4-5D6E-409C-BE32-E72D297353CC}">
                    <c16:uniqueId val="{00000005-9161-490F-91EC-5745335BC484}"/>
                  </c:ext>
                </c:extLst>
              </c15:ser>
            </c15:filteredAreaSeries>
            <c15:filteredAreaSeries>
              <c15:ser>
                <c:idx val="2"/>
                <c:order val="10"/>
                <c:tx>
                  <c:strRef>
                    <c:extLst xmlns:c15="http://schemas.microsoft.com/office/drawing/2012/chart">
                      <c:ext xmlns:c15="http://schemas.microsoft.com/office/drawing/2012/chart" uri="{02D57815-91ED-43cb-92C2-25804820EDAC}">
                        <c15:formulaRef>
                          <c15:sqref>'Use this for graphs'!$K$1</c15:sqref>
                        </c15:formulaRef>
                      </c:ext>
                    </c:extLst>
                    <c:strCache>
                      <c:ptCount val="1"/>
                      <c:pt idx="0">
                        <c:v>Total benefits</c:v>
                      </c:pt>
                    </c:strCache>
                  </c:strRef>
                </c:tx>
                <c:spPr>
                  <a:solidFill>
                    <a:schemeClr val="accent3"/>
                  </a:solidFill>
                  <a:ln>
                    <a:noFill/>
                  </a:ln>
                  <a:effectLst/>
                </c:spPr>
                <c:cat>
                  <c:numRef>
                    <c:extLst xmlns:c15="http://schemas.microsoft.com/office/drawing/2012/chart">
                      <c:ext xmlns:c15="http://schemas.microsoft.com/office/drawing/2012/chart" uri="{02D57815-91ED-43cb-92C2-25804820EDAC}">
                        <c15:formulaRef>
                          <c15:sqref>'Use this for graphs'!$A$2:$A$202</c15:sqref>
                        </c15:formulaRef>
                      </c:ext>
                    </c:extLst>
                    <c:numCache>
                      <c:formatCode>"$"#,##0</c:formatCode>
                      <c:ptCount val="201"/>
                      <c:pt idx="0">
                        <c:v>0</c:v>
                      </c:pt>
                      <c:pt idx="1">
                        <c:v>500</c:v>
                      </c:pt>
                      <c:pt idx="2">
                        <c:v>1000</c:v>
                      </c:pt>
                      <c:pt idx="3">
                        <c:v>1500</c:v>
                      </c:pt>
                      <c:pt idx="4">
                        <c:v>2000</c:v>
                      </c:pt>
                      <c:pt idx="5">
                        <c:v>2500</c:v>
                      </c:pt>
                      <c:pt idx="6">
                        <c:v>3000</c:v>
                      </c:pt>
                      <c:pt idx="7">
                        <c:v>3500</c:v>
                      </c:pt>
                      <c:pt idx="8">
                        <c:v>4000</c:v>
                      </c:pt>
                      <c:pt idx="9">
                        <c:v>4500</c:v>
                      </c:pt>
                      <c:pt idx="10">
                        <c:v>5000</c:v>
                      </c:pt>
                      <c:pt idx="11">
                        <c:v>5500</c:v>
                      </c:pt>
                      <c:pt idx="12">
                        <c:v>6000</c:v>
                      </c:pt>
                      <c:pt idx="13">
                        <c:v>6500</c:v>
                      </c:pt>
                      <c:pt idx="14">
                        <c:v>7000</c:v>
                      </c:pt>
                      <c:pt idx="15">
                        <c:v>7500</c:v>
                      </c:pt>
                      <c:pt idx="16">
                        <c:v>8000</c:v>
                      </c:pt>
                      <c:pt idx="17">
                        <c:v>8500</c:v>
                      </c:pt>
                      <c:pt idx="18">
                        <c:v>9000</c:v>
                      </c:pt>
                      <c:pt idx="19">
                        <c:v>9500</c:v>
                      </c:pt>
                      <c:pt idx="20">
                        <c:v>10000</c:v>
                      </c:pt>
                      <c:pt idx="21">
                        <c:v>10500</c:v>
                      </c:pt>
                      <c:pt idx="22">
                        <c:v>11000</c:v>
                      </c:pt>
                      <c:pt idx="23">
                        <c:v>11500</c:v>
                      </c:pt>
                      <c:pt idx="24">
                        <c:v>12000</c:v>
                      </c:pt>
                      <c:pt idx="25">
                        <c:v>12500</c:v>
                      </c:pt>
                      <c:pt idx="26">
                        <c:v>13000</c:v>
                      </c:pt>
                      <c:pt idx="27">
                        <c:v>13500</c:v>
                      </c:pt>
                      <c:pt idx="28">
                        <c:v>14000</c:v>
                      </c:pt>
                      <c:pt idx="29">
                        <c:v>14500</c:v>
                      </c:pt>
                      <c:pt idx="30">
                        <c:v>15000</c:v>
                      </c:pt>
                      <c:pt idx="31">
                        <c:v>15500</c:v>
                      </c:pt>
                      <c:pt idx="32">
                        <c:v>16000</c:v>
                      </c:pt>
                      <c:pt idx="33">
                        <c:v>16500</c:v>
                      </c:pt>
                      <c:pt idx="34">
                        <c:v>17000</c:v>
                      </c:pt>
                      <c:pt idx="35">
                        <c:v>17500</c:v>
                      </c:pt>
                      <c:pt idx="36">
                        <c:v>18000</c:v>
                      </c:pt>
                      <c:pt idx="37">
                        <c:v>18500</c:v>
                      </c:pt>
                      <c:pt idx="38">
                        <c:v>19000</c:v>
                      </c:pt>
                      <c:pt idx="39">
                        <c:v>19500</c:v>
                      </c:pt>
                      <c:pt idx="40">
                        <c:v>20000</c:v>
                      </c:pt>
                      <c:pt idx="41">
                        <c:v>20500</c:v>
                      </c:pt>
                      <c:pt idx="42">
                        <c:v>21000</c:v>
                      </c:pt>
                      <c:pt idx="43">
                        <c:v>21500</c:v>
                      </c:pt>
                      <c:pt idx="44">
                        <c:v>22000</c:v>
                      </c:pt>
                      <c:pt idx="45">
                        <c:v>22500</c:v>
                      </c:pt>
                      <c:pt idx="46">
                        <c:v>23000</c:v>
                      </c:pt>
                      <c:pt idx="47">
                        <c:v>23500</c:v>
                      </c:pt>
                      <c:pt idx="48">
                        <c:v>24000</c:v>
                      </c:pt>
                      <c:pt idx="49">
                        <c:v>24500</c:v>
                      </c:pt>
                      <c:pt idx="50">
                        <c:v>25000</c:v>
                      </c:pt>
                      <c:pt idx="51">
                        <c:v>25500</c:v>
                      </c:pt>
                      <c:pt idx="52">
                        <c:v>26000</c:v>
                      </c:pt>
                      <c:pt idx="53">
                        <c:v>26500</c:v>
                      </c:pt>
                      <c:pt idx="54">
                        <c:v>27000</c:v>
                      </c:pt>
                      <c:pt idx="55">
                        <c:v>27500</c:v>
                      </c:pt>
                      <c:pt idx="56">
                        <c:v>28000</c:v>
                      </c:pt>
                      <c:pt idx="57">
                        <c:v>28500</c:v>
                      </c:pt>
                      <c:pt idx="58">
                        <c:v>29000</c:v>
                      </c:pt>
                      <c:pt idx="59">
                        <c:v>29500</c:v>
                      </c:pt>
                      <c:pt idx="60">
                        <c:v>30000</c:v>
                      </c:pt>
                      <c:pt idx="61">
                        <c:v>30500</c:v>
                      </c:pt>
                      <c:pt idx="62">
                        <c:v>31000</c:v>
                      </c:pt>
                      <c:pt idx="63">
                        <c:v>31500</c:v>
                      </c:pt>
                      <c:pt idx="64">
                        <c:v>32000</c:v>
                      </c:pt>
                      <c:pt idx="65">
                        <c:v>32500</c:v>
                      </c:pt>
                      <c:pt idx="66">
                        <c:v>33000</c:v>
                      </c:pt>
                      <c:pt idx="67">
                        <c:v>33500</c:v>
                      </c:pt>
                      <c:pt idx="68">
                        <c:v>34000</c:v>
                      </c:pt>
                      <c:pt idx="69">
                        <c:v>34500</c:v>
                      </c:pt>
                      <c:pt idx="70">
                        <c:v>35000</c:v>
                      </c:pt>
                      <c:pt idx="71">
                        <c:v>35500</c:v>
                      </c:pt>
                      <c:pt idx="72">
                        <c:v>36000</c:v>
                      </c:pt>
                      <c:pt idx="73">
                        <c:v>36500</c:v>
                      </c:pt>
                      <c:pt idx="74">
                        <c:v>37000</c:v>
                      </c:pt>
                      <c:pt idx="75">
                        <c:v>37500</c:v>
                      </c:pt>
                      <c:pt idx="76">
                        <c:v>38000</c:v>
                      </c:pt>
                      <c:pt idx="77">
                        <c:v>38500</c:v>
                      </c:pt>
                      <c:pt idx="78">
                        <c:v>39000</c:v>
                      </c:pt>
                      <c:pt idx="79">
                        <c:v>39500</c:v>
                      </c:pt>
                      <c:pt idx="80">
                        <c:v>40000</c:v>
                      </c:pt>
                      <c:pt idx="81">
                        <c:v>40500</c:v>
                      </c:pt>
                      <c:pt idx="82">
                        <c:v>41000</c:v>
                      </c:pt>
                      <c:pt idx="83">
                        <c:v>41500</c:v>
                      </c:pt>
                      <c:pt idx="84">
                        <c:v>42000</c:v>
                      </c:pt>
                      <c:pt idx="85">
                        <c:v>42500</c:v>
                      </c:pt>
                      <c:pt idx="86">
                        <c:v>43000</c:v>
                      </c:pt>
                      <c:pt idx="87">
                        <c:v>43500</c:v>
                      </c:pt>
                      <c:pt idx="88">
                        <c:v>44000</c:v>
                      </c:pt>
                      <c:pt idx="89">
                        <c:v>44500</c:v>
                      </c:pt>
                      <c:pt idx="90">
                        <c:v>45000</c:v>
                      </c:pt>
                      <c:pt idx="91">
                        <c:v>45500</c:v>
                      </c:pt>
                      <c:pt idx="92">
                        <c:v>46000</c:v>
                      </c:pt>
                      <c:pt idx="93">
                        <c:v>46500</c:v>
                      </c:pt>
                      <c:pt idx="94">
                        <c:v>47000</c:v>
                      </c:pt>
                      <c:pt idx="95">
                        <c:v>47500</c:v>
                      </c:pt>
                      <c:pt idx="96">
                        <c:v>48000</c:v>
                      </c:pt>
                      <c:pt idx="97">
                        <c:v>48500</c:v>
                      </c:pt>
                      <c:pt idx="98">
                        <c:v>49000</c:v>
                      </c:pt>
                      <c:pt idx="99">
                        <c:v>49500</c:v>
                      </c:pt>
                      <c:pt idx="100">
                        <c:v>50000</c:v>
                      </c:pt>
                      <c:pt idx="101">
                        <c:v>50500</c:v>
                      </c:pt>
                      <c:pt idx="102">
                        <c:v>51000</c:v>
                      </c:pt>
                      <c:pt idx="103">
                        <c:v>51500</c:v>
                      </c:pt>
                      <c:pt idx="104">
                        <c:v>52000</c:v>
                      </c:pt>
                      <c:pt idx="105">
                        <c:v>52500</c:v>
                      </c:pt>
                      <c:pt idx="106">
                        <c:v>53000</c:v>
                      </c:pt>
                      <c:pt idx="107">
                        <c:v>53500</c:v>
                      </c:pt>
                      <c:pt idx="108">
                        <c:v>54000</c:v>
                      </c:pt>
                      <c:pt idx="109">
                        <c:v>54500</c:v>
                      </c:pt>
                      <c:pt idx="110">
                        <c:v>55000</c:v>
                      </c:pt>
                      <c:pt idx="111">
                        <c:v>55500</c:v>
                      </c:pt>
                      <c:pt idx="112">
                        <c:v>56000</c:v>
                      </c:pt>
                      <c:pt idx="113">
                        <c:v>56500</c:v>
                      </c:pt>
                      <c:pt idx="114">
                        <c:v>57000</c:v>
                      </c:pt>
                      <c:pt idx="115">
                        <c:v>57500</c:v>
                      </c:pt>
                      <c:pt idx="116">
                        <c:v>58000</c:v>
                      </c:pt>
                      <c:pt idx="117">
                        <c:v>58500</c:v>
                      </c:pt>
                      <c:pt idx="118">
                        <c:v>59000</c:v>
                      </c:pt>
                      <c:pt idx="119">
                        <c:v>59500</c:v>
                      </c:pt>
                      <c:pt idx="120">
                        <c:v>60000</c:v>
                      </c:pt>
                      <c:pt idx="121">
                        <c:v>60500</c:v>
                      </c:pt>
                      <c:pt idx="122">
                        <c:v>61000</c:v>
                      </c:pt>
                      <c:pt idx="123">
                        <c:v>61500</c:v>
                      </c:pt>
                      <c:pt idx="124">
                        <c:v>62000</c:v>
                      </c:pt>
                      <c:pt idx="125">
                        <c:v>62500</c:v>
                      </c:pt>
                      <c:pt idx="126">
                        <c:v>63000</c:v>
                      </c:pt>
                      <c:pt idx="127">
                        <c:v>63500</c:v>
                      </c:pt>
                      <c:pt idx="128">
                        <c:v>64000</c:v>
                      </c:pt>
                      <c:pt idx="129">
                        <c:v>64500</c:v>
                      </c:pt>
                      <c:pt idx="130">
                        <c:v>65000</c:v>
                      </c:pt>
                      <c:pt idx="131">
                        <c:v>65500</c:v>
                      </c:pt>
                      <c:pt idx="132">
                        <c:v>66000</c:v>
                      </c:pt>
                      <c:pt idx="133">
                        <c:v>66500</c:v>
                      </c:pt>
                      <c:pt idx="134">
                        <c:v>67000</c:v>
                      </c:pt>
                      <c:pt idx="135">
                        <c:v>67500</c:v>
                      </c:pt>
                      <c:pt idx="136">
                        <c:v>68000</c:v>
                      </c:pt>
                      <c:pt idx="137">
                        <c:v>68500</c:v>
                      </c:pt>
                      <c:pt idx="138">
                        <c:v>69000</c:v>
                      </c:pt>
                      <c:pt idx="139">
                        <c:v>69500</c:v>
                      </c:pt>
                      <c:pt idx="140">
                        <c:v>70000</c:v>
                      </c:pt>
                      <c:pt idx="141">
                        <c:v>70500</c:v>
                      </c:pt>
                      <c:pt idx="142">
                        <c:v>71000</c:v>
                      </c:pt>
                      <c:pt idx="143">
                        <c:v>71500</c:v>
                      </c:pt>
                      <c:pt idx="144">
                        <c:v>72000</c:v>
                      </c:pt>
                      <c:pt idx="145">
                        <c:v>72500</c:v>
                      </c:pt>
                      <c:pt idx="146">
                        <c:v>73000</c:v>
                      </c:pt>
                      <c:pt idx="147">
                        <c:v>73500</c:v>
                      </c:pt>
                      <c:pt idx="148">
                        <c:v>74000</c:v>
                      </c:pt>
                      <c:pt idx="149">
                        <c:v>74500</c:v>
                      </c:pt>
                      <c:pt idx="150">
                        <c:v>75000</c:v>
                      </c:pt>
                      <c:pt idx="151">
                        <c:v>75500</c:v>
                      </c:pt>
                      <c:pt idx="152">
                        <c:v>76000</c:v>
                      </c:pt>
                      <c:pt idx="153">
                        <c:v>76500</c:v>
                      </c:pt>
                      <c:pt idx="154">
                        <c:v>77000</c:v>
                      </c:pt>
                      <c:pt idx="155">
                        <c:v>77500</c:v>
                      </c:pt>
                      <c:pt idx="156">
                        <c:v>78000</c:v>
                      </c:pt>
                      <c:pt idx="157">
                        <c:v>78500</c:v>
                      </c:pt>
                      <c:pt idx="158">
                        <c:v>79000</c:v>
                      </c:pt>
                      <c:pt idx="159">
                        <c:v>79500</c:v>
                      </c:pt>
                      <c:pt idx="160">
                        <c:v>80000</c:v>
                      </c:pt>
                      <c:pt idx="161">
                        <c:v>80500</c:v>
                      </c:pt>
                      <c:pt idx="162">
                        <c:v>81000</c:v>
                      </c:pt>
                      <c:pt idx="163">
                        <c:v>81500</c:v>
                      </c:pt>
                      <c:pt idx="164">
                        <c:v>82000</c:v>
                      </c:pt>
                      <c:pt idx="165">
                        <c:v>82500</c:v>
                      </c:pt>
                      <c:pt idx="166">
                        <c:v>83000</c:v>
                      </c:pt>
                      <c:pt idx="167">
                        <c:v>83500</c:v>
                      </c:pt>
                      <c:pt idx="168">
                        <c:v>84000</c:v>
                      </c:pt>
                      <c:pt idx="169">
                        <c:v>84500</c:v>
                      </c:pt>
                      <c:pt idx="170">
                        <c:v>85000</c:v>
                      </c:pt>
                      <c:pt idx="171">
                        <c:v>85500</c:v>
                      </c:pt>
                      <c:pt idx="172">
                        <c:v>86000</c:v>
                      </c:pt>
                      <c:pt idx="173">
                        <c:v>86500</c:v>
                      </c:pt>
                      <c:pt idx="174">
                        <c:v>87000</c:v>
                      </c:pt>
                      <c:pt idx="175">
                        <c:v>87500</c:v>
                      </c:pt>
                      <c:pt idx="176">
                        <c:v>88000</c:v>
                      </c:pt>
                      <c:pt idx="177">
                        <c:v>88500</c:v>
                      </c:pt>
                      <c:pt idx="178">
                        <c:v>89000</c:v>
                      </c:pt>
                      <c:pt idx="179">
                        <c:v>89500</c:v>
                      </c:pt>
                      <c:pt idx="180">
                        <c:v>90000</c:v>
                      </c:pt>
                      <c:pt idx="181">
                        <c:v>90500</c:v>
                      </c:pt>
                      <c:pt idx="182">
                        <c:v>91000</c:v>
                      </c:pt>
                      <c:pt idx="183">
                        <c:v>91500</c:v>
                      </c:pt>
                      <c:pt idx="184">
                        <c:v>92000</c:v>
                      </c:pt>
                      <c:pt idx="185">
                        <c:v>92500</c:v>
                      </c:pt>
                      <c:pt idx="186">
                        <c:v>93000</c:v>
                      </c:pt>
                      <c:pt idx="187">
                        <c:v>93500</c:v>
                      </c:pt>
                      <c:pt idx="188">
                        <c:v>94000</c:v>
                      </c:pt>
                      <c:pt idx="189">
                        <c:v>94500</c:v>
                      </c:pt>
                      <c:pt idx="190">
                        <c:v>95000</c:v>
                      </c:pt>
                      <c:pt idx="191">
                        <c:v>95500</c:v>
                      </c:pt>
                      <c:pt idx="192">
                        <c:v>96000</c:v>
                      </c:pt>
                      <c:pt idx="193">
                        <c:v>96500</c:v>
                      </c:pt>
                      <c:pt idx="194">
                        <c:v>97000</c:v>
                      </c:pt>
                      <c:pt idx="195">
                        <c:v>97500</c:v>
                      </c:pt>
                      <c:pt idx="196">
                        <c:v>98000</c:v>
                      </c:pt>
                      <c:pt idx="197">
                        <c:v>98500</c:v>
                      </c:pt>
                      <c:pt idx="198">
                        <c:v>99000</c:v>
                      </c:pt>
                      <c:pt idx="199">
                        <c:v>99500</c:v>
                      </c:pt>
                      <c:pt idx="200">
                        <c:v>100000</c:v>
                      </c:pt>
                    </c:numCache>
                  </c:numRef>
                </c:cat>
                <c:val>
                  <c:numRef>
                    <c:extLst xmlns:c15="http://schemas.microsoft.com/office/drawing/2012/chart">
                      <c:ext xmlns:c15="http://schemas.microsoft.com/office/drawing/2012/chart" uri="{02D57815-91ED-43cb-92C2-25804820EDAC}">
                        <c15:formulaRef>
                          <c15:sqref>'Use this for graphs'!$K$2:$K$202</c15:sqref>
                        </c15:formulaRef>
                      </c:ext>
                    </c:extLst>
                    <c:numCache>
                      <c:formatCode>"$"#,##0</c:formatCode>
                      <c:ptCount val="201"/>
                      <c:pt idx="0">
                        <c:v>31658.988000000001</c:v>
                      </c:pt>
                      <c:pt idx="1">
                        <c:v>31593</c:v>
                      </c:pt>
                      <c:pt idx="2">
                        <c:v>31647</c:v>
                      </c:pt>
                      <c:pt idx="3">
                        <c:v>31701</c:v>
                      </c:pt>
                      <c:pt idx="4">
                        <c:v>31755</c:v>
                      </c:pt>
                      <c:pt idx="5">
                        <c:v>31809</c:v>
                      </c:pt>
                      <c:pt idx="6">
                        <c:v>31587.48</c:v>
                      </c:pt>
                      <c:pt idx="7">
                        <c:v>31361.48</c:v>
                      </c:pt>
                      <c:pt idx="8">
                        <c:v>31135.480000000003</c:v>
                      </c:pt>
                      <c:pt idx="9">
                        <c:v>30909.48</c:v>
                      </c:pt>
                      <c:pt idx="10">
                        <c:v>30683.48</c:v>
                      </c:pt>
                      <c:pt idx="11">
                        <c:v>30457.480000000003</c:v>
                      </c:pt>
                      <c:pt idx="12">
                        <c:v>30231.48</c:v>
                      </c:pt>
                      <c:pt idx="13">
                        <c:v>30005.48</c:v>
                      </c:pt>
                      <c:pt idx="14">
                        <c:v>29779.48</c:v>
                      </c:pt>
                      <c:pt idx="15">
                        <c:v>29553.48</c:v>
                      </c:pt>
                      <c:pt idx="16">
                        <c:v>29327.48</c:v>
                      </c:pt>
                      <c:pt idx="17">
                        <c:v>29223</c:v>
                      </c:pt>
                      <c:pt idx="18">
                        <c:v>29277</c:v>
                      </c:pt>
                      <c:pt idx="19">
                        <c:v>29331</c:v>
                      </c:pt>
                      <c:pt idx="20">
                        <c:v>29385</c:v>
                      </c:pt>
                      <c:pt idx="21">
                        <c:v>29439</c:v>
                      </c:pt>
                      <c:pt idx="22">
                        <c:v>29493</c:v>
                      </c:pt>
                      <c:pt idx="23">
                        <c:v>29547</c:v>
                      </c:pt>
                      <c:pt idx="24">
                        <c:v>29469</c:v>
                      </c:pt>
                      <c:pt idx="25">
                        <c:v>29343</c:v>
                      </c:pt>
                      <c:pt idx="26">
                        <c:v>29217</c:v>
                      </c:pt>
                      <c:pt idx="27">
                        <c:v>28895.4</c:v>
                      </c:pt>
                      <c:pt idx="28">
                        <c:v>28565.4</c:v>
                      </c:pt>
                      <c:pt idx="29">
                        <c:v>28235.4</c:v>
                      </c:pt>
                      <c:pt idx="30">
                        <c:v>27905.4</c:v>
                      </c:pt>
                      <c:pt idx="31">
                        <c:v>27575.4</c:v>
                      </c:pt>
                      <c:pt idx="32">
                        <c:v>27245.4</c:v>
                      </c:pt>
                      <c:pt idx="33">
                        <c:v>26915.4</c:v>
                      </c:pt>
                      <c:pt idx="34">
                        <c:v>26585.4</c:v>
                      </c:pt>
                      <c:pt idx="35">
                        <c:v>26255.4</c:v>
                      </c:pt>
                      <c:pt idx="36">
                        <c:v>25925.4</c:v>
                      </c:pt>
                      <c:pt idx="37">
                        <c:v>25595.4</c:v>
                      </c:pt>
                      <c:pt idx="38">
                        <c:v>25265.4</c:v>
                      </c:pt>
                      <c:pt idx="39">
                        <c:v>24935.4</c:v>
                      </c:pt>
                      <c:pt idx="40">
                        <c:v>24605.4</c:v>
                      </c:pt>
                      <c:pt idx="41">
                        <c:v>24275.4</c:v>
                      </c:pt>
                      <c:pt idx="42">
                        <c:v>23945.4</c:v>
                      </c:pt>
                      <c:pt idx="43">
                        <c:v>23615.4</c:v>
                      </c:pt>
                      <c:pt idx="44">
                        <c:v>23285.4</c:v>
                      </c:pt>
                      <c:pt idx="45">
                        <c:v>22955.4</c:v>
                      </c:pt>
                      <c:pt idx="46">
                        <c:v>22625.4</c:v>
                      </c:pt>
                      <c:pt idx="47">
                        <c:v>22295.4</c:v>
                      </c:pt>
                      <c:pt idx="48">
                        <c:v>21944.498159999999</c:v>
                      </c:pt>
                      <c:pt idx="49">
                        <c:v>21518.618159999998</c:v>
                      </c:pt>
                      <c:pt idx="50">
                        <c:v>21092.738160000001</c:v>
                      </c:pt>
                      <c:pt idx="51">
                        <c:v>20666.85816</c:v>
                      </c:pt>
                      <c:pt idx="52">
                        <c:v>20240.978160000002</c:v>
                      </c:pt>
                      <c:pt idx="53">
                        <c:v>19815.098160000001</c:v>
                      </c:pt>
                      <c:pt idx="54">
                        <c:v>19389.21816</c:v>
                      </c:pt>
                      <c:pt idx="55">
                        <c:v>18963.338159999999</c:v>
                      </c:pt>
                      <c:pt idx="56">
                        <c:v>18537.458160000002</c:v>
                      </c:pt>
                      <c:pt idx="57">
                        <c:v>18111.578160000001</c:v>
                      </c:pt>
                      <c:pt idx="58">
                        <c:v>17685.69816</c:v>
                      </c:pt>
                      <c:pt idx="59">
                        <c:v>17259.818160000003</c:v>
                      </c:pt>
                      <c:pt idx="60">
                        <c:v>10686.93816</c:v>
                      </c:pt>
                      <c:pt idx="61">
                        <c:v>10441.05816</c:v>
                      </c:pt>
                      <c:pt idx="62">
                        <c:v>10195.178159999999</c:v>
                      </c:pt>
                      <c:pt idx="63">
                        <c:v>9949.2981600000003</c:v>
                      </c:pt>
                      <c:pt idx="64">
                        <c:v>9703.4181600000011</c:v>
                      </c:pt>
                      <c:pt idx="65">
                        <c:v>9457.5381600000001</c:v>
                      </c:pt>
                      <c:pt idx="66">
                        <c:v>9211.658159999999</c:v>
                      </c:pt>
                      <c:pt idx="67">
                        <c:v>8965.7781600000017</c:v>
                      </c:pt>
                      <c:pt idx="68">
                        <c:v>8719.8981600000006</c:v>
                      </c:pt>
                      <c:pt idx="69">
                        <c:v>8474.0181599999996</c:v>
                      </c:pt>
                      <c:pt idx="70">
                        <c:v>8228.1381600000004</c:v>
                      </c:pt>
                      <c:pt idx="71">
                        <c:v>7982.2581600000003</c:v>
                      </c:pt>
                      <c:pt idx="72">
                        <c:v>7736.3781600000002</c:v>
                      </c:pt>
                      <c:pt idx="73">
                        <c:v>7490.498160000001</c:v>
                      </c:pt>
                      <c:pt idx="74">
                        <c:v>7244.61816</c:v>
                      </c:pt>
                      <c:pt idx="75">
                        <c:v>6998.7381600000008</c:v>
                      </c:pt>
                      <c:pt idx="76">
                        <c:v>6752.8581600000016</c:v>
                      </c:pt>
                      <c:pt idx="77">
                        <c:v>6506.9781600000006</c:v>
                      </c:pt>
                      <c:pt idx="78">
                        <c:v>6261.0981599999996</c:v>
                      </c:pt>
                      <c:pt idx="79">
                        <c:v>6141.2181600000004</c:v>
                      </c:pt>
                      <c:pt idx="80">
                        <c:v>6045.3381600000002</c:v>
                      </c:pt>
                      <c:pt idx="81">
                        <c:v>5949.4581600000001</c:v>
                      </c:pt>
                      <c:pt idx="82">
                        <c:v>5853.57816</c:v>
                      </c:pt>
                      <c:pt idx="83">
                        <c:v>5757.6981599999999</c:v>
                      </c:pt>
                      <c:pt idx="84">
                        <c:v>5661.8181599999998</c:v>
                      </c:pt>
                      <c:pt idx="85">
                        <c:v>5565.9381599999997</c:v>
                      </c:pt>
                      <c:pt idx="86">
                        <c:v>5470.0581600000005</c:v>
                      </c:pt>
                      <c:pt idx="87">
                        <c:v>1552.1781599999999</c:v>
                      </c:pt>
                      <c:pt idx="88">
                        <c:v>1456.2981599999998</c:v>
                      </c:pt>
                      <c:pt idx="89">
                        <c:v>1360.4181599999997</c:v>
                      </c:pt>
                      <c:pt idx="90">
                        <c:v>1264.5381600000003</c:v>
                      </c:pt>
                      <c:pt idx="91">
                        <c:v>1168.6581600000002</c:v>
                      </c:pt>
                      <c:pt idx="92">
                        <c:v>1072.7781600000001</c:v>
                      </c:pt>
                      <c:pt idx="93">
                        <c:v>976.89815999999996</c:v>
                      </c:pt>
                      <c:pt idx="94">
                        <c:v>881.01815999999985</c:v>
                      </c:pt>
                      <c:pt idx="95">
                        <c:v>785.1381600000002</c:v>
                      </c:pt>
                      <c:pt idx="96">
                        <c:v>689.25816000000009</c:v>
                      </c:pt>
                      <c:pt idx="97">
                        <c:v>593.37815999999998</c:v>
                      </c:pt>
                      <c:pt idx="98">
                        <c:v>497.49815999999993</c:v>
                      </c:pt>
                      <c:pt idx="99">
                        <c:v>401.61815999999982</c:v>
                      </c:pt>
                      <c:pt idx="100">
                        <c:v>305.73815999999971</c:v>
                      </c:pt>
                      <c:pt idx="101">
                        <c:v>0</c:v>
                      </c:pt>
                      <c:pt idx="102">
                        <c:v>0</c:v>
                      </c:pt>
                      <c:pt idx="103">
                        <c:v>0</c:v>
                      </c:pt>
                      <c:pt idx="104">
                        <c:v>0</c:v>
                      </c:pt>
                      <c:pt idx="105">
                        <c:v>0</c:v>
                      </c:pt>
                      <c:pt idx="106">
                        <c:v>0</c:v>
                      </c:pt>
                      <c:pt idx="107">
                        <c:v>0</c:v>
                      </c:pt>
                      <c:pt idx="108">
                        <c:v>0</c:v>
                      </c:pt>
                      <c:pt idx="109">
                        <c:v>0</c:v>
                      </c:pt>
                      <c:pt idx="110">
                        <c:v>0</c:v>
                      </c:pt>
                      <c:pt idx="111">
                        <c:v>0</c:v>
                      </c:pt>
                      <c:pt idx="112">
                        <c:v>0</c:v>
                      </c:pt>
                      <c:pt idx="113">
                        <c:v>0</c:v>
                      </c:pt>
                      <c:pt idx="114">
                        <c:v>0</c:v>
                      </c:pt>
                      <c:pt idx="115">
                        <c:v>0</c:v>
                      </c:pt>
                      <c:pt idx="116">
                        <c:v>0</c:v>
                      </c:pt>
                      <c:pt idx="117">
                        <c:v>0</c:v>
                      </c:pt>
                      <c:pt idx="118">
                        <c:v>0</c:v>
                      </c:pt>
                      <c:pt idx="119">
                        <c:v>0</c:v>
                      </c:pt>
                      <c:pt idx="120">
                        <c:v>0</c:v>
                      </c:pt>
                      <c:pt idx="121">
                        <c:v>0</c:v>
                      </c:pt>
                      <c:pt idx="122">
                        <c:v>0</c:v>
                      </c:pt>
                      <c:pt idx="123">
                        <c:v>0</c:v>
                      </c:pt>
                      <c:pt idx="124">
                        <c:v>0</c:v>
                      </c:pt>
                      <c:pt idx="125">
                        <c:v>0</c:v>
                      </c:pt>
                      <c:pt idx="126">
                        <c:v>0</c:v>
                      </c:pt>
                      <c:pt idx="127">
                        <c:v>0</c:v>
                      </c:pt>
                      <c:pt idx="128">
                        <c:v>0</c:v>
                      </c:pt>
                      <c:pt idx="129">
                        <c:v>0</c:v>
                      </c:pt>
                      <c:pt idx="130">
                        <c:v>0</c:v>
                      </c:pt>
                      <c:pt idx="131">
                        <c:v>0</c:v>
                      </c:pt>
                      <c:pt idx="132">
                        <c:v>0</c:v>
                      </c:pt>
                      <c:pt idx="133">
                        <c:v>0</c:v>
                      </c:pt>
                      <c:pt idx="134">
                        <c:v>0</c:v>
                      </c:pt>
                      <c:pt idx="135">
                        <c:v>0</c:v>
                      </c:pt>
                      <c:pt idx="136">
                        <c:v>0</c:v>
                      </c:pt>
                      <c:pt idx="137">
                        <c:v>0</c:v>
                      </c:pt>
                      <c:pt idx="138">
                        <c:v>0</c:v>
                      </c:pt>
                      <c:pt idx="139">
                        <c:v>0</c:v>
                      </c:pt>
                      <c:pt idx="140">
                        <c:v>0</c:v>
                      </c:pt>
                      <c:pt idx="141">
                        <c:v>0</c:v>
                      </c:pt>
                      <c:pt idx="142">
                        <c:v>0</c:v>
                      </c:pt>
                      <c:pt idx="143">
                        <c:v>0</c:v>
                      </c:pt>
                      <c:pt idx="144">
                        <c:v>0</c:v>
                      </c:pt>
                      <c:pt idx="145">
                        <c:v>0</c:v>
                      </c:pt>
                      <c:pt idx="146">
                        <c:v>0</c:v>
                      </c:pt>
                      <c:pt idx="147">
                        <c:v>0</c:v>
                      </c:pt>
                      <c:pt idx="148">
                        <c:v>0</c:v>
                      </c:pt>
                      <c:pt idx="149">
                        <c:v>0</c:v>
                      </c:pt>
                      <c:pt idx="150">
                        <c:v>0</c:v>
                      </c:pt>
                      <c:pt idx="151">
                        <c:v>0</c:v>
                      </c:pt>
                      <c:pt idx="152">
                        <c:v>0</c:v>
                      </c:pt>
                      <c:pt idx="153">
                        <c:v>0</c:v>
                      </c:pt>
                      <c:pt idx="154">
                        <c:v>0</c:v>
                      </c:pt>
                      <c:pt idx="155">
                        <c:v>0</c:v>
                      </c:pt>
                      <c:pt idx="156">
                        <c:v>0</c:v>
                      </c:pt>
                      <c:pt idx="157">
                        <c:v>0</c:v>
                      </c:pt>
                      <c:pt idx="158">
                        <c:v>0</c:v>
                      </c:pt>
                      <c:pt idx="159">
                        <c:v>0</c:v>
                      </c:pt>
                      <c:pt idx="160">
                        <c:v>0</c:v>
                      </c:pt>
                      <c:pt idx="161">
                        <c:v>0</c:v>
                      </c:pt>
                      <c:pt idx="162">
                        <c:v>0</c:v>
                      </c:pt>
                      <c:pt idx="163">
                        <c:v>0</c:v>
                      </c:pt>
                      <c:pt idx="164">
                        <c:v>0</c:v>
                      </c:pt>
                      <c:pt idx="165">
                        <c:v>0</c:v>
                      </c:pt>
                      <c:pt idx="166">
                        <c:v>0</c:v>
                      </c:pt>
                      <c:pt idx="167">
                        <c:v>0</c:v>
                      </c:pt>
                      <c:pt idx="168">
                        <c:v>0</c:v>
                      </c:pt>
                      <c:pt idx="169">
                        <c:v>0</c:v>
                      </c:pt>
                      <c:pt idx="170">
                        <c:v>0</c:v>
                      </c:pt>
                      <c:pt idx="171">
                        <c:v>0</c:v>
                      </c:pt>
                      <c:pt idx="172">
                        <c:v>0</c:v>
                      </c:pt>
                      <c:pt idx="173">
                        <c:v>0</c:v>
                      </c:pt>
                      <c:pt idx="174">
                        <c:v>0</c:v>
                      </c:pt>
                      <c:pt idx="175">
                        <c:v>0</c:v>
                      </c:pt>
                      <c:pt idx="176">
                        <c:v>0</c:v>
                      </c:pt>
                      <c:pt idx="177">
                        <c:v>0</c:v>
                      </c:pt>
                      <c:pt idx="178">
                        <c:v>0</c:v>
                      </c:pt>
                      <c:pt idx="179">
                        <c:v>0</c:v>
                      </c:pt>
                      <c:pt idx="180">
                        <c:v>0</c:v>
                      </c:pt>
                      <c:pt idx="181">
                        <c:v>0</c:v>
                      </c:pt>
                      <c:pt idx="182">
                        <c:v>0</c:v>
                      </c:pt>
                      <c:pt idx="183">
                        <c:v>0</c:v>
                      </c:pt>
                      <c:pt idx="184">
                        <c:v>0</c:v>
                      </c:pt>
                      <c:pt idx="185">
                        <c:v>0</c:v>
                      </c:pt>
                      <c:pt idx="186">
                        <c:v>0</c:v>
                      </c:pt>
                      <c:pt idx="187">
                        <c:v>0</c:v>
                      </c:pt>
                      <c:pt idx="188">
                        <c:v>0</c:v>
                      </c:pt>
                      <c:pt idx="189">
                        <c:v>0</c:v>
                      </c:pt>
                      <c:pt idx="190">
                        <c:v>0</c:v>
                      </c:pt>
                      <c:pt idx="191">
                        <c:v>0</c:v>
                      </c:pt>
                      <c:pt idx="192">
                        <c:v>0</c:v>
                      </c:pt>
                      <c:pt idx="193">
                        <c:v>0</c:v>
                      </c:pt>
                      <c:pt idx="194">
                        <c:v>0</c:v>
                      </c:pt>
                      <c:pt idx="195">
                        <c:v>0</c:v>
                      </c:pt>
                      <c:pt idx="196">
                        <c:v>0</c:v>
                      </c:pt>
                      <c:pt idx="197">
                        <c:v>0</c:v>
                      </c:pt>
                      <c:pt idx="198">
                        <c:v>0</c:v>
                      </c:pt>
                      <c:pt idx="199">
                        <c:v>0</c:v>
                      </c:pt>
                      <c:pt idx="200">
                        <c:v>0</c:v>
                      </c:pt>
                    </c:numCache>
                  </c:numRef>
                </c:val>
                <c:extLst xmlns:c15="http://schemas.microsoft.com/office/drawing/2012/chart">
                  <c:ext xmlns:c16="http://schemas.microsoft.com/office/drawing/2014/chart" uri="{C3380CC4-5D6E-409C-BE32-E72D297353CC}">
                    <c16:uniqueId val="{00000001-5CD8-4314-84A8-3D208028037A}"/>
                  </c:ext>
                </c:extLst>
              </c15:ser>
            </c15:filteredAreaSeries>
            <c15:filteredAreaSeries>
              <c15:ser>
                <c:idx val="3"/>
                <c:order val="11"/>
                <c:tx>
                  <c:strRef>
                    <c:extLst xmlns:c15="http://schemas.microsoft.com/office/drawing/2012/chart">
                      <c:ext xmlns:c15="http://schemas.microsoft.com/office/drawing/2012/chart" uri="{02D57815-91ED-43cb-92C2-25804820EDAC}">
                        <c15:formulaRef>
                          <c15:sqref>'Use this for graphs'!$L$1</c15:sqref>
                        </c15:formulaRef>
                      </c:ext>
                    </c:extLst>
                    <c:strCache>
                      <c:ptCount val="1"/>
                      <c:pt idx="0">
                        <c:v>Total benefits + income</c:v>
                      </c:pt>
                    </c:strCache>
                  </c:strRef>
                </c:tx>
                <c:spPr>
                  <a:solidFill>
                    <a:schemeClr val="accent4"/>
                  </a:solidFill>
                  <a:ln>
                    <a:noFill/>
                  </a:ln>
                  <a:effectLst/>
                </c:spPr>
                <c:cat>
                  <c:numRef>
                    <c:extLst xmlns:c15="http://schemas.microsoft.com/office/drawing/2012/chart">
                      <c:ext xmlns:c15="http://schemas.microsoft.com/office/drawing/2012/chart" uri="{02D57815-91ED-43cb-92C2-25804820EDAC}">
                        <c15:formulaRef>
                          <c15:sqref>'Use this for graphs'!$A$2:$A$202</c15:sqref>
                        </c15:formulaRef>
                      </c:ext>
                    </c:extLst>
                    <c:numCache>
                      <c:formatCode>"$"#,##0</c:formatCode>
                      <c:ptCount val="201"/>
                      <c:pt idx="0">
                        <c:v>0</c:v>
                      </c:pt>
                      <c:pt idx="1">
                        <c:v>500</c:v>
                      </c:pt>
                      <c:pt idx="2">
                        <c:v>1000</c:v>
                      </c:pt>
                      <c:pt idx="3">
                        <c:v>1500</c:v>
                      </c:pt>
                      <c:pt idx="4">
                        <c:v>2000</c:v>
                      </c:pt>
                      <c:pt idx="5">
                        <c:v>2500</c:v>
                      </c:pt>
                      <c:pt idx="6">
                        <c:v>3000</c:v>
                      </c:pt>
                      <c:pt idx="7">
                        <c:v>3500</c:v>
                      </c:pt>
                      <c:pt idx="8">
                        <c:v>4000</c:v>
                      </c:pt>
                      <c:pt idx="9">
                        <c:v>4500</c:v>
                      </c:pt>
                      <c:pt idx="10">
                        <c:v>5000</c:v>
                      </c:pt>
                      <c:pt idx="11">
                        <c:v>5500</c:v>
                      </c:pt>
                      <c:pt idx="12">
                        <c:v>6000</c:v>
                      </c:pt>
                      <c:pt idx="13">
                        <c:v>6500</c:v>
                      </c:pt>
                      <c:pt idx="14">
                        <c:v>7000</c:v>
                      </c:pt>
                      <c:pt idx="15">
                        <c:v>7500</c:v>
                      </c:pt>
                      <c:pt idx="16">
                        <c:v>8000</c:v>
                      </c:pt>
                      <c:pt idx="17">
                        <c:v>8500</c:v>
                      </c:pt>
                      <c:pt idx="18">
                        <c:v>9000</c:v>
                      </c:pt>
                      <c:pt idx="19">
                        <c:v>9500</c:v>
                      </c:pt>
                      <c:pt idx="20">
                        <c:v>10000</c:v>
                      </c:pt>
                      <c:pt idx="21">
                        <c:v>10500</c:v>
                      </c:pt>
                      <c:pt idx="22">
                        <c:v>11000</c:v>
                      </c:pt>
                      <c:pt idx="23">
                        <c:v>11500</c:v>
                      </c:pt>
                      <c:pt idx="24">
                        <c:v>12000</c:v>
                      </c:pt>
                      <c:pt idx="25">
                        <c:v>12500</c:v>
                      </c:pt>
                      <c:pt idx="26">
                        <c:v>13000</c:v>
                      </c:pt>
                      <c:pt idx="27">
                        <c:v>13500</c:v>
                      </c:pt>
                      <c:pt idx="28">
                        <c:v>14000</c:v>
                      </c:pt>
                      <c:pt idx="29">
                        <c:v>14500</c:v>
                      </c:pt>
                      <c:pt idx="30">
                        <c:v>15000</c:v>
                      </c:pt>
                      <c:pt idx="31">
                        <c:v>15500</c:v>
                      </c:pt>
                      <c:pt idx="32">
                        <c:v>16000</c:v>
                      </c:pt>
                      <c:pt idx="33">
                        <c:v>16500</c:v>
                      </c:pt>
                      <c:pt idx="34">
                        <c:v>17000</c:v>
                      </c:pt>
                      <c:pt idx="35">
                        <c:v>17500</c:v>
                      </c:pt>
                      <c:pt idx="36">
                        <c:v>18000</c:v>
                      </c:pt>
                      <c:pt idx="37">
                        <c:v>18500</c:v>
                      </c:pt>
                      <c:pt idx="38">
                        <c:v>19000</c:v>
                      </c:pt>
                      <c:pt idx="39">
                        <c:v>19500</c:v>
                      </c:pt>
                      <c:pt idx="40">
                        <c:v>20000</c:v>
                      </c:pt>
                      <c:pt idx="41">
                        <c:v>20500</c:v>
                      </c:pt>
                      <c:pt idx="42">
                        <c:v>21000</c:v>
                      </c:pt>
                      <c:pt idx="43">
                        <c:v>21500</c:v>
                      </c:pt>
                      <c:pt idx="44">
                        <c:v>22000</c:v>
                      </c:pt>
                      <c:pt idx="45">
                        <c:v>22500</c:v>
                      </c:pt>
                      <c:pt idx="46">
                        <c:v>23000</c:v>
                      </c:pt>
                      <c:pt idx="47">
                        <c:v>23500</c:v>
                      </c:pt>
                      <c:pt idx="48">
                        <c:v>24000</c:v>
                      </c:pt>
                      <c:pt idx="49">
                        <c:v>24500</c:v>
                      </c:pt>
                      <c:pt idx="50">
                        <c:v>25000</c:v>
                      </c:pt>
                      <c:pt idx="51">
                        <c:v>25500</c:v>
                      </c:pt>
                      <c:pt idx="52">
                        <c:v>26000</c:v>
                      </c:pt>
                      <c:pt idx="53">
                        <c:v>26500</c:v>
                      </c:pt>
                      <c:pt idx="54">
                        <c:v>27000</c:v>
                      </c:pt>
                      <c:pt idx="55">
                        <c:v>27500</c:v>
                      </c:pt>
                      <c:pt idx="56">
                        <c:v>28000</c:v>
                      </c:pt>
                      <c:pt idx="57">
                        <c:v>28500</c:v>
                      </c:pt>
                      <c:pt idx="58">
                        <c:v>29000</c:v>
                      </c:pt>
                      <c:pt idx="59">
                        <c:v>29500</c:v>
                      </c:pt>
                      <c:pt idx="60">
                        <c:v>30000</c:v>
                      </c:pt>
                      <c:pt idx="61">
                        <c:v>30500</c:v>
                      </c:pt>
                      <c:pt idx="62">
                        <c:v>31000</c:v>
                      </c:pt>
                      <c:pt idx="63">
                        <c:v>31500</c:v>
                      </c:pt>
                      <c:pt idx="64">
                        <c:v>32000</c:v>
                      </c:pt>
                      <c:pt idx="65">
                        <c:v>32500</c:v>
                      </c:pt>
                      <c:pt idx="66">
                        <c:v>33000</c:v>
                      </c:pt>
                      <c:pt idx="67">
                        <c:v>33500</c:v>
                      </c:pt>
                      <c:pt idx="68">
                        <c:v>34000</c:v>
                      </c:pt>
                      <c:pt idx="69">
                        <c:v>34500</c:v>
                      </c:pt>
                      <c:pt idx="70">
                        <c:v>35000</c:v>
                      </c:pt>
                      <c:pt idx="71">
                        <c:v>35500</c:v>
                      </c:pt>
                      <c:pt idx="72">
                        <c:v>36000</c:v>
                      </c:pt>
                      <c:pt idx="73">
                        <c:v>36500</c:v>
                      </c:pt>
                      <c:pt idx="74">
                        <c:v>37000</c:v>
                      </c:pt>
                      <c:pt idx="75">
                        <c:v>37500</c:v>
                      </c:pt>
                      <c:pt idx="76">
                        <c:v>38000</c:v>
                      </c:pt>
                      <c:pt idx="77">
                        <c:v>38500</c:v>
                      </c:pt>
                      <c:pt idx="78">
                        <c:v>39000</c:v>
                      </c:pt>
                      <c:pt idx="79">
                        <c:v>39500</c:v>
                      </c:pt>
                      <c:pt idx="80">
                        <c:v>40000</c:v>
                      </c:pt>
                      <c:pt idx="81">
                        <c:v>40500</c:v>
                      </c:pt>
                      <c:pt idx="82">
                        <c:v>41000</c:v>
                      </c:pt>
                      <c:pt idx="83">
                        <c:v>41500</c:v>
                      </c:pt>
                      <c:pt idx="84">
                        <c:v>42000</c:v>
                      </c:pt>
                      <c:pt idx="85">
                        <c:v>42500</c:v>
                      </c:pt>
                      <c:pt idx="86">
                        <c:v>43000</c:v>
                      </c:pt>
                      <c:pt idx="87">
                        <c:v>43500</c:v>
                      </c:pt>
                      <c:pt idx="88">
                        <c:v>44000</c:v>
                      </c:pt>
                      <c:pt idx="89">
                        <c:v>44500</c:v>
                      </c:pt>
                      <c:pt idx="90">
                        <c:v>45000</c:v>
                      </c:pt>
                      <c:pt idx="91">
                        <c:v>45500</c:v>
                      </c:pt>
                      <c:pt idx="92">
                        <c:v>46000</c:v>
                      </c:pt>
                      <c:pt idx="93">
                        <c:v>46500</c:v>
                      </c:pt>
                      <c:pt idx="94">
                        <c:v>47000</c:v>
                      </c:pt>
                      <c:pt idx="95">
                        <c:v>47500</c:v>
                      </c:pt>
                      <c:pt idx="96">
                        <c:v>48000</c:v>
                      </c:pt>
                      <c:pt idx="97">
                        <c:v>48500</c:v>
                      </c:pt>
                      <c:pt idx="98">
                        <c:v>49000</c:v>
                      </c:pt>
                      <c:pt idx="99">
                        <c:v>49500</c:v>
                      </c:pt>
                      <c:pt idx="100">
                        <c:v>50000</c:v>
                      </c:pt>
                      <c:pt idx="101">
                        <c:v>50500</c:v>
                      </c:pt>
                      <c:pt idx="102">
                        <c:v>51000</c:v>
                      </c:pt>
                      <c:pt idx="103">
                        <c:v>51500</c:v>
                      </c:pt>
                      <c:pt idx="104">
                        <c:v>52000</c:v>
                      </c:pt>
                      <c:pt idx="105">
                        <c:v>52500</c:v>
                      </c:pt>
                      <c:pt idx="106">
                        <c:v>53000</c:v>
                      </c:pt>
                      <c:pt idx="107">
                        <c:v>53500</c:v>
                      </c:pt>
                      <c:pt idx="108">
                        <c:v>54000</c:v>
                      </c:pt>
                      <c:pt idx="109">
                        <c:v>54500</c:v>
                      </c:pt>
                      <c:pt idx="110">
                        <c:v>55000</c:v>
                      </c:pt>
                      <c:pt idx="111">
                        <c:v>55500</c:v>
                      </c:pt>
                      <c:pt idx="112">
                        <c:v>56000</c:v>
                      </c:pt>
                      <c:pt idx="113">
                        <c:v>56500</c:v>
                      </c:pt>
                      <c:pt idx="114">
                        <c:v>57000</c:v>
                      </c:pt>
                      <c:pt idx="115">
                        <c:v>57500</c:v>
                      </c:pt>
                      <c:pt idx="116">
                        <c:v>58000</c:v>
                      </c:pt>
                      <c:pt idx="117">
                        <c:v>58500</c:v>
                      </c:pt>
                      <c:pt idx="118">
                        <c:v>59000</c:v>
                      </c:pt>
                      <c:pt idx="119">
                        <c:v>59500</c:v>
                      </c:pt>
                      <c:pt idx="120">
                        <c:v>60000</c:v>
                      </c:pt>
                      <c:pt idx="121">
                        <c:v>60500</c:v>
                      </c:pt>
                      <c:pt idx="122">
                        <c:v>61000</c:v>
                      </c:pt>
                      <c:pt idx="123">
                        <c:v>61500</c:v>
                      </c:pt>
                      <c:pt idx="124">
                        <c:v>62000</c:v>
                      </c:pt>
                      <c:pt idx="125">
                        <c:v>62500</c:v>
                      </c:pt>
                      <c:pt idx="126">
                        <c:v>63000</c:v>
                      </c:pt>
                      <c:pt idx="127">
                        <c:v>63500</c:v>
                      </c:pt>
                      <c:pt idx="128">
                        <c:v>64000</c:v>
                      </c:pt>
                      <c:pt idx="129">
                        <c:v>64500</c:v>
                      </c:pt>
                      <c:pt idx="130">
                        <c:v>65000</c:v>
                      </c:pt>
                      <c:pt idx="131">
                        <c:v>65500</c:v>
                      </c:pt>
                      <c:pt idx="132">
                        <c:v>66000</c:v>
                      </c:pt>
                      <c:pt idx="133">
                        <c:v>66500</c:v>
                      </c:pt>
                      <c:pt idx="134">
                        <c:v>67000</c:v>
                      </c:pt>
                      <c:pt idx="135">
                        <c:v>67500</c:v>
                      </c:pt>
                      <c:pt idx="136">
                        <c:v>68000</c:v>
                      </c:pt>
                      <c:pt idx="137">
                        <c:v>68500</c:v>
                      </c:pt>
                      <c:pt idx="138">
                        <c:v>69000</c:v>
                      </c:pt>
                      <c:pt idx="139">
                        <c:v>69500</c:v>
                      </c:pt>
                      <c:pt idx="140">
                        <c:v>70000</c:v>
                      </c:pt>
                      <c:pt idx="141">
                        <c:v>70500</c:v>
                      </c:pt>
                      <c:pt idx="142">
                        <c:v>71000</c:v>
                      </c:pt>
                      <c:pt idx="143">
                        <c:v>71500</c:v>
                      </c:pt>
                      <c:pt idx="144">
                        <c:v>72000</c:v>
                      </c:pt>
                      <c:pt idx="145">
                        <c:v>72500</c:v>
                      </c:pt>
                      <c:pt idx="146">
                        <c:v>73000</c:v>
                      </c:pt>
                      <c:pt idx="147">
                        <c:v>73500</c:v>
                      </c:pt>
                      <c:pt idx="148">
                        <c:v>74000</c:v>
                      </c:pt>
                      <c:pt idx="149">
                        <c:v>74500</c:v>
                      </c:pt>
                      <c:pt idx="150">
                        <c:v>75000</c:v>
                      </c:pt>
                      <c:pt idx="151">
                        <c:v>75500</c:v>
                      </c:pt>
                      <c:pt idx="152">
                        <c:v>76000</c:v>
                      </c:pt>
                      <c:pt idx="153">
                        <c:v>76500</c:v>
                      </c:pt>
                      <c:pt idx="154">
                        <c:v>77000</c:v>
                      </c:pt>
                      <c:pt idx="155">
                        <c:v>77500</c:v>
                      </c:pt>
                      <c:pt idx="156">
                        <c:v>78000</c:v>
                      </c:pt>
                      <c:pt idx="157">
                        <c:v>78500</c:v>
                      </c:pt>
                      <c:pt idx="158">
                        <c:v>79000</c:v>
                      </c:pt>
                      <c:pt idx="159">
                        <c:v>79500</c:v>
                      </c:pt>
                      <c:pt idx="160">
                        <c:v>80000</c:v>
                      </c:pt>
                      <c:pt idx="161">
                        <c:v>80500</c:v>
                      </c:pt>
                      <c:pt idx="162">
                        <c:v>81000</c:v>
                      </c:pt>
                      <c:pt idx="163">
                        <c:v>81500</c:v>
                      </c:pt>
                      <c:pt idx="164">
                        <c:v>82000</c:v>
                      </c:pt>
                      <c:pt idx="165">
                        <c:v>82500</c:v>
                      </c:pt>
                      <c:pt idx="166">
                        <c:v>83000</c:v>
                      </c:pt>
                      <c:pt idx="167">
                        <c:v>83500</c:v>
                      </c:pt>
                      <c:pt idx="168">
                        <c:v>84000</c:v>
                      </c:pt>
                      <c:pt idx="169">
                        <c:v>84500</c:v>
                      </c:pt>
                      <c:pt idx="170">
                        <c:v>85000</c:v>
                      </c:pt>
                      <c:pt idx="171">
                        <c:v>85500</c:v>
                      </c:pt>
                      <c:pt idx="172">
                        <c:v>86000</c:v>
                      </c:pt>
                      <c:pt idx="173">
                        <c:v>86500</c:v>
                      </c:pt>
                      <c:pt idx="174">
                        <c:v>87000</c:v>
                      </c:pt>
                      <c:pt idx="175">
                        <c:v>87500</c:v>
                      </c:pt>
                      <c:pt idx="176">
                        <c:v>88000</c:v>
                      </c:pt>
                      <c:pt idx="177">
                        <c:v>88500</c:v>
                      </c:pt>
                      <c:pt idx="178">
                        <c:v>89000</c:v>
                      </c:pt>
                      <c:pt idx="179">
                        <c:v>89500</c:v>
                      </c:pt>
                      <c:pt idx="180">
                        <c:v>90000</c:v>
                      </c:pt>
                      <c:pt idx="181">
                        <c:v>90500</c:v>
                      </c:pt>
                      <c:pt idx="182">
                        <c:v>91000</c:v>
                      </c:pt>
                      <c:pt idx="183">
                        <c:v>91500</c:v>
                      </c:pt>
                      <c:pt idx="184">
                        <c:v>92000</c:v>
                      </c:pt>
                      <c:pt idx="185">
                        <c:v>92500</c:v>
                      </c:pt>
                      <c:pt idx="186">
                        <c:v>93000</c:v>
                      </c:pt>
                      <c:pt idx="187">
                        <c:v>93500</c:v>
                      </c:pt>
                      <c:pt idx="188">
                        <c:v>94000</c:v>
                      </c:pt>
                      <c:pt idx="189">
                        <c:v>94500</c:v>
                      </c:pt>
                      <c:pt idx="190">
                        <c:v>95000</c:v>
                      </c:pt>
                      <c:pt idx="191">
                        <c:v>95500</c:v>
                      </c:pt>
                      <c:pt idx="192">
                        <c:v>96000</c:v>
                      </c:pt>
                      <c:pt idx="193">
                        <c:v>96500</c:v>
                      </c:pt>
                      <c:pt idx="194">
                        <c:v>97000</c:v>
                      </c:pt>
                      <c:pt idx="195">
                        <c:v>97500</c:v>
                      </c:pt>
                      <c:pt idx="196">
                        <c:v>98000</c:v>
                      </c:pt>
                      <c:pt idx="197">
                        <c:v>98500</c:v>
                      </c:pt>
                      <c:pt idx="198">
                        <c:v>99000</c:v>
                      </c:pt>
                      <c:pt idx="199">
                        <c:v>99500</c:v>
                      </c:pt>
                      <c:pt idx="200">
                        <c:v>100000</c:v>
                      </c:pt>
                    </c:numCache>
                  </c:numRef>
                </c:cat>
                <c:val>
                  <c:numRef>
                    <c:extLst xmlns:c15="http://schemas.microsoft.com/office/drawing/2012/chart">
                      <c:ext xmlns:c15="http://schemas.microsoft.com/office/drawing/2012/chart" uri="{02D57815-91ED-43cb-92C2-25804820EDAC}">
                        <c15:formulaRef>
                          <c15:sqref>'Use this for graphs'!$L$2:$L$202</c15:sqref>
                        </c15:formulaRef>
                      </c:ext>
                    </c:extLst>
                    <c:numCache>
                      <c:formatCode>"$"#,##0</c:formatCode>
                      <c:ptCount val="201"/>
                      <c:pt idx="0">
                        <c:v>31658.988000000001</c:v>
                      </c:pt>
                      <c:pt idx="1">
                        <c:v>32093</c:v>
                      </c:pt>
                      <c:pt idx="2">
                        <c:v>32647</c:v>
                      </c:pt>
                      <c:pt idx="3">
                        <c:v>33201</c:v>
                      </c:pt>
                      <c:pt idx="4">
                        <c:v>33755</c:v>
                      </c:pt>
                      <c:pt idx="5">
                        <c:v>34309</c:v>
                      </c:pt>
                      <c:pt idx="6">
                        <c:v>34587.479999999996</c:v>
                      </c:pt>
                      <c:pt idx="7">
                        <c:v>34861.479999999996</c:v>
                      </c:pt>
                      <c:pt idx="8">
                        <c:v>35135.480000000003</c:v>
                      </c:pt>
                      <c:pt idx="9">
                        <c:v>35409.479999999996</c:v>
                      </c:pt>
                      <c:pt idx="10">
                        <c:v>35683.479999999996</c:v>
                      </c:pt>
                      <c:pt idx="11">
                        <c:v>35957.480000000003</c:v>
                      </c:pt>
                      <c:pt idx="12">
                        <c:v>36231.479999999996</c:v>
                      </c:pt>
                      <c:pt idx="13">
                        <c:v>36505.479999999996</c:v>
                      </c:pt>
                      <c:pt idx="14">
                        <c:v>36779.479999999996</c:v>
                      </c:pt>
                      <c:pt idx="15">
                        <c:v>37053.479999999996</c:v>
                      </c:pt>
                      <c:pt idx="16">
                        <c:v>37327.479999999996</c:v>
                      </c:pt>
                      <c:pt idx="17">
                        <c:v>37723</c:v>
                      </c:pt>
                      <c:pt idx="18">
                        <c:v>38277</c:v>
                      </c:pt>
                      <c:pt idx="19">
                        <c:v>38831</c:v>
                      </c:pt>
                      <c:pt idx="20">
                        <c:v>39385</c:v>
                      </c:pt>
                      <c:pt idx="21">
                        <c:v>39939</c:v>
                      </c:pt>
                      <c:pt idx="22">
                        <c:v>40493</c:v>
                      </c:pt>
                      <c:pt idx="23">
                        <c:v>41047</c:v>
                      </c:pt>
                      <c:pt idx="24">
                        <c:v>41469</c:v>
                      </c:pt>
                      <c:pt idx="25">
                        <c:v>41843</c:v>
                      </c:pt>
                      <c:pt idx="26">
                        <c:v>42217</c:v>
                      </c:pt>
                      <c:pt idx="27">
                        <c:v>42395.4</c:v>
                      </c:pt>
                      <c:pt idx="28">
                        <c:v>42565.4</c:v>
                      </c:pt>
                      <c:pt idx="29">
                        <c:v>42735.4</c:v>
                      </c:pt>
                      <c:pt idx="30">
                        <c:v>42905.4</c:v>
                      </c:pt>
                      <c:pt idx="31">
                        <c:v>43075.4</c:v>
                      </c:pt>
                      <c:pt idx="32">
                        <c:v>43245.4</c:v>
                      </c:pt>
                      <c:pt idx="33">
                        <c:v>43415.4</c:v>
                      </c:pt>
                      <c:pt idx="34">
                        <c:v>43585.4</c:v>
                      </c:pt>
                      <c:pt idx="35">
                        <c:v>43755.4</c:v>
                      </c:pt>
                      <c:pt idx="36">
                        <c:v>43925.4</c:v>
                      </c:pt>
                      <c:pt idx="37">
                        <c:v>44095.4</c:v>
                      </c:pt>
                      <c:pt idx="38">
                        <c:v>44265.4</c:v>
                      </c:pt>
                      <c:pt idx="39">
                        <c:v>44435.4</c:v>
                      </c:pt>
                      <c:pt idx="40">
                        <c:v>44605.4</c:v>
                      </c:pt>
                      <c:pt idx="41">
                        <c:v>44775.4</c:v>
                      </c:pt>
                      <c:pt idx="42">
                        <c:v>44945.4</c:v>
                      </c:pt>
                      <c:pt idx="43">
                        <c:v>45115.4</c:v>
                      </c:pt>
                      <c:pt idx="44">
                        <c:v>45285.4</c:v>
                      </c:pt>
                      <c:pt idx="45">
                        <c:v>45455.4</c:v>
                      </c:pt>
                      <c:pt idx="46">
                        <c:v>45625.4</c:v>
                      </c:pt>
                      <c:pt idx="47">
                        <c:v>45795.4</c:v>
                      </c:pt>
                      <c:pt idx="48">
                        <c:v>45944.498160000003</c:v>
                      </c:pt>
                      <c:pt idx="49">
                        <c:v>46018.618159999998</c:v>
                      </c:pt>
                      <c:pt idx="50">
                        <c:v>46092.738160000001</c:v>
                      </c:pt>
                      <c:pt idx="51">
                        <c:v>46166.858160000003</c:v>
                      </c:pt>
                      <c:pt idx="52">
                        <c:v>46240.978159999999</c:v>
                      </c:pt>
                      <c:pt idx="53">
                        <c:v>46315.098160000001</c:v>
                      </c:pt>
                      <c:pt idx="54">
                        <c:v>46389.218160000004</c:v>
                      </c:pt>
                      <c:pt idx="55">
                        <c:v>46463.338159999999</c:v>
                      </c:pt>
                      <c:pt idx="56">
                        <c:v>46537.458160000002</c:v>
                      </c:pt>
                      <c:pt idx="57">
                        <c:v>46611.578160000005</c:v>
                      </c:pt>
                      <c:pt idx="58">
                        <c:v>46685.69816</c:v>
                      </c:pt>
                      <c:pt idx="59">
                        <c:v>46759.818160000003</c:v>
                      </c:pt>
                      <c:pt idx="60">
                        <c:v>40686.938159999998</c:v>
                      </c:pt>
                      <c:pt idx="61">
                        <c:v>40941.05816</c:v>
                      </c:pt>
                      <c:pt idx="62">
                        <c:v>41195.178159999996</c:v>
                      </c:pt>
                      <c:pt idx="63">
                        <c:v>41449.298159999998</c:v>
                      </c:pt>
                      <c:pt idx="64">
                        <c:v>41703.418160000001</c:v>
                      </c:pt>
                      <c:pt idx="65">
                        <c:v>41957.538159999996</c:v>
                      </c:pt>
                      <c:pt idx="66">
                        <c:v>42211.658159999999</c:v>
                      </c:pt>
                      <c:pt idx="67">
                        <c:v>42465.778160000002</c:v>
                      </c:pt>
                      <c:pt idx="68">
                        <c:v>42719.898159999997</c:v>
                      </c:pt>
                      <c:pt idx="69">
                        <c:v>42974.01816</c:v>
                      </c:pt>
                      <c:pt idx="70">
                        <c:v>43228.138160000002</c:v>
                      </c:pt>
                      <c:pt idx="71">
                        <c:v>43482.258159999998</c:v>
                      </c:pt>
                      <c:pt idx="72">
                        <c:v>43736.37816</c:v>
                      </c:pt>
                      <c:pt idx="73">
                        <c:v>43990.498160000003</c:v>
                      </c:pt>
                      <c:pt idx="74">
                        <c:v>44244.618159999998</c:v>
                      </c:pt>
                      <c:pt idx="75">
                        <c:v>44498.738160000001</c:v>
                      </c:pt>
                      <c:pt idx="76">
                        <c:v>44752.858160000003</c:v>
                      </c:pt>
                      <c:pt idx="77">
                        <c:v>45006.978159999999</c:v>
                      </c:pt>
                      <c:pt idx="78">
                        <c:v>45261.098160000001</c:v>
                      </c:pt>
                      <c:pt idx="79">
                        <c:v>45641.218160000004</c:v>
                      </c:pt>
                      <c:pt idx="80">
                        <c:v>46045.338159999999</c:v>
                      </c:pt>
                      <c:pt idx="81">
                        <c:v>46449.458160000002</c:v>
                      </c:pt>
                      <c:pt idx="82">
                        <c:v>46853.578159999997</c:v>
                      </c:pt>
                      <c:pt idx="83">
                        <c:v>47257.69816</c:v>
                      </c:pt>
                      <c:pt idx="84">
                        <c:v>47661.818160000003</c:v>
                      </c:pt>
                      <c:pt idx="85">
                        <c:v>48065.938159999998</c:v>
                      </c:pt>
                      <c:pt idx="86">
                        <c:v>48470.05816</c:v>
                      </c:pt>
                      <c:pt idx="87">
                        <c:v>45052.178160000003</c:v>
                      </c:pt>
                      <c:pt idx="88">
                        <c:v>45456.298159999998</c:v>
                      </c:pt>
                      <c:pt idx="89">
                        <c:v>45860.418160000001</c:v>
                      </c:pt>
                      <c:pt idx="90">
                        <c:v>46264.538160000004</c:v>
                      </c:pt>
                      <c:pt idx="91">
                        <c:v>46668.658159999999</c:v>
                      </c:pt>
                      <c:pt idx="92">
                        <c:v>47072.778160000002</c:v>
                      </c:pt>
                      <c:pt idx="93">
                        <c:v>47476.898159999997</c:v>
                      </c:pt>
                      <c:pt idx="94">
                        <c:v>47881.01816</c:v>
                      </c:pt>
                      <c:pt idx="95">
                        <c:v>48285.138160000002</c:v>
                      </c:pt>
                      <c:pt idx="96">
                        <c:v>48689.258159999998</c:v>
                      </c:pt>
                      <c:pt idx="97">
                        <c:v>49093.37816</c:v>
                      </c:pt>
                      <c:pt idx="98">
                        <c:v>49497.498160000003</c:v>
                      </c:pt>
                      <c:pt idx="99">
                        <c:v>49901.618159999998</c:v>
                      </c:pt>
                      <c:pt idx="100">
                        <c:v>50305.738160000001</c:v>
                      </c:pt>
                      <c:pt idx="101">
                        <c:v>50500</c:v>
                      </c:pt>
                      <c:pt idx="102">
                        <c:v>51000</c:v>
                      </c:pt>
                      <c:pt idx="103">
                        <c:v>51500</c:v>
                      </c:pt>
                      <c:pt idx="104">
                        <c:v>52000</c:v>
                      </c:pt>
                      <c:pt idx="105">
                        <c:v>52500</c:v>
                      </c:pt>
                      <c:pt idx="106">
                        <c:v>53000</c:v>
                      </c:pt>
                      <c:pt idx="107">
                        <c:v>53500</c:v>
                      </c:pt>
                      <c:pt idx="108">
                        <c:v>54000</c:v>
                      </c:pt>
                      <c:pt idx="109">
                        <c:v>54500</c:v>
                      </c:pt>
                      <c:pt idx="110">
                        <c:v>55000</c:v>
                      </c:pt>
                      <c:pt idx="111">
                        <c:v>55500</c:v>
                      </c:pt>
                      <c:pt idx="112">
                        <c:v>56000</c:v>
                      </c:pt>
                      <c:pt idx="113">
                        <c:v>56500</c:v>
                      </c:pt>
                      <c:pt idx="114">
                        <c:v>57000</c:v>
                      </c:pt>
                      <c:pt idx="115">
                        <c:v>57500</c:v>
                      </c:pt>
                      <c:pt idx="116">
                        <c:v>58000</c:v>
                      </c:pt>
                      <c:pt idx="117">
                        <c:v>58500</c:v>
                      </c:pt>
                      <c:pt idx="118">
                        <c:v>59000</c:v>
                      </c:pt>
                      <c:pt idx="119">
                        <c:v>59500</c:v>
                      </c:pt>
                      <c:pt idx="120">
                        <c:v>60000</c:v>
                      </c:pt>
                      <c:pt idx="121">
                        <c:v>60500</c:v>
                      </c:pt>
                      <c:pt idx="122">
                        <c:v>61000</c:v>
                      </c:pt>
                      <c:pt idx="123">
                        <c:v>61500</c:v>
                      </c:pt>
                      <c:pt idx="124">
                        <c:v>62000</c:v>
                      </c:pt>
                      <c:pt idx="125">
                        <c:v>62500</c:v>
                      </c:pt>
                      <c:pt idx="126">
                        <c:v>63000</c:v>
                      </c:pt>
                      <c:pt idx="127">
                        <c:v>63500</c:v>
                      </c:pt>
                      <c:pt idx="128">
                        <c:v>64000</c:v>
                      </c:pt>
                      <c:pt idx="129">
                        <c:v>64500</c:v>
                      </c:pt>
                      <c:pt idx="130">
                        <c:v>65000</c:v>
                      </c:pt>
                      <c:pt idx="131">
                        <c:v>65500</c:v>
                      </c:pt>
                      <c:pt idx="132">
                        <c:v>66000</c:v>
                      </c:pt>
                      <c:pt idx="133">
                        <c:v>66500</c:v>
                      </c:pt>
                      <c:pt idx="134">
                        <c:v>67000</c:v>
                      </c:pt>
                      <c:pt idx="135">
                        <c:v>67500</c:v>
                      </c:pt>
                      <c:pt idx="136">
                        <c:v>68000</c:v>
                      </c:pt>
                      <c:pt idx="137">
                        <c:v>68500</c:v>
                      </c:pt>
                      <c:pt idx="138">
                        <c:v>69000</c:v>
                      </c:pt>
                      <c:pt idx="139">
                        <c:v>69500</c:v>
                      </c:pt>
                      <c:pt idx="140">
                        <c:v>70000</c:v>
                      </c:pt>
                      <c:pt idx="141">
                        <c:v>70500</c:v>
                      </c:pt>
                      <c:pt idx="142">
                        <c:v>71000</c:v>
                      </c:pt>
                      <c:pt idx="143">
                        <c:v>71500</c:v>
                      </c:pt>
                      <c:pt idx="144">
                        <c:v>72000</c:v>
                      </c:pt>
                      <c:pt idx="145">
                        <c:v>72500</c:v>
                      </c:pt>
                      <c:pt idx="146">
                        <c:v>73000</c:v>
                      </c:pt>
                      <c:pt idx="147">
                        <c:v>73500</c:v>
                      </c:pt>
                      <c:pt idx="148">
                        <c:v>74000</c:v>
                      </c:pt>
                      <c:pt idx="149">
                        <c:v>74500</c:v>
                      </c:pt>
                      <c:pt idx="150">
                        <c:v>75000</c:v>
                      </c:pt>
                      <c:pt idx="151">
                        <c:v>75500</c:v>
                      </c:pt>
                      <c:pt idx="152">
                        <c:v>76000</c:v>
                      </c:pt>
                      <c:pt idx="153">
                        <c:v>76500</c:v>
                      </c:pt>
                      <c:pt idx="154">
                        <c:v>77000</c:v>
                      </c:pt>
                      <c:pt idx="155">
                        <c:v>77500</c:v>
                      </c:pt>
                      <c:pt idx="156">
                        <c:v>78000</c:v>
                      </c:pt>
                      <c:pt idx="157">
                        <c:v>78500</c:v>
                      </c:pt>
                      <c:pt idx="158">
                        <c:v>79000</c:v>
                      </c:pt>
                      <c:pt idx="159">
                        <c:v>79500</c:v>
                      </c:pt>
                      <c:pt idx="160">
                        <c:v>80000</c:v>
                      </c:pt>
                      <c:pt idx="161">
                        <c:v>80500</c:v>
                      </c:pt>
                      <c:pt idx="162">
                        <c:v>81000</c:v>
                      </c:pt>
                      <c:pt idx="163">
                        <c:v>81500</c:v>
                      </c:pt>
                      <c:pt idx="164">
                        <c:v>82000</c:v>
                      </c:pt>
                      <c:pt idx="165">
                        <c:v>82500</c:v>
                      </c:pt>
                      <c:pt idx="166">
                        <c:v>83000</c:v>
                      </c:pt>
                      <c:pt idx="167">
                        <c:v>83500</c:v>
                      </c:pt>
                      <c:pt idx="168">
                        <c:v>84000</c:v>
                      </c:pt>
                      <c:pt idx="169">
                        <c:v>84500</c:v>
                      </c:pt>
                      <c:pt idx="170">
                        <c:v>85000</c:v>
                      </c:pt>
                      <c:pt idx="171">
                        <c:v>85500</c:v>
                      </c:pt>
                      <c:pt idx="172">
                        <c:v>86000</c:v>
                      </c:pt>
                      <c:pt idx="173">
                        <c:v>86500</c:v>
                      </c:pt>
                      <c:pt idx="174">
                        <c:v>87000</c:v>
                      </c:pt>
                      <c:pt idx="175">
                        <c:v>87500</c:v>
                      </c:pt>
                      <c:pt idx="176">
                        <c:v>88000</c:v>
                      </c:pt>
                      <c:pt idx="177">
                        <c:v>88500</c:v>
                      </c:pt>
                      <c:pt idx="178">
                        <c:v>89000</c:v>
                      </c:pt>
                      <c:pt idx="179">
                        <c:v>89500</c:v>
                      </c:pt>
                      <c:pt idx="180">
                        <c:v>90000</c:v>
                      </c:pt>
                      <c:pt idx="181">
                        <c:v>90500</c:v>
                      </c:pt>
                      <c:pt idx="182">
                        <c:v>91000</c:v>
                      </c:pt>
                      <c:pt idx="183">
                        <c:v>91500</c:v>
                      </c:pt>
                      <c:pt idx="184">
                        <c:v>92000</c:v>
                      </c:pt>
                      <c:pt idx="185">
                        <c:v>92500</c:v>
                      </c:pt>
                      <c:pt idx="186">
                        <c:v>93000</c:v>
                      </c:pt>
                      <c:pt idx="187">
                        <c:v>93500</c:v>
                      </c:pt>
                      <c:pt idx="188">
                        <c:v>94000</c:v>
                      </c:pt>
                      <c:pt idx="189">
                        <c:v>94500</c:v>
                      </c:pt>
                      <c:pt idx="190">
                        <c:v>95000</c:v>
                      </c:pt>
                      <c:pt idx="191">
                        <c:v>95500</c:v>
                      </c:pt>
                      <c:pt idx="192">
                        <c:v>96000</c:v>
                      </c:pt>
                      <c:pt idx="193">
                        <c:v>96500</c:v>
                      </c:pt>
                      <c:pt idx="194">
                        <c:v>97000</c:v>
                      </c:pt>
                      <c:pt idx="195">
                        <c:v>97500</c:v>
                      </c:pt>
                      <c:pt idx="196">
                        <c:v>98000</c:v>
                      </c:pt>
                      <c:pt idx="197">
                        <c:v>98500</c:v>
                      </c:pt>
                      <c:pt idx="198">
                        <c:v>99000</c:v>
                      </c:pt>
                      <c:pt idx="199">
                        <c:v>99500</c:v>
                      </c:pt>
                      <c:pt idx="200">
                        <c:v>100000</c:v>
                      </c:pt>
                    </c:numCache>
                  </c:numRef>
                </c:val>
                <c:extLst xmlns:c15="http://schemas.microsoft.com/office/drawing/2012/chart">
                  <c:ext xmlns:c16="http://schemas.microsoft.com/office/drawing/2014/chart" uri="{C3380CC4-5D6E-409C-BE32-E72D297353CC}">
                    <c16:uniqueId val="{00000002-5CD8-4314-84A8-3D208028037A}"/>
                  </c:ext>
                </c:extLst>
              </c15:ser>
            </c15:filteredAreaSeries>
          </c:ext>
        </c:extLst>
      </c:areaChart>
      <c:catAx>
        <c:axId val="124475503"/>
        <c:scaling>
          <c:orientation val="minMax"/>
        </c:scaling>
        <c:delete val="0"/>
        <c:axPos val="b"/>
        <c:title>
          <c:tx>
            <c:rich>
              <a:bodyPr rot="0" spcFirstLastPara="1" vertOverflow="ellipsis" vert="horz" wrap="square" anchor="ctr" anchorCtr="1"/>
              <a:lstStyle/>
              <a:p>
                <a:pPr>
                  <a:defRPr sz="3600" b="1" i="0" u="none" strike="noStrike" kern="1200" baseline="0">
                    <a:solidFill>
                      <a:sysClr val="windowText" lastClr="000000"/>
                    </a:solidFill>
                    <a:latin typeface="+mn-lt"/>
                    <a:ea typeface="+mn-ea"/>
                    <a:cs typeface="+mn-cs"/>
                  </a:defRPr>
                </a:pPr>
                <a:r>
                  <a:rPr lang="en-US" sz="3600" b="1">
                    <a:solidFill>
                      <a:sysClr val="windowText" lastClr="000000"/>
                    </a:solidFill>
                  </a:rPr>
                  <a:t>Annual Earned Income</a:t>
                </a:r>
              </a:p>
            </c:rich>
          </c:tx>
          <c:layout>
            <c:manualLayout>
              <c:xMode val="edge"/>
              <c:yMode val="edge"/>
              <c:x val="0.43829998335499493"/>
              <c:y val="0.87828514576188299"/>
            </c:manualLayout>
          </c:layout>
          <c:overlay val="0"/>
          <c:spPr>
            <a:noFill/>
            <a:ln>
              <a:noFill/>
            </a:ln>
            <a:effectLst/>
          </c:spPr>
          <c:txPr>
            <a:bodyPr rot="0" spcFirstLastPara="1" vertOverflow="ellipsis" vert="horz" wrap="square" anchor="ctr" anchorCtr="1"/>
            <a:lstStyle/>
            <a:p>
              <a:pPr>
                <a:defRPr sz="3600" b="1" i="0" u="none" strike="noStrike" kern="1200" baseline="0">
                  <a:solidFill>
                    <a:sysClr val="windowText" lastClr="000000"/>
                  </a:solidFill>
                  <a:latin typeface="+mn-lt"/>
                  <a:ea typeface="+mn-ea"/>
                  <a:cs typeface="+mn-cs"/>
                </a:defRPr>
              </a:pPr>
              <a:endParaRPr lang="en-US"/>
            </a:p>
          </c:txPr>
        </c:title>
        <c:numFmt formatCode="&quot;$&quot;#,##0" sourceLinked="1"/>
        <c:majorTickMark val="out"/>
        <c:minorTickMark val="none"/>
        <c:tickLblPos val="nextTo"/>
        <c:spPr>
          <a:noFill/>
          <a:ln w="9525" cap="flat" cmpd="sng" algn="ctr">
            <a:solidFill>
              <a:schemeClr val="tx1">
                <a:lumMod val="15000"/>
                <a:lumOff val="85000"/>
                <a:alpha val="94000"/>
              </a:schemeClr>
            </a:solidFill>
            <a:round/>
          </a:ln>
          <a:effectLst/>
        </c:spPr>
        <c:txPr>
          <a:bodyPr rot="-2580000" spcFirstLastPara="1" vertOverflow="ellipsis" wrap="square" anchor="ctr" anchorCtr="1"/>
          <a:lstStyle/>
          <a:p>
            <a:pPr>
              <a:defRPr sz="2800" b="0" i="0" u="none" strike="noStrike" kern="1200" baseline="0">
                <a:solidFill>
                  <a:sysClr val="windowText" lastClr="000000"/>
                </a:solidFill>
                <a:latin typeface="+mn-lt"/>
                <a:ea typeface="+mn-ea"/>
                <a:cs typeface="+mn-cs"/>
              </a:defRPr>
            </a:pPr>
            <a:endParaRPr lang="en-US"/>
          </a:p>
        </c:txPr>
        <c:crossAx val="124477423"/>
        <c:crosses val="autoZero"/>
        <c:auto val="1"/>
        <c:lblAlgn val="ctr"/>
        <c:lblOffset val="200"/>
        <c:tickLblSkip val="10"/>
        <c:tickMarkSkip val="1"/>
        <c:noMultiLvlLbl val="0"/>
      </c:catAx>
      <c:valAx>
        <c:axId val="124477423"/>
        <c:scaling>
          <c:orientation val="minMax"/>
        </c:scaling>
        <c:delete val="0"/>
        <c:axPos val="l"/>
        <c:majorGridlines>
          <c:spPr>
            <a:ln w="9525" cap="flat" cmpd="sng" algn="ctr">
              <a:solidFill>
                <a:schemeClr val="tx1">
                  <a:lumMod val="15000"/>
                  <a:lumOff val="85000"/>
                </a:schemeClr>
              </a:solidFill>
              <a:round/>
            </a:ln>
            <a:effectLst/>
          </c:spPr>
        </c:majorGridlines>
        <c:title>
          <c:tx>
            <c:rich>
              <a:bodyPr rot="-5400000" spcFirstLastPara="1" vertOverflow="ellipsis" vert="horz" wrap="square" anchor="ctr" anchorCtr="1"/>
              <a:lstStyle/>
              <a:p>
                <a:pPr>
                  <a:defRPr sz="3200" b="0" i="0" u="none" strike="noStrike" kern="1200" baseline="0">
                    <a:solidFill>
                      <a:sysClr val="windowText" lastClr="000000"/>
                    </a:solidFill>
                    <a:latin typeface="+mn-lt"/>
                    <a:ea typeface="+mn-ea"/>
                    <a:cs typeface="+mn-cs"/>
                  </a:defRPr>
                </a:pPr>
                <a:r>
                  <a:rPr lang="en-US" sz="3200">
                    <a:solidFill>
                      <a:sysClr val="windowText" lastClr="000000"/>
                    </a:solidFill>
                  </a:rPr>
                  <a:t>Total Benefits Package</a:t>
                </a:r>
              </a:p>
            </c:rich>
          </c:tx>
          <c:layout>
            <c:manualLayout>
              <c:xMode val="edge"/>
              <c:yMode val="edge"/>
              <c:x val="2.1345209584884735E-2"/>
              <c:y val="0.35412016120935702"/>
            </c:manualLayout>
          </c:layout>
          <c:overlay val="0"/>
          <c:spPr>
            <a:noFill/>
            <a:ln>
              <a:noFill/>
            </a:ln>
            <a:effectLst/>
          </c:spPr>
          <c:txPr>
            <a:bodyPr rot="-5400000" spcFirstLastPara="1" vertOverflow="ellipsis" vert="horz" wrap="square" anchor="ctr" anchorCtr="1"/>
            <a:lstStyle/>
            <a:p>
              <a:pPr>
                <a:defRPr sz="3200" b="0" i="0" u="none" strike="noStrike" kern="1200" baseline="0">
                  <a:solidFill>
                    <a:sysClr val="windowText" lastClr="000000"/>
                  </a:solidFill>
                  <a:latin typeface="+mn-lt"/>
                  <a:ea typeface="+mn-ea"/>
                  <a:cs typeface="+mn-cs"/>
                </a:defRPr>
              </a:pPr>
              <a:endParaRPr lang="en-US"/>
            </a:p>
          </c:txPr>
        </c:title>
        <c:numFmt formatCode="&quot;$&quot;#,##0" sourceLinked="1"/>
        <c:majorTickMark val="none"/>
        <c:minorTickMark val="none"/>
        <c:tickLblPos val="nextTo"/>
        <c:spPr>
          <a:noFill/>
          <a:ln>
            <a:noFill/>
          </a:ln>
          <a:effectLst/>
        </c:spPr>
        <c:txPr>
          <a:bodyPr rot="-60000000" spcFirstLastPara="1" vertOverflow="ellipsis" vert="horz" wrap="square" anchor="ctr" anchorCtr="1"/>
          <a:lstStyle/>
          <a:p>
            <a:pPr>
              <a:defRPr sz="2800" b="0" i="0" u="none" strike="noStrike" kern="1200" baseline="0">
                <a:solidFill>
                  <a:sysClr val="windowText" lastClr="000000"/>
                </a:solidFill>
                <a:latin typeface="+mn-lt"/>
                <a:ea typeface="+mn-ea"/>
                <a:cs typeface="+mn-cs"/>
              </a:defRPr>
            </a:pPr>
            <a:endParaRPr lang="en-US"/>
          </a:p>
        </c:txPr>
        <c:crossAx val="124475503"/>
        <c:crosses val="autoZero"/>
        <c:crossBetween val="midCat"/>
      </c:valAx>
      <c:spPr>
        <a:noFill/>
        <a:ln>
          <a:noFill/>
        </a:ln>
        <a:effectLst/>
      </c:spPr>
    </c:plotArea>
    <c:legend>
      <c:legendPos val="b"/>
      <c:layout>
        <c:manualLayout>
          <c:xMode val="edge"/>
          <c:yMode val="edge"/>
          <c:x val="0.11493260887457818"/>
          <c:y val="0.91577234126793272"/>
          <c:w val="0.80235176015916965"/>
          <c:h val="8.1130203443271237E-2"/>
        </c:manualLayout>
      </c:layout>
      <c:overlay val="0"/>
      <c:spPr>
        <a:noFill/>
        <a:ln>
          <a:noFill/>
        </a:ln>
        <a:effectLst/>
      </c:spPr>
      <c:txPr>
        <a:bodyPr rot="0" spcFirstLastPara="1" vertOverflow="ellipsis" vert="horz" wrap="square" anchor="ctr" anchorCtr="1"/>
        <a:lstStyle/>
        <a:p>
          <a:pPr>
            <a:defRPr sz="4000" b="0" i="0" u="none" strike="noStrike" kern="1200" baseline="0">
              <a:solidFill>
                <a:schemeClr val="tx1">
                  <a:lumMod val="65000"/>
                  <a:lumOff val="35000"/>
                </a:schemeClr>
              </a:solidFill>
              <a:latin typeface="+mn-lt"/>
              <a:ea typeface="+mn-ea"/>
              <a:cs typeface="+mn-cs"/>
            </a:defRPr>
          </a:pPr>
          <a:endParaRPr lang="en-US"/>
        </a:p>
      </c:txPr>
    </c:legend>
    <c:plotVisOnly val="1"/>
    <c:dispBlanksAs val="zero"/>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chartSpace>
</file>

<file path=xl/charts/chart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sz="5400" b="0" i="0" u="none" strike="noStrike" kern="1200" spc="0" baseline="0">
                <a:solidFill>
                  <a:sysClr val="windowText" lastClr="000000"/>
                </a:solidFill>
                <a:latin typeface="+mn-lt"/>
                <a:ea typeface="+mn-ea"/>
                <a:cs typeface="+mn-cs"/>
              </a:defRPr>
            </a:pPr>
            <a:r>
              <a:rPr lang="en-US" sz="5400">
                <a:solidFill>
                  <a:sysClr val="windowText" lastClr="000000"/>
                </a:solidFill>
              </a:rPr>
              <a:t>Breakdown of Benefits Package + Earned Income</a:t>
            </a:r>
          </a:p>
        </c:rich>
      </c:tx>
      <c:layout>
        <c:manualLayout>
          <c:xMode val="edge"/>
          <c:yMode val="edge"/>
          <c:x val="0.34065844998252814"/>
          <c:y val="1.8312622629169391E-2"/>
        </c:manualLayout>
      </c:layout>
      <c:overlay val="0"/>
      <c:spPr>
        <a:noFill/>
        <a:ln>
          <a:noFill/>
        </a:ln>
        <a:effectLst/>
      </c:spPr>
      <c:txPr>
        <a:bodyPr rot="0" spcFirstLastPara="1" vertOverflow="ellipsis" vert="horz" wrap="square" anchor="ctr" anchorCtr="1"/>
        <a:lstStyle/>
        <a:p>
          <a:pPr>
            <a:defRPr sz="5400" b="0" i="0" u="none" strike="noStrike" kern="1200" spc="0" baseline="0">
              <a:solidFill>
                <a:sysClr val="windowText" lastClr="000000"/>
              </a:solidFill>
              <a:latin typeface="+mn-lt"/>
              <a:ea typeface="+mn-ea"/>
              <a:cs typeface="+mn-cs"/>
            </a:defRPr>
          </a:pPr>
          <a:endParaRPr lang="en-US"/>
        </a:p>
      </c:txPr>
    </c:title>
    <c:autoTitleDeleted val="0"/>
    <c:plotArea>
      <c:layout>
        <c:manualLayout>
          <c:layoutTarget val="inner"/>
          <c:xMode val="edge"/>
          <c:yMode val="edge"/>
          <c:x val="0.10174794172737772"/>
          <c:y val="0.19771592919874015"/>
          <c:w val="0.85684439448111571"/>
          <c:h val="0.537782449429141"/>
        </c:manualLayout>
      </c:layout>
      <c:areaChart>
        <c:grouping val="stacked"/>
        <c:varyColors val="0"/>
        <c:ser>
          <c:idx val="4"/>
          <c:order val="0"/>
          <c:tx>
            <c:strRef>
              <c:f>'Use this for graphs'!$A$1</c:f>
              <c:strCache>
                <c:ptCount val="1"/>
                <c:pt idx="0">
                  <c:v>Annual earned income</c:v>
                </c:pt>
              </c:strCache>
              <c:extLst xmlns:c15="http://schemas.microsoft.com/office/drawing/2012/chart"/>
            </c:strRef>
          </c:tx>
          <c:spPr>
            <a:solidFill>
              <a:schemeClr val="accent5"/>
            </a:solidFill>
            <a:ln>
              <a:noFill/>
            </a:ln>
            <a:effectLst/>
          </c:spPr>
          <c:cat>
            <c:numRef>
              <c:f>'Use this for graphs'!$A$2:$A$202</c:f>
              <c:numCache>
                <c:formatCode>"$"#,##0</c:formatCode>
                <c:ptCount val="201"/>
                <c:pt idx="0">
                  <c:v>0</c:v>
                </c:pt>
                <c:pt idx="1">
                  <c:v>500</c:v>
                </c:pt>
                <c:pt idx="2">
                  <c:v>1000</c:v>
                </c:pt>
                <c:pt idx="3">
                  <c:v>1500</c:v>
                </c:pt>
                <c:pt idx="4">
                  <c:v>2000</c:v>
                </c:pt>
                <c:pt idx="5">
                  <c:v>2500</c:v>
                </c:pt>
                <c:pt idx="6">
                  <c:v>3000</c:v>
                </c:pt>
                <c:pt idx="7">
                  <c:v>3500</c:v>
                </c:pt>
                <c:pt idx="8">
                  <c:v>4000</c:v>
                </c:pt>
                <c:pt idx="9">
                  <c:v>4500</c:v>
                </c:pt>
                <c:pt idx="10">
                  <c:v>5000</c:v>
                </c:pt>
                <c:pt idx="11">
                  <c:v>5500</c:v>
                </c:pt>
                <c:pt idx="12">
                  <c:v>6000</c:v>
                </c:pt>
                <c:pt idx="13">
                  <c:v>6500</c:v>
                </c:pt>
                <c:pt idx="14">
                  <c:v>7000</c:v>
                </c:pt>
                <c:pt idx="15">
                  <c:v>7500</c:v>
                </c:pt>
                <c:pt idx="16">
                  <c:v>8000</c:v>
                </c:pt>
                <c:pt idx="17">
                  <c:v>8500</c:v>
                </c:pt>
                <c:pt idx="18">
                  <c:v>9000</c:v>
                </c:pt>
                <c:pt idx="19">
                  <c:v>9500</c:v>
                </c:pt>
                <c:pt idx="20">
                  <c:v>10000</c:v>
                </c:pt>
                <c:pt idx="21">
                  <c:v>10500</c:v>
                </c:pt>
                <c:pt idx="22">
                  <c:v>11000</c:v>
                </c:pt>
                <c:pt idx="23">
                  <c:v>11500</c:v>
                </c:pt>
                <c:pt idx="24">
                  <c:v>12000</c:v>
                </c:pt>
                <c:pt idx="25">
                  <c:v>12500</c:v>
                </c:pt>
                <c:pt idx="26">
                  <c:v>13000</c:v>
                </c:pt>
                <c:pt idx="27">
                  <c:v>13500</c:v>
                </c:pt>
                <c:pt idx="28">
                  <c:v>14000</c:v>
                </c:pt>
                <c:pt idx="29">
                  <c:v>14500</c:v>
                </c:pt>
                <c:pt idx="30">
                  <c:v>15000</c:v>
                </c:pt>
                <c:pt idx="31">
                  <c:v>15500</c:v>
                </c:pt>
                <c:pt idx="32">
                  <c:v>16000</c:v>
                </c:pt>
                <c:pt idx="33">
                  <c:v>16500</c:v>
                </c:pt>
                <c:pt idx="34">
                  <c:v>17000</c:v>
                </c:pt>
                <c:pt idx="35">
                  <c:v>17500</c:v>
                </c:pt>
                <c:pt idx="36">
                  <c:v>18000</c:v>
                </c:pt>
                <c:pt idx="37">
                  <c:v>18500</c:v>
                </c:pt>
                <c:pt idx="38">
                  <c:v>19000</c:v>
                </c:pt>
                <c:pt idx="39">
                  <c:v>19500</c:v>
                </c:pt>
                <c:pt idx="40">
                  <c:v>20000</c:v>
                </c:pt>
                <c:pt idx="41">
                  <c:v>20500</c:v>
                </c:pt>
                <c:pt idx="42">
                  <c:v>21000</c:v>
                </c:pt>
                <c:pt idx="43">
                  <c:v>21500</c:v>
                </c:pt>
                <c:pt idx="44">
                  <c:v>22000</c:v>
                </c:pt>
                <c:pt idx="45">
                  <c:v>22500</c:v>
                </c:pt>
                <c:pt idx="46">
                  <c:v>23000</c:v>
                </c:pt>
                <c:pt idx="47">
                  <c:v>23500</c:v>
                </c:pt>
                <c:pt idx="48">
                  <c:v>24000</c:v>
                </c:pt>
                <c:pt idx="49">
                  <c:v>24500</c:v>
                </c:pt>
                <c:pt idx="50">
                  <c:v>25000</c:v>
                </c:pt>
                <c:pt idx="51">
                  <c:v>25500</c:v>
                </c:pt>
                <c:pt idx="52">
                  <c:v>26000</c:v>
                </c:pt>
                <c:pt idx="53">
                  <c:v>26500</c:v>
                </c:pt>
                <c:pt idx="54">
                  <c:v>27000</c:v>
                </c:pt>
                <c:pt idx="55">
                  <c:v>27500</c:v>
                </c:pt>
                <c:pt idx="56">
                  <c:v>28000</c:v>
                </c:pt>
                <c:pt idx="57">
                  <c:v>28500</c:v>
                </c:pt>
                <c:pt idx="58">
                  <c:v>29000</c:v>
                </c:pt>
                <c:pt idx="59">
                  <c:v>29500</c:v>
                </c:pt>
                <c:pt idx="60">
                  <c:v>30000</c:v>
                </c:pt>
                <c:pt idx="61">
                  <c:v>30500</c:v>
                </c:pt>
                <c:pt idx="62">
                  <c:v>31000</c:v>
                </c:pt>
                <c:pt idx="63">
                  <c:v>31500</c:v>
                </c:pt>
                <c:pt idx="64">
                  <c:v>32000</c:v>
                </c:pt>
                <c:pt idx="65">
                  <c:v>32500</c:v>
                </c:pt>
                <c:pt idx="66">
                  <c:v>33000</c:v>
                </c:pt>
                <c:pt idx="67">
                  <c:v>33500</c:v>
                </c:pt>
                <c:pt idx="68">
                  <c:v>34000</c:v>
                </c:pt>
                <c:pt idx="69">
                  <c:v>34500</c:v>
                </c:pt>
                <c:pt idx="70">
                  <c:v>35000</c:v>
                </c:pt>
                <c:pt idx="71">
                  <c:v>35500</c:v>
                </c:pt>
                <c:pt idx="72">
                  <c:v>36000</c:v>
                </c:pt>
                <c:pt idx="73">
                  <c:v>36500</c:v>
                </c:pt>
                <c:pt idx="74">
                  <c:v>37000</c:v>
                </c:pt>
                <c:pt idx="75">
                  <c:v>37500</c:v>
                </c:pt>
                <c:pt idx="76">
                  <c:v>38000</c:v>
                </c:pt>
                <c:pt idx="77">
                  <c:v>38500</c:v>
                </c:pt>
                <c:pt idx="78">
                  <c:v>39000</c:v>
                </c:pt>
                <c:pt idx="79">
                  <c:v>39500</c:v>
                </c:pt>
                <c:pt idx="80">
                  <c:v>40000</c:v>
                </c:pt>
                <c:pt idx="81">
                  <c:v>40500</c:v>
                </c:pt>
                <c:pt idx="82">
                  <c:v>41000</c:v>
                </c:pt>
                <c:pt idx="83">
                  <c:v>41500</c:v>
                </c:pt>
                <c:pt idx="84">
                  <c:v>42000</c:v>
                </c:pt>
                <c:pt idx="85">
                  <c:v>42500</c:v>
                </c:pt>
                <c:pt idx="86">
                  <c:v>43000</c:v>
                </c:pt>
                <c:pt idx="87">
                  <c:v>43500</c:v>
                </c:pt>
                <c:pt idx="88">
                  <c:v>44000</c:v>
                </c:pt>
                <c:pt idx="89">
                  <c:v>44500</c:v>
                </c:pt>
                <c:pt idx="90">
                  <c:v>45000</c:v>
                </c:pt>
                <c:pt idx="91">
                  <c:v>45500</c:v>
                </c:pt>
                <c:pt idx="92">
                  <c:v>46000</c:v>
                </c:pt>
                <c:pt idx="93">
                  <c:v>46500</c:v>
                </c:pt>
                <c:pt idx="94">
                  <c:v>47000</c:v>
                </c:pt>
                <c:pt idx="95">
                  <c:v>47500</c:v>
                </c:pt>
                <c:pt idx="96">
                  <c:v>48000</c:v>
                </c:pt>
                <c:pt idx="97">
                  <c:v>48500</c:v>
                </c:pt>
                <c:pt idx="98">
                  <c:v>49000</c:v>
                </c:pt>
                <c:pt idx="99">
                  <c:v>49500</c:v>
                </c:pt>
                <c:pt idx="100">
                  <c:v>50000</c:v>
                </c:pt>
                <c:pt idx="101">
                  <c:v>50500</c:v>
                </c:pt>
                <c:pt idx="102">
                  <c:v>51000</c:v>
                </c:pt>
                <c:pt idx="103">
                  <c:v>51500</c:v>
                </c:pt>
                <c:pt idx="104">
                  <c:v>52000</c:v>
                </c:pt>
                <c:pt idx="105">
                  <c:v>52500</c:v>
                </c:pt>
                <c:pt idx="106">
                  <c:v>53000</c:v>
                </c:pt>
                <c:pt idx="107">
                  <c:v>53500</c:v>
                </c:pt>
                <c:pt idx="108">
                  <c:v>54000</c:v>
                </c:pt>
                <c:pt idx="109">
                  <c:v>54500</c:v>
                </c:pt>
                <c:pt idx="110">
                  <c:v>55000</c:v>
                </c:pt>
                <c:pt idx="111">
                  <c:v>55500</c:v>
                </c:pt>
                <c:pt idx="112">
                  <c:v>56000</c:v>
                </c:pt>
                <c:pt idx="113">
                  <c:v>56500</c:v>
                </c:pt>
                <c:pt idx="114">
                  <c:v>57000</c:v>
                </c:pt>
                <c:pt idx="115">
                  <c:v>57500</c:v>
                </c:pt>
                <c:pt idx="116">
                  <c:v>58000</c:v>
                </c:pt>
                <c:pt idx="117">
                  <c:v>58500</c:v>
                </c:pt>
                <c:pt idx="118">
                  <c:v>59000</c:v>
                </c:pt>
                <c:pt idx="119">
                  <c:v>59500</c:v>
                </c:pt>
                <c:pt idx="120">
                  <c:v>60000</c:v>
                </c:pt>
                <c:pt idx="121">
                  <c:v>60500</c:v>
                </c:pt>
                <c:pt idx="122">
                  <c:v>61000</c:v>
                </c:pt>
                <c:pt idx="123">
                  <c:v>61500</c:v>
                </c:pt>
                <c:pt idx="124">
                  <c:v>62000</c:v>
                </c:pt>
                <c:pt idx="125">
                  <c:v>62500</c:v>
                </c:pt>
                <c:pt idx="126">
                  <c:v>63000</c:v>
                </c:pt>
                <c:pt idx="127">
                  <c:v>63500</c:v>
                </c:pt>
                <c:pt idx="128">
                  <c:v>64000</c:v>
                </c:pt>
                <c:pt idx="129">
                  <c:v>64500</c:v>
                </c:pt>
                <c:pt idx="130">
                  <c:v>65000</c:v>
                </c:pt>
                <c:pt idx="131">
                  <c:v>65500</c:v>
                </c:pt>
                <c:pt idx="132">
                  <c:v>66000</c:v>
                </c:pt>
                <c:pt idx="133">
                  <c:v>66500</c:v>
                </c:pt>
                <c:pt idx="134">
                  <c:v>67000</c:v>
                </c:pt>
                <c:pt idx="135">
                  <c:v>67500</c:v>
                </c:pt>
                <c:pt idx="136">
                  <c:v>68000</c:v>
                </c:pt>
                <c:pt idx="137">
                  <c:v>68500</c:v>
                </c:pt>
                <c:pt idx="138">
                  <c:v>69000</c:v>
                </c:pt>
                <c:pt idx="139">
                  <c:v>69500</c:v>
                </c:pt>
                <c:pt idx="140">
                  <c:v>70000</c:v>
                </c:pt>
                <c:pt idx="141">
                  <c:v>70500</c:v>
                </c:pt>
                <c:pt idx="142">
                  <c:v>71000</c:v>
                </c:pt>
                <c:pt idx="143">
                  <c:v>71500</c:v>
                </c:pt>
                <c:pt idx="144">
                  <c:v>72000</c:v>
                </c:pt>
                <c:pt idx="145">
                  <c:v>72500</c:v>
                </c:pt>
                <c:pt idx="146">
                  <c:v>73000</c:v>
                </c:pt>
                <c:pt idx="147">
                  <c:v>73500</c:v>
                </c:pt>
                <c:pt idx="148">
                  <c:v>74000</c:v>
                </c:pt>
                <c:pt idx="149">
                  <c:v>74500</c:v>
                </c:pt>
                <c:pt idx="150">
                  <c:v>75000</c:v>
                </c:pt>
                <c:pt idx="151">
                  <c:v>75500</c:v>
                </c:pt>
                <c:pt idx="152">
                  <c:v>76000</c:v>
                </c:pt>
                <c:pt idx="153">
                  <c:v>76500</c:v>
                </c:pt>
                <c:pt idx="154">
                  <c:v>77000</c:v>
                </c:pt>
                <c:pt idx="155">
                  <c:v>77500</c:v>
                </c:pt>
                <c:pt idx="156">
                  <c:v>78000</c:v>
                </c:pt>
                <c:pt idx="157">
                  <c:v>78500</c:v>
                </c:pt>
                <c:pt idx="158">
                  <c:v>79000</c:v>
                </c:pt>
                <c:pt idx="159">
                  <c:v>79500</c:v>
                </c:pt>
                <c:pt idx="160">
                  <c:v>80000</c:v>
                </c:pt>
                <c:pt idx="161">
                  <c:v>80500</c:v>
                </c:pt>
                <c:pt idx="162">
                  <c:v>81000</c:v>
                </c:pt>
                <c:pt idx="163">
                  <c:v>81500</c:v>
                </c:pt>
                <c:pt idx="164">
                  <c:v>82000</c:v>
                </c:pt>
                <c:pt idx="165">
                  <c:v>82500</c:v>
                </c:pt>
                <c:pt idx="166">
                  <c:v>83000</c:v>
                </c:pt>
                <c:pt idx="167">
                  <c:v>83500</c:v>
                </c:pt>
                <c:pt idx="168">
                  <c:v>84000</c:v>
                </c:pt>
                <c:pt idx="169">
                  <c:v>84500</c:v>
                </c:pt>
                <c:pt idx="170">
                  <c:v>85000</c:v>
                </c:pt>
                <c:pt idx="171">
                  <c:v>85500</c:v>
                </c:pt>
                <c:pt idx="172">
                  <c:v>86000</c:v>
                </c:pt>
                <c:pt idx="173">
                  <c:v>86500</c:v>
                </c:pt>
                <c:pt idx="174">
                  <c:v>87000</c:v>
                </c:pt>
                <c:pt idx="175">
                  <c:v>87500</c:v>
                </c:pt>
                <c:pt idx="176">
                  <c:v>88000</c:v>
                </c:pt>
                <c:pt idx="177">
                  <c:v>88500</c:v>
                </c:pt>
                <c:pt idx="178">
                  <c:v>89000</c:v>
                </c:pt>
                <c:pt idx="179">
                  <c:v>89500</c:v>
                </c:pt>
                <c:pt idx="180">
                  <c:v>90000</c:v>
                </c:pt>
                <c:pt idx="181">
                  <c:v>90500</c:v>
                </c:pt>
                <c:pt idx="182">
                  <c:v>91000</c:v>
                </c:pt>
                <c:pt idx="183">
                  <c:v>91500</c:v>
                </c:pt>
                <c:pt idx="184">
                  <c:v>92000</c:v>
                </c:pt>
                <c:pt idx="185">
                  <c:v>92500</c:v>
                </c:pt>
                <c:pt idx="186">
                  <c:v>93000</c:v>
                </c:pt>
                <c:pt idx="187">
                  <c:v>93500</c:v>
                </c:pt>
                <c:pt idx="188">
                  <c:v>94000</c:v>
                </c:pt>
                <c:pt idx="189">
                  <c:v>94500</c:v>
                </c:pt>
                <c:pt idx="190">
                  <c:v>95000</c:v>
                </c:pt>
                <c:pt idx="191">
                  <c:v>95500</c:v>
                </c:pt>
                <c:pt idx="192">
                  <c:v>96000</c:v>
                </c:pt>
                <c:pt idx="193">
                  <c:v>96500</c:v>
                </c:pt>
                <c:pt idx="194">
                  <c:v>97000</c:v>
                </c:pt>
                <c:pt idx="195">
                  <c:v>97500</c:v>
                </c:pt>
                <c:pt idx="196">
                  <c:v>98000</c:v>
                </c:pt>
                <c:pt idx="197">
                  <c:v>98500</c:v>
                </c:pt>
                <c:pt idx="198">
                  <c:v>99000</c:v>
                </c:pt>
                <c:pt idx="199">
                  <c:v>99500</c:v>
                </c:pt>
                <c:pt idx="200">
                  <c:v>100000</c:v>
                </c:pt>
              </c:numCache>
              <c:extLst xmlns:c15="http://schemas.microsoft.com/office/drawing/2012/chart"/>
            </c:numRef>
          </c:cat>
          <c:val>
            <c:numRef>
              <c:f>'Use this for graphs'!$A$2:$A$202</c:f>
              <c:numCache>
                <c:formatCode>"$"#,##0</c:formatCode>
                <c:ptCount val="201"/>
                <c:pt idx="0">
                  <c:v>0</c:v>
                </c:pt>
                <c:pt idx="1">
                  <c:v>500</c:v>
                </c:pt>
                <c:pt idx="2">
                  <c:v>1000</c:v>
                </c:pt>
                <c:pt idx="3">
                  <c:v>1500</c:v>
                </c:pt>
                <c:pt idx="4">
                  <c:v>2000</c:v>
                </c:pt>
                <c:pt idx="5">
                  <c:v>2500</c:v>
                </c:pt>
                <c:pt idx="6">
                  <c:v>3000</c:v>
                </c:pt>
                <c:pt idx="7">
                  <c:v>3500</c:v>
                </c:pt>
                <c:pt idx="8">
                  <c:v>4000</c:v>
                </c:pt>
                <c:pt idx="9">
                  <c:v>4500</c:v>
                </c:pt>
                <c:pt idx="10">
                  <c:v>5000</c:v>
                </c:pt>
                <c:pt idx="11">
                  <c:v>5500</c:v>
                </c:pt>
                <c:pt idx="12">
                  <c:v>6000</c:v>
                </c:pt>
                <c:pt idx="13">
                  <c:v>6500</c:v>
                </c:pt>
                <c:pt idx="14">
                  <c:v>7000</c:v>
                </c:pt>
                <c:pt idx="15">
                  <c:v>7500</c:v>
                </c:pt>
                <c:pt idx="16">
                  <c:v>8000</c:v>
                </c:pt>
                <c:pt idx="17">
                  <c:v>8500</c:v>
                </c:pt>
                <c:pt idx="18">
                  <c:v>9000</c:v>
                </c:pt>
                <c:pt idx="19">
                  <c:v>9500</c:v>
                </c:pt>
                <c:pt idx="20">
                  <c:v>10000</c:v>
                </c:pt>
                <c:pt idx="21">
                  <c:v>10500</c:v>
                </c:pt>
                <c:pt idx="22">
                  <c:v>11000</c:v>
                </c:pt>
                <c:pt idx="23">
                  <c:v>11500</c:v>
                </c:pt>
                <c:pt idx="24">
                  <c:v>12000</c:v>
                </c:pt>
                <c:pt idx="25">
                  <c:v>12500</c:v>
                </c:pt>
                <c:pt idx="26">
                  <c:v>13000</c:v>
                </c:pt>
                <c:pt idx="27">
                  <c:v>13500</c:v>
                </c:pt>
                <c:pt idx="28">
                  <c:v>14000</c:v>
                </c:pt>
                <c:pt idx="29">
                  <c:v>14500</c:v>
                </c:pt>
                <c:pt idx="30">
                  <c:v>15000</c:v>
                </c:pt>
                <c:pt idx="31">
                  <c:v>15500</c:v>
                </c:pt>
                <c:pt idx="32">
                  <c:v>16000</c:v>
                </c:pt>
                <c:pt idx="33">
                  <c:v>16500</c:v>
                </c:pt>
                <c:pt idx="34">
                  <c:v>17000</c:v>
                </c:pt>
                <c:pt idx="35">
                  <c:v>17500</c:v>
                </c:pt>
                <c:pt idx="36">
                  <c:v>18000</c:v>
                </c:pt>
                <c:pt idx="37">
                  <c:v>18500</c:v>
                </c:pt>
                <c:pt idx="38">
                  <c:v>19000</c:v>
                </c:pt>
                <c:pt idx="39">
                  <c:v>19500</c:v>
                </c:pt>
                <c:pt idx="40">
                  <c:v>20000</c:v>
                </c:pt>
                <c:pt idx="41">
                  <c:v>20500</c:v>
                </c:pt>
                <c:pt idx="42">
                  <c:v>21000</c:v>
                </c:pt>
                <c:pt idx="43">
                  <c:v>21500</c:v>
                </c:pt>
                <c:pt idx="44">
                  <c:v>22000</c:v>
                </c:pt>
                <c:pt idx="45">
                  <c:v>22500</c:v>
                </c:pt>
                <c:pt idx="46">
                  <c:v>23000</c:v>
                </c:pt>
                <c:pt idx="47">
                  <c:v>23500</c:v>
                </c:pt>
                <c:pt idx="48">
                  <c:v>24000</c:v>
                </c:pt>
                <c:pt idx="49">
                  <c:v>24500</c:v>
                </c:pt>
                <c:pt idx="50">
                  <c:v>25000</c:v>
                </c:pt>
                <c:pt idx="51">
                  <c:v>25500</c:v>
                </c:pt>
                <c:pt idx="52">
                  <c:v>26000</c:v>
                </c:pt>
                <c:pt idx="53">
                  <c:v>26500</c:v>
                </c:pt>
                <c:pt idx="54">
                  <c:v>27000</c:v>
                </c:pt>
                <c:pt idx="55">
                  <c:v>27500</c:v>
                </c:pt>
                <c:pt idx="56">
                  <c:v>28000</c:v>
                </c:pt>
                <c:pt idx="57">
                  <c:v>28500</c:v>
                </c:pt>
                <c:pt idx="58">
                  <c:v>29000</c:v>
                </c:pt>
                <c:pt idx="59">
                  <c:v>29500</c:v>
                </c:pt>
                <c:pt idx="60">
                  <c:v>30000</c:v>
                </c:pt>
                <c:pt idx="61">
                  <c:v>30500</c:v>
                </c:pt>
                <c:pt idx="62">
                  <c:v>31000</c:v>
                </c:pt>
                <c:pt idx="63">
                  <c:v>31500</c:v>
                </c:pt>
                <c:pt idx="64">
                  <c:v>32000</c:v>
                </c:pt>
                <c:pt idx="65">
                  <c:v>32500</c:v>
                </c:pt>
                <c:pt idx="66">
                  <c:v>33000</c:v>
                </c:pt>
                <c:pt idx="67">
                  <c:v>33500</c:v>
                </c:pt>
                <c:pt idx="68">
                  <c:v>34000</c:v>
                </c:pt>
                <c:pt idx="69">
                  <c:v>34500</c:v>
                </c:pt>
                <c:pt idx="70">
                  <c:v>35000</c:v>
                </c:pt>
                <c:pt idx="71">
                  <c:v>35500</c:v>
                </c:pt>
                <c:pt idx="72">
                  <c:v>36000</c:v>
                </c:pt>
                <c:pt idx="73">
                  <c:v>36500</c:v>
                </c:pt>
                <c:pt idx="74">
                  <c:v>37000</c:v>
                </c:pt>
                <c:pt idx="75">
                  <c:v>37500</c:v>
                </c:pt>
                <c:pt idx="76">
                  <c:v>38000</c:v>
                </c:pt>
                <c:pt idx="77">
                  <c:v>38500</c:v>
                </c:pt>
                <c:pt idx="78">
                  <c:v>39000</c:v>
                </c:pt>
                <c:pt idx="79">
                  <c:v>39500</c:v>
                </c:pt>
                <c:pt idx="80">
                  <c:v>40000</c:v>
                </c:pt>
                <c:pt idx="81">
                  <c:v>40500</c:v>
                </c:pt>
                <c:pt idx="82">
                  <c:v>41000</c:v>
                </c:pt>
                <c:pt idx="83">
                  <c:v>41500</c:v>
                </c:pt>
                <c:pt idx="84">
                  <c:v>42000</c:v>
                </c:pt>
                <c:pt idx="85">
                  <c:v>42500</c:v>
                </c:pt>
                <c:pt idx="86">
                  <c:v>43000</c:v>
                </c:pt>
                <c:pt idx="87">
                  <c:v>43500</c:v>
                </c:pt>
                <c:pt idx="88">
                  <c:v>44000</c:v>
                </c:pt>
                <c:pt idx="89">
                  <c:v>44500</c:v>
                </c:pt>
                <c:pt idx="90">
                  <c:v>45000</c:v>
                </c:pt>
                <c:pt idx="91">
                  <c:v>45500</c:v>
                </c:pt>
                <c:pt idx="92">
                  <c:v>46000</c:v>
                </c:pt>
                <c:pt idx="93">
                  <c:v>46500</c:v>
                </c:pt>
                <c:pt idx="94">
                  <c:v>47000</c:v>
                </c:pt>
                <c:pt idx="95">
                  <c:v>47500</c:v>
                </c:pt>
                <c:pt idx="96">
                  <c:v>48000</c:v>
                </c:pt>
                <c:pt idx="97">
                  <c:v>48500</c:v>
                </c:pt>
                <c:pt idx="98">
                  <c:v>49000</c:v>
                </c:pt>
                <c:pt idx="99">
                  <c:v>49500</c:v>
                </c:pt>
                <c:pt idx="100">
                  <c:v>50000</c:v>
                </c:pt>
                <c:pt idx="101">
                  <c:v>50500</c:v>
                </c:pt>
                <c:pt idx="102">
                  <c:v>51000</c:v>
                </c:pt>
                <c:pt idx="103">
                  <c:v>51500</c:v>
                </c:pt>
                <c:pt idx="104">
                  <c:v>52000</c:v>
                </c:pt>
                <c:pt idx="105">
                  <c:v>52500</c:v>
                </c:pt>
                <c:pt idx="106">
                  <c:v>53000</c:v>
                </c:pt>
                <c:pt idx="107">
                  <c:v>53500</c:v>
                </c:pt>
                <c:pt idx="108">
                  <c:v>54000</c:v>
                </c:pt>
                <c:pt idx="109">
                  <c:v>54500</c:v>
                </c:pt>
                <c:pt idx="110">
                  <c:v>55000</c:v>
                </c:pt>
                <c:pt idx="111">
                  <c:v>55500</c:v>
                </c:pt>
                <c:pt idx="112">
                  <c:v>56000</c:v>
                </c:pt>
                <c:pt idx="113">
                  <c:v>56500</c:v>
                </c:pt>
                <c:pt idx="114">
                  <c:v>57000</c:v>
                </c:pt>
                <c:pt idx="115">
                  <c:v>57500</c:v>
                </c:pt>
                <c:pt idx="116">
                  <c:v>58000</c:v>
                </c:pt>
                <c:pt idx="117">
                  <c:v>58500</c:v>
                </c:pt>
                <c:pt idx="118">
                  <c:v>59000</c:v>
                </c:pt>
                <c:pt idx="119">
                  <c:v>59500</c:v>
                </c:pt>
                <c:pt idx="120">
                  <c:v>60000</c:v>
                </c:pt>
                <c:pt idx="121">
                  <c:v>60500</c:v>
                </c:pt>
                <c:pt idx="122">
                  <c:v>61000</c:v>
                </c:pt>
                <c:pt idx="123">
                  <c:v>61500</c:v>
                </c:pt>
                <c:pt idx="124">
                  <c:v>62000</c:v>
                </c:pt>
                <c:pt idx="125">
                  <c:v>62500</c:v>
                </c:pt>
                <c:pt idx="126">
                  <c:v>63000</c:v>
                </c:pt>
                <c:pt idx="127">
                  <c:v>63500</c:v>
                </c:pt>
                <c:pt idx="128">
                  <c:v>64000</c:v>
                </c:pt>
                <c:pt idx="129">
                  <c:v>64500</c:v>
                </c:pt>
                <c:pt idx="130">
                  <c:v>65000</c:v>
                </c:pt>
                <c:pt idx="131">
                  <c:v>65500</c:v>
                </c:pt>
                <c:pt idx="132">
                  <c:v>66000</c:v>
                </c:pt>
                <c:pt idx="133">
                  <c:v>66500</c:v>
                </c:pt>
                <c:pt idx="134">
                  <c:v>67000</c:v>
                </c:pt>
                <c:pt idx="135">
                  <c:v>67500</c:v>
                </c:pt>
                <c:pt idx="136">
                  <c:v>68000</c:v>
                </c:pt>
                <c:pt idx="137">
                  <c:v>68500</c:v>
                </c:pt>
                <c:pt idx="138">
                  <c:v>69000</c:v>
                </c:pt>
                <c:pt idx="139">
                  <c:v>69500</c:v>
                </c:pt>
                <c:pt idx="140">
                  <c:v>70000</c:v>
                </c:pt>
                <c:pt idx="141">
                  <c:v>70500</c:v>
                </c:pt>
                <c:pt idx="142">
                  <c:v>71000</c:v>
                </c:pt>
                <c:pt idx="143">
                  <c:v>71500</c:v>
                </c:pt>
                <c:pt idx="144">
                  <c:v>72000</c:v>
                </c:pt>
                <c:pt idx="145">
                  <c:v>72500</c:v>
                </c:pt>
                <c:pt idx="146">
                  <c:v>73000</c:v>
                </c:pt>
                <c:pt idx="147">
                  <c:v>73500</c:v>
                </c:pt>
                <c:pt idx="148">
                  <c:v>74000</c:v>
                </c:pt>
                <c:pt idx="149">
                  <c:v>74500</c:v>
                </c:pt>
                <c:pt idx="150">
                  <c:v>75000</c:v>
                </c:pt>
                <c:pt idx="151">
                  <c:v>75500</c:v>
                </c:pt>
                <c:pt idx="152">
                  <c:v>76000</c:v>
                </c:pt>
                <c:pt idx="153">
                  <c:v>76500</c:v>
                </c:pt>
                <c:pt idx="154">
                  <c:v>77000</c:v>
                </c:pt>
                <c:pt idx="155">
                  <c:v>77500</c:v>
                </c:pt>
                <c:pt idx="156">
                  <c:v>78000</c:v>
                </c:pt>
                <c:pt idx="157">
                  <c:v>78500</c:v>
                </c:pt>
                <c:pt idx="158">
                  <c:v>79000</c:v>
                </c:pt>
                <c:pt idx="159">
                  <c:v>79500</c:v>
                </c:pt>
                <c:pt idx="160">
                  <c:v>80000</c:v>
                </c:pt>
                <c:pt idx="161">
                  <c:v>80500</c:v>
                </c:pt>
                <c:pt idx="162">
                  <c:v>81000</c:v>
                </c:pt>
                <c:pt idx="163">
                  <c:v>81500</c:v>
                </c:pt>
                <c:pt idx="164">
                  <c:v>82000</c:v>
                </c:pt>
                <c:pt idx="165">
                  <c:v>82500</c:v>
                </c:pt>
                <c:pt idx="166">
                  <c:v>83000</c:v>
                </c:pt>
                <c:pt idx="167">
                  <c:v>83500</c:v>
                </c:pt>
                <c:pt idx="168">
                  <c:v>84000</c:v>
                </c:pt>
                <c:pt idx="169">
                  <c:v>84500</c:v>
                </c:pt>
                <c:pt idx="170">
                  <c:v>85000</c:v>
                </c:pt>
                <c:pt idx="171">
                  <c:v>85500</c:v>
                </c:pt>
                <c:pt idx="172">
                  <c:v>86000</c:v>
                </c:pt>
                <c:pt idx="173">
                  <c:v>86500</c:v>
                </c:pt>
                <c:pt idx="174">
                  <c:v>87000</c:v>
                </c:pt>
                <c:pt idx="175">
                  <c:v>87500</c:v>
                </c:pt>
                <c:pt idx="176">
                  <c:v>88000</c:v>
                </c:pt>
                <c:pt idx="177">
                  <c:v>88500</c:v>
                </c:pt>
                <c:pt idx="178">
                  <c:v>89000</c:v>
                </c:pt>
                <c:pt idx="179">
                  <c:v>89500</c:v>
                </c:pt>
                <c:pt idx="180">
                  <c:v>90000</c:v>
                </c:pt>
                <c:pt idx="181">
                  <c:v>90500</c:v>
                </c:pt>
                <c:pt idx="182">
                  <c:v>91000</c:v>
                </c:pt>
                <c:pt idx="183">
                  <c:v>91500</c:v>
                </c:pt>
                <c:pt idx="184">
                  <c:v>92000</c:v>
                </c:pt>
                <c:pt idx="185">
                  <c:v>92500</c:v>
                </c:pt>
                <c:pt idx="186">
                  <c:v>93000</c:v>
                </c:pt>
                <c:pt idx="187">
                  <c:v>93500</c:v>
                </c:pt>
                <c:pt idx="188">
                  <c:v>94000</c:v>
                </c:pt>
                <c:pt idx="189">
                  <c:v>94500</c:v>
                </c:pt>
                <c:pt idx="190">
                  <c:v>95000</c:v>
                </c:pt>
                <c:pt idx="191">
                  <c:v>95500</c:v>
                </c:pt>
                <c:pt idx="192">
                  <c:v>96000</c:v>
                </c:pt>
                <c:pt idx="193">
                  <c:v>96500</c:v>
                </c:pt>
                <c:pt idx="194">
                  <c:v>97000</c:v>
                </c:pt>
                <c:pt idx="195">
                  <c:v>97500</c:v>
                </c:pt>
                <c:pt idx="196">
                  <c:v>98000</c:v>
                </c:pt>
                <c:pt idx="197">
                  <c:v>98500</c:v>
                </c:pt>
                <c:pt idx="198">
                  <c:v>99000</c:v>
                </c:pt>
                <c:pt idx="199">
                  <c:v>99500</c:v>
                </c:pt>
                <c:pt idx="200">
                  <c:v>100000</c:v>
                </c:pt>
              </c:numCache>
              <c:extLst xmlns:c15="http://schemas.microsoft.com/office/drawing/2012/chart"/>
            </c:numRef>
          </c:val>
          <c:extLst xmlns:c15="http://schemas.microsoft.com/office/drawing/2012/chart">
            <c:ext xmlns:c16="http://schemas.microsoft.com/office/drawing/2014/chart" uri="{C3380CC4-5D6E-409C-BE32-E72D297353CC}">
              <c16:uniqueId val="{00000008-2313-4AA3-8472-5B3EC23DBAE5}"/>
            </c:ext>
          </c:extLst>
        </c:ser>
        <c:ser>
          <c:idx val="6"/>
          <c:order val="2"/>
          <c:tx>
            <c:strRef>
              <c:f>'Use this for graphs'!$C$1</c:f>
              <c:strCache>
                <c:ptCount val="1"/>
                <c:pt idx="0">
                  <c:v>Annual Child Care Subsidy</c:v>
                </c:pt>
              </c:strCache>
            </c:strRef>
          </c:tx>
          <c:spPr>
            <a:solidFill>
              <a:schemeClr val="accent1">
                <a:lumMod val="60000"/>
              </a:schemeClr>
            </a:solidFill>
            <a:ln>
              <a:noFill/>
            </a:ln>
            <a:effectLst/>
          </c:spPr>
          <c:cat>
            <c:numRef>
              <c:f>'Use this for graphs'!$A$2:$A$202</c:f>
              <c:numCache>
                <c:formatCode>"$"#,##0</c:formatCode>
                <c:ptCount val="201"/>
                <c:pt idx="0">
                  <c:v>0</c:v>
                </c:pt>
                <c:pt idx="1">
                  <c:v>500</c:v>
                </c:pt>
                <c:pt idx="2">
                  <c:v>1000</c:v>
                </c:pt>
                <c:pt idx="3">
                  <c:v>1500</c:v>
                </c:pt>
                <c:pt idx="4">
                  <c:v>2000</c:v>
                </c:pt>
                <c:pt idx="5">
                  <c:v>2500</c:v>
                </c:pt>
                <c:pt idx="6">
                  <c:v>3000</c:v>
                </c:pt>
                <c:pt idx="7">
                  <c:v>3500</c:v>
                </c:pt>
                <c:pt idx="8">
                  <c:v>4000</c:v>
                </c:pt>
                <c:pt idx="9">
                  <c:v>4500</c:v>
                </c:pt>
                <c:pt idx="10">
                  <c:v>5000</c:v>
                </c:pt>
                <c:pt idx="11">
                  <c:v>5500</c:v>
                </c:pt>
                <c:pt idx="12">
                  <c:v>6000</c:v>
                </c:pt>
                <c:pt idx="13">
                  <c:v>6500</c:v>
                </c:pt>
                <c:pt idx="14">
                  <c:v>7000</c:v>
                </c:pt>
                <c:pt idx="15">
                  <c:v>7500</c:v>
                </c:pt>
                <c:pt idx="16">
                  <c:v>8000</c:v>
                </c:pt>
                <c:pt idx="17">
                  <c:v>8500</c:v>
                </c:pt>
                <c:pt idx="18">
                  <c:v>9000</c:v>
                </c:pt>
                <c:pt idx="19">
                  <c:v>9500</c:v>
                </c:pt>
                <c:pt idx="20">
                  <c:v>10000</c:v>
                </c:pt>
                <c:pt idx="21">
                  <c:v>10500</c:v>
                </c:pt>
                <c:pt idx="22">
                  <c:v>11000</c:v>
                </c:pt>
                <c:pt idx="23">
                  <c:v>11500</c:v>
                </c:pt>
                <c:pt idx="24">
                  <c:v>12000</c:v>
                </c:pt>
                <c:pt idx="25">
                  <c:v>12500</c:v>
                </c:pt>
                <c:pt idx="26">
                  <c:v>13000</c:v>
                </c:pt>
                <c:pt idx="27">
                  <c:v>13500</c:v>
                </c:pt>
                <c:pt idx="28">
                  <c:v>14000</c:v>
                </c:pt>
                <c:pt idx="29">
                  <c:v>14500</c:v>
                </c:pt>
                <c:pt idx="30">
                  <c:v>15000</c:v>
                </c:pt>
                <c:pt idx="31">
                  <c:v>15500</c:v>
                </c:pt>
                <c:pt idx="32">
                  <c:v>16000</c:v>
                </c:pt>
                <c:pt idx="33">
                  <c:v>16500</c:v>
                </c:pt>
                <c:pt idx="34">
                  <c:v>17000</c:v>
                </c:pt>
                <c:pt idx="35">
                  <c:v>17500</c:v>
                </c:pt>
                <c:pt idx="36">
                  <c:v>18000</c:v>
                </c:pt>
                <c:pt idx="37">
                  <c:v>18500</c:v>
                </c:pt>
                <c:pt idx="38">
                  <c:v>19000</c:v>
                </c:pt>
                <c:pt idx="39">
                  <c:v>19500</c:v>
                </c:pt>
                <c:pt idx="40">
                  <c:v>20000</c:v>
                </c:pt>
                <c:pt idx="41">
                  <c:v>20500</c:v>
                </c:pt>
                <c:pt idx="42">
                  <c:v>21000</c:v>
                </c:pt>
                <c:pt idx="43">
                  <c:v>21500</c:v>
                </c:pt>
                <c:pt idx="44">
                  <c:v>22000</c:v>
                </c:pt>
                <c:pt idx="45">
                  <c:v>22500</c:v>
                </c:pt>
                <c:pt idx="46">
                  <c:v>23000</c:v>
                </c:pt>
                <c:pt idx="47">
                  <c:v>23500</c:v>
                </c:pt>
                <c:pt idx="48">
                  <c:v>24000</c:v>
                </c:pt>
                <c:pt idx="49">
                  <c:v>24500</c:v>
                </c:pt>
                <c:pt idx="50">
                  <c:v>25000</c:v>
                </c:pt>
                <c:pt idx="51">
                  <c:v>25500</c:v>
                </c:pt>
                <c:pt idx="52">
                  <c:v>26000</c:v>
                </c:pt>
                <c:pt idx="53">
                  <c:v>26500</c:v>
                </c:pt>
                <c:pt idx="54">
                  <c:v>27000</c:v>
                </c:pt>
                <c:pt idx="55">
                  <c:v>27500</c:v>
                </c:pt>
                <c:pt idx="56">
                  <c:v>28000</c:v>
                </c:pt>
                <c:pt idx="57">
                  <c:v>28500</c:v>
                </c:pt>
                <c:pt idx="58">
                  <c:v>29000</c:v>
                </c:pt>
                <c:pt idx="59">
                  <c:v>29500</c:v>
                </c:pt>
                <c:pt idx="60">
                  <c:v>30000</c:v>
                </c:pt>
                <c:pt idx="61">
                  <c:v>30500</c:v>
                </c:pt>
                <c:pt idx="62">
                  <c:v>31000</c:v>
                </c:pt>
                <c:pt idx="63">
                  <c:v>31500</c:v>
                </c:pt>
                <c:pt idx="64">
                  <c:v>32000</c:v>
                </c:pt>
                <c:pt idx="65">
                  <c:v>32500</c:v>
                </c:pt>
                <c:pt idx="66">
                  <c:v>33000</c:v>
                </c:pt>
                <c:pt idx="67">
                  <c:v>33500</c:v>
                </c:pt>
                <c:pt idx="68">
                  <c:v>34000</c:v>
                </c:pt>
                <c:pt idx="69">
                  <c:v>34500</c:v>
                </c:pt>
                <c:pt idx="70">
                  <c:v>35000</c:v>
                </c:pt>
                <c:pt idx="71">
                  <c:v>35500</c:v>
                </c:pt>
                <c:pt idx="72">
                  <c:v>36000</c:v>
                </c:pt>
                <c:pt idx="73">
                  <c:v>36500</c:v>
                </c:pt>
                <c:pt idx="74">
                  <c:v>37000</c:v>
                </c:pt>
                <c:pt idx="75">
                  <c:v>37500</c:v>
                </c:pt>
                <c:pt idx="76">
                  <c:v>38000</c:v>
                </c:pt>
                <c:pt idx="77">
                  <c:v>38500</c:v>
                </c:pt>
                <c:pt idx="78">
                  <c:v>39000</c:v>
                </c:pt>
                <c:pt idx="79">
                  <c:v>39500</c:v>
                </c:pt>
                <c:pt idx="80">
                  <c:v>40000</c:v>
                </c:pt>
                <c:pt idx="81">
                  <c:v>40500</c:v>
                </c:pt>
                <c:pt idx="82">
                  <c:v>41000</c:v>
                </c:pt>
                <c:pt idx="83">
                  <c:v>41500</c:v>
                </c:pt>
                <c:pt idx="84">
                  <c:v>42000</c:v>
                </c:pt>
                <c:pt idx="85">
                  <c:v>42500</c:v>
                </c:pt>
                <c:pt idx="86">
                  <c:v>43000</c:v>
                </c:pt>
                <c:pt idx="87">
                  <c:v>43500</c:v>
                </c:pt>
                <c:pt idx="88">
                  <c:v>44000</c:v>
                </c:pt>
                <c:pt idx="89">
                  <c:v>44500</c:v>
                </c:pt>
                <c:pt idx="90">
                  <c:v>45000</c:v>
                </c:pt>
                <c:pt idx="91">
                  <c:v>45500</c:v>
                </c:pt>
                <c:pt idx="92">
                  <c:v>46000</c:v>
                </c:pt>
                <c:pt idx="93">
                  <c:v>46500</c:v>
                </c:pt>
                <c:pt idx="94">
                  <c:v>47000</c:v>
                </c:pt>
                <c:pt idx="95">
                  <c:v>47500</c:v>
                </c:pt>
                <c:pt idx="96">
                  <c:v>48000</c:v>
                </c:pt>
                <c:pt idx="97">
                  <c:v>48500</c:v>
                </c:pt>
                <c:pt idx="98">
                  <c:v>49000</c:v>
                </c:pt>
                <c:pt idx="99">
                  <c:v>49500</c:v>
                </c:pt>
                <c:pt idx="100">
                  <c:v>50000</c:v>
                </c:pt>
                <c:pt idx="101">
                  <c:v>50500</c:v>
                </c:pt>
                <c:pt idx="102">
                  <c:v>51000</c:v>
                </c:pt>
                <c:pt idx="103">
                  <c:v>51500</c:v>
                </c:pt>
                <c:pt idx="104">
                  <c:v>52000</c:v>
                </c:pt>
                <c:pt idx="105">
                  <c:v>52500</c:v>
                </c:pt>
                <c:pt idx="106">
                  <c:v>53000</c:v>
                </c:pt>
                <c:pt idx="107">
                  <c:v>53500</c:v>
                </c:pt>
                <c:pt idx="108">
                  <c:v>54000</c:v>
                </c:pt>
                <c:pt idx="109">
                  <c:v>54500</c:v>
                </c:pt>
                <c:pt idx="110">
                  <c:v>55000</c:v>
                </c:pt>
                <c:pt idx="111">
                  <c:v>55500</c:v>
                </c:pt>
                <c:pt idx="112">
                  <c:v>56000</c:v>
                </c:pt>
                <c:pt idx="113">
                  <c:v>56500</c:v>
                </c:pt>
                <c:pt idx="114">
                  <c:v>57000</c:v>
                </c:pt>
                <c:pt idx="115">
                  <c:v>57500</c:v>
                </c:pt>
                <c:pt idx="116">
                  <c:v>58000</c:v>
                </c:pt>
                <c:pt idx="117">
                  <c:v>58500</c:v>
                </c:pt>
                <c:pt idx="118">
                  <c:v>59000</c:v>
                </c:pt>
                <c:pt idx="119">
                  <c:v>59500</c:v>
                </c:pt>
                <c:pt idx="120">
                  <c:v>60000</c:v>
                </c:pt>
                <c:pt idx="121">
                  <c:v>60500</c:v>
                </c:pt>
                <c:pt idx="122">
                  <c:v>61000</c:v>
                </c:pt>
                <c:pt idx="123">
                  <c:v>61500</c:v>
                </c:pt>
                <c:pt idx="124">
                  <c:v>62000</c:v>
                </c:pt>
                <c:pt idx="125">
                  <c:v>62500</c:v>
                </c:pt>
                <c:pt idx="126">
                  <c:v>63000</c:v>
                </c:pt>
                <c:pt idx="127">
                  <c:v>63500</c:v>
                </c:pt>
                <c:pt idx="128">
                  <c:v>64000</c:v>
                </c:pt>
                <c:pt idx="129">
                  <c:v>64500</c:v>
                </c:pt>
                <c:pt idx="130">
                  <c:v>65000</c:v>
                </c:pt>
                <c:pt idx="131">
                  <c:v>65500</c:v>
                </c:pt>
                <c:pt idx="132">
                  <c:v>66000</c:v>
                </c:pt>
                <c:pt idx="133">
                  <c:v>66500</c:v>
                </c:pt>
                <c:pt idx="134">
                  <c:v>67000</c:v>
                </c:pt>
                <c:pt idx="135">
                  <c:v>67500</c:v>
                </c:pt>
                <c:pt idx="136">
                  <c:v>68000</c:v>
                </c:pt>
                <c:pt idx="137">
                  <c:v>68500</c:v>
                </c:pt>
                <c:pt idx="138">
                  <c:v>69000</c:v>
                </c:pt>
                <c:pt idx="139">
                  <c:v>69500</c:v>
                </c:pt>
                <c:pt idx="140">
                  <c:v>70000</c:v>
                </c:pt>
                <c:pt idx="141">
                  <c:v>70500</c:v>
                </c:pt>
                <c:pt idx="142">
                  <c:v>71000</c:v>
                </c:pt>
                <c:pt idx="143">
                  <c:v>71500</c:v>
                </c:pt>
                <c:pt idx="144">
                  <c:v>72000</c:v>
                </c:pt>
                <c:pt idx="145">
                  <c:v>72500</c:v>
                </c:pt>
                <c:pt idx="146">
                  <c:v>73000</c:v>
                </c:pt>
                <c:pt idx="147">
                  <c:v>73500</c:v>
                </c:pt>
                <c:pt idx="148">
                  <c:v>74000</c:v>
                </c:pt>
                <c:pt idx="149">
                  <c:v>74500</c:v>
                </c:pt>
                <c:pt idx="150">
                  <c:v>75000</c:v>
                </c:pt>
                <c:pt idx="151">
                  <c:v>75500</c:v>
                </c:pt>
                <c:pt idx="152">
                  <c:v>76000</c:v>
                </c:pt>
                <c:pt idx="153">
                  <c:v>76500</c:v>
                </c:pt>
                <c:pt idx="154">
                  <c:v>77000</c:v>
                </c:pt>
                <c:pt idx="155">
                  <c:v>77500</c:v>
                </c:pt>
                <c:pt idx="156">
                  <c:v>78000</c:v>
                </c:pt>
                <c:pt idx="157">
                  <c:v>78500</c:v>
                </c:pt>
                <c:pt idx="158">
                  <c:v>79000</c:v>
                </c:pt>
                <c:pt idx="159">
                  <c:v>79500</c:v>
                </c:pt>
                <c:pt idx="160">
                  <c:v>80000</c:v>
                </c:pt>
                <c:pt idx="161">
                  <c:v>80500</c:v>
                </c:pt>
                <c:pt idx="162">
                  <c:v>81000</c:v>
                </c:pt>
                <c:pt idx="163">
                  <c:v>81500</c:v>
                </c:pt>
                <c:pt idx="164">
                  <c:v>82000</c:v>
                </c:pt>
                <c:pt idx="165">
                  <c:v>82500</c:v>
                </c:pt>
                <c:pt idx="166">
                  <c:v>83000</c:v>
                </c:pt>
                <c:pt idx="167">
                  <c:v>83500</c:v>
                </c:pt>
                <c:pt idx="168">
                  <c:v>84000</c:v>
                </c:pt>
                <c:pt idx="169">
                  <c:v>84500</c:v>
                </c:pt>
                <c:pt idx="170">
                  <c:v>85000</c:v>
                </c:pt>
                <c:pt idx="171">
                  <c:v>85500</c:v>
                </c:pt>
                <c:pt idx="172">
                  <c:v>86000</c:v>
                </c:pt>
                <c:pt idx="173">
                  <c:v>86500</c:v>
                </c:pt>
                <c:pt idx="174">
                  <c:v>87000</c:v>
                </c:pt>
                <c:pt idx="175">
                  <c:v>87500</c:v>
                </c:pt>
                <c:pt idx="176">
                  <c:v>88000</c:v>
                </c:pt>
                <c:pt idx="177">
                  <c:v>88500</c:v>
                </c:pt>
                <c:pt idx="178">
                  <c:v>89000</c:v>
                </c:pt>
                <c:pt idx="179">
                  <c:v>89500</c:v>
                </c:pt>
                <c:pt idx="180">
                  <c:v>90000</c:v>
                </c:pt>
                <c:pt idx="181">
                  <c:v>90500</c:v>
                </c:pt>
                <c:pt idx="182">
                  <c:v>91000</c:v>
                </c:pt>
                <c:pt idx="183">
                  <c:v>91500</c:v>
                </c:pt>
                <c:pt idx="184">
                  <c:v>92000</c:v>
                </c:pt>
                <c:pt idx="185">
                  <c:v>92500</c:v>
                </c:pt>
                <c:pt idx="186">
                  <c:v>93000</c:v>
                </c:pt>
                <c:pt idx="187">
                  <c:v>93500</c:v>
                </c:pt>
                <c:pt idx="188">
                  <c:v>94000</c:v>
                </c:pt>
                <c:pt idx="189">
                  <c:v>94500</c:v>
                </c:pt>
                <c:pt idx="190">
                  <c:v>95000</c:v>
                </c:pt>
                <c:pt idx="191">
                  <c:v>95500</c:v>
                </c:pt>
                <c:pt idx="192">
                  <c:v>96000</c:v>
                </c:pt>
                <c:pt idx="193">
                  <c:v>96500</c:v>
                </c:pt>
                <c:pt idx="194">
                  <c:v>97000</c:v>
                </c:pt>
                <c:pt idx="195">
                  <c:v>97500</c:v>
                </c:pt>
                <c:pt idx="196">
                  <c:v>98000</c:v>
                </c:pt>
                <c:pt idx="197">
                  <c:v>98500</c:v>
                </c:pt>
                <c:pt idx="198">
                  <c:v>99000</c:v>
                </c:pt>
                <c:pt idx="199">
                  <c:v>99500</c:v>
                </c:pt>
                <c:pt idx="200">
                  <c:v>100000</c:v>
                </c:pt>
              </c:numCache>
            </c:numRef>
          </c:cat>
          <c:val>
            <c:numRef>
              <c:f>'Use this for graphs'!$C$2:$C$202</c:f>
              <c:numCache>
                <c:formatCode>"$"#,##0</c:formatCode>
                <c:ptCount val="201"/>
                <c:pt idx="0">
                  <c:v>0</c:v>
                </c:pt>
                <c:pt idx="1">
                  <c:v>0</c:v>
                </c:pt>
                <c:pt idx="2">
                  <c:v>0</c:v>
                </c:pt>
                <c:pt idx="3">
                  <c:v>0</c:v>
                </c:pt>
                <c:pt idx="4">
                  <c:v>0</c:v>
                </c:pt>
                <c:pt idx="5">
                  <c:v>0</c:v>
                </c:pt>
                <c:pt idx="6">
                  <c:v>0</c:v>
                </c:pt>
                <c:pt idx="7">
                  <c:v>0</c:v>
                </c:pt>
                <c:pt idx="8">
                  <c:v>0</c:v>
                </c:pt>
                <c:pt idx="9">
                  <c:v>0</c:v>
                </c:pt>
                <c:pt idx="10">
                  <c:v>0</c:v>
                </c:pt>
                <c:pt idx="11">
                  <c:v>0</c:v>
                </c:pt>
                <c:pt idx="12">
                  <c:v>0</c:v>
                </c:pt>
                <c:pt idx="13">
                  <c:v>0</c:v>
                </c:pt>
                <c:pt idx="14">
                  <c:v>0</c:v>
                </c:pt>
                <c:pt idx="15">
                  <c:v>0</c:v>
                </c:pt>
                <c:pt idx="16">
                  <c:v>0</c:v>
                </c:pt>
                <c:pt idx="17">
                  <c:v>0</c:v>
                </c:pt>
                <c:pt idx="18">
                  <c:v>0</c:v>
                </c:pt>
                <c:pt idx="19">
                  <c:v>0</c:v>
                </c:pt>
                <c:pt idx="20">
                  <c:v>0</c:v>
                </c:pt>
                <c:pt idx="21">
                  <c:v>0</c:v>
                </c:pt>
                <c:pt idx="22">
                  <c:v>0</c:v>
                </c:pt>
                <c:pt idx="23">
                  <c:v>0</c:v>
                </c:pt>
                <c:pt idx="24">
                  <c:v>0</c:v>
                </c:pt>
                <c:pt idx="25">
                  <c:v>0</c:v>
                </c:pt>
                <c:pt idx="26">
                  <c:v>0</c:v>
                </c:pt>
                <c:pt idx="27">
                  <c:v>0</c:v>
                </c:pt>
                <c:pt idx="28">
                  <c:v>0</c:v>
                </c:pt>
                <c:pt idx="29">
                  <c:v>0</c:v>
                </c:pt>
                <c:pt idx="30">
                  <c:v>0</c:v>
                </c:pt>
                <c:pt idx="31">
                  <c:v>0</c:v>
                </c:pt>
                <c:pt idx="32">
                  <c:v>0</c:v>
                </c:pt>
                <c:pt idx="33">
                  <c:v>0</c:v>
                </c:pt>
                <c:pt idx="34">
                  <c:v>0</c:v>
                </c:pt>
                <c:pt idx="35">
                  <c:v>0</c:v>
                </c:pt>
                <c:pt idx="36">
                  <c:v>0</c:v>
                </c:pt>
                <c:pt idx="37">
                  <c:v>0</c:v>
                </c:pt>
                <c:pt idx="38">
                  <c:v>0</c:v>
                </c:pt>
                <c:pt idx="39">
                  <c:v>0</c:v>
                </c:pt>
                <c:pt idx="40">
                  <c:v>0</c:v>
                </c:pt>
                <c:pt idx="41">
                  <c:v>0</c:v>
                </c:pt>
                <c:pt idx="42">
                  <c:v>0</c:v>
                </c:pt>
                <c:pt idx="43">
                  <c:v>0</c:v>
                </c:pt>
                <c:pt idx="44">
                  <c:v>0</c:v>
                </c:pt>
                <c:pt idx="45">
                  <c:v>0</c:v>
                </c:pt>
                <c:pt idx="46">
                  <c:v>0</c:v>
                </c:pt>
                <c:pt idx="47">
                  <c:v>0</c:v>
                </c:pt>
                <c:pt idx="48">
                  <c:v>0</c:v>
                </c:pt>
                <c:pt idx="49">
                  <c:v>0</c:v>
                </c:pt>
                <c:pt idx="50">
                  <c:v>0</c:v>
                </c:pt>
                <c:pt idx="51">
                  <c:v>0</c:v>
                </c:pt>
                <c:pt idx="52">
                  <c:v>0</c:v>
                </c:pt>
                <c:pt idx="53">
                  <c:v>0</c:v>
                </c:pt>
                <c:pt idx="54">
                  <c:v>0</c:v>
                </c:pt>
                <c:pt idx="55">
                  <c:v>0</c:v>
                </c:pt>
                <c:pt idx="56">
                  <c:v>0</c:v>
                </c:pt>
                <c:pt idx="57">
                  <c:v>0</c:v>
                </c:pt>
                <c:pt idx="58">
                  <c:v>0</c:v>
                </c:pt>
                <c:pt idx="59">
                  <c:v>0</c:v>
                </c:pt>
                <c:pt idx="60">
                  <c:v>0</c:v>
                </c:pt>
                <c:pt idx="61">
                  <c:v>0</c:v>
                </c:pt>
                <c:pt idx="62">
                  <c:v>0</c:v>
                </c:pt>
                <c:pt idx="63">
                  <c:v>0</c:v>
                </c:pt>
                <c:pt idx="64">
                  <c:v>0</c:v>
                </c:pt>
                <c:pt idx="65">
                  <c:v>0</c:v>
                </c:pt>
                <c:pt idx="66">
                  <c:v>0</c:v>
                </c:pt>
                <c:pt idx="67">
                  <c:v>0</c:v>
                </c:pt>
                <c:pt idx="68">
                  <c:v>0</c:v>
                </c:pt>
                <c:pt idx="69">
                  <c:v>0</c:v>
                </c:pt>
                <c:pt idx="70">
                  <c:v>0</c:v>
                </c:pt>
                <c:pt idx="71">
                  <c:v>0</c:v>
                </c:pt>
                <c:pt idx="72">
                  <c:v>0</c:v>
                </c:pt>
                <c:pt idx="73">
                  <c:v>0</c:v>
                </c:pt>
                <c:pt idx="74">
                  <c:v>0</c:v>
                </c:pt>
                <c:pt idx="75">
                  <c:v>0</c:v>
                </c:pt>
                <c:pt idx="76">
                  <c:v>0</c:v>
                </c:pt>
                <c:pt idx="77">
                  <c:v>0</c:v>
                </c:pt>
                <c:pt idx="78">
                  <c:v>0</c:v>
                </c:pt>
                <c:pt idx="79">
                  <c:v>0</c:v>
                </c:pt>
                <c:pt idx="80">
                  <c:v>0</c:v>
                </c:pt>
                <c:pt idx="81">
                  <c:v>0</c:v>
                </c:pt>
                <c:pt idx="82">
                  <c:v>0</c:v>
                </c:pt>
                <c:pt idx="83">
                  <c:v>0</c:v>
                </c:pt>
                <c:pt idx="84">
                  <c:v>0</c:v>
                </c:pt>
                <c:pt idx="85">
                  <c:v>0</c:v>
                </c:pt>
                <c:pt idx="86">
                  <c:v>0</c:v>
                </c:pt>
                <c:pt idx="87">
                  <c:v>0</c:v>
                </c:pt>
                <c:pt idx="88">
                  <c:v>0</c:v>
                </c:pt>
                <c:pt idx="89">
                  <c:v>0</c:v>
                </c:pt>
                <c:pt idx="90">
                  <c:v>0</c:v>
                </c:pt>
                <c:pt idx="91">
                  <c:v>0</c:v>
                </c:pt>
                <c:pt idx="92">
                  <c:v>0</c:v>
                </c:pt>
                <c:pt idx="93">
                  <c:v>0</c:v>
                </c:pt>
                <c:pt idx="94">
                  <c:v>0</c:v>
                </c:pt>
                <c:pt idx="95">
                  <c:v>0</c:v>
                </c:pt>
                <c:pt idx="96">
                  <c:v>0</c:v>
                </c:pt>
                <c:pt idx="97">
                  <c:v>0</c:v>
                </c:pt>
                <c:pt idx="98">
                  <c:v>0</c:v>
                </c:pt>
                <c:pt idx="99">
                  <c:v>0</c:v>
                </c:pt>
                <c:pt idx="100">
                  <c:v>0</c:v>
                </c:pt>
                <c:pt idx="101">
                  <c:v>0</c:v>
                </c:pt>
                <c:pt idx="102">
                  <c:v>0</c:v>
                </c:pt>
                <c:pt idx="103">
                  <c:v>0</c:v>
                </c:pt>
                <c:pt idx="104">
                  <c:v>0</c:v>
                </c:pt>
                <c:pt idx="105">
                  <c:v>0</c:v>
                </c:pt>
                <c:pt idx="106">
                  <c:v>0</c:v>
                </c:pt>
                <c:pt idx="107">
                  <c:v>0</c:v>
                </c:pt>
                <c:pt idx="108">
                  <c:v>0</c:v>
                </c:pt>
                <c:pt idx="109">
                  <c:v>0</c:v>
                </c:pt>
                <c:pt idx="110">
                  <c:v>0</c:v>
                </c:pt>
                <c:pt idx="111">
                  <c:v>0</c:v>
                </c:pt>
                <c:pt idx="112">
                  <c:v>0</c:v>
                </c:pt>
                <c:pt idx="113">
                  <c:v>0</c:v>
                </c:pt>
                <c:pt idx="114">
                  <c:v>0</c:v>
                </c:pt>
                <c:pt idx="115">
                  <c:v>0</c:v>
                </c:pt>
                <c:pt idx="116">
                  <c:v>0</c:v>
                </c:pt>
                <c:pt idx="117">
                  <c:v>0</c:v>
                </c:pt>
                <c:pt idx="118">
                  <c:v>0</c:v>
                </c:pt>
                <c:pt idx="119">
                  <c:v>0</c:v>
                </c:pt>
                <c:pt idx="120">
                  <c:v>0</c:v>
                </c:pt>
                <c:pt idx="121">
                  <c:v>0</c:v>
                </c:pt>
                <c:pt idx="122">
                  <c:v>0</c:v>
                </c:pt>
                <c:pt idx="123">
                  <c:v>0</c:v>
                </c:pt>
                <c:pt idx="124">
                  <c:v>0</c:v>
                </c:pt>
                <c:pt idx="125">
                  <c:v>0</c:v>
                </c:pt>
                <c:pt idx="126">
                  <c:v>0</c:v>
                </c:pt>
                <c:pt idx="127">
                  <c:v>0</c:v>
                </c:pt>
                <c:pt idx="128">
                  <c:v>0</c:v>
                </c:pt>
                <c:pt idx="129">
                  <c:v>0</c:v>
                </c:pt>
                <c:pt idx="130">
                  <c:v>0</c:v>
                </c:pt>
                <c:pt idx="131">
                  <c:v>0</c:v>
                </c:pt>
                <c:pt idx="132">
                  <c:v>0</c:v>
                </c:pt>
                <c:pt idx="133">
                  <c:v>0</c:v>
                </c:pt>
                <c:pt idx="134">
                  <c:v>0</c:v>
                </c:pt>
                <c:pt idx="135">
                  <c:v>0</c:v>
                </c:pt>
                <c:pt idx="136">
                  <c:v>0</c:v>
                </c:pt>
                <c:pt idx="137">
                  <c:v>0</c:v>
                </c:pt>
                <c:pt idx="138">
                  <c:v>0</c:v>
                </c:pt>
                <c:pt idx="139">
                  <c:v>0</c:v>
                </c:pt>
                <c:pt idx="140">
                  <c:v>0</c:v>
                </c:pt>
                <c:pt idx="141">
                  <c:v>0</c:v>
                </c:pt>
                <c:pt idx="142">
                  <c:v>0</c:v>
                </c:pt>
                <c:pt idx="143">
                  <c:v>0</c:v>
                </c:pt>
                <c:pt idx="144">
                  <c:v>0</c:v>
                </c:pt>
                <c:pt idx="145">
                  <c:v>0</c:v>
                </c:pt>
                <c:pt idx="146">
                  <c:v>0</c:v>
                </c:pt>
                <c:pt idx="147">
                  <c:v>0</c:v>
                </c:pt>
                <c:pt idx="148">
                  <c:v>0</c:v>
                </c:pt>
                <c:pt idx="149">
                  <c:v>0</c:v>
                </c:pt>
                <c:pt idx="150">
                  <c:v>0</c:v>
                </c:pt>
                <c:pt idx="151">
                  <c:v>0</c:v>
                </c:pt>
                <c:pt idx="152">
                  <c:v>0</c:v>
                </c:pt>
                <c:pt idx="153">
                  <c:v>0</c:v>
                </c:pt>
                <c:pt idx="154">
                  <c:v>0</c:v>
                </c:pt>
                <c:pt idx="155">
                  <c:v>0</c:v>
                </c:pt>
                <c:pt idx="156">
                  <c:v>0</c:v>
                </c:pt>
                <c:pt idx="157">
                  <c:v>0</c:v>
                </c:pt>
                <c:pt idx="158">
                  <c:v>0</c:v>
                </c:pt>
                <c:pt idx="159">
                  <c:v>0</c:v>
                </c:pt>
                <c:pt idx="160">
                  <c:v>0</c:v>
                </c:pt>
                <c:pt idx="161">
                  <c:v>0</c:v>
                </c:pt>
                <c:pt idx="162">
                  <c:v>0</c:v>
                </c:pt>
                <c:pt idx="163">
                  <c:v>0</c:v>
                </c:pt>
                <c:pt idx="164">
                  <c:v>0</c:v>
                </c:pt>
                <c:pt idx="165">
                  <c:v>0</c:v>
                </c:pt>
                <c:pt idx="166">
                  <c:v>0</c:v>
                </c:pt>
                <c:pt idx="167">
                  <c:v>0</c:v>
                </c:pt>
                <c:pt idx="168">
                  <c:v>0</c:v>
                </c:pt>
                <c:pt idx="169">
                  <c:v>0</c:v>
                </c:pt>
                <c:pt idx="170">
                  <c:v>0</c:v>
                </c:pt>
                <c:pt idx="171">
                  <c:v>0</c:v>
                </c:pt>
                <c:pt idx="172">
                  <c:v>0</c:v>
                </c:pt>
                <c:pt idx="173">
                  <c:v>0</c:v>
                </c:pt>
                <c:pt idx="174">
                  <c:v>0</c:v>
                </c:pt>
                <c:pt idx="175">
                  <c:v>0</c:v>
                </c:pt>
                <c:pt idx="176">
                  <c:v>0</c:v>
                </c:pt>
                <c:pt idx="177">
                  <c:v>0</c:v>
                </c:pt>
                <c:pt idx="178">
                  <c:v>0</c:v>
                </c:pt>
                <c:pt idx="179">
                  <c:v>0</c:v>
                </c:pt>
                <c:pt idx="180">
                  <c:v>0</c:v>
                </c:pt>
                <c:pt idx="181">
                  <c:v>0</c:v>
                </c:pt>
                <c:pt idx="182">
                  <c:v>0</c:v>
                </c:pt>
                <c:pt idx="183">
                  <c:v>0</c:v>
                </c:pt>
                <c:pt idx="184">
                  <c:v>0</c:v>
                </c:pt>
                <c:pt idx="185">
                  <c:v>0</c:v>
                </c:pt>
                <c:pt idx="186">
                  <c:v>0</c:v>
                </c:pt>
                <c:pt idx="187">
                  <c:v>0</c:v>
                </c:pt>
                <c:pt idx="188">
                  <c:v>0</c:v>
                </c:pt>
                <c:pt idx="189">
                  <c:v>0</c:v>
                </c:pt>
                <c:pt idx="190">
                  <c:v>0</c:v>
                </c:pt>
                <c:pt idx="191">
                  <c:v>0</c:v>
                </c:pt>
                <c:pt idx="192">
                  <c:v>0</c:v>
                </c:pt>
                <c:pt idx="193">
                  <c:v>0</c:v>
                </c:pt>
                <c:pt idx="194">
                  <c:v>0</c:v>
                </c:pt>
                <c:pt idx="195">
                  <c:v>0</c:v>
                </c:pt>
                <c:pt idx="196">
                  <c:v>0</c:v>
                </c:pt>
                <c:pt idx="197">
                  <c:v>0</c:v>
                </c:pt>
                <c:pt idx="198">
                  <c:v>0</c:v>
                </c:pt>
                <c:pt idx="199">
                  <c:v>0</c:v>
                </c:pt>
                <c:pt idx="200">
                  <c:v>0</c:v>
                </c:pt>
              </c:numCache>
            </c:numRef>
          </c:val>
          <c:extLst>
            <c:ext xmlns:c16="http://schemas.microsoft.com/office/drawing/2014/chart" uri="{C3380CC4-5D6E-409C-BE32-E72D297353CC}">
              <c16:uniqueId val="{00000000-2313-4AA3-8472-5B3EC23DBAE5}"/>
            </c:ext>
          </c:extLst>
        </c:ser>
        <c:ser>
          <c:idx val="7"/>
          <c:order val="3"/>
          <c:tx>
            <c:strRef>
              <c:f>'Use this for graphs'!$D$1</c:f>
              <c:strCache>
                <c:ptCount val="1"/>
                <c:pt idx="0">
                  <c:v>TANF</c:v>
                </c:pt>
              </c:strCache>
            </c:strRef>
          </c:tx>
          <c:spPr>
            <a:solidFill>
              <a:schemeClr val="accent2">
                <a:lumMod val="60000"/>
              </a:schemeClr>
            </a:solidFill>
            <a:ln>
              <a:noFill/>
            </a:ln>
            <a:effectLst/>
          </c:spPr>
          <c:cat>
            <c:numRef>
              <c:f>'Use this for graphs'!$A$2:$A$202</c:f>
              <c:numCache>
                <c:formatCode>"$"#,##0</c:formatCode>
                <c:ptCount val="201"/>
                <c:pt idx="0">
                  <c:v>0</c:v>
                </c:pt>
                <c:pt idx="1">
                  <c:v>500</c:v>
                </c:pt>
                <c:pt idx="2">
                  <c:v>1000</c:v>
                </c:pt>
                <c:pt idx="3">
                  <c:v>1500</c:v>
                </c:pt>
                <c:pt idx="4">
                  <c:v>2000</c:v>
                </c:pt>
                <c:pt idx="5">
                  <c:v>2500</c:v>
                </c:pt>
                <c:pt idx="6">
                  <c:v>3000</c:v>
                </c:pt>
                <c:pt idx="7">
                  <c:v>3500</c:v>
                </c:pt>
                <c:pt idx="8">
                  <c:v>4000</c:v>
                </c:pt>
                <c:pt idx="9">
                  <c:v>4500</c:v>
                </c:pt>
                <c:pt idx="10">
                  <c:v>5000</c:v>
                </c:pt>
                <c:pt idx="11">
                  <c:v>5500</c:v>
                </c:pt>
                <c:pt idx="12">
                  <c:v>6000</c:v>
                </c:pt>
                <c:pt idx="13">
                  <c:v>6500</c:v>
                </c:pt>
                <c:pt idx="14">
                  <c:v>7000</c:v>
                </c:pt>
                <c:pt idx="15">
                  <c:v>7500</c:v>
                </c:pt>
                <c:pt idx="16">
                  <c:v>8000</c:v>
                </c:pt>
                <c:pt idx="17">
                  <c:v>8500</c:v>
                </c:pt>
                <c:pt idx="18">
                  <c:v>9000</c:v>
                </c:pt>
                <c:pt idx="19">
                  <c:v>9500</c:v>
                </c:pt>
                <c:pt idx="20">
                  <c:v>10000</c:v>
                </c:pt>
                <c:pt idx="21">
                  <c:v>10500</c:v>
                </c:pt>
                <c:pt idx="22">
                  <c:v>11000</c:v>
                </c:pt>
                <c:pt idx="23">
                  <c:v>11500</c:v>
                </c:pt>
                <c:pt idx="24">
                  <c:v>12000</c:v>
                </c:pt>
                <c:pt idx="25">
                  <c:v>12500</c:v>
                </c:pt>
                <c:pt idx="26">
                  <c:v>13000</c:v>
                </c:pt>
                <c:pt idx="27">
                  <c:v>13500</c:v>
                </c:pt>
                <c:pt idx="28">
                  <c:v>14000</c:v>
                </c:pt>
                <c:pt idx="29">
                  <c:v>14500</c:v>
                </c:pt>
                <c:pt idx="30">
                  <c:v>15000</c:v>
                </c:pt>
                <c:pt idx="31">
                  <c:v>15500</c:v>
                </c:pt>
                <c:pt idx="32">
                  <c:v>16000</c:v>
                </c:pt>
                <c:pt idx="33">
                  <c:v>16500</c:v>
                </c:pt>
                <c:pt idx="34">
                  <c:v>17000</c:v>
                </c:pt>
                <c:pt idx="35">
                  <c:v>17500</c:v>
                </c:pt>
                <c:pt idx="36">
                  <c:v>18000</c:v>
                </c:pt>
                <c:pt idx="37">
                  <c:v>18500</c:v>
                </c:pt>
                <c:pt idx="38">
                  <c:v>19000</c:v>
                </c:pt>
                <c:pt idx="39">
                  <c:v>19500</c:v>
                </c:pt>
                <c:pt idx="40">
                  <c:v>20000</c:v>
                </c:pt>
                <c:pt idx="41">
                  <c:v>20500</c:v>
                </c:pt>
                <c:pt idx="42">
                  <c:v>21000</c:v>
                </c:pt>
                <c:pt idx="43">
                  <c:v>21500</c:v>
                </c:pt>
                <c:pt idx="44">
                  <c:v>22000</c:v>
                </c:pt>
                <c:pt idx="45">
                  <c:v>22500</c:v>
                </c:pt>
                <c:pt idx="46">
                  <c:v>23000</c:v>
                </c:pt>
                <c:pt idx="47">
                  <c:v>23500</c:v>
                </c:pt>
                <c:pt idx="48">
                  <c:v>24000</c:v>
                </c:pt>
                <c:pt idx="49">
                  <c:v>24500</c:v>
                </c:pt>
                <c:pt idx="50">
                  <c:v>25000</c:v>
                </c:pt>
                <c:pt idx="51">
                  <c:v>25500</c:v>
                </c:pt>
                <c:pt idx="52">
                  <c:v>26000</c:v>
                </c:pt>
                <c:pt idx="53">
                  <c:v>26500</c:v>
                </c:pt>
                <c:pt idx="54">
                  <c:v>27000</c:v>
                </c:pt>
                <c:pt idx="55">
                  <c:v>27500</c:v>
                </c:pt>
                <c:pt idx="56">
                  <c:v>28000</c:v>
                </c:pt>
                <c:pt idx="57">
                  <c:v>28500</c:v>
                </c:pt>
                <c:pt idx="58">
                  <c:v>29000</c:v>
                </c:pt>
                <c:pt idx="59">
                  <c:v>29500</c:v>
                </c:pt>
                <c:pt idx="60">
                  <c:v>30000</c:v>
                </c:pt>
                <c:pt idx="61">
                  <c:v>30500</c:v>
                </c:pt>
                <c:pt idx="62">
                  <c:v>31000</c:v>
                </c:pt>
                <c:pt idx="63">
                  <c:v>31500</c:v>
                </c:pt>
                <c:pt idx="64">
                  <c:v>32000</c:v>
                </c:pt>
                <c:pt idx="65">
                  <c:v>32500</c:v>
                </c:pt>
                <c:pt idx="66">
                  <c:v>33000</c:v>
                </c:pt>
                <c:pt idx="67">
                  <c:v>33500</c:v>
                </c:pt>
                <c:pt idx="68">
                  <c:v>34000</c:v>
                </c:pt>
                <c:pt idx="69">
                  <c:v>34500</c:v>
                </c:pt>
                <c:pt idx="70">
                  <c:v>35000</c:v>
                </c:pt>
                <c:pt idx="71">
                  <c:v>35500</c:v>
                </c:pt>
                <c:pt idx="72">
                  <c:v>36000</c:v>
                </c:pt>
                <c:pt idx="73">
                  <c:v>36500</c:v>
                </c:pt>
                <c:pt idx="74">
                  <c:v>37000</c:v>
                </c:pt>
                <c:pt idx="75">
                  <c:v>37500</c:v>
                </c:pt>
                <c:pt idx="76">
                  <c:v>38000</c:v>
                </c:pt>
                <c:pt idx="77">
                  <c:v>38500</c:v>
                </c:pt>
                <c:pt idx="78">
                  <c:v>39000</c:v>
                </c:pt>
                <c:pt idx="79">
                  <c:v>39500</c:v>
                </c:pt>
                <c:pt idx="80">
                  <c:v>40000</c:v>
                </c:pt>
                <c:pt idx="81">
                  <c:v>40500</c:v>
                </c:pt>
                <c:pt idx="82">
                  <c:v>41000</c:v>
                </c:pt>
                <c:pt idx="83">
                  <c:v>41500</c:v>
                </c:pt>
                <c:pt idx="84">
                  <c:v>42000</c:v>
                </c:pt>
                <c:pt idx="85">
                  <c:v>42500</c:v>
                </c:pt>
                <c:pt idx="86">
                  <c:v>43000</c:v>
                </c:pt>
                <c:pt idx="87">
                  <c:v>43500</c:v>
                </c:pt>
                <c:pt idx="88">
                  <c:v>44000</c:v>
                </c:pt>
                <c:pt idx="89">
                  <c:v>44500</c:v>
                </c:pt>
                <c:pt idx="90">
                  <c:v>45000</c:v>
                </c:pt>
                <c:pt idx="91">
                  <c:v>45500</c:v>
                </c:pt>
                <c:pt idx="92">
                  <c:v>46000</c:v>
                </c:pt>
                <c:pt idx="93">
                  <c:v>46500</c:v>
                </c:pt>
                <c:pt idx="94">
                  <c:v>47000</c:v>
                </c:pt>
                <c:pt idx="95">
                  <c:v>47500</c:v>
                </c:pt>
                <c:pt idx="96">
                  <c:v>48000</c:v>
                </c:pt>
                <c:pt idx="97">
                  <c:v>48500</c:v>
                </c:pt>
                <c:pt idx="98">
                  <c:v>49000</c:v>
                </c:pt>
                <c:pt idx="99">
                  <c:v>49500</c:v>
                </c:pt>
                <c:pt idx="100">
                  <c:v>50000</c:v>
                </c:pt>
                <c:pt idx="101">
                  <c:v>50500</c:v>
                </c:pt>
                <c:pt idx="102">
                  <c:v>51000</c:v>
                </c:pt>
                <c:pt idx="103">
                  <c:v>51500</c:v>
                </c:pt>
                <c:pt idx="104">
                  <c:v>52000</c:v>
                </c:pt>
                <c:pt idx="105">
                  <c:v>52500</c:v>
                </c:pt>
                <c:pt idx="106">
                  <c:v>53000</c:v>
                </c:pt>
                <c:pt idx="107">
                  <c:v>53500</c:v>
                </c:pt>
                <c:pt idx="108">
                  <c:v>54000</c:v>
                </c:pt>
                <c:pt idx="109">
                  <c:v>54500</c:v>
                </c:pt>
                <c:pt idx="110">
                  <c:v>55000</c:v>
                </c:pt>
                <c:pt idx="111">
                  <c:v>55500</c:v>
                </c:pt>
                <c:pt idx="112">
                  <c:v>56000</c:v>
                </c:pt>
                <c:pt idx="113">
                  <c:v>56500</c:v>
                </c:pt>
                <c:pt idx="114">
                  <c:v>57000</c:v>
                </c:pt>
                <c:pt idx="115">
                  <c:v>57500</c:v>
                </c:pt>
                <c:pt idx="116">
                  <c:v>58000</c:v>
                </c:pt>
                <c:pt idx="117">
                  <c:v>58500</c:v>
                </c:pt>
                <c:pt idx="118">
                  <c:v>59000</c:v>
                </c:pt>
                <c:pt idx="119">
                  <c:v>59500</c:v>
                </c:pt>
                <c:pt idx="120">
                  <c:v>60000</c:v>
                </c:pt>
                <c:pt idx="121">
                  <c:v>60500</c:v>
                </c:pt>
                <c:pt idx="122">
                  <c:v>61000</c:v>
                </c:pt>
                <c:pt idx="123">
                  <c:v>61500</c:v>
                </c:pt>
                <c:pt idx="124">
                  <c:v>62000</c:v>
                </c:pt>
                <c:pt idx="125">
                  <c:v>62500</c:v>
                </c:pt>
                <c:pt idx="126">
                  <c:v>63000</c:v>
                </c:pt>
                <c:pt idx="127">
                  <c:v>63500</c:v>
                </c:pt>
                <c:pt idx="128">
                  <c:v>64000</c:v>
                </c:pt>
                <c:pt idx="129">
                  <c:v>64500</c:v>
                </c:pt>
                <c:pt idx="130">
                  <c:v>65000</c:v>
                </c:pt>
                <c:pt idx="131">
                  <c:v>65500</c:v>
                </c:pt>
                <c:pt idx="132">
                  <c:v>66000</c:v>
                </c:pt>
                <c:pt idx="133">
                  <c:v>66500</c:v>
                </c:pt>
                <c:pt idx="134">
                  <c:v>67000</c:v>
                </c:pt>
                <c:pt idx="135">
                  <c:v>67500</c:v>
                </c:pt>
                <c:pt idx="136">
                  <c:v>68000</c:v>
                </c:pt>
                <c:pt idx="137">
                  <c:v>68500</c:v>
                </c:pt>
                <c:pt idx="138">
                  <c:v>69000</c:v>
                </c:pt>
                <c:pt idx="139">
                  <c:v>69500</c:v>
                </c:pt>
                <c:pt idx="140">
                  <c:v>70000</c:v>
                </c:pt>
                <c:pt idx="141">
                  <c:v>70500</c:v>
                </c:pt>
                <c:pt idx="142">
                  <c:v>71000</c:v>
                </c:pt>
                <c:pt idx="143">
                  <c:v>71500</c:v>
                </c:pt>
                <c:pt idx="144">
                  <c:v>72000</c:v>
                </c:pt>
                <c:pt idx="145">
                  <c:v>72500</c:v>
                </c:pt>
                <c:pt idx="146">
                  <c:v>73000</c:v>
                </c:pt>
                <c:pt idx="147">
                  <c:v>73500</c:v>
                </c:pt>
                <c:pt idx="148">
                  <c:v>74000</c:v>
                </c:pt>
                <c:pt idx="149">
                  <c:v>74500</c:v>
                </c:pt>
                <c:pt idx="150">
                  <c:v>75000</c:v>
                </c:pt>
                <c:pt idx="151">
                  <c:v>75500</c:v>
                </c:pt>
                <c:pt idx="152">
                  <c:v>76000</c:v>
                </c:pt>
                <c:pt idx="153">
                  <c:v>76500</c:v>
                </c:pt>
                <c:pt idx="154">
                  <c:v>77000</c:v>
                </c:pt>
                <c:pt idx="155">
                  <c:v>77500</c:v>
                </c:pt>
                <c:pt idx="156">
                  <c:v>78000</c:v>
                </c:pt>
                <c:pt idx="157">
                  <c:v>78500</c:v>
                </c:pt>
                <c:pt idx="158">
                  <c:v>79000</c:v>
                </c:pt>
                <c:pt idx="159">
                  <c:v>79500</c:v>
                </c:pt>
                <c:pt idx="160">
                  <c:v>80000</c:v>
                </c:pt>
                <c:pt idx="161">
                  <c:v>80500</c:v>
                </c:pt>
                <c:pt idx="162">
                  <c:v>81000</c:v>
                </c:pt>
                <c:pt idx="163">
                  <c:v>81500</c:v>
                </c:pt>
                <c:pt idx="164">
                  <c:v>82000</c:v>
                </c:pt>
                <c:pt idx="165">
                  <c:v>82500</c:v>
                </c:pt>
                <c:pt idx="166">
                  <c:v>83000</c:v>
                </c:pt>
                <c:pt idx="167">
                  <c:v>83500</c:v>
                </c:pt>
                <c:pt idx="168">
                  <c:v>84000</c:v>
                </c:pt>
                <c:pt idx="169">
                  <c:v>84500</c:v>
                </c:pt>
                <c:pt idx="170">
                  <c:v>85000</c:v>
                </c:pt>
                <c:pt idx="171">
                  <c:v>85500</c:v>
                </c:pt>
                <c:pt idx="172">
                  <c:v>86000</c:v>
                </c:pt>
                <c:pt idx="173">
                  <c:v>86500</c:v>
                </c:pt>
                <c:pt idx="174">
                  <c:v>87000</c:v>
                </c:pt>
                <c:pt idx="175">
                  <c:v>87500</c:v>
                </c:pt>
                <c:pt idx="176">
                  <c:v>88000</c:v>
                </c:pt>
                <c:pt idx="177">
                  <c:v>88500</c:v>
                </c:pt>
                <c:pt idx="178">
                  <c:v>89000</c:v>
                </c:pt>
                <c:pt idx="179">
                  <c:v>89500</c:v>
                </c:pt>
                <c:pt idx="180">
                  <c:v>90000</c:v>
                </c:pt>
                <c:pt idx="181">
                  <c:v>90500</c:v>
                </c:pt>
                <c:pt idx="182">
                  <c:v>91000</c:v>
                </c:pt>
                <c:pt idx="183">
                  <c:v>91500</c:v>
                </c:pt>
                <c:pt idx="184">
                  <c:v>92000</c:v>
                </c:pt>
                <c:pt idx="185">
                  <c:v>92500</c:v>
                </c:pt>
                <c:pt idx="186">
                  <c:v>93000</c:v>
                </c:pt>
                <c:pt idx="187">
                  <c:v>93500</c:v>
                </c:pt>
                <c:pt idx="188">
                  <c:v>94000</c:v>
                </c:pt>
                <c:pt idx="189">
                  <c:v>94500</c:v>
                </c:pt>
                <c:pt idx="190">
                  <c:v>95000</c:v>
                </c:pt>
                <c:pt idx="191">
                  <c:v>95500</c:v>
                </c:pt>
                <c:pt idx="192">
                  <c:v>96000</c:v>
                </c:pt>
                <c:pt idx="193">
                  <c:v>96500</c:v>
                </c:pt>
                <c:pt idx="194">
                  <c:v>97000</c:v>
                </c:pt>
                <c:pt idx="195">
                  <c:v>97500</c:v>
                </c:pt>
                <c:pt idx="196">
                  <c:v>98000</c:v>
                </c:pt>
                <c:pt idx="197">
                  <c:v>98500</c:v>
                </c:pt>
                <c:pt idx="198">
                  <c:v>99000</c:v>
                </c:pt>
                <c:pt idx="199">
                  <c:v>99500</c:v>
                </c:pt>
                <c:pt idx="200">
                  <c:v>100000</c:v>
                </c:pt>
              </c:numCache>
            </c:numRef>
          </c:cat>
          <c:val>
            <c:numRef>
              <c:f>'Use this for graphs'!$D$2:$D$202</c:f>
              <c:numCache>
                <c:formatCode>"$"#,##0</c:formatCode>
                <c:ptCount val="201"/>
                <c:pt idx="0">
                  <c:v>4620</c:v>
                </c:pt>
                <c:pt idx="1">
                  <c:v>4620</c:v>
                </c:pt>
                <c:pt idx="2">
                  <c:v>4620</c:v>
                </c:pt>
                <c:pt idx="3">
                  <c:v>4620</c:v>
                </c:pt>
                <c:pt idx="4">
                  <c:v>4620</c:v>
                </c:pt>
                <c:pt idx="5">
                  <c:v>4620</c:v>
                </c:pt>
                <c:pt idx="6">
                  <c:v>4226.3999999999996</c:v>
                </c:pt>
                <c:pt idx="7">
                  <c:v>3826.4</c:v>
                </c:pt>
                <c:pt idx="8">
                  <c:v>3426.4000000000005</c:v>
                </c:pt>
                <c:pt idx="9">
                  <c:v>3026.3999999999996</c:v>
                </c:pt>
                <c:pt idx="10">
                  <c:v>2626.3999999999996</c:v>
                </c:pt>
                <c:pt idx="11">
                  <c:v>2226.4000000000005</c:v>
                </c:pt>
                <c:pt idx="12">
                  <c:v>1826.3999999999999</c:v>
                </c:pt>
                <c:pt idx="13">
                  <c:v>1426.4</c:v>
                </c:pt>
                <c:pt idx="14">
                  <c:v>1026.3999999999996</c:v>
                </c:pt>
                <c:pt idx="15">
                  <c:v>626.39999999999986</c:v>
                </c:pt>
                <c:pt idx="16">
                  <c:v>226.40000000000009</c:v>
                </c:pt>
                <c:pt idx="17">
                  <c:v>0</c:v>
                </c:pt>
                <c:pt idx="18">
                  <c:v>0</c:v>
                </c:pt>
                <c:pt idx="19">
                  <c:v>0</c:v>
                </c:pt>
                <c:pt idx="20">
                  <c:v>0</c:v>
                </c:pt>
                <c:pt idx="21">
                  <c:v>0</c:v>
                </c:pt>
                <c:pt idx="22">
                  <c:v>0</c:v>
                </c:pt>
                <c:pt idx="23">
                  <c:v>0</c:v>
                </c:pt>
                <c:pt idx="24">
                  <c:v>0</c:v>
                </c:pt>
                <c:pt idx="25">
                  <c:v>0</c:v>
                </c:pt>
                <c:pt idx="26">
                  <c:v>0</c:v>
                </c:pt>
                <c:pt idx="27">
                  <c:v>0</c:v>
                </c:pt>
                <c:pt idx="28">
                  <c:v>0</c:v>
                </c:pt>
                <c:pt idx="29">
                  <c:v>0</c:v>
                </c:pt>
                <c:pt idx="30">
                  <c:v>0</c:v>
                </c:pt>
                <c:pt idx="31">
                  <c:v>0</c:v>
                </c:pt>
                <c:pt idx="32">
                  <c:v>0</c:v>
                </c:pt>
                <c:pt idx="33">
                  <c:v>0</c:v>
                </c:pt>
                <c:pt idx="34">
                  <c:v>0</c:v>
                </c:pt>
                <c:pt idx="35">
                  <c:v>0</c:v>
                </c:pt>
                <c:pt idx="36">
                  <c:v>0</c:v>
                </c:pt>
                <c:pt idx="37">
                  <c:v>0</c:v>
                </c:pt>
                <c:pt idx="38">
                  <c:v>0</c:v>
                </c:pt>
                <c:pt idx="39">
                  <c:v>0</c:v>
                </c:pt>
                <c:pt idx="40">
                  <c:v>0</c:v>
                </c:pt>
                <c:pt idx="41">
                  <c:v>0</c:v>
                </c:pt>
                <c:pt idx="42">
                  <c:v>0</c:v>
                </c:pt>
                <c:pt idx="43">
                  <c:v>0</c:v>
                </c:pt>
                <c:pt idx="44">
                  <c:v>0</c:v>
                </c:pt>
                <c:pt idx="45">
                  <c:v>0</c:v>
                </c:pt>
                <c:pt idx="46">
                  <c:v>0</c:v>
                </c:pt>
                <c:pt idx="47">
                  <c:v>0</c:v>
                </c:pt>
                <c:pt idx="48">
                  <c:v>0</c:v>
                </c:pt>
                <c:pt idx="49">
                  <c:v>0</c:v>
                </c:pt>
                <c:pt idx="50">
                  <c:v>0</c:v>
                </c:pt>
                <c:pt idx="51">
                  <c:v>0</c:v>
                </c:pt>
                <c:pt idx="52">
                  <c:v>0</c:v>
                </c:pt>
                <c:pt idx="53">
                  <c:v>0</c:v>
                </c:pt>
                <c:pt idx="54">
                  <c:v>0</c:v>
                </c:pt>
                <c:pt idx="55">
                  <c:v>0</c:v>
                </c:pt>
                <c:pt idx="56">
                  <c:v>0</c:v>
                </c:pt>
                <c:pt idx="57">
                  <c:v>0</c:v>
                </c:pt>
                <c:pt idx="58">
                  <c:v>0</c:v>
                </c:pt>
                <c:pt idx="59">
                  <c:v>0</c:v>
                </c:pt>
                <c:pt idx="60">
                  <c:v>0</c:v>
                </c:pt>
                <c:pt idx="61">
                  <c:v>0</c:v>
                </c:pt>
                <c:pt idx="62">
                  <c:v>0</c:v>
                </c:pt>
                <c:pt idx="63">
                  <c:v>0</c:v>
                </c:pt>
                <c:pt idx="64">
                  <c:v>0</c:v>
                </c:pt>
                <c:pt idx="65">
                  <c:v>0</c:v>
                </c:pt>
                <c:pt idx="66">
                  <c:v>0</c:v>
                </c:pt>
                <c:pt idx="67">
                  <c:v>0</c:v>
                </c:pt>
                <c:pt idx="68">
                  <c:v>0</c:v>
                </c:pt>
                <c:pt idx="69">
                  <c:v>0</c:v>
                </c:pt>
                <c:pt idx="70">
                  <c:v>0</c:v>
                </c:pt>
                <c:pt idx="71">
                  <c:v>0</c:v>
                </c:pt>
                <c:pt idx="72">
                  <c:v>0</c:v>
                </c:pt>
                <c:pt idx="73">
                  <c:v>0</c:v>
                </c:pt>
                <c:pt idx="74">
                  <c:v>0</c:v>
                </c:pt>
                <c:pt idx="75">
                  <c:v>0</c:v>
                </c:pt>
                <c:pt idx="76">
                  <c:v>0</c:v>
                </c:pt>
                <c:pt idx="77">
                  <c:v>0</c:v>
                </c:pt>
                <c:pt idx="78">
                  <c:v>0</c:v>
                </c:pt>
                <c:pt idx="79">
                  <c:v>0</c:v>
                </c:pt>
                <c:pt idx="80">
                  <c:v>0</c:v>
                </c:pt>
                <c:pt idx="81">
                  <c:v>0</c:v>
                </c:pt>
                <c:pt idx="82">
                  <c:v>0</c:v>
                </c:pt>
                <c:pt idx="83">
                  <c:v>0</c:v>
                </c:pt>
                <c:pt idx="84">
                  <c:v>0</c:v>
                </c:pt>
                <c:pt idx="85">
                  <c:v>0</c:v>
                </c:pt>
                <c:pt idx="86">
                  <c:v>0</c:v>
                </c:pt>
                <c:pt idx="87">
                  <c:v>0</c:v>
                </c:pt>
                <c:pt idx="88">
                  <c:v>0</c:v>
                </c:pt>
                <c:pt idx="89">
                  <c:v>0</c:v>
                </c:pt>
                <c:pt idx="90">
                  <c:v>0</c:v>
                </c:pt>
                <c:pt idx="91">
                  <c:v>0</c:v>
                </c:pt>
                <c:pt idx="92">
                  <c:v>0</c:v>
                </c:pt>
                <c:pt idx="93">
                  <c:v>0</c:v>
                </c:pt>
                <c:pt idx="94">
                  <c:v>0</c:v>
                </c:pt>
                <c:pt idx="95">
                  <c:v>0</c:v>
                </c:pt>
                <c:pt idx="96">
                  <c:v>0</c:v>
                </c:pt>
                <c:pt idx="97">
                  <c:v>0</c:v>
                </c:pt>
                <c:pt idx="98">
                  <c:v>0</c:v>
                </c:pt>
                <c:pt idx="99">
                  <c:v>0</c:v>
                </c:pt>
                <c:pt idx="100">
                  <c:v>0</c:v>
                </c:pt>
                <c:pt idx="101">
                  <c:v>0</c:v>
                </c:pt>
                <c:pt idx="102">
                  <c:v>0</c:v>
                </c:pt>
                <c:pt idx="103">
                  <c:v>0</c:v>
                </c:pt>
                <c:pt idx="104">
                  <c:v>0</c:v>
                </c:pt>
                <c:pt idx="105">
                  <c:v>0</c:v>
                </c:pt>
                <c:pt idx="106">
                  <c:v>0</c:v>
                </c:pt>
                <c:pt idx="107">
                  <c:v>0</c:v>
                </c:pt>
                <c:pt idx="108">
                  <c:v>0</c:v>
                </c:pt>
                <c:pt idx="109">
                  <c:v>0</c:v>
                </c:pt>
                <c:pt idx="110">
                  <c:v>0</c:v>
                </c:pt>
                <c:pt idx="111">
                  <c:v>0</c:v>
                </c:pt>
                <c:pt idx="112">
                  <c:v>0</c:v>
                </c:pt>
                <c:pt idx="113">
                  <c:v>0</c:v>
                </c:pt>
                <c:pt idx="114">
                  <c:v>0</c:v>
                </c:pt>
                <c:pt idx="115">
                  <c:v>0</c:v>
                </c:pt>
                <c:pt idx="116">
                  <c:v>0</c:v>
                </c:pt>
                <c:pt idx="117">
                  <c:v>0</c:v>
                </c:pt>
                <c:pt idx="118">
                  <c:v>0</c:v>
                </c:pt>
                <c:pt idx="119">
                  <c:v>0</c:v>
                </c:pt>
                <c:pt idx="120">
                  <c:v>0</c:v>
                </c:pt>
                <c:pt idx="121">
                  <c:v>0</c:v>
                </c:pt>
                <c:pt idx="122">
                  <c:v>0</c:v>
                </c:pt>
                <c:pt idx="123">
                  <c:v>0</c:v>
                </c:pt>
                <c:pt idx="124">
                  <c:v>0</c:v>
                </c:pt>
                <c:pt idx="125">
                  <c:v>0</c:v>
                </c:pt>
                <c:pt idx="126">
                  <c:v>0</c:v>
                </c:pt>
                <c:pt idx="127">
                  <c:v>0</c:v>
                </c:pt>
                <c:pt idx="128">
                  <c:v>0</c:v>
                </c:pt>
                <c:pt idx="129">
                  <c:v>0</c:v>
                </c:pt>
                <c:pt idx="130">
                  <c:v>0</c:v>
                </c:pt>
                <c:pt idx="131">
                  <c:v>0</c:v>
                </c:pt>
                <c:pt idx="132">
                  <c:v>0</c:v>
                </c:pt>
                <c:pt idx="133">
                  <c:v>0</c:v>
                </c:pt>
                <c:pt idx="134">
                  <c:v>0</c:v>
                </c:pt>
                <c:pt idx="135">
                  <c:v>0</c:v>
                </c:pt>
                <c:pt idx="136">
                  <c:v>0</c:v>
                </c:pt>
                <c:pt idx="137">
                  <c:v>0</c:v>
                </c:pt>
                <c:pt idx="138">
                  <c:v>0</c:v>
                </c:pt>
                <c:pt idx="139">
                  <c:v>0</c:v>
                </c:pt>
                <c:pt idx="140">
                  <c:v>0</c:v>
                </c:pt>
                <c:pt idx="141">
                  <c:v>0</c:v>
                </c:pt>
                <c:pt idx="142">
                  <c:v>0</c:v>
                </c:pt>
                <c:pt idx="143">
                  <c:v>0</c:v>
                </c:pt>
                <c:pt idx="144">
                  <c:v>0</c:v>
                </c:pt>
                <c:pt idx="145">
                  <c:v>0</c:v>
                </c:pt>
                <c:pt idx="146">
                  <c:v>0</c:v>
                </c:pt>
                <c:pt idx="147">
                  <c:v>0</c:v>
                </c:pt>
                <c:pt idx="148">
                  <c:v>0</c:v>
                </c:pt>
                <c:pt idx="149">
                  <c:v>0</c:v>
                </c:pt>
                <c:pt idx="150">
                  <c:v>0</c:v>
                </c:pt>
                <c:pt idx="151">
                  <c:v>0</c:v>
                </c:pt>
                <c:pt idx="152">
                  <c:v>0</c:v>
                </c:pt>
                <c:pt idx="153">
                  <c:v>0</c:v>
                </c:pt>
                <c:pt idx="154">
                  <c:v>0</c:v>
                </c:pt>
                <c:pt idx="155">
                  <c:v>0</c:v>
                </c:pt>
                <c:pt idx="156">
                  <c:v>0</c:v>
                </c:pt>
                <c:pt idx="157">
                  <c:v>0</c:v>
                </c:pt>
                <c:pt idx="158">
                  <c:v>0</c:v>
                </c:pt>
                <c:pt idx="159">
                  <c:v>0</c:v>
                </c:pt>
                <c:pt idx="160">
                  <c:v>0</c:v>
                </c:pt>
                <c:pt idx="161">
                  <c:v>0</c:v>
                </c:pt>
                <c:pt idx="162">
                  <c:v>0</c:v>
                </c:pt>
                <c:pt idx="163">
                  <c:v>0</c:v>
                </c:pt>
                <c:pt idx="164">
                  <c:v>0</c:v>
                </c:pt>
                <c:pt idx="165">
                  <c:v>0</c:v>
                </c:pt>
                <c:pt idx="166">
                  <c:v>0</c:v>
                </c:pt>
                <c:pt idx="167">
                  <c:v>0</c:v>
                </c:pt>
                <c:pt idx="168">
                  <c:v>0</c:v>
                </c:pt>
                <c:pt idx="169">
                  <c:v>0</c:v>
                </c:pt>
                <c:pt idx="170">
                  <c:v>0</c:v>
                </c:pt>
                <c:pt idx="171">
                  <c:v>0</c:v>
                </c:pt>
                <c:pt idx="172">
                  <c:v>0</c:v>
                </c:pt>
                <c:pt idx="173">
                  <c:v>0</c:v>
                </c:pt>
                <c:pt idx="174">
                  <c:v>0</c:v>
                </c:pt>
                <c:pt idx="175">
                  <c:v>0</c:v>
                </c:pt>
                <c:pt idx="176">
                  <c:v>0</c:v>
                </c:pt>
                <c:pt idx="177">
                  <c:v>0</c:v>
                </c:pt>
                <c:pt idx="178">
                  <c:v>0</c:v>
                </c:pt>
                <c:pt idx="179">
                  <c:v>0</c:v>
                </c:pt>
                <c:pt idx="180">
                  <c:v>0</c:v>
                </c:pt>
                <c:pt idx="181">
                  <c:v>0</c:v>
                </c:pt>
                <c:pt idx="182">
                  <c:v>0</c:v>
                </c:pt>
                <c:pt idx="183">
                  <c:v>0</c:v>
                </c:pt>
                <c:pt idx="184">
                  <c:v>0</c:v>
                </c:pt>
                <c:pt idx="185">
                  <c:v>0</c:v>
                </c:pt>
                <c:pt idx="186">
                  <c:v>0</c:v>
                </c:pt>
                <c:pt idx="187">
                  <c:v>0</c:v>
                </c:pt>
                <c:pt idx="188">
                  <c:v>0</c:v>
                </c:pt>
                <c:pt idx="189">
                  <c:v>0</c:v>
                </c:pt>
                <c:pt idx="190">
                  <c:v>0</c:v>
                </c:pt>
                <c:pt idx="191">
                  <c:v>0</c:v>
                </c:pt>
                <c:pt idx="192">
                  <c:v>0</c:v>
                </c:pt>
                <c:pt idx="193">
                  <c:v>0</c:v>
                </c:pt>
                <c:pt idx="194">
                  <c:v>0</c:v>
                </c:pt>
                <c:pt idx="195">
                  <c:v>0</c:v>
                </c:pt>
                <c:pt idx="196">
                  <c:v>0</c:v>
                </c:pt>
                <c:pt idx="197">
                  <c:v>0</c:v>
                </c:pt>
                <c:pt idx="198">
                  <c:v>0</c:v>
                </c:pt>
                <c:pt idx="199">
                  <c:v>0</c:v>
                </c:pt>
                <c:pt idx="200">
                  <c:v>0</c:v>
                </c:pt>
              </c:numCache>
            </c:numRef>
          </c:val>
          <c:extLst>
            <c:ext xmlns:c16="http://schemas.microsoft.com/office/drawing/2014/chart" uri="{C3380CC4-5D6E-409C-BE32-E72D297353CC}">
              <c16:uniqueId val="{00000001-2313-4AA3-8472-5B3EC23DBAE5}"/>
            </c:ext>
          </c:extLst>
        </c:ser>
        <c:ser>
          <c:idx val="8"/>
          <c:order val="4"/>
          <c:tx>
            <c:strRef>
              <c:f>'Use this for graphs'!$E$1</c:f>
              <c:strCache>
                <c:ptCount val="1"/>
                <c:pt idx="0">
                  <c:v>Annual SNAP Benefit</c:v>
                </c:pt>
              </c:strCache>
            </c:strRef>
          </c:tx>
          <c:spPr>
            <a:solidFill>
              <a:schemeClr val="accent3">
                <a:lumMod val="60000"/>
              </a:schemeClr>
            </a:solidFill>
            <a:ln>
              <a:noFill/>
            </a:ln>
            <a:effectLst/>
          </c:spPr>
          <c:cat>
            <c:numRef>
              <c:f>'Use this for graphs'!$A$2:$A$202</c:f>
              <c:numCache>
                <c:formatCode>"$"#,##0</c:formatCode>
                <c:ptCount val="201"/>
                <c:pt idx="0">
                  <c:v>0</c:v>
                </c:pt>
                <c:pt idx="1">
                  <c:v>500</c:v>
                </c:pt>
                <c:pt idx="2">
                  <c:v>1000</c:v>
                </c:pt>
                <c:pt idx="3">
                  <c:v>1500</c:v>
                </c:pt>
                <c:pt idx="4">
                  <c:v>2000</c:v>
                </c:pt>
                <c:pt idx="5">
                  <c:v>2500</c:v>
                </c:pt>
                <c:pt idx="6">
                  <c:v>3000</c:v>
                </c:pt>
                <c:pt idx="7">
                  <c:v>3500</c:v>
                </c:pt>
                <c:pt idx="8">
                  <c:v>4000</c:v>
                </c:pt>
                <c:pt idx="9">
                  <c:v>4500</c:v>
                </c:pt>
                <c:pt idx="10">
                  <c:v>5000</c:v>
                </c:pt>
                <c:pt idx="11">
                  <c:v>5500</c:v>
                </c:pt>
                <c:pt idx="12">
                  <c:v>6000</c:v>
                </c:pt>
                <c:pt idx="13">
                  <c:v>6500</c:v>
                </c:pt>
                <c:pt idx="14">
                  <c:v>7000</c:v>
                </c:pt>
                <c:pt idx="15">
                  <c:v>7500</c:v>
                </c:pt>
                <c:pt idx="16">
                  <c:v>8000</c:v>
                </c:pt>
                <c:pt idx="17">
                  <c:v>8500</c:v>
                </c:pt>
                <c:pt idx="18">
                  <c:v>9000</c:v>
                </c:pt>
                <c:pt idx="19">
                  <c:v>9500</c:v>
                </c:pt>
                <c:pt idx="20">
                  <c:v>10000</c:v>
                </c:pt>
                <c:pt idx="21">
                  <c:v>10500</c:v>
                </c:pt>
                <c:pt idx="22">
                  <c:v>11000</c:v>
                </c:pt>
                <c:pt idx="23">
                  <c:v>11500</c:v>
                </c:pt>
                <c:pt idx="24">
                  <c:v>12000</c:v>
                </c:pt>
                <c:pt idx="25">
                  <c:v>12500</c:v>
                </c:pt>
                <c:pt idx="26">
                  <c:v>13000</c:v>
                </c:pt>
                <c:pt idx="27">
                  <c:v>13500</c:v>
                </c:pt>
                <c:pt idx="28">
                  <c:v>14000</c:v>
                </c:pt>
                <c:pt idx="29">
                  <c:v>14500</c:v>
                </c:pt>
                <c:pt idx="30">
                  <c:v>15000</c:v>
                </c:pt>
                <c:pt idx="31">
                  <c:v>15500</c:v>
                </c:pt>
                <c:pt idx="32">
                  <c:v>16000</c:v>
                </c:pt>
                <c:pt idx="33">
                  <c:v>16500</c:v>
                </c:pt>
                <c:pt idx="34">
                  <c:v>17000</c:v>
                </c:pt>
                <c:pt idx="35">
                  <c:v>17500</c:v>
                </c:pt>
                <c:pt idx="36">
                  <c:v>18000</c:v>
                </c:pt>
                <c:pt idx="37">
                  <c:v>18500</c:v>
                </c:pt>
                <c:pt idx="38">
                  <c:v>19000</c:v>
                </c:pt>
                <c:pt idx="39">
                  <c:v>19500</c:v>
                </c:pt>
                <c:pt idx="40">
                  <c:v>20000</c:v>
                </c:pt>
                <c:pt idx="41">
                  <c:v>20500</c:v>
                </c:pt>
                <c:pt idx="42">
                  <c:v>21000</c:v>
                </c:pt>
                <c:pt idx="43">
                  <c:v>21500</c:v>
                </c:pt>
                <c:pt idx="44">
                  <c:v>22000</c:v>
                </c:pt>
                <c:pt idx="45">
                  <c:v>22500</c:v>
                </c:pt>
                <c:pt idx="46">
                  <c:v>23000</c:v>
                </c:pt>
                <c:pt idx="47">
                  <c:v>23500</c:v>
                </c:pt>
                <c:pt idx="48">
                  <c:v>24000</c:v>
                </c:pt>
                <c:pt idx="49">
                  <c:v>24500</c:v>
                </c:pt>
                <c:pt idx="50">
                  <c:v>25000</c:v>
                </c:pt>
                <c:pt idx="51">
                  <c:v>25500</c:v>
                </c:pt>
                <c:pt idx="52">
                  <c:v>26000</c:v>
                </c:pt>
                <c:pt idx="53">
                  <c:v>26500</c:v>
                </c:pt>
                <c:pt idx="54">
                  <c:v>27000</c:v>
                </c:pt>
                <c:pt idx="55">
                  <c:v>27500</c:v>
                </c:pt>
                <c:pt idx="56">
                  <c:v>28000</c:v>
                </c:pt>
                <c:pt idx="57">
                  <c:v>28500</c:v>
                </c:pt>
                <c:pt idx="58">
                  <c:v>29000</c:v>
                </c:pt>
                <c:pt idx="59">
                  <c:v>29500</c:v>
                </c:pt>
                <c:pt idx="60">
                  <c:v>30000</c:v>
                </c:pt>
                <c:pt idx="61">
                  <c:v>30500</c:v>
                </c:pt>
                <c:pt idx="62">
                  <c:v>31000</c:v>
                </c:pt>
                <c:pt idx="63">
                  <c:v>31500</c:v>
                </c:pt>
                <c:pt idx="64">
                  <c:v>32000</c:v>
                </c:pt>
                <c:pt idx="65">
                  <c:v>32500</c:v>
                </c:pt>
                <c:pt idx="66">
                  <c:v>33000</c:v>
                </c:pt>
                <c:pt idx="67">
                  <c:v>33500</c:v>
                </c:pt>
                <c:pt idx="68">
                  <c:v>34000</c:v>
                </c:pt>
                <c:pt idx="69">
                  <c:v>34500</c:v>
                </c:pt>
                <c:pt idx="70">
                  <c:v>35000</c:v>
                </c:pt>
                <c:pt idx="71">
                  <c:v>35500</c:v>
                </c:pt>
                <c:pt idx="72">
                  <c:v>36000</c:v>
                </c:pt>
                <c:pt idx="73">
                  <c:v>36500</c:v>
                </c:pt>
                <c:pt idx="74">
                  <c:v>37000</c:v>
                </c:pt>
                <c:pt idx="75">
                  <c:v>37500</c:v>
                </c:pt>
                <c:pt idx="76">
                  <c:v>38000</c:v>
                </c:pt>
                <c:pt idx="77">
                  <c:v>38500</c:v>
                </c:pt>
                <c:pt idx="78">
                  <c:v>39000</c:v>
                </c:pt>
                <c:pt idx="79">
                  <c:v>39500</c:v>
                </c:pt>
                <c:pt idx="80">
                  <c:v>40000</c:v>
                </c:pt>
                <c:pt idx="81">
                  <c:v>40500</c:v>
                </c:pt>
                <c:pt idx="82">
                  <c:v>41000</c:v>
                </c:pt>
                <c:pt idx="83">
                  <c:v>41500</c:v>
                </c:pt>
                <c:pt idx="84">
                  <c:v>42000</c:v>
                </c:pt>
                <c:pt idx="85">
                  <c:v>42500</c:v>
                </c:pt>
                <c:pt idx="86">
                  <c:v>43000</c:v>
                </c:pt>
                <c:pt idx="87">
                  <c:v>43500</c:v>
                </c:pt>
                <c:pt idx="88">
                  <c:v>44000</c:v>
                </c:pt>
                <c:pt idx="89">
                  <c:v>44500</c:v>
                </c:pt>
                <c:pt idx="90">
                  <c:v>45000</c:v>
                </c:pt>
                <c:pt idx="91">
                  <c:v>45500</c:v>
                </c:pt>
                <c:pt idx="92">
                  <c:v>46000</c:v>
                </c:pt>
                <c:pt idx="93">
                  <c:v>46500</c:v>
                </c:pt>
                <c:pt idx="94">
                  <c:v>47000</c:v>
                </c:pt>
                <c:pt idx="95">
                  <c:v>47500</c:v>
                </c:pt>
                <c:pt idx="96">
                  <c:v>48000</c:v>
                </c:pt>
                <c:pt idx="97">
                  <c:v>48500</c:v>
                </c:pt>
                <c:pt idx="98">
                  <c:v>49000</c:v>
                </c:pt>
                <c:pt idx="99">
                  <c:v>49500</c:v>
                </c:pt>
                <c:pt idx="100">
                  <c:v>50000</c:v>
                </c:pt>
                <c:pt idx="101">
                  <c:v>50500</c:v>
                </c:pt>
                <c:pt idx="102">
                  <c:v>51000</c:v>
                </c:pt>
                <c:pt idx="103">
                  <c:v>51500</c:v>
                </c:pt>
                <c:pt idx="104">
                  <c:v>52000</c:v>
                </c:pt>
                <c:pt idx="105">
                  <c:v>52500</c:v>
                </c:pt>
                <c:pt idx="106">
                  <c:v>53000</c:v>
                </c:pt>
                <c:pt idx="107">
                  <c:v>53500</c:v>
                </c:pt>
                <c:pt idx="108">
                  <c:v>54000</c:v>
                </c:pt>
                <c:pt idx="109">
                  <c:v>54500</c:v>
                </c:pt>
                <c:pt idx="110">
                  <c:v>55000</c:v>
                </c:pt>
                <c:pt idx="111">
                  <c:v>55500</c:v>
                </c:pt>
                <c:pt idx="112">
                  <c:v>56000</c:v>
                </c:pt>
                <c:pt idx="113">
                  <c:v>56500</c:v>
                </c:pt>
                <c:pt idx="114">
                  <c:v>57000</c:v>
                </c:pt>
                <c:pt idx="115">
                  <c:v>57500</c:v>
                </c:pt>
                <c:pt idx="116">
                  <c:v>58000</c:v>
                </c:pt>
                <c:pt idx="117">
                  <c:v>58500</c:v>
                </c:pt>
                <c:pt idx="118">
                  <c:v>59000</c:v>
                </c:pt>
                <c:pt idx="119">
                  <c:v>59500</c:v>
                </c:pt>
                <c:pt idx="120">
                  <c:v>60000</c:v>
                </c:pt>
                <c:pt idx="121">
                  <c:v>60500</c:v>
                </c:pt>
                <c:pt idx="122">
                  <c:v>61000</c:v>
                </c:pt>
                <c:pt idx="123">
                  <c:v>61500</c:v>
                </c:pt>
                <c:pt idx="124">
                  <c:v>62000</c:v>
                </c:pt>
                <c:pt idx="125">
                  <c:v>62500</c:v>
                </c:pt>
                <c:pt idx="126">
                  <c:v>63000</c:v>
                </c:pt>
                <c:pt idx="127">
                  <c:v>63500</c:v>
                </c:pt>
                <c:pt idx="128">
                  <c:v>64000</c:v>
                </c:pt>
                <c:pt idx="129">
                  <c:v>64500</c:v>
                </c:pt>
                <c:pt idx="130">
                  <c:v>65000</c:v>
                </c:pt>
                <c:pt idx="131">
                  <c:v>65500</c:v>
                </c:pt>
                <c:pt idx="132">
                  <c:v>66000</c:v>
                </c:pt>
                <c:pt idx="133">
                  <c:v>66500</c:v>
                </c:pt>
                <c:pt idx="134">
                  <c:v>67000</c:v>
                </c:pt>
                <c:pt idx="135">
                  <c:v>67500</c:v>
                </c:pt>
                <c:pt idx="136">
                  <c:v>68000</c:v>
                </c:pt>
                <c:pt idx="137">
                  <c:v>68500</c:v>
                </c:pt>
                <c:pt idx="138">
                  <c:v>69000</c:v>
                </c:pt>
                <c:pt idx="139">
                  <c:v>69500</c:v>
                </c:pt>
                <c:pt idx="140">
                  <c:v>70000</c:v>
                </c:pt>
                <c:pt idx="141">
                  <c:v>70500</c:v>
                </c:pt>
                <c:pt idx="142">
                  <c:v>71000</c:v>
                </c:pt>
                <c:pt idx="143">
                  <c:v>71500</c:v>
                </c:pt>
                <c:pt idx="144">
                  <c:v>72000</c:v>
                </c:pt>
                <c:pt idx="145">
                  <c:v>72500</c:v>
                </c:pt>
                <c:pt idx="146">
                  <c:v>73000</c:v>
                </c:pt>
                <c:pt idx="147">
                  <c:v>73500</c:v>
                </c:pt>
                <c:pt idx="148">
                  <c:v>74000</c:v>
                </c:pt>
                <c:pt idx="149">
                  <c:v>74500</c:v>
                </c:pt>
                <c:pt idx="150">
                  <c:v>75000</c:v>
                </c:pt>
                <c:pt idx="151">
                  <c:v>75500</c:v>
                </c:pt>
                <c:pt idx="152">
                  <c:v>76000</c:v>
                </c:pt>
                <c:pt idx="153">
                  <c:v>76500</c:v>
                </c:pt>
                <c:pt idx="154">
                  <c:v>77000</c:v>
                </c:pt>
                <c:pt idx="155">
                  <c:v>77500</c:v>
                </c:pt>
                <c:pt idx="156">
                  <c:v>78000</c:v>
                </c:pt>
                <c:pt idx="157">
                  <c:v>78500</c:v>
                </c:pt>
                <c:pt idx="158">
                  <c:v>79000</c:v>
                </c:pt>
                <c:pt idx="159">
                  <c:v>79500</c:v>
                </c:pt>
                <c:pt idx="160">
                  <c:v>80000</c:v>
                </c:pt>
                <c:pt idx="161">
                  <c:v>80500</c:v>
                </c:pt>
                <c:pt idx="162">
                  <c:v>81000</c:v>
                </c:pt>
                <c:pt idx="163">
                  <c:v>81500</c:v>
                </c:pt>
                <c:pt idx="164">
                  <c:v>82000</c:v>
                </c:pt>
                <c:pt idx="165">
                  <c:v>82500</c:v>
                </c:pt>
                <c:pt idx="166">
                  <c:v>83000</c:v>
                </c:pt>
                <c:pt idx="167">
                  <c:v>83500</c:v>
                </c:pt>
                <c:pt idx="168">
                  <c:v>84000</c:v>
                </c:pt>
                <c:pt idx="169">
                  <c:v>84500</c:v>
                </c:pt>
                <c:pt idx="170">
                  <c:v>85000</c:v>
                </c:pt>
                <c:pt idx="171">
                  <c:v>85500</c:v>
                </c:pt>
                <c:pt idx="172">
                  <c:v>86000</c:v>
                </c:pt>
                <c:pt idx="173">
                  <c:v>86500</c:v>
                </c:pt>
                <c:pt idx="174">
                  <c:v>87000</c:v>
                </c:pt>
                <c:pt idx="175">
                  <c:v>87500</c:v>
                </c:pt>
                <c:pt idx="176">
                  <c:v>88000</c:v>
                </c:pt>
                <c:pt idx="177">
                  <c:v>88500</c:v>
                </c:pt>
                <c:pt idx="178">
                  <c:v>89000</c:v>
                </c:pt>
                <c:pt idx="179">
                  <c:v>89500</c:v>
                </c:pt>
                <c:pt idx="180">
                  <c:v>90000</c:v>
                </c:pt>
                <c:pt idx="181">
                  <c:v>90500</c:v>
                </c:pt>
                <c:pt idx="182">
                  <c:v>91000</c:v>
                </c:pt>
                <c:pt idx="183">
                  <c:v>91500</c:v>
                </c:pt>
                <c:pt idx="184">
                  <c:v>92000</c:v>
                </c:pt>
                <c:pt idx="185">
                  <c:v>92500</c:v>
                </c:pt>
                <c:pt idx="186">
                  <c:v>93000</c:v>
                </c:pt>
                <c:pt idx="187">
                  <c:v>93500</c:v>
                </c:pt>
                <c:pt idx="188">
                  <c:v>94000</c:v>
                </c:pt>
                <c:pt idx="189">
                  <c:v>94500</c:v>
                </c:pt>
                <c:pt idx="190">
                  <c:v>95000</c:v>
                </c:pt>
                <c:pt idx="191">
                  <c:v>95500</c:v>
                </c:pt>
                <c:pt idx="192">
                  <c:v>96000</c:v>
                </c:pt>
                <c:pt idx="193">
                  <c:v>96500</c:v>
                </c:pt>
                <c:pt idx="194">
                  <c:v>97000</c:v>
                </c:pt>
                <c:pt idx="195">
                  <c:v>97500</c:v>
                </c:pt>
                <c:pt idx="196">
                  <c:v>98000</c:v>
                </c:pt>
                <c:pt idx="197">
                  <c:v>98500</c:v>
                </c:pt>
                <c:pt idx="198">
                  <c:v>99000</c:v>
                </c:pt>
                <c:pt idx="199">
                  <c:v>99500</c:v>
                </c:pt>
                <c:pt idx="200">
                  <c:v>100000</c:v>
                </c:pt>
              </c:numCache>
            </c:numRef>
          </c:cat>
          <c:val>
            <c:numRef>
              <c:f>'Use this for graphs'!$E$2:$E$202</c:f>
              <c:numCache>
                <c:formatCode>"$"#,##0_);[Red]\("$"#,##0\)</c:formatCode>
                <c:ptCount val="201"/>
                <c:pt idx="0">
                  <c:v>6552</c:v>
                </c:pt>
                <c:pt idx="1">
                  <c:v>6552</c:v>
                </c:pt>
                <c:pt idx="2">
                  <c:v>6552</c:v>
                </c:pt>
                <c:pt idx="3">
                  <c:v>6552</c:v>
                </c:pt>
                <c:pt idx="4">
                  <c:v>6552</c:v>
                </c:pt>
                <c:pt idx="5">
                  <c:v>6552</c:v>
                </c:pt>
                <c:pt idx="6">
                  <c:v>6552</c:v>
                </c:pt>
                <c:pt idx="7">
                  <c:v>6552</c:v>
                </c:pt>
                <c:pt idx="8">
                  <c:v>6552</c:v>
                </c:pt>
                <c:pt idx="9">
                  <c:v>6552</c:v>
                </c:pt>
                <c:pt idx="10">
                  <c:v>6552</c:v>
                </c:pt>
                <c:pt idx="11">
                  <c:v>6552</c:v>
                </c:pt>
                <c:pt idx="12">
                  <c:v>6552</c:v>
                </c:pt>
                <c:pt idx="13">
                  <c:v>6552</c:v>
                </c:pt>
                <c:pt idx="14">
                  <c:v>6552</c:v>
                </c:pt>
                <c:pt idx="15">
                  <c:v>6552</c:v>
                </c:pt>
                <c:pt idx="16">
                  <c:v>6552</c:v>
                </c:pt>
                <c:pt idx="17">
                  <c:v>6552</c:v>
                </c:pt>
                <c:pt idx="18">
                  <c:v>6552</c:v>
                </c:pt>
                <c:pt idx="19">
                  <c:v>6552</c:v>
                </c:pt>
                <c:pt idx="20">
                  <c:v>6552</c:v>
                </c:pt>
                <c:pt idx="21">
                  <c:v>6552</c:v>
                </c:pt>
                <c:pt idx="22">
                  <c:v>6552</c:v>
                </c:pt>
                <c:pt idx="23">
                  <c:v>6552</c:v>
                </c:pt>
                <c:pt idx="24">
                  <c:v>6420</c:v>
                </c:pt>
                <c:pt idx="25">
                  <c:v>6240</c:v>
                </c:pt>
                <c:pt idx="26">
                  <c:v>6060</c:v>
                </c:pt>
                <c:pt idx="27">
                  <c:v>5880</c:v>
                </c:pt>
                <c:pt idx="28">
                  <c:v>5700</c:v>
                </c:pt>
                <c:pt idx="29">
                  <c:v>5520</c:v>
                </c:pt>
                <c:pt idx="30">
                  <c:v>5340</c:v>
                </c:pt>
                <c:pt idx="31">
                  <c:v>5160</c:v>
                </c:pt>
                <c:pt idx="32">
                  <c:v>4980</c:v>
                </c:pt>
                <c:pt idx="33">
                  <c:v>4800</c:v>
                </c:pt>
                <c:pt idx="34">
                  <c:v>4620</c:v>
                </c:pt>
                <c:pt idx="35">
                  <c:v>4440</c:v>
                </c:pt>
                <c:pt idx="36">
                  <c:v>4260</c:v>
                </c:pt>
                <c:pt idx="37">
                  <c:v>4080</c:v>
                </c:pt>
                <c:pt idx="38">
                  <c:v>3900</c:v>
                </c:pt>
                <c:pt idx="39">
                  <c:v>3720</c:v>
                </c:pt>
                <c:pt idx="40">
                  <c:v>3540</c:v>
                </c:pt>
                <c:pt idx="41">
                  <c:v>3360</c:v>
                </c:pt>
                <c:pt idx="42">
                  <c:v>3180</c:v>
                </c:pt>
                <c:pt idx="43">
                  <c:v>3000</c:v>
                </c:pt>
                <c:pt idx="44">
                  <c:v>2820</c:v>
                </c:pt>
                <c:pt idx="45">
                  <c:v>2640</c:v>
                </c:pt>
                <c:pt idx="46">
                  <c:v>2460</c:v>
                </c:pt>
                <c:pt idx="47">
                  <c:v>2280</c:v>
                </c:pt>
                <c:pt idx="48">
                  <c:v>2100</c:v>
                </c:pt>
                <c:pt idx="49">
                  <c:v>1920</c:v>
                </c:pt>
                <c:pt idx="50">
                  <c:v>1740</c:v>
                </c:pt>
                <c:pt idx="51">
                  <c:v>1560</c:v>
                </c:pt>
                <c:pt idx="52">
                  <c:v>1380</c:v>
                </c:pt>
                <c:pt idx="53">
                  <c:v>1200</c:v>
                </c:pt>
                <c:pt idx="54">
                  <c:v>1020</c:v>
                </c:pt>
                <c:pt idx="55">
                  <c:v>840</c:v>
                </c:pt>
                <c:pt idx="56">
                  <c:v>660</c:v>
                </c:pt>
                <c:pt idx="57">
                  <c:v>480</c:v>
                </c:pt>
                <c:pt idx="58">
                  <c:v>300</c:v>
                </c:pt>
                <c:pt idx="59">
                  <c:v>120</c:v>
                </c:pt>
                <c:pt idx="60">
                  <c:v>0</c:v>
                </c:pt>
                <c:pt idx="61">
                  <c:v>0</c:v>
                </c:pt>
                <c:pt idx="62">
                  <c:v>0</c:v>
                </c:pt>
                <c:pt idx="63">
                  <c:v>0</c:v>
                </c:pt>
                <c:pt idx="64">
                  <c:v>0</c:v>
                </c:pt>
                <c:pt idx="65">
                  <c:v>0</c:v>
                </c:pt>
                <c:pt idx="66">
                  <c:v>0</c:v>
                </c:pt>
                <c:pt idx="67">
                  <c:v>0</c:v>
                </c:pt>
                <c:pt idx="68">
                  <c:v>0</c:v>
                </c:pt>
                <c:pt idx="69">
                  <c:v>0</c:v>
                </c:pt>
                <c:pt idx="70">
                  <c:v>0</c:v>
                </c:pt>
                <c:pt idx="71">
                  <c:v>0</c:v>
                </c:pt>
                <c:pt idx="72">
                  <c:v>0</c:v>
                </c:pt>
                <c:pt idx="73">
                  <c:v>0</c:v>
                </c:pt>
                <c:pt idx="74">
                  <c:v>0</c:v>
                </c:pt>
                <c:pt idx="75">
                  <c:v>0</c:v>
                </c:pt>
                <c:pt idx="76">
                  <c:v>0</c:v>
                </c:pt>
                <c:pt idx="77">
                  <c:v>0</c:v>
                </c:pt>
                <c:pt idx="78">
                  <c:v>0</c:v>
                </c:pt>
                <c:pt idx="79">
                  <c:v>0</c:v>
                </c:pt>
                <c:pt idx="80">
                  <c:v>0</c:v>
                </c:pt>
                <c:pt idx="81">
                  <c:v>0</c:v>
                </c:pt>
                <c:pt idx="82">
                  <c:v>0</c:v>
                </c:pt>
                <c:pt idx="83">
                  <c:v>0</c:v>
                </c:pt>
                <c:pt idx="84">
                  <c:v>0</c:v>
                </c:pt>
                <c:pt idx="85">
                  <c:v>0</c:v>
                </c:pt>
                <c:pt idx="86">
                  <c:v>0</c:v>
                </c:pt>
                <c:pt idx="87">
                  <c:v>0</c:v>
                </c:pt>
                <c:pt idx="88">
                  <c:v>0</c:v>
                </c:pt>
                <c:pt idx="89">
                  <c:v>0</c:v>
                </c:pt>
                <c:pt idx="90">
                  <c:v>0</c:v>
                </c:pt>
                <c:pt idx="91">
                  <c:v>0</c:v>
                </c:pt>
                <c:pt idx="92">
                  <c:v>0</c:v>
                </c:pt>
                <c:pt idx="93">
                  <c:v>0</c:v>
                </c:pt>
                <c:pt idx="94">
                  <c:v>0</c:v>
                </c:pt>
                <c:pt idx="95">
                  <c:v>0</c:v>
                </c:pt>
                <c:pt idx="96">
                  <c:v>0</c:v>
                </c:pt>
                <c:pt idx="97">
                  <c:v>0</c:v>
                </c:pt>
                <c:pt idx="98">
                  <c:v>0</c:v>
                </c:pt>
                <c:pt idx="99">
                  <c:v>0</c:v>
                </c:pt>
                <c:pt idx="100">
                  <c:v>0</c:v>
                </c:pt>
                <c:pt idx="101">
                  <c:v>0</c:v>
                </c:pt>
                <c:pt idx="102">
                  <c:v>0</c:v>
                </c:pt>
                <c:pt idx="103">
                  <c:v>0</c:v>
                </c:pt>
                <c:pt idx="104">
                  <c:v>0</c:v>
                </c:pt>
                <c:pt idx="105">
                  <c:v>0</c:v>
                </c:pt>
                <c:pt idx="106">
                  <c:v>0</c:v>
                </c:pt>
                <c:pt idx="107">
                  <c:v>0</c:v>
                </c:pt>
                <c:pt idx="108">
                  <c:v>0</c:v>
                </c:pt>
                <c:pt idx="109">
                  <c:v>0</c:v>
                </c:pt>
                <c:pt idx="110">
                  <c:v>0</c:v>
                </c:pt>
                <c:pt idx="111">
                  <c:v>0</c:v>
                </c:pt>
                <c:pt idx="112">
                  <c:v>0</c:v>
                </c:pt>
                <c:pt idx="113">
                  <c:v>0</c:v>
                </c:pt>
                <c:pt idx="114">
                  <c:v>0</c:v>
                </c:pt>
                <c:pt idx="115">
                  <c:v>0</c:v>
                </c:pt>
                <c:pt idx="116">
                  <c:v>0</c:v>
                </c:pt>
                <c:pt idx="117">
                  <c:v>0</c:v>
                </c:pt>
                <c:pt idx="118">
                  <c:v>0</c:v>
                </c:pt>
                <c:pt idx="119">
                  <c:v>0</c:v>
                </c:pt>
                <c:pt idx="120">
                  <c:v>0</c:v>
                </c:pt>
                <c:pt idx="121">
                  <c:v>0</c:v>
                </c:pt>
                <c:pt idx="122">
                  <c:v>0</c:v>
                </c:pt>
                <c:pt idx="123">
                  <c:v>0</c:v>
                </c:pt>
                <c:pt idx="124">
                  <c:v>0</c:v>
                </c:pt>
                <c:pt idx="125">
                  <c:v>0</c:v>
                </c:pt>
                <c:pt idx="126">
                  <c:v>0</c:v>
                </c:pt>
                <c:pt idx="127">
                  <c:v>0</c:v>
                </c:pt>
                <c:pt idx="128">
                  <c:v>0</c:v>
                </c:pt>
                <c:pt idx="129">
                  <c:v>0</c:v>
                </c:pt>
                <c:pt idx="130">
                  <c:v>0</c:v>
                </c:pt>
                <c:pt idx="131">
                  <c:v>0</c:v>
                </c:pt>
                <c:pt idx="132">
                  <c:v>0</c:v>
                </c:pt>
                <c:pt idx="133">
                  <c:v>0</c:v>
                </c:pt>
                <c:pt idx="134">
                  <c:v>0</c:v>
                </c:pt>
                <c:pt idx="135">
                  <c:v>0</c:v>
                </c:pt>
                <c:pt idx="136">
                  <c:v>0</c:v>
                </c:pt>
                <c:pt idx="137">
                  <c:v>0</c:v>
                </c:pt>
                <c:pt idx="138">
                  <c:v>0</c:v>
                </c:pt>
                <c:pt idx="139">
                  <c:v>0</c:v>
                </c:pt>
                <c:pt idx="140">
                  <c:v>0</c:v>
                </c:pt>
                <c:pt idx="141">
                  <c:v>0</c:v>
                </c:pt>
                <c:pt idx="142">
                  <c:v>0</c:v>
                </c:pt>
                <c:pt idx="143">
                  <c:v>0</c:v>
                </c:pt>
                <c:pt idx="144">
                  <c:v>0</c:v>
                </c:pt>
                <c:pt idx="145">
                  <c:v>0</c:v>
                </c:pt>
                <c:pt idx="146">
                  <c:v>0</c:v>
                </c:pt>
                <c:pt idx="147">
                  <c:v>0</c:v>
                </c:pt>
                <c:pt idx="148">
                  <c:v>0</c:v>
                </c:pt>
                <c:pt idx="149">
                  <c:v>0</c:v>
                </c:pt>
                <c:pt idx="150">
                  <c:v>0</c:v>
                </c:pt>
                <c:pt idx="151">
                  <c:v>0</c:v>
                </c:pt>
                <c:pt idx="152">
                  <c:v>0</c:v>
                </c:pt>
                <c:pt idx="153">
                  <c:v>0</c:v>
                </c:pt>
                <c:pt idx="154">
                  <c:v>0</c:v>
                </c:pt>
                <c:pt idx="155">
                  <c:v>0</c:v>
                </c:pt>
                <c:pt idx="156">
                  <c:v>0</c:v>
                </c:pt>
                <c:pt idx="157">
                  <c:v>0</c:v>
                </c:pt>
                <c:pt idx="158">
                  <c:v>0</c:v>
                </c:pt>
                <c:pt idx="159">
                  <c:v>0</c:v>
                </c:pt>
                <c:pt idx="160">
                  <c:v>0</c:v>
                </c:pt>
                <c:pt idx="161">
                  <c:v>0</c:v>
                </c:pt>
                <c:pt idx="162">
                  <c:v>0</c:v>
                </c:pt>
                <c:pt idx="163">
                  <c:v>0</c:v>
                </c:pt>
                <c:pt idx="164">
                  <c:v>0</c:v>
                </c:pt>
                <c:pt idx="165">
                  <c:v>0</c:v>
                </c:pt>
                <c:pt idx="166">
                  <c:v>0</c:v>
                </c:pt>
                <c:pt idx="167">
                  <c:v>0</c:v>
                </c:pt>
                <c:pt idx="168">
                  <c:v>0</c:v>
                </c:pt>
                <c:pt idx="169">
                  <c:v>0</c:v>
                </c:pt>
                <c:pt idx="170">
                  <c:v>0</c:v>
                </c:pt>
                <c:pt idx="171">
                  <c:v>0</c:v>
                </c:pt>
                <c:pt idx="172">
                  <c:v>0</c:v>
                </c:pt>
                <c:pt idx="173">
                  <c:v>0</c:v>
                </c:pt>
                <c:pt idx="174">
                  <c:v>0</c:v>
                </c:pt>
                <c:pt idx="175">
                  <c:v>0</c:v>
                </c:pt>
                <c:pt idx="176">
                  <c:v>0</c:v>
                </c:pt>
                <c:pt idx="177">
                  <c:v>0</c:v>
                </c:pt>
                <c:pt idx="178">
                  <c:v>0</c:v>
                </c:pt>
                <c:pt idx="179">
                  <c:v>0</c:v>
                </c:pt>
                <c:pt idx="180">
                  <c:v>0</c:v>
                </c:pt>
                <c:pt idx="181">
                  <c:v>0</c:v>
                </c:pt>
                <c:pt idx="182">
                  <c:v>0</c:v>
                </c:pt>
                <c:pt idx="183">
                  <c:v>0</c:v>
                </c:pt>
                <c:pt idx="184">
                  <c:v>0</c:v>
                </c:pt>
                <c:pt idx="185">
                  <c:v>0</c:v>
                </c:pt>
                <c:pt idx="186">
                  <c:v>0</c:v>
                </c:pt>
                <c:pt idx="187">
                  <c:v>0</c:v>
                </c:pt>
                <c:pt idx="188">
                  <c:v>0</c:v>
                </c:pt>
                <c:pt idx="189">
                  <c:v>0</c:v>
                </c:pt>
                <c:pt idx="190">
                  <c:v>0</c:v>
                </c:pt>
                <c:pt idx="191">
                  <c:v>0</c:v>
                </c:pt>
                <c:pt idx="192">
                  <c:v>0</c:v>
                </c:pt>
                <c:pt idx="193">
                  <c:v>0</c:v>
                </c:pt>
                <c:pt idx="194">
                  <c:v>0</c:v>
                </c:pt>
                <c:pt idx="195">
                  <c:v>0</c:v>
                </c:pt>
                <c:pt idx="196">
                  <c:v>0</c:v>
                </c:pt>
                <c:pt idx="197">
                  <c:v>0</c:v>
                </c:pt>
                <c:pt idx="198">
                  <c:v>0</c:v>
                </c:pt>
                <c:pt idx="199">
                  <c:v>0</c:v>
                </c:pt>
                <c:pt idx="200">
                  <c:v>0</c:v>
                </c:pt>
              </c:numCache>
            </c:numRef>
          </c:val>
          <c:extLst>
            <c:ext xmlns:c16="http://schemas.microsoft.com/office/drawing/2014/chart" uri="{C3380CC4-5D6E-409C-BE32-E72D297353CC}">
              <c16:uniqueId val="{00000002-2313-4AA3-8472-5B3EC23DBAE5}"/>
            </c:ext>
          </c:extLst>
        </c:ser>
        <c:ser>
          <c:idx val="9"/>
          <c:order val="5"/>
          <c:tx>
            <c:strRef>
              <c:f>'Use this for graphs'!$F$1</c:f>
              <c:strCache>
                <c:ptCount val="1"/>
                <c:pt idx="0">
                  <c:v>Annual WIC Benefit</c:v>
                </c:pt>
              </c:strCache>
            </c:strRef>
          </c:tx>
          <c:spPr>
            <a:solidFill>
              <a:schemeClr val="accent4">
                <a:lumMod val="60000"/>
              </a:schemeClr>
            </a:solidFill>
            <a:ln>
              <a:noFill/>
            </a:ln>
            <a:effectLst/>
          </c:spPr>
          <c:cat>
            <c:numRef>
              <c:f>'Use this for graphs'!$A$2:$A$202</c:f>
              <c:numCache>
                <c:formatCode>"$"#,##0</c:formatCode>
                <c:ptCount val="201"/>
                <c:pt idx="0">
                  <c:v>0</c:v>
                </c:pt>
                <c:pt idx="1">
                  <c:v>500</c:v>
                </c:pt>
                <c:pt idx="2">
                  <c:v>1000</c:v>
                </c:pt>
                <c:pt idx="3">
                  <c:v>1500</c:v>
                </c:pt>
                <c:pt idx="4">
                  <c:v>2000</c:v>
                </c:pt>
                <c:pt idx="5">
                  <c:v>2500</c:v>
                </c:pt>
                <c:pt idx="6">
                  <c:v>3000</c:v>
                </c:pt>
                <c:pt idx="7">
                  <c:v>3500</c:v>
                </c:pt>
                <c:pt idx="8">
                  <c:v>4000</c:v>
                </c:pt>
                <c:pt idx="9">
                  <c:v>4500</c:v>
                </c:pt>
                <c:pt idx="10">
                  <c:v>5000</c:v>
                </c:pt>
                <c:pt idx="11">
                  <c:v>5500</c:v>
                </c:pt>
                <c:pt idx="12">
                  <c:v>6000</c:v>
                </c:pt>
                <c:pt idx="13">
                  <c:v>6500</c:v>
                </c:pt>
                <c:pt idx="14">
                  <c:v>7000</c:v>
                </c:pt>
                <c:pt idx="15">
                  <c:v>7500</c:v>
                </c:pt>
                <c:pt idx="16">
                  <c:v>8000</c:v>
                </c:pt>
                <c:pt idx="17">
                  <c:v>8500</c:v>
                </c:pt>
                <c:pt idx="18">
                  <c:v>9000</c:v>
                </c:pt>
                <c:pt idx="19">
                  <c:v>9500</c:v>
                </c:pt>
                <c:pt idx="20">
                  <c:v>10000</c:v>
                </c:pt>
                <c:pt idx="21">
                  <c:v>10500</c:v>
                </c:pt>
                <c:pt idx="22">
                  <c:v>11000</c:v>
                </c:pt>
                <c:pt idx="23">
                  <c:v>11500</c:v>
                </c:pt>
                <c:pt idx="24">
                  <c:v>12000</c:v>
                </c:pt>
                <c:pt idx="25">
                  <c:v>12500</c:v>
                </c:pt>
                <c:pt idx="26">
                  <c:v>13000</c:v>
                </c:pt>
                <c:pt idx="27">
                  <c:v>13500</c:v>
                </c:pt>
                <c:pt idx="28">
                  <c:v>14000</c:v>
                </c:pt>
                <c:pt idx="29">
                  <c:v>14500</c:v>
                </c:pt>
                <c:pt idx="30">
                  <c:v>15000</c:v>
                </c:pt>
                <c:pt idx="31">
                  <c:v>15500</c:v>
                </c:pt>
                <c:pt idx="32">
                  <c:v>16000</c:v>
                </c:pt>
                <c:pt idx="33">
                  <c:v>16500</c:v>
                </c:pt>
                <c:pt idx="34">
                  <c:v>17000</c:v>
                </c:pt>
                <c:pt idx="35">
                  <c:v>17500</c:v>
                </c:pt>
                <c:pt idx="36">
                  <c:v>18000</c:v>
                </c:pt>
                <c:pt idx="37">
                  <c:v>18500</c:v>
                </c:pt>
                <c:pt idx="38">
                  <c:v>19000</c:v>
                </c:pt>
                <c:pt idx="39">
                  <c:v>19500</c:v>
                </c:pt>
                <c:pt idx="40">
                  <c:v>20000</c:v>
                </c:pt>
                <c:pt idx="41">
                  <c:v>20500</c:v>
                </c:pt>
                <c:pt idx="42">
                  <c:v>21000</c:v>
                </c:pt>
                <c:pt idx="43">
                  <c:v>21500</c:v>
                </c:pt>
                <c:pt idx="44">
                  <c:v>22000</c:v>
                </c:pt>
                <c:pt idx="45">
                  <c:v>22500</c:v>
                </c:pt>
                <c:pt idx="46">
                  <c:v>23000</c:v>
                </c:pt>
                <c:pt idx="47">
                  <c:v>23500</c:v>
                </c:pt>
                <c:pt idx="48">
                  <c:v>24000</c:v>
                </c:pt>
                <c:pt idx="49">
                  <c:v>24500</c:v>
                </c:pt>
                <c:pt idx="50">
                  <c:v>25000</c:v>
                </c:pt>
                <c:pt idx="51">
                  <c:v>25500</c:v>
                </c:pt>
                <c:pt idx="52">
                  <c:v>26000</c:v>
                </c:pt>
                <c:pt idx="53">
                  <c:v>26500</c:v>
                </c:pt>
                <c:pt idx="54">
                  <c:v>27000</c:v>
                </c:pt>
                <c:pt idx="55">
                  <c:v>27500</c:v>
                </c:pt>
                <c:pt idx="56">
                  <c:v>28000</c:v>
                </c:pt>
                <c:pt idx="57">
                  <c:v>28500</c:v>
                </c:pt>
                <c:pt idx="58">
                  <c:v>29000</c:v>
                </c:pt>
                <c:pt idx="59">
                  <c:v>29500</c:v>
                </c:pt>
                <c:pt idx="60">
                  <c:v>30000</c:v>
                </c:pt>
                <c:pt idx="61">
                  <c:v>30500</c:v>
                </c:pt>
                <c:pt idx="62">
                  <c:v>31000</c:v>
                </c:pt>
                <c:pt idx="63">
                  <c:v>31500</c:v>
                </c:pt>
                <c:pt idx="64">
                  <c:v>32000</c:v>
                </c:pt>
                <c:pt idx="65">
                  <c:v>32500</c:v>
                </c:pt>
                <c:pt idx="66">
                  <c:v>33000</c:v>
                </c:pt>
                <c:pt idx="67">
                  <c:v>33500</c:v>
                </c:pt>
                <c:pt idx="68">
                  <c:v>34000</c:v>
                </c:pt>
                <c:pt idx="69">
                  <c:v>34500</c:v>
                </c:pt>
                <c:pt idx="70">
                  <c:v>35000</c:v>
                </c:pt>
                <c:pt idx="71">
                  <c:v>35500</c:v>
                </c:pt>
                <c:pt idx="72">
                  <c:v>36000</c:v>
                </c:pt>
                <c:pt idx="73">
                  <c:v>36500</c:v>
                </c:pt>
                <c:pt idx="74">
                  <c:v>37000</c:v>
                </c:pt>
                <c:pt idx="75">
                  <c:v>37500</c:v>
                </c:pt>
                <c:pt idx="76">
                  <c:v>38000</c:v>
                </c:pt>
                <c:pt idx="77">
                  <c:v>38500</c:v>
                </c:pt>
                <c:pt idx="78">
                  <c:v>39000</c:v>
                </c:pt>
                <c:pt idx="79">
                  <c:v>39500</c:v>
                </c:pt>
                <c:pt idx="80">
                  <c:v>40000</c:v>
                </c:pt>
                <c:pt idx="81">
                  <c:v>40500</c:v>
                </c:pt>
                <c:pt idx="82">
                  <c:v>41000</c:v>
                </c:pt>
                <c:pt idx="83">
                  <c:v>41500</c:v>
                </c:pt>
                <c:pt idx="84">
                  <c:v>42000</c:v>
                </c:pt>
                <c:pt idx="85">
                  <c:v>42500</c:v>
                </c:pt>
                <c:pt idx="86">
                  <c:v>43000</c:v>
                </c:pt>
                <c:pt idx="87">
                  <c:v>43500</c:v>
                </c:pt>
                <c:pt idx="88">
                  <c:v>44000</c:v>
                </c:pt>
                <c:pt idx="89">
                  <c:v>44500</c:v>
                </c:pt>
                <c:pt idx="90">
                  <c:v>45000</c:v>
                </c:pt>
                <c:pt idx="91">
                  <c:v>45500</c:v>
                </c:pt>
                <c:pt idx="92">
                  <c:v>46000</c:v>
                </c:pt>
                <c:pt idx="93">
                  <c:v>46500</c:v>
                </c:pt>
                <c:pt idx="94">
                  <c:v>47000</c:v>
                </c:pt>
                <c:pt idx="95">
                  <c:v>47500</c:v>
                </c:pt>
                <c:pt idx="96">
                  <c:v>48000</c:v>
                </c:pt>
                <c:pt idx="97">
                  <c:v>48500</c:v>
                </c:pt>
                <c:pt idx="98">
                  <c:v>49000</c:v>
                </c:pt>
                <c:pt idx="99">
                  <c:v>49500</c:v>
                </c:pt>
                <c:pt idx="100">
                  <c:v>50000</c:v>
                </c:pt>
                <c:pt idx="101">
                  <c:v>50500</c:v>
                </c:pt>
                <c:pt idx="102">
                  <c:v>51000</c:v>
                </c:pt>
                <c:pt idx="103">
                  <c:v>51500</c:v>
                </c:pt>
                <c:pt idx="104">
                  <c:v>52000</c:v>
                </c:pt>
                <c:pt idx="105">
                  <c:v>52500</c:v>
                </c:pt>
                <c:pt idx="106">
                  <c:v>53000</c:v>
                </c:pt>
                <c:pt idx="107">
                  <c:v>53500</c:v>
                </c:pt>
                <c:pt idx="108">
                  <c:v>54000</c:v>
                </c:pt>
                <c:pt idx="109">
                  <c:v>54500</c:v>
                </c:pt>
                <c:pt idx="110">
                  <c:v>55000</c:v>
                </c:pt>
                <c:pt idx="111">
                  <c:v>55500</c:v>
                </c:pt>
                <c:pt idx="112">
                  <c:v>56000</c:v>
                </c:pt>
                <c:pt idx="113">
                  <c:v>56500</c:v>
                </c:pt>
                <c:pt idx="114">
                  <c:v>57000</c:v>
                </c:pt>
                <c:pt idx="115">
                  <c:v>57500</c:v>
                </c:pt>
                <c:pt idx="116">
                  <c:v>58000</c:v>
                </c:pt>
                <c:pt idx="117">
                  <c:v>58500</c:v>
                </c:pt>
                <c:pt idx="118">
                  <c:v>59000</c:v>
                </c:pt>
                <c:pt idx="119">
                  <c:v>59500</c:v>
                </c:pt>
                <c:pt idx="120">
                  <c:v>60000</c:v>
                </c:pt>
                <c:pt idx="121">
                  <c:v>60500</c:v>
                </c:pt>
                <c:pt idx="122">
                  <c:v>61000</c:v>
                </c:pt>
                <c:pt idx="123">
                  <c:v>61500</c:v>
                </c:pt>
                <c:pt idx="124">
                  <c:v>62000</c:v>
                </c:pt>
                <c:pt idx="125">
                  <c:v>62500</c:v>
                </c:pt>
                <c:pt idx="126">
                  <c:v>63000</c:v>
                </c:pt>
                <c:pt idx="127">
                  <c:v>63500</c:v>
                </c:pt>
                <c:pt idx="128">
                  <c:v>64000</c:v>
                </c:pt>
                <c:pt idx="129">
                  <c:v>64500</c:v>
                </c:pt>
                <c:pt idx="130">
                  <c:v>65000</c:v>
                </c:pt>
                <c:pt idx="131">
                  <c:v>65500</c:v>
                </c:pt>
                <c:pt idx="132">
                  <c:v>66000</c:v>
                </c:pt>
                <c:pt idx="133">
                  <c:v>66500</c:v>
                </c:pt>
                <c:pt idx="134">
                  <c:v>67000</c:v>
                </c:pt>
                <c:pt idx="135">
                  <c:v>67500</c:v>
                </c:pt>
                <c:pt idx="136">
                  <c:v>68000</c:v>
                </c:pt>
                <c:pt idx="137">
                  <c:v>68500</c:v>
                </c:pt>
                <c:pt idx="138">
                  <c:v>69000</c:v>
                </c:pt>
                <c:pt idx="139">
                  <c:v>69500</c:v>
                </c:pt>
                <c:pt idx="140">
                  <c:v>70000</c:v>
                </c:pt>
                <c:pt idx="141">
                  <c:v>70500</c:v>
                </c:pt>
                <c:pt idx="142">
                  <c:v>71000</c:v>
                </c:pt>
                <c:pt idx="143">
                  <c:v>71500</c:v>
                </c:pt>
                <c:pt idx="144">
                  <c:v>72000</c:v>
                </c:pt>
                <c:pt idx="145">
                  <c:v>72500</c:v>
                </c:pt>
                <c:pt idx="146">
                  <c:v>73000</c:v>
                </c:pt>
                <c:pt idx="147">
                  <c:v>73500</c:v>
                </c:pt>
                <c:pt idx="148">
                  <c:v>74000</c:v>
                </c:pt>
                <c:pt idx="149">
                  <c:v>74500</c:v>
                </c:pt>
                <c:pt idx="150">
                  <c:v>75000</c:v>
                </c:pt>
                <c:pt idx="151">
                  <c:v>75500</c:v>
                </c:pt>
                <c:pt idx="152">
                  <c:v>76000</c:v>
                </c:pt>
                <c:pt idx="153">
                  <c:v>76500</c:v>
                </c:pt>
                <c:pt idx="154">
                  <c:v>77000</c:v>
                </c:pt>
                <c:pt idx="155">
                  <c:v>77500</c:v>
                </c:pt>
                <c:pt idx="156">
                  <c:v>78000</c:v>
                </c:pt>
                <c:pt idx="157">
                  <c:v>78500</c:v>
                </c:pt>
                <c:pt idx="158">
                  <c:v>79000</c:v>
                </c:pt>
                <c:pt idx="159">
                  <c:v>79500</c:v>
                </c:pt>
                <c:pt idx="160">
                  <c:v>80000</c:v>
                </c:pt>
                <c:pt idx="161">
                  <c:v>80500</c:v>
                </c:pt>
                <c:pt idx="162">
                  <c:v>81000</c:v>
                </c:pt>
                <c:pt idx="163">
                  <c:v>81500</c:v>
                </c:pt>
                <c:pt idx="164">
                  <c:v>82000</c:v>
                </c:pt>
                <c:pt idx="165">
                  <c:v>82500</c:v>
                </c:pt>
                <c:pt idx="166">
                  <c:v>83000</c:v>
                </c:pt>
                <c:pt idx="167">
                  <c:v>83500</c:v>
                </c:pt>
                <c:pt idx="168">
                  <c:v>84000</c:v>
                </c:pt>
                <c:pt idx="169">
                  <c:v>84500</c:v>
                </c:pt>
                <c:pt idx="170">
                  <c:v>85000</c:v>
                </c:pt>
                <c:pt idx="171">
                  <c:v>85500</c:v>
                </c:pt>
                <c:pt idx="172">
                  <c:v>86000</c:v>
                </c:pt>
                <c:pt idx="173">
                  <c:v>86500</c:v>
                </c:pt>
                <c:pt idx="174">
                  <c:v>87000</c:v>
                </c:pt>
                <c:pt idx="175">
                  <c:v>87500</c:v>
                </c:pt>
                <c:pt idx="176">
                  <c:v>88000</c:v>
                </c:pt>
                <c:pt idx="177">
                  <c:v>88500</c:v>
                </c:pt>
                <c:pt idx="178">
                  <c:v>89000</c:v>
                </c:pt>
                <c:pt idx="179">
                  <c:v>89500</c:v>
                </c:pt>
                <c:pt idx="180">
                  <c:v>90000</c:v>
                </c:pt>
                <c:pt idx="181">
                  <c:v>90500</c:v>
                </c:pt>
                <c:pt idx="182">
                  <c:v>91000</c:v>
                </c:pt>
                <c:pt idx="183">
                  <c:v>91500</c:v>
                </c:pt>
                <c:pt idx="184">
                  <c:v>92000</c:v>
                </c:pt>
                <c:pt idx="185">
                  <c:v>92500</c:v>
                </c:pt>
                <c:pt idx="186">
                  <c:v>93000</c:v>
                </c:pt>
                <c:pt idx="187">
                  <c:v>93500</c:v>
                </c:pt>
                <c:pt idx="188">
                  <c:v>94000</c:v>
                </c:pt>
                <c:pt idx="189">
                  <c:v>94500</c:v>
                </c:pt>
                <c:pt idx="190">
                  <c:v>95000</c:v>
                </c:pt>
                <c:pt idx="191">
                  <c:v>95500</c:v>
                </c:pt>
                <c:pt idx="192">
                  <c:v>96000</c:v>
                </c:pt>
                <c:pt idx="193">
                  <c:v>96500</c:v>
                </c:pt>
                <c:pt idx="194">
                  <c:v>97000</c:v>
                </c:pt>
                <c:pt idx="195">
                  <c:v>97500</c:v>
                </c:pt>
                <c:pt idx="196">
                  <c:v>98000</c:v>
                </c:pt>
                <c:pt idx="197">
                  <c:v>98500</c:v>
                </c:pt>
                <c:pt idx="198">
                  <c:v>99000</c:v>
                </c:pt>
                <c:pt idx="199">
                  <c:v>99500</c:v>
                </c:pt>
                <c:pt idx="200">
                  <c:v>100000</c:v>
                </c:pt>
              </c:numCache>
            </c:numRef>
          </c:cat>
          <c:val>
            <c:numRef>
              <c:f>'Use this for graphs'!$F$2:$F$202</c:f>
              <c:numCache>
                <c:formatCode>"$"#,##0.00</c:formatCode>
                <c:ptCount val="201"/>
                <c:pt idx="0">
                  <c:v>0</c:v>
                </c:pt>
                <c:pt idx="1">
                  <c:v>0</c:v>
                </c:pt>
                <c:pt idx="2">
                  <c:v>0</c:v>
                </c:pt>
                <c:pt idx="3">
                  <c:v>0</c:v>
                </c:pt>
                <c:pt idx="4">
                  <c:v>0</c:v>
                </c:pt>
                <c:pt idx="5">
                  <c:v>0</c:v>
                </c:pt>
                <c:pt idx="6">
                  <c:v>0</c:v>
                </c:pt>
                <c:pt idx="7">
                  <c:v>0</c:v>
                </c:pt>
                <c:pt idx="8">
                  <c:v>0</c:v>
                </c:pt>
                <c:pt idx="9">
                  <c:v>0</c:v>
                </c:pt>
                <c:pt idx="10">
                  <c:v>0</c:v>
                </c:pt>
                <c:pt idx="11">
                  <c:v>0</c:v>
                </c:pt>
                <c:pt idx="12">
                  <c:v>0</c:v>
                </c:pt>
                <c:pt idx="13">
                  <c:v>0</c:v>
                </c:pt>
                <c:pt idx="14">
                  <c:v>0</c:v>
                </c:pt>
                <c:pt idx="15">
                  <c:v>0</c:v>
                </c:pt>
                <c:pt idx="16">
                  <c:v>0</c:v>
                </c:pt>
                <c:pt idx="17">
                  <c:v>0</c:v>
                </c:pt>
                <c:pt idx="18">
                  <c:v>0</c:v>
                </c:pt>
                <c:pt idx="19">
                  <c:v>0</c:v>
                </c:pt>
                <c:pt idx="20">
                  <c:v>0</c:v>
                </c:pt>
                <c:pt idx="21">
                  <c:v>0</c:v>
                </c:pt>
                <c:pt idx="22">
                  <c:v>0</c:v>
                </c:pt>
                <c:pt idx="23">
                  <c:v>0</c:v>
                </c:pt>
                <c:pt idx="24">
                  <c:v>0</c:v>
                </c:pt>
                <c:pt idx="25">
                  <c:v>0</c:v>
                </c:pt>
                <c:pt idx="26">
                  <c:v>0</c:v>
                </c:pt>
                <c:pt idx="27">
                  <c:v>0</c:v>
                </c:pt>
                <c:pt idx="28">
                  <c:v>0</c:v>
                </c:pt>
                <c:pt idx="29">
                  <c:v>0</c:v>
                </c:pt>
                <c:pt idx="30">
                  <c:v>0</c:v>
                </c:pt>
                <c:pt idx="31">
                  <c:v>0</c:v>
                </c:pt>
                <c:pt idx="32">
                  <c:v>0</c:v>
                </c:pt>
                <c:pt idx="33">
                  <c:v>0</c:v>
                </c:pt>
                <c:pt idx="34">
                  <c:v>0</c:v>
                </c:pt>
                <c:pt idx="35">
                  <c:v>0</c:v>
                </c:pt>
                <c:pt idx="36">
                  <c:v>0</c:v>
                </c:pt>
                <c:pt idx="37">
                  <c:v>0</c:v>
                </c:pt>
                <c:pt idx="38">
                  <c:v>0</c:v>
                </c:pt>
                <c:pt idx="39">
                  <c:v>0</c:v>
                </c:pt>
                <c:pt idx="40">
                  <c:v>0</c:v>
                </c:pt>
                <c:pt idx="41">
                  <c:v>0</c:v>
                </c:pt>
                <c:pt idx="42">
                  <c:v>0</c:v>
                </c:pt>
                <c:pt idx="43">
                  <c:v>0</c:v>
                </c:pt>
                <c:pt idx="44">
                  <c:v>0</c:v>
                </c:pt>
                <c:pt idx="45">
                  <c:v>0</c:v>
                </c:pt>
                <c:pt idx="46">
                  <c:v>0</c:v>
                </c:pt>
                <c:pt idx="47">
                  <c:v>0</c:v>
                </c:pt>
                <c:pt idx="48">
                  <c:v>0</c:v>
                </c:pt>
                <c:pt idx="49">
                  <c:v>0</c:v>
                </c:pt>
                <c:pt idx="50">
                  <c:v>0</c:v>
                </c:pt>
                <c:pt idx="51">
                  <c:v>0</c:v>
                </c:pt>
                <c:pt idx="52">
                  <c:v>0</c:v>
                </c:pt>
                <c:pt idx="53">
                  <c:v>0</c:v>
                </c:pt>
                <c:pt idx="54">
                  <c:v>0</c:v>
                </c:pt>
                <c:pt idx="55">
                  <c:v>0</c:v>
                </c:pt>
                <c:pt idx="56">
                  <c:v>0</c:v>
                </c:pt>
                <c:pt idx="57">
                  <c:v>0</c:v>
                </c:pt>
                <c:pt idx="58">
                  <c:v>0</c:v>
                </c:pt>
                <c:pt idx="59">
                  <c:v>0</c:v>
                </c:pt>
                <c:pt idx="60">
                  <c:v>0</c:v>
                </c:pt>
                <c:pt idx="61">
                  <c:v>0</c:v>
                </c:pt>
                <c:pt idx="62">
                  <c:v>0</c:v>
                </c:pt>
                <c:pt idx="63">
                  <c:v>0</c:v>
                </c:pt>
                <c:pt idx="64">
                  <c:v>0</c:v>
                </c:pt>
                <c:pt idx="65">
                  <c:v>0</c:v>
                </c:pt>
                <c:pt idx="66">
                  <c:v>0</c:v>
                </c:pt>
                <c:pt idx="67">
                  <c:v>0</c:v>
                </c:pt>
                <c:pt idx="68">
                  <c:v>0</c:v>
                </c:pt>
                <c:pt idx="69">
                  <c:v>0</c:v>
                </c:pt>
                <c:pt idx="70">
                  <c:v>0</c:v>
                </c:pt>
                <c:pt idx="71">
                  <c:v>0</c:v>
                </c:pt>
                <c:pt idx="72">
                  <c:v>0</c:v>
                </c:pt>
                <c:pt idx="73">
                  <c:v>0</c:v>
                </c:pt>
                <c:pt idx="74">
                  <c:v>0</c:v>
                </c:pt>
                <c:pt idx="75">
                  <c:v>0</c:v>
                </c:pt>
                <c:pt idx="76">
                  <c:v>0</c:v>
                </c:pt>
                <c:pt idx="77">
                  <c:v>0</c:v>
                </c:pt>
                <c:pt idx="78">
                  <c:v>0</c:v>
                </c:pt>
                <c:pt idx="79">
                  <c:v>0</c:v>
                </c:pt>
                <c:pt idx="80">
                  <c:v>0</c:v>
                </c:pt>
                <c:pt idx="81">
                  <c:v>0</c:v>
                </c:pt>
                <c:pt idx="82">
                  <c:v>0</c:v>
                </c:pt>
                <c:pt idx="83">
                  <c:v>0</c:v>
                </c:pt>
                <c:pt idx="84">
                  <c:v>0</c:v>
                </c:pt>
                <c:pt idx="85">
                  <c:v>0</c:v>
                </c:pt>
                <c:pt idx="86">
                  <c:v>0</c:v>
                </c:pt>
                <c:pt idx="87">
                  <c:v>0</c:v>
                </c:pt>
                <c:pt idx="88">
                  <c:v>0</c:v>
                </c:pt>
                <c:pt idx="89">
                  <c:v>0</c:v>
                </c:pt>
                <c:pt idx="90">
                  <c:v>0</c:v>
                </c:pt>
                <c:pt idx="91">
                  <c:v>0</c:v>
                </c:pt>
                <c:pt idx="92">
                  <c:v>0</c:v>
                </c:pt>
                <c:pt idx="93">
                  <c:v>0</c:v>
                </c:pt>
                <c:pt idx="94">
                  <c:v>0</c:v>
                </c:pt>
                <c:pt idx="95">
                  <c:v>0</c:v>
                </c:pt>
                <c:pt idx="96">
                  <c:v>0</c:v>
                </c:pt>
                <c:pt idx="97">
                  <c:v>0</c:v>
                </c:pt>
                <c:pt idx="98">
                  <c:v>0</c:v>
                </c:pt>
                <c:pt idx="99">
                  <c:v>0</c:v>
                </c:pt>
                <c:pt idx="100">
                  <c:v>0</c:v>
                </c:pt>
                <c:pt idx="101">
                  <c:v>0</c:v>
                </c:pt>
                <c:pt idx="102">
                  <c:v>0</c:v>
                </c:pt>
                <c:pt idx="103">
                  <c:v>0</c:v>
                </c:pt>
                <c:pt idx="104">
                  <c:v>0</c:v>
                </c:pt>
                <c:pt idx="105">
                  <c:v>0</c:v>
                </c:pt>
                <c:pt idx="106">
                  <c:v>0</c:v>
                </c:pt>
                <c:pt idx="107">
                  <c:v>0</c:v>
                </c:pt>
                <c:pt idx="108">
                  <c:v>0</c:v>
                </c:pt>
                <c:pt idx="109">
                  <c:v>0</c:v>
                </c:pt>
                <c:pt idx="110">
                  <c:v>0</c:v>
                </c:pt>
                <c:pt idx="111">
                  <c:v>0</c:v>
                </c:pt>
                <c:pt idx="112">
                  <c:v>0</c:v>
                </c:pt>
                <c:pt idx="113">
                  <c:v>0</c:v>
                </c:pt>
                <c:pt idx="114">
                  <c:v>0</c:v>
                </c:pt>
                <c:pt idx="115">
                  <c:v>0</c:v>
                </c:pt>
                <c:pt idx="116">
                  <c:v>0</c:v>
                </c:pt>
                <c:pt idx="117">
                  <c:v>0</c:v>
                </c:pt>
                <c:pt idx="118">
                  <c:v>0</c:v>
                </c:pt>
                <c:pt idx="119">
                  <c:v>0</c:v>
                </c:pt>
                <c:pt idx="120">
                  <c:v>0</c:v>
                </c:pt>
                <c:pt idx="121">
                  <c:v>0</c:v>
                </c:pt>
                <c:pt idx="122">
                  <c:v>0</c:v>
                </c:pt>
                <c:pt idx="123">
                  <c:v>0</c:v>
                </c:pt>
                <c:pt idx="124">
                  <c:v>0</c:v>
                </c:pt>
                <c:pt idx="125">
                  <c:v>0</c:v>
                </c:pt>
                <c:pt idx="126">
                  <c:v>0</c:v>
                </c:pt>
                <c:pt idx="127">
                  <c:v>0</c:v>
                </c:pt>
                <c:pt idx="128">
                  <c:v>0</c:v>
                </c:pt>
                <c:pt idx="129">
                  <c:v>0</c:v>
                </c:pt>
                <c:pt idx="130">
                  <c:v>0</c:v>
                </c:pt>
                <c:pt idx="131">
                  <c:v>0</c:v>
                </c:pt>
                <c:pt idx="132">
                  <c:v>0</c:v>
                </c:pt>
                <c:pt idx="133">
                  <c:v>0</c:v>
                </c:pt>
                <c:pt idx="134">
                  <c:v>0</c:v>
                </c:pt>
                <c:pt idx="135">
                  <c:v>0</c:v>
                </c:pt>
                <c:pt idx="136">
                  <c:v>0</c:v>
                </c:pt>
                <c:pt idx="137">
                  <c:v>0</c:v>
                </c:pt>
                <c:pt idx="138">
                  <c:v>0</c:v>
                </c:pt>
                <c:pt idx="139">
                  <c:v>0</c:v>
                </c:pt>
                <c:pt idx="140">
                  <c:v>0</c:v>
                </c:pt>
                <c:pt idx="141">
                  <c:v>0</c:v>
                </c:pt>
                <c:pt idx="142">
                  <c:v>0</c:v>
                </c:pt>
                <c:pt idx="143">
                  <c:v>0</c:v>
                </c:pt>
                <c:pt idx="144">
                  <c:v>0</c:v>
                </c:pt>
                <c:pt idx="145">
                  <c:v>0</c:v>
                </c:pt>
                <c:pt idx="146">
                  <c:v>0</c:v>
                </c:pt>
                <c:pt idx="147">
                  <c:v>0</c:v>
                </c:pt>
                <c:pt idx="148">
                  <c:v>0</c:v>
                </c:pt>
                <c:pt idx="149">
                  <c:v>0</c:v>
                </c:pt>
                <c:pt idx="150">
                  <c:v>0</c:v>
                </c:pt>
                <c:pt idx="151">
                  <c:v>0</c:v>
                </c:pt>
                <c:pt idx="152">
                  <c:v>0</c:v>
                </c:pt>
                <c:pt idx="153">
                  <c:v>0</c:v>
                </c:pt>
                <c:pt idx="154">
                  <c:v>0</c:v>
                </c:pt>
                <c:pt idx="155">
                  <c:v>0</c:v>
                </c:pt>
                <c:pt idx="156">
                  <c:v>0</c:v>
                </c:pt>
                <c:pt idx="157">
                  <c:v>0</c:v>
                </c:pt>
                <c:pt idx="158">
                  <c:v>0</c:v>
                </c:pt>
                <c:pt idx="159">
                  <c:v>0</c:v>
                </c:pt>
                <c:pt idx="160">
                  <c:v>0</c:v>
                </c:pt>
                <c:pt idx="161">
                  <c:v>0</c:v>
                </c:pt>
                <c:pt idx="162">
                  <c:v>0</c:v>
                </c:pt>
                <c:pt idx="163">
                  <c:v>0</c:v>
                </c:pt>
                <c:pt idx="164">
                  <c:v>0</c:v>
                </c:pt>
                <c:pt idx="165">
                  <c:v>0</c:v>
                </c:pt>
                <c:pt idx="166">
                  <c:v>0</c:v>
                </c:pt>
                <c:pt idx="167">
                  <c:v>0</c:v>
                </c:pt>
                <c:pt idx="168">
                  <c:v>0</c:v>
                </c:pt>
                <c:pt idx="169">
                  <c:v>0</c:v>
                </c:pt>
                <c:pt idx="170">
                  <c:v>0</c:v>
                </c:pt>
                <c:pt idx="171">
                  <c:v>0</c:v>
                </c:pt>
                <c:pt idx="172">
                  <c:v>0</c:v>
                </c:pt>
                <c:pt idx="173">
                  <c:v>0</c:v>
                </c:pt>
                <c:pt idx="174">
                  <c:v>0</c:v>
                </c:pt>
                <c:pt idx="175">
                  <c:v>0</c:v>
                </c:pt>
                <c:pt idx="176">
                  <c:v>0</c:v>
                </c:pt>
                <c:pt idx="177">
                  <c:v>0</c:v>
                </c:pt>
                <c:pt idx="178">
                  <c:v>0</c:v>
                </c:pt>
                <c:pt idx="179">
                  <c:v>0</c:v>
                </c:pt>
                <c:pt idx="180">
                  <c:v>0</c:v>
                </c:pt>
                <c:pt idx="181">
                  <c:v>0</c:v>
                </c:pt>
                <c:pt idx="182">
                  <c:v>0</c:v>
                </c:pt>
                <c:pt idx="183">
                  <c:v>0</c:v>
                </c:pt>
                <c:pt idx="184">
                  <c:v>0</c:v>
                </c:pt>
                <c:pt idx="185">
                  <c:v>0</c:v>
                </c:pt>
                <c:pt idx="186">
                  <c:v>0</c:v>
                </c:pt>
                <c:pt idx="187">
                  <c:v>0</c:v>
                </c:pt>
                <c:pt idx="188">
                  <c:v>0</c:v>
                </c:pt>
                <c:pt idx="189">
                  <c:v>0</c:v>
                </c:pt>
                <c:pt idx="190">
                  <c:v>0</c:v>
                </c:pt>
                <c:pt idx="191">
                  <c:v>0</c:v>
                </c:pt>
                <c:pt idx="192">
                  <c:v>0</c:v>
                </c:pt>
                <c:pt idx="193">
                  <c:v>0</c:v>
                </c:pt>
                <c:pt idx="194">
                  <c:v>0</c:v>
                </c:pt>
                <c:pt idx="195">
                  <c:v>0</c:v>
                </c:pt>
                <c:pt idx="196">
                  <c:v>0</c:v>
                </c:pt>
                <c:pt idx="197">
                  <c:v>0</c:v>
                </c:pt>
                <c:pt idx="198">
                  <c:v>0</c:v>
                </c:pt>
                <c:pt idx="199">
                  <c:v>0</c:v>
                </c:pt>
                <c:pt idx="200">
                  <c:v>0</c:v>
                </c:pt>
              </c:numCache>
            </c:numRef>
          </c:val>
          <c:extLst>
            <c:ext xmlns:c16="http://schemas.microsoft.com/office/drawing/2014/chart" uri="{C3380CC4-5D6E-409C-BE32-E72D297353CC}">
              <c16:uniqueId val="{00000003-2313-4AA3-8472-5B3EC23DBAE5}"/>
            </c:ext>
          </c:extLst>
        </c:ser>
        <c:ser>
          <c:idx val="10"/>
          <c:order val="6"/>
          <c:tx>
            <c:strRef>
              <c:f>'Use this for graphs'!$G$1</c:f>
              <c:strCache>
                <c:ptCount val="1"/>
                <c:pt idx="0">
                  <c:v>Housing Choice Voucher</c:v>
                </c:pt>
              </c:strCache>
            </c:strRef>
          </c:tx>
          <c:spPr>
            <a:solidFill>
              <a:schemeClr val="accent5">
                <a:lumMod val="60000"/>
              </a:schemeClr>
            </a:solidFill>
            <a:ln>
              <a:noFill/>
            </a:ln>
            <a:effectLst/>
          </c:spPr>
          <c:cat>
            <c:numRef>
              <c:f>'Use this for graphs'!$A$2:$A$202</c:f>
              <c:numCache>
                <c:formatCode>"$"#,##0</c:formatCode>
                <c:ptCount val="201"/>
                <c:pt idx="0">
                  <c:v>0</c:v>
                </c:pt>
                <c:pt idx="1">
                  <c:v>500</c:v>
                </c:pt>
                <c:pt idx="2">
                  <c:v>1000</c:v>
                </c:pt>
                <c:pt idx="3">
                  <c:v>1500</c:v>
                </c:pt>
                <c:pt idx="4">
                  <c:v>2000</c:v>
                </c:pt>
                <c:pt idx="5">
                  <c:v>2500</c:v>
                </c:pt>
                <c:pt idx="6">
                  <c:v>3000</c:v>
                </c:pt>
                <c:pt idx="7">
                  <c:v>3500</c:v>
                </c:pt>
                <c:pt idx="8">
                  <c:v>4000</c:v>
                </c:pt>
                <c:pt idx="9">
                  <c:v>4500</c:v>
                </c:pt>
                <c:pt idx="10">
                  <c:v>5000</c:v>
                </c:pt>
                <c:pt idx="11">
                  <c:v>5500</c:v>
                </c:pt>
                <c:pt idx="12">
                  <c:v>6000</c:v>
                </c:pt>
                <c:pt idx="13">
                  <c:v>6500</c:v>
                </c:pt>
                <c:pt idx="14">
                  <c:v>7000</c:v>
                </c:pt>
                <c:pt idx="15">
                  <c:v>7500</c:v>
                </c:pt>
                <c:pt idx="16">
                  <c:v>8000</c:v>
                </c:pt>
                <c:pt idx="17">
                  <c:v>8500</c:v>
                </c:pt>
                <c:pt idx="18">
                  <c:v>9000</c:v>
                </c:pt>
                <c:pt idx="19">
                  <c:v>9500</c:v>
                </c:pt>
                <c:pt idx="20">
                  <c:v>10000</c:v>
                </c:pt>
                <c:pt idx="21">
                  <c:v>10500</c:v>
                </c:pt>
                <c:pt idx="22">
                  <c:v>11000</c:v>
                </c:pt>
                <c:pt idx="23">
                  <c:v>11500</c:v>
                </c:pt>
                <c:pt idx="24">
                  <c:v>12000</c:v>
                </c:pt>
                <c:pt idx="25">
                  <c:v>12500</c:v>
                </c:pt>
                <c:pt idx="26">
                  <c:v>13000</c:v>
                </c:pt>
                <c:pt idx="27">
                  <c:v>13500</c:v>
                </c:pt>
                <c:pt idx="28">
                  <c:v>14000</c:v>
                </c:pt>
                <c:pt idx="29">
                  <c:v>14500</c:v>
                </c:pt>
                <c:pt idx="30">
                  <c:v>15000</c:v>
                </c:pt>
                <c:pt idx="31">
                  <c:v>15500</c:v>
                </c:pt>
                <c:pt idx="32">
                  <c:v>16000</c:v>
                </c:pt>
                <c:pt idx="33">
                  <c:v>16500</c:v>
                </c:pt>
                <c:pt idx="34">
                  <c:v>17000</c:v>
                </c:pt>
                <c:pt idx="35">
                  <c:v>17500</c:v>
                </c:pt>
                <c:pt idx="36">
                  <c:v>18000</c:v>
                </c:pt>
                <c:pt idx="37">
                  <c:v>18500</c:v>
                </c:pt>
                <c:pt idx="38">
                  <c:v>19000</c:v>
                </c:pt>
                <c:pt idx="39">
                  <c:v>19500</c:v>
                </c:pt>
                <c:pt idx="40">
                  <c:v>20000</c:v>
                </c:pt>
                <c:pt idx="41">
                  <c:v>20500</c:v>
                </c:pt>
                <c:pt idx="42">
                  <c:v>21000</c:v>
                </c:pt>
                <c:pt idx="43">
                  <c:v>21500</c:v>
                </c:pt>
                <c:pt idx="44">
                  <c:v>22000</c:v>
                </c:pt>
                <c:pt idx="45">
                  <c:v>22500</c:v>
                </c:pt>
                <c:pt idx="46">
                  <c:v>23000</c:v>
                </c:pt>
                <c:pt idx="47">
                  <c:v>23500</c:v>
                </c:pt>
                <c:pt idx="48">
                  <c:v>24000</c:v>
                </c:pt>
                <c:pt idx="49">
                  <c:v>24500</c:v>
                </c:pt>
                <c:pt idx="50">
                  <c:v>25000</c:v>
                </c:pt>
                <c:pt idx="51">
                  <c:v>25500</c:v>
                </c:pt>
                <c:pt idx="52">
                  <c:v>26000</c:v>
                </c:pt>
                <c:pt idx="53">
                  <c:v>26500</c:v>
                </c:pt>
                <c:pt idx="54">
                  <c:v>27000</c:v>
                </c:pt>
                <c:pt idx="55">
                  <c:v>27500</c:v>
                </c:pt>
                <c:pt idx="56">
                  <c:v>28000</c:v>
                </c:pt>
                <c:pt idx="57">
                  <c:v>28500</c:v>
                </c:pt>
                <c:pt idx="58">
                  <c:v>29000</c:v>
                </c:pt>
                <c:pt idx="59">
                  <c:v>29500</c:v>
                </c:pt>
                <c:pt idx="60">
                  <c:v>30000</c:v>
                </c:pt>
                <c:pt idx="61">
                  <c:v>30500</c:v>
                </c:pt>
                <c:pt idx="62">
                  <c:v>31000</c:v>
                </c:pt>
                <c:pt idx="63">
                  <c:v>31500</c:v>
                </c:pt>
                <c:pt idx="64">
                  <c:v>32000</c:v>
                </c:pt>
                <c:pt idx="65">
                  <c:v>32500</c:v>
                </c:pt>
                <c:pt idx="66">
                  <c:v>33000</c:v>
                </c:pt>
                <c:pt idx="67">
                  <c:v>33500</c:v>
                </c:pt>
                <c:pt idx="68">
                  <c:v>34000</c:v>
                </c:pt>
                <c:pt idx="69">
                  <c:v>34500</c:v>
                </c:pt>
                <c:pt idx="70">
                  <c:v>35000</c:v>
                </c:pt>
                <c:pt idx="71">
                  <c:v>35500</c:v>
                </c:pt>
                <c:pt idx="72">
                  <c:v>36000</c:v>
                </c:pt>
                <c:pt idx="73">
                  <c:v>36500</c:v>
                </c:pt>
                <c:pt idx="74">
                  <c:v>37000</c:v>
                </c:pt>
                <c:pt idx="75">
                  <c:v>37500</c:v>
                </c:pt>
                <c:pt idx="76">
                  <c:v>38000</c:v>
                </c:pt>
                <c:pt idx="77">
                  <c:v>38500</c:v>
                </c:pt>
                <c:pt idx="78">
                  <c:v>39000</c:v>
                </c:pt>
                <c:pt idx="79">
                  <c:v>39500</c:v>
                </c:pt>
                <c:pt idx="80">
                  <c:v>40000</c:v>
                </c:pt>
                <c:pt idx="81">
                  <c:v>40500</c:v>
                </c:pt>
                <c:pt idx="82">
                  <c:v>41000</c:v>
                </c:pt>
                <c:pt idx="83">
                  <c:v>41500</c:v>
                </c:pt>
                <c:pt idx="84">
                  <c:v>42000</c:v>
                </c:pt>
                <c:pt idx="85">
                  <c:v>42500</c:v>
                </c:pt>
                <c:pt idx="86">
                  <c:v>43000</c:v>
                </c:pt>
                <c:pt idx="87">
                  <c:v>43500</c:v>
                </c:pt>
                <c:pt idx="88">
                  <c:v>44000</c:v>
                </c:pt>
                <c:pt idx="89">
                  <c:v>44500</c:v>
                </c:pt>
                <c:pt idx="90">
                  <c:v>45000</c:v>
                </c:pt>
                <c:pt idx="91">
                  <c:v>45500</c:v>
                </c:pt>
                <c:pt idx="92">
                  <c:v>46000</c:v>
                </c:pt>
                <c:pt idx="93">
                  <c:v>46500</c:v>
                </c:pt>
                <c:pt idx="94">
                  <c:v>47000</c:v>
                </c:pt>
                <c:pt idx="95">
                  <c:v>47500</c:v>
                </c:pt>
                <c:pt idx="96">
                  <c:v>48000</c:v>
                </c:pt>
                <c:pt idx="97">
                  <c:v>48500</c:v>
                </c:pt>
                <c:pt idx="98">
                  <c:v>49000</c:v>
                </c:pt>
                <c:pt idx="99">
                  <c:v>49500</c:v>
                </c:pt>
                <c:pt idx="100">
                  <c:v>50000</c:v>
                </c:pt>
                <c:pt idx="101">
                  <c:v>50500</c:v>
                </c:pt>
                <c:pt idx="102">
                  <c:v>51000</c:v>
                </c:pt>
                <c:pt idx="103">
                  <c:v>51500</c:v>
                </c:pt>
                <c:pt idx="104">
                  <c:v>52000</c:v>
                </c:pt>
                <c:pt idx="105">
                  <c:v>52500</c:v>
                </c:pt>
                <c:pt idx="106">
                  <c:v>53000</c:v>
                </c:pt>
                <c:pt idx="107">
                  <c:v>53500</c:v>
                </c:pt>
                <c:pt idx="108">
                  <c:v>54000</c:v>
                </c:pt>
                <c:pt idx="109">
                  <c:v>54500</c:v>
                </c:pt>
                <c:pt idx="110">
                  <c:v>55000</c:v>
                </c:pt>
                <c:pt idx="111">
                  <c:v>55500</c:v>
                </c:pt>
                <c:pt idx="112">
                  <c:v>56000</c:v>
                </c:pt>
                <c:pt idx="113">
                  <c:v>56500</c:v>
                </c:pt>
                <c:pt idx="114">
                  <c:v>57000</c:v>
                </c:pt>
                <c:pt idx="115">
                  <c:v>57500</c:v>
                </c:pt>
                <c:pt idx="116">
                  <c:v>58000</c:v>
                </c:pt>
                <c:pt idx="117">
                  <c:v>58500</c:v>
                </c:pt>
                <c:pt idx="118">
                  <c:v>59000</c:v>
                </c:pt>
                <c:pt idx="119">
                  <c:v>59500</c:v>
                </c:pt>
                <c:pt idx="120">
                  <c:v>60000</c:v>
                </c:pt>
                <c:pt idx="121">
                  <c:v>60500</c:v>
                </c:pt>
                <c:pt idx="122">
                  <c:v>61000</c:v>
                </c:pt>
                <c:pt idx="123">
                  <c:v>61500</c:v>
                </c:pt>
                <c:pt idx="124">
                  <c:v>62000</c:v>
                </c:pt>
                <c:pt idx="125">
                  <c:v>62500</c:v>
                </c:pt>
                <c:pt idx="126">
                  <c:v>63000</c:v>
                </c:pt>
                <c:pt idx="127">
                  <c:v>63500</c:v>
                </c:pt>
                <c:pt idx="128">
                  <c:v>64000</c:v>
                </c:pt>
                <c:pt idx="129">
                  <c:v>64500</c:v>
                </c:pt>
                <c:pt idx="130">
                  <c:v>65000</c:v>
                </c:pt>
                <c:pt idx="131">
                  <c:v>65500</c:v>
                </c:pt>
                <c:pt idx="132">
                  <c:v>66000</c:v>
                </c:pt>
                <c:pt idx="133">
                  <c:v>66500</c:v>
                </c:pt>
                <c:pt idx="134">
                  <c:v>67000</c:v>
                </c:pt>
                <c:pt idx="135">
                  <c:v>67500</c:v>
                </c:pt>
                <c:pt idx="136">
                  <c:v>68000</c:v>
                </c:pt>
                <c:pt idx="137">
                  <c:v>68500</c:v>
                </c:pt>
                <c:pt idx="138">
                  <c:v>69000</c:v>
                </c:pt>
                <c:pt idx="139">
                  <c:v>69500</c:v>
                </c:pt>
                <c:pt idx="140">
                  <c:v>70000</c:v>
                </c:pt>
                <c:pt idx="141">
                  <c:v>70500</c:v>
                </c:pt>
                <c:pt idx="142">
                  <c:v>71000</c:v>
                </c:pt>
                <c:pt idx="143">
                  <c:v>71500</c:v>
                </c:pt>
                <c:pt idx="144">
                  <c:v>72000</c:v>
                </c:pt>
                <c:pt idx="145">
                  <c:v>72500</c:v>
                </c:pt>
                <c:pt idx="146">
                  <c:v>73000</c:v>
                </c:pt>
                <c:pt idx="147">
                  <c:v>73500</c:v>
                </c:pt>
                <c:pt idx="148">
                  <c:v>74000</c:v>
                </c:pt>
                <c:pt idx="149">
                  <c:v>74500</c:v>
                </c:pt>
                <c:pt idx="150">
                  <c:v>75000</c:v>
                </c:pt>
                <c:pt idx="151">
                  <c:v>75500</c:v>
                </c:pt>
                <c:pt idx="152">
                  <c:v>76000</c:v>
                </c:pt>
                <c:pt idx="153">
                  <c:v>76500</c:v>
                </c:pt>
                <c:pt idx="154">
                  <c:v>77000</c:v>
                </c:pt>
                <c:pt idx="155">
                  <c:v>77500</c:v>
                </c:pt>
                <c:pt idx="156">
                  <c:v>78000</c:v>
                </c:pt>
                <c:pt idx="157">
                  <c:v>78500</c:v>
                </c:pt>
                <c:pt idx="158">
                  <c:v>79000</c:v>
                </c:pt>
                <c:pt idx="159">
                  <c:v>79500</c:v>
                </c:pt>
                <c:pt idx="160">
                  <c:v>80000</c:v>
                </c:pt>
                <c:pt idx="161">
                  <c:v>80500</c:v>
                </c:pt>
                <c:pt idx="162">
                  <c:v>81000</c:v>
                </c:pt>
                <c:pt idx="163">
                  <c:v>81500</c:v>
                </c:pt>
                <c:pt idx="164">
                  <c:v>82000</c:v>
                </c:pt>
                <c:pt idx="165">
                  <c:v>82500</c:v>
                </c:pt>
                <c:pt idx="166">
                  <c:v>83000</c:v>
                </c:pt>
                <c:pt idx="167">
                  <c:v>83500</c:v>
                </c:pt>
                <c:pt idx="168">
                  <c:v>84000</c:v>
                </c:pt>
                <c:pt idx="169">
                  <c:v>84500</c:v>
                </c:pt>
                <c:pt idx="170">
                  <c:v>85000</c:v>
                </c:pt>
                <c:pt idx="171">
                  <c:v>85500</c:v>
                </c:pt>
                <c:pt idx="172">
                  <c:v>86000</c:v>
                </c:pt>
                <c:pt idx="173">
                  <c:v>86500</c:v>
                </c:pt>
                <c:pt idx="174">
                  <c:v>87000</c:v>
                </c:pt>
                <c:pt idx="175">
                  <c:v>87500</c:v>
                </c:pt>
                <c:pt idx="176">
                  <c:v>88000</c:v>
                </c:pt>
                <c:pt idx="177">
                  <c:v>88500</c:v>
                </c:pt>
                <c:pt idx="178">
                  <c:v>89000</c:v>
                </c:pt>
                <c:pt idx="179">
                  <c:v>89500</c:v>
                </c:pt>
                <c:pt idx="180">
                  <c:v>90000</c:v>
                </c:pt>
                <c:pt idx="181">
                  <c:v>90500</c:v>
                </c:pt>
                <c:pt idx="182">
                  <c:v>91000</c:v>
                </c:pt>
                <c:pt idx="183">
                  <c:v>91500</c:v>
                </c:pt>
                <c:pt idx="184">
                  <c:v>92000</c:v>
                </c:pt>
                <c:pt idx="185">
                  <c:v>92500</c:v>
                </c:pt>
                <c:pt idx="186">
                  <c:v>93000</c:v>
                </c:pt>
                <c:pt idx="187">
                  <c:v>93500</c:v>
                </c:pt>
                <c:pt idx="188">
                  <c:v>94000</c:v>
                </c:pt>
                <c:pt idx="189">
                  <c:v>94500</c:v>
                </c:pt>
                <c:pt idx="190">
                  <c:v>95000</c:v>
                </c:pt>
                <c:pt idx="191">
                  <c:v>95500</c:v>
                </c:pt>
                <c:pt idx="192">
                  <c:v>96000</c:v>
                </c:pt>
                <c:pt idx="193">
                  <c:v>96500</c:v>
                </c:pt>
                <c:pt idx="194">
                  <c:v>97000</c:v>
                </c:pt>
                <c:pt idx="195">
                  <c:v>97500</c:v>
                </c:pt>
                <c:pt idx="196">
                  <c:v>98000</c:v>
                </c:pt>
                <c:pt idx="197">
                  <c:v>98500</c:v>
                </c:pt>
                <c:pt idx="198">
                  <c:v>99000</c:v>
                </c:pt>
                <c:pt idx="199">
                  <c:v>99500</c:v>
                </c:pt>
                <c:pt idx="200">
                  <c:v>100000</c:v>
                </c:pt>
              </c:numCache>
            </c:numRef>
          </c:cat>
          <c:val>
            <c:numRef>
              <c:f>'Use this for graphs'!$G$2:$G$202</c:f>
              <c:numCache>
                <c:formatCode>"$"#,##0</c:formatCode>
                <c:ptCount val="201"/>
                <c:pt idx="0">
                  <c:v>10457.988000000001</c:v>
                </c:pt>
                <c:pt idx="1">
                  <c:v>10188</c:v>
                </c:pt>
                <c:pt idx="2">
                  <c:v>10038</c:v>
                </c:pt>
                <c:pt idx="3">
                  <c:v>9888</c:v>
                </c:pt>
                <c:pt idx="4">
                  <c:v>9738</c:v>
                </c:pt>
                <c:pt idx="5">
                  <c:v>9588</c:v>
                </c:pt>
                <c:pt idx="6">
                  <c:v>9556.08</c:v>
                </c:pt>
                <c:pt idx="7">
                  <c:v>9526.08</c:v>
                </c:pt>
                <c:pt idx="8">
                  <c:v>9496.08</c:v>
                </c:pt>
                <c:pt idx="9">
                  <c:v>9466.08</c:v>
                </c:pt>
                <c:pt idx="10">
                  <c:v>9436.08</c:v>
                </c:pt>
                <c:pt idx="11">
                  <c:v>9406.08</c:v>
                </c:pt>
                <c:pt idx="12">
                  <c:v>9376.08</c:v>
                </c:pt>
                <c:pt idx="13">
                  <c:v>9346.08</c:v>
                </c:pt>
                <c:pt idx="14">
                  <c:v>9316.08</c:v>
                </c:pt>
                <c:pt idx="15">
                  <c:v>9286.08</c:v>
                </c:pt>
                <c:pt idx="16">
                  <c:v>9256.08</c:v>
                </c:pt>
                <c:pt idx="17">
                  <c:v>9174</c:v>
                </c:pt>
                <c:pt idx="18">
                  <c:v>9024</c:v>
                </c:pt>
                <c:pt idx="19">
                  <c:v>8874</c:v>
                </c:pt>
                <c:pt idx="20">
                  <c:v>8724</c:v>
                </c:pt>
                <c:pt idx="21">
                  <c:v>8574</c:v>
                </c:pt>
                <c:pt idx="22">
                  <c:v>8424</c:v>
                </c:pt>
                <c:pt idx="23">
                  <c:v>8274</c:v>
                </c:pt>
                <c:pt idx="24">
                  <c:v>8124</c:v>
                </c:pt>
                <c:pt idx="25">
                  <c:v>7974</c:v>
                </c:pt>
                <c:pt idx="26">
                  <c:v>7824</c:v>
                </c:pt>
                <c:pt idx="27">
                  <c:v>7674</c:v>
                </c:pt>
                <c:pt idx="28">
                  <c:v>7524</c:v>
                </c:pt>
                <c:pt idx="29">
                  <c:v>7374</c:v>
                </c:pt>
                <c:pt idx="30">
                  <c:v>7224</c:v>
                </c:pt>
                <c:pt idx="31">
                  <c:v>7074</c:v>
                </c:pt>
                <c:pt idx="32">
                  <c:v>6924</c:v>
                </c:pt>
                <c:pt idx="33">
                  <c:v>6774</c:v>
                </c:pt>
                <c:pt idx="34">
                  <c:v>6624</c:v>
                </c:pt>
                <c:pt idx="35">
                  <c:v>6474</c:v>
                </c:pt>
                <c:pt idx="36">
                  <c:v>6324</c:v>
                </c:pt>
                <c:pt idx="37">
                  <c:v>6174</c:v>
                </c:pt>
                <c:pt idx="38">
                  <c:v>6024.0000000000009</c:v>
                </c:pt>
                <c:pt idx="39">
                  <c:v>5874</c:v>
                </c:pt>
                <c:pt idx="40">
                  <c:v>5724</c:v>
                </c:pt>
                <c:pt idx="41">
                  <c:v>5574</c:v>
                </c:pt>
                <c:pt idx="42">
                  <c:v>5424</c:v>
                </c:pt>
                <c:pt idx="43">
                  <c:v>5274</c:v>
                </c:pt>
                <c:pt idx="44">
                  <c:v>5124</c:v>
                </c:pt>
                <c:pt idx="45">
                  <c:v>4974</c:v>
                </c:pt>
                <c:pt idx="46">
                  <c:v>4824</c:v>
                </c:pt>
                <c:pt idx="47">
                  <c:v>4674.0000000000018</c:v>
                </c:pt>
                <c:pt idx="48">
                  <c:v>4524</c:v>
                </c:pt>
                <c:pt idx="49">
                  <c:v>4373.9999999999982</c:v>
                </c:pt>
                <c:pt idx="50">
                  <c:v>4224</c:v>
                </c:pt>
                <c:pt idx="51">
                  <c:v>4074</c:v>
                </c:pt>
                <c:pt idx="52">
                  <c:v>3924.0000000000014</c:v>
                </c:pt>
                <c:pt idx="53">
                  <c:v>3774</c:v>
                </c:pt>
                <c:pt idx="54">
                  <c:v>3624</c:v>
                </c:pt>
                <c:pt idx="55">
                  <c:v>3474.0000000000014</c:v>
                </c:pt>
                <c:pt idx="56">
                  <c:v>3324</c:v>
                </c:pt>
                <c:pt idx="57">
                  <c:v>3174</c:v>
                </c:pt>
                <c:pt idx="58">
                  <c:v>3024.0000000000014</c:v>
                </c:pt>
                <c:pt idx="59">
                  <c:v>2874</c:v>
                </c:pt>
                <c:pt idx="60">
                  <c:v>2724</c:v>
                </c:pt>
                <c:pt idx="61">
                  <c:v>2574.0000000000014</c:v>
                </c:pt>
                <c:pt idx="62">
                  <c:v>2424</c:v>
                </c:pt>
                <c:pt idx="63">
                  <c:v>2274</c:v>
                </c:pt>
                <c:pt idx="64">
                  <c:v>2124.0000000000014</c:v>
                </c:pt>
                <c:pt idx="65">
                  <c:v>1974</c:v>
                </c:pt>
                <c:pt idx="66">
                  <c:v>1824</c:v>
                </c:pt>
                <c:pt idx="67">
                  <c:v>1674.0000000000014</c:v>
                </c:pt>
                <c:pt idx="68">
                  <c:v>1524</c:v>
                </c:pt>
                <c:pt idx="69">
                  <c:v>1374</c:v>
                </c:pt>
                <c:pt idx="70">
                  <c:v>1224.0000000000014</c:v>
                </c:pt>
                <c:pt idx="71">
                  <c:v>1074</c:v>
                </c:pt>
                <c:pt idx="72">
                  <c:v>924</c:v>
                </c:pt>
                <c:pt idx="73">
                  <c:v>774.00000000000136</c:v>
                </c:pt>
                <c:pt idx="74">
                  <c:v>624</c:v>
                </c:pt>
                <c:pt idx="75">
                  <c:v>474</c:v>
                </c:pt>
                <c:pt idx="76">
                  <c:v>324.00000000000136</c:v>
                </c:pt>
                <c:pt idx="77">
                  <c:v>174</c:v>
                </c:pt>
                <c:pt idx="78">
                  <c:v>24</c:v>
                </c:pt>
                <c:pt idx="79">
                  <c:v>0</c:v>
                </c:pt>
                <c:pt idx="80">
                  <c:v>0</c:v>
                </c:pt>
                <c:pt idx="81">
                  <c:v>0</c:v>
                </c:pt>
                <c:pt idx="82">
                  <c:v>0</c:v>
                </c:pt>
                <c:pt idx="83">
                  <c:v>0</c:v>
                </c:pt>
                <c:pt idx="84">
                  <c:v>0</c:v>
                </c:pt>
                <c:pt idx="85">
                  <c:v>0</c:v>
                </c:pt>
                <c:pt idx="86">
                  <c:v>0</c:v>
                </c:pt>
                <c:pt idx="87">
                  <c:v>0</c:v>
                </c:pt>
                <c:pt idx="88">
                  <c:v>0</c:v>
                </c:pt>
                <c:pt idx="89">
                  <c:v>0</c:v>
                </c:pt>
                <c:pt idx="90">
                  <c:v>0</c:v>
                </c:pt>
                <c:pt idx="91">
                  <c:v>0</c:v>
                </c:pt>
                <c:pt idx="92">
                  <c:v>0</c:v>
                </c:pt>
                <c:pt idx="93">
                  <c:v>0</c:v>
                </c:pt>
                <c:pt idx="94">
                  <c:v>0</c:v>
                </c:pt>
                <c:pt idx="95">
                  <c:v>0</c:v>
                </c:pt>
                <c:pt idx="96">
                  <c:v>0</c:v>
                </c:pt>
                <c:pt idx="97">
                  <c:v>0</c:v>
                </c:pt>
                <c:pt idx="98">
                  <c:v>0</c:v>
                </c:pt>
                <c:pt idx="99">
                  <c:v>0</c:v>
                </c:pt>
                <c:pt idx="100">
                  <c:v>0</c:v>
                </c:pt>
                <c:pt idx="101">
                  <c:v>0</c:v>
                </c:pt>
                <c:pt idx="102">
                  <c:v>0</c:v>
                </c:pt>
                <c:pt idx="103">
                  <c:v>0</c:v>
                </c:pt>
                <c:pt idx="104">
                  <c:v>0</c:v>
                </c:pt>
                <c:pt idx="105">
                  <c:v>0</c:v>
                </c:pt>
                <c:pt idx="106">
                  <c:v>0</c:v>
                </c:pt>
                <c:pt idx="107">
                  <c:v>0</c:v>
                </c:pt>
                <c:pt idx="108">
                  <c:v>0</c:v>
                </c:pt>
                <c:pt idx="109">
                  <c:v>0</c:v>
                </c:pt>
                <c:pt idx="110">
                  <c:v>0</c:v>
                </c:pt>
                <c:pt idx="111">
                  <c:v>0</c:v>
                </c:pt>
                <c:pt idx="112">
                  <c:v>0</c:v>
                </c:pt>
                <c:pt idx="113">
                  <c:v>0</c:v>
                </c:pt>
                <c:pt idx="114">
                  <c:v>0</c:v>
                </c:pt>
                <c:pt idx="115">
                  <c:v>0</c:v>
                </c:pt>
                <c:pt idx="116">
                  <c:v>0</c:v>
                </c:pt>
                <c:pt idx="117">
                  <c:v>0</c:v>
                </c:pt>
                <c:pt idx="118">
                  <c:v>0</c:v>
                </c:pt>
                <c:pt idx="119">
                  <c:v>0</c:v>
                </c:pt>
                <c:pt idx="120">
                  <c:v>0</c:v>
                </c:pt>
                <c:pt idx="121">
                  <c:v>0</c:v>
                </c:pt>
                <c:pt idx="122">
                  <c:v>0</c:v>
                </c:pt>
                <c:pt idx="123">
                  <c:v>0</c:v>
                </c:pt>
                <c:pt idx="124">
                  <c:v>0</c:v>
                </c:pt>
                <c:pt idx="125">
                  <c:v>0</c:v>
                </c:pt>
                <c:pt idx="126">
                  <c:v>0</c:v>
                </c:pt>
                <c:pt idx="127">
                  <c:v>0</c:v>
                </c:pt>
                <c:pt idx="128">
                  <c:v>0</c:v>
                </c:pt>
                <c:pt idx="129">
                  <c:v>0</c:v>
                </c:pt>
                <c:pt idx="130">
                  <c:v>0</c:v>
                </c:pt>
                <c:pt idx="131">
                  <c:v>0</c:v>
                </c:pt>
                <c:pt idx="132">
                  <c:v>0</c:v>
                </c:pt>
                <c:pt idx="133">
                  <c:v>0</c:v>
                </c:pt>
                <c:pt idx="134">
                  <c:v>0</c:v>
                </c:pt>
                <c:pt idx="135">
                  <c:v>0</c:v>
                </c:pt>
                <c:pt idx="136">
                  <c:v>0</c:v>
                </c:pt>
                <c:pt idx="137">
                  <c:v>0</c:v>
                </c:pt>
                <c:pt idx="138">
                  <c:v>0</c:v>
                </c:pt>
                <c:pt idx="139">
                  <c:v>0</c:v>
                </c:pt>
                <c:pt idx="140">
                  <c:v>0</c:v>
                </c:pt>
                <c:pt idx="141">
                  <c:v>0</c:v>
                </c:pt>
                <c:pt idx="142">
                  <c:v>0</c:v>
                </c:pt>
                <c:pt idx="143">
                  <c:v>0</c:v>
                </c:pt>
                <c:pt idx="144">
                  <c:v>0</c:v>
                </c:pt>
                <c:pt idx="145">
                  <c:v>0</c:v>
                </c:pt>
                <c:pt idx="146">
                  <c:v>0</c:v>
                </c:pt>
                <c:pt idx="147">
                  <c:v>0</c:v>
                </c:pt>
                <c:pt idx="148">
                  <c:v>0</c:v>
                </c:pt>
                <c:pt idx="149">
                  <c:v>0</c:v>
                </c:pt>
                <c:pt idx="150">
                  <c:v>0</c:v>
                </c:pt>
                <c:pt idx="151">
                  <c:v>0</c:v>
                </c:pt>
                <c:pt idx="152">
                  <c:v>0</c:v>
                </c:pt>
                <c:pt idx="153">
                  <c:v>0</c:v>
                </c:pt>
                <c:pt idx="154">
                  <c:v>0</c:v>
                </c:pt>
                <c:pt idx="155">
                  <c:v>0</c:v>
                </c:pt>
                <c:pt idx="156">
                  <c:v>0</c:v>
                </c:pt>
                <c:pt idx="157">
                  <c:v>0</c:v>
                </c:pt>
                <c:pt idx="158">
                  <c:v>0</c:v>
                </c:pt>
                <c:pt idx="159">
                  <c:v>0</c:v>
                </c:pt>
                <c:pt idx="160">
                  <c:v>0</c:v>
                </c:pt>
                <c:pt idx="161">
                  <c:v>0</c:v>
                </c:pt>
                <c:pt idx="162">
                  <c:v>0</c:v>
                </c:pt>
                <c:pt idx="163">
                  <c:v>0</c:v>
                </c:pt>
                <c:pt idx="164">
                  <c:v>0</c:v>
                </c:pt>
                <c:pt idx="165">
                  <c:v>0</c:v>
                </c:pt>
                <c:pt idx="166">
                  <c:v>0</c:v>
                </c:pt>
                <c:pt idx="167">
                  <c:v>0</c:v>
                </c:pt>
                <c:pt idx="168">
                  <c:v>0</c:v>
                </c:pt>
                <c:pt idx="169">
                  <c:v>0</c:v>
                </c:pt>
                <c:pt idx="170">
                  <c:v>0</c:v>
                </c:pt>
                <c:pt idx="171">
                  <c:v>0</c:v>
                </c:pt>
                <c:pt idx="172">
                  <c:v>0</c:v>
                </c:pt>
                <c:pt idx="173">
                  <c:v>0</c:v>
                </c:pt>
                <c:pt idx="174">
                  <c:v>0</c:v>
                </c:pt>
                <c:pt idx="175">
                  <c:v>0</c:v>
                </c:pt>
                <c:pt idx="176">
                  <c:v>0</c:v>
                </c:pt>
                <c:pt idx="177">
                  <c:v>0</c:v>
                </c:pt>
                <c:pt idx="178">
                  <c:v>0</c:v>
                </c:pt>
                <c:pt idx="179">
                  <c:v>0</c:v>
                </c:pt>
                <c:pt idx="180">
                  <c:v>0</c:v>
                </c:pt>
                <c:pt idx="181">
                  <c:v>0</c:v>
                </c:pt>
                <c:pt idx="182">
                  <c:v>0</c:v>
                </c:pt>
                <c:pt idx="183">
                  <c:v>0</c:v>
                </c:pt>
                <c:pt idx="184">
                  <c:v>0</c:v>
                </c:pt>
                <c:pt idx="185">
                  <c:v>0</c:v>
                </c:pt>
                <c:pt idx="186">
                  <c:v>0</c:v>
                </c:pt>
                <c:pt idx="187">
                  <c:v>0</c:v>
                </c:pt>
                <c:pt idx="188">
                  <c:v>0</c:v>
                </c:pt>
                <c:pt idx="189">
                  <c:v>0</c:v>
                </c:pt>
                <c:pt idx="190">
                  <c:v>0</c:v>
                </c:pt>
                <c:pt idx="191">
                  <c:v>0</c:v>
                </c:pt>
                <c:pt idx="192">
                  <c:v>0</c:v>
                </c:pt>
                <c:pt idx="193">
                  <c:v>0</c:v>
                </c:pt>
                <c:pt idx="194">
                  <c:v>0</c:v>
                </c:pt>
                <c:pt idx="195">
                  <c:v>0</c:v>
                </c:pt>
                <c:pt idx="196">
                  <c:v>0</c:v>
                </c:pt>
                <c:pt idx="197">
                  <c:v>0</c:v>
                </c:pt>
                <c:pt idx="198">
                  <c:v>0</c:v>
                </c:pt>
                <c:pt idx="199">
                  <c:v>0</c:v>
                </c:pt>
                <c:pt idx="200">
                  <c:v>0</c:v>
                </c:pt>
              </c:numCache>
            </c:numRef>
          </c:val>
          <c:extLst>
            <c:ext xmlns:c16="http://schemas.microsoft.com/office/drawing/2014/chart" uri="{C3380CC4-5D6E-409C-BE32-E72D297353CC}">
              <c16:uniqueId val="{00000004-2313-4AA3-8472-5B3EC23DBAE5}"/>
            </c:ext>
          </c:extLst>
        </c:ser>
        <c:ser>
          <c:idx val="13"/>
          <c:order val="7"/>
          <c:tx>
            <c:strRef>
              <c:f>'Use this for graphs'!$H$1</c:f>
              <c:strCache>
                <c:ptCount val="1"/>
                <c:pt idx="0">
                  <c:v>Fed + State EITC</c:v>
                </c:pt>
              </c:strCache>
            </c:strRef>
          </c:tx>
          <c:spPr>
            <a:solidFill>
              <a:schemeClr val="accent2">
                <a:lumMod val="80000"/>
                <a:lumOff val="20000"/>
              </a:schemeClr>
            </a:solidFill>
            <a:ln>
              <a:noFill/>
            </a:ln>
            <a:effectLst/>
          </c:spPr>
          <c:cat>
            <c:numRef>
              <c:f>'Use this for graphs'!$A$2:$A$202</c:f>
              <c:numCache>
                <c:formatCode>"$"#,##0</c:formatCode>
                <c:ptCount val="201"/>
                <c:pt idx="0">
                  <c:v>0</c:v>
                </c:pt>
                <c:pt idx="1">
                  <c:v>500</c:v>
                </c:pt>
                <c:pt idx="2">
                  <c:v>1000</c:v>
                </c:pt>
                <c:pt idx="3">
                  <c:v>1500</c:v>
                </c:pt>
                <c:pt idx="4">
                  <c:v>2000</c:v>
                </c:pt>
                <c:pt idx="5">
                  <c:v>2500</c:v>
                </c:pt>
                <c:pt idx="6">
                  <c:v>3000</c:v>
                </c:pt>
                <c:pt idx="7">
                  <c:v>3500</c:v>
                </c:pt>
                <c:pt idx="8">
                  <c:v>4000</c:v>
                </c:pt>
                <c:pt idx="9">
                  <c:v>4500</c:v>
                </c:pt>
                <c:pt idx="10">
                  <c:v>5000</c:v>
                </c:pt>
                <c:pt idx="11">
                  <c:v>5500</c:v>
                </c:pt>
                <c:pt idx="12">
                  <c:v>6000</c:v>
                </c:pt>
                <c:pt idx="13">
                  <c:v>6500</c:v>
                </c:pt>
                <c:pt idx="14">
                  <c:v>7000</c:v>
                </c:pt>
                <c:pt idx="15">
                  <c:v>7500</c:v>
                </c:pt>
                <c:pt idx="16">
                  <c:v>8000</c:v>
                </c:pt>
                <c:pt idx="17">
                  <c:v>8500</c:v>
                </c:pt>
                <c:pt idx="18">
                  <c:v>9000</c:v>
                </c:pt>
                <c:pt idx="19">
                  <c:v>9500</c:v>
                </c:pt>
                <c:pt idx="20">
                  <c:v>10000</c:v>
                </c:pt>
                <c:pt idx="21">
                  <c:v>10500</c:v>
                </c:pt>
                <c:pt idx="22">
                  <c:v>11000</c:v>
                </c:pt>
                <c:pt idx="23">
                  <c:v>11500</c:v>
                </c:pt>
                <c:pt idx="24">
                  <c:v>12000</c:v>
                </c:pt>
                <c:pt idx="25">
                  <c:v>12500</c:v>
                </c:pt>
                <c:pt idx="26">
                  <c:v>13000</c:v>
                </c:pt>
                <c:pt idx="27">
                  <c:v>13500</c:v>
                </c:pt>
                <c:pt idx="28">
                  <c:v>14000</c:v>
                </c:pt>
                <c:pt idx="29">
                  <c:v>14500</c:v>
                </c:pt>
                <c:pt idx="30">
                  <c:v>15000</c:v>
                </c:pt>
                <c:pt idx="31">
                  <c:v>15500</c:v>
                </c:pt>
                <c:pt idx="32">
                  <c:v>16000</c:v>
                </c:pt>
                <c:pt idx="33">
                  <c:v>16500</c:v>
                </c:pt>
                <c:pt idx="34">
                  <c:v>17000</c:v>
                </c:pt>
                <c:pt idx="35">
                  <c:v>17500</c:v>
                </c:pt>
                <c:pt idx="36">
                  <c:v>18000</c:v>
                </c:pt>
                <c:pt idx="37">
                  <c:v>18500</c:v>
                </c:pt>
                <c:pt idx="38">
                  <c:v>19000</c:v>
                </c:pt>
                <c:pt idx="39">
                  <c:v>19500</c:v>
                </c:pt>
                <c:pt idx="40">
                  <c:v>20000</c:v>
                </c:pt>
                <c:pt idx="41">
                  <c:v>20500</c:v>
                </c:pt>
                <c:pt idx="42">
                  <c:v>21000</c:v>
                </c:pt>
                <c:pt idx="43">
                  <c:v>21500</c:v>
                </c:pt>
                <c:pt idx="44">
                  <c:v>22000</c:v>
                </c:pt>
                <c:pt idx="45">
                  <c:v>22500</c:v>
                </c:pt>
                <c:pt idx="46">
                  <c:v>23000</c:v>
                </c:pt>
                <c:pt idx="47">
                  <c:v>23500</c:v>
                </c:pt>
                <c:pt idx="48">
                  <c:v>24000</c:v>
                </c:pt>
                <c:pt idx="49">
                  <c:v>24500</c:v>
                </c:pt>
                <c:pt idx="50">
                  <c:v>25000</c:v>
                </c:pt>
                <c:pt idx="51">
                  <c:v>25500</c:v>
                </c:pt>
                <c:pt idx="52">
                  <c:v>26000</c:v>
                </c:pt>
                <c:pt idx="53">
                  <c:v>26500</c:v>
                </c:pt>
                <c:pt idx="54">
                  <c:v>27000</c:v>
                </c:pt>
                <c:pt idx="55">
                  <c:v>27500</c:v>
                </c:pt>
                <c:pt idx="56">
                  <c:v>28000</c:v>
                </c:pt>
                <c:pt idx="57">
                  <c:v>28500</c:v>
                </c:pt>
                <c:pt idx="58">
                  <c:v>29000</c:v>
                </c:pt>
                <c:pt idx="59">
                  <c:v>29500</c:v>
                </c:pt>
                <c:pt idx="60">
                  <c:v>30000</c:v>
                </c:pt>
                <c:pt idx="61">
                  <c:v>30500</c:v>
                </c:pt>
                <c:pt idx="62">
                  <c:v>31000</c:v>
                </c:pt>
                <c:pt idx="63">
                  <c:v>31500</c:v>
                </c:pt>
                <c:pt idx="64">
                  <c:v>32000</c:v>
                </c:pt>
                <c:pt idx="65">
                  <c:v>32500</c:v>
                </c:pt>
                <c:pt idx="66">
                  <c:v>33000</c:v>
                </c:pt>
                <c:pt idx="67">
                  <c:v>33500</c:v>
                </c:pt>
                <c:pt idx="68">
                  <c:v>34000</c:v>
                </c:pt>
                <c:pt idx="69">
                  <c:v>34500</c:v>
                </c:pt>
                <c:pt idx="70">
                  <c:v>35000</c:v>
                </c:pt>
                <c:pt idx="71">
                  <c:v>35500</c:v>
                </c:pt>
                <c:pt idx="72">
                  <c:v>36000</c:v>
                </c:pt>
                <c:pt idx="73">
                  <c:v>36500</c:v>
                </c:pt>
                <c:pt idx="74">
                  <c:v>37000</c:v>
                </c:pt>
                <c:pt idx="75">
                  <c:v>37500</c:v>
                </c:pt>
                <c:pt idx="76">
                  <c:v>38000</c:v>
                </c:pt>
                <c:pt idx="77">
                  <c:v>38500</c:v>
                </c:pt>
                <c:pt idx="78">
                  <c:v>39000</c:v>
                </c:pt>
                <c:pt idx="79">
                  <c:v>39500</c:v>
                </c:pt>
                <c:pt idx="80">
                  <c:v>40000</c:v>
                </c:pt>
                <c:pt idx="81">
                  <c:v>40500</c:v>
                </c:pt>
                <c:pt idx="82">
                  <c:v>41000</c:v>
                </c:pt>
                <c:pt idx="83">
                  <c:v>41500</c:v>
                </c:pt>
                <c:pt idx="84">
                  <c:v>42000</c:v>
                </c:pt>
                <c:pt idx="85">
                  <c:v>42500</c:v>
                </c:pt>
                <c:pt idx="86">
                  <c:v>43000</c:v>
                </c:pt>
                <c:pt idx="87">
                  <c:v>43500</c:v>
                </c:pt>
                <c:pt idx="88">
                  <c:v>44000</c:v>
                </c:pt>
                <c:pt idx="89">
                  <c:v>44500</c:v>
                </c:pt>
                <c:pt idx="90">
                  <c:v>45000</c:v>
                </c:pt>
                <c:pt idx="91">
                  <c:v>45500</c:v>
                </c:pt>
                <c:pt idx="92">
                  <c:v>46000</c:v>
                </c:pt>
                <c:pt idx="93">
                  <c:v>46500</c:v>
                </c:pt>
                <c:pt idx="94">
                  <c:v>47000</c:v>
                </c:pt>
                <c:pt idx="95">
                  <c:v>47500</c:v>
                </c:pt>
                <c:pt idx="96">
                  <c:v>48000</c:v>
                </c:pt>
                <c:pt idx="97">
                  <c:v>48500</c:v>
                </c:pt>
                <c:pt idx="98">
                  <c:v>49000</c:v>
                </c:pt>
                <c:pt idx="99">
                  <c:v>49500</c:v>
                </c:pt>
                <c:pt idx="100">
                  <c:v>50000</c:v>
                </c:pt>
                <c:pt idx="101">
                  <c:v>50500</c:v>
                </c:pt>
                <c:pt idx="102">
                  <c:v>51000</c:v>
                </c:pt>
                <c:pt idx="103">
                  <c:v>51500</c:v>
                </c:pt>
                <c:pt idx="104">
                  <c:v>52000</c:v>
                </c:pt>
                <c:pt idx="105">
                  <c:v>52500</c:v>
                </c:pt>
                <c:pt idx="106">
                  <c:v>53000</c:v>
                </c:pt>
                <c:pt idx="107">
                  <c:v>53500</c:v>
                </c:pt>
                <c:pt idx="108">
                  <c:v>54000</c:v>
                </c:pt>
                <c:pt idx="109">
                  <c:v>54500</c:v>
                </c:pt>
                <c:pt idx="110">
                  <c:v>55000</c:v>
                </c:pt>
                <c:pt idx="111">
                  <c:v>55500</c:v>
                </c:pt>
                <c:pt idx="112">
                  <c:v>56000</c:v>
                </c:pt>
                <c:pt idx="113">
                  <c:v>56500</c:v>
                </c:pt>
                <c:pt idx="114">
                  <c:v>57000</c:v>
                </c:pt>
                <c:pt idx="115">
                  <c:v>57500</c:v>
                </c:pt>
                <c:pt idx="116">
                  <c:v>58000</c:v>
                </c:pt>
                <c:pt idx="117">
                  <c:v>58500</c:v>
                </c:pt>
                <c:pt idx="118">
                  <c:v>59000</c:v>
                </c:pt>
                <c:pt idx="119">
                  <c:v>59500</c:v>
                </c:pt>
                <c:pt idx="120">
                  <c:v>60000</c:v>
                </c:pt>
                <c:pt idx="121">
                  <c:v>60500</c:v>
                </c:pt>
                <c:pt idx="122">
                  <c:v>61000</c:v>
                </c:pt>
                <c:pt idx="123">
                  <c:v>61500</c:v>
                </c:pt>
                <c:pt idx="124">
                  <c:v>62000</c:v>
                </c:pt>
                <c:pt idx="125">
                  <c:v>62500</c:v>
                </c:pt>
                <c:pt idx="126">
                  <c:v>63000</c:v>
                </c:pt>
                <c:pt idx="127">
                  <c:v>63500</c:v>
                </c:pt>
                <c:pt idx="128">
                  <c:v>64000</c:v>
                </c:pt>
                <c:pt idx="129">
                  <c:v>64500</c:v>
                </c:pt>
                <c:pt idx="130">
                  <c:v>65000</c:v>
                </c:pt>
                <c:pt idx="131">
                  <c:v>65500</c:v>
                </c:pt>
                <c:pt idx="132">
                  <c:v>66000</c:v>
                </c:pt>
                <c:pt idx="133">
                  <c:v>66500</c:v>
                </c:pt>
                <c:pt idx="134">
                  <c:v>67000</c:v>
                </c:pt>
                <c:pt idx="135">
                  <c:v>67500</c:v>
                </c:pt>
                <c:pt idx="136">
                  <c:v>68000</c:v>
                </c:pt>
                <c:pt idx="137">
                  <c:v>68500</c:v>
                </c:pt>
                <c:pt idx="138">
                  <c:v>69000</c:v>
                </c:pt>
                <c:pt idx="139">
                  <c:v>69500</c:v>
                </c:pt>
                <c:pt idx="140">
                  <c:v>70000</c:v>
                </c:pt>
                <c:pt idx="141">
                  <c:v>70500</c:v>
                </c:pt>
                <c:pt idx="142">
                  <c:v>71000</c:v>
                </c:pt>
                <c:pt idx="143">
                  <c:v>71500</c:v>
                </c:pt>
                <c:pt idx="144">
                  <c:v>72000</c:v>
                </c:pt>
                <c:pt idx="145">
                  <c:v>72500</c:v>
                </c:pt>
                <c:pt idx="146">
                  <c:v>73000</c:v>
                </c:pt>
                <c:pt idx="147">
                  <c:v>73500</c:v>
                </c:pt>
                <c:pt idx="148">
                  <c:v>74000</c:v>
                </c:pt>
                <c:pt idx="149">
                  <c:v>74500</c:v>
                </c:pt>
                <c:pt idx="150">
                  <c:v>75000</c:v>
                </c:pt>
                <c:pt idx="151">
                  <c:v>75500</c:v>
                </c:pt>
                <c:pt idx="152">
                  <c:v>76000</c:v>
                </c:pt>
                <c:pt idx="153">
                  <c:v>76500</c:v>
                </c:pt>
                <c:pt idx="154">
                  <c:v>77000</c:v>
                </c:pt>
                <c:pt idx="155">
                  <c:v>77500</c:v>
                </c:pt>
                <c:pt idx="156">
                  <c:v>78000</c:v>
                </c:pt>
                <c:pt idx="157">
                  <c:v>78500</c:v>
                </c:pt>
                <c:pt idx="158">
                  <c:v>79000</c:v>
                </c:pt>
                <c:pt idx="159">
                  <c:v>79500</c:v>
                </c:pt>
                <c:pt idx="160">
                  <c:v>80000</c:v>
                </c:pt>
                <c:pt idx="161">
                  <c:v>80500</c:v>
                </c:pt>
                <c:pt idx="162">
                  <c:v>81000</c:v>
                </c:pt>
                <c:pt idx="163">
                  <c:v>81500</c:v>
                </c:pt>
                <c:pt idx="164">
                  <c:v>82000</c:v>
                </c:pt>
                <c:pt idx="165">
                  <c:v>82500</c:v>
                </c:pt>
                <c:pt idx="166">
                  <c:v>83000</c:v>
                </c:pt>
                <c:pt idx="167">
                  <c:v>83500</c:v>
                </c:pt>
                <c:pt idx="168">
                  <c:v>84000</c:v>
                </c:pt>
                <c:pt idx="169">
                  <c:v>84500</c:v>
                </c:pt>
                <c:pt idx="170">
                  <c:v>85000</c:v>
                </c:pt>
                <c:pt idx="171">
                  <c:v>85500</c:v>
                </c:pt>
                <c:pt idx="172">
                  <c:v>86000</c:v>
                </c:pt>
                <c:pt idx="173">
                  <c:v>86500</c:v>
                </c:pt>
                <c:pt idx="174">
                  <c:v>87000</c:v>
                </c:pt>
                <c:pt idx="175">
                  <c:v>87500</c:v>
                </c:pt>
                <c:pt idx="176">
                  <c:v>88000</c:v>
                </c:pt>
                <c:pt idx="177">
                  <c:v>88500</c:v>
                </c:pt>
                <c:pt idx="178">
                  <c:v>89000</c:v>
                </c:pt>
                <c:pt idx="179">
                  <c:v>89500</c:v>
                </c:pt>
                <c:pt idx="180">
                  <c:v>90000</c:v>
                </c:pt>
                <c:pt idx="181">
                  <c:v>90500</c:v>
                </c:pt>
                <c:pt idx="182">
                  <c:v>91000</c:v>
                </c:pt>
                <c:pt idx="183">
                  <c:v>91500</c:v>
                </c:pt>
                <c:pt idx="184">
                  <c:v>92000</c:v>
                </c:pt>
                <c:pt idx="185">
                  <c:v>92500</c:v>
                </c:pt>
                <c:pt idx="186">
                  <c:v>93000</c:v>
                </c:pt>
                <c:pt idx="187">
                  <c:v>93500</c:v>
                </c:pt>
                <c:pt idx="188">
                  <c:v>94000</c:v>
                </c:pt>
                <c:pt idx="189">
                  <c:v>94500</c:v>
                </c:pt>
                <c:pt idx="190">
                  <c:v>95000</c:v>
                </c:pt>
                <c:pt idx="191">
                  <c:v>95500</c:v>
                </c:pt>
                <c:pt idx="192">
                  <c:v>96000</c:v>
                </c:pt>
                <c:pt idx="193">
                  <c:v>96500</c:v>
                </c:pt>
                <c:pt idx="194">
                  <c:v>97000</c:v>
                </c:pt>
                <c:pt idx="195">
                  <c:v>97500</c:v>
                </c:pt>
                <c:pt idx="196">
                  <c:v>98000</c:v>
                </c:pt>
                <c:pt idx="197">
                  <c:v>98500</c:v>
                </c:pt>
                <c:pt idx="198">
                  <c:v>99000</c:v>
                </c:pt>
                <c:pt idx="199">
                  <c:v>99500</c:v>
                </c:pt>
                <c:pt idx="200">
                  <c:v>100000</c:v>
                </c:pt>
              </c:numCache>
            </c:numRef>
          </c:cat>
          <c:val>
            <c:numRef>
              <c:f>'Use this for graphs'!$H$2:$H$202</c:f>
              <c:numCache>
                <c:formatCode>"$"#,##0</c:formatCode>
                <c:ptCount val="201"/>
                <c:pt idx="0" formatCode="&quot;$&quot;#,##0.00">
                  <c:v>0</c:v>
                </c:pt>
                <c:pt idx="1">
                  <c:v>204</c:v>
                </c:pt>
                <c:pt idx="2">
                  <c:v>408</c:v>
                </c:pt>
                <c:pt idx="3">
                  <c:v>612.00000000000011</c:v>
                </c:pt>
                <c:pt idx="4">
                  <c:v>816</c:v>
                </c:pt>
                <c:pt idx="5">
                  <c:v>1020.0000000000001</c:v>
                </c:pt>
                <c:pt idx="6">
                  <c:v>1224.0000000000002</c:v>
                </c:pt>
                <c:pt idx="7">
                  <c:v>1428</c:v>
                </c:pt>
                <c:pt idx="8">
                  <c:v>1632</c:v>
                </c:pt>
                <c:pt idx="9">
                  <c:v>1836</c:v>
                </c:pt>
                <c:pt idx="10">
                  <c:v>2040.0000000000002</c:v>
                </c:pt>
                <c:pt idx="11">
                  <c:v>2244.0000000000005</c:v>
                </c:pt>
                <c:pt idx="12">
                  <c:v>2448.0000000000005</c:v>
                </c:pt>
                <c:pt idx="13">
                  <c:v>2652</c:v>
                </c:pt>
                <c:pt idx="14">
                  <c:v>2856</c:v>
                </c:pt>
                <c:pt idx="15">
                  <c:v>3060</c:v>
                </c:pt>
                <c:pt idx="16">
                  <c:v>3264</c:v>
                </c:pt>
                <c:pt idx="17">
                  <c:v>3468</c:v>
                </c:pt>
                <c:pt idx="18">
                  <c:v>3672</c:v>
                </c:pt>
                <c:pt idx="19">
                  <c:v>3876.0000000000005</c:v>
                </c:pt>
                <c:pt idx="20">
                  <c:v>4080.0000000000005</c:v>
                </c:pt>
                <c:pt idx="21">
                  <c:v>4284.0000000000009</c:v>
                </c:pt>
                <c:pt idx="22">
                  <c:v>4488.0000000000009</c:v>
                </c:pt>
                <c:pt idx="23">
                  <c:v>4692.0000000000009</c:v>
                </c:pt>
                <c:pt idx="24">
                  <c:v>4896.0000000000009</c:v>
                </c:pt>
                <c:pt idx="25">
                  <c:v>5100</c:v>
                </c:pt>
                <c:pt idx="26">
                  <c:v>5304</c:v>
                </c:pt>
                <c:pt idx="27">
                  <c:v>5312.4</c:v>
                </c:pt>
                <c:pt idx="28">
                  <c:v>5312.4</c:v>
                </c:pt>
                <c:pt idx="29">
                  <c:v>5312.4</c:v>
                </c:pt>
                <c:pt idx="30">
                  <c:v>5312.4</c:v>
                </c:pt>
                <c:pt idx="31">
                  <c:v>5312.4</c:v>
                </c:pt>
                <c:pt idx="32">
                  <c:v>5312.4</c:v>
                </c:pt>
                <c:pt idx="33">
                  <c:v>5312.4</c:v>
                </c:pt>
                <c:pt idx="34">
                  <c:v>5312.4</c:v>
                </c:pt>
                <c:pt idx="35">
                  <c:v>5312.4</c:v>
                </c:pt>
                <c:pt idx="36">
                  <c:v>5312.4</c:v>
                </c:pt>
                <c:pt idx="37">
                  <c:v>5312.4</c:v>
                </c:pt>
                <c:pt idx="38">
                  <c:v>5312.4</c:v>
                </c:pt>
                <c:pt idx="39">
                  <c:v>5312.4</c:v>
                </c:pt>
                <c:pt idx="40">
                  <c:v>5312.4</c:v>
                </c:pt>
                <c:pt idx="41">
                  <c:v>5312.4</c:v>
                </c:pt>
                <c:pt idx="42">
                  <c:v>5312.4</c:v>
                </c:pt>
                <c:pt idx="43">
                  <c:v>5312.4</c:v>
                </c:pt>
                <c:pt idx="44">
                  <c:v>5312.4</c:v>
                </c:pt>
                <c:pt idx="45">
                  <c:v>5312.4</c:v>
                </c:pt>
                <c:pt idx="46">
                  <c:v>5312.4</c:v>
                </c:pt>
                <c:pt idx="47">
                  <c:v>5312.4</c:v>
                </c:pt>
                <c:pt idx="48">
                  <c:v>5291.4981600000001</c:v>
                </c:pt>
                <c:pt idx="49">
                  <c:v>5195.61816</c:v>
                </c:pt>
                <c:pt idx="50">
                  <c:v>5099.7381599999999</c:v>
                </c:pt>
                <c:pt idx="51">
                  <c:v>5003.8581599999998</c:v>
                </c:pt>
                <c:pt idx="52">
                  <c:v>4907.9781600000006</c:v>
                </c:pt>
                <c:pt idx="53">
                  <c:v>4812.0981599999996</c:v>
                </c:pt>
                <c:pt idx="54">
                  <c:v>4716.2181600000004</c:v>
                </c:pt>
                <c:pt idx="55">
                  <c:v>4620.3381599999993</c:v>
                </c:pt>
                <c:pt idx="56">
                  <c:v>4524.4581600000001</c:v>
                </c:pt>
                <c:pt idx="57">
                  <c:v>4428.57816</c:v>
                </c:pt>
                <c:pt idx="58">
                  <c:v>4332.6981599999999</c:v>
                </c:pt>
                <c:pt idx="59">
                  <c:v>4236.8181600000007</c:v>
                </c:pt>
                <c:pt idx="60">
                  <c:v>4140.9381599999997</c:v>
                </c:pt>
                <c:pt idx="61">
                  <c:v>4045.05816</c:v>
                </c:pt>
                <c:pt idx="62">
                  <c:v>3949.1781599999999</c:v>
                </c:pt>
                <c:pt idx="63">
                  <c:v>3853.2981599999998</c:v>
                </c:pt>
                <c:pt idx="64">
                  <c:v>3757.4181600000002</c:v>
                </c:pt>
                <c:pt idx="65">
                  <c:v>3661.5381599999996</c:v>
                </c:pt>
                <c:pt idx="66">
                  <c:v>3565.65816</c:v>
                </c:pt>
                <c:pt idx="67">
                  <c:v>3469.7781599999998</c:v>
                </c:pt>
                <c:pt idx="68">
                  <c:v>3373.8981599999997</c:v>
                </c:pt>
                <c:pt idx="69">
                  <c:v>3278.0181600000005</c:v>
                </c:pt>
                <c:pt idx="70">
                  <c:v>3182.1381599999995</c:v>
                </c:pt>
                <c:pt idx="71">
                  <c:v>3086.2581600000003</c:v>
                </c:pt>
                <c:pt idx="72">
                  <c:v>2990.3781600000002</c:v>
                </c:pt>
                <c:pt idx="73">
                  <c:v>2894.4981600000001</c:v>
                </c:pt>
                <c:pt idx="74">
                  <c:v>2798.61816</c:v>
                </c:pt>
                <c:pt idx="75">
                  <c:v>2702.7381600000003</c:v>
                </c:pt>
                <c:pt idx="76">
                  <c:v>2606.8581600000002</c:v>
                </c:pt>
                <c:pt idx="77">
                  <c:v>2510.9781600000001</c:v>
                </c:pt>
                <c:pt idx="78">
                  <c:v>2415.09816</c:v>
                </c:pt>
                <c:pt idx="79">
                  <c:v>2319.2181599999999</c:v>
                </c:pt>
                <c:pt idx="80">
                  <c:v>2223.3381600000002</c:v>
                </c:pt>
                <c:pt idx="81">
                  <c:v>2127.4581600000001</c:v>
                </c:pt>
                <c:pt idx="82">
                  <c:v>2031.57816</c:v>
                </c:pt>
                <c:pt idx="83">
                  <c:v>1935.6981599999999</c:v>
                </c:pt>
                <c:pt idx="84">
                  <c:v>1839.8181599999998</c:v>
                </c:pt>
                <c:pt idx="85">
                  <c:v>1743.9381600000002</c:v>
                </c:pt>
                <c:pt idx="86">
                  <c:v>1648.05816</c:v>
                </c:pt>
                <c:pt idx="87">
                  <c:v>1552.1781599999999</c:v>
                </c:pt>
                <c:pt idx="88">
                  <c:v>1456.2981599999998</c:v>
                </c:pt>
                <c:pt idx="89">
                  <c:v>1360.4181599999997</c:v>
                </c:pt>
                <c:pt idx="90">
                  <c:v>1264.5381600000003</c:v>
                </c:pt>
                <c:pt idx="91">
                  <c:v>1168.6581600000002</c:v>
                </c:pt>
                <c:pt idx="92">
                  <c:v>1072.7781600000001</c:v>
                </c:pt>
                <c:pt idx="93">
                  <c:v>976.89815999999996</c:v>
                </c:pt>
                <c:pt idx="94">
                  <c:v>881.01815999999985</c:v>
                </c:pt>
                <c:pt idx="95">
                  <c:v>785.1381600000002</c:v>
                </c:pt>
                <c:pt idx="96">
                  <c:v>689.25816000000009</c:v>
                </c:pt>
                <c:pt idx="97">
                  <c:v>593.37815999999998</c:v>
                </c:pt>
                <c:pt idx="98">
                  <c:v>497.49815999999993</c:v>
                </c:pt>
                <c:pt idx="99">
                  <c:v>401.61815999999982</c:v>
                </c:pt>
                <c:pt idx="100">
                  <c:v>305.73815999999971</c:v>
                </c:pt>
                <c:pt idx="101">
                  <c:v>0</c:v>
                </c:pt>
                <c:pt idx="102">
                  <c:v>0</c:v>
                </c:pt>
                <c:pt idx="103">
                  <c:v>0</c:v>
                </c:pt>
                <c:pt idx="104">
                  <c:v>0</c:v>
                </c:pt>
                <c:pt idx="105">
                  <c:v>0</c:v>
                </c:pt>
                <c:pt idx="106">
                  <c:v>0</c:v>
                </c:pt>
                <c:pt idx="107">
                  <c:v>0</c:v>
                </c:pt>
                <c:pt idx="108">
                  <c:v>0</c:v>
                </c:pt>
                <c:pt idx="109">
                  <c:v>0</c:v>
                </c:pt>
                <c:pt idx="110">
                  <c:v>0</c:v>
                </c:pt>
                <c:pt idx="111">
                  <c:v>0</c:v>
                </c:pt>
                <c:pt idx="112">
                  <c:v>0</c:v>
                </c:pt>
                <c:pt idx="113">
                  <c:v>0</c:v>
                </c:pt>
                <c:pt idx="114">
                  <c:v>0</c:v>
                </c:pt>
                <c:pt idx="115">
                  <c:v>0</c:v>
                </c:pt>
                <c:pt idx="116">
                  <c:v>0</c:v>
                </c:pt>
                <c:pt idx="117">
                  <c:v>0</c:v>
                </c:pt>
                <c:pt idx="118">
                  <c:v>0</c:v>
                </c:pt>
                <c:pt idx="119">
                  <c:v>0</c:v>
                </c:pt>
                <c:pt idx="120">
                  <c:v>0</c:v>
                </c:pt>
                <c:pt idx="121">
                  <c:v>0</c:v>
                </c:pt>
                <c:pt idx="122">
                  <c:v>0</c:v>
                </c:pt>
                <c:pt idx="123">
                  <c:v>0</c:v>
                </c:pt>
                <c:pt idx="124">
                  <c:v>0</c:v>
                </c:pt>
                <c:pt idx="125">
                  <c:v>0</c:v>
                </c:pt>
                <c:pt idx="126">
                  <c:v>0</c:v>
                </c:pt>
                <c:pt idx="127">
                  <c:v>0</c:v>
                </c:pt>
                <c:pt idx="128">
                  <c:v>0</c:v>
                </c:pt>
                <c:pt idx="129">
                  <c:v>0</c:v>
                </c:pt>
                <c:pt idx="130">
                  <c:v>0</c:v>
                </c:pt>
                <c:pt idx="131">
                  <c:v>0</c:v>
                </c:pt>
                <c:pt idx="132">
                  <c:v>0</c:v>
                </c:pt>
                <c:pt idx="133">
                  <c:v>0</c:v>
                </c:pt>
                <c:pt idx="134">
                  <c:v>0</c:v>
                </c:pt>
                <c:pt idx="135">
                  <c:v>0</c:v>
                </c:pt>
                <c:pt idx="136">
                  <c:v>0</c:v>
                </c:pt>
                <c:pt idx="137">
                  <c:v>0</c:v>
                </c:pt>
                <c:pt idx="138">
                  <c:v>0</c:v>
                </c:pt>
                <c:pt idx="139">
                  <c:v>0</c:v>
                </c:pt>
                <c:pt idx="140">
                  <c:v>0</c:v>
                </c:pt>
                <c:pt idx="141">
                  <c:v>0</c:v>
                </c:pt>
                <c:pt idx="142">
                  <c:v>0</c:v>
                </c:pt>
                <c:pt idx="143">
                  <c:v>0</c:v>
                </c:pt>
                <c:pt idx="144">
                  <c:v>0</c:v>
                </c:pt>
                <c:pt idx="145">
                  <c:v>0</c:v>
                </c:pt>
                <c:pt idx="146">
                  <c:v>0</c:v>
                </c:pt>
                <c:pt idx="147">
                  <c:v>0</c:v>
                </c:pt>
                <c:pt idx="148">
                  <c:v>0</c:v>
                </c:pt>
                <c:pt idx="149">
                  <c:v>0</c:v>
                </c:pt>
                <c:pt idx="150">
                  <c:v>0</c:v>
                </c:pt>
                <c:pt idx="151">
                  <c:v>0</c:v>
                </c:pt>
                <c:pt idx="152">
                  <c:v>0</c:v>
                </c:pt>
                <c:pt idx="153">
                  <c:v>0</c:v>
                </c:pt>
                <c:pt idx="154">
                  <c:v>0</c:v>
                </c:pt>
                <c:pt idx="155">
                  <c:v>0</c:v>
                </c:pt>
                <c:pt idx="156">
                  <c:v>0</c:v>
                </c:pt>
                <c:pt idx="157">
                  <c:v>0</c:v>
                </c:pt>
                <c:pt idx="158">
                  <c:v>0</c:v>
                </c:pt>
                <c:pt idx="159">
                  <c:v>0</c:v>
                </c:pt>
                <c:pt idx="160">
                  <c:v>0</c:v>
                </c:pt>
                <c:pt idx="161">
                  <c:v>0</c:v>
                </c:pt>
                <c:pt idx="162">
                  <c:v>0</c:v>
                </c:pt>
                <c:pt idx="163">
                  <c:v>0</c:v>
                </c:pt>
                <c:pt idx="164">
                  <c:v>0</c:v>
                </c:pt>
                <c:pt idx="165">
                  <c:v>0</c:v>
                </c:pt>
                <c:pt idx="166">
                  <c:v>0</c:v>
                </c:pt>
                <c:pt idx="167">
                  <c:v>0</c:v>
                </c:pt>
                <c:pt idx="168">
                  <c:v>0</c:v>
                </c:pt>
                <c:pt idx="169">
                  <c:v>0</c:v>
                </c:pt>
                <c:pt idx="170">
                  <c:v>0</c:v>
                </c:pt>
                <c:pt idx="171">
                  <c:v>0</c:v>
                </c:pt>
                <c:pt idx="172">
                  <c:v>0</c:v>
                </c:pt>
                <c:pt idx="173">
                  <c:v>0</c:v>
                </c:pt>
                <c:pt idx="174">
                  <c:v>0</c:v>
                </c:pt>
                <c:pt idx="175">
                  <c:v>0</c:v>
                </c:pt>
                <c:pt idx="176">
                  <c:v>0</c:v>
                </c:pt>
                <c:pt idx="177">
                  <c:v>0</c:v>
                </c:pt>
                <c:pt idx="178">
                  <c:v>0</c:v>
                </c:pt>
                <c:pt idx="179">
                  <c:v>0</c:v>
                </c:pt>
                <c:pt idx="180">
                  <c:v>0</c:v>
                </c:pt>
                <c:pt idx="181">
                  <c:v>0</c:v>
                </c:pt>
                <c:pt idx="182">
                  <c:v>0</c:v>
                </c:pt>
                <c:pt idx="183">
                  <c:v>0</c:v>
                </c:pt>
                <c:pt idx="184">
                  <c:v>0</c:v>
                </c:pt>
                <c:pt idx="185">
                  <c:v>0</c:v>
                </c:pt>
                <c:pt idx="186">
                  <c:v>0</c:v>
                </c:pt>
                <c:pt idx="187">
                  <c:v>0</c:v>
                </c:pt>
                <c:pt idx="188">
                  <c:v>0</c:v>
                </c:pt>
                <c:pt idx="189">
                  <c:v>0</c:v>
                </c:pt>
                <c:pt idx="190">
                  <c:v>0</c:v>
                </c:pt>
                <c:pt idx="191">
                  <c:v>0</c:v>
                </c:pt>
                <c:pt idx="192">
                  <c:v>0</c:v>
                </c:pt>
                <c:pt idx="193">
                  <c:v>0</c:v>
                </c:pt>
                <c:pt idx="194">
                  <c:v>0</c:v>
                </c:pt>
                <c:pt idx="195">
                  <c:v>0</c:v>
                </c:pt>
                <c:pt idx="196">
                  <c:v>0</c:v>
                </c:pt>
                <c:pt idx="197">
                  <c:v>0</c:v>
                </c:pt>
                <c:pt idx="198">
                  <c:v>0</c:v>
                </c:pt>
                <c:pt idx="199">
                  <c:v>0</c:v>
                </c:pt>
                <c:pt idx="200">
                  <c:v>0</c:v>
                </c:pt>
              </c:numCache>
            </c:numRef>
          </c:val>
          <c:extLst>
            <c:ext xmlns:c16="http://schemas.microsoft.com/office/drawing/2014/chart" uri="{C3380CC4-5D6E-409C-BE32-E72D297353CC}">
              <c16:uniqueId val="{00000005-2313-4AA3-8472-5B3EC23DBAE5}"/>
            </c:ext>
          </c:extLst>
        </c:ser>
        <c:ser>
          <c:idx val="0"/>
          <c:order val="8"/>
          <c:tx>
            <c:strRef>
              <c:f>'Use this for graphs'!$I$1</c:f>
              <c:strCache>
                <c:ptCount val="1"/>
                <c:pt idx="0">
                  <c:v>Value of Medicaid</c:v>
                </c:pt>
              </c:strCache>
            </c:strRef>
          </c:tx>
          <c:spPr>
            <a:solidFill>
              <a:schemeClr val="accent1"/>
            </a:solidFill>
            <a:ln>
              <a:noFill/>
            </a:ln>
            <a:effectLst/>
          </c:spPr>
          <c:cat>
            <c:numRef>
              <c:f>'Use this for graphs'!$A$2:$A$202</c:f>
              <c:numCache>
                <c:formatCode>"$"#,##0</c:formatCode>
                <c:ptCount val="201"/>
                <c:pt idx="0">
                  <c:v>0</c:v>
                </c:pt>
                <c:pt idx="1">
                  <c:v>500</c:v>
                </c:pt>
                <c:pt idx="2">
                  <c:v>1000</c:v>
                </c:pt>
                <c:pt idx="3">
                  <c:v>1500</c:v>
                </c:pt>
                <c:pt idx="4">
                  <c:v>2000</c:v>
                </c:pt>
                <c:pt idx="5">
                  <c:v>2500</c:v>
                </c:pt>
                <c:pt idx="6">
                  <c:v>3000</c:v>
                </c:pt>
                <c:pt idx="7">
                  <c:v>3500</c:v>
                </c:pt>
                <c:pt idx="8">
                  <c:v>4000</c:v>
                </c:pt>
                <c:pt idx="9">
                  <c:v>4500</c:v>
                </c:pt>
                <c:pt idx="10">
                  <c:v>5000</c:v>
                </c:pt>
                <c:pt idx="11">
                  <c:v>5500</c:v>
                </c:pt>
                <c:pt idx="12">
                  <c:v>6000</c:v>
                </c:pt>
                <c:pt idx="13">
                  <c:v>6500</c:v>
                </c:pt>
                <c:pt idx="14">
                  <c:v>7000</c:v>
                </c:pt>
                <c:pt idx="15">
                  <c:v>7500</c:v>
                </c:pt>
                <c:pt idx="16">
                  <c:v>8000</c:v>
                </c:pt>
                <c:pt idx="17">
                  <c:v>8500</c:v>
                </c:pt>
                <c:pt idx="18">
                  <c:v>9000</c:v>
                </c:pt>
                <c:pt idx="19">
                  <c:v>9500</c:v>
                </c:pt>
                <c:pt idx="20">
                  <c:v>10000</c:v>
                </c:pt>
                <c:pt idx="21">
                  <c:v>10500</c:v>
                </c:pt>
                <c:pt idx="22">
                  <c:v>11000</c:v>
                </c:pt>
                <c:pt idx="23">
                  <c:v>11500</c:v>
                </c:pt>
                <c:pt idx="24">
                  <c:v>12000</c:v>
                </c:pt>
                <c:pt idx="25">
                  <c:v>12500</c:v>
                </c:pt>
                <c:pt idx="26">
                  <c:v>13000</c:v>
                </c:pt>
                <c:pt idx="27">
                  <c:v>13500</c:v>
                </c:pt>
                <c:pt idx="28">
                  <c:v>14000</c:v>
                </c:pt>
                <c:pt idx="29">
                  <c:v>14500</c:v>
                </c:pt>
                <c:pt idx="30">
                  <c:v>15000</c:v>
                </c:pt>
                <c:pt idx="31">
                  <c:v>15500</c:v>
                </c:pt>
                <c:pt idx="32">
                  <c:v>16000</c:v>
                </c:pt>
                <c:pt idx="33">
                  <c:v>16500</c:v>
                </c:pt>
                <c:pt idx="34">
                  <c:v>17000</c:v>
                </c:pt>
                <c:pt idx="35">
                  <c:v>17500</c:v>
                </c:pt>
                <c:pt idx="36">
                  <c:v>18000</c:v>
                </c:pt>
                <c:pt idx="37">
                  <c:v>18500</c:v>
                </c:pt>
                <c:pt idx="38">
                  <c:v>19000</c:v>
                </c:pt>
                <c:pt idx="39">
                  <c:v>19500</c:v>
                </c:pt>
                <c:pt idx="40">
                  <c:v>20000</c:v>
                </c:pt>
                <c:pt idx="41">
                  <c:v>20500</c:v>
                </c:pt>
                <c:pt idx="42">
                  <c:v>21000</c:v>
                </c:pt>
                <c:pt idx="43">
                  <c:v>21500</c:v>
                </c:pt>
                <c:pt idx="44">
                  <c:v>22000</c:v>
                </c:pt>
                <c:pt idx="45">
                  <c:v>22500</c:v>
                </c:pt>
                <c:pt idx="46">
                  <c:v>23000</c:v>
                </c:pt>
                <c:pt idx="47">
                  <c:v>23500</c:v>
                </c:pt>
                <c:pt idx="48">
                  <c:v>24000</c:v>
                </c:pt>
                <c:pt idx="49">
                  <c:v>24500</c:v>
                </c:pt>
                <c:pt idx="50">
                  <c:v>25000</c:v>
                </c:pt>
                <c:pt idx="51">
                  <c:v>25500</c:v>
                </c:pt>
                <c:pt idx="52">
                  <c:v>26000</c:v>
                </c:pt>
                <c:pt idx="53">
                  <c:v>26500</c:v>
                </c:pt>
                <c:pt idx="54">
                  <c:v>27000</c:v>
                </c:pt>
                <c:pt idx="55">
                  <c:v>27500</c:v>
                </c:pt>
                <c:pt idx="56">
                  <c:v>28000</c:v>
                </c:pt>
                <c:pt idx="57">
                  <c:v>28500</c:v>
                </c:pt>
                <c:pt idx="58">
                  <c:v>29000</c:v>
                </c:pt>
                <c:pt idx="59">
                  <c:v>29500</c:v>
                </c:pt>
                <c:pt idx="60">
                  <c:v>30000</c:v>
                </c:pt>
                <c:pt idx="61">
                  <c:v>30500</c:v>
                </c:pt>
                <c:pt idx="62">
                  <c:v>31000</c:v>
                </c:pt>
                <c:pt idx="63">
                  <c:v>31500</c:v>
                </c:pt>
                <c:pt idx="64">
                  <c:v>32000</c:v>
                </c:pt>
                <c:pt idx="65">
                  <c:v>32500</c:v>
                </c:pt>
                <c:pt idx="66">
                  <c:v>33000</c:v>
                </c:pt>
                <c:pt idx="67">
                  <c:v>33500</c:v>
                </c:pt>
                <c:pt idx="68">
                  <c:v>34000</c:v>
                </c:pt>
                <c:pt idx="69">
                  <c:v>34500</c:v>
                </c:pt>
                <c:pt idx="70">
                  <c:v>35000</c:v>
                </c:pt>
                <c:pt idx="71">
                  <c:v>35500</c:v>
                </c:pt>
                <c:pt idx="72">
                  <c:v>36000</c:v>
                </c:pt>
                <c:pt idx="73">
                  <c:v>36500</c:v>
                </c:pt>
                <c:pt idx="74">
                  <c:v>37000</c:v>
                </c:pt>
                <c:pt idx="75">
                  <c:v>37500</c:v>
                </c:pt>
                <c:pt idx="76">
                  <c:v>38000</c:v>
                </c:pt>
                <c:pt idx="77">
                  <c:v>38500</c:v>
                </c:pt>
                <c:pt idx="78">
                  <c:v>39000</c:v>
                </c:pt>
                <c:pt idx="79">
                  <c:v>39500</c:v>
                </c:pt>
                <c:pt idx="80">
                  <c:v>40000</c:v>
                </c:pt>
                <c:pt idx="81">
                  <c:v>40500</c:v>
                </c:pt>
                <c:pt idx="82">
                  <c:v>41000</c:v>
                </c:pt>
                <c:pt idx="83">
                  <c:v>41500</c:v>
                </c:pt>
                <c:pt idx="84">
                  <c:v>42000</c:v>
                </c:pt>
                <c:pt idx="85">
                  <c:v>42500</c:v>
                </c:pt>
                <c:pt idx="86">
                  <c:v>43000</c:v>
                </c:pt>
                <c:pt idx="87">
                  <c:v>43500</c:v>
                </c:pt>
                <c:pt idx="88">
                  <c:v>44000</c:v>
                </c:pt>
                <c:pt idx="89">
                  <c:v>44500</c:v>
                </c:pt>
                <c:pt idx="90">
                  <c:v>45000</c:v>
                </c:pt>
                <c:pt idx="91">
                  <c:v>45500</c:v>
                </c:pt>
                <c:pt idx="92">
                  <c:v>46000</c:v>
                </c:pt>
                <c:pt idx="93">
                  <c:v>46500</c:v>
                </c:pt>
                <c:pt idx="94">
                  <c:v>47000</c:v>
                </c:pt>
                <c:pt idx="95">
                  <c:v>47500</c:v>
                </c:pt>
                <c:pt idx="96">
                  <c:v>48000</c:v>
                </c:pt>
                <c:pt idx="97">
                  <c:v>48500</c:v>
                </c:pt>
                <c:pt idx="98">
                  <c:v>49000</c:v>
                </c:pt>
                <c:pt idx="99">
                  <c:v>49500</c:v>
                </c:pt>
                <c:pt idx="100">
                  <c:v>50000</c:v>
                </c:pt>
                <c:pt idx="101">
                  <c:v>50500</c:v>
                </c:pt>
                <c:pt idx="102">
                  <c:v>51000</c:v>
                </c:pt>
                <c:pt idx="103">
                  <c:v>51500</c:v>
                </c:pt>
                <c:pt idx="104">
                  <c:v>52000</c:v>
                </c:pt>
                <c:pt idx="105">
                  <c:v>52500</c:v>
                </c:pt>
                <c:pt idx="106">
                  <c:v>53000</c:v>
                </c:pt>
                <c:pt idx="107">
                  <c:v>53500</c:v>
                </c:pt>
                <c:pt idx="108">
                  <c:v>54000</c:v>
                </c:pt>
                <c:pt idx="109">
                  <c:v>54500</c:v>
                </c:pt>
                <c:pt idx="110">
                  <c:v>55000</c:v>
                </c:pt>
                <c:pt idx="111">
                  <c:v>55500</c:v>
                </c:pt>
                <c:pt idx="112">
                  <c:v>56000</c:v>
                </c:pt>
                <c:pt idx="113">
                  <c:v>56500</c:v>
                </c:pt>
                <c:pt idx="114">
                  <c:v>57000</c:v>
                </c:pt>
                <c:pt idx="115">
                  <c:v>57500</c:v>
                </c:pt>
                <c:pt idx="116">
                  <c:v>58000</c:v>
                </c:pt>
                <c:pt idx="117">
                  <c:v>58500</c:v>
                </c:pt>
                <c:pt idx="118">
                  <c:v>59000</c:v>
                </c:pt>
                <c:pt idx="119">
                  <c:v>59500</c:v>
                </c:pt>
                <c:pt idx="120">
                  <c:v>60000</c:v>
                </c:pt>
                <c:pt idx="121">
                  <c:v>60500</c:v>
                </c:pt>
                <c:pt idx="122">
                  <c:v>61000</c:v>
                </c:pt>
                <c:pt idx="123">
                  <c:v>61500</c:v>
                </c:pt>
                <c:pt idx="124">
                  <c:v>62000</c:v>
                </c:pt>
                <c:pt idx="125">
                  <c:v>62500</c:v>
                </c:pt>
                <c:pt idx="126">
                  <c:v>63000</c:v>
                </c:pt>
                <c:pt idx="127">
                  <c:v>63500</c:v>
                </c:pt>
                <c:pt idx="128">
                  <c:v>64000</c:v>
                </c:pt>
                <c:pt idx="129">
                  <c:v>64500</c:v>
                </c:pt>
                <c:pt idx="130">
                  <c:v>65000</c:v>
                </c:pt>
                <c:pt idx="131">
                  <c:v>65500</c:v>
                </c:pt>
                <c:pt idx="132">
                  <c:v>66000</c:v>
                </c:pt>
                <c:pt idx="133">
                  <c:v>66500</c:v>
                </c:pt>
                <c:pt idx="134">
                  <c:v>67000</c:v>
                </c:pt>
                <c:pt idx="135">
                  <c:v>67500</c:v>
                </c:pt>
                <c:pt idx="136">
                  <c:v>68000</c:v>
                </c:pt>
                <c:pt idx="137">
                  <c:v>68500</c:v>
                </c:pt>
                <c:pt idx="138">
                  <c:v>69000</c:v>
                </c:pt>
                <c:pt idx="139">
                  <c:v>69500</c:v>
                </c:pt>
                <c:pt idx="140">
                  <c:v>70000</c:v>
                </c:pt>
                <c:pt idx="141">
                  <c:v>70500</c:v>
                </c:pt>
                <c:pt idx="142">
                  <c:v>71000</c:v>
                </c:pt>
                <c:pt idx="143">
                  <c:v>71500</c:v>
                </c:pt>
                <c:pt idx="144">
                  <c:v>72000</c:v>
                </c:pt>
                <c:pt idx="145">
                  <c:v>72500</c:v>
                </c:pt>
                <c:pt idx="146">
                  <c:v>73000</c:v>
                </c:pt>
                <c:pt idx="147">
                  <c:v>73500</c:v>
                </c:pt>
                <c:pt idx="148">
                  <c:v>74000</c:v>
                </c:pt>
                <c:pt idx="149">
                  <c:v>74500</c:v>
                </c:pt>
                <c:pt idx="150">
                  <c:v>75000</c:v>
                </c:pt>
                <c:pt idx="151">
                  <c:v>75500</c:v>
                </c:pt>
                <c:pt idx="152">
                  <c:v>76000</c:v>
                </c:pt>
                <c:pt idx="153">
                  <c:v>76500</c:v>
                </c:pt>
                <c:pt idx="154">
                  <c:v>77000</c:v>
                </c:pt>
                <c:pt idx="155">
                  <c:v>77500</c:v>
                </c:pt>
                <c:pt idx="156">
                  <c:v>78000</c:v>
                </c:pt>
                <c:pt idx="157">
                  <c:v>78500</c:v>
                </c:pt>
                <c:pt idx="158">
                  <c:v>79000</c:v>
                </c:pt>
                <c:pt idx="159">
                  <c:v>79500</c:v>
                </c:pt>
                <c:pt idx="160">
                  <c:v>80000</c:v>
                </c:pt>
                <c:pt idx="161">
                  <c:v>80500</c:v>
                </c:pt>
                <c:pt idx="162">
                  <c:v>81000</c:v>
                </c:pt>
                <c:pt idx="163">
                  <c:v>81500</c:v>
                </c:pt>
                <c:pt idx="164">
                  <c:v>82000</c:v>
                </c:pt>
                <c:pt idx="165">
                  <c:v>82500</c:v>
                </c:pt>
                <c:pt idx="166">
                  <c:v>83000</c:v>
                </c:pt>
                <c:pt idx="167">
                  <c:v>83500</c:v>
                </c:pt>
                <c:pt idx="168">
                  <c:v>84000</c:v>
                </c:pt>
                <c:pt idx="169">
                  <c:v>84500</c:v>
                </c:pt>
                <c:pt idx="170">
                  <c:v>85000</c:v>
                </c:pt>
                <c:pt idx="171">
                  <c:v>85500</c:v>
                </c:pt>
                <c:pt idx="172">
                  <c:v>86000</c:v>
                </c:pt>
                <c:pt idx="173">
                  <c:v>86500</c:v>
                </c:pt>
                <c:pt idx="174">
                  <c:v>87000</c:v>
                </c:pt>
                <c:pt idx="175">
                  <c:v>87500</c:v>
                </c:pt>
                <c:pt idx="176">
                  <c:v>88000</c:v>
                </c:pt>
                <c:pt idx="177">
                  <c:v>88500</c:v>
                </c:pt>
                <c:pt idx="178">
                  <c:v>89000</c:v>
                </c:pt>
                <c:pt idx="179">
                  <c:v>89500</c:v>
                </c:pt>
                <c:pt idx="180">
                  <c:v>90000</c:v>
                </c:pt>
                <c:pt idx="181">
                  <c:v>90500</c:v>
                </c:pt>
                <c:pt idx="182">
                  <c:v>91000</c:v>
                </c:pt>
                <c:pt idx="183">
                  <c:v>91500</c:v>
                </c:pt>
                <c:pt idx="184">
                  <c:v>92000</c:v>
                </c:pt>
                <c:pt idx="185">
                  <c:v>92500</c:v>
                </c:pt>
                <c:pt idx="186">
                  <c:v>93000</c:v>
                </c:pt>
                <c:pt idx="187">
                  <c:v>93500</c:v>
                </c:pt>
                <c:pt idx="188">
                  <c:v>94000</c:v>
                </c:pt>
                <c:pt idx="189">
                  <c:v>94500</c:v>
                </c:pt>
                <c:pt idx="190">
                  <c:v>95000</c:v>
                </c:pt>
                <c:pt idx="191">
                  <c:v>95500</c:v>
                </c:pt>
                <c:pt idx="192">
                  <c:v>96000</c:v>
                </c:pt>
                <c:pt idx="193">
                  <c:v>96500</c:v>
                </c:pt>
                <c:pt idx="194">
                  <c:v>97000</c:v>
                </c:pt>
                <c:pt idx="195">
                  <c:v>97500</c:v>
                </c:pt>
                <c:pt idx="196">
                  <c:v>98000</c:v>
                </c:pt>
                <c:pt idx="197">
                  <c:v>98500</c:v>
                </c:pt>
                <c:pt idx="198">
                  <c:v>99000</c:v>
                </c:pt>
                <c:pt idx="199">
                  <c:v>99500</c:v>
                </c:pt>
                <c:pt idx="200">
                  <c:v>100000</c:v>
                </c:pt>
              </c:numCache>
            </c:numRef>
          </c:cat>
          <c:val>
            <c:numRef>
              <c:f>'Use this for graphs'!$I$2:$I$202</c:f>
              <c:numCache>
                <c:formatCode>"$"#,##0.00_);[Red]\("$"#,##0.00\)</c:formatCode>
                <c:ptCount val="201"/>
                <c:pt idx="0">
                  <c:v>10029</c:v>
                </c:pt>
                <c:pt idx="1">
                  <c:v>10029</c:v>
                </c:pt>
                <c:pt idx="2">
                  <c:v>10029</c:v>
                </c:pt>
                <c:pt idx="3">
                  <c:v>10029</c:v>
                </c:pt>
                <c:pt idx="4">
                  <c:v>10029</c:v>
                </c:pt>
                <c:pt idx="5">
                  <c:v>10029</c:v>
                </c:pt>
                <c:pt idx="6">
                  <c:v>10029</c:v>
                </c:pt>
                <c:pt idx="7">
                  <c:v>10029</c:v>
                </c:pt>
                <c:pt idx="8">
                  <c:v>10029</c:v>
                </c:pt>
                <c:pt idx="9">
                  <c:v>10029</c:v>
                </c:pt>
                <c:pt idx="10">
                  <c:v>10029</c:v>
                </c:pt>
                <c:pt idx="11">
                  <c:v>10029</c:v>
                </c:pt>
                <c:pt idx="12">
                  <c:v>10029</c:v>
                </c:pt>
                <c:pt idx="13">
                  <c:v>10029</c:v>
                </c:pt>
                <c:pt idx="14">
                  <c:v>10029</c:v>
                </c:pt>
                <c:pt idx="15">
                  <c:v>10029</c:v>
                </c:pt>
                <c:pt idx="16">
                  <c:v>10029</c:v>
                </c:pt>
                <c:pt idx="17">
                  <c:v>10029</c:v>
                </c:pt>
                <c:pt idx="18">
                  <c:v>10029</c:v>
                </c:pt>
                <c:pt idx="19">
                  <c:v>10029</c:v>
                </c:pt>
                <c:pt idx="20">
                  <c:v>10029</c:v>
                </c:pt>
                <c:pt idx="21">
                  <c:v>10029</c:v>
                </c:pt>
                <c:pt idx="22">
                  <c:v>10029</c:v>
                </c:pt>
                <c:pt idx="23">
                  <c:v>10029</c:v>
                </c:pt>
                <c:pt idx="24">
                  <c:v>10029</c:v>
                </c:pt>
                <c:pt idx="25">
                  <c:v>10029</c:v>
                </c:pt>
                <c:pt idx="26">
                  <c:v>10029</c:v>
                </c:pt>
                <c:pt idx="27">
                  <c:v>10029</c:v>
                </c:pt>
                <c:pt idx="28">
                  <c:v>10029</c:v>
                </c:pt>
                <c:pt idx="29">
                  <c:v>10029</c:v>
                </c:pt>
                <c:pt idx="30">
                  <c:v>10029</c:v>
                </c:pt>
                <c:pt idx="31">
                  <c:v>10029</c:v>
                </c:pt>
                <c:pt idx="32">
                  <c:v>10029</c:v>
                </c:pt>
                <c:pt idx="33">
                  <c:v>10029</c:v>
                </c:pt>
                <c:pt idx="34">
                  <c:v>10029</c:v>
                </c:pt>
                <c:pt idx="35">
                  <c:v>10029</c:v>
                </c:pt>
                <c:pt idx="36">
                  <c:v>10029</c:v>
                </c:pt>
                <c:pt idx="37">
                  <c:v>10029</c:v>
                </c:pt>
                <c:pt idx="38">
                  <c:v>10029</c:v>
                </c:pt>
                <c:pt idx="39">
                  <c:v>10029</c:v>
                </c:pt>
                <c:pt idx="40">
                  <c:v>10029</c:v>
                </c:pt>
                <c:pt idx="41">
                  <c:v>10029</c:v>
                </c:pt>
                <c:pt idx="42">
                  <c:v>10029</c:v>
                </c:pt>
                <c:pt idx="43">
                  <c:v>10029</c:v>
                </c:pt>
                <c:pt idx="44">
                  <c:v>10029</c:v>
                </c:pt>
                <c:pt idx="45">
                  <c:v>10029</c:v>
                </c:pt>
                <c:pt idx="46">
                  <c:v>10029</c:v>
                </c:pt>
                <c:pt idx="47">
                  <c:v>10029</c:v>
                </c:pt>
                <c:pt idx="48">
                  <c:v>10029</c:v>
                </c:pt>
                <c:pt idx="49">
                  <c:v>10029</c:v>
                </c:pt>
                <c:pt idx="50">
                  <c:v>10029</c:v>
                </c:pt>
                <c:pt idx="51">
                  <c:v>10029</c:v>
                </c:pt>
                <c:pt idx="52">
                  <c:v>10029</c:v>
                </c:pt>
                <c:pt idx="53">
                  <c:v>10029</c:v>
                </c:pt>
                <c:pt idx="54">
                  <c:v>10029</c:v>
                </c:pt>
                <c:pt idx="55">
                  <c:v>10029</c:v>
                </c:pt>
                <c:pt idx="56">
                  <c:v>10029</c:v>
                </c:pt>
                <c:pt idx="57">
                  <c:v>10029</c:v>
                </c:pt>
                <c:pt idx="58">
                  <c:v>10029</c:v>
                </c:pt>
                <c:pt idx="59">
                  <c:v>10029</c:v>
                </c:pt>
                <c:pt idx="60">
                  <c:v>3822</c:v>
                </c:pt>
                <c:pt idx="61">
                  <c:v>3822</c:v>
                </c:pt>
                <c:pt idx="62">
                  <c:v>3822</c:v>
                </c:pt>
                <c:pt idx="63">
                  <c:v>3822</c:v>
                </c:pt>
                <c:pt idx="64">
                  <c:v>3822</c:v>
                </c:pt>
                <c:pt idx="65">
                  <c:v>3822</c:v>
                </c:pt>
                <c:pt idx="66">
                  <c:v>3822</c:v>
                </c:pt>
                <c:pt idx="67">
                  <c:v>3822</c:v>
                </c:pt>
                <c:pt idx="68">
                  <c:v>3822</c:v>
                </c:pt>
                <c:pt idx="69">
                  <c:v>3822</c:v>
                </c:pt>
                <c:pt idx="70">
                  <c:v>3822</c:v>
                </c:pt>
                <c:pt idx="71">
                  <c:v>3822</c:v>
                </c:pt>
                <c:pt idx="72">
                  <c:v>3822</c:v>
                </c:pt>
                <c:pt idx="73">
                  <c:v>3822</c:v>
                </c:pt>
                <c:pt idx="74">
                  <c:v>3822</c:v>
                </c:pt>
                <c:pt idx="75">
                  <c:v>3822</c:v>
                </c:pt>
                <c:pt idx="76">
                  <c:v>3822</c:v>
                </c:pt>
                <c:pt idx="77">
                  <c:v>3822</c:v>
                </c:pt>
                <c:pt idx="78">
                  <c:v>3822</c:v>
                </c:pt>
                <c:pt idx="79">
                  <c:v>3822</c:v>
                </c:pt>
                <c:pt idx="80">
                  <c:v>3822</c:v>
                </c:pt>
                <c:pt idx="81">
                  <c:v>3822</c:v>
                </c:pt>
                <c:pt idx="82">
                  <c:v>3822</c:v>
                </c:pt>
                <c:pt idx="83">
                  <c:v>3822</c:v>
                </c:pt>
                <c:pt idx="84">
                  <c:v>3822</c:v>
                </c:pt>
                <c:pt idx="85">
                  <c:v>3822</c:v>
                </c:pt>
                <c:pt idx="86">
                  <c:v>3822</c:v>
                </c:pt>
                <c:pt idx="87">
                  <c:v>0</c:v>
                </c:pt>
                <c:pt idx="88">
                  <c:v>0</c:v>
                </c:pt>
                <c:pt idx="89">
                  <c:v>0</c:v>
                </c:pt>
                <c:pt idx="90">
                  <c:v>0</c:v>
                </c:pt>
                <c:pt idx="91">
                  <c:v>0</c:v>
                </c:pt>
                <c:pt idx="92">
                  <c:v>0</c:v>
                </c:pt>
                <c:pt idx="93">
                  <c:v>0</c:v>
                </c:pt>
                <c:pt idx="94">
                  <c:v>0</c:v>
                </c:pt>
                <c:pt idx="95">
                  <c:v>0</c:v>
                </c:pt>
                <c:pt idx="96">
                  <c:v>0</c:v>
                </c:pt>
                <c:pt idx="97">
                  <c:v>0</c:v>
                </c:pt>
                <c:pt idx="98">
                  <c:v>0</c:v>
                </c:pt>
                <c:pt idx="99">
                  <c:v>0</c:v>
                </c:pt>
                <c:pt idx="100">
                  <c:v>0</c:v>
                </c:pt>
                <c:pt idx="101">
                  <c:v>0</c:v>
                </c:pt>
                <c:pt idx="102">
                  <c:v>0</c:v>
                </c:pt>
                <c:pt idx="103">
                  <c:v>0</c:v>
                </c:pt>
                <c:pt idx="104">
                  <c:v>0</c:v>
                </c:pt>
                <c:pt idx="105">
                  <c:v>0</c:v>
                </c:pt>
                <c:pt idx="106">
                  <c:v>0</c:v>
                </c:pt>
                <c:pt idx="107">
                  <c:v>0</c:v>
                </c:pt>
                <c:pt idx="108">
                  <c:v>0</c:v>
                </c:pt>
                <c:pt idx="109">
                  <c:v>0</c:v>
                </c:pt>
                <c:pt idx="110">
                  <c:v>0</c:v>
                </c:pt>
                <c:pt idx="111">
                  <c:v>0</c:v>
                </c:pt>
                <c:pt idx="112">
                  <c:v>0</c:v>
                </c:pt>
                <c:pt idx="113">
                  <c:v>0</c:v>
                </c:pt>
                <c:pt idx="114">
                  <c:v>0</c:v>
                </c:pt>
                <c:pt idx="115">
                  <c:v>0</c:v>
                </c:pt>
                <c:pt idx="116">
                  <c:v>0</c:v>
                </c:pt>
                <c:pt idx="117">
                  <c:v>0</c:v>
                </c:pt>
                <c:pt idx="118">
                  <c:v>0</c:v>
                </c:pt>
                <c:pt idx="119">
                  <c:v>0</c:v>
                </c:pt>
                <c:pt idx="120">
                  <c:v>0</c:v>
                </c:pt>
                <c:pt idx="121">
                  <c:v>0</c:v>
                </c:pt>
                <c:pt idx="122">
                  <c:v>0</c:v>
                </c:pt>
                <c:pt idx="123">
                  <c:v>0</c:v>
                </c:pt>
                <c:pt idx="124">
                  <c:v>0</c:v>
                </c:pt>
                <c:pt idx="125">
                  <c:v>0</c:v>
                </c:pt>
                <c:pt idx="126">
                  <c:v>0</c:v>
                </c:pt>
                <c:pt idx="127">
                  <c:v>0</c:v>
                </c:pt>
                <c:pt idx="128">
                  <c:v>0</c:v>
                </c:pt>
                <c:pt idx="129">
                  <c:v>0</c:v>
                </c:pt>
                <c:pt idx="130">
                  <c:v>0</c:v>
                </c:pt>
                <c:pt idx="131">
                  <c:v>0</c:v>
                </c:pt>
                <c:pt idx="132">
                  <c:v>0</c:v>
                </c:pt>
                <c:pt idx="133">
                  <c:v>0</c:v>
                </c:pt>
                <c:pt idx="134">
                  <c:v>0</c:v>
                </c:pt>
                <c:pt idx="135">
                  <c:v>0</c:v>
                </c:pt>
                <c:pt idx="136">
                  <c:v>0</c:v>
                </c:pt>
                <c:pt idx="137">
                  <c:v>0</c:v>
                </c:pt>
                <c:pt idx="138">
                  <c:v>0</c:v>
                </c:pt>
                <c:pt idx="139">
                  <c:v>0</c:v>
                </c:pt>
                <c:pt idx="140">
                  <c:v>0</c:v>
                </c:pt>
                <c:pt idx="141">
                  <c:v>0</c:v>
                </c:pt>
                <c:pt idx="142">
                  <c:v>0</c:v>
                </c:pt>
                <c:pt idx="143">
                  <c:v>0</c:v>
                </c:pt>
                <c:pt idx="144">
                  <c:v>0</c:v>
                </c:pt>
                <c:pt idx="145">
                  <c:v>0</c:v>
                </c:pt>
                <c:pt idx="146">
                  <c:v>0</c:v>
                </c:pt>
                <c:pt idx="147">
                  <c:v>0</c:v>
                </c:pt>
                <c:pt idx="148">
                  <c:v>0</c:v>
                </c:pt>
                <c:pt idx="149">
                  <c:v>0</c:v>
                </c:pt>
                <c:pt idx="150">
                  <c:v>0</c:v>
                </c:pt>
                <c:pt idx="151">
                  <c:v>0</c:v>
                </c:pt>
                <c:pt idx="152">
                  <c:v>0</c:v>
                </c:pt>
                <c:pt idx="153">
                  <c:v>0</c:v>
                </c:pt>
                <c:pt idx="154">
                  <c:v>0</c:v>
                </c:pt>
                <c:pt idx="155">
                  <c:v>0</c:v>
                </c:pt>
                <c:pt idx="156">
                  <c:v>0</c:v>
                </c:pt>
                <c:pt idx="157">
                  <c:v>0</c:v>
                </c:pt>
                <c:pt idx="158">
                  <c:v>0</c:v>
                </c:pt>
                <c:pt idx="159">
                  <c:v>0</c:v>
                </c:pt>
                <c:pt idx="160">
                  <c:v>0</c:v>
                </c:pt>
                <c:pt idx="161">
                  <c:v>0</c:v>
                </c:pt>
                <c:pt idx="162">
                  <c:v>0</c:v>
                </c:pt>
                <c:pt idx="163">
                  <c:v>0</c:v>
                </c:pt>
                <c:pt idx="164">
                  <c:v>0</c:v>
                </c:pt>
                <c:pt idx="165">
                  <c:v>0</c:v>
                </c:pt>
                <c:pt idx="166">
                  <c:v>0</c:v>
                </c:pt>
                <c:pt idx="167">
                  <c:v>0</c:v>
                </c:pt>
                <c:pt idx="168">
                  <c:v>0</c:v>
                </c:pt>
                <c:pt idx="169">
                  <c:v>0</c:v>
                </c:pt>
                <c:pt idx="170">
                  <c:v>0</c:v>
                </c:pt>
                <c:pt idx="171">
                  <c:v>0</c:v>
                </c:pt>
                <c:pt idx="172">
                  <c:v>0</c:v>
                </c:pt>
                <c:pt idx="173">
                  <c:v>0</c:v>
                </c:pt>
                <c:pt idx="174">
                  <c:v>0</c:v>
                </c:pt>
                <c:pt idx="175">
                  <c:v>0</c:v>
                </c:pt>
                <c:pt idx="176">
                  <c:v>0</c:v>
                </c:pt>
                <c:pt idx="177">
                  <c:v>0</c:v>
                </c:pt>
                <c:pt idx="178">
                  <c:v>0</c:v>
                </c:pt>
                <c:pt idx="179">
                  <c:v>0</c:v>
                </c:pt>
                <c:pt idx="180">
                  <c:v>0</c:v>
                </c:pt>
                <c:pt idx="181">
                  <c:v>0</c:v>
                </c:pt>
                <c:pt idx="182">
                  <c:v>0</c:v>
                </c:pt>
                <c:pt idx="183">
                  <c:v>0</c:v>
                </c:pt>
                <c:pt idx="184">
                  <c:v>0</c:v>
                </c:pt>
                <c:pt idx="185">
                  <c:v>0</c:v>
                </c:pt>
                <c:pt idx="186">
                  <c:v>0</c:v>
                </c:pt>
                <c:pt idx="187">
                  <c:v>0</c:v>
                </c:pt>
                <c:pt idx="188">
                  <c:v>0</c:v>
                </c:pt>
                <c:pt idx="189">
                  <c:v>0</c:v>
                </c:pt>
                <c:pt idx="190">
                  <c:v>0</c:v>
                </c:pt>
                <c:pt idx="191">
                  <c:v>0</c:v>
                </c:pt>
                <c:pt idx="192">
                  <c:v>0</c:v>
                </c:pt>
                <c:pt idx="193">
                  <c:v>0</c:v>
                </c:pt>
                <c:pt idx="194">
                  <c:v>0</c:v>
                </c:pt>
                <c:pt idx="195">
                  <c:v>0</c:v>
                </c:pt>
                <c:pt idx="196">
                  <c:v>0</c:v>
                </c:pt>
                <c:pt idx="197">
                  <c:v>0</c:v>
                </c:pt>
                <c:pt idx="198">
                  <c:v>0</c:v>
                </c:pt>
                <c:pt idx="199">
                  <c:v>0</c:v>
                </c:pt>
                <c:pt idx="200">
                  <c:v>0</c:v>
                </c:pt>
              </c:numCache>
            </c:numRef>
          </c:val>
          <c:extLst>
            <c:ext xmlns:c16="http://schemas.microsoft.com/office/drawing/2014/chart" uri="{C3380CC4-5D6E-409C-BE32-E72D297353CC}">
              <c16:uniqueId val="{00000006-2313-4AA3-8472-5B3EC23DBAE5}"/>
            </c:ext>
          </c:extLst>
        </c:ser>
        <c:ser>
          <c:idx val="1"/>
          <c:order val="9"/>
          <c:tx>
            <c:strRef>
              <c:f>'Use this for graphs'!$J$1</c:f>
              <c:strCache>
                <c:ptCount val="1"/>
                <c:pt idx="0">
                  <c:v>Value of Marketplace Subsidies</c:v>
                </c:pt>
              </c:strCache>
            </c:strRef>
          </c:tx>
          <c:spPr>
            <a:solidFill>
              <a:schemeClr val="accent2"/>
            </a:solidFill>
            <a:ln>
              <a:noFill/>
            </a:ln>
            <a:effectLst/>
          </c:spPr>
          <c:cat>
            <c:numRef>
              <c:f>'Use this for graphs'!$A$2:$A$202</c:f>
              <c:numCache>
                <c:formatCode>"$"#,##0</c:formatCode>
                <c:ptCount val="201"/>
                <c:pt idx="0">
                  <c:v>0</c:v>
                </c:pt>
                <c:pt idx="1">
                  <c:v>500</c:v>
                </c:pt>
                <c:pt idx="2">
                  <c:v>1000</c:v>
                </c:pt>
                <c:pt idx="3">
                  <c:v>1500</c:v>
                </c:pt>
                <c:pt idx="4">
                  <c:v>2000</c:v>
                </c:pt>
                <c:pt idx="5">
                  <c:v>2500</c:v>
                </c:pt>
                <c:pt idx="6">
                  <c:v>3000</c:v>
                </c:pt>
                <c:pt idx="7">
                  <c:v>3500</c:v>
                </c:pt>
                <c:pt idx="8">
                  <c:v>4000</c:v>
                </c:pt>
                <c:pt idx="9">
                  <c:v>4500</c:v>
                </c:pt>
                <c:pt idx="10">
                  <c:v>5000</c:v>
                </c:pt>
                <c:pt idx="11">
                  <c:v>5500</c:v>
                </c:pt>
                <c:pt idx="12">
                  <c:v>6000</c:v>
                </c:pt>
                <c:pt idx="13">
                  <c:v>6500</c:v>
                </c:pt>
                <c:pt idx="14">
                  <c:v>7000</c:v>
                </c:pt>
                <c:pt idx="15">
                  <c:v>7500</c:v>
                </c:pt>
                <c:pt idx="16">
                  <c:v>8000</c:v>
                </c:pt>
                <c:pt idx="17">
                  <c:v>8500</c:v>
                </c:pt>
                <c:pt idx="18">
                  <c:v>9000</c:v>
                </c:pt>
                <c:pt idx="19">
                  <c:v>9500</c:v>
                </c:pt>
                <c:pt idx="20">
                  <c:v>10000</c:v>
                </c:pt>
                <c:pt idx="21">
                  <c:v>10500</c:v>
                </c:pt>
                <c:pt idx="22">
                  <c:v>11000</c:v>
                </c:pt>
                <c:pt idx="23">
                  <c:v>11500</c:v>
                </c:pt>
                <c:pt idx="24">
                  <c:v>12000</c:v>
                </c:pt>
                <c:pt idx="25">
                  <c:v>12500</c:v>
                </c:pt>
                <c:pt idx="26">
                  <c:v>13000</c:v>
                </c:pt>
                <c:pt idx="27">
                  <c:v>13500</c:v>
                </c:pt>
                <c:pt idx="28">
                  <c:v>14000</c:v>
                </c:pt>
                <c:pt idx="29">
                  <c:v>14500</c:v>
                </c:pt>
                <c:pt idx="30">
                  <c:v>15000</c:v>
                </c:pt>
                <c:pt idx="31">
                  <c:v>15500</c:v>
                </c:pt>
                <c:pt idx="32">
                  <c:v>16000</c:v>
                </c:pt>
                <c:pt idx="33">
                  <c:v>16500</c:v>
                </c:pt>
                <c:pt idx="34">
                  <c:v>17000</c:v>
                </c:pt>
                <c:pt idx="35">
                  <c:v>17500</c:v>
                </c:pt>
                <c:pt idx="36">
                  <c:v>18000</c:v>
                </c:pt>
                <c:pt idx="37">
                  <c:v>18500</c:v>
                </c:pt>
                <c:pt idx="38">
                  <c:v>19000</c:v>
                </c:pt>
                <c:pt idx="39">
                  <c:v>19500</c:v>
                </c:pt>
                <c:pt idx="40">
                  <c:v>20000</c:v>
                </c:pt>
                <c:pt idx="41">
                  <c:v>20500</c:v>
                </c:pt>
                <c:pt idx="42">
                  <c:v>21000</c:v>
                </c:pt>
                <c:pt idx="43">
                  <c:v>21500</c:v>
                </c:pt>
                <c:pt idx="44">
                  <c:v>22000</c:v>
                </c:pt>
                <c:pt idx="45">
                  <c:v>22500</c:v>
                </c:pt>
                <c:pt idx="46">
                  <c:v>23000</c:v>
                </c:pt>
                <c:pt idx="47">
                  <c:v>23500</c:v>
                </c:pt>
                <c:pt idx="48">
                  <c:v>24000</c:v>
                </c:pt>
                <c:pt idx="49">
                  <c:v>24500</c:v>
                </c:pt>
                <c:pt idx="50">
                  <c:v>25000</c:v>
                </c:pt>
                <c:pt idx="51">
                  <c:v>25500</c:v>
                </c:pt>
                <c:pt idx="52">
                  <c:v>26000</c:v>
                </c:pt>
                <c:pt idx="53">
                  <c:v>26500</c:v>
                </c:pt>
                <c:pt idx="54">
                  <c:v>27000</c:v>
                </c:pt>
                <c:pt idx="55">
                  <c:v>27500</c:v>
                </c:pt>
                <c:pt idx="56">
                  <c:v>28000</c:v>
                </c:pt>
                <c:pt idx="57">
                  <c:v>28500</c:v>
                </c:pt>
                <c:pt idx="58">
                  <c:v>29000</c:v>
                </c:pt>
                <c:pt idx="59">
                  <c:v>29500</c:v>
                </c:pt>
                <c:pt idx="60">
                  <c:v>30000</c:v>
                </c:pt>
                <c:pt idx="61">
                  <c:v>30500</c:v>
                </c:pt>
                <c:pt idx="62">
                  <c:v>31000</c:v>
                </c:pt>
                <c:pt idx="63">
                  <c:v>31500</c:v>
                </c:pt>
                <c:pt idx="64">
                  <c:v>32000</c:v>
                </c:pt>
                <c:pt idx="65">
                  <c:v>32500</c:v>
                </c:pt>
                <c:pt idx="66">
                  <c:v>33000</c:v>
                </c:pt>
                <c:pt idx="67">
                  <c:v>33500</c:v>
                </c:pt>
                <c:pt idx="68">
                  <c:v>34000</c:v>
                </c:pt>
                <c:pt idx="69">
                  <c:v>34500</c:v>
                </c:pt>
                <c:pt idx="70">
                  <c:v>35000</c:v>
                </c:pt>
                <c:pt idx="71">
                  <c:v>35500</c:v>
                </c:pt>
                <c:pt idx="72">
                  <c:v>36000</c:v>
                </c:pt>
                <c:pt idx="73">
                  <c:v>36500</c:v>
                </c:pt>
                <c:pt idx="74">
                  <c:v>37000</c:v>
                </c:pt>
                <c:pt idx="75">
                  <c:v>37500</c:v>
                </c:pt>
                <c:pt idx="76">
                  <c:v>38000</c:v>
                </c:pt>
                <c:pt idx="77">
                  <c:v>38500</c:v>
                </c:pt>
                <c:pt idx="78">
                  <c:v>39000</c:v>
                </c:pt>
                <c:pt idx="79">
                  <c:v>39500</c:v>
                </c:pt>
                <c:pt idx="80">
                  <c:v>40000</c:v>
                </c:pt>
                <c:pt idx="81">
                  <c:v>40500</c:v>
                </c:pt>
                <c:pt idx="82">
                  <c:v>41000</c:v>
                </c:pt>
                <c:pt idx="83">
                  <c:v>41500</c:v>
                </c:pt>
                <c:pt idx="84">
                  <c:v>42000</c:v>
                </c:pt>
                <c:pt idx="85">
                  <c:v>42500</c:v>
                </c:pt>
                <c:pt idx="86">
                  <c:v>43000</c:v>
                </c:pt>
                <c:pt idx="87">
                  <c:v>43500</c:v>
                </c:pt>
                <c:pt idx="88">
                  <c:v>44000</c:v>
                </c:pt>
                <c:pt idx="89">
                  <c:v>44500</c:v>
                </c:pt>
                <c:pt idx="90">
                  <c:v>45000</c:v>
                </c:pt>
                <c:pt idx="91">
                  <c:v>45500</c:v>
                </c:pt>
                <c:pt idx="92">
                  <c:v>46000</c:v>
                </c:pt>
                <c:pt idx="93">
                  <c:v>46500</c:v>
                </c:pt>
                <c:pt idx="94">
                  <c:v>47000</c:v>
                </c:pt>
                <c:pt idx="95">
                  <c:v>47500</c:v>
                </c:pt>
                <c:pt idx="96">
                  <c:v>48000</c:v>
                </c:pt>
                <c:pt idx="97">
                  <c:v>48500</c:v>
                </c:pt>
                <c:pt idx="98">
                  <c:v>49000</c:v>
                </c:pt>
                <c:pt idx="99">
                  <c:v>49500</c:v>
                </c:pt>
                <c:pt idx="100">
                  <c:v>50000</c:v>
                </c:pt>
                <c:pt idx="101">
                  <c:v>50500</c:v>
                </c:pt>
                <c:pt idx="102">
                  <c:v>51000</c:v>
                </c:pt>
                <c:pt idx="103">
                  <c:v>51500</c:v>
                </c:pt>
                <c:pt idx="104">
                  <c:v>52000</c:v>
                </c:pt>
                <c:pt idx="105">
                  <c:v>52500</c:v>
                </c:pt>
                <c:pt idx="106">
                  <c:v>53000</c:v>
                </c:pt>
                <c:pt idx="107">
                  <c:v>53500</c:v>
                </c:pt>
                <c:pt idx="108">
                  <c:v>54000</c:v>
                </c:pt>
                <c:pt idx="109">
                  <c:v>54500</c:v>
                </c:pt>
                <c:pt idx="110">
                  <c:v>55000</c:v>
                </c:pt>
                <c:pt idx="111">
                  <c:v>55500</c:v>
                </c:pt>
                <c:pt idx="112">
                  <c:v>56000</c:v>
                </c:pt>
                <c:pt idx="113">
                  <c:v>56500</c:v>
                </c:pt>
                <c:pt idx="114">
                  <c:v>57000</c:v>
                </c:pt>
                <c:pt idx="115">
                  <c:v>57500</c:v>
                </c:pt>
                <c:pt idx="116">
                  <c:v>58000</c:v>
                </c:pt>
                <c:pt idx="117">
                  <c:v>58500</c:v>
                </c:pt>
                <c:pt idx="118">
                  <c:v>59000</c:v>
                </c:pt>
                <c:pt idx="119">
                  <c:v>59500</c:v>
                </c:pt>
                <c:pt idx="120">
                  <c:v>60000</c:v>
                </c:pt>
                <c:pt idx="121">
                  <c:v>60500</c:v>
                </c:pt>
                <c:pt idx="122">
                  <c:v>61000</c:v>
                </c:pt>
                <c:pt idx="123">
                  <c:v>61500</c:v>
                </c:pt>
                <c:pt idx="124">
                  <c:v>62000</c:v>
                </c:pt>
                <c:pt idx="125">
                  <c:v>62500</c:v>
                </c:pt>
                <c:pt idx="126">
                  <c:v>63000</c:v>
                </c:pt>
                <c:pt idx="127">
                  <c:v>63500</c:v>
                </c:pt>
                <c:pt idx="128">
                  <c:v>64000</c:v>
                </c:pt>
                <c:pt idx="129">
                  <c:v>64500</c:v>
                </c:pt>
                <c:pt idx="130">
                  <c:v>65000</c:v>
                </c:pt>
                <c:pt idx="131">
                  <c:v>65500</c:v>
                </c:pt>
                <c:pt idx="132">
                  <c:v>66000</c:v>
                </c:pt>
                <c:pt idx="133">
                  <c:v>66500</c:v>
                </c:pt>
                <c:pt idx="134">
                  <c:v>67000</c:v>
                </c:pt>
                <c:pt idx="135">
                  <c:v>67500</c:v>
                </c:pt>
                <c:pt idx="136">
                  <c:v>68000</c:v>
                </c:pt>
                <c:pt idx="137">
                  <c:v>68500</c:v>
                </c:pt>
                <c:pt idx="138">
                  <c:v>69000</c:v>
                </c:pt>
                <c:pt idx="139">
                  <c:v>69500</c:v>
                </c:pt>
                <c:pt idx="140">
                  <c:v>70000</c:v>
                </c:pt>
                <c:pt idx="141">
                  <c:v>70500</c:v>
                </c:pt>
                <c:pt idx="142">
                  <c:v>71000</c:v>
                </c:pt>
                <c:pt idx="143">
                  <c:v>71500</c:v>
                </c:pt>
                <c:pt idx="144">
                  <c:v>72000</c:v>
                </c:pt>
                <c:pt idx="145">
                  <c:v>72500</c:v>
                </c:pt>
                <c:pt idx="146">
                  <c:v>73000</c:v>
                </c:pt>
                <c:pt idx="147">
                  <c:v>73500</c:v>
                </c:pt>
                <c:pt idx="148">
                  <c:v>74000</c:v>
                </c:pt>
                <c:pt idx="149">
                  <c:v>74500</c:v>
                </c:pt>
                <c:pt idx="150">
                  <c:v>75000</c:v>
                </c:pt>
                <c:pt idx="151">
                  <c:v>75500</c:v>
                </c:pt>
                <c:pt idx="152">
                  <c:v>76000</c:v>
                </c:pt>
                <c:pt idx="153">
                  <c:v>76500</c:v>
                </c:pt>
                <c:pt idx="154">
                  <c:v>77000</c:v>
                </c:pt>
                <c:pt idx="155">
                  <c:v>77500</c:v>
                </c:pt>
                <c:pt idx="156">
                  <c:v>78000</c:v>
                </c:pt>
                <c:pt idx="157">
                  <c:v>78500</c:v>
                </c:pt>
                <c:pt idx="158">
                  <c:v>79000</c:v>
                </c:pt>
                <c:pt idx="159">
                  <c:v>79500</c:v>
                </c:pt>
                <c:pt idx="160">
                  <c:v>80000</c:v>
                </c:pt>
                <c:pt idx="161">
                  <c:v>80500</c:v>
                </c:pt>
                <c:pt idx="162">
                  <c:v>81000</c:v>
                </c:pt>
                <c:pt idx="163">
                  <c:v>81500</c:v>
                </c:pt>
                <c:pt idx="164">
                  <c:v>82000</c:v>
                </c:pt>
                <c:pt idx="165">
                  <c:v>82500</c:v>
                </c:pt>
                <c:pt idx="166">
                  <c:v>83000</c:v>
                </c:pt>
                <c:pt idx="167">
                  <c:v>83500</c:v>
                </c:pt>
                <c:pt idx="168">
                  <c:v>84000</c:v>
                </c:pt>
                <c:pt idx="169">
                  <c:v>84500</c:v>
                </c:pt>
                <c:pt idx="170">
                  <c:v>85000</c:v>
                </c:pt>
                <c:pt idx="171">
                  <c:v>85500</c:v>
                </c:pt>
                <c:pt idx="172">
                  <c:v>86000</c:v>
                </c:pt>
                <c:pt idx="173">
                  <c:v>86500</c:v>
                </c:pt>
                <c:pt idx="174">
                  <c:v>87000</c:v>
                </c:pt>
                <c:pt idx="175">
                  <c:v>87500</c:v>
                </c:pt>
                <c:pt idx="176">
                  <c:v>88000</c:v>
                </c:pt>
                <c:pt idx="177">
                  <c:v>88500</c:v>
                </c:pt>
                <c:pt idx="178">
                  <c:v>89000</c:v>
                </c:pt>
                <c:pt idx="179">
                  <c:v>89500</c:v>
                </c:pt>
                <c:pt idx="180">
                  <c:v>90000</c:v>
                </c:pt>
                <c:pt idx="181">
                  <c:v>90500</c:v>
                </c:pt>
                <c:pt idx="182">
                  <c:v>91000</c:v>
                </c:pt>
                <c:pt idx="183">
                  <c:v>91500</c:v>
                </c:pt>
                <c:pt idx="184">
                  <c:v>92000</c:v>
                </c:pt>
                <c:pt idx="185">
                  <c:v>92500</c:v>
                </c:pt>
                <c:pt idx="186">
                  <c:v>93000</c:v>
                </c:pt>
                <c:pt idx="187">
                  <c:v>93500</c:v>
                </c:pt>
                <c:pt idx="188">
                  <c:v>94000</c:v>
                </c:pt>
                <c:pt idx="189">
                  <c:v>94500</c:v>
                </c:pt>
                <c:pt idx="190">
                  <c:v>95000</c:v>
                </c:pt>
                <c:pt idx="191">
                  <c:v>95500</c:v>
                </c:pt>
                <c:pt idx="192">
                  <c:v>96000</c:v>
                </c:pt>
                <c:pt idx="193">
                  <c:v>96500</c:v>
                </c:pt>
                <c:pt idx="194">
                  <c:v>97000</c:v>
                </c:pt>
                <c:pt idx="195">
                  <c:v>97500</c:v>
                </c:pt>
                <c:pt idx="196">
                  <c:v>98000</c:v>
                </c:pt>
                <c:pt idx="197">
                  <c:v>98500</c:v>
                </c:pt>
                <c:pt idx="198">
                  <c:v>99000</c:v>
                </c:pt>
                <c:pt idx="199">
                  <c:v>99500</c:v>
                </c:pt>
                <c:pt idx="200">
                  <c:v>100000</c:v>
                </c:pt>
              </c:numCache>
            </c:numRef>
          </c:cat>
          <c:val>
            <c:numRef>
              <c:f>'Use this for graphs'!$J$2:$J$202</c:f>
            </c:numRef>
          </c:val>
          <c:extLst>
            <c:ext xmlns:c16="http://schemas.microsoft.com/office/drawing/2014/chart" uri="{C3380CC4-5D6E-409C-BE32-E72D297353CC}">
              <c16:uniqueId val="{00000007-2313-4AA3-8472-5B3EC23DBAE5}"/>
            </c:ext>
          </c:extLst>
        </c:ser>
        <c:dLbls>
          <c:showLegendKey val="0"/>
          <c:showVal val="0"/>
          <c:showCatName val="0"/>
          <c:showSerName val="0"/>
          <c:showPercent val="0"/>
          <c:showBubbleSize val="0"/>
        </c:dLbls>
        <c:axId val="124475503"/>
        <c:axId val="124477423"/>
        <c:extLst>
          <c:ext xmlns:c15="http://schemas.microsoft.com/office/drawing/2012/chart" uri="{02D57815-91ED-43cb-92C2-25804820EDAC}">
            <c15:filteredAreaSeries>
              <c15:ser>
                <c:idx val="5"/>
                <c:order val="1"/>
                <c:tx>
                  <c:strRef>
                    <c:extLst>
                      <c:ext uri="{02D57815-91ED-43cb-92C2-25804820EDAC}">
                        <c15:formulaRef>
                          <c15:sqref>'Use this for graphs'!$B$1</c15:sqref>
                        </c15:formulaRef>
                      </c:ext>
                    </c:extLst>
                    <c:strCache>
                      <c:ptCount val="1"/>
                      <c:pt idx="0">
                        <c:v>Monthly earned income</c:v>
                      </c:pt>
                    </c:strCache>
                  </c:strRef>
                </c:tx>
                <c:spPr>
                  <a:solidFill>
                    <a:schemeClr val="accent6"/>
                  </a:solidFill>
                  <a:ln>
                    <a:noFill/>
                  </a:ln>
                  <a:effectLst/>
                </c:spPr>
                <c:cat>
                  <c:numRef>
                    <c:extLst>
                      <c:ext uri="{02D57815-91ED-43cb-92C2-25804820EDAC}">
                        <c15:formulaRef>
                          <c15:sqref>'Use this for graphs'!$A$2:$A$202</c15:sqref>
                        </c15:formulaRef>
                      </c:ext>
                    </c:extLst>
                    <c:numCache>
                      <c:formatCode>"$"#,##0</c:formatCode>
                      <c:ptCount val="201"/>
                      <c:pt idx="0">
                        <c:v>0</c:v>
                      </c:pt>
                      <c:pt idx="1">
                        <c:v>500</c:v>
                      </c:pt>
                      <c:pt idx="2">
                        <c:v>1000</c:v>
                      </c:pt>
                      <c:pt idx="3">
                        <c:v>1500</c:v>
                      </c:pt>
                      <c:pt idx="4">
                        <c:v>2000</c:v>
                      </c:pt>
                      <c:pt idx="5">
                        <c:v>2500</c:v>
                      </c:pt>
                      <c:pt idx="6">
                        <c:v>3000</c:v>
                      </c:pt>
                      <c:pt idx="7">
                        <c:v>3500</c:v>
                      </c:pt>
                      <c:pt idx="8">
                        <c:v>4000</c:v>
                      </c:pt>
                      <c:pt idx="9">
                        <c:v>4500</c:v>
                      </c:pt>
                      <c:pt idx="10">
                        <c:v>5000</c:v>
                      </c:pt>
                      <c:pt idx="11">
                        <c:v>5500</c:v>
                      </c:pt>
                      <c:pt idx="12">
                        <c:v>6000</c:v>
                      </c:pt>
                      <c:pt idx="13">
                        <c:v>6500</c:v>
                      </c:pt>
                      <c:pt idx="14">
                        <c:v>7000</c:v>
                      </c:pt>
                      <c:pt idx="15">
                        <c:v>7500</c:v>
                      </c:pt>
                      <c:pt idx="16">
                        <c:v>8000</c:v>
                      </c:pt>
                      <c:pt idx="17">
                        <c:v>8500</c:v>
                      </c:pt>
                      <c:pt idx="18">
                        <c:v>9000</c:v>
                      </c:pt>
                      <c:pt idx="19">
                        <c:v>9500</c:v>
                      </c:pt>
                      <c:pt idx="20">
                        <c:v>10000</c:v>
                      </c:pt>
                      <c:pt idx="21">
                        <c:v>10500</c:v>
                      </c:pt>
                      <c:pt idx="22">
                        <c:v>11000</c:v>
                      </c:pt>
                      <c:pt idx="23">
                        <c:v>11500</c:v>
                      </c:pt>
                      <c:pt idx="24">
                        <c:v>12000</c:v>
                      </c:pt>
                      <c:pt idx="25">
                        <c:v>12500</c:v>
                      </c:pt>
                      <c:pt idx="26">
                        <c:v>13000</c:v>
                      </c:pt>
                      <c:pt idx="27">
                        <c:v>13500</c:v>
                      </c:pt>
                      <c:pt idx="28">
                        <c:v>14000</c:v>
                      </c:pt>
                      <c:pt idx="29">
                        <c:v>14500</c:v>
                      </c:pt>
                      <c:pt idx="30">
                        <c:v>15000</c:v>
                      </c:pt>
                      <c:pt idx="31">
                        <c:v>15500</c:v>
                      </c:pt>
                      <c:pt idx="32">
                        <c:v>16000</c:v>
                      </c:pt>
                      <c:pt idx="33">
                        <c:v>16500</c:v>
                      </c:pt>
                      <c:pt idx="34">
                        <c:v>17000</c:v>
                      </c:pt>
                      <c:pt idx="35">
                        <c:v>17500</c:v>
                      </c:pt>
                      <c:pt idx="36">
                        <c:v>18000</c:v>
                      </c:pt>
                      <c:pt idx="37">
                        <c:v>18500</c:v>
                      </c:pt>
                      <c:pt idx="38">
                        <c:v>19000</c:v>
                      </c:pt>
                      <c:pt idx="39">
                        <c:v>19500</c:v>
                      </c:pt>
                      <c:pt idx="40">
                        <c:v>20000</c:v>
                      </c:pt>
                      <c:pt idx="41">
                        <c:v>20500</c:v>
                      </c:pt>
                      <c:pt idx="42">
                        <c:v>21000</c:v>
                      </c:pt>
                      <c:pt idx="43">
                        <c:v>21500</c:v>
                      </c:pt>
                      <c:pt idx="44">
                        <c:v>22000</c:v>
                      </c:pt>
                      <c:pt idx="45">
                        <c:v>22500</c:v>
                      </c:pt>
                      <c:pt idx="46">
                        <c:v>23000</c:v>
                      </c:pt>
                      <c:pt idx="47">
                        <c:v>23500</c:v>
                      </c:pt>
                      <c:pt idx="48">
                        <c:v>24000</c:v>
                      </c:pt>
                      <c:pt idx="49">
                        <c:v>24500</c:v>
                      </c:pt>
                      <c:pt idx="50">
                        <c:v>25000</c:v>
                      </c:pt>
                      <c:pt idx="51">
                        <c:v>25500</c:v>
                      </c:pt>
                      <c:pt idx="52">
                        <c:v>26000</c:v>
                      </c:pt>
                      <c:pt idx="53">
                        <c:v>26500</c:v>
                      </c:pt>
                      <c:pt idx="54">
                        <c:v>27000</c:v>
                      </c:pt>
                      <c:pt idx="55">
                        <c:v>27500</c:v>
                      </c:pt>
                      <c:pt idx="56">
                        <c:v>28000</c:v>
                      </c:pt>
                      <c:pt idx="57">
                        <c:v>28500</c:v>
                      </c:pt>
                      <c:pt idx="58">
                        <c:v>29000</c:v>
                      </c:pt>
                      <c:pt idx="59">
                        <c:v>29500</c:v>
                      </c:pt>
                      <c:pt idx="60">
                        <c:v>30000</c:v>
                      </c:pt>
                      <c:pt idx="61">
                        <c:v>30500</c:v>
                      </c:pt>
                      <c:pt idx="62">
                        <c:v>31000</c:v>
                      </c:pt>
                      <c:pt idx="63">
                        <c:v>31500</c:v>
                      </c:pt>
                      <c:pt idx="64">
                        <c:v>32000</c:v>
                      </c:pt>
                      <c:pt idx="65">
                        <c:v>32500</c:v>
                      </c:pt>
                      <c:pt idx="66">
                        <c:v>33000</c:v>
                      </c:pt>
                      <c:pt idx="67">
                        <c:v>33500</c:v>
                      </c:pt>
                      <c:pt idx="68">
                        <c:v>34000</c:v>
                      </c:pt>
                      <c:pt idx="69">
                        <c:v>34500</c:v>
                      </c:pt>
                      <c:pt idx="70">
                        <c:v>35000</c:v>
                      </c:pt>
                      <c:pt idx="71">
                        <c:v>35500</c:v>
                      </c:pt>
                      <c:pt idx="72">
                        <c:v>36000</c:v>
                      </c:pt>
                      <c:pt idx="73">
                        <c:v>36500</c:v>
                      </c:pt>
                      <c:pt idx="74">
                        <c:v>37000</c:v>
                      </c:pt>
                      <c:pt idx="75">
                        <c:v>37500</c:v>
                      </c:pt>
                      <c:pt idx="76">
                        <c:v>38000</c:v>
                      </c:pt>
                      <c:pt idx="77">
                        <c:v>38500</c:v>
                      </c:pt>
                      <c:pt idx="78">
                        <c:v>39000</c:v>
                      </c:pt>
                      <c:pt idx="79">
                        <c:v>39500</c:v>
                      </c:pt>
                      <c:pt idx="80">
                        <c:v>40000</c:v>
                      </c:pt>
                      <c:pt idx="81">
                        <c:v>40500</c:v>
                      </c:pt>
                      <c:pt idx="82">
                        <c:v>41000</c:v>
                      </c:pt>
                      <c:pt idx="83">
                        <c:v>41500</c:v>
                      </c:pt>
                      <c:pt idx="84">
                        <c:v>42000</c:v>
                      </c:pt>
                      <c:pt idx="85">
                        <c:v>42500</c:v>
                      </c:pt>
                      <c:pt idx="86">
                        <c:v>43000</c:v>
                      </c:pt>
                      <c:pt idx="87">
                        <c:v>43500</c:v>
                      </c:pt>
                      <c:pt idx="88">
                        <c:v>44000</c:v>
                      </c:pt>
                      <c:pt idx="89">
                        <c:v>44500</c:v>
                      </c:pt>
                      <c:pt idx="90">
                        <c:v>45000</c:v>
                      </c:pt>
                      <c:pt idx="91">
                        <c:v>45500</c:v>
                      </c:pt>
                      <c:pt idx="92">
                        <c:v>46000</c:v>
                      </c:pt>
                      <c:pt idx="93">
                        <c:v>46500</c:v>
                      </c:pt>
                      <c:pt idx="94">
                        <c:v>47000</c:v>
                      </c:pt>
                      <c:pt idx="95">
                        <c:v>47500</c:v>
                      </c:pt>
                      <c:pt idx="96">
                        <c:v>48000</c:v>
                      </c:pt>
                      <c:pt idx="97">
                        <c:v>48500</c:v>
                      </c:pt>
                      <c:pt idx="98">
                        <c:v>49000</c:v>
                      </c:pt>
                      <c:pt idx="99">
                        <c:v>49500</c:v>
                      </c:pt>
                      <c:pt idx="100">
                        <c:v>50000</c:v>
                      </c:pt>
                      <c:pt idx="101">
                        <c:v>50500</c:v>
                      </c:pt>
                      <c:pt idx="102">
                        <c:v>51000</c:v>
                      </c:pt>
                      <c:pt idx="103">
                        <c:v>51500</c:v>
                      </c:pt>
                      <c:pt idx="104">
                        <c:v>52000</c:v>
                      </c:pt>
                      <c:pt idx="105">
                        <c:v>52500</c:v>
                      </c:pt>
                      <c:pt idx="106">
                        <c:v>53000</c:v>
                      </c:pt>
                      <c:pt idx="107">
                        <c:v>53500</c:v>
                      </c:pt>
                      <c:pt idx="108">
                        <c:v>54000</c:v>
                      </c:pt>
                      <c:pt idx="109">
                        <c:v>54500</c:v>
                      </c:pt>
                      <c:pt idx="110">
                        <c:v>55000</c:v>
                      </c:pt>
                      <c:pt idx="111">
                        <c:v>55500</c:v>
                      </c:pt>
                      <c:pt idx="112">
                        <c:v>56000</c:v>
                      </c:pt>
                      <c:pt idx="113">
                        <c:v>56500</c:v>
                      </c:pt>
                      <c:pt idx="114">
                        <c:v>57000</c:v>
                      </c:pt>
                      <c:pt idx="115">
                        <c:v>57500</c:v>
                      </c:pt>
                      <c:pt idx="116">
                        <c:v>58000</c:v>
                      </c:pt>
                      <c:pt idx="117">
                        <c:v>58500</c:v>
                      </c:pt>
                      <c:pt idx="118">
                        <c:v>59000</c:v>
                      </c:pt>
                      <c:pt idx="119">
                        <c:v>59500</c:v>
                      </c:pt>
                      <c:pt idx="120">
                        <c:v>60000</c:v>
                      </c:pt>
                      <c:pt idx="121">
                        <c:v>60500</c:v>
                      </c:pt>
                      <c:pt idx="122">
                        <c:v>61000</c:v>
                      </c:pt>
                      <c:pt idx="123">
                        <c:v>61500</c:v>
                      </c:pt>
                      <c:pt idx="124">
                        <c:v>62000</c:v>
                      </c:pt>
                      <c:pt idx="125">
                        <c:v>62500</c:v>
                      </c:pt>
                      <c:pt idx="126">
                        <c:v>63000</c:v>
                      </c:pt>
                      <c:pt idx="127">
                        <c:v>63500</c:v>
                      </c:pt>
                      <c:pt idx="128">
                        <c:v>64000</c:v>
                      </c:pt>
                      <c:pt idx="129">
                        <c:v>64500</c:v>
                      </c:pt>
                      <c:pt idx="130">
                        <c:v>65000</c:v>
                      </c:pt>
                      <c:pt idx="131">
                        <c:v>65500</c:v>
                      </c:pt>
                      <c:pt idx="132">
                        <c:v>66000</c:v>
                      </c:pt>
                      <c:pt idx="133">
                        <c:v>66500</c:v>
                      </c:pt>
                      <c:pt idx="134">
                        <c:v>67000</c:v>
                      </c:pt>
                      <c:pt idx="135">
                        <c:v>67500</c:v>
                      </c:pt>
                      <c:pt idx="136">
                        <c:v>68000</c:v>
                      </c:pt>
                      <c:pt idx="137">
                        <c:v>68500</c:v>
                      </c:pt>
                      <c:pt idx="138">
                        <c:v>69000</c:v>
                      </c:pt>
                      <c:pt idx="139">
                        <c:v>69500</c:v>
                      </c:pt>
                      <c:pt idx="140">
                        <c:v>70000</c:v>
                      </c:pt>
                      <c:pt idx="141">
                        <c:v>70500</c:v>
                      </c:pt>
                      <c:pt idx="142">
                        <c:v>71000</c:v>
                      </c:pt>
                      <c:pt idx="143">
                        <c:v>71500</c:v>
                      </c:pt>
                      <c:pt idx="144">
                        <c:v>72000</c:v>
                      </c:pt>
                      <c:pt idx="145">
                        <c:v>72500</c:v>
                      </c:pt>
                      <c:pt idx="146">
                        <c:v>73000</c:v>
                      </c:pt>
                      <c:pt idx="147">
                        <c:v>73500</c:v>
                      </c:pt>
                      <c:pt idx="148">
                        <c:v>74000</c:v>
                      </c:pt>
                      <c:pt idx="149">
                        <c:v>74500</c:v>
                      </c:pt>
                      <c:pt idx="150">
                        <c:v>75000</c:v>
                      </c:pt>
                      <c:pt idx="151">
                        <c:v>75500</c:v>
                      </c:pt>
                      <c:pt idx="152">
                        <c:v>76000</c:v>
                      </c:pt>
                      <c:pt idx="153">
                        <c:v>76500</c:v>
                      </c:pt>
                      <c:pt idx="154">
                        <c:v>77000</c:v>
                      </c:pt>
                      <c:pt idx="155">
                        <c:v>77500</c:v>
                      </c:pt>
                      <c:pt idx="156">
                        <c:v>78000</c:v>
                      </c:pt>
                      <c:pt idx="157">
                        <c:v>78500</c:v>
                      </c:pt>
                      <c:pt idx="158">
                        <c:v>79000</c:v>
                      </c:pt>
                      <c:pt idx="159">
                        <c:v>79500</c:v>
                      </c:pt>
                      <c:pt idx="160">
                        <c:v>80000</c:v>
                      </c:pt>
                      <c:pt idx="161">
                        <c:v>80500</c:v>
                      </c:pt>
                      <c:pt idx="162">
                        <c:v>81000</c:v>
                      </c:pt>
                      <c:pt idx="163">
                        <c:v>81500</c:v>
                      </c:pt>
                      <c:pt idx="164">
                        <c:v>82000</c:v>
                      </c:pt>
                      <c:pt idx="165">
                        <c:v>82500</c:v>
                      </c:pt>
                      <c:pt idx="166">
                        <c:v>83000</c:v>
                      </c:pt>
                      <c:pt idx="167">
                        <c:v>83500</c:v>
                      </c:pt>
                      <c:pt idx="168">
                        <c:v>84000</c:v>
                      </c:pt>
                      <c:pt idx="169">
                        <c:v>84500</c:v>
                      </c:pt>
                      <c:pt idx="170">
                        <c:v>85000</c:v>
                      </c:pt>
                      <c:pt idx="171">
                        <c:v>85500</c:v>
                      </c:pt>
                      <c:pt idx="172">
                        <c:v>86000</c:v>
                      </c:pt>
                      <c:pt idx="173">
                        <c:v>86500</c:v>
                      </c:pt>
                      <c:pt idx="174">
                        <c:v>87000</c:v>
                      </c:pt>
                      <c:pt idx="175">
                        <c:v>87500</c:v>
                      </c:pt>
                      <c:pt idx="176">
                        <c:v>88000</c:v>
                      </c:pt>
                      <c:pt idx="177">
                        <c:v>88500</c:v>
                      </c:pt>
                      <c:pt idx="178">
                        <c:v>89000</c:v>
                      </c:pt>
                      <c:pt idx="179">
                        <c:v>89500</c:v>
                      </c:pt>
                      <c:pt idx="180">
                        <c:v>90000</c:v>
                      </c:pt>
                      <c:pt idx="181">
                        <c:v>90500</c:v>
                      </c:pt>
                      <c:pt idx="182">
                        <c:v>91000</c:v>
                      </c:pt>
                      <c:pt idx="183">
                        <c:v>91500</c:v>
                      </c:pt>
                      <c:pt idx="184">
                        <c:v>92000</c:v>
                      </c:pt>
                      <c:pt idx="185">
                        <c:v>92500</c:v>
                      </c:pt>
                      <c:pt idx="186">
                        <c:v>93000</c:v>
                      </c:pt>
                      <c:pt idx="187">
                        <c:v>93500</c:v>
                      </c:pt>
                      <c:pt idx="188">
                        <c:v>94000</c:v>
                      </c:pt>
                      <c:pt idx="189">
                        <c:v>94500</c:v>
                      </c:pt>
                      <c:pt idx="190">
                        <c:v>95000</c:v>
                      </c:pt>
                      <c:pt idx="191">
                        <c:v>95500</c:v>
                      </c:pt>
                      <c:pt idx="192">
                        <c:v>96000</c:v>
                      </c:pt>
                      <c:pt idx="193">
                        <c:v>96500</c:v>
                      </c:pt>
                      <c:pt idx="194">
                        <c:v>97000</c:v>
                      </c:pt>
                      <c:pt idx="195">
                        <c:v>97500</c:v>
                      </c:pt>
                      <c:pt idx="196">
                        <c:v>98000</c:v>
                      </c:pt>
                      <c:pt idx="197">
                        <c:v>98500</c:v>
                      </c:pt>
                      <c:pt idx="198">
                        <c:v>99000</c:v>
                      </c:pt>
                      <c:pt idx="199">
                        <c:v>99500</c:v>
                      </c:pt>
                      <c:pt idx="200">
                        <c:v>100000</c:v>
                      </c:pt>
                    </c:numCache>
                  </c:numRef>
                </c:cat>
                <c:val>
                  <c:numRef>
                    <c:extLst>
                      <c:ext uri="{02D57815-91ED-43cb-92C2-25804820EDAC}">
                        <c15:formulaRef>
                          <c15:sqref>'Use this for graphs'!$B$2:$B$202</c15:sqref>
                        </c15:formulaRef>
                      </c:ext>
                    </c:extLst>
                    <c:numCache>
                      <c:formatCode>"$"#,##0.00_);[Red]\("$"#,##0.00\)</c:formatCode>
                      <c:ptCount val="201"/>
                      <c:pt idx="0">
                        <c:v>0</c:v>
                      </c:pt>
                      <c:pt idx="1">
                        <c:v>41.666666666666664</c:v>
                      </c:pt>
                      <c:pt idx="2">
                        <c:v>83.333333333333329</c:v>
                      </c:pt>
                      <c:pt idx="3">
                        <c:v>125</c:v>
                      </c:pt>
                      <c:pt idx="4">
                        <c:v>166.66666666666666</c:v>
                      </c:pt>
                      <c:pt idx="5">
                        <c:v>208.33333333333334</c:v>
                      </c:pt>
                      <c:pt idx="6">
                        <c:v>250</c:v>
                      </c:pt>
                      <c:pt idx="7">
                        <c:v>291.66666666666669</c:v>
                      </c:pt>
                      <c:pt idx="8">
                        <c:v>333.33333333333331</c:v>
                      </c:pt>
                      <c:pt idx="9">
                        <c:v>375</c:v>
                      </c:pt>
                      <c:pt idx="10">
                        <c:v>416.66666666666669</c:v>
                      </c:pt>
                      <c:pt idx="11">
                        <c:v>458.33333333333331</c:v>
                      </c:pt>
                      <c:pt idx="12">
                        <c:v>500</c:v>
                      </c:pt>
                      <c:pt idx="13">
                        <c:v>541.66666666666663</c:v>
                      </c:pt>
                      <c:pt idx="14">
                        <c:v>583.33333333333337</c:v>
                      </c:pt>
                      <c:pt idx="15">
                        <c:v>625</c:v>
                      </c:pt>
                      <c:pt idx="16">
                        <c:v>666.66666666666663</c:v>
                      </c:pt>
                      <c:pt idx="17">
                        <c:v>708.33333333333337</c:v>
                      </c:pt>
                      <c:pt idx="18">
                        <c:v>750</c:v>
                      </c:pt>
                      <c:pt idx="19">
                        <c:v>791.66666666666663</c:v>
                      </c:pt>
                      <c:pt idx="20">
                        <c:v>833.33333333333337</c:v>
                      </c:pt>
                      <c:pt idx="21">
                        <c:v>875</c:v>
                      </c:pt>
                      <c:pt idx="22">
                        <c:v>916.66666666666663</c:v>
                      </c:pt>
                      <c:pt idx="23">
                        <c:v>958.33333333333337</c:v>
                      </c:pt>
                      <c:pt idx="24">
                        <c:v>1000</c:v>
                      </c:pt>
                      <c:pt idx="25">
                        <c:v>1041.6666666666667</c:v>
                      </c:pt>
                      <c:pt idx="26">
                        <c:v>1083.3333333333333</c:v>
                      </c:pt>
                      <c:pt idx="27">
                        <c:v>1125</c:v>
                      </c:pt>
                      <c:pt idx="28">
                        <c:v>1166.6666666666667</c:v>
                      </c:pt>
                      <c:pt idx="29">
                        <c:v>1208.3333333333333</c:v>
                      </c:pt>
                      <c:pt idx="30">
                        <c:v>1250</c:v>
                      </c:pt>
                      <c:pt idx="31">
                        <c:v>1291.6666666666667</c:v>
                      </c:pt>
                      <c:pt idx="32">
                        <c:v>1333.3333333333333</c:v>
                      </c:pt>
                      <c:pt idx="33">
                        <c:v>1375</c:v>
                      </c:pt>
                      <c:pt idx="34">
                        <c:v>1416.6666666666667</c:v>
                      </c:pt>
                      <c:pt idx="35">
                        <c:v>1458.3333333333333</c:v>
                      </c:pt>
                      <c:pt idx="36">
                        <c:v>1500</c:v>
                      </c:pt>
                      <c:pt idx="37">
                        <c:v>1541.6666666666667</c:v>
                      </c:pt>
                      <c:pt idx="38">
                        <c:v>1583.3333333333333</c:v>
                      </c:pt>
                      <c:pt idx="39">
                        <c:v>1625</c:v>
                      </c:pt>
                      <c:pt idx="40">
                        <c:v>1666.6666666666667</c:v>
                      </c:pt>
                      <c:pt idx="41">
                        <c:v>1708.3333333333333</c:v>
                      </c:pt>
                      <c:pt idx="42">
                        <c:v>1750</c:v>
                      </c:pt>
                      <c:pt idx="43">
                        <c:v>1791.6666666666667</c:v>
                      </c:pt>
                      <c:pt idx="44">
                        <c:v>1833.3333333333333</c:v>
                      </c:pt>
                      <c:pt idx="45">
                        <c:v>1875</c:v>
                      </c:pt>
                      <c:pt idx="46">
                        <c:v>1916.6666666666667</c:v>
                      </c:pt>
                      <c:pt idx="47">
                        <c:v>1958.3333333333333</c:v>
                      </c:pt>
                      <c:pt idx="48">
                        <c:v>2000</c:v>
                      </c:pt>
                      <c:pt idx="49">
                        <c:v>2041.6666666666667</c:v>
                      </c:pt>
                      <c:pt idx="50">
                        <c:v>2083.3333333333335</c:v>
                      </c:pt>
                      <c:pt idx="51">
                        <c:v>2125</c:v>
                      </c:pt>
                      <c:pt idx="52">
                        <c:v>2166.6666666666665</c:v>
                      </c:pt>
                      <c:pt idx="53">
                        <c:v>2208.3333333333335</c:v>
                      </c:pt>
                      <c:pt idx="54">
                        <c:v>2250</c:v>
                      </c:pt>
                      <c:pt idx="55">
                        <c:v>2291.6666666666665</c:v>
                      </c:pt>
                      <c:pt idx="56">
                        <c:v>2333.3333333333335</c:v>
                      </c:pt>
                      <c:pt idx="57">
                        <c:v>2375</c:v>
                      </c:pt>
                      <c:pt idx="58">
                        <c:v>2416.6666666666665</c:v>
                      </c:pt>
                      <c:pt idx="59">
                        <c:v>2458.3333333333335</c:v>
                      </c:pt>
                      <c:pt idx="60">
                        <c:v>2500</c:v>
                      </c:pt>
                      <c:pt idx="61">
                        <c:v>2541.6666666666665</c:v>
                      </c:pt>
                      <c:pt idx="62">
                        <c:v>2583.3333333333335</c:v>
                      </c:pt>
                      <c:pt idx="63">
                        <c:v>2625</c:v>
                      </c:pt>
                      <c:pt idx="64">
                        <c:v>2666.6666666666665</c:v>
                      </c:pt>
                      <c:pt idx="65">
                        <c:v>2708.3333333333335</c:v>
                      </c:pt>
                      <c:pt idx="66">
                        <c:v>2750</c:v>
                      </c:pt>
                      <c:pt idx="67">
                        <c:v>2791.6666666666665</c:v>
                      </c:pt>
                      <c:pt idx="68">
                        <c:v>2833.3333333333335</c:v>
                      </c:pt>
                      <c:pt idx="69">
                        <c:v>2875</c:v>
                      </c:pt>
                      <c:pt idx="70">
                        <c:v>2916.6666666666665</c:v>
                      </c:pt>
                      <c:pt idx="71">
                        <c:v>2958.3333333333335</c:v>
                      </c:pt>
                      <c:pt idx="72">
                        <c:v>3000</c:v>
                      </c:pt>
                      <c:pt idx="73">
                        <c:v>3041.6666666666665</c:v>
                      </c:pt>
                      <c:pt idx="74">
                        <c:v>3083.3333333333335</c:v>
                      </c:pt>
                      <c:pt idx="75">
                        <c:v>3125</c:v>
                      </c:pt>
                      <c:pt idx="76">
                        <c:v>3166.6666666666665</c:v>
                      </c:pt>
                      <c:pt idx="77">
                        <c:v>3208.3333333333335</c:v>
                      </c:pt>
                      <c:pt idx="78">
                        <c:v>3250</c:v>
                      </c:pt>
                      <c:pt idx="79">
                        <c:v>3291.6666666666665</c:v>
                      </c:pt>
                      <c:pt idx="80">
                        <c:v>3333.3333333333335</c:v>
                      </c:pt>
                      <c:pt idx="81">
                        <c:v>3375</c:v>
                      </c:pt>
                      <c:pt idx="82">
                        <c:v>3416.6666666666665</c:v>
                      </c:pt>
                      <c:pt idx="83">
                        <c:v>3458.3333333333335</c:v>
                      </c:pt>
                      <c:pt idx="84">
                        <c:v>3500</c:v>
                      </c:pt>
                      <c:pt idx="85">
                        <c:v>3541.6666666666665</c:v>
                      </c:pt>
                      <c:pt idx="86">
                        <c:v>3583.3333333333335</c:v>
                      </c:pt>
                      <c:pt idx="87">
                        <c:v>3625</c:v>
                      </c:pt>
                      <c:pt idx="88">
                        <c:v>3666.6666666666665</c:v>
                      </c:pt>
                      <c:pt idx="89">
                        <c:v>3708.3333333333335</c:v>
                      </c:pt>
                      <c:pt idx="90">
                        <c:v>3750</c:v>
                      </c:pt>
                      <c:pt idx="91">
                        <c:v>3791.6666666666665</c:v>
                      </c:pt>
                      <c:pt idx="92">
                        <c:v>3833.3333333333335</c:v>
                      </c:pt>
                      <c:pt idx="93">
                        <c:v>3875</c:v>
                      </c:pt>
                      <c:pt idx="94">
                        <c:v>3916.6666666666665</c:v>
                      </c:pt>
                      <c:pt idx="95">
                        <c:v>3958.3333333333335</c:v>
                      </c:pt>
                      <c:pt idx="96">
                        <c:v>4000</c:v>
                      </c:pt>
                      <c:pt idx="97">
                        <c:v>4041.6666666666665</c:v>
                      </c:pt>
                      <c:pt idx="98">
                        <c:v>4083.3333333333335</c:v>
                      </c:pt>
                      <c:pt idx="99">
                        <c:v>4125</c:v>
                      </c:pt>
                      <c:pt idx="100">
                        <c:v>4166.666666666667</c:v>
                      </c:pt>
                      <c:pt idx="101">
                        <c:v>4208.333333333333</c:v>
                      </c:pt>
                      <c:pt idx="102">
                        <c:v>4250</c:v>
                      </c:pt>
                      <c:pt idx="103">
                        <c:v>4291.666666666667</c:v>
                      </c:pt>
                      <c:pt idx="104">
                        <c:v>4333.333333333333</c:v>
                      </c:pt>
                      <c:pt idx="105">
                        <c:v>4375</c:v>
                      </c:pt>
                      <c:pt idx="106">
                        <c:v>4416.666666666667</c:v>
                      </c:pt>
                      <c:pt idx="107">
                        <c:v>4458.333333333333</c:v>
                      </c:pt>
                      <c:pt idx="108">
                        <c:v>4500</c:v>
                      </c:pt>
                      <c:pt idx="109">
                        <c:v>4541.666666666667</c:v>
                      </c:pt>
                      <c:pt idx="110">
                        <c:v>4583.333333333333</c:v>
                      </c:pt>
                      <c:pt idx="111">
                        <c:v>4625</c:v>
                      </c:pt>
                      <c:pt idx="112">
                        <c:v>4666.666666666667</c:v>
                      </c:pt>
                      <c:pt idx="113">
                        <c:v>4708.333333333333</c:v>
                      </c:pt>
                      <c:pt idx="114">
                        <c:v>4750</c:v>
                      </c:pt>
                      <c:pt idx="115">
                        <c:v>4791.666666666667</c:v>
                      </c:pt>
                      <c:pt idx="116">
                        <c:v>4833.333333333333</c:v>
                      </c:pt>
                      <c:pt idx="117">
                        <c:v>4875</c:v>
                      </c:pt>
                      <c:pt idx="118">
                        <c:v>4916.666666666667</c:v>
                      </c:pt>
                      <c:pt idx="119">
                        <c:v>4958.333333333333</c:v>
                      </c:pt>
                      <c:pt idx="120">
                        <c:v>5000</c:v>
                      </c:pt>
                      <c:pt idx="121">
                        <c:v>5041.666666666667</c:v>
                      </c:pt>
                      <c:pt idx="122">
                        <c:v>5083.333333333333</c:v>
                      </c:pt>
                      <c:pt idx="123">
                        <c:v>5125</c:v>
                      </c:pt>
                      <c:pt idx="124">
                        <c:v>5166.666666666667</c:v>
                      </c:pt>
                      <c:pt idx="125">
                        <c:v>5208.333333333333</c:v>
                      </c:pt>
                      <c:pt idx="126">
                        <c:v>5250</c:v>
                      </c:pt>
                      <c:pt idx="127">
                        <c:v>5291.666666666667</c:v>
                      </c:pt>
                      <c:pt idx="128">
                        <c:v>5333.333333333333</c:v>
                      </c:pt>
                      <c:pt idx="129">
                        <c:v>5375</c:v>
                      </c:pt>
                      <c:pt idx="130">
                        <c:v>5416.666666666667</c:v>
                      </c:pt>
                      <c:pt idx="131">
                        <c:v>5458.333333333333</c:v>
                      </c:pt>
                      <c:pt idx="132">
                        <c:v>5500</c:v>
                      </c:pt>
                      <c:pt idx="133">
                        <c:v>5541.666666666667</c:v>
                      </c:pt>
                      <c:pt idx="134">
                        <c:v>5583.333333333333</c:v>
                      </c:pt>
                      <c:pt idx="135">
                        <c:v>5625</c:v>
                      </c:pt>
                      <c:pt idx="136">
                        <c:v>5666.666666666667</c:v>
                      </c:pt>
                      <c:pt idx="137">
                        <c:v>5708.333333333333</c:v>
                      </c:pt>
                      <c:pt idx="138">
                        <c:v>5750</c:v>
                      </c:pt>
                      <c:pt idx="139">
                        <c:v>5791.666666666667</c:v>
                      </c:pt>
                      <c:pt idx="140">
                        <c:v>5833.333333333333</c:v>
                      </c:pt>
                      <c:pt idx="141">
                        <c:v>5875</c:v>
                      </c:pt>
                      <c:pt idx="142">
                        <c:v>5916.666666666667</c:v>
                      </c:pt>
                      <c:pt idx="143">
                        <c:v>5958.333333333333</c:v>
                      </c:pt>
                      <c:pt idx="144">
                        <c:v>6000</c:v>
                      </c:pt>
                      <c:pt idx="145">
                        <c:v>6041.666666666667</c:v>
                      </c:pt>
                      <c:pt idx="146">
                        <c:v>6083.333333333333</c:v>
                      </c:pt>
                      <c:pt idx="147">
                        <c:v>6125</c:v>
                      </c:pt>
                      <c:pt idx="148">
                        <c:v>6166.666666666667</c:v>
                      </c:pt>
                      <c:pt idx="149">
                        <c:v>6208.333333333333</c:v>
                      </c:pt>
                      <c:pt idx="150">
                        <c:v>6250</c:v>
                      </c:pt>
                      <c:pt idx="151">
                        <c:v>6291.666666666667</c:v>
                      </c:pt>
                      <c:pt idx="152">
                        <c:v>6333.333333333333</c:v>
                      </c:pt>
                      <c:pt idx="153">
                        <c:v>6375</c:v>
                      </c:pt>
                      <c:pt idx="154">
                        <c:v>6416.666666666667</c:v>
                      </c:pt>
                      <c:pt idx="155">
                        <c:v>6458.333333333333</c:v>
                      </c:pt>
                      <c:pt idx="156">
                        <c:v>6500</c:v>
                      </c:pt>
                      <c:pt idx="157">
                        <c:v>6541.666666666667</c:v>
                      </c:pt>
                      <c:pt idx="158">
                        <c:v>6583.333333333333</c:v>
                      </c:pt>
                      <c:pt idx="159">
                        <c:v>6625</c:v>
                      </c:pt>
                      <c:pt idx="160">
                        <c:v>6666.666666666667</c:v>
                      </c:pt>
                      <c:pt idx="161">
                        <c:v>6708.333333333333</c:v>
                      </c:pt>
                      <c:pt idx="162">
                        <c:v>6750</c:v>
                      </c:pt>
                      <c:pt idx="163">
                        <c:v>6791.666666666667</c:v>
                      </c:pt>
                      <c:pt idx="164">
                        <c:v>6833.333333333333</c:v>
                      </c:pt>
                      <c:pt idx="165">
                        <c:v>6875</c:v>
                      </c:pt>
                      <c:pt idx="166">
                        <c:v>6916.666666666667</c:v>
                      </c:pt>
                      <c:pt idx="167">
                        <c:v>6958.333333333333</c:v>
                      </c:pt>
                      <c:pt idx="168">
                        <c:v>7000</c:v>
                      </c:pt>
                      <c:pt idx="169">
                        <c:v>7041.666666666667</c:v>
                      </c:pt>
                      <c:pt idx="170">
                        <c:v>7083.333333333333</c:v>
                      </c:pt>
                      <c:pt idx="171">
                        <c:v>7125</c:v>
                      </c:pt>
                      <c:pt idx="172">
                        <c:v>7166.666666666667</c:v>
                      </c:pt>
                      <c:pt idx="173">
                        <c:v>7208.333333333333</c:v>
                      </c:pt>
                      <c:pt idx="174">
                        <c:v>7250</c:v>
                      </c:pt>
                      <c:pt idx="175">
                        <c:v>7291.666666666667</c:v>
                      </c:pt>
                      <c:pt idx="176">
                        <c:v>7333.333333333333</c:v>
                      </c:pt>
                      <c:pt idx="177">
                        <c:v>7375</c:v>
                      </c:pt>
                      <c:pt idx="178">
                        <c:v>7416.666666666667</c:v>
                      </c:pt>
                      <c:pt idx="179">
                        <c:v>7458.333333333333</c:v>
                      </c:pt>
                      <c:pt idx="180">
                        <c:v>7500</c:v>
                      </c:pt>
                      <c:pt idx="181">
                        <c:v>7541.666666666667</c:v>
                      </c:pt>
                      <c:pt idx="182">
                        <c:v>7583.333333333333</c:v>
                      </c:pt>
                      <c:pt idx="183">
                        <c:v>7625</c:v>
                      </c:pt>
                      <c:pt idx="184">
                        <c:v>7666.666666666667</c:v>
                      </c:pt>
                      <c:pt idx="185">
                        <c:v>7708.333333333333</c:v>
                      </c:pt>
                      <c:pt idx="186">
                        <c:v>7750</c:v>
                      </c:pt>
                      <c:pt idx="187">
                        <c:v>7791.666666666667</c:v>
                      </c:pt>
                      <c:pt idx="188">
                        <c:v>7833.333333333333</c:v>
                      </c:pt>
                      <c:pt idx="189">
                        <c:v>7875</c:v>
                      </c:pt>
                      <c:pt idx="190">
                        <c:v>7916.666666666667</c:v>
                      </c:pt>
                      <c:pt idx="191">
                        <c:v>7958.333333333333</c:v>
                      </c:pt>
                      <c:pt idx="192">
                        <c:v>8000</c:v>
                      </c:pt>
                      <c:pt idx="193">
                        <c:v>8041.666666666667</c:v>
                      </c:pt>
                      <c:pt idx="194">
                        <c:v>8083.333333333333</c:v>
                      </c:pt>
                      <c:pt idx="195">
                        <c:v>8125</c:v>
                      </c:pt>
                      <c:pt idx="196">
                        <c:v>8166.666666666667</c:v>
                      </c:pt>
                      <c:pt idx="197">
                        <c:v>8208.3333333333339</c:v>
                      </c:pt>
                      <c:pt idx="198">
                        <c:v>8250</c:v>
                      </c:pt>
                      <c:pt idx="199">
                        <c:v>8291.6666666666661</c:v>
                      </c:pt>
                      <c:pt idx="200">
                        <c:v>8333.3333333333339</c:v>
                      </c:pt>
                    </c:numCache>
                  </c:numRef>
                </c:val>
                <c:extLst>
                  <c:ext xmlns:c16="http://schemas.microsoft.com/office/drawing/2014/chart" uri="{C3380CC4-5D6E-409C-BE32-E72D297353CC}">
                    <c16:uniqueId val="{00000009-2313-4AA3-8472-5B3EC23DBAE5}"/>
                  </c:ext>
                </c:extLst>
              </c15:ser>
            </c15:filteredAreaSeries>
            <c15:filteredAreaSeries>
              <c15:ser>
                <c:idx val="2"/>
                <c:order val="10"/>
                <c:tx>
                  <c:strRef>
                    <c:extLst xmlns:c15="http://schemas.microsoft.com/office/drawing/2012/chart">
                      <c:ext xmlns:c15="http://schemas.microsoft.com/office/drawing/2012/chart" uri="{02D57815-91ED-43cb-92C2-25804820EDAC}">
                        <c15:formulaRef>
                          <c15:sqref>'Use this for graphs'!$K$1</c15:sqref>
                        </c15:formulaRef>
                      </c:ext>
                    </c:extLst>
                    <c:strCache>
                      <c:ptCount val="1"/>
                      <c:pt idx="0">
                        <c:v>Total benefits</c:v>
                      </c:pt>
                    </c:strCache>
                  </c:strRef>
                </c:tx>
                <c:spPr>
                  <a:solidFill>
                    <a:schemeClr val="accent3"/>
                  </a:solidFill>
                  <a:ln>
                    <a:noFill/>
                  </a:ln>
                  <a:effectLst/>
                </c:spPr>
                <c:cat>
                  <c:numRef>
                    <c:extLst xmlns:c15="http://schemas.microsoft.com/office/drawing/2012/chart">
                      <c:ext xmlns:c15="http://schemas.microsoft.com/office/drawing/2012/chart" uri="{02D57815-91ED-43cb-92C2-25804820EDAC}">
                        <c15:formulaRef>
                          <c15:sqref>'Use this for graphs'!$A$2:$A$202</c15:sqref>
                        </c15:formulaRef>
                      </c:ext>
                    </c:extLst>
                    <c:numCache>
                      <c:formatCode>"$"#,##0</c:formatCode>
                      <c:ptCount val="201"/>
                      <c:pt idx="0">
                        <c:v>0</c:v>
                      </c:pt>
                      <c:pt idx="1">
                        <c:v>500</c:v>
                      </c:pt>
                      <c:pt idx="2">
                        <c:v>1000</c:v>
                      </c:pt>
                      <c:pt idx="3">
                        <c:v>1500</c:v>
                      </c:pt>
                      <c:pt idx="4">
                        <c:v>2000</c:v>
                      </c:pt>
                      <c:pt idx="5">
                        <c:v>2500</c:v>
                      </c:pt>
                      <c:pt idx="6">
                        <c:v>3000</c:v>
                      </c:pt>
                      <c:pt idx="7">
                        <c:v>3500</c:v>
                      </c:pt>
                      <c:pt idx="8">
                        <c:v>4000</c:v>
                      </c:pt>
                      <c:pt idx="9">
                        <c:v>4500</c:v>
                      </c:pt>
                      <c:pt idx="10">
                        <c:v>5000</c:v>
                      </c:pt>
                      <c:pt idx="11">
                        <c:v>5500</c:v>
                      </c:pt>
                      <c:pt idx="12">
                        <c:v>6000</c:v>
                      </c:pt>
                      <c:pt idx="13">
                        <c:v>6500</c:v>
                      </c:pt>
                      <c:pt idx="14">
                        <c:v>7000</c:v>
                      </c:pt>
                      <c:pt idx="15">
                        <c:v>7500</c:v>
                      </c:pt>
                      <c:pt idx="16">
                        <c:v>8000</c:v>
                      </c:pt>
                      <c:pt idx="17">
                        <c:v>8500</c:v>
                      </c:pt>
                      <c:pt idx="18">
                        <c:v>9000</c:v>
                      </c:pt>
                      <c:pt idx="19">
                        <c:v>9500</c:v>
                      </c:pt>
                      <c:pt idx="20">
                        <c:v>10000</c:v>
                      </c:pt>
                      <c:pt idx="21">
                        <c:v>10500</c:v>
                      </c:pt>
                      <c:pt idx="22">
                        <c:v>11000</c:v>
                      </c:pt>
                      <c:pt idx="23">
                        <c:v>11500</c:v>
                      </c:pt>
                      <c:pt idx="24">
                        <c:v>12000</c:v>
                      </c:pt>
                      <c:pt idx="25">
                        <c:v>12500</c:v>
                      </c:pt>
                      <c:pt idx="26">
                        <c:v>13000</c:v>
                      </c:pt>
                      <c:pt idx="27">
                        <c:v>13500</c:v>
                      </c:pt>
                      <c:pt idx="28">
                        <c:v>14000</c:v>
                      </c:pt>
                      <c:pt idx="29">
                        <c:v>14500</c:v>
                      </c:pt>
                      <c:pt idx="30">
                        <c:v>15000</c:v>
                      </c:pt>
                      <c:pt idx="31">
                        <c:v>15500</c:v>
                      </c:pt>
                      <c:pt idx="32">
                        <c:v>16000</c:v>
                      </c:pt>
                      <c:pt idx="33">
                        <c:v>16500</c:v>
                      </c:pt>
                      <c:pt idx="34">
                        <c:v>17000</c:v>
                      </c:pt>
                      <c:pt idx="35">
                        <c:v>17500</c:v>
                      </c:pt>
                      <c:pt idx="36">
                        <c:v>18000</c:v>
                      </c:pt>
                      <c:pt idx="37">
                        <c:v>18500</c:v>
                      </c:pt>
                      <c:pt idx="38">
                        <c:v>19000</c:v>
                      </c:pt>
                      <c:pt idx="39">
                        <c:v>19500</c:v>
                      </c:pt>
                      <c:pt idx="40">
                        <c:v>20000</c:v>
                      </c:pt>
                      <c:pt idx="41">
                        <c:v>20500</c:v>
                      </c:pt>
                      <c:pt idx="42">
                        <c:v>21000</c:v>
                      </c:pt>
                      <c:pt idx="43">
                        <c:v>21500</c:v>
                      </c:pt>
                      <c:pt idx="44">
                        <c:v>22000</c:v>
                      </c:pt>
                      <c:pt idx="45">
                        <c:v>22500</c:v>
                      </c:pt>
                      <c:pt idx="46">
                        <c:v>23000</c:v>
                      </c:pt>
                      <c:pt idx="47">
                        <c:v>23500</c:v>
                      </c:pt>
                      <c:pt idx="48">
                        <c:v>24000</c:v>
                      </c:pt>
                      <c:pt idx="49">
                        <c:v>24500</c:v>
                      </c:pt>
                      <c:pt idx="50">
                        <c:v>25000</c:v>
                      </c:pt>
                      <c:pt idx="51">
                        <c:v>25500</c:v>
                      </c:pt>
                      <c:pt idx="52">
                        <c:v>26000</c:v>
                      </c:pt>
                      <c:pt idx="53">
                        <c:v>26500</c:v>
                      </c:pt>
                      <c:pt idx="54">
                        <c:v>27000</c:v>
                      </c:pt>
                      <c:pt idx="55">
                        <c:v>27500</c:v>
                      </c:pt>
                      <c:pt idx="56">
                        <c:v>28000</c:v>
                      </c:pt>
                      <c:pt idx="57">
                        <c:v>28500</c:v>
                      </c:pt>
                      <c:pt idx="58">
                        <c:v>29000</c:v>
                      </c:pt>
                      <c:pt idx="59">
                        <c:v>29500</c:v>
                      </c:pt>
                      <c:pt idx="60">
                        <c:v>30000</c:v>
                      </c:pt>
                      <c:pt idx="61">
                        <c:v>30500</c:v>
                      </c:pt>
                      <c:pt idx="62">
                        <c:v>31000</c:v>
                      </c:pt>
                      <c:pt idx="63">
                        <c:v>31500</c:v>
                      </c:pt>
                      <c:pt idx="64">
                        <c:v>32000</c:v>
                      </c:pt>
                      <c:pt idx="65">
                        <c:v>32500</c:v>
                      </c:pt>
                      <c:pt idx="66">
                        <c:v>33000</c:v>
                      </c:pt>
                      <c:pt idx="67">
                        <c:v>33500</c:v>
                      </c:pt>
                      <c:pt idx="68">
                        <c:v>34000</c:v>
                      </c:pt>
                      <c:pt idx="69">
                        <c:v>34500</c:v>
                      </c:pt>
                      <c:pt idx="70">
                        <c:v>35000</c:v>
                      </c:pt>
                      <c:pt idx="71">
                        <c:v>35500</c:v>
                      </c:pt>
                      <c:pt idx="72">
                        <c:v>36000</c:v>
                      </c:pt>
                      <c:pt idx="73">
                        <c:v>36500</c:v>
                      </c:pt>
                      <c:pt idx="74">
                        <c:v>37000</c:v>
                      </c:pt>
                      <c:pt idx="75">
                        <c:v>37500</c:v>
                      </c:pt>
                      <c:pt idx="76">
                        <c:v>38000</c:v>
                      </c:pt>
                      <c:pt idx="77">
                        <c:v>38500</c:v>
                      </c:pt>
                      <c:pt idx="78">
                        <c:v>39000</c:v>
                      </c:pt>
                      <c:pt idx="79">
                        <c:v>39500</c:v>
                      </c:pt>
                      <c:pt idx="80">
                        <c:v>40000</c:v>
                      </c:pt>
                      <c:pt idx="81">
                        <c:v>40500</c:v>
                      </c:pt>
                      <c:pt idx="82">
                        <c:v>41000</c:v>
                      </c:pt>
                      <c:pt idx="83">
                        <c:v>41500</c:v>
                      </c:pt>
                      <c:pt idx="84">
                        <c:v>42000</c:v>
                      </c:pt>
                      <c:pt idx="85">
                        <c:v>42500</c:v>
                      </c:pt>
                      <c:pt idx="86">
                        <c:v>43000</c:v>
                      </c:pt>
                      <c:pt idx="87">
                        <c:v>43500</c:v>
                      </c:pt>
                      <c:pt idx="88">
                        <c:v>44000</c:v>
                      </c:pt>
                      <c:pt idx="89">
                        <c:v>44500</c:v>
                      </c:pt>
                      <c:pt idx="90">
                        <c:v>45000</c:v>
                      </c:pt>
                      <c:pt idx="91">
                        <c:v>45500</c:v>
                      </c:pt>
                      <c:pt idx="92">
                        <c:v>46000</c:v>
                      </c:pt>
                      <c:pt idx="93">
                        <c:v>46500</c:v>
                      </c:pt>
                      <c:pt idx="94">
                        <c:v>47000</c:v>
                      </c:pt>
                      <c:pt idx="95">
                        <c:v>47500</c:v>
                      </c:pt>
                      <c:pt idx="96">
                        <c:v>48000</c:v>
                      </c:pt>
                      <c:pt idx="97">
                        <c:v>48500</c:v>
                      </c:pt>
                      <c:pt idx="98">
                        <c:v>49000</c:v>
                      </c:pt>
                      <c:pt idx="99">
                        <c:v>49500</c:v>
                      </c:pt>
                      <c:pt idx="100">
                        <c:v>50000</c:v>
                      </c:pt>
                      <c:pt idx="101">
                        <c:v>50500</c:v>
                      </c:pt>
                      <c:pt idx="102">
                        <c:v>51000</c:v>
                      </c:pt>
                      <c:pt idx="103">
                        <c:v>51500</c:v>
                      </c:pt>
                      <c:pt idx="104">
                        <c:v>52000</c:v>
                      </c:pt>
                      <c:pt idx="105">
                        <c:v>52500</c:v>
                      </c:pt>
                      <c:pt idx="106">
                        <c:v>53000</c:v>
                      </c:pt>
                      <c:pt idx="107">
                        <c:v>53500</c:v>
                      </c:pt>
                      <c:pt idx="108">
                        <c:v>54000</c:v>
                      </c:pt>
                      <c:pt idx="109">
                        <c:v>54500</c:v>
                      </c:pt>
                      <c:pt idx="110">
                        <c:v>55000</c:v>
                      </c:pt>
                      <c:pt idx="111">
                        <c:v>55500</c:v>
                      </c:pt>
                      <c:pt idx="112">
                        <c:v>56000</c:v>
                      </c:pt>
                      <c:pt idx="113">
                        <c:v>56500</c:v>
                      </c:pt>
                      <c:pt idx="114">
                        <c:v>57000</c:v>
                      </c:pt>
                      <c:pt idx="115">
                        <c:v>57500</c:v>
                      </c:pt>
                      <c:pt idx="116">
                        <c:v>58000</c:v>
                      </c:pt>
                      <c:pt idx="117">
                        <c:v>58500</c:v>
                      </c:pt>
                      <c:pt idx="118">
                        <c:v>59000</c:v>
                      </c:pt>
                      <c:pt idx="119">
                        <c:v>59500</c:v>
                      </c:pt>
                      <c:pt idx="120">
                        <c:v>60000</c:v>
                      </c:pt>
                      <c:pt idx="121">
                        <c:v>60500</c:v>
                      </c:pt>
                      <c:pt idx="122">
                        <c:v>61000</c:v>
                      </c:pt>
                      <c:pt idx="123">
                        <c:v>61500</c:v>
                      </c:pt>
                      <c:pt idx="124">
                        <c:v>62000</c:v>
                      </c:pt>
                      <c:pt idx="125">
                        <c:v>62500</c:v>
                      </c:pt>
                      <c:pt idx="126">
                        <c:v>63000</c:v>
                      </c:pt>
                      <c:pt idx="127">
                        <c:v>63500</c:v>
                      </c:pt>
                      <c:pt idx="128">
                        <c:v>64000</c:v>
                      </c:pt>
                      <c:pt idx="129">
                        <c:v>64500</c:v>
                      </c:pt>
                      <c:pt idx="130">
                        <c:v>65000</c:v>
                      </c:pt>
                      <c:pt idx="131">
                        <c:v>65500</c:v>
                      </c:pt>
                      <c:pt idx="132">
                        <c:v>66000</c:v>
                      </c:pt>
                      <c:pt idx="133">
                        <c:v>66500</c:v>
                      </c:pt>
                      <c:pt idx="134">
                        <c:v>67000</c:v>
                      </c:pt>
                      <c:pt idx="135">
                        <c:v>67500</c:v>
                      </c:pt>
                      <c:pt idx="136">
                        <c:v>68000</c:v>
                      </c:pt>
                      <c:pt idx="137">
                        <c:v>68500</c:v>
                      </c:pt>
                      <c:pt idx="138">
                        <c:v>69000</c:v>
                      </c:pt>
                      <c:pt idx="139">
                        <c:v>69500</c:v>
                      </c:pt>
                      <c:pt idx="140">
                        <c:v>70000</c:v>
                      </c:pt>
                      <c:pt idx="141">
                        <c:v>70500</c:v>
                      </c:pt>
                      <c:pt idx="142">
                        <c:v>71000</c:v>
                      </c:pt>
                      <c:pt idx="143">
                        <c:v>71500</c:v>
                      </c:pt>
                      <c:pt idx="144">
                        <c:v>72000</c:v>
                      </c:pt>
                      <c:pt idx="145">
                        <c:v>72500</c:v>
                      </c:pt>
                      <c:pt idx="146">
                        <c:v>73000</c:v>
                      </c:pt>
                      <c:pt idx="147">
                        <c:v>73500</c:v>
                      </c:pt>
                      <c:pt idx="148">
                        <c:v>74000</c:v>
                      </c:pt>
                      <c:pt idx="149">
                        <c:v>74500</c:v>
                      </c:pt>
                      <c:pt idx="150">
                        <c:v>75000</c:v>
                      </c:pt>
                      <c:pt idx="151">
                        <c:v>75500</c:v>
                      </c:pt>
                      <c:pt idx="152">
                        <c:v>76000</c:v>
                      </c:pt>
                      <c:pt idx="153">
                        <c:v>76500</c:v>
                      </c:pt>
                      <c:pt idx="154">
                        <c:v>77000</c:v>
                      </c:pt>
                      <c:pt idx="155">
                        <c:v>77500</c:v>
                      </c:pt>
                      <c:pt idx="156">
                        <c:v>78000</c:v>
                      </c:pt>
                      <c:pt idx="157">
                        <c:v>78500</c:v>
                      </c:pt>
                      <c:pt idx="158">
                        <c:v>79000</c:v>
                      </c:pt>
                      <c:pt idx="159">
                        <c:v>79500</c:v>
                      </c:pt>
                      <c:pt idx="160">
                        <c:v>80000</c:v>
                      </c:pt>
                      <c:pt idx="161">
                        <c:v>80500</c:v>
                      </c:pt>
                      <c:pt idx="162">
                        <c:v>81000</c:v>
                      </c:pt>
                      <c:pt idx="163">
                        <c:v>81500</c:v>
                      </c:pt>
                      <c:pt idx="164">
                        <c:v>82000</c:v>
                      </c:pt>
                      <c:pt idx="165">
                        <c:v>82500</c:v>
                      </c:pt>
                      <c:pt idx="166">
                        <c:v>83000</c:v>
                      </c:pt>
                      <c:pt idx="167">
                        <c:v>83500</c:v>
                      </c:pt>
                      <c:pt idx="168">
                        <c:v>84000</c:v>
                      </c:pt>
                      <c:pt idx="169">
                        <c:v>84500</c:v>
                      </c:pt>
                      <c:pt idx="170">
                        <c:v>85000</c:v>
                      </c:pt>
                      <c:pt idx="171">
                        <c:v>85500</c:v>
                      </c:pt>
                      <c:pt idx="172">
                        <c:v>86000</c:v>
                      </c:pt>
                      <c:pt idx="173">
                        <c:v>86500</c:v>
                      </c:pt>
                      <c:pt idx="174">
                        <c:v>87000</c:v>
                      </c:pt>
                      <c:pt idx="175">
                        <c:v>87500</c:v>
                      </c:pt>
                      <c:pt idx="176">
                        <c:v>88000</c:v>
                      </c:pt>
                      <c:pt idx="177">
                        <c:v>88500</c:v>
                      </c:pt>
                      <c:pt idx="178">
                        <c:v>89000</c:v>
                      </c:pt>
                      <c:pt idx="179">
                        <c:v>89500</c:v>
                      </c:pt>
                      <c:pt idx="180">
                        <c:v>90000</c:v>
                      </c:pt>
                      <c:pt idx="181">
                        <c:v>90500</c:v>
                      </c:pt>
                      <c:pt idx="182">
                        <c:v>91000</c:v>
                      </c:pt>
                      <c:pt idx="183">
                        <c:v>91500</c:v>
                      </c:pt>
                      <c:pt idx="184">
                        <c:v>92000</c:v>
                      </c:pt>
                      <c:pt idx="185">
                        <c:v>92500</c:v>
                      </c:pt>
                      <c:pt idx="186">
                        <c:v>93000</c:v>
                      </c:pt>
                      <c:pt idx="187">
                        <c:v>93500</c:v>
                      </c:pt>
                      <c:pt idx="188">
                        <c:v>94000</c:v>
                      </c:pt>
                      <c:pt idx="189">
                        <c:v>94500</c:v>
                      </c:pt>
                      <c:pt idx="190">
                        <c:v>95000</c:v>
                      </c:pt>
                      <c:pt idx="191">
                        <c:v>95500</c:v>
                      </c:pt>
                      <c:pt idx="192">
                        <c:v>96000</c:v>
                      </c:pt>
                      <c:pt idx="193">
                        <c:v>96500</c:v>
                      </c:pt>
                      <c:pt idx="194">
                        <c:v>97000</c:v>
                      </c:pt>
                      <c:pt idx="195">
                        <c:v>97500</c:v>
                      </c:pt>
                      <c:pt idx="196">
                        <c:v>98000</c:v>
                      </c:pt>
                      <c:pt idx="197">
                        <c:v>98500</c:v>
                      </c:pt>
                      <c:pt idx="198">
                        <c:v>99000</c:v>
                      </c:pt>
                      <c:pt idx="199">
                        <c:v>99500</c:v>
                      </c:pt>
                      <c:pt idx="200">
                        <c:v>100000</c:v>
                      </c:pt>
                    </c:numCache>
                  </c:numRef>
                </c:cat>
                <c:val>
                  <c:numRef>
                    <c:extLst xmlns:c15="http://schemas.microsoft.com/office/drawing/2012/chart">
                      <c:ext xmlns:c15="http://schemas.microsoft.com/office/drawing/2012/chart" uri="{02D57815-91ED-43cb-92C2-25804820EDAC}">
                        <c15:formulaRef>
                          <c15:sqref>'Use this for graphs'!$K$2:$K$202</c15:sqref>
                        </c15:formulaRef>
                      </c:ext>
                    </c:extLst>
                    <c:numCache>
                      <c:formatCode>"$"#,##0</c:formatCode>
                      <c:ptCount val="201"/>
                      <c:pt idx="0">
                        <c:v>31658.988000000001</c:v>
                      </c:pt>
                      <c:pt idx="1">
                        <c:v>31593</c:v>
                      </c:pt>
                      <c:pt idx="2">
                        <c:v>31647</c:v>
                      </c:pt>
                      <c:pt idx="3">
                        <c:v>31701</c:v>
                      </c:pt>
                      <c:pt idx="4">
                        <c:v>31755</c:v>
                      </c:pt>
                      <c:pt idx="5">
                        <c:v>31809</c:v>
                      </c:pt>
                      <c:pt idx="6">
                        <c:v>31587.48</c:v>
                      </c:pt>
                      <c:pt idx="7">
                        <c:v>31361.48</c:v>
                      </c:pt>
                      <c:pt idx="8">
                        <c:v>31135.480000000003</c:v>
                      </c:pt>
                      <c:pt idx="9">
                        <c:v>30909.48</c:v>
                      </c:pt>
                      <c:pt idx="10">
                        <c:v>30683.48</c:v>
                      </c:pt>
                      <c:pt idx="11">
                        <c:v>30457.480000000003</c:v>
                      </c:pt>
                      <c:pt idx="12">
                        <c:v>30231.48</c:v>
                      </c:pt>
                      <c:pt idx="13">
                        <c:v>30005.48</c:v>
                      </c:pt>
                      <c:pt idx="14">
                        <c:v>29779.48</c:v>
                      </c:pt>
                      <c:pt idx="15">
                        <c:v>29553.48</c:v>
                      </c:pt>
                      <c:pt idx="16">
                        <c:v>29327.48</c:v>
                      </c:pt>
                      <c:pt idx="17">
                        <c:v>29223</c:v>
                      </c:pt>
                      <c:pt idx="18">
                        <c:v>29277</c:v>
                      </c:pt>
                      <c:pt idx="19">
                        <c:v>29331</c:v>
                      </c:pt>
                      <c:pt idx="20">
                        <c:v>29385</c:v>
                      </c:pt>
                      <c:pt idx="21">
                        <c:v>29439</c:v>
                      </c:pt>
                      <c:pt idx="22">
                        <c:v>29493</c:v>
                      </c:pt>
                      <c:pt idx="23">
                        <c:v>29547</c:v>
                      </c:pt>
                      <c:pt idx="24">
                        <c:v>29469</c:v>
                      </c:pt>
                      <c:pt idx="25">
                        <c:v>29343</c:v>
                      </c:pt>
                      <c:pt idx="26">
                        <c:v>29217</c:v>
                      </c:pt>
                      <c:pt idx="27">
                        <c:v>28895.4</c:v>
                      </c:pt>
                      <c:pt idx="28">
                        <c:v>28565.4</c:v>
                      </c:pt>
                      <c:pt idx="29">
                        <c:v>28235.4</c:v>
                      </c:pt>
                      <c:pt idx="30">
                        <c:v>27905.4</c:v>
                      </c:pt>
                      <c:pt idx="31">
                        <c:v>27575.4</c:v>
                      </c:pt>
                      <c:pt idx="32">
                        <c:v>27245.4</c:v>
                      </c:pt>
                      <c:pt idx="33">
                        <c:v>26915.4</c:v>
                      </c:pt>
                      <c:pt idx="34">
                        <c:v>26585.4</c:v>
                      </c:pt>
                      <c:pt idx="35">
                        <c:v>26255.4</c:v>
                      </c:pt>
                      <c:pt idx="36">
                        <c:v>25925.4</c:v>
                      </c:pt>
                      <c:pt idx="37">
                        <c:v>25595.4</c:v>
                      </c:pt>
                      <c:pt idx="38">
                        <c:v>25265.4</c:v>
                      </c:pt>
                      <c:pt idx="39">
                        <c:v>24935.4</c:v>
                      </c:pt>
                      <c:pt idx="40">
                        <c:v>24605.4</c:v>
                      </c:pt>
                      <c:pt idx="41">
                        <c:v>24275.4</c:v>
                      </c:pt>
                      <c:pt idx="42">
                        <c:v>23945.4</c:v>
                      </c:pt>
                      <c:pt idx="43">
                        <c:v>23615.4</c:v>
                      </c:pt>
                      <c:pt idx="44">
                        <c:v>23285.4</c:v>
                      </c:pt>
                      <c:pt idx="45">
                        <c:v>22955.4</c:v>
                      </c:pt>
                      <c:pt idx="46">
                        <c:v>22625.4</c:v>
                      </c:pt>
                      <c:pt idx="47">
                        <c:v>22295.4</c:v>
                      </c:pt>
                      <c:pt idx="48">
                        <c:v>21944.498159999999</c:v>
                      </c:pt>
                      <c:pt idx="49">
                        <c:v>21518.618159999998</c:v>
                      </c:pt>
                      <c:pt idx="50">
                        <c:v>21092.738160000001</c:v>
                      </c:pt>
                      <c:pt idx="51">
                        <c:v>20666.85816</c:v>
                      </c:pt>
                      <c:pt idx="52">
                        <c:v>20240.978160000002</c:v>
                      </c:pt>
                      <c:pt idx="53">
                        <c:v>19815.098160000001</c:v>
                      </c:pt>
                      <c:pt idx="54">
                        <c:v>19389.21816</c:v>
                      </c:pt>
                      <c:pt idx="55">
                        <c:v>18963.338159999999</c:v>
                      </c:pt>
                      <c:pt idx="56">
                        <c:v>18537.458160000002</c:v>
                      </c:pt>
                      <c:pt idx="57">
                        <c:v>18111.578160000001</c:v>
                      </c:pt>
                      <c:pt idx="58">
                        <c:v>17685.69816</c:v>
                      </c:pt>
                      <c:pt idx="59">
                        <c:v>17259.818160000003</c:v>
                      </c:pt>
                      <c:pt idx="60">
                        <c:v>10686.93816</c:v>
                      </c:pt>
                      <c:pt idx="61">
                        <c:v>10441.05816</c:v>
                      </c:pt>
                      <c:pt idx="62">
                        <c:v>10195.178159999999</c:v>
                      </c:pt>
                      <c:pt idx="63">
                        <c:v>9949.2981600000003</c:v>
                      </c:pt>
                      <c:pt idx="64">
                        <c:v>9703.4181600000011</c:v>
                      </c:pt>
                      <c:pt idx="65">
                        <c:v>9457.5381600000001</c:v>
                      </c:pt>
                      <c:pt idx="66">
                        <c:v>9211.658159999999</c:v>
                      </c:pt>
                      <c:pt idx="67">
                        <c:v>8965.7781600000017</c:v>
                      </c:pt>
                      <c:pt idx="68">
                        <c:v>8719.8981600000006</c:v>
                      </c:pt>
                      <c:pt idx="69">
                        <c:v>8474.0181599999996</c:v>
                      </c:pt>
                      <c:pt idx="70">
                        <c:v>8228.1381600000004</c:v>
                      </c:pt>
                      <c:pt idx="71">
                        <c:v>7982.2581600000003</c:v>
                      </c:pt>
                      <c:pt idx="72">
                        <c:v>7736.3781600000002</c:v>
                      </c:pt>
                      <c:pt idx="73">
                        <c:v>7490.498160000001</c:v>
                      </c:pt>
                      <c:pt idx="74">
                        <c:v>7244.61816</c:v>
                      </c:pt>
                      <c:pt idx="75">
                        <c:v>6998.7381600000008</c:v>
                      </c:pt>
                      <c:pt idx="76">
                        <c:v>6752.8581600000016</c:v>
                      </c:pt>
                      <c:pt idx="77">
                        <c:v>6506.9781600000006</c:v>
                      </c:pt>
                      <c:pt idx="78">
                        <c:v>6261.0981599999996</c:v>
                      </c:pt>
                      <c:pt idx="79">
                        <c:v>6141.2181600000004</c:v>
                      </c:pt>
                      <c:pt idx="80">
                        <c:v>6045.3381600000002</c:v>
                      </c:pt>
                      <c:pt idx="81">
                        <c:v>5949.4581600000001</c:v>
                      </c:pt>
                      <c:pt idx="82">
                        <c:v>5853.57816</c:v>
                      </c:pt>
                      <c:pt idx="83">
                        <c:v>5757.6981599999999</c:v>
                      </c:pt>
                      <c:pt idx="84">
                        <c:v>5661.8181599999998</c:v>
                      </c:pt>
                      <c:pt idx="85">
                        <c:v>5565.9381599999997</c:v>
                      </c:pt>
                      <c:pt idx="86">
                        <c:v>5470.0581600000005</c:v>
                      </c:pt>
                      <c:pt idx="87">
                        <c:v>1552.1781599999999</c:v>
                      </c:pt>
                      <c:pt idx="88">
                        <c:v>1456.2981599999998</c:v>
                      </c:pt>
                      <c:pt idx="89">
                        <c:v>1360.4181599999997</c:v>
                      </c:pt>
                      <c:pt idx="90">
                        <c:v>1264.5381600000003</c:v>
                      </c:pt>
                      <c:pt idx="91">
                        <c:v>1168.6581600000002</c:v>
                      </c:pt>
                      <c:pt idx="92">
                        <c:v>1072.7781600000001</c:v>
                      </c:pt>
                      <c:pt idx="93">
                        <c:v>976.89815999999996</c:v>
                      </c:pt>
                      <c:pt idx="94">
                        <c:v>881.01815999999985</c:v>
                      </c:pt>
                      <c:pt idx="95">
                        <c:v>785.1381600000002</c:v>
                      </c:pt>
                      <c:pt idx="96">
                        <c:v>689.25816000000009</c:v>
                      </c:pt>
                      <c:pt idx="97">
                        <c:v>593.37815999999998</c:v>
                      </c:pt>
                      <c:pt idx="98">
                        <c:v>497.49815999999993</c:v>
                      </c:pt>
                      <c:pt idx="99">
                        <c:v>401.61815999999982</c:v>
                      </c:pt>
                      <c:pt idx="100">
                        <c:v>305.73815999999971</c:v>
                      </c:pt>
                      <c:pt idx="101">
                        <c:v>0</c:v>
                      </c:pt>
                      <c:pt idx="102">
                        <c:v>0</c:v>
                      </c:pt>
                      <c:pt idx="103">
                        <c:v>0</c:v>
                      </c:pt>
                      <c:pt idx="104">
                        <c:v>0</c:v>
                      </c:pt>
                      <c:pt idx="105">
                        <c:v>0</c:v>
                      </c:pt>
                      <c:pt idx="106">
                        <c:v>0</c:v>
                      </c:pt>
                      <c:pt idx="107">
                        <c:v>0</c:v>
                      </c:pt>
                      <c:pt idx="108">
                        <c:v>0</c:v>
                      </c:pt>
                      <c:pt idx="109">
                        <c:v>0</c:v>
                      </c:pt>
                      <c:pt idx="110">
                        <c:v>0</c:v>
                      </c:pt>
                      <c:pt idx="111">
                        <c:v>0</c:v>
                      </c:pt>
                      <c:pt idx="112">
                        <c:v>0</c:v>
                      </c:pt>
                      <c:pt idx="113">
                        <c:v>0</c:v>
                      </c:pt>
                      <c:pt idx="114">
                        <c:v>0</c:v>
                      </c:pt>
                      <c:pt idx="115">
                        <c:v>0</c:v>
                      </c:pt>
                      <c:pt idx="116">
                        <c:v>0</c:v>
                      </c:pt>
                      <c:pt idx="117">
                        <c:v>0</c:v>
                      </c:pt>
                      <c:pt idx="118">
                        <c:v>0</c:v>
                      </c:pt>
                      <c:pt idx="119">
                        <c:v>0</c:v>
                      </c:pt>
                      <c:pt idx="120">
                        <c:v>0</c:v>
                      </c:pt>
                      <c:pt idx="121">
                        <c:v>0</c:v>
                      </c:pt>
                      <c:pt idx="122">
                        <c:v>0</c:v>
                      </c:pt>
                      <c:pt idx="123">
                        <c:v>0</c:v>
                      </c:pt>
                      <c:pt idx="124">
                        <c:v>0</c:v>
                      </c:pt>
                      <c:pt idx="125">
                        <c:v>0</c:v>
                      </c:pt>
                      <c:pt idx="126">
                        <c:v>0</c:v>
                      </c:pt>
                      <c:pt idx="127">
                        <c:v>0</c:v>
                      </c:pt>
                      <c:pt idx="128">
                        <c:v>0</c:v>
                      </c:pt>
                      <c:pt idx="129">
                        <c:v>0</c:v>
                      </c:pt>
                      <c:pt idx="130">
                        <c:v>0</c:v>
                      </c:pt>
                      <c:pt idx="131">
                        <c:v>0</c:v>
                      </c:pt>
                      <c:pt idx="132">
                        <c:v>0</c:v>
                      </c:pt>
                      <c:pt idx="133">
                        <c:v>0</c:v>
                      </c:pt>
                      <c:pt idx="134">
                        <c:v>0</c:v>
                      </c:pt>
                      <c:pt idx="135">
                        <c:v>0</c:v>
                      </c:pt>
                      <c:pt idx="136">
                        <c:v>0</c:v>
                      </c:pt>
                      <c:pt idx="137">
                        <c:v>0</c:v>
                      </c:pt>
                      <c:pt idx="138">
                        <c:v>0</c:v>
                      </c:pt>
                      <c:pt idx="139">
                        <c:v>0</c:v>
                      </c:pt>
                      <c:pt idx="140">
                        <c:v>0</c:v>
                      </c:pt>
                      <c:pt idx="141">
                        <c:v>0</c:v>
                      </c:pt>
                      <c:pt idx="142">
                        <c:v>0</c:v>
                      </c:pt>
                      <c:pt idx="143">
                        <c:v>0</c:v>
                      </c:pt>
                      <c:pt idx="144">
                        <c:v>0</c:v>
                      </c:pt>
                      <c:pt idx="145">
                        <c:v>0</c:v>
                      </c:pt>
                      <c:pt idx="146">
                        <c:v>0</c:v>
                      </c:pt>
                      <c:pt idx="147">
                        <c:v>0</c:v>
                      </c:pt>
                      <c:pt idx="148">
                        <c:v>0</c:v>
                      </c:pt>
                      <c:pt idx="149">
                        <c:v>0</c:v>
                      </c:pt>
                      <c:pt idx="150">
                        <c:v>0</c:v>
                      </c:pt>
                      <c:pt idx="151">
                        <c:v>0</c:v>
                      </c:pt>
                      <c:pt idx="152">
                        <c:v>0</c:v>
                      </c:pt>
                      <c:pt idx="153">
                        <c:v>0</c:v>
                      </c:pt>
                      <c:pt idx="154">
                        <c:v>0</c:v>
                      </c:pt>
                      <c:pt idx="155">
                        <c:v>0</c:v>
                      </c:pt>
                      <c:pt idx="156">
                        <c:v>0</c:v>
                      </c:pt>
                      <c:pt idx="157">
                        <c:v>0</c:v>
                      </c:pt>
                      <c:pt idx="158">
                        <c:v>0</c:v>
                      </c:pt>
                      <c:pt idx="159">
                        <c:v>0</c:v>
                      </c:pt>
                      <c:pt idx="160">
                        <c:v>0</c:v>
                      </c:pt>
                      <c:pt idx="161">
                        <c:v>0</c:v>
                      </c:pt>
                      <c:pt idx="162">
                        <c:v>0</c:v>
                      </c:pt>
                      <c:pt idx="163">
                        <c:v>0</c:v>
                      </c:pt>
                      <c:pt idx="164">
                        <c:v>0</c:v>
                      </c:pt>
                      <c:pt idx="165">
                        <c:v>0</c:v>
                      </c:pt>
                      <c:pt idx="166">
                        <c:v>0</c:v>
                      </c:pt>
                      <c:pt idx="167">
                        <c:v>0</c:v>
                      </c:pt>
                      <c:pt idx="168">
                        <c:v>0</c:v>
                      </c:pt>
                      <c:pt idx="169">
                        <c:v>0</c:v>
                      </c:pt>
                      <c:pt idx="170">
                        <c:v>0</c:v>
                      </c:pt>
                      <c:pt idx="171">
                        <c:v>0</c:v>
                      </c:pt>
                      <c:pt idx="172">
                        <c:v>0</c:v>
                      </c:pt>
                      <c:pt idx="173">
                        <c:v>0</c:v>
                      </c:pt>
                      <c:pt idx="174">
                        <c:v>0</c:v>
                      </c:pt>
                      <c:pt idx="175">
                        <c:v>0</c:v>
                      </c:pt>
                      <c:pt idx="176">
                        <c:v>0</c:v>
                      </c:pt>
                      <c:pt idx="177">
                        <c:v>0</c:v>
                      </c:pt>
                      <c:pt idx="178">
                        <c:v>0</c:v>
                      </c:pt>
                      <c:pt idx="179">
                        <c:v>0</c:v>
                      </c:pt>
                      <c:pt idx="180">
                        <c:v>0</c:v>
                      </c:pt>
                      <c:pt idx="181">
                        <c:v>0</c:v>
                      </c:pt>
                      <c:pt idx="182">
                        <c:v>0</c:v>
                      </c:pt>
                      <c:pt idx="183">
                        <c:v>0</c:v>
                      </c:pt>
                      <c:pt idx="184">
                        <c:v>0</c:v>
                      </c:pt>
                      <c:pt idx="185">
                        <c:v>0</c:v>
                      </c:pt>
                      <c:pt idx="186">
                        <c:v>0</c:v>
                      </c:pt>
                      <c:pt idx="187">
                        <c:v>0</c:v>
                      </c:pt>
                      <c:pt idx="188">
                        <c:v>0</c:v>
                      </c:pt>
                      <c:pt idx="189">
                        <c:v>0</c:v>
                      </c:pt>
                      <c:pt idx="190">
                        <c:v>0</c:v>
                      </c:pt>
                      <c:pt idx="191">
                        <c:v>0</c:v>
                      </c:pt>
                      <c:pt idx="192">
                        <c:v>0</c:v>
                      </c:pt>
                      <c:pt idx="193">
                        <c:v>0</c:v>
                      </c:pt>
                      <c:pt idx="194">
                        <c:v>0</c:v>
                      </c:pt>
                      <c:pt idx="195">
                        <c:v>0</c:v>
                      </c:pt>
                      <c:pt idx="196">
                        <c:v>0</c:v>
                      </c:pt>
                      <c:pt idx="197">
                        <c:v>0</c:v>
                      </c:pt>
                      <c:pt idx="198">
                        <c:v>0</c:v>
                      </c:pt>
                      <c:pt idx="199">
                        <c:v>0</c:v>
                      </c:pt>
                      <c:pt idx="200">
                        <c:v>0</c:v>
                      </c:pt>
                    </c:numCache>
                  </c:numRef>
                </c:val>
                <c:extLst xmlns:c15="http://schemas.microsoft.com/office/drawing/2012/chart">
                  <c:ext xmlns:c16="http://schemas.microsoft.com/office/drawing/2014/chart" uri="{C3380CC4-5D6E-409C-BE32-E72D297353CC}">
                    <c16:uniqueId val="{0000000A-2313-4AA3-8472-5B3EC23DBAE5}"/>
                  </c:ext>
                </c:extLst>
              </c15:ser>
            </c15:filteredAreaSeries>
            <c15:filteredAreaSeries>
              <c15:ser>
                <c:idx val="3"/>
                <c:order val="11"/>
                <c:tx>
                  <c:strRef>
                    <c:extLst xmlns:c15="http://schemas.microsoft.com/office/drawing/2012/chart">
                      <c:ext xmlns:c15="http://schemas.microsoft.com/office/drawing/2012/chart" uri="{02D57815-91ED-43cb-92C2-25804820EDAC}">
                        <c15:formulaRef>
                          <c15:sqref>'Use this for graphs'!$L$1</c15:sqref>
                        </c15:formulaRef>
                      </c:ext>
                    </c:extLst>
                    <c:strCache>
                      <c:ptCount val="1"/>
                      <c:pt idx="0">
                        <c:v>Total benefits + income</c:v>
                      </c:pt>
                    </c:strCache>
                  </c:strRef>
                </c:tx>
                <c:spPr>
                  <a:solidFill>
                    <a:schemeClr val="accent4"/>
                  </a:solidFill>
                  <a:ln>
                    <a:noFill/>
                  </a:ln>
                  <a:effectLst/>
                </c:spPr>
                <c:cat>
                  <c:numRef>
                    <c:extLst xmlns:c15="http://schemas.microsoft.com/office/drawing/2012/chart">
                      <c:ext xmlns:c15="http://schemas.microsoft.com/office/drawing/2012/chart" uri="{02D57815-91ED-43cb-92C2-25804820EDAC}">
                        <c15:formulaRef>
                          <c15:sqref>'Use this for graphs'!$A$2:$A$202</c15:sqref>
                        </c15:formulaRef>
                      </c:ext>
                    </c:extLst>
                    <c:numCache>
                      <c:formatCode>"$"#,##0</c:formatCode>
                      <c:ptCount val="201"/>
                      <c:pt idx="0">
                        <c:v>0</c:v>
                      </c:pt>
                      <c:pt idx="1">
                        <c:v>500</c:v>
                      </c:pt>
                      <c:pt idx="2">
                        <c:v>1000</c:v>
                      </c:pt>
                      <c:pt idx="3">
                        <c:v>1500</c:v>
                      </c:pt>
                      <c:pt idx="4">
                        <c:v>2000</c:v>
                      </c:pt>
                      <c:pt idx="5">
                        <c:v>2500</c:v>
                      </c:pt>
                      <c:pt idx="6">
                        <c:v>3000</c:v>
                      </c:pt>
                      <c:pt idx="7">
                        <c:v>3500</c:v>
                      </c:pt>
                      <c:pt idx="8">
                        <c:v>4000</c:v>
                      </c:pt>
                      <c:pt idx="9">
                        <c:v>4500</c:v>
                      </c:pt>
                      <c:pt idx="10">
                        <c:v>5000</c:v>
                      </c:pt>
                      <c:pt idx="11">
                        <c:v>5500</c:v>
                      </c:pt>
                      <c:pt idx="12">
                        <c:v>6000</c:v>
                      </c:pt>
                      <c:pt idx="13">
                        <c:v>6500</c:v>
                      </c:pt>
                      <c:pt idx="14">
                        <c:v>7000</c:v>
                      </c:pt>
                      <c:pt idx="15">
                        <c:v>7500</c:v>
                      </c:pt>
                      <c:pt idx="16">
                        <c:v>8000</c:v>
                      </c:pt>
                      <c:pt idx="17">
                        <c:v>8500</c:v>
                      </c:pt>
                      <c:pt idx="18">
                        <c:v>9000</c:v>
                      </c:pt>
                      <c:pt idx="19">
                        <c:v>9500</c:v>
                      </c:pt>
                      <c:pt idx="20">
                        <c:v>10000</c:v>
                      </c:pt>
                      <c:pt idx="21">
                        <c:v>10500</c:v>
                      </c:pt>
                      <c:pt idx="22">
                        <c:v>11000</c:v>
                      </c:pt>
                      <c:pt idx="23">
                        <c:v>11500</c:v>
                      </c:pt>
                      <c:pt idx="24">
                        <c:v>12000</c:v>
                      </c:pt>
                      <c:pt idx="25">
                        <c:v>12500</c:v>
                      </c:pt>
                      <c:pt idx="26">
                        <c:v>13000</c:v>
                      </c:pt>
                      <c:pt idx="27">
                        <c:v>13500</c:v>
                      </c:pt>
                      <c:pt idx="28">
                        <c:v>14000</c:v>
                      </c:pt>
                      <c:pt idx="29">
                        <c:v>14500</c:v>
                      </c:pt>
                      <c:pt idx="30">
                        <c:v>15000</c:v>
                      </c:pt>
                      <c:pt idx="31">
                        <c:v>15500</c:v>
                      </c:pt>
                      <c:pt idx="32">
                        <c:v>16000</c:v>
                      </c:pt>
                      <c:pt idx="33">
                        <c:v>16500</c:v>
                      </c:pt>
                      <c:pt idx="34">
                        <c:v>17000</c:v>
                      </c:pt>
                      <c:pt idx="35">
                        <c:v>17500</c:v>
                      </c:pt>
                      <c:pt idx="36">
                        <c:v>18000</c:v>
                      </c:pt>
                      <c:pt idx="37">
                        <c:v>18500</c:v>
                      </c:pt>
                      <c:pt idx="38">
                        <c:v>19000</c:v>
                      </c:pt>
                      <c:pt idx="39">
                        <c:v>19500</c:v>
                      </c:pt>
                      <c:pt idx="40">
                        <c:v>20000</c:v>
                      </c:pt>
                      <c:pt idx="41">
                        <c:v>20500</c:v>
                      </c:pt>
                      <c:pt idx="42">
                        <c:v>21000</c:v>
                      </c:pt>
                      <c:pt idx="43">
                        <c:v>21500</c:v>
                      </c:pt>
                      <c:pt idx="44">
                        <c:v>22000</c:v>
                      </c:pt>
                      <c:pt idx="45">
                        <c:v>22500</c:v>
                      </c:pt>
                      <c:pt idx="46">
                        <c:v>23000</c:v>
                      </c:pt>
                      <c:pt idx="47">
                        <c:v>23500</c:v>
                      </c:pt>
                      <c:pt idx="48">
                        <c:v>24000</c:v>
                      </c:pt>
                      <c:pt idx="49">
                        <c:v>24500</c:v>
                      </c:pt>
                      <c:pt idx="50">
                        <c:v>25000</c:v>
                      </c:pt>
                      <c:pt idx="51">
                        <c:v>25500</c:v>
                      </c:pt>
                      <c:pt idx="52">
                        <c:v>26000</c:v>
                      </c:pt>
                      <c:pt idx="53">
                        <c:v>26500</c:v>
                      </c:pt>
                      <c:pt idx="54">
                        <c:v>27000</c:v>
                      </c:pt>
                      <c:pt idx="55">
                        <c:v>27500</c:v>
                      </c:pt>
                      <c:pt idx="56">
                        <c:v>28000</c:v>
                      </c:pt>
                      <c:pt idx="57">
                        <c:v>28500</c:v>
                      </c:pt>
                      <c:pt idx="58">
                        <c:v>29000</c:v>
                      </c:pt>
                      <c:pt idx="59">
                        <c:v>29500</c:v>
                      </c:pt>
                      <c:pt idx="60">
                        <c:v>30000</c:v>
                      </c:pt>
                      <c:pt idx="61">
                        <c:v>30500</c:v>
                      </c:pt>
                      <c:pt idx="62">
                        <c:v>31000</c:v>
                      </c:pt>
                      <c:pt idx="63">
                        <c:v>31500</c:v>
                      </c:pt>
                      <c:pt idx="64">
                        <c:v>32000</c:v>
                      </c:pt>
                      <c:pt idx="65">
                        <c:v>32500</c:v>
                      </c:pt>
                      <c:pt idx="66">
                        <c:v>33000</c:v>
                      </c:pt>
                      <c:pt idx="67">
                        <c:v>33500</c:v>
                      </c:pt>
                      <c:pt idx="68">
                        <c:v>34000</c:v>
                      </c:pt>
                      <c:pt idx="69">
                        <c:v>34500</c:v>
                      </c:pt>
                      <c:pt idx="70">
                        <c:v>35000</c:v>
                      </c:pt>
                      <c:pt idx="71">
                        <c:v>35500</c:v>
                      </c:pt>
                      <c:pt idx="72">
                        <c:v>36000</c:v>
                      </c:pt>
                      <c:pt idx="73">
                        <c:v>36500</c:v>
                      </c:pt>
                      <c:pt idx="74">
                        <c:v>37000</c:v>
                      </c:pt>
                      <c:pt idx="75">
                        <c:v>37500</c:v>
                      </c:pt>
                      <c:pt idx="76">
                        <c:v>38000</c:v>
                      </c:pt>
                      <c:pt idx="77">
                        <c:v>38500</c:v>
                      </c:pt>
                      <c:pt idx="78">
                        <c:v>39000</c:v>
                      </c:pt>
                      <c:pt idx="79">
                        <c:v>39500</c:v>
                      </c:pt>
                      <c:pt idx="80">
                        <c:v>40000</c:v>
                      </c:pt>
                      <c:pt idx="81">
                        <c:v>40500</c:v>
                      </c:pt>
                      <c:pt idx="82">
                        <c:v>41000</c:v>
                      </c:pt>
                      <c:pt idx="83">
                        <c:v>41500</c:v>
                      </c:pt>
                      <c:pt idx="84">
                        <c:v>42000</c:v>
                      </c:pt>
                      <c:pt idx="85">
                        <c:v>42500</c:v>
                      </c:pt>
                      <c:pt idx="86">
                        <c:v>43000</c:v>
                      </c:pt>
                      <c:pt idx="87">
                        <c:v>43500</c:v>
                      </c:pt>
                      <c:pt idx="88">
                        <c:v>44000</c:v>
                      </c:pt>
                      <c:pt idx="89">
                        <c:v>44500</c:v>
                      </c:pt>
                      <c:pt idx="90">
                        <c:v>45000</c:v>
                      </c:pt>
                      <c:pt idx="91">
                        <c:v>45500</c:v>
                      </c:pt>
                      <c:pt idx="92">
                        <c:v>46000</c:v>
                      </c:pt>
                      <c:pt idx="93">
                        <c:v>46500</c:v>
                      </c:pt>
                      <c:pt idx="94">
                        <c:v>47000</c:v>
                      </c:pt>
                      <c:pt idx="95">
                        <c:v>47500</c:v>
                      </c:pt>
                      <c:pt idx="96">
                        <c:v>48000</c:v>
                      </c:pt>
                      <c:pt idx="97">
                        <c:v>48500</c:v>
                      </c:pt>
                      <c:pt idx="98">
                        <c:v>49000</c:v>
                      </c:pt>
                      <c:pt idx="99">
                        <c:v>49500</c:v>
                      </c:pt>
                      <c:pt idx="100">
                        <c:v>50000</c:v>
                      </c:pt>
                      <c:pt idx="101">
                        <c:v>50500</c:v>
                      </c:pt>
                      <c:pt idx="102">
                        <c:v>51000</c:v>
                      </c:pt>
                      <c:pt idx="103">
                        <c:v>51500</c:v>
                      </c:pt>
                      <c:pt idx="104">
                        <c:v>52000</c:v>
                      </c:pt>
                      <c:pt idx="105">
                        <c:v>52500</c:v>
                      </c:pt>
                      <c:pt idx="106">
                        <c:v>53000</c:v>
                      </c:pt>
                      <c:pt idx="107">
                        <c:v>53500</c:v>
                      </c:pt>
                      <c:pt idx="108">
                        <c:v>54000</c:v>
                      </c:pt>
                      <c:pt idx="109">
                        <c:v>54500</c:v>
                      </c:pt>
                      <c:pt idx="110">
                        <c:v>55000</c:v>
                      </c:pt>
                      <c:pt idx="111">
                        <c:v>55500</c:v>
                      </c:pt>
                      <c:pt idx="112">
                        <c:v>56000</c:v>
                      </c:pt>
                      <c:pt idx="113">
                        <c:v>56500</c:v>
                      </c:pt>
                      <c:pt idx="114">
                        <c:v>57000</c:v>
                      </c:pt>
                      <c:pt idx="115">
                        <c:v>57500</c:v>
                      </c:pt>
                      <c:pt idx="116">
                        <c:v>58000</c:v>
                      </c:pt>
                      <c:pt idx="117">
                        <c:v>58500</c:v>
                      </c:pt>
                      <c:pt idx="118">
                        <c:v>59000</c:v>
                      </c:pt>
                      <c:pt idx="119">
                        <c:v>59500</c:v>
                      </c:pt>
                      <c:pt idx="120">
                        <c:v>60000</c:v>
                      </c:pt>
                      <c:pt idx="121">
                        <c:v>60500</c:v>
                      </c:pt>
                      <c:pt idx="122">
                        <c:v>61000</c:v>
                      </c:pt>
                      <c:pt idx="123">
                        <c:v>61500</c:v>
                      </c:pt>
                      <c:pt idx="124">
                        <c:v>62000</c:v>
                      </c:pt>
                      <c:pt idx="125">
                        <c:v>62500</c:v>
                      </c:pt>
                      <c:pt idx="126">
                        <c:v>63000</c:v>
                      </c:pt>
                      <c:pt idx="127">
                        <c:v>63500</c:v>
                      </c:pt>
                      <c:pt idx="128">
                        <c:v>64000</c:v>
                      </c:pt>
                      <c:pt idx="129">
                        <c:v>64500</c:v>
                      </c:pt>
                      <c:pt idx="130">
                        <c:v>65000</c:v>
                      </c:pt>
                      <c:pt idx="131">
                        <c:v>65500</c:v>
                      </c:pt>
                      <c:pt idx="132">
                        <c:v>66000</c:v>
                      </c:pt>
                      <c:pt idx="133">
                        <c:v>66500</c:v>
                      </c:pt>
                      <c:pt idx="134">
                        <c:v>67000</c:v>
                      </c:pt>
                      <c:pt idx="135">
                        <c:v>67500</c:v>
                      </c:pt>
                      <c:pt idx="136">
                        <c:v>68000</c:v>
                      </c:pt>
                      <c:pt idx="137">
                        <c:v>68500</c:v>
                      </c:pt>
                      <c:pt idx="138">
                        <c:v>69000</c:v>
                      </c:pt>
                      <c:pt idx="139">
                        <c:v>69500</c:v>
                      </c:pt>
                      <c:pt idx="140">
                        <c:v>70000</c:v>
                      </c:pt>
                      <c:pt idx="141">
                        <c:v>70500</c:v>
                      </c:pt>
                      <c:pt idx="142">
                        <c:v>71000</c:v>
                      </c:pt>
                      <c:pt idx="143">
                        <c:v>71500</c:v>
                      </c:pt>
                      <c:pt idx="144">
                        <c:v>72000</c:v>
                      </c:pt>
                      <c:pt idx="145">
                        <c:v>72500</c:v>
                      </c:pt>
                      <c:pt idx="146">
                        <c:v>73000</c:v>
                      </c:pt>
                      <c:pt idx="147">
                        <c:v>73500</c:v>
                      </c:pt>
                      <c:pt idx="148">
                        <c:v>74000</c:v>
                      </c:pt>
                      <c:pt idx="149">
                        <c:v>74500</c:v>
                      </c:pt>
                      <c:pt idx="150">
                        <c:v>75000</c:v>
                      </c:pt>
                      <c:pt idx="151">
                        <c:v>75500</c:v>
                      </c:pt>
                      <c:pt idx="152">
                        <c:v>76000</c:v>
                      </c:pt>
                      <c:pt idx="153">
                        <c:v>76500</c:v>
                      </c:pt>
                      <c:pt idx="154">
                        <c:v>77000</c:v>
                      </c:pt>
                      <c:pt idx="155">
                        <c:v>77500</c:v>
                      </c:pt>
                      <c:pt idx="156">
                        <c:v>78000</c:v>
                      </c:pt>
                      <c:pt idx="157">
                        <c:v>78500</c:v>
                      </c:pt>
                      <c:pt idx="158">
                        <c:v>79000</c:v>
                      </c:pt>
                      <c:pt idx="159">
                        <c:v>79500</c:v>
                      </c:pt>
                      <c:pt idx="160">
                        <c:v>80000</c:v>
                      </c:pt>
                      <c:pt idx="161">
                        <c:v>80500</c:v>
                      </c:pt>
                      <c:pt idx="162">
                        <c:v>81000</c:v>
                      </c:pt>
                      <c:pt idx="163">
                        <c:v>81500</c:v>
                      </c:pt>
                      <c:pt idx="164">
                        <c:v>82000</c:v>
                      </c:pt>
                      <c:pt idx="165">
                        <c:v>82500</c:v>
                      </c:pt>
                      <c:pt idx="166">
                        <c:v>83000</c:v>
                      </c:pt>
                      <c:pt idx="167">
                        <c:v>83500</c:v>
                      </c:pt>
                      <c:pt idx="168">
                        <c:v>84000</c:v>
                      </c:pt>
                      <c:pt idx="169">
                        <c:v>84500</c:v>
                      </c:pt>
                      <c:pt idx="170">
                        <c:v>85000</c:v>
                      </c:pt>
                      <c:pt idx="171">
                        <c:v>85500</c:v>
                      </c:pt>
                      <c:pt idx="172">
                        <c:v>86000</c:v>
                      </c:pt>
                      <c:pt idx="173">
                        <c:v>86500</c:v>
                      </c:pt>
                      <c:pt idx="174">
                        <c:v>87000</c:v>
                      </c:pt>
                      <c:pt idx="175">
                        <c:v>87500</c:v>
                      </c:pt>
                      <c:pt idx="176">
                        <c:v>88000</c:v>
                      </c:pt>
                      <c:pt idx="177">
                        <c:v>88500</c:v>
                      </c:pt>
                      <c:pt idx="178">
                        <c:v>89000</c:v>
                      </c:pt>
                      <c:pt idx="179">
                        <c:v>89500</c:v>
                      </c:pt>
                      <c:pt idx="180">
                        <c:v>90000</c:v>
                      </c:pt>
                      <c:pt idx="181">
                        <c:v>90500</c:v>
                      </c:pt>
                      <c:pt idx="182">
                        <c:v>91000</c:v>
                      </c:pt>
                      <c:pt idx="183">
                        <c:v>91500</c:v>
                      </c:pt>
                      <c:pt idx="184">
                        <c:v>92000</c:v>
                      </c:pt>
                      <c:pt idx="185">
                        <c:v>92500</c:v>
                      </c:pt>
                      <c:pt idx="186">
                        <c:v>93000</c:v>
                      </c:pt>
                      <c:pt idx="187">
                        <c:v>93500</c:v>
                      </c:pt>
                      <c:pt idx="188">
                        <c:v>94000</c:v>
                      </c:pt>
                      <c:pt idx="189">
                        <c:v>94500</c:v>
                      </c:pt>
                      <c:pt idx="190">
                        <c:v>95000</c:v>
                      </c:pt>
                      <c:pt idx="191">
                        <c:v>95500</c:v>
                      </c:pt>
                      <c:pt idx="192">
                        <c:v>96000</c:v>
                      </c:pt>
                      <c:pt idx="193">
                        <c:v>96500</c:v>
                      </c:pt>
                      <c:pt idx="194">
                        <c:v>97000</c:v>
                      </c:pt>
                      <c:pt idx="195">
                        <c:v>97500</c:v>
                      </c:pt>
                      <c:pt idx="196">
                        <c:v>98000</c:v>
                      </c:pt>
                      <c:pt idx="197">
                        <c:v>98500</c:v>
                      </c:pt>
                      <c:pt idx="198">
                        <c:v>99000</c:v>
                      </c:pt>
                      <c:pt idx="199">
                        <c:v>99500</c:v>
                      </c:pt>
                      <c:pt idx="200">
                        <c:v>100000</c:v>
                      </c:pt>
                    </c:numCache>
                  </c:numRef>
                </c:cat>
                <c:val>
                  <c:numRef>
                    <c:extLst xmlns:c15="http://schemas.microsoft.com/office/drawing/2012/chart">
                      <c:ext xmlns:c15="http://schemas.microsoft.com/office/drawing/2012/chart" uri="{02D57815-91ED-43cb-92C2-25804820EDAC}">
                        <c15:formulaRef>
                          <c15:sqref>'Use this for graphs'!$L$2:$L$202</c15:sqref>
                        </c15:formulaRef>
                      </c:ext>
                    </c:extLst>
                    <c:numCache>
                      <c:formatCode>"$"#,##0</c:formatCode>
                      <c:ptCount val="201"/>
                      <c:pt idx="0">
                        <c:v>31658.988000000001</c:v>
                      </c:pt>
                      <c:pt idx="1">
                        <c:v>32093</c:v>
                      </c:pt>
                      <c:pt idx="2">
                        <c:v>32647</c:v>
                      </c:pt>
                      <c:pt idx="3">
                        <c:v>33201</c:v>
                      </c:pt>
                      <c:pt idx="4">
                        <c:v>33755</c:v>
                      </c:pt>
                      <c:pt idx="5">
                        <c:v>34309</c:v>
                      </c:pt>
                      <c:pt idx="6">
                        <c:v>34587.479999999996</c:v>
                      </c:pt>
                      <c:pt idx="7">
                        <c:v>34861.479999999996</c:v>
                      </c:pt>
                      <c:pt idx="8">
                        <c:v>35135.480000000003</c:v>
                      </c:pt>
                      <c:pt idx="9">
                        <c:v>35409.479999999996</c:v>
                      </c:pt>
                      <c:pt idx="10">
                        <c:v>35683.479999999996</c:v>
                      </c:pt>
                      <c:pt idx="11">
                        <c:v>35957.480000000003</c:v>
                      </c:pt>
                      <c:pt idx="12">
                        <c:v>36231.479999999996</c:v>
                      </c:pt>
                      <c:pt idx="13">
                        <c:v>36505.479999999996</c:v>
                      </c:pt>
                      <c:pt idx="14">
                        <c:v>36779.479999999996</c:v>
                      </c:pt>
                      <c:pt idx="15">
                        <c:v>37053.479999999996</c:v>
                      </c:pt>
                      <c:pt idx="16">
                        <c:v>37327.479999999996</c:v>
                      </c:pt>
                      <c:pt idx="17">
                        <c:v>37723</c:v>
                      </c:pt>
                      <c:pt idx="18">
                        <c:v>38277</c:v>
                      </c:pt>
                      <c:pt idx="19">
                        <c:v>38831</c:v>
                      </c:pt>
                      <c:pt idx="20">
                        <c:v>39385</c:v>
                      </c:pt>
                      <c:pt idx="21">
                        <c:v>39939</c:v>
                      </c:pt>
                      <c:pt idx="22">
                        <c:v>40493</c:v>
                      </c:pt>
                      <c:pt idx="23">
                        <c:v>41047</c:v>
                      </c:pt>
                      <c:pt idx="24">
                        <c:v>41469</c:v>
                      </c:pt>
                      <c:pt idx="25">
                        <c:v>41843</c:v>
                      </c:pt>
                      <c:pt idx="26">
                        <c:v>42217</c:v>
                      </c:pt>
                      <c:pt idx="27">
                        <c:v>42395.4</c:v>
                      </c:pt>
                      <c:pt idx="28">
                        <c:v>42565.4</c:v>
                      </c:pt>
                      <c:pt idx="29">
                        <c:v>42735.4</c:v>
                      </c:pt>
                      <c:pt idx="30">
                        <c:v>42905.4</c:v>
                      </c:pt>
                      <c:pt idx="31">
                        <c:v>43075.4</c:v>
                      </c:pt>
                      <c:pt idx="32">
                        <c:v>43245.4</c:v>
                      </c:pt>
                      <c:pt idx="33">
                        <c:v>43415.4</c:v>
                      </c:pt>
                      <c:pt idx="34">
                        <c:v>43585.4</c:v>
                      </c:pt>
                      <c:pt idx="35">
                        <c:v>43755.4</c:v>
                      </c:pt>
                      <c:pt idx="36">
                        <c:v>43925.4</c:v>
                      </c:pt>
                      <c:pt idx="37">
                        <c:v>44095.4</c:v>
                      </c:pt>
                      <c:pt idx="38">
                        <c:v>44265.4</c:v>
                      </c:pt>
                      <c:pt idx="39">
                        <c:v>44435.4</c:v>
                      </c:pt>
                      <c:pt idx="40">
                        <c:v>44605.4</c:v>
                      </c:pt>
                      <c:pt idx="41">
                        <c:v>44775.4</c:v>
                      </c:pt>
                      <c:pt idx="42">
                        <c:v>44945.4</c:v>
                      </c:pt>
                      <c:pt idx="43">
                        <c:v>45115.4</c:v>
                      </c:pt>
                      <c:pt idx="44">
                        <c:v>45285.4</c:v>
                      </c:pt>
                      <c:pt idx="45">
                        <c:v>45455.4</c:v>
                      </c:pt>
                      <c:pt idx="46">
                        <c:v>45625.4</c:v>
                      </c:pt>
                      <c:pt idx="47">
                        <c:v>45795.4</c:v>
                      </c:pt>
                      <c:pt idx="48">
                        <c:v>45944.498160000003</c:v>
                      </c:pt>
                      <c:pt idx="49">
                        <c:v>46018.618159999998</c:v>
                      </c:pt>
                      <c:pt idx="50">
                        <c:v>46092.738160000001</c:v>
                      </c:pt>
                      <c:pt idx="51">
                        <c:v>46166.858160000003</c:v>
                      </c:pt>
                      <c:pt idx="52">
                        <c:v>46240.978159999999</c:v>
                      </c:pt>
                      <c:pt idx="53">
                        <c:v>46315.098160000001</c:v>
                      </c:pt>
                      <c:pt idx="54">
                        <c:v>46389.218160000004</c:v>
                      </c:pt>
                      <c:pt idx="55">
                        <c:v>46463.338159999999</c:v>
                      </c:pt>
                      <c:pt idx="56">
                        <c:v>46537.458160000002</c:v>
                      </c:pt>
                      <c:pt idx="57">
                        <c:v>46611.578160000005</c:v>
                      </c:pt>
                      <c:pt idx="58">
                        <c:v>46685.69816</c:v>
                      </c:pt>
                      <c:pt idx="59">
                        <c:v>46759.818160000003</c:v>
                      </c:pt>
                      <c:pt idx="60">
                        <c:v>40686.938159999998</c:v>
                      </c:pt>
                      <c:pt idx="61">
                        <c:v>40941.05816</c:v>
                      </c:pt>
                      <c:pt idx="62">
                        <c:v>41195.178159999996</c:v>
                      </c:pt>
                      <c:pt idx="63">
                        <c:v>41449.298159999998</c:v>
                      </c:pt>
                      <c:pt idx="64">
                        <c:v>41703.418160000001</c:v>
                      </c:pt>
                      <c:pt idx="65">
                        <c:v>41957.538159999996</c:v>
                      </c:pt>
                      <c:pt idx="66">
                        <c:v>42211.658159999999</c:v>
                      </c:pt>
                      <c:pt idx="67">
                        <c:v>42465.778160000002</c:v>
                      </c:pt>
                      <c:pt idx="68">
                        <c:v>42719.898159999997</c:v>
                      </c:pt>
                      <c:pt idx="69">
                        <c:v>42974.01816</c:v>
                      </c:pt>
                      <c:pt idx="70">
                        <c:v>43228.138160000002</c:v>
                      </c:pt>
                      <c:pt idx="71">
                        <c:v>43482.258159999998</c:v>
                      </c:pt>
                      <c:pt idx="72">
                        <c:v>43736.37816</c:v>
                      </c:pt>
                      <c:pt idx="73">
                        <c:v>43990.498160000003</c:v>
                      </c:pt>
                      <c:pt idx="74">
                        <c:v>44244.618159999998</c:v>
                      </c:pt>
                      <c:pt idx="75">
                        <c:v>44498.738160000001</c:v>
                      </c:pt>
                      <c:pt idx="76">
                        <c:v>44752.858160000003</c:v>
                      </c:pt>
                      <c:pt idx="77">
                        <c:v>45006.978159999999</c:v>
                      </c:pt>
                      <c:pt idx="78">
                        <c:v>45261.098160000001</c:v>
                      </c:pt>
                      <c:pt idx="79">
                        <c:v>45641.218160000004</c:v>
                      </c:pt>
                      <c:pt idx="80">
                        <c:v>46045.338159999999</c:v>
                      </c:pt>
                      <c:pt idx="81">
                        <c:v>46449.458160000002</c:v>
                      </c:pt>
                      <c:pt idx="82">
                        <c:v>46853.578159999997</c:v>
                      </c:pt>
                      <c:pt idx="83">
                        <c:v>47257.69816</c:v>
                      </c:pt>
                      <c:pt idx="84">
                        <c:v>47661.818160000003</c:v>
                      </c:pt>
                      <c:pt idx="85">
                        <c:v>48065.938159999998</c:v>
                      </c:pt>
                      <c:pt idx="86">
                        <c:v>48470.05816</c:v>
                      </c:pt>
                      <c:pt idx="87">
                        <c:v>45052.178160000003</c:v>
                      </c:pt>
                      <c:pt idx="88">
                        <c:v>45456.298159999998</c:v>
                      </c:pt>
                      <c:pt idx="89">
                        <c:v>45860.418160000001</c:v>
                      </c:pt>
                      <c:pt idx="90">
                        <c:v>46264.538160000004</c:v>
                      </c:pt>
                      <c:pt idx="91">
                        <c:v>46668.658159999999</c:v>
                      </c:pt>
                      <c:pt idx="92">
                        <c:v>47072.778160000002</c:v>
                      </c:pt>
                      <c:pt idx="93">
                        <c:v>47476.898159999997</c:v>
                      </c:pt>
                      <c:pt idx="94">
                        <c:v>47881.01816</c:v>
                      </c:pt>
                      <c:pt idx="95">
                        <c:v>48285.138160000002</c:v>
                      </c:pt>
                      <c:pt idx="96">
                        <c:v>48689.258159999998</c:v>
                      </c:pt>
                      <c:pt idx="97">
                        <c:v>49093.37816</c:v>
                      </c:pt>
                      <c:pt idx="98">
                        <c:v>49497.498160000003</c:v>
                      </c:pt>
                      <c:pt idx="99">
                        <c:v>49901.618159999998</c:v>
                      </c:pt>
                      <c:pt idx="100">
                        <c:v>50305.738160000001</c:v>
                      </c:pt>
                      <c:pt idx="101">
                        <c:v>50500</c:v>
                      </c:pt>
                      <c:pt idx="102">
                        <c:v>51000</c:v>
                      </c:pt>
                      <c:pt idx="103">
                        <c:v>51500</c:v>
                      </c:pt>
                      <c:pt idx="104">
                        <c:v>52000</c:v>
                      </c:pt>
                      <c:pt idx="105">
                        <c:v>52500</c:v>
                      </c:pt>
                      <c:pt idx="106">
                        <c:v>53000</c:v>
                      </c:pt>
                      <c:pt idx="107">
                        <c:v>53500</c:v>
                      </c:pt>
                      <c:pt idx="108">
                        <c:v>54000</c:v>
                      </c:pt>
                      <c:pt idx="109">
                        <c:v>54500</c:v>
                      </c:pt>
                      <c:pt idx="110">
                        <c:v>55000</c:v>
                      </c:pt>
                      <c:pt idx="111">
                        <c:v>55500</c:v>
                      </c:pt>
                      <c:pt idx="112">
                        <c:v>56000</c:v>
                      </c:pt>
                      <c:pt idx="113">
                        <c:v>56500</c:v>
                      </c:pt>
                      <c:pt idx="114">
                        <c:v>57000</c:v>
                      </c:pt>
                      <c:pt idx="115">
                        <c:v>57500</c:v>
                      </c:pt>
                      <c:pt idx="116">
                        <c:v>58000</c:v>
                      </c:pt>
                      <c:pt idx="117">
                        <c:v>58500</c:v>
                      </c:pt>
                      <c:pt idx="118">
                        <c:v>59000</c:v>
                      </c:pt>
                      <c:pt idx="119">
                        <c:v>59500</c:v>
                      </c:pt>
                      <c:pt idx="120">
                        <c:v>60000</c:v>
                      </c:pt>
                      <c:pt idx="121">
                        <c:v>60500</c:v>
                      </c:pt>
                      <c:pt idx="122">
                        <c:v>61000</c:v>
                      </c:pt>
                      <c:pt idx="123">
                        <c:v>61500</c:v>
                      </c:pt>
                      <c:pt idx="124">
                        <c:v>62000</c:v>
                      </c:pt>
                      <c:pt idx="125">
                        <c:v>62500</c:v>
                      </c:pt>
                      <c:pt idx="126">
                        <c:v>63000</c:v>
                      </c:pt>
                      <c:pt idx="127">
                        <c:v>63500</c:v>
                      </c:pt>
                      <c:pt idx="128">
                        <c:v>64000</c:v>
                      </c:pt>
                      <c:pt idx="129">
                        <c:v>64500</c:v>
                      </c:pt>
                      <c:pt idx="130">
                        <c:v>65000</c:v>
                      </c:pt>
                      <c:pt idx="131">
                        <c:v>65500</c:v>
                      </c:pt>
                      <c:pt idx="132">
                        <c:v>66000</c:v>
                      </c:pt>
                      <c:pt idx="133">
                        <c:v>66500</c:v>
                      </c:pt>
                      <c:pt idx="134">
                        <c:v>67000</c:v>
                      </c:pt>
                      <c:pt idx="135">
                        <c:v>67500</c:v>
                      </c:pt>
                      <c:pt idx="136">
                        <c:v>68000</c:v>
                      </c:pt>
                      <c:pt idx="137">
                        <c:v>68500</c:v>
                      </c:pt>
                      <c:pt idx="138">
                        <c:v>69000</c:v>
                      </c:pt>
                      <c:pt idx="139">
                        <c:v>69500</c:v>
                      </c:pt>
                      <c:pt idx="140">
                        <c:v>70000</c:v>
                      </c:pt>
                      <c:pt idx="141">
                        <c:v>70500</c:v>
                      </c:pt>
                      <c:pt idx="142">
                        <c:v>71000</c:v>
                      </c:pt>
                      <c:pt idx="143">
                        <c:v>71500</c:v>
                      </c:pt>
                      <c:pt idx="144">
                        <c:v>72000</c:v>
                      </c:pt>
                      <c:pt idx="145">
                        <c:v>72500</c:v>
                      </c:pt>
                      <c:pt idx="146">
                        <c:v>73000</c:v>
                      </c:pt>
                      <c:pt idx="147">
                        <c:v>73500</c:v>
                      </c:pt>
                      <c:pt idx="148">
                        <c:v>74000</c:v>
                      </c:pt>
                      <c:pt idx="149">
                        <c:v>74500</c:v>
                      </c:pt>
                      <c:pt idx="150">
                        <c:v>75000</c:v>
                      </c:pt>
                      <c:pt idx="151">
                        <c:v>75500</c:v>
                      </c:pt>
                      <c:pt idx="152">
                        <c:v>76000</c:v>
                      </c:pt>
                      <c:pt idx="153">
                        <c:v>76500</c:v>
                      </c:pt>
                      <c:pt idx="154">
                        <c:v>77000</c:v>
                      </c:pt>
                      <c:pt idx="155">
                        <c:v>77500</c:v>
                      </c:pt>
                      <c:pt idx="156">
                        <c:v>78000</c:v>
                      </c:pt>
                      <c:pt idx="157">
                        <c:v>78500</c:v>
                      </c:pt>
                      <c:pt idx="158">
                        <c:v>79000</c:v>
                      </c:pt>
                      <c:pt idx="159">
                        <c:v>79500</c:v>
                      </c:pt>
                      <c:pt idx="160">
                        <c:v>80000</c:v>
                      </c:pt>
                      <c:pt idx="161">
                        <c:v>80500</c:v>
                      </c:pt>
                      <c:pt idx="162">
                        <c:v>81000</c:v>
                      </c:pt>
                      <c:pt idx="163">
                        <c:v>81500</c:v>
                      </c:pt>
                      <c:pt idx="164">
                        <c:v>82000</c:v>
                      </c:pt>
                      <c:pt idx="165">
                        <c:v>82500</c:v>
                      </c:pt>
                      <c:pt idx="166">
                        <c:v>83000</c:v>
                      </c:pt>
                      <c:pt idx="167">
                        <c:v>83500</c:v>
                      </c:pt>
                      <c:pt idx="168">
                        <c:v>84000</c:v>
                      </c:pt>
                      <c:pt idx="169">
                        <c:v>84500</c:v>
                      </c:pt>
                      <c:pt idx="170">
                        <c:v>85000</c:v>
                      </c:pt>
                      <c:pt idx="171">
                        <c:v>85500</c:v>
                      </c:pt>
                      <c:pt idx="172">
                        <c:v>86000</c:v>
                      </c:pt>
                      <c:pt idx="173">
                        <c:v>86500</c:v>
                      </c:pt>
                      <c:pt idx="174">
                        <c:v>87000</c:v>
                      </c:pt>
                      <c:pt idx="175">
                        <c:v>87500</c:v>
                      </c:pt>
                      <c:pt idx="176">
                        <c:v>88000</c:v>
                      </c:pt>
                      <c:pt idx="177">
                        <c:v>88500</c:v>
                      </c:pt>
                      <c:pt idx="178">
                        <c:v>89000</c:v>
                      </c:pt>
                      <c:pt idx="179">
                        <c:v>89500</c:v>
                      </c:pt>
                      <c:pt idx="180">
                        <c:v>90000</c:v>
                      </c:pt>
                      <c:pt idx="181">
                        <c:v>90500</c:v>
                      </c:pt>
                      <c:pt idx="182">
                        <c:v>91000</c:v>
                      </c:pt>
                      <c:pt idx="183">
                        <c:v>91500</c:v>
                      </c:pt>
                      <c:pt idx="184">
                        <c:v>92000</c:v>
                      </c:pt>
                      <c:pt idx="185">
                        <c:v>92500</c:v>
                      </c:pt>
                      <c:pt idx="186">
                        <c:v>93000</c:v>
                      </c:pt>
                      <c:pt idx="187">
                        <c:v>93500</c:v>
                      </c:pt>
                      <c:pt idx="188">
                        <c:v>94000</c:v>
                      </c:pt>
                      <c:pt idx="189">
                        <c:v>94500</c:v>
                      </c:pt>
                      <c:pt idx="190">
                        <c:v>95000</c:v>
                      </c:pt>
                      <c:pt idx="191">
                        <c:v>95500</c:v>
                      </c:pt>
                      <c:pt idx="192">
                        <c:v>96000</c:v>
                      </c:pt>
                      <c:pt idx="193">
                        <c:v>96500</c:v>
                      </c:pt>
                      <c:pt idx="194">
                        <c:v>97000</c:v>
                      </c:pt>
                      <c:pt idx="195">
                        <c:v>97500</c:v>
                      </c:pt>
                      <c:pt idx="196">
                        <c:v>98000</c:v>
                      </c:pt>
                      <c:pt idx="197">
                        <c:v>98500</c:v>
                      </c:pt>
                      <c:pt idx="198">
                        <c:v>99000</c:v>
                      </c:pt>
                      <c:pt idx="199">
                        <c:v>99500</c:v>
                      </c:pt>
                      <c:pt idx="200">
                        <c:v>100000</c:v>
                      </c:pt>
                    </c:numCache>
                  </c:numRef>
                </c:val>
                <c:extLst xmlns:c15="http://schemas.microsoft.com/office/drawing/2012/chart">
                  <c:ext xmlns:c16="http://schemas.microsoft.com/office/drawing/2014/chart" uri="{C3380CC4-5D6E-409C-BE32-E72D297353CC}">
                    <c16:uniqueId val="{0000000B-2313-4AA3-8472-5B3EC23DBAE5}"/>
                  </c:ext>
                </c:extLst>
              </c15:ser>
            </c15:filteredAreaSeries>
          </c:ext>
        </c:extLst>
      </c:areaChart>
      <c:catAx>
        <c:axId val="124475503"/>
        <c:scaling>
          <c:orientation val="minMax"/>
        </c:scaling>
        <c:delete val="0"/>
        <c:axPos val="b"/>
        <c:title>
          <c:tx>
            <c:rich>
              <a:bodyPr rot="0" spcFirstLastPara="1" vertOverflow="ellipsis" vert="horz" wrap="square" anchor="ctr" anchorCtr="1"/>
              <a:lstStyle/>
              <a:p>
                <a:pPr>
                  <a:defRPr sz="3600" b="1" i="0" u="none" strike="noStrike" kern="1200" baseline="0">
                    <a:solidFill>
                      <a:sysClr val="windowText" lastClr="000000"/>
                    </a:solidFill>
                    <a:latin typeface="+mn-lt"/>
                    <a:ea typeface="+mn-ea"/>
                    <a:cs typeface="+mn-cs"/>
                  </a:defRPr>
                </a:pPr>
                <a:r>
                  <a:rPr lang="en-US" sz="3600" b="1">
                    <a:solidFill>
                      <a:sysClr val="windowText" lastClr="000000"/>
                    </a:solidFill>
                  </a:rPr>
                  <a:t>Earned Income</a:t>
                </a:r>
              </a:p>
            </c:rich>
          </c:tx>
          <c:layout>
            <c:manualLayout>
              <c:xMode val="edge"/>
              <c:yMode val="edge"/>
              <c:x val="0.49568940576856274"/>
              <c:y val="0.8160283455315106"/>
            </c:manualLayout>
          </c:layout>
          <c:overlay val="0"/>
          <c:spPr>
            <a:noFill/>
            <a:ln>
              <a:noFill/>
            </a:ln>
            <a:effectLst/>
          </c:spPr>
          <c:txPr>
            <a:bodyPr rot="0" spcFirstLastPara="1" vertOverflow="ellipsis" vert="horz" wrap="square" anchor="ctr" anchorCtr="1"/>
            <a:lstStyle/>
            <a:p>
              <a:pPr>
                <a:defRPr sz="3600" b="1" i="0" u="none" strike="noStrike" kern="1200" baseline="0">
                  <a:solidFill>
                    <a:sysClr val="windowText" lastClr="000000"/>
                  </a:solidFill>
                  <a:latin typeface="+mn-lt"/>
                  <a:ea typeface="+mn-ea"/>
                  <a:cs typeface="+mn-cs"/>
                </a:defRPr>
              </a:pPr>
              <a:endParaRPr lang="en-US"/>
            </a:p>
          </c:txPr>
        </c:title>
        <c:numFmt formatCode="&quot;$&quot;#,##0" sourceLinked="1"/>
        <c:majorTickMark val="out"/>
        <c:minorTickMark val="none"/>
        <c:tickLblPos val="nextTo"/>
        <c:spPr>
          <a:noFill/>
          <a:ln w="9525" cap="flat" cmpd="sng" algn="ctr">
            <a:solidFill>
              <a:schemeClr val="tx1">
                <a:lumMod val="15000"/>
                <a:lumOff val="85000"/>
                <a:alpha val="94000"/>
              </a:schemeClr>
            </a:solidFill>
            <a:round/>
          </a:ln>
          <a:effectLst/>
        </c:spPr>
        <c:txPr>
          <a:bodyPr rot="-2580000" spcFirstLastPara="1" vertOverflow="ellipsis" wrap="square" anchor="ctr" anchorCtr="1"/>
          <a:lstStyle/>
          <a:p>
            <a:pPr>
              <a:defRPr sz="2800" b="0" i="0" u="none" strike="noStrike" kern="1200" baseline="0">
                <a:solidFill>
                  <a:sysClr val="windowText" lastClr="000000"/>
                </a:solidFill>
                <a:latin typeface="+mn-lt"/>
                <a:ea typeface="+mn-ea"/>
                <a:cs typeface="+mn-cs"/>
              </a:defRPr>
            </a:pPr>
            <a:endParaRPr lang="en-US"/>
          </a:p>
        </c:txPr>
        <c:crossAx val="124477423"/>
        <c:crosses val="autoZero"/>
        <c:auto val="1"/>
        <c:lblAlgn val="ctr"/>
        <c:lblOffset val="200"/>
        <c:tickLblSkip val="10"/>
        <c:tickMarkSkip val="1"/>
        <c:noMultiLvlLbl val="0"/>
      </c:catAx>
      <c:valAx>
        <c:axId val="124477423"/>
        <c:scaling>
          <c:orientation val="minMax"/>
        </c:scaling>
        <c:delete val="0"/>
        <c:axPos val="l"/>
        <c:majorGridlines>
          <c:spPr>
            <a:ln w="9525" cap="flat" cmpd="sng" algn="ctr">
              <a:solidFill>
                <a:schemeClr val="tx1">
                  <a:lumMod val="15000"/>
                  <a:lumOff val="85000"/>
                </a:schemeClr>
              </a:solidFill>
              <a:round/>
            </a:ln>
            <a:effectLst/>
          </c:spPr>
        </c:majorGridlines>
        <c:title>
          <c:tx>
            <c:rich>
              <a:bodyPr rot="-5400000" spcFirstLastPara="1" vertOverflow="ellipsis" vert="horz" wrap="square" anchor="ctr" anchorCtr="1"/>
              <a:lstStyle/>
              <a:p>
                <a:pPr>
                  <a:defRPr sz="3200" b="0" i="0" u="none" strike="noStrike" kern="1200" baseline="0">
                    <a:solidFill>
                      <a:sysClr val="windowText" lastClr="000000"/>
                    </a:solidFill>
                    <a:latin typeface="+mn-lt"/>
                    <a:ea typeface="+mn-ea"/>
                    <a:cs typeface="+mn-cs"/>
                  </a:defRPr>
                </a:pPr>
                <a:r>
                  <a:rPr lang="en-US" sz="3200">
                    <a:solidFill>
                      <a:sysClr val="windowText" lastClr="000000"/>
                    </a:solidFill>
                  </a:rPr>
                  <a:t>Total Benefits Package + Earned Income</a:t>
                </a:r>
              </a:p>
            </c:rich>
          </c:tx>
          <c:layout>
            <c:manualLayout>
              <c:xMode val="edge"/>
              <c:yMode val="edge"/>
              <c:x val="1.1852235708900708E-2"/>
              <c:y val="0.35412013704138723"/>
            </c:manualLayout>
          </c:layout>
          <c:overlay val="0"/>
          <c:spPr>
            <a:noFill/>
            <a:ln>
              <a:noFill/>
            </a:ln>
            <a:effectLst/>
          </c:spPr>
          <c:txPr>
            <a:bodyPr rot="-5400000" spcFirstLastPara="1" vertOverflow="ellipsis" vert="horz" wrap="square" anchor="ctr" anchorCtr="1"/>
            <a:lstStyle/>
            <a:p>
              <a:pPr>
                <a:defRPr sz="3200" b="0" i="0" u="none" strike="noStrike" kern="1200" baseline="0">
                  <a:solidFill>
                    <a:sysClr val="windowText" lastClr="000000"/>
                  </a:solidFill>
                  <a:latin typeface="+mn-lt"/>
                  <a:ea typeface="+mn-ea"/>
                  <a:cs typeface="+mn-cs"/>
                </a:defRPr>
              </a:pPr>
              <a:endParaRPr lang="en-US"/>
            </a:p>
          </c:txPr>
        </c:title>
        <c:numFmt formatCode="&quot;$&quot;#,##0" sourceLinked="1"/>
        <c:majorTickMark val="none"/>
        <c:minorTickMark val="none"/>
        <c:tickLblPos val="nextTo"/>
        <c:spPr>
          <a:noFill/>
          <a:ln>
            <a:noFill/>
          </a:ln>
          <a:effectLst/>
        </c:spPr>
        <c:txPr>
          <a:bodyPr rot="-60000000" spcFirstLastPara="1" vertOverflow="ellipsis" vert="horz" wrap="square" anchor="ctr" anchorCtr="1"/>
          <a:lstStyle/>
          <a:p>
            <a:pPr>
              <a:defRPr sz="2800" b="0" i="0" u="none" strike="noStrike" kern="1200" baseline="0">
                <a:solidFill>
                  <a:sysClr val="windowText" lastClr="000000"/>
                </a:solidFill>
                <a:latin typeface="+mn-lt"/>
                <a:ea typeface="+mn-ea"/>
                <a:cs typeface="+mn-cs"/>
              </a:defRPr>
            </a:pPr>
            <a:endParaRPr lang="en-US"/>
          </a:p>
        </c:txPr>
        <c:crossAx val="124475503"/>
        <c:crosses val="autoZero"/>
        <c:crossBetween val="midCat"/>
      </c:valAx>
      <c:spPr>
        <a:noFill/>
        <a:ln>
          <a:noFill/>
        </a:ln>
        <a:effectLst/>
      </c:spPr>
    </c:plotArea>
    <c:legend>
      <c:legendPos val="b"/>
      <c:layout>
        <c:manualLayout>
          <c:xMode val="edge"/>
          <c:yMode val="edge"/>
          <c:x val="0.10355985999440817"/>
          <c:y val="0.8567070439033615"/>
          <c:w val="0.80235176015916965"/>
          <c:h val="0.12843586440514226"/>
        </c:manualLayout>
      </c:layout>
      <c:overlay val="0"/>
      <c:spPr>
        <a:noFill/>
        <a:ln>
          <a:noFill/>
        </a:ln>
        <a:effectLst/>
      </c:spPr>
      <c:txPr>
        <a:bodyPr rot="0" spcFirstLastPara="1" vertOverflow="ellipsis" vert="horz" wrap="square" anchor="ctr" anchorCtr="1"/>
        <a:lstStyle/>
        <a:p>
          <a:pPr>
            <a:defRPr sz="4000" b="0" i="0" u="none" strike="noStrike" kern="1200" baseline="0">
              <a:solidFill>
                <a:schemeClr val="tx1">
                  <a:lumMod val="65000"/>
                  <a:lumOff val="35000"/>
                </a:schemeClr>
              </a:solidFill>
              <a:latin typeface="+mn-lt"/>
              <a:ea typeface="+mn-ea"/>
              <a:cs typeface="+mn-cs"/>
            </a:defRPr>
          </a:pPr>
          <a:endParaRPr lang="en-US"/>
        </a:p>
      </c:txPr>
    </c:legend>
    <c:plotVisOnly val="1"/>
    <c:dispBlanksAs val="zero"/>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userShapes r:id="rId3"/>
</c:chartSpace>
</file>

<file path=xl/charts/colors1.xml><?xml version="1.0" encoding="utf-8"?>
<cs:colorStyle xmlns:cs="http://schemas.microsoft.com/office/drawing/2012/chartStyle" xmlns:a="http://schemas.openxmlformats.org/drawingml/2006/main" meth="cycle" id="12">
  <a:schemeClr val="accent2"/>
  <a:schemeClr val="accent4"/>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3.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style1.xml><?xml version="1.0" encoding="utf-8"?>
<cs:chartStyle xmlns:cs="http://schemas.microsoft.com/office/drawing/2012/chartStyle" xmlns:a="http://schemas.openxmlformats.org/drawingml/2006/main" id="22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solidFill>
        <a:schemeClr val="phClr"/>
      </a:solidFill>
    </cs:spPr>
  </cs:dataPoint>
  <cs:dataPoint3D>
    <cs:lnRef idx="0"/>
    <cs:fillRef idx="1">
      <cs:styleClr val="auto"/>
    </cs:fillRef>
    <cs:effectRef idx="0"/>
    <cs:fontRef idx="minor">
      <a:schemeClr val="tx1"/>
    </cs:fontRef>
    <cs:spPr>
      <a:solidFill>
        <a:schemeClr val="phClr"/>
      </a:solidFill>
    </cs:spPr>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solidFill>
        <a:schemeClr val="phClr"/>
      </a:solidFill>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2.xml><?xml version="1.0" encoding="utf-8"?>
<cs:chartStyle xmlns:cs="http://schemas.microsoft.com/office/drawing/2012/chartStyle" xmlns:a="http://schemas.openxmlformats.org/drawingml/2006/main" id="27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ln w="9525" cap="flat" cmpd="sng" algn="ctr">
        <a:solidFill>
          <a:schemeClr val="tx1">
            <a:lumMod val="15000"/>
            <a:lumOff val="85000"/>
          </a:schemeClr>
        </a:solidFill>
        <a:round/>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3.xml><?xml version="1.0" encoding="utf-8"?>
<cs:chartStyle xmlns:cs="http://schemas.microsoft.com/office/drawing/2012/chartStyle" xmlns:a="http://schemas.openxmlformats.org/drawingml/2006/main" id="27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ln w="9525" cap="flat" cmpd="sng" algn="ctr">
        <a:solidFill>
          <a:schemeClr val="tx1">
            <a:lumMod val="15000"/>
            <a:lumOff val="85000"/>
          </a:schemeClr>
        </a:solidFill>
        <a:round/>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drawings/_rels/drawing1.xml.rels><?xml version="1.0" encoding="UTF-8" standalone="yes"?>
<Relationships xmlns="http://schemas.openxmlformats.org/package/2006/relationships"><Relationship Id="rId1" Type="http://schemas.openxmlformats.org/officeDocument/2006/relationships/chart" Target="../charts/chart1.xml"/></Relationships>
</file>

<file path=xl/drawings/_rels/drawing2.xml.rels><?xml version="1.0" encoding="UTF-8" standalone="yes"?>
<Relationships xmlns="http://schemas.openxmlformats.org/package/2006/relationships"><Relationship Id="rId2" Type="http://schemas.openxmlformats.org/officeDocument/2006/relationships/chart" Target="../charts/chart3.xml"/><Relationship Id="rId1" Type="http://schemas.openxmlformats.org/officeDocument/2006/relationships/chart" Target="../charts/chart2.xml"/></Relationships>
</file>

<file path=xl/drawings/_rels/drawing5.xml.rels><?xml version="1.0" encoding="UTF-8" standalone="yes"?>
<Relationships xmlns="http://schemas.openxmlformats.org/package/2006/relationships"><Relationship Id="rId1" Type="http://schemas.openxmlformats.org/officeDocument/2006/relationships/image" Target="../media/image10.png"/></Relationships>
</file>

<file path=xl/drawings/_rels/vmlDrawing1.vml.rels><?xml version="1.0" encoding="UTF-8" standalone="yes"?>
<Relationships xmlns="http://schemas.openxmlformats.org/package/2006/relationships"><Relationship Id="rId8" Type="http://schemas.openxmlformats.org/officeDocument/2006/relationships/image" Target="../media/image8.emf"/><Relationship Id="rId3" Type="http://schemas.openxmlformats.org/officeDocument/2006/relationships/image" Target="../media/image3.emf"/><Relationship Id="rId7" Type="http://schemas.openxmlformats.org/officeDocument/2006/relationships/image" Target="../media/image7.emf"/><Relationship Id="rId2" Type="http://schemas.openxmlformats.org/officeDocument/2006/relationships/image" Target="../media/image2.emf"/><Relationship Id="rId1" Type="http://schemas.openxmlformats.org/officeDocument/2006/relationships/image" Target="../media/image1.emf"/><Relationship Id="rId6" Type="http://schemas.openxmlformats.org/officeDocument/2006/relationships/image" Target="../media/image6.emf"/><Relationship Id="rId5" Type="http://schemas.openxmlformats.org/officeDocument/2006/relationships/image" Target="../media/image5.emf"/><Relationship Id="rId4" Type="http://schemas.openxmlformats.org/officeDocument/2006/relationships/image" Target="../media/image4.emf"/><Relationship Id="rId9" Type="http://schemas.openxmlformats.org/officeDocument/2006/relationships/image" Target="../media/image9.emf"/></Relationships>
</file>

<file path=xl/drawings/drawing1.xml><?xml version="1.0" encoding="utf-8"?>
<xdr:wsDr xmlns:xdr="http://schemas.openxmlformats.org/drawingml/2006/spreadsheetDrawing" xmlns:a="http://schemas.openxmlformats.org/drawingml/2006/main">
  <mc:AlternateContent xmlns:mc="http://schemas.openxmlformats.org/markup-compatibility/2006">
    <mc:Choice xmlns:a14="http://schemas.microsoft.com/office/drawing/2010/main" Requires="a14">
      <xdr:twoCellAnchor editAs="oneCell">
        <xdr:from>
          <xdr:col>0</xdr:col>
          <xdr:colOff>85725</xdr:colOff>
          <xdr:row>10</xdr:row>
          <xdr:rowOff>28575</xdr:rowOff>
        </xdr:from>
        <xdr:to>
          <xdr:col>1</xdr:col>
          <xdr:colOff>1123950</xdr:colOff>
          <xdr:row>11</xdr:row>
          <xdr:rowOff>85725</xdr:rowOff>
        </xdr:to>
        <xdr:sp macro="" textlink="">
          <xdr:nvSpPr>
            <xdr:cNvPr id="10257" name="CheckBox1" hidden="1">
              <a:extLst>
                <a:ext uri="{63B3BB69-23CF-44E3-9099-C40C66FF867C}">
                  <a14:compatExt spid="_x0000_s10257"/>
                </a:ext>
                <a:ext uri="{FF2B5EF4-FFF2-40B4-BE49-F238E27FC236}">
                  <a16:creationId xmlns:a16="http://schemas.microsoft.com/office/drawing/2014/main" id="{00000000-0008-0000-0100-000011280000}"/>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0</xdr:col>
          <xdr:colOff>85725</xdr:colOff>
          <xdr:row>6</xdr:row>
          <xdr:rowOff>85725</xdr:rowOff>
        </xdr:from>
        <xdr:to>
          <xdr:col>1</xdr:col>
          <xdr:colOff>1123950</xdr:colOff>
          <xdr:row>7</xdr:row>
          <xdr:rowOff>76200</xdr:rowOff>
        </xdr:to>
        <xdr:sp macro="" textlink="">
          <xdr:nvSpPr>
            <xdr:cNvPr id="10258" name="CheckBox2" hidden="1">
              <a:extLst>
                <a:ext uri="{63B3BB69-23CF-44E3-9099-C40C66FF867C}">
                  <a14:compatExt spid="_x0000_s10258"/>
                </a:ext>
                <a:ext uri="{FF2B5EF4-FFF2-40B4-BE49-F238E27FC236}">
                  <a16:creationId xmlns:a16="http://schemas.microsoft.com/office/drawing/2014/main" id="{00000000-0008-0000-0100-000012280000}"/>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0</xdr:col>
          <xdr:colOff>85725</xdr:colOff>
          <xdr:row>12</xdr:row>
          <xdr:rowOff>28575</xdr:rowOff>
        </xdr:from>
        <xdr:to>
          <xdr:col>1</xdr:col>
          <xdr:colOff>1123950</xdr:colOff>
          <xdr:row>13</xdr:row>
          <xdr:rowOff>95250</xdr:rowOff>
        </xdr:to>
        <xdr:sp macro="" textlink="">
          <xdr:nvSpPr>
            <xdr:cNvPr id="10259" name="CheckBox3" hidden="1">
              <a:extLst>
                <a:ext uri="{63B3BB69-23CF-44E3-9099-C40C66FF867C}">
                  <a14:compatExt spid="_x0000_s10259"/>
                </a:ext>
                <a:ext uri="{FF2B5EF4-FFF2-40B4-BE49-F238E27FC236}">
                  <a16:creationId xmlns:a16="http://schemas.microsoft.com/office/drawing/2014/main" id="{00000000-0008-0000-0100-000013280000}"/>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0</xdr:col>
          <xdr:colOff>85725</xdr:colOff>
          <xdr:row>14</xdr:row>
          <xdr:rowOff>38100</xdr:rowOff>
        </xdr:from>
        <xdr:to>
          <xdr:col>1</xdr:col>
          <xdr:colOff>1123950</xdr:colOff>
          <xdr:row>15</xdr:row>
          <xdr:rowOff>104775</xdr:rowOff>
        </xdr:to>
        <xdr:sp macro="" textlink="">
          <xdr:nvSpPr>
            <xdr:cNvPr id="10260" name="CheckBox4" hidden="1">
              <a:extLst>
                <a:ext uri="{63B3BB69-23CF-44E3-9099-C40C66FF867C}">
                  <a14:compatExt spid="_x0000_s10260"/>
                </a:ext>
                <a:ext uri="{FF2B5EF4-FFF2-40B4-BE49-F238E27FC236}">
                  <a16:creationId xmlns:a16="http://schemas.microsoft.com/office/drawing/2014/main" id="{00000000-0008-0000-0100-000014280000}"/>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0</xdr:col>
          <xdr:colOff>85725</xdr:colOff>
          <xdr:row>8</xdr:row>
          <xdr:rowOff>19050</xdr:rowOff>
        </xdr:from>
        <xdr:to>
          <xdr:col>1</xdr:col>
          <xdr:colOff>1123950</xdr:colOff>
          <xdr:row>9</xdr:row>
          <xdr:rowOff>123825</xdr:rowOff>
        </xdr:to>
        <xdr:sp macro="" textlink="">
          <xdr:nvSpPr>
            <xdr:cNvPr id="10261" name="CheckBox5" hidden="1">
              <a:extLst>
                <a:ext uri="{63B3BB69-23CF-44E3-9099-C40C66FF867C}">
                  <a14:compatExt spid="_x0000_s10261"/>
                </a:ext>
                <a:ext uri="{FF2B5EF4-FFF2-40B4-BE49-F238E27FC236}">
                  <a16:creationId xmlns:a16="http://schemas.microsoft.com/office/drawing/2014/main" id="{00000000-0008-0000-0100-000015280000}"/>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0</xdr:col>
          <xdr:colOff>85725</xdr:colOff>
          <xdr:row>16</xdr:row>
          <xdr:rowOff>47625</xdr:rowOff>
        </xdr:from>
        <xdr:to>
          <xdr:col>1</xdr:col>
          <xdr:colOff>1123950</xdr:colOff>
          <xdr:row>17</xdr:row>
          <xdr:rowOff>114300</xdr:rowOff>
        </xdr:to>
        <xdr:sp macro="" textlink="">
          <xdr:nvSpPr>
            <xdr:cNvPr id="10262" name="CheckBox6" hidden="1">
              <a:extLst>
                <a:ext uri="{63B3BB69-23CF-44E3-9099-C40C66FF867C}">
                  <a14:compatExt spid="_x0000_s10262"/>
                </a:ext>
                <a:ext uri="{FF2B5EF4-FFF2-40B4-BE49-F238E27FC236}">
                  <a16:creationId xmlns:a16="http://schemas.microsoft.com/office/drawing/2014/main" id="{00000000-0008-0000-0100-000016280000}"/>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0</xdr:col>
          <xdr:colOff>85725</xdr:colOff>
          <xdr:row>18</xdr:row>
          <xdr:rowOff>57150</xdr:rowOff>
        </xdr:from>
        <xdr:to>
          <xdr:col>1</xdr:col>
          <xdr:colOff>1123950</xdr:colOff>
          <xdr:row>19</xdr:row>
          <xdr:rowOff>114300</xdr:rowOff>
        </xdr:to>
        <xdr:sp macro="" textlink="">
          <xdr:nvSpPr>
            <xdr:cNvPr id="10263" name="CheckBox7" hidden="1">
              <a:extLst>
                <a:ext uri="{63B3BB69-23CF-44E3-9099-C40C66FF867C}">
                  <a14:compatExt spid="_x0000_s10263"/>
                </a:ext>
                <a:ext uri="{FF2B5EF4-FFF2-40B4-BE49-F238E27FC236}">
                  <a16:creationId xmlns:a16="http://schemas.microsoft.com/office/drawing/2014/main" id="{00000000-0008-0000-0100-000017280000}"/>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0</xdr:col>
          <xdr:colOff>85725</xdr:colOff>
          <xdr:row>22</xdr:row>
          <xdr:rowOff>57150</xdr:rowOff>
        </xdr:from>
        <xdr:to>
          <xdr:col>1</xdr:col>
          <xdr:colOff>1123950</xdr:colOff>
          <xdr:row>23</xdr:row>
          <xdr:rowOff>123825</xdr:rowOff>
        </xdr:to>
        <xdr:sp macro="" textlink="">
          <xdr:nvSpPr>
            <xdr:cNvPr id="10264" name="CheckBox8" hidden="1">
              <a:extLst>
                <a:ext uri="{63B3BB69-23CF-44E3-9099-C40C66FF867C}">
                  <a14:compatExt spid="_x0000_s10264"/>
                </a:ext>
                <a:ext uri="{FF2B5EF4-FFF2-40B4-BE49-F238E27FC236}">
                  <a16:creationId xmlns:a16="http://schemas.microsoft.com/office/drawing/2014/main" id="{00000000-0008-0000-0100-000018280000}"/>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xdr:twoCellAnchor>
    <xdr:from>
      <xdr:col>0</xdr:col>
      <xdr:colOff>519545</xdr:colOff>
      <xdr:row>97</xdr:row>
      <xdr:rowOff>2165</xdr:rowOff>
    </xdr:from>
    <xdr:to>
      <xdr:col>2</xdr:col>
      <xdr:colOff>1300595</xdr:colOff>
      <xdr:row>114</xdr:row>
      <xdr:rowOff>138546</xdr:rowOff>
    </xdr:to>
    <xdr:graphicFrame macro="">
      <xdr:nvGraphicFramePr>
        <xdr:cNvPr id="2" name="Chart 1">
          <a:extLst>
            <a:ext uri="{FF2B5EF4-FFF2-40B4-BE49-F238E27FC236}">
              <a16:creationId xmlns:a16="http://schemas.microsoft.com/office/drawing/2014/main" id="{3EE185A4-BAA8-B4E0-FDE0-341F782751CC}"/>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mc:AlternateContent xmlns:mc="http://schemas.openxmlformats.org/markup-compatibility/2006">
    <mc:Choice xmlns:a14="http://schemas.microsoft.com/office/drawing/2010/main" Requires="a14">
      <xdr:twoCellAnchor editAs="oneCell">
        <xdr:from>
          <xdr:col>0</xdr:col>
          <xdr:colOff>85725</xdr:colOff>
          <xdr:row>20</xdr:row>
          <xdr:rowOff>57150</xdr:rowOff>
        </xdr:from>
        <xdr:to>
          <xdr:col>1</xdr:col>
          <xdr:colOff>1123950</xdr:colOff>
          <xdr:row>21</xdr:row>
          <xdr:rowOff>123825</xdr:rowOff>
        </xdr:to>
        <xdr:sp macro="" textlink="">
          <xdr:nvSpPr>
            <xdr:cNvPr id="10266" name="CheckBox9" hidden="1">
              <a:extLst>
                <a:ext uri="{63B3BB69-23CF-44E3-9099-C40C66FF867C}">
                  <a14:compatExt spid="_x0000_s10266"/>
                </a:ext>
                <a:ext uri="{FF2B5EF4-FFF2-40B4-BE49-F238E27FC236}">
                  <a16:creationId xmlns:a16="http://schemas.microsoft.com/office/drawing/2014/main" id="{00000000-0008-0000-0100-00001A280000}"/>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xdr:wsDr>
</file>

<file path=xl/drawings/drawing2.xml><?xml version="1.0" encoding="utf-8"?>
<xdr:wsDr xmlns:xdr="http://schemas.openxmlformats.org/drawingml/2006/spreadsheetDrawing" xmlns:a="http://schemas.openxmlformats.org/drawingml/2006/main">
  <xdr:twoCellAnchor>
    <xdr:from>
      <xdr:col>0</xdr:col>
      <xdr:colOff>254000</xdr:colOff>
      <xdr:row>7</xdr:row>
      <xdr:rowOff>57149</xdr:rowOff>
    </xdr:from>
    <xdr:to>
      <xdr:col>51</xdr:col>
      <xdr:colOff>349250</xdr:colOff>
      <xdr:row>102</xdr:row>
      <xdr:rowOff>95250</xdr:rowOff>
    </xdr:to>
    <xdr:graphicFrame macro="">
      <xdr:nvGraphicFramePr>
        <xdr:cNvPr id="2" name="Chart 1">
          <a:extLst>
            <a:ext uri="{FF2B5EF4-FFF2-40B4-BE49-F238E27FC236}">
              <a16:creationId xmlns:a16="http://schemas.microsoft.com/office/drawing/2014/main" id="{4889D68D-4D53-5A9E-4283-DF7598DC5F99}"/>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52</xdr:col>
      <xdr:colOff>468313</xdr:colOff>
      <xdr:row>7</xdr:row>
      <xdr:rowOff>7937</xdr:rowOff>
    </xdr:from>
    <xdr:to>
      <xdr:col>100</xdr:col>
      <xdr:colOff>182566</xdr:colOff>
      <xdr:row>103</xdr:row>
      <xdr:rowOff>79374</xdr:rowOff>
    </xdr:to>
    <xdr:graphicFrame macro="">
      <xdr:nvGraphicFramePr>
        <xdr:cNvPr id="3" name="Chart 2">
          <a:extLst>
            <a:ext uri="{FF2B5EF4-FFF2-40B4-BE49-F238E27FC236}">
              <a16:creationId xmlns:a16="http://schemas.microsoft.com/office/drawing/2014/main" id="{99C04F92-C873-4592-AAD8-19CB7F5DCEB7}"/>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wsDr>
</file>

<file path=xl/drawings/drawing3.xml><?xml version="1.0" encoding="utf-8"?>
<c:userShapes xmlns:c="http://schemas.openxmlformats.org/drawingml/2006/chart">
  <cdr:relSizeAnchor xmlns:cdr="http://schemas.openxmlformats.org/drawingml/2006/chartDrawing">
    <cdr:from>
      <cdr:x>0.00173</cdr:x>
      <cdr:y>0.00303</cdr:y>
    </cdr:from>
    <cdr:to>
      <cdr:x>0.00254</cdr:x>
      <cdr:y>0.6204</cdr:y>
    </cdr:to>
    <cdr:cxnSp macro="">
      <cdr:nvCxnSpPr>
        <cdr:cNvPr id="4" name="Straight Connector 3">
          <a:extLst xmlns:a="http://schemas.openxmlformats.org/drawingml/2006/main">
            <a:ext uri="{FF2B5EF4-FFF2-40B4-BE49-F238E27FC236}">
              <a16:creationId xmlns:a16="http://schemas.microsoft.com/office/drawing/2014/main" id="{9235C30B-0D00-ED1D-8643-B488ED9D8D7C}"/>
            </a:ext>
          </a:extLst>
        </cdr:cNvPr>
        <cdr:cNvCxnSpPr/>
      </cdr:nvCxnSpPr>
      <cdr:spPr>
        <a:xfrm xmlns:a="http://schemas.openxmlformats.org/drawingml/2006/main" flipH="1">
          <a:off x="50800" y="50800"/>
          <a:ext cx="23812" cy="10358438"/>
        </a:xfrm>
        <a:prstGeom xmlns:a="http://schemas.openxmlformats.org/drawingml/2006/main" prst="line">
          <a:avLst/>
        </a:prstGeom>
      </cdr:spPr>
      <cdr:style>
        <a:lnRef xmlns:a="http://schemas.openxmlformats.org/drawingml/2006/main" idx="2">
          <a:schemeClr val="accent1"/>
        </a:lnRef>
        <a:fillRef xmlns:a="http://schemas.openxmlformats.org/drawingml/2006/main" idx="0">
          <a:schemeClr val="accent1"/>
        </a:fillRef>
        <a:effectRef xmlns:a="http://schemas.openxmlformats.org/drawingml/2006/main" idx="1">
          <a:schemeClr val="accent1"/>
        </a:effectRef>
        <a:fontRef xmlns:a="http://schemas.openxmlformats.org/drawingml/2006/main" idx="minor">
          <a:schemeClr val="tx1"/>
        </a:fontRef>
      </cdr:style>
    </cdr:cxnSp>
  </cdr:relSizeAnchor>
</c:userShapes>
</file>

<file path=xl/drawings/drawing4.xml><?xml version="1.0" encoding="utf-8"?>
<xdr:wsDr xmlns:xdr="http://schemas.openxmlformats.org/drawingml/2006/spreadsheetDrawing" xmlns:a="http://schemas.openxmlformats.org/drawingml/2006/main">
  <xdr:oneCellAnchor>
    <xdr:from>
      <xdr:col>7</xdr:col>
      <xdr:colOff>483870</xdr:colOff>
      <xdr:row>3</xdr:row>
      <xdr:rowOff>248602</xdr:rowOff>
    </xdr:from>
    <xdr:ext cx="2641299" cy="352469"/>
    <mc:AlternateContent xmlns:mc="http://schemas.openxmlformats.org/markup-compatibility/2006" xmlns:a14="http://schemas.microsoft.com/office/drawing/2010/main">
      <mc:Choice Requires="a14">
        <xdr:sp macro="" textlink="">
          <xdr:nvSpPr>
            <xdr:cNvPr id="2" name="TextBox 2">
              <a:extLst>
                <a:ext uri="{FF2B5EF4-FFF2-40B4-BE49-F238E27FC236}">
                  <a16:creationId xmlns:a16="http://schemas.microsoft.com/office/drawing/2014/main" id="{A018250A-1A9F-41EC-8FD6-B5D67DF10F88}"/>
                </a:ext>
              </a:extLst>
            </xdr:cNvPr>
            <xdr:cNvSpPr txBox="1"/>
          </xdr:nvSpPr>
          <xdr:spPr>
            <a:xfrm>
              <a:off x="7760970" y="1096327"/>
              <a:ext cx="2641299" cy="352469"/>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pPr/>
              <a14:m>
                <m:oMathPara xmlns:m="http://schemas.openxmlformats.org/officeDocument/2006/math">
                  <m:oMathParaPr>
                    <m:jc m:val="centerGroup"/>
                  </m:oMathParaPr>
                  <m:oMath xmlns:m="http://schemas.openxmlformats.org/officeDocument/2006/math">
                    <m:f>
                      <m:fPr>
                        <m:ctrlPr>
                          <a:rPr lang="en-US" sz="1100" i="1">
                            <a:latin typeface="Cambria Math" panose="02040503050406030204" pitchFamily="18" charset="0"/>
                          </a:rPr>
                        </m:ctrlPr>
                      </m:fPr>
                      <m:num>
                        <m:r>
                          <a:rPr lang="en-US" sz="1100" b="0" i="1">
                            <a:solidFill>
                              <a:schemeClr val="tx1"/>
                            </a:solidFill>
                            <a:effectLst/>
                            <a:latin typeface="Cambria Math" panose="02040503050406030204" pitchFamily="18" charset="0"/>
                            <a:ea typeface="+mn-ea"/>
                            <a:cs typeface="+mn-cs"/>
                          </a:rPr>
                          <m:t>(</m:t>
                        </m:r>
                        <m:r>
                          <a:rPr lang="en-US" sz="1100" b="0" i="1">
                            <a:solidFill>
                              <a:schemeClr val="tx1"/>
                            </a:solidFill>
                            <a:effectLst/>
                            <a:latin typeface="Cambria Math" panose="02040503050406030204" pitchFamily="18" charset="0"/>
                            <a:ea typeface="+mn-ea"/>
                            <a:cs typeface="+mn-cs"/>
                          </a:rPr>
                          <m:t>𝐹𝑖𝑛𝑎𝑙</m:t>
                        </m:r>
                        <m:r>
                          <a:rPr lang="en-US" sz="1100" b="0" i="1">
                            <a:solidFill>
                              <a:schemeClr val="tx1"/>
                            </a:solidFill>
                            <a:effectLst/>
                            <a:latin typeface="Cambria Math" panose="02040503050406030204" pitchFamily="18" charset="0"/>
                            <a:ea typeface="+mn-ea"/>
                            <a:cs typeface="+mn-cs"/>
                          </a:rPr>
                          <m:t> %−</m:t>
                        </m:r>
                        <m:r>
                          <a:rPr lang="en-US" sz="1100" b="0" i="1">
                            <a:solidFill>
                              <a:schemeClr val="tx1"/>
                            </a:solidFill>
                            <a:effectLst/>
                            <a:latin typeface="Cambria Math" panose="02040503050406030204" pitchFamily="18" charset="0"/>
                            <a:ea typeface="+mn-ea"/>
                            <a:cs typeface="+mn-cs"/>
                          </a:rPr>
                          <m:t>𝐼𝑛𝑖𝑡𝑖𝑎𝑙</m:t>
                        </m:r>
                        <m:r>
                          <a:rPr lang="en-US" sz="1100" b="0" i="1">
                            <a:solidFill>
                              <a:schemeClr val="tx1"/>
                            </a:solidFill>
                            <a:effectLst/>
                            <a:latin typeface="Cambria Math" panose="02040503050406030204" pitchFamily="18" charset="0"/>
                            <a:ea typeface="+mn-ea"/>
                            <a:cs typeface="+mn-cs"/>
                          </a:rPr>
                          <m:t> %)</m:t>
                        </m:r>
                      </m:num>
                      <m:den>
                        <m:r>
                          <a:rPr lang="en-US" sz="1100" b="0" i="1">
                            <a:solidFill>
                              <a:schemeClr val="tx1"/>
                            </a:solidFill>
                            <a:effectLst/>
                            <a:latin typeface="Cambria Math" panose="02040503050406030204" pitchFamily="18" charset="0"/>
                            <a:ea typeface="+mn-ea"/>
                            <a:cs typeface="+mn-cs"/>
                          </a:rPr>
                          <m:t>(</m:t>
                        </m:r>
                        <m:r>
                          <a:rPr lang="en-US" sz="1100" b="0" i="1">
                            <a:solidFill>
                              <a:schemeClr val="tx1"/>
                            </a:solidFill>
                            <a:effectLst/>
                            <a:latin typeface="Cambria Math" panose="02040503050406030204" pitchFamily="18" charset="0"/>
                            <a:ea typeface="+mn-ea"/>
                            <a:cs typeface="+mn-cs"/>
                          </a:rPr>
                          <m:t>𝑇𝑜𝑝</m:t>
                        </m:r>
                        <m:r>
                          <a:rPr lang="en-US" sz="1100" b="0" i="1">
                            <a:solidFill>
                              <a:schemeClr val="tx1"/>
                            </a:solidFill>
                            <a:effectLst/>
                            <a:latin typeface="Cambria Math" panose="02040503050406030204" pitchFamily="18" charset="0"/>
                            <a:ea typeface="+mn-ea"/>
                            <a:cs typeface="+mn-cs"/>
                          </a:rPr>
                          <m:t> </m:t>
                        </m:r>
                        <m:r>
                          <a:rPr lang="en-US" sz="1100" b="0" i="1">
                            <a:solidFill>
                              <a:schemeClr val="tx1"/>
                            </a:solidFill>
                            <a:effectLst/>
                            <a:latin typeface="Cambria Math" panose="02040503050406030204" pitchFamily="18" charset="0"/>
                            <a:ea typeface="+mn-ea"/>
                            <a:cs typeface="+mn-cs"/>
                          </a:rPr>
                          <m:t>𝑖𝑛𝑐𝑜𝑚𝑒</m:t>
                        </m:r>
                        <m:r>
                          <a:rPr lang="en-US" sz="1100" b="0" i="1">
                            <a:solidFill>
                              <a:schemeClr val="tx1"/>
                            </a:solidFill>
                            <a:effectLst/>
                            <a:latin typeface="Cambria Math" panose="02040503050406030204" pitchFamily="18" charset="0"/>
                            <a:ea typeface="+mn-ea"/>
                            <a:cs typeface="+mn-cs"/>
                          </a:rPr>
                          <m:t>−</m:t>
                        </m:r>
                        <m:r>
                          <a:rPr lang="en-US" sz="1100" b="0" i="1">
                            <a:solidFill>
                              <a:schemeClr val="tx1"/>
                            </a:solidFill>
                            <a:effectLst/>
                            <a:latin typeface="Cambria Math" panose="02040503050406030204" pitchFamily="18" charset="0"/>
                            <a:ea typeface="+mn-ea"/>
                            <a:cs typeface="+mn-cs"/>
                          </a:rPr>
                          <m:t>𝑇𝑜𝑝</m:t>
                        </m:r>
                        <m:r>
                          <a:rPr lang="en-US" sz="1100" b="0" i="1">
                            <a:solidFill>
                              <a:schemeClr val="tx1"/>
                            </a:solidFill>
                            <a:effectLst/>
                            <a:latin typeface="Cambria Math" panose="02040503050406030204" pitchFamily="18" charset="0"/>
                            <a:ea typeface="+mn-ea"/>
                            <a:cs typeface="+mn-cs"/>
                          </a:rPr>
                          <m:t> </m:t>
                        </m:r>
                        <m:r>
                          <a:rPr lang="en-US" sz="1100" b="0" i="1">
                            <a:solidFill>
                              <a:schemeClr val="tx1"/>
                            </a:solidFill>
                            <a:effectLst/>
                            <a:latin typeface="Cambria Math" panose="02040503050406030204" pitchFamily="18" charset="0"/>
                            <a:ea typeface="+mn-ea"/>
                            <a:cs typeface="+mn-cs"/>
                          </a:rPr>
                          <m:t>𝑖𝑛𝑐𝑜𝑚𝑒</m:t>
                        </m:r>
                        <m:r>
                          <a:rPr lang="en-US" sz="1100" b="0" i="1">
                            <a:solidFill>
                              <a:schemeClr val="tx1"/>
                            </a:solidFill>
                            <a:effectLst/>
                            <a:latin typeface="Cambria Math" panose="02040503050406030204" pitchFamily="18" charset="0"/>
                            <a:ea typeface="+mn-ea"/>
                            <a:cs typeface="+mn-cs"/>
                          </a:rPr>
                          <m:t> </m:t>
                        </m:r>
                        <m:r>
                          <a:rPr lang="en-US" sz="1100" b="0" i="1">
                            <a:solidFill>
                              <a:schemeClr val="tx1"/>
                            </a:solidFill>
                            <a:effectLst/>
                            <a:latin typeface="Cambria Math" panose="02040503050406030204" pitchFamily="18" charset="0"/>
                            <a:ea typeface="+mn-ea"/>
                            <a:cs typeface="+mn-cs"/>
                          </a:rPr>
                          <m:t>𝑝𝑟𝑒𝑣𝑖𝑜𝑢𝑠</m:t>
                        </m:r>
                        <m:r>
                          <a:rPr lang="en-US" sz="1100" b="0" i="1">
                            <a:solidFill>
                              <a:schemeClr val="tx1"/>
                            </a:solidFill>
                            <a:effectLst/>
                            <a:latin typeface="Cambria Math" panose="02040503050406030204" pitchFamily="18" charset="0"/>
                            <a:ea typeface="+mn-ea"/>
                            <a:cs typeface="+mn-cs"/>
                          </a:rPr>
                          <m:t> </m:t>
                        </m:r>
                        <m:r>
                          <a:rPr lang="en-US" sz="1100" b="0" i="1">
                            <a:solidFill>
                              <a:schemeClr val="tx1"/>
                            </a:solidFill>
                            <a:effectLst/>
                            <a:latin typeface="Cambria Math" panose="02040503050406030204" pitchFamily="18" charset="0"/>
                            <a:ea typeface="+mn-ea"/>
                            <a:cs typeface="+mn-cs"/>
                          </a:rPr>
                          <m:t>𝐹𝑃𝐿</m:t>
                        </m:r>
                        <m:r>
                          <a:rPr lang="en-US" sz="1100" b="0" i="1">
                            <a:solidFill>
                              <a:schemeClr val="tx1"/>
                            </a:solidFill>
                            <a:effectLst/>
                            <a:latin typeface="Cambria Math" panose="02040503050406030204" pitchFamily="18" charset="0"/>
                            <a:ea typeface="+mn-ea"/>
                            <a:cs typeface="+mn-cs"/>
                          </a:rPr>
                          <m:t>)</m:t>
                        </m:r>
                      </m:den>
                    </m:f>
                  </m:oMath>
                </m:oMathPara>
              </a14:m>
              <a:endParaRPr lang="en-US" sz="1100"/>
            </a:p>
          </xdr:txBody>
        </xdr:sp>
      </mc:Choice>
      <mc:Fallback xmlns="">
        <xdr:sp macro="" textlink="">
          <xdr:nvSpPr>
            <xdr:cNvPr id="2" name="TextBox 2">
              <a:extLst>
                <a:ext uri="{FF2B5EF4-FFF2-40B4-BE49-F238E27FC236}">
                  <a16:creationId xmlns:a16="http://schemas.microsoft.com/office/drawing/2014/main" id="{A018250A-1A9F-41EC-8FD6-B5D67DF10F88}"/>
                </a:ext>
              </a:extLst>
            </xdr:cNvPr>
            <xdr:cNvSpPr txBox="1"/>
          </xdr:nvSpPr>
          <xdr:spPr>
            <a:xfrm>
              <a:off x="7760970" y="1096327"/>
              <a:ext cx="2641299" cy="352469"/>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pPr/>
              <a:r>
                <a:rPr lang="en-US" sz="1100" i="0">
                  <a:latin typeface="Cambria Math" panose="02040503050406030204" pitchFamily="18" charset="0"/>
                </a:rPr>
                <a:t>(</a:t>
              </a:r>
              <a:r>
                <a:rPr lang="en-US" sz="1100" b="0" i="0">
                  <a:solidFill>
                    <a:schemeClr val="tx1"/>
                  </a:solidFill>
                  <a:effectLst/>
                  <a:latin typeface="Cambria Math" panose="02040503050406030204" pitchFamily="18" charset="0"/>
                  <a:ea typeface="+mn-ea"/>
                  <a:cs typeface="+mn-cs"/>
                </a:rPr>
                <a:t>(𝐹𝑖𝑛𝑎𝑙 %−𝐼𝑛𝑖𝑡𝑖𝑎𝑙 %))/((𝑇𝑜𝑝 𝑖𝑛𝑐𝑜𝑚𝑒−𝑇𝑜𝑝 𝑖𝑛𝑐𝑜𝑚𝑒 𝑝𝑟𝑒𝑣𝑖𝑜𝑢𝑠 𝐹𝑃𝐿))</a:t>
              </a:r>
              <a:endParaRPr lang="en-US" sz="1100"/>
            </a:p>
          </xdr:txBody>
        </xdr:sp>
      </mc:Fallback>
    </mc:AlternateContent>
    <xdr:clientData/>
  </xdr:oneCellAnchor>
</xdr:wsDr>
</file>

<file path=xl/drawings/drawing5.xml><?xml version="1.0" encoding="utf-8"?>
<xdr:wsDr xmlns:xdr="http://schemas.openxmlformats.org/drawingml/2006/spreadsheetDrawing" xmlns:a="http://schemas.openxmlformats.org/drawingml/2006/main">
  <xdr:twoCellAnchor editAs="oneCell">
    <xdr:from>
      <xdr:col>0</xdr:col>
      <xdr:colOff>0</xdr:colOff>
      <xdr:row>138</xdr:row>
      <xdr:rowOff>76200</xdr:rowOff>
    </xdr:from>
    <xdr:to>
      <xdr:col>5</xdr:col>
      <xdr:colOff>515403</xdr:colOff>
      <xdr:row>185</xdr:row>
      <xdr:rowOff>67923</xdr:rowOff>
    </xdr:to>
    <xdr:pic>
      <xdr:nvPicPr>
        <xdr:cNvPr id="3" name="Picture 2">
          <a:extLst>
            <a:ext uri="{FF2B5EF4-FFF2-40B4-BE49-F238E27FC236}">
              <a16:creationId xmlns:a16="http://schemas.microsoft.com/office/drawing/2014/main" id="{156239C7-B34B-007E-2A50-D0864A4983F9}"/>
            </a:ext>
          </a:extLst>
        </xdr:cNvPr>
        <xdr:cNvPicPr>
          <a:picLocks noChangeAspect="1"/>
        </xdr:cNvPicPr>
      </xdr:nvPicPr>
      <xdr:blipFill>
        <a:blip xmlns:r="http://schemas.openxmlformats.org/officeDocument/2006/relationships" r:embed="rId1"/>
        <a:stretch>
          <a:fillRect/>
        </a:stretch>
      </xdr:blipFill>
      <xdr:spPr>
        <a:xfrm>
          <a:off x="0" y="27403425"/>
          <a:ext cx="7544853" cy="8945223"/>
        </a:xfrm>
        <a:prstGeom prst="rect">
          <a:avLst/>
        </a:prstGeom>
      </xdr:spPr>
    </xdr:pic>
    <xdr:clientData/>
  </xdr:twoCellAnchor>
</xdr:wsDr>
</file>

<file path=xl/theme/theme1.xml><?xml version="1.0" encoding="utf-8"?>
<a:theme xmlns:a="http://schemas.openxmlformats.org/drawingml/2006/main" name="Office Theme">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_rels/sheet2.xml.rels><?xml version="1.0" encoding="UTF-8" standalone="yes"?>
<Relationships xmlns="http://schemas.openxmlformats.org/package/2006/relationships"><Relationship Id="rId8" Type="http://schemas.openxmlformats.org/officeDocument/2006/relationships/control" Target="../activeX/activeX3.xml"/><Relationship Id="rId13" Type="http://schemas.openxmlformats.org/officeDocument/2006/relationships/image" Target="../media/image5.emf"/><Relationship Id="rId18" Type="http://schemas.openxmlformats.org/officeDocument/2006/relationships/control" Target="../activeX/activeX8.xml"/><Relationship Id="rId3" Type="http://schemas.openxmlformats.org/officeDocument/2006/relationships/vmlDrawing" Target="../drawings/vmlDrawing1.vml"/><Relationship Id="rId21" Type="http://schemas.openxmlformats.org/officeDocument/2006/relationships/image" Target="../media/image9.emf"/><Relationship Id="rId7" Type="http://schemas.openxmlformats.org/officeDocument/2006/relationships/image" Target="../media/image2.emf"/><Relationship Id="rId12" Type="http://schemas.openxmlformats.org/officeDocument/2006/relationships/control" Target="../activeX/activeX5.xml"/><Relationship Id="rId17" Type="http://schemas.openxmlformats.org/officeDocument/2006/relationships/image" Target="../media/image7.emf"/><Relationship Id="rId2" Type="http://schemas.openxmlformats.org/officeDocument/2006/relationships/drawing" Target="../drawings/drawing1.xml"/><Relationship Id="rId16" Type="http://schemas.openxmlformats.org/officeDocument/2006/relationships/control" Target="../activeX/activeX7.xml"/><Relationship Id="rId20" Type="http://schemas.openxmlformats.org/officeDocument/2006/relationships/control" Target="../activeX/activeX9.xml"/><Relationship Id="rId1" Type="http://schemas.openxmlformats.org/officeDocument/2006/relationships/printerSettings" Target="../printerSettings/printerSettings2.bin"/><Relationship Id="rId6" Type="http://schemas.openxmlformats.org/officeDocument/2006/relationships/control" Target="../activeX/activeX2.xml"/><Relationship Id="rId11" Type="http://schemas.openxmlformats.org/officeDocument/2006/relationships/image" Target="../media/image4.emf"/><Relationship Id="rId5" Type="http://schemas.openxmlformats.org/officeDocument/2006/relationships/image" Target="../media/image1.emf"/><Relationship Id="rId15" Type="http://schemas.openxmlformats.org/officeDocument/2006/relationships/image" Target="../media/image6.emf"/><Relationship Id="rId10" Type="http://schemas.openxmlformats.org/officeDocument/2006/relationships/control" Target="../activeX/activeX4.xml"/><Relationship Id="rId19" Type="http://schemas.openxmlformats.org/officeDocument/2006/relationships/image" Target="../media/image8.emf"/><Relationship Id="rId4" Type="http://schemas.openxmlformats.org/officeDocument/2006/relationships/control" Target="../activeX/activeX1.xml"/><Relationship Id="rId9" Type="http://schemas.openxmlformats.org/officeDocument/2006/relationships/image" Target="../media/image3.emf"/><Relationship Id="rId14" Type="http://schemas.openxmlformats.org/officeDocument/2006/relationships/control" Target="../activeX/activeX6.xml"/></Relationships>
</file>

<file path=xl/worksheets/_rels/sheet5.xml.rels><?xml version="1.0" encoding="UTF-8" standalone="yes"?>
<Relationships xmlns="http://schemas.openxmlformats.org/package/2006/relationships"><Relationship Id="rId1" Type="http://schemas.openxmlformats.org/officeDocument/2006/relationships/printerSettings" Target="../printerSettings/printerSettings3.bin"/></Relationships>
</file>

<file path=xl/worksheets/_rels/sheet6.xml.rels><?xml version="1.0" encoding="UTF-8" standalone="yes"?>
<Relationships xmlns="http://schemas.openxmlformats.org/package/2006/relationships"><Relationship Id="rId1" Type="http://schemas.openxmlformats.org/officeDocument/2006/relationships/drawing" Target="../drawings/drawing2.xml"/></Relationships>
</file>

<file path=xl/worksheets/_rels/sheet9.xml.rels><?xml version="1.0" encoding="UTF-8" standalone="yes"?>
<Relationships xmlns="http://schemas.openxmlformats.org/package/2006/relationships"><Relationship Id="rId1" Type="http://schemas.openxmlformats.org/officeDocument/2006/relationships/drawing" Target="../drawings/drawing4.xml"/></Relationships>
</file>

<file path=xl/worksheets/_rels/sheet15.xml.rels><?xml version="1.0" encoding="UTF-8" standalone="yes"?>
<Relationships xmlns="http://schemas.openxmlformats.org/package/2006/relationships"><Relationship Id="rId3" Type="http://schemas.openxmlformats.org/officeDocument/2006/relationships/printerSettings" Target="../printerSettings/printerSettings4.bin"/><Relationship Id="rId2" Type="http://schemas.openxmlformats.org/officeDocument/2006/relationships/hyperlink" Target="https://www.ssa.gov/pubs/EN-05-11002.pdf" TargetMode="External"/><Relationship Id="rId1" Type="http://schemas.openxmlformats.org/officeDocument/2006/relationships/hyperlink" Target="https://www.acf.hhs.gov/sites/default/files/documents/ocs/COMM_LIHEAP_IM%202024-02_Att4SMITable_0.pdf" TargetMode="External"/></Relationships>
</file>

<file path=xl/worksheets/_rels/sheet18.xml.rels><?xml version="1.0" encoding="UTF-8" standalone="yes"?>
<Relationships xmlns="http://schemas.openxmlformats.org/package/2006/relationships"><Relationship Id="rId1" Type="http://schemas.openxmlformats.org/officeDocument/2006/relationships/drawing" Target="../drawings/drawing5.xml"/></Relationships>
</file>

<file path=xl/worksheets/_rels/sheet24.xml.rels><?xml version="1.0" encoding="UTF-8" standalone="yes"?>
<Relationships xmlns="http://schemas.openxmlformats.org/package/2006/relationships"><Relationship Id="rId3" Type="http://schemas.openxmlformats.org/officeDocument/2006/relationships/hyperlink" Target="https://www.ssa.gov/pubs/EN-05-11002.pdf" TargetMode="External"/><Relationship Id="rId7" Type="http://schemas.openxmlformats.org/officeDocument/2006/relationships/hyperlink" Target="https://www.vdh.virginia.gov/content/uploads/sites/42/2025/07/CRT-05.2.6.pdf" TargetMode="External"/><Relationship Id="rId2" Type="http://schemas.openxmlformats.org/officeDocument/2006/relationships/hyperlink" Target="https://emar-data-tools.shinyapps.io/prd_dashboard/" TargetMode="External"/><Relationship Id="rId1" Type="http://schemas.openxmlformats.org/officeDocument/2006/relationships/hyperlink" Target="https://www.acf.hhs.gov/sites/default/files/documents/ocs/COMM_LIHEAP_IM%202024-02_Att4SMITable_0.pdf" TargetMode="External"/><Relationship Id="rId6" Type="http://schemas.openxmlformats.org/officeDocument/2006/relationships/hyperlink" Target="https://www.vdh.virginia.gov/wic-participants/new-participants/" TargetMode="External"/><Relationship Id="rId5" Type="http://schemas.openxmlformats.org/officeDocument/2006/relationships/hyperlink" Target="https://www.childcare.virginia.gov/home/showpublisheddocument/62604/638864381965000000" TargetMode="External"/><Relationship Id="rId4" Type="http://schemas.openxmlformats.org/officeDocument/2006/relationships/hyperlink" Target="https://www.huduser.gov/portal/datasets/il.html" TargetMode="Externa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5C8073E-1DB2-4A5D-95A8-DE2F81D9EBAD}">
  <sheetPr codeName="Sheet3"/>
  <dimension ref="A1:A29"/>
  <sheetViews>
    <sheetView topLeftCell="A3" zoomScale="115" zoomScaleNormal="115" workbookViewId="0">
      <selection activeCell="A5" sqref="A5"/>
    </sheetView>
  </sheetViews>
  <sheetFormatPr defaultRowHeight="15" x14ac:dyDescent="0.25"/>
  <cols>
    <col min="1" max="1" width="176.85546875" customWidth="1"/>
  </cols>
  <sheetData>
    <row r="1" spans="1:1" x14ac:dyDescent="0.25">
      <c r="A1" s="81" t="s">
        <v>0</v>
      </c>
    </row>
    <row r="2" spans="1:1" ht="30" x14ac:dyDescent="0.25">
      <c r="A2" s="24" t="s">
        <v>1</v>
      </c>
    </row>
    <row r="4" spans="1:1" ht="23.25" customHeight="1" x14ac:dyDescent="0.25">
      <c r="A4" s="84" t="s">
        <v>2</v>
      </c>
    </row>
    <row r="5" spans="1:1" ht="405" x14ac:dyDescent="0.25">
      <c r="A5" s="82" t="s">
        <v>690</v>
      </c>
    </row>
    <row r="7" spans="1:1" x14ac:dyDescent="0.25">
      <c r="A7" s="83" t="s">
        <v>3</v>
      </c>
    </row>
    <row r="8" spans="1:1" x14ac:dyDescent="0.25">
      <c r="A8" s="24" t="s">
        <v>741</v>
      </c>
    </row>
    <row r="10" spans="1:1" x14ac:dyDescent="0.25">
      <c r="A10" s="81" t="s">
        <v>4</v>
      </c>
    </row>
    <row r="11" spans="1:1" ht="45" x14ac:dyDescent="0.25">
      <c r="A11" s="24" t="s">
        <v>5</v>
      </c>
    </row>
    <row r="12" spans="1:1" s="75" customFormat="1" x14ac:dyDescent="0.25">
      <c r="A12" s="86" t="s">
        <v>6</v>
      </c>
    </row>
    <row r="13" spans="1:1" x14ac:dyDescent="0.25">
      <c r="A13" t="s">
        <v>7</v>
      </c>
    </row>
    <row r="14" spans="1:1" ht="75" x14ac:dyDescent="0.25">
      <c r="A14" s="24" t="s">
        <v>8</v>
      </c>
    </row>
    <row r="15" spans="1:1" ht="30" x14ac:dyDescent="0.25">
      <c r="A15" s="24" t="s">
        <v>9</v>
      </c>
    </row>
    <row r="16" spans="1:1" x14ac:dyDescent="0.25">
      <c r="A16" t="s">
        <v>10</v>
      </c>
    </row>
    <row r="17" spans="1:1" x14ac:dyDescent="0.25">
      <c r="A17" t="s">
        <v>11</v>
      </c>
    </row>
    <row r="18" spans="1:1" x14ac:dyDescent="0.25">
      <c r="A18" t="s">
        <v>12</v>
      </c>
    </row>
    <row r="19" spans="1:1" x14ac:dyDescent="0.25">
      <c r="A19" t="s">
        <v>13</v>
      </c>
    </row>
    <row r="20" spans="1:1" x14ac:dyDescent="0.25">
      <c r="A20" t="s">
        <v>704</v>
      </c>
    </row>
    <row r="21" spans="1:1" x14ac:dyDescent="0.25">
      <c r="A21" t="s">
        <v>14</v>
      </c>
    </row>
    <row r="22" spans="1:1" x14ac:dyDescent="0.25">
      <c r="A22" t="s">
        <v>15</v>
      </c>
    </row>
    <row r="23" spans="1:1" x14ac:dyDescent="0.25">
      <c r="A23" t="s">
        <v>16</v>
      </c>
    </row>
    <row r="24" spans="1:1" x14ac:dyDescent="0.25">
      <c r="A24" t="s">
        <v>17</v>
      </c>
    </row>
    <row r="25" spans="1:1" x14ac:dyDescent="0.25">
      <c r="A25" t="s">
        <v>18</v>
      </c>
    </row>
    <row r="26" spans="1:1" x14ac:dyDescent="0.25">
      <c r="A26" t="s">
        <v>19</v>
      </c>
    </row>
    <row r="27" spans="1:1" x14ac:dyDescent="0.25">
      <c r="A27" t="s">
        <v>20</v>
      </c>
    </row>
    <row r="28" spans="1:1" x14ac:dyDescent="0.25">
      <c r="A28" t="s">
        <v>21</v>
      </c>
    </row>
    <row r="29" spans="1:1" x14ac:dyDescent="0.25">
      <c r="A29" t="s">
        <v>22</v>
      </c>
    </row>
  </sheetData>
  <pageMargins left="0.7" right="0.7" top="0.75" bottom="0.75" header="0.3" footer="0.3"/>
  <pageSetup orientation="portrait" r:id="rId1"/>
</worksheet>
</file>

<file path=xl/worksheets/sheet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F30A1D9-AF03-40C6-80A6-B3880358557C}">
  <sheetPr codeName="Sheet1">
    <tabColor rgb="FFFFFF00"/>
    <pageSetUpPr autoPageBreaks="0"/>
  </sheetPr>
  <dimension ref="A1:AD119"/>
  <sheetViews>
    <sheetView showGridLines="0" tabSelected="1" topLeftCell="A70" zoomScale="85" zoomScaleNormal="85" workbookViewId="0">
      <selection activeCell="E84" sqref="E84"/>
    </sheetView>
  </sheetViews>
  <sheetFormatPr defaultColWidth="9.140625" defaultRowHeight="15.75" x14ac:dyDescent="0.25"/>
  <cols>
    <col min="1" max="1" width="40.28515625" style="149" customWidth="1"/>
    <col min="2" max="2" width="27" style="149" customWidth="1"/>
    <col min="3" max="3" width="39.140625" style="149" customWidth="1"/>
    <col min="4" max="4" width="18.85546875" style="149" customWidth="1"/>
    <col min="5" max="5" width="26.85546875" style="149" customWidth="1"/>
    <col min="6" max="6" width="11.7109375" style="149" customWidth="1"/>
    <col min="7" max="7" width="27.42578125" style="149" customWidth="1"/>
    <col min="8" max="8" width="13.28515625" style="149" customWidth="1"/>
    <col min="9" max="9" width="13.140625" style="149" customWidth="1"/>
    <col min="10" max="10" width="21.140625" style="149" customWidth="1"/>
    <col min="11" max="11" width="10.85546875" style="149" customWidth="1"/>
    <col min="12" max="12" width="13" style="149" customWidth="1"/>
    <col min="13" max="13" width="12.28515625" style="149" customWidth="1"/>
    <col min="14" max="14" width="8.5703125" style="149" customWidth="1"/>
    <col min="15" max="15" width="15.7109375" style="149" customWidth="1"/>
    <col min="16" max="16" width="10.85546875" style="149" customWidth="1"/>
    <col min="17" max="17" width="14.140625" style="149" customWidth="1"/>
    <col min="18" max="21" width="13.42578125" style="149" customWidth="1"/>
    <col min="22" max="22" width="9.140625" style="149"/>
    <col min="23" max="24" width="12.28515625" style="215" customWidth="1"/>
    <col min="25" max="25" width="13" style="149" customWidth="1"/>
    <col min="26" max="26" width="12.28515625" style="149" customWidth="1"/>
    <col min="27" max="27" width="12.7109375" style="215" customWidth="1"/>
    <col min="28" max="28" width="13.85546875" style="215" customWidth="1"/>
    <col min="29" max="29" width="14.5703125" style="215" customWidth="1"/>
    <col min="30" max="30" width="14.5703125" style="216" customWidth="1"/>
    <col min="31" max="16384" width="9.140625" style="149"/>
  </cols>
  <sheetData>
    <row r="1" spans="1:30" ht="16.5" thickBot="1" x14ac:dyDescent="0.3">
      <c r="A1" s="395" t="s">
        <v>23</v>
      </c>
      <c r="B1" s="395"/>
    </row>
    <row r="2" spans="1:30" ht="31.5" x14ac:dyDescent="0.25">
      <c r="A2" s="396" t="s">
        <v>24</v>
      </c>
      <c r="B2" s="320" t="s">
        <v>25</v>
      </c>
    </row>
    <row r="3" spans="1:30" ht="27.75" customHeight="1" x14ac:dyDescent="0.25">
      <c r="A3" s="397"/>
      <c r="B3" s="321" t="s">
        <v>232</v>
      </c>
      <c r="O3" s="217"/>
      <c r="P3" s="218"/>
      <c r="Q3" s="218"/>
      <c r="R3" s="218"/>
      <c r="S3" s="218"/>
      <c r="T3" s="218"/>
      <c r="U3" s="219"/>
      <c r="V3" s="219"/>
      <c r="W3" s="220"/>
      <c r="X3" s="221"/>
      <c r="Y3" s="218"/>
      <c r="Z3" s="218"/>
      <c r="AA3" s="220"/>
      <c r="AB3" s="220"/>
      <c r="AC3" s="220"/>
      <c r="AD3" s="222"/>
    </row>
    <row r="4" spans="1:30" ht="8.25" customHeight="1" thickBot="1" x14ac:dyDescent="0.3">
      <c r="O4" s="223"/>
      <c r="P4" s="220"/>
      <c r="Q4" s="216"/>
      <c r="R4" s="216"/>
      <c r="S4" s="216"/>
      <c r="T4" s="215"/>
      <c r="U4" s="224"/>
      <c r="V4" s="215"/>
      <c r="Y4" s="224"/>
      <c r="Z4" s="224"/>
    </row>
    <row r="5" spans="1:30" ht="21" customHeight="1" thickBot="1" x14ac:dyDescent="0.3">
      <c r="A5" s="393" t="s">
        <v>27</v>
      </c>
      <c r="B5" s="394"/>
      <c r="O5" s="225"/>
      <c r="P5" s="224"/>
      <c r="Q5" s="216"/>
      <c r="R5" s="216"/>
      <c r="S5" s="216"/>
      <c r="T5" s="215"/>
      <c r="U5" s="224"/>
      <c r="V5" s="215"/>
      <c r="Y5" s="224"/>
      <c r="Z5" s="224"/>
    </row>
    <row r="6" spans="1:30" ht="45" customHeight="1" x14ac:dyDescent="0.25">
      <c r="A6" s="400" t="s">
        <v>28</v>
      </c>
      <c r="B6" s="401"/>
      <c r="C6" s="226"/>
      <c r="O6" s="225"/>
      <c r="P6" s="224"/>
      <c r="Q6" s="216"/>
      <c r="R6" s="216"/>
      <c r="S6" s="216"/>
      <c r="T6" s="215"/>
      <c r="U6" s="224"/>
      <c r="V6" s="215"/>
      <c r="Y6" s="224"/>
      <c r="Z6" s="224"/>
    </row>
    <row r="7" spans="1:30" ht="21.75" customHeight="1" x14ac:dyDescent="0.25">
      <c r="A7" s="111"/>
      <c r="B7" s="60"/>
      <c r="C7" s="114"/>
      <c r="O7" s="225"/>
      <c r="P7" s="224"/>
      <c r="Q7" s="216"/>
      <c r="R7" s="216"/>
      <c r="S7" s="216"/>
      <c r="T7" s="215"/>
      <c r="U7" s="224"/>
      <c r="V7" s="215"/>
      <c r="Y7" s="224"/>
      <c r="Z7" s="224"/>
    </row>
    <row r="8" spans="1:30" x14ac:dyDescent="0.25">
      <c r="A8" s="112" t="b">
        <v>1</v>
      </c>
      <c r="B8" s="61"/>
      <c r="C8" s="115"/>
      <c r="O8" s="225"/>
      <c r="P8" s="224"/>
      <c r="Q8" s="216"/>
      <c r="R8" s="216"/>
      <c r="S8" s="216"/>
      <c r="T8" s="215"/>
      <c r="U8" s="224"/>
      <c r="V8" s="215"/>
      <c r="Y8" s="224"/>
      <c r="Z8" s="224"/>
    </row>
    <row r="9" spans="1:30" ht="12.75" customHeight="1" x14ac:dyDescent="0.25">
      <c r="A9" s="112"/>
      <c r="B9" s="61"/>
      <c r="C9" s="414" t="s">
        <v>683</v>
      </c>
      <c r="D9" s="415"/>
      <c r="O9" s="225"/>
      <c r="P9" s="224"/>
      <c r="Q9" s="216"/>
      <c r="R9" s="216"/>
      <c r="S9" s="216"/>
      <c r="T9" s="215"/>
      <c r="U9" s="224"/>
      <c r="V9" s="215"/>
      <c r="Y9" s="224"/>
      <c r="Z9" s="224"/>
    </row>
    <row r="10" spans="1:30" x14ac:dyDescent="0.25">
      <c r="A10" s="112" t="b">
        <v>1</v>
      </c>
      <c r="B10" s="61"/>
      <c r="C10" s="414"/>
      <c r="D10" s="415"/>
      <c r="O10" s="225"/>
      <c r="P10" s="224"/>
      <c r="Q10" s="216"/>
      <c r="R10" s="216"/>
      <c r="S10" s="216"/>
      <c r="T10" s="215"/>
      <c r="U10" s="224"/>
      <c r="V10" s="215"/>
      <c r="Y10" s="224"/>
      <c r="Z10" s="224"/>
    </row>
    <row r="11" spans="1:30" x14ac:dyDescent="0.25">
      <c r="A11" s="112"/>
      <c r="B11" s="61"/>
      <c r="C11" s="414"/>
      <c r="D11" s="415"/>
      <c r="O11" s="225"/>
      <c r="P11" s="224"/>
      <c r="Q11" s="216"/>
      <c r="R11" s="216"/>
      <c r="S11" s="216"/>
      <c r="T11" s="215"/>
      <c r="U11" s="224"/>
      <c r="V11" s="215"/>
      <c r="Y11" s="224"/>
      <c r="Z11" s="224"/>
    </row>
    <row r="12" spans="1:30" x14ac:dyDescent="0.25">
      <c r="A12" s="112" t="b">
        <v>1</v>
      </c>
      <c r="B12" s="61"/>
      <c r="C12" s="115"/>
      <c r="O12" s="225"/>
      <c r="P12" s="224"/>
      <c r="Q12" s="216"/>
      <c r="R12" s="216"/>
      <c r="S12" s="216"/>
      <c r="T12" s="215"/>
      <c r="U12" s="224"/>
      <c r="V12" s="215"/>
      <c r="Y12" s="224"/>
      <c r="Z12" s="224"/>
    </row>
    <row r="13" spans="1:30" ht="15.75" customHeight="1" x14ac:dyDescent="0.25">
      <c r="A13" s="112"/>
      <c r="B13" s="61"/>
      <c r="C13" s="416" t="s">
        <v>29</v>
      </c>
      <c r="D13" s="417">
        <v>2</v>
      </c>
      <c r="E13" s="392" t="s">
        <v>666</v>
      </c>
      <c r="F13" s="392"/>
      <c r="G13" s="392"/>
      <c r="H13" s="330"/>
      <c r="O13" s="225"/>
      <c r="P13" s="224"/>
      <c r="Q13" s="216"/>
      <c r="R13" s="216"/>
      <c r="S13" s="216"/>
      <c r="T13" s="215"/>
      <c r="U13" s="224"/>
      <c r="V13" s="215"/>
      <c r="Y13" s="224"/>
      <c r="Z13" s="224"/>
    </row>
    <row r="14" spans="1:30" x14ac:dyDescent="0.25">
      <c r="A14" s="112" t="b">
        <v>1</v>
      </c>
      <c r="B14" s="61"/>
      <c r="C14" s="416"/>
      <c r="D14" s="417"/>
      <c r="E14" s="392"/>
      <c r="F14" s="392"/>
      <c r="G14" s="392"/>
      <c r="H14" s="330"/>
      <c r="O14" s="225"/>
      <c r="P14" s="224"/>
      <c r="Q14" s="216"/>
      <c r="R14" s="216"/>
      <c r="S14" s="216"/>
      <c r="T14" s="215"/>
      <c r="U14" s="224"/>
      <c r="V14" s="215"/>
      <c r="Y14" s="224"/>
      <c r="Z14" s="224"/>
    </row>
    <row r="15" spans="1:30" x14ac:dyDescent="0.25">
      <c r="A15" s="112"/>
      <c r="B15" s="61"/>
      <c r="C15" s="416"/>
      <c r="D15" s="417"/>
      <c r="E15" s="392"/>
      <c r="F15" s="392"/>
      <c r="G15" s="392"/>
      <c r="H15" s="330"/>
      <c r="O15" s="225"/>
      <c r="P15" s="224"/>
      <c r="Q15" s="216"/>
      <c r="R15" s="216"/>
      <c r="S15" s="216"/>
      <c r="T15" s="215"/>
      <c r="U15" s="224"/>
      <c r="V15" s="215"/>
      <c r="Y15" s="224"/>
      <c r="Z15" s="224"/>
    </row>
    <row r="16" spans="1:30" x14ac:dyDescent="0.25">
      <c r="A16" s="112" t="b">
        <v>1</v>
      </c>
      <c r="B16" s="61"/>
      <c r="C16" s="115"/>
      <c r="O16" s="225"/>
      <c r="P16" s="224"/>
      <c r="Q16" s="216"/>
      <c r="R16" s="216"/>
      <c r="S16" s="216"/>
      <c r="T16" s="215"/>
      <c r="U16" s="224"/>
      <c r="V16" s="215"/>
      <c r="Y16" s="224"/>
      <c r="Z16" s="224"/>
    </row>
    <row r="17" spans="1:26" x14ac:dyDescent="0.25">
      <c r="A17" s="112"/>
      <c r="B17" s="61"/>
      <c r="C17" s="115"/>
      <c r="O17" s="225"/>
      <c r="P17" s="224"/>
      <c r="Q17" s="216"/>
      <c r="R17" s="216"/>
      <c r="S17" s="216"/>
      <c r="T17" s="215"/>
      <c r="U17" s="224"/>
      <c r="V17" s="215"/>
      <c r="Y17" s="224"/>
      <c r="Z17" s="224"/>
    </row>
    <row r="18" spans="1:26" x14ac:dyDescent="0.25">
      <c r="A18" s="112" t="b">
        <v>1</v>
      </c>
      <c r="B18" s="61"/>
      <c r="C18" s="115"/>
      <c r="O18" s="225"/>
      <c r="P18" s="224"/>
      <c r="Q18" s="216"/>
      <c r="R18" s="216"/>
      <c r="S18" s="216"/>
      <c r="T18" s="215"/>
      <c r="U18" s="224"/>
      <c r="V18" s="215"/>
      <c r="Y18" s="224"/>
      <c r="Z18" s="224"/>
    </row>
    <row r="19" spans="1:26" ht="15.75" customHeight="1" x14ac:dyDescent="0.25">
      <c r="A19" s="112"/>
      <c r="B19" s="132"/>
      <c r="C19" s="392" t="s">
        <v>30</v>
      </c>
      <c r="D19" s="392"/>
      <c r="O19" s="225"/>
      <c r="P19" s="224"/>
      <c r="Q19" s="216"/>
      <c r="R19" s="216"/>
      <c r="S19" s="216"/>
      <c r="T19" s="215"/>
      <c r="U19" s="224"/>
      <c r="V19" s="215"/>
      <c r="Y19" s="224"/>
      <c r="Z19" s="224"/>
    </row>
    <row r="20" spans="1:26" x14ac:dyDescent="0.25">
      <c r="A20" s="112" t="b">
        <v>1</v>
      </c>
      <c r="B20" s="132"/>
      <c r="C20" s="392"/>
      <c r="D20" s="392"/>
      <c r="O20" s="225"/>
      <c r="P20" s="224"/>
      <c r="Q20" s="216"/>
      <c r="R20" s="216"/>
      <c r="S20" s="216"/>
      <c r="T20" s="215"/>
      <c r="U20" s="224"/>
      <c r="V20" s="215"/>
      <c r="Y20" s="224"/>
      <c r="Z20" s="224"/>
    </row>
    <row r="21" spans="1:26" x14ac:dyDescent="0.25">
      <c r="A21" s="112"/>
      <c r="B21" s="132"/>
      <c r="C21" s="392"/>
      <c r="D21" s="392"/>
      <c r="O21" s="225"/>
      <c r="P21" s="224"/>
      <c r="Q21" s="216"/>
      <c r="R21" s="216"/>
      <c r="S21" s="216"/>
      <c r="T21" s="215"/>
      <c r="U21" s="224"/>
      <c r="V21" s="215"/>
      <c r="Y21" s="224"/>
      <c r="Z21" s="224"/>
    </row>
    <row r="22" spans="1:26" ht="16.5" customHeight="1" x14ac:dyDescent="0.25">
      <c r="A22" s="227" t="b">
        <v>0</v>
      </c>
      <c r="B22" s="132"/>
      <c r="C22" s="392"/>
      <c r="D22" s="392"/>
      <c r="O22" s="225"/>
      <c r="P22" s="224"/>
      <c r="Q22" s="216"/>
      <c r="R22" s="216"/>
      <c r="S22" s="216"/>
      <c r="T22" s="215"/>
      <c r="U22" s="224"/>
      <c r="V22" s="215"/>
      <c r="Y22" s="224"/>
      <c r="Z22" s="224"/>
    </row>
    <row r="23" spans="1:26" x14ac:dyDescent="0.25">
      <c r="A23" s="112"/>
      <c r="B23" s="132"/>
      <c r="O23" s="225"/>
      <c r="P23" s="224"/>
      <c r="Q23" s="216"/>
      <c r="R23" s="216"/>
      <c r="S23" s="216"/>
      <c r="T23" s="215"/>
      <c r="U23" s="224"/>
      <c r="V23" s="215"/>
      <c r="Y23" s="224"/>
      <c r="Z23" s="224"/>
    </row>
    <row r="24" spans="1:26" ht="15.75" customHeight="1" thickBot="1" x14ac:dyDescent="0.3">
      <c r="A24" s="113" t="b">
        <v>1</v>
      </c>
      <c r="B24" s="133"/>
      <c r="C24" s="228"/>
      <c r="O24" s="225"/>
      <c r="P24" s="224"/>
      <c r="Q24" s="216"/>
      <c r="R24" s="216"/>
      <c r="S24" s="216"/>
      <c r="T24" s="215"/>
      <c r="U24" s="224"/>
      <c r="V24" s="215"/>
      <c r="Y24" s="224"/>
      <c r="Z24" s="224"/>
    </row>
    <row r="25" spans="1:26" ht="9" customHeight="1" thickBot="1" x14ac:dyDescent="0.3">
      <c r="A25" s="322"/>
      <c r="B25" s="323"/>
      <c r="C25" s="228"/>
      <c r="O25" s="225"/>
      <c r="P25" s="224"/>
      <c r="Q25" s="216"/>
      <c r="R25" s="216"/>
      <c r="S25" s="216"/>
      <c r="T25" s="215"/>
      <c r="U25" s="224"/>
      <c r="V25" s="215"/>
      <c r="Y25" s="224"/>
      <c r="Z25" s="224"/>
    </row>
    <row r="26" spans="1:26" ht="27" customHeight="1" thickBot="1" x14ac:dyDescent="0.3">
      <c r="A26" s="393" t="s">
        <v>31</v>
      </c>
      <c r="B26" s="394"/>
      <c r="O26" s="225"/>
      <c r="P26" s="224"/>
      <c r="Q26" s="216"/>
      <c r="R26" s="216"/>
      <c r="S26" s="216"/>
      <c r="T26" s="215"/>
      <c r="U26" s="224"/>
      <c r="V26" s="215"/>
      <c r="Y26" s="224"/>
      <c r="Z26" s="224"/>
    </row>
    <row r="27" spans="1:26" ht="15" customHeight="1" x14ac:dyDescent="0.25">
      <c r="A27" s="402" t="s">
        <v>32</v>
      </c>
      <c r="B27" s="403"/>
      <c r="O27" s="225"/>
      <c r="P27" s="224"/>
      <c r="Q27" s="216"/>
      <c r="R27" s="216"/>
      <c r="S27" s="216"/>
      <c r="T27" s="215"/>
      <c r="U27" s="224"/>
      <c r="V27" s="215"/>
      <c r="Y27" s="224"/>
      <c r="Z27" s="224"/>
    </row>
    <row r="28" spans="1:26" x14ac:dyDescent="0.25">
      <c r="A28" s="404"/>
      <c r="B28" s="405"/>
      <c r="O28" s="225"/>
      <c r="P28" s="224"/>
      <c r="Q28" s="216"/>
      <c r="R28" s="216"/>
      <c r="S28" s="216"/>
      <c r="T28" s="215"/>
      <c r="U28" s="224"/>
      <c r="V28" s="215"/>
      <c r="Y28" s="224"/>
      <c r="Z28" s="224"/>
    </row>
    <row r="29" spans="1:26" ht="27" customHeight="1" x14ac:dyDescent="0.25">
      <c r="A29" s="406"/>
      <c r="B29" s="407"/>
      <c r="C29" s="228"/>
      <c r="O29" s="225"/>
      <c r="P29" s="224"/>
      <c r="Q29" s="216"/>
      <c r="R29" s="216"/>
      <c r="S29" s="216"/>
      <c r="T29" s="215"/>
      <c r="U29" s="224"/>
      <c r="V29" s="215"/>
      <c r="Y29" s="224"/>
      <c r="Z29" s="224"/>
    </row>
    <row r="30" spans="1:26" ht="27" customHeight="1" x14ac:dyDescent="0.25">
      <c r="A30" s="229" t="s">
        <v>33</v>
      </c>
      <c r="B30" s="230">
        <v>1</v>
      </c>
      <c r="C30" s="423" t="s">
        <v>34</v>
      </c>
      <c r="D30" s="424"/>
      <c r="O30" s="225"/>
      <c r="P30" s="224"/>
      <c r="Q30" s="216"/>
      <c r="R30" s="216"/>
      <c r="S30" s="216"/>
      <c r="T30" s="215"/>
      <c r="U30" s="224"/>
      <c r="V30" s="215"/>
      <c r="Y30" s="224"/>
      <c r="Z30" s="224"/>
    </row>
    <row r="31" spans="1:26" ht="23.25" customHeight="1" x14ac:dyDescent="0.25">
      <c r="A31" s="229" t="s">
        <v>35</v>
      </c>
      <c r="B31" s="230">
        <v>1</v>
      </c>
      <c r="C31" s="423"/>
      <c r="D31" s="424"/>
      <c r="E31" s="232"/>
      <c r="F31" s="232"/>
      <c r="G31" s="232"/>
      <c r="H31" s="232"/>
      <c r="I31" s="232"/>
      <c r="J31" s="232"/>
      <c r="K31" s="232"/>
      <c r="L31" s="232"/>
      <c r="M31" s="232"/>
      <c r="N31" s="232"/>
      <c r="O31" s="225"/>
      <c r="P31" s="224"/>
      <c r="Q31" s="216"/>
      <c r="R31" s="216"/>
      <c r="S31" s="216"/>
      <c r="T31" s="215"/>
      <c r="U31" s="224"/>
      <c r="V31" s="215"/>
      <c r="Y31" s="224"/>
      <c r="Z31" s="224"/>
    </row>
    <row r="32" spans="1:26" ht="32.25" thickBot="1" x14ac:dyDescent="0.3">
      <c r="A32" s="231" t="s">
        <v>36</v>
      </c>
      <c r="B32" s="291">
        <f>IF(B30+B31&gt;8,"Only valid for up to 8 people",B30+B31)</f>
        <v>2</v>
      </c>
      <c r="O32" s="225"/>
      <c r="P32" s="224"/>
      <c r="Q32" s="216"/>
      <c r="R32" s="216"/>
      <c r="S32" s="216"/>
      <c r="T32" s="215"/>
      <c r="U32" s="224"/>
      <c r="V32" s="215"/>
      <c r="Y32" s="224"/>
      <c r="Z32" s="224"/>
    </row>
    <row r="33" spans="1:26" ht="5.25" customHeight="1" x14ac:dyDescent="0.25">
      <c r="O33" s="225"/>
      <c r="P33" s="224"/>
      <c r="Q33" s="216"/>
      <c r="R33" s="216"/>
      <c r="S33" s="216"/>
      <c r="T33" s="215"/>
      <c r="U33" s="224"/>
      <c r="V33" s="215"/>
      <c r="Y33" s="224"/>
      <c r="Z33" s="224"/>
    </row>
    <row r="34" spans="1:26" ht="3.75" customHeight="1" thickBot="1" x14ac:dyDescent="0.3">
      <c r="O34" s="225"/>
      <c r="P34" s="224"/>
      <c r="Q34" s="216"/>
      <c r="R34" s="216"/>
      <c r="S34" s="216"/>
      <c r="T34" s="215"/>
      <c r="U34" s="224"/>
      <c r="V34" s="215"/>
      <c r="Y34" s="224"/>
      <c r="Z34" s="224"/>
    </row>
    <row r="35" spans="1:26" ht="15.75" customHeight="1" x14ac:dyDescent="0.25">
      <c r="A35" s="412" t="s">
        <v>37</v>
      </c>
      <c r="B35" s="413"/>
      <c r="O35" s="225"/>
      <c r="P35" s="224"/>
      <c r="Q35" s="216"/>
      <c r="R35" s="216"/>
      <c r="S35" s="216"/>
      <c r="T35" s="215"/>
      <c r="U35" s="224"/>
      <c r="V35" s="215"/>
      <c r="Y35" s="224"/>
      <c r="Z35" s="224"/>
    </row>
    <row r="36" spans="1:26" ht="16.5" thickBot="1" x14ac:dyDescent="0.3">
      <c r="A36" s="233" t="s">
        <v>38</v>
      </c>
      <c r="B36" s="234" t="s">
        <v>39</v>
      </c>
      <c r="O36" s="225"/>
      <c r="P36" s="224"/>
      <c r="Q36" s="216"/>
      <c r="R36" s="216"/>
      <c r="S36" s="216"/>
      <c r="T36" s="215"/>
      <c r="U36" s="224"/>
      <c r="V36" s="215"/>
      <c r="Y36" s="224"/>
      <c r="Z36" s="224"/>
    </row>
    <row r="37" spans="1:26" ht="14.25" customHeight="1" x14ac:dyDescent="0.25">
      <c r="A37" s="235" t="s">
        <v>40</v>
      </c>
      <c r="B37" s="236">
        <v>45</v>
      </c>
      <c r="C37" s="425" t="s">
        <v>680</v>
      </c>
      <c r="D37" s="426"/>
      <c r="E37" s="376" t="s">
        <v>67</v>
      </c>
      <c r="O37" s="225"/>
      <c r="P37" s="224"/>
      <c r="Q37" s="216"/>
      <c r="R37" s="216"/>
      <c r="S37" s="216"/>
      <c r="T37" s="215"/>
      <c r="U37" s="224"/>
      <c r="V37" s="215"/>
      <c r="Y37" s="224"/>
      <c r="Z37" s="224"/>
    </row>
    <row r="38" spans="1:26" ht="14.25" customHeight="1" x14ac:dyDescent="0.25">
      <c r="A38" s="235" t="s">
        <v>41</v>
      </c>
      <c r="B38" s="236"/>
      <c r="C38" s="427" t="s">
        <v>680</v>
      </c>
      <c r="D38" s="428"/>
      <c r="E38" s="377" t="s">
        <v>67</v>
      </c>
      <c r="O38" s="225"/>
      <c r="P38" s="224"/>
      <c r="Q38" s="216"/>
      <c r="R38" s="216"/>
      <c r="S38" s="216"/>
      <c r="T38" s="215"/>
      <c r="U38" s="224"/>
      <c r="V38" s="215"/>
      <c r="Y38" s="224"/>
      <c r="Z38" s="224"/>
    </row>
    <row r="39" spans="1:26" ht="14.25" customHeight="1" x14ac:dyDescent="0.25">
      <c r="A39" s="235" t="s">
        <v>42</v>
      </c>
      <c r="B39" s="236"/>
      <c r="C39" s="427" t="s">
        <v>680</v>
      </c>
      <c r="D39" s="428"/>
      <c r="E39" s="377" t="s">
        <v>62</v>
      </c>
      <c r="O39" s="225"/>
      <c r="P39" s="224"/>
      <c r="Q39" s="216"/>
      <c r="R39" s="216"/>
      <c r="S39" s="216"/>
      <c r="T39" s="215"/>
      <c r="U39" s="224"/>
      <c r="V39" s="215"/>
      <c r="Y39" s="224"/>
      <c r="Z39" s="224"/>
    </row>
    <row r="40" spans="1:26" ht="14.25" customHeight="1" x14ac:dyDescent="0.25">
      <c r="A40" s="235" t="s">
        <v>43</v>
      </c>
      <c r="B40" s="236"/>
      <c r="C40" s="427" t="s">
        <v>680</v>
      </c>
      <c r="D40" s="428"/>
      <c r="E40" s="377" t="s">
        <v>62</v>
      </c>
      <c r="O40" s="216"/>
      <c r="P40" s="216"/>
      <c r="Q40" s="216"/>
      <c r="R40" s="216"/>
      <c r="S40" s="216"/>
      <c r="T40" s="215"/>
      <c r="U40" s="224"/>
      <c r="V40" s="215"/>
      <c r="Y40" s="224"/>
      <c r="Z40" s="224"/>
    </row>
    <row r="41" spans="1:26" ht="14.25" customHeight="1" x14ac:dyDescent="0.25">
      <c r="A41" s="235" t="s">
        <v>44</v>
      </c>
      <c r="B41" s="236"/>
      <c r="C41" s="427" t="s">
        <v>680</v>
      </c>
      <c r="D41" s="428"/>
      <c r="E41" s="377"/>
      <c r="O41" s="216"/>
      <c r="P41" s="216"/>
      <c r="Q41" s="216"/>
      <c r="R41" s="216"/>
      <c r="S41" s="216"/>
      <c r="T41" s="215"/>
      <c r="U41" s="224"/>
      <c r="V41" s="215"/>
      <c r="Y41" s="224"/>
      <c r="Z41" s="224"/>
    </row>
    <row r="42" spans="1:26" ht="14.25" customHeight="1" x14ac:dyDescent="0.25">
      <c r="A42" s="235" t="s">
        <v>45</v>
      </c>
      <c r="B42" s="236"/>
      <c r="C42" s="427" t="s">
        <v>680</v>
      </c>
      <c r="D42" s="428"/>
      <c r="E42" s="377"/>
      <c r="O42" s="216"/>
      <c r="P42" s="216"/>
      <c r="Q42" s="216"/>
      <c r="R42" s="216"/>
      <c r="S42" s="216"/>
      <c r="T42" s="215"/>
      <c r="U42" s="224"/>
      <c r="V42" s="215"/>
      <c r="Y42" s="224"/>
      <c r="Z42" s="224"/>
    </row>
    <row r="43" spans="1:26" ht="14.25" customHeight="1" x14ac:dyDescent="0.25">
      <c r="A43" s="235" t="s">
        <v>46</v>
      </c>
      <c r="B43" s="236"/>
      <c r="C43" s="427" t="s">
        <v>680</v>
      </c>
      <c r="D43" s="428"/>
      <c r="E43" s="377"/>
      <c r="O43" s="216"/>
      <c r="P43" s="216"/>
      <c r="Q43" s="216"/>
      <c r="R43" s="216"/>
      <c r="S43" s="216"/>
      <c r="T43" s="215"/>
      <c r="U43" s="224"/>
      <c r="V43" s="215"/>
      <c r="Y43" s="224"/>
      <c r="Z43" s="224"/>
    </row>
    <row r="44" spans="1:26" ht="14.25" customHeight="1" thickBot="1" x14ac:dyDescent="0.3">
      <c r="A44" s="237" t="s">
        <v>47</v>
      </c>
      <c r="B44" s="236"/>
      <c r="C44" s="434" t="s">
        <v>680</v>
      </c>
      <c r="D44" s="435"/>
      <c r="E44" s="378"/>
      <c r="O44" s="216"/>
      <c r="P44" s="216"/>
      <c r="Q44" s="216"/>
      <c r="R44" s="216"/>
      <c r="S44" s="216"/>
      <c r="T44" s="215"/>
      <c r="U44" s="224"/>
      <c r="V44" s="215"/>
      <c r="Y44" s="224"/>
      <c r="Z44" s="224"/>
    </row>
    <row r="45" spans="1:26" s="324" customFormat="1" ht="16.5" thickBot="1" x14ac:dyDescent="0.3"/>
    <row r="46" spans="1:26" ht="60" customHeight="1" x14ac:dyDescent="0.25">
      <c r="A46" s="430" t="s">
        <v>48</v>
      </c>
      <c r="B46" s="432" t="s">
        <v>25</v>
      </c>
      <c r="C46" s="408" t="s">
        <v>49</v>
      </c>
      <c r="O46" s="216"/>
      <c r="P46" s="216"/>
      <c r="Q46" s="216"/>
      <c r="R46" s="216"/>
      <c r="S46" s="216"/>
      <c r="T46" s="215"/>
      <c r="U46" s="224"/>
      <c r="V46" s="215"/>
      <c r="Y46" s="224"/>
      <c r="Z46" s="224"/>
    </row>
    <row r="47" spans="1:26" ht="21.75" customHeight="1" x14ac:dyDescent="0.25">
      <c r="A47" s="431"/>
      <c r="B47" s="433"/>
      <c r="C47" s="409"/>
      <c r="O47" s="216"/>
      <c r="P47" s="216"/>
      <c r="Q47" s="216"/>
      <c r="R47" s="216"/>
      <c r="S47" s="216"/>
      <c r="T47" s="215"/>
      <c r="U47" s="224"/>
      <c r="V47" s="215"/>
      <c r="Y47" s="224"/>
      <c r="Z47" s="224"/>
    </row>
    <row r="48" spans="1:26" ht="14.25" customHeight="1" x14ac:dyDescent="0.25">
      <c r="A48" s="235" t="s">
        <v>50</v>
      </c>
      <c r="B48" s="300" t="s">
        <v>131</v>
      </c>
      <c r="C48" s="410"/>
      <c r="O48" s="216"/>
      <c r="P48" s="216"/>
      <c r="Q48" s="216"/>
      <c r="R48" s="216"/>
      <c r="S48" s="216"/>
      <c r="T48" s="215"/>
      <c r="U48" s="224"/>
      <c r="V48" s="215"/>
      <c r="Y48" s="224"/>
      <c r="Z48" s="224"/>
    </row>
    <row r="49" spans="1:30" ht="14.25" customHeight="1" x14ac:dyDescent="0.25">
      <c r="A49" s="235" t="s">
        <v>52</v>
      </c>
      <c r="B49" s="300"/>
      <c r="C49" s="410"/>
      <c r="O49" s="216"/>
      <c r="P49" s="216"/>
      <c r="Q49" s="216"/>
      <c r="R49" s="216"/>
      <c r="S49" s="216"/>
      <c r="T49" s="215"/>
      <c r="U49" s="224"/>
      <c r="V49" s="215"/>
      <c r="Y49" s="224"/>
      <c r="Z49" s="224"/>
    </row>
    <row r="50" spans="1:30" ht="14.25" customHeight="1" x14ac:dyDescent="0.25">
      <c r="A50" s="235" t="s">
        <v>53</v>
      </c>
      <c r="B50" s="300"/>
      <c r="C50" s="410"/>
      <c r="E50" s="215"/>
      <c r="O50" s="216"/>
      <c r="P50" s="216"/>
      <c r="Q50" s="216"/>
      <c r="R50" s="216"/>
      <c r="S50" s="216"/>
      <c r="T50" s="215"/>
      <c r="U50" s="224"/>
      <c r="V50" s="215"/>
      <c r="Y50" s="224"/>
      <c r="Z50" s="224"/>
    </row>
    <row r="51" spans="1:30" ht="14.25" customHeight="1" x14ac:dyDescent="0.25">
      <c r="A51" s="235" t="s">
        <v>54</v>
      </c>
      <c r="B51" s="300"/>
      <c r="C51" s="410"/>
      <c r="O51" s="216"/>
      <c r="P51" s="216"/>
      <c r="Q51" s="216"/>
      <c r="R51" s="216"/>
      <c r="S51" s="216"/>
      <c r="T51" s="215"/>
      <c r="U51" s="224"/>
      <c r="V51" s="215"/>
      <c r="Y51" s="224"/>
      <c r="Z51" s="224"/>
    </row>
    <row r="52" spans="1:30" ht="14.25" customHeight="1" x14ac:dyDescent="0.25">
      <c r="A52" s="235" t="s">
        <v>55</v>
      </c>
      <c r="B52" s="300"/>
      <c r="C52" s="410"/>
      <c r="O52" s="216"/>
      <c r="P52" s="216"/>
      <c r="Q52" s="216"/>
      <c r="R52" s="216"/>
      <c r="S52" s="216"/>
      <c r="T52" s="215"/>
      <c r="U52" s="224"/>
      <c r="V52" s="215"/>
      <c r="Y52" s="224"/>
      <c r="Z52" s="224"/>
    </row>
    <row r="53" spans="1:30" ht="14.25" customHeight="1" x14ac:dyDescent="0.25">
      <c r="A53" s="235" t="s">
        <v>56</v>
      </c>
      <c r="B53" s="300"/>
      <c r="C53" s="410"/>
      <c r="O53" s="216"/>
      <c r="P53" s="216"/>
      <c r="Q53" s="216"/>
      <c r="R53" s="216"/>
      <c r="S53" s="216"/>
      <c r="T53" s="215"/>
      <c r="U53" s="224"/>
      <c r="V53" s="215"/>
      <c r="Y53" s="224"/>
      <c r="Z53" s="224"/>
    </row>
    <row r="54" spans="1:30" ht="14.25" customHeight="1" thickBot="1" x14ac:dyDescent="0.3">
      <c r="A54" s="237" t="s">
        <v>57</v>
      </c>
      <c r="B54" s="327"/>
      <c r="C54" s="411"/>
      <c r="O54" s="225"/>
      <c r="P54" s="224"/>
      <c r="Q54" s="216"/>
      <c r="R54" s="216"/>
      <c r="S54" s="216"/>
      <c r="T54" s="215"/>
      <c r="U54" s="224"/>
      <c r="V54" s="215"/>
      <c r="Y54" s="224"/>
      <c r="Z54" s="224"/>
    </row>
    <row r="55" spans="1:30" ht="14.25" customHeight="1" x14ac:dyDescent="0.25">
      <c r="A55" s="328"/>
      <c r="B55" s="240"/>
      <c r="C55" s="240"/>
      <c r="O55" s="225"/>
      <c r="P55" s="224"/>
      <c r="Q55" s="216"/>
      <c r="R55" s="216"/>
      <c r="S55" s="216"/>
      <c r="T55" s="215"/>
      <c r="U55" s="224"/>
      <c r="V55" s="215"/>
      <c r="Y55" s="224"/>
      <c r="Z55" s="224"/>
    </row>
    <row r="56" spans="1:30" ht="14.25" customHeight="1" thickBot="1" x14ac:dyDescent="0.3">
      <c r="C56" s="240"/>
      <c r="O56" s="225"/>
      <c r="P56" s="224"/>
      <c r="Q56" s="216"/>
      <c r="R56" s="216"/>
      <c r="S56" s="216"/>
      <c r="T56" s="215"/>
      <c r="U56" s="224"/>
      <c r="V56" s="215"/>
      <c r="Y56" s="224"/>
      <c r="Z56" s="224"/>
    </row>
    <row r="57" spans="1:30" ht="26.25" customHeight="1" thickBot="1" x14ac:dyDescent="0.3">
      <c r="A57" s="393" t="s">
        <v>58</v>
      </c>
      <c r="B57" s="394"/>
      <c r="C57" s="240"/>
      <c r="O57" s="216"/>
      <c r="P57" s="216"/>
      <c r="Q57" s="216"/>
      <c r="R57" s="216"/>
      <c r="S57" s="216"/>
      <c r="T57" s="215"/>
      <c r="U57" s="224"/>
      <c r="V57" s="215"/>
      <c r="Y57" s="224"/>
      <c r="Z57" s="224"/>
    </row>
    <row r="58" spans="1:30" ht="34.5" customHeight="1" thickBot="1" x14ac:dyDescent="0.3">
      <c r="A58" s="412" t="s">
        <v>59</v>
      </c>
      <c r="B58" s="413"/>
      <c r="C58" s="436" t="s">
        <v>60</v>
      </c>
      <c r="D58" s="437"/>
      <c r="E58" s="437"/>
      <c r="F58" s="437"/>
      <c r="G58" s="437"/>
      <c r="H58" s="438"/>
      <c r="O58" s="216"/>
      <c r="P58" s="216"/>
      <c r="Q58" s="216"/>
      <c r="R58" s="216"/>
      <c r="S58" s="216"/>
      <c r="T58" s="215"/>
      <c r="U58" s="224"/>
      <c r="V58" s="215"/>
      <c r="Y58" s="224"/>
      <c r="Z58" s="224"/>
    </row>
    <row r="59" spans="1:30" ht="62.25" customHeight="1" thickBot="1" x14ac:dyDescent="0.3">
      <c r="A59" s="292" t="s">
        <v>61</v>
      </c>
      <c r="B59" s="334" t="s">
        <v>67</v>
      </c>
      <c r="C59" s="331" t="s">
        <v>64</v>
      </c>
      <c r="D59" s="341">
        <v>1</v>
      </c>
      <c r="E59" s="331" t="s">
        <v>63</v>
      </c>
      <c r="F59" s="341">
        <v>0</v>
      </c>
      <c r="G59" s="381" t="s">
        <v>65</v>
      </c>
      <c r="H59" s="342">
        <v>0</v>
      </c>
      <c r="O59" s="216"/>
      <c r="P59" s="216"/>
      <c r="Q59" s="216"/>
      <c r="R59" s="216"/>
      <c r="S59" s="216"/>
      <c r="T59" s="215"/>
      <c r="U59" s="224"/>
      <c r="V59" s="215"/>
      <c r="Y59" s="224"/>
      <c r="Z59" s="224"/>
    </row>
    <row r="60" spans="1:30" ht="9" customHeight="1" thickBot="1" x14ac:dyDescent="0.3">
      <c r="A60" s="306"/>
      <c r="B60" s="335"/>
      <c r="O60" s="225"/>
      <c r="P60" s="224"/>
      <c r="Q60" s="216"/>
      <c r="R60" s="216"/>
      <c r="S60" s="216"/>
      <c r="T60" s="215"/>
      <c r="U60" s="224"/>
      <c r="V60" s="215"/>
      <c r="Y60" s="224"/>
      <c r="Z60" s="224"/>
    </row>
    <row r="61" spans="1:30" ht="57.75" customHeight="1" thickBot="1" x14ac:dyDescent="0.3">
      <c r="A61" s="307" t="s">
        <v>66</v>
      </c>
      <c r="B61" s="336" t="s">
        <v>67</v>
      </c>
      <c r="C61" s="379" t="s">
        <v>682</v>
      </c>
      <c r="D61" s="380">
        <v>1</v>
      </c>
      <c r="E61" s="307" t="s">
        <v>68</v>
      </c>
      <c r="F61" s="343">
        <v>1</v>
      </c>
      <c r="G61" s="333" t="s">
        <v>69</v>
      </c>
      <c r="H61" s="332">
        <v>100</v>
      </c>
      <c r="K61" s="225"/>
      <c r="L61" s="224"/>
      <c r="M61" s="216"/>
      <c r="N61" s="216"/>
      <c r="O61" s="216"/>
      <c r="P61" s="215"/>
      <c r="Q61" s="224"/>
      <c r="R61" s="215"/>
      <c r="S61" s="215"/>
      <c r="T61" s="215"/>
      <c r="U61" s="224"/>
      <c r="V61" s="224"/>
      <c r="Y61" s="215"/>
      <c r="Z61" s="216"/>
      <c r="AA61" s="149"/>
      <c r="AB61" s="149"/>
      <c r="AC61" s="149"/>
      <c r="AD61" s="149"/>
    </row>
    <row r="62" spans="1:30" ht="19.5" customHeight="1" thickBot="1" x14ac:dyDescent="0.3">
      <c r="A62" s="308"/>
      <c r="B62" s="309"/>
      <c r="K62" s="225"/>
      <c r="L62" s="224"/>
      <c r="M62" s="216"/>
      <c r="N62" s="216"/>
      <c r="O62" s="216"/>
      <c r="P62" s="215"/>
      <c r="Q62" s="224"/>
      <c r="R62" s="215"/>
      <c r="S62" s="215"/>
      <c r="T62" s="215"/>
      <c r="U62" s="224"/>
      <c r="V62" s="224"/>
      <c r="Y62" s="215"/>
      <c r="Z62" s="216"/>
      <c r="AA62" s="149"/>
      <c r="AB62" s="149"/>
      <c r="AC62" s="149"/>
      <c r="AD62" s="149"/>
    </row>
    <row r="63" spans="1:30" ht="30" customHeight="1" thickBot="1" x14ac:dyDescent="0.3">
      <c r="A63" s="412" t="s">
        <v>70</v>
      </c>
      <c r="B63" s="413"/>
      <c r="K63" s="225"/>
      <c r="L63" s="224"/>
      <c r="M63" s="216"/>
      <c r="N63" s="216"/>
      <c r="P63" s="215"/>
      <c r="Q63" s="224"/>
      <c r="R63" s="215"/>
      <c r="S63" s="215"/>
      <c r="T63" s="215"/>
      <c r="U63" s="224"/>
      <c r="V63" s="224"/>
      <c r="Y63" s="215"/>
      <c r="Z63" s="216"/>
      <c r="AA63" s="149"/>
      <c r="AB63" s="149"/>
      <c r="AC63" s="149"/>
      <c r="AD63" s="149"/>
    </row>
    <row r="64" spans="1:30" ht="39.75" customHeight="1" thickBot="1" x14ac:dyDescent="0.3">
      <c r="A64" s="319" t="s">
        <v>71</v>
      </c>
      <c r="B64" s="238" t="s">
        <v>62</v>
      </c>
      <c r="C64" s="331" t="s">
        <v>72</v>
      </c>
      <c r="D64" s="342"/>
      <c r="K64" s="225"/>
      <c r="L64" s="224"/>
      <c r="M64" s="216"/>
      <c r="N64" s="216"/>
      <c r="O64" s="216"/>
      <c r="P64" s="215"/>
      <c r="Q64" s="224"/>
      <c r="R64" s="215"/>
      <c r="S64" s="215"/>
      <c r="T64" s="215"/>
      <c r="U64" s="224"/>
      <c r="V64" s="224"/>
      <c r="Y64" s="215"/>
      <c r="Z64" s="216"/>
      <c r="AA64" s="149"/>
      <c r="AB64" s="149"/>
      <c r="AC64" s="149"/>
      <c r="AD64" s="149"/>
    </row>
    <row r="65" spans="1:30" ht="8.25" customHeight="1" thickBot="1" x14ac:dyDescent="0.3">
      <c r="B65" s="325"/>
      <c r="K65" s="225"/>
      <c r="L65" s="224"/>
      <c r="M65" s="216"/>
      <c r="N65" s="216"/>
      <c r="O65" s="216"/>
      <c r="P65" s="215"/>
      <c r="Q65" s="224"/>
      <c r="R65" s="215"/>
      <c r="S65" s="215"/>
      <c r="T65" s="215"/>
      <c r="U65" s="224"/>
      <c r="V65" s="224"/>
      <c r="Y65" s="215"/>
      <c r="Z65" s="216"/>
      <c r="AA65" s="149"/>
      <c r="AB65" s="149"/>
      <c r="AC65" s="149"/>
      <c r="AD65" s="149"/>
    </row>
    <row r="66" spans="1:30" ht="43.5" customHeight="1" thickBot="1" x14ac:dyDescent="0.3">
      <c r="A66" s="307" t="s">
        <v>73</v>
      </c>
      <c r="B66" s="317" t="s">
        <v>62</v>
      </c>
      <c r="C66" s="373" t="s">
        <v>74</v>
      </c>
      <c r="D66" s="372"/>
      <c r="E66" s="318" t="s">
        <v>75</v>
      </c>
      <c r="F66" s="303"/>
      <c r="O66" s="225"/>
      <c r="P66" s="224"/>
      <c r="Q66" s="216"/>
      <c r="R66" s="216"/>
      <c r="S66" s="216"/>
      <c r="T66" s="215"/>
      <c r="U66" s="224"/>
      <c r="V66" s="215"/>
      <c r="Y66" s="224"/>
      <c r="Z66" s="224"/>
    </row>
    <row r="67" spans="1:30" ht="12.75" customHeight="1" thickBot="1" x14ac:dyDescent="0.3">
      <c r="A67" s="352"/>
      <c r="B67" s="353"/>
      <c r="C67" s="240"/>
      <c r="O67" s="225"/>
      <c r="P67" s="224"/>
      <c r="Q67" s="216"/>
      <c r="R67" s="216"/>
      <c r="S67" s="216"/>
      <c r="T67" s="215"/>
      <c r="U67" s="224"/>
      <c r="V67" s="215"/>
      <c r="Y67" s="224"/>
      <c r="Z67" s="224"/>
    </row>
    <row r="68" spans="1:30" ht="23.25" customHeight="1" thickBot="1" x14ac:dyDescent="0.3">
      <c r="A68" s="420" t="s">
        <v>76</v>
      </c>
      <c r="B68" s="421"/>
      <c r="C68" s="421"/>
      <c r="D68" s="422"/>
      <c r="O68" s="225"/>
      <c r="P68" s="224"/>
      <c r="Q68" s="216"/>
      <c r="R68" s="216"/>
      <c r="S68" s="216"/>
      <c r="T68" s="215"/>
      <c r="U68" s="224"/>
      <c r="V68" s="215"/>
      <c r="Y68" s="224"/>
      <c r="Z68" s="224"/>
    </row>
    <row r="69" spans="1:30" ht="48" customHeight="1" thickBot="1" x14ac:dyDescent="0.3">
      <c r="A69" s="354" t="s">
        <v>77</v>
      </c>
      <c r="B69" s="355">
        <v>500</v>
      </c>
      <c r="C69" s="418" t="s">
        <v>78</v>
      </c>
      <c r="D69" s="419"/>
      <c r="O69" s="225"/>
      <c r="P69" s="224"/>
      <c r="Q69" s="216"/>
      <c r="R69" s="216"/>
      <c r="S69" s="216"/>
      <c r="T69" s="215"/>
      <c r="U69" s="224"/>
      <c r="V69" s="215"/>
      <c r="Y69" s="224"/>
      <c r="Z69" s="224"/>
    </row>
    <row r="70" spans="1:30" ht="56.25" customHeight="1" thickBot="1" x14ac:dyDescent="0.3">
      <c r="A70" s="374" t="s">
        <v>674</v>
      </c>
      <c r="B70" s="375" t="s">
        <v>673</v>
      </c>
      <c r="C70" s="241" t="s">
        <v>675</v>
      </c>
      <c r="D70" s="356">
        <v>500</v>
      </c>
      <c r="O70" s="225"/>
      <c r="P70" s="224"/>
      <c r="Q70" s="216"/>
      <c r="R70" s="216"/>
      <c r="S70" s="216"/>
      <c r="T70" s="215"/>
      <c r="U70" s="224"/>
      <c r="V70" s="215"/>
      <c r="Y70" s="224"/>
      <c r="Z70" s="224"/>
    </row>
    <row r="71" spans="1:30" ht="14.25" customHeight="1" thickBot="1" x14ac:dyDescent="0.3">
      <c r="A71" s="239"/>
      <c r="O71" s="225"/>
      <c r="P71" s="224"/>
      <c r="Q71" s="216"/>
      <c r="R71" s="216"/>
      <c r="S71" s="216"/>
      <c r="T71" s="215"/>
      <c r="U71" s="224"/>
      <c r="V71" s="215"/>
      <c r="Y71" s="224"/>
      <c r="Z71" s="224"/>
    </row>
    <row r="72" spans="1:30" ht="33" customHeight="1" thickBot="1" x14ac:dyDescent="0.3">
      <c r="A72" s="241" t="s">
        <v>79</v>
      </c>
      <c r="B72" s="375" t="s">
        <v>679</v>
      </c>
      <c r="C72" s="326" t="s">
        <v>80</v>
      </c>
      <c r="O72" s="225"/>
      <c r="P72" s="224"/>
      <c r="Q72" s="216"/>
      <c r="R72" s="216"/>
      <c r="S72" s="216"/>
      <c r="T72" s="215"/>
      <c r="U72" s="224"/>
      <c r="V72" s="215"/>
      <c r="Y72" s="224"/>
      <c r="Z72" s="224"/>
    </row>
    <row r="73" spans="1:30" ht="16.5" thickBot="1" x14ac:dyDescent="0.3">
      <c r="A73" s="240"/>
      <c r="B73" s="240"/>
    </row>
    <row r="74" spans="1:30" ht="33.75" customHeight="1" x14ac:dyDescent="0.25">
      <c r="A74" s="297" t="s">
        <v>81</v>
      </c>
      <c r="B74" s="294"/>
      <c r="O74" s="225"/>
      <c r="P74" s="224"/>
      <c r="Q74" s="216"/>
      <c r="R74" s="216"/>
      <c r="S74" s="216"/>
      <c r="T74" s="215"/>
      <c r="U74" s="224"/>
      <c r="V74" s="215"/>
      <c r="Y74" s="224"/>
      <c r="Z74" s="224"/>
    </row>
    <row r="75" spans="1:30" ht="33.75" customHeight="1" x14ac:dyDescent="0.25">
      <c r="A75" s="388"/>
      <c r="B75" s="253"/>
      <c r="O75" s="225"/>
      <c r="P75" s="224"/>
      <c r="Q75" s="216"/>
      <c r="R75" s="216"/>
      <c r="S75" s="216"/>
      <c r="T75" s="215"/>
      <c r="U75" s="224"/>
      <c r="V75" s="215"/>
      <c r="Y75" s="224"/>
      <c r="Z75" s="224"/>
    </row>
    <row r="76" spans="1:30" ht="32.25" customHeight="1" thickBot="1" x14ac:dyDescent="0.4">
      <c r="A76" s="429" t="s">
        <v>696</v>
      </c>
      <c r="B76" s="429"/>
      <c r="C76" s="429"/>
      <c r="O76" s="225"/>
      <c r="P76" s="224"/>
      <c r="Q76" s="216"/>
      <c r="R76" s="216"/>
      <c r="S76" s="216"/>
      <c r="T76" s="215"/>
      <c r="U76" s="224"/>
      <c r="V76" s="215"/>
      <c r="Y76" s="224"/>
      <c r="Z76" s="224"/>
    </row>
    <row r="77" spans="1:30" ht="32.25" customHeight="1" thickBot="1" x14ac:dyDescent="0.3">
      <c r="A77" s="295" t="s">
        <v>82</v>
      </c>
      <c r="B77" s="296">
        <v>1289</v>
      </c>
      <c r="C77" s="305" t="s">
        <v>83</v>
      </c>
      <c r="D77" s="387" t="s">
        <v>695</v>
      </c>
      <c r="O77" s="225"/>
      <c r="P77" s="224"/>
      <c r="Q77" s="216"/>
      <c r="R77" s="216"/>
      <c r="S77" s="216"/>
      <c r="T77" s="215"/>
      <c r="U77" s="224"/>
      <c r="V77" s="215"/>
      <c r="Y77" s="224"/>
      <c r="Z77" s="224"/>
    </row>
    <row r="78" spans="1:30" ht="35.25" customHeight="1" thickBot="1" x14ac:dyDescent="0.3">
      <c r="A78" s="295" t="s">
        <v>84</v>
      </c>
      <c r="B78" s="296">
        <v>1289</v>
      </c>
      <c r="C78" s="305" t="s">
        <v>83</v>
      </c>
      <c r="O78" s="225"/>
      <c r="P78" s="224"/>
      <c r="Q78" s="216"/>
      <c r="R78" s="216"/>
      <c r="S78" s="216"/>
      <c r="T78" s="215"/>
      <c r="U78" s="224"/>
      <c r="V78" s="215"/>
      <c r="Y78" s="224"/>
      <c r="Z78" s="224"/>
    </row>
    <row r="79" spans="1:30" ht="0.75" customHeight="1" thickBot="1" x14ac:dyDescent="0.3">
      <c r="O79" s="225"/>
      <c r="P79" s="224"/>
      <c r="Q79" s="216"/>
      <c r="R79" s="216"/>
      <c r="S79" s="216"/>
      <c r="T79" s="215"/>
      <c r="U79" s="224"/>
      <c r="V79" s="215"/>
      <c r="Y79" s="224"/>
      <c r="Z79" s="224"/>
    </row>
    <row r="80" spans="1:30" ht="51.75" customHeight="1" thickBot="1" x14ac:dyDescent="0.3">
      <c r="A80" s="357" t="s">
        <v>85</v>
      </c>
      <c r="B80" s="358" t="s">
        <v>62</v>
      </c>
      <c r="C80" s="357" t="s">
        <v>698</v>
      </c>
      <c r="D80" s="359">
        <v>0</v>
      </c>
      <c r="O80" s="225"/>
      <c r="P80" s="224"/>
      <c r="Q80" s="216"/>
      <c r="R80" s="216"/>
      <c r="S80" s="216"/>
      <c r="T80" s="215"/>
      <c r="U80" s="224"/>
      <c r="V80" s="215"/>
      <c r="Y80" s="224"/>
      <c r="Z80" s="224"/>
    </row>
    <row r="81" spans="1:30" ht="14.25" customHeight="1" x14ac:dyDescent="0.25">
      <c r="B81" s="253"/>
      <c r="O81" s="225"/>
      <c r="P81" s="224"/>
      <c r="Q81" s="216"/>
      <c r="R81" s="216"/>
      <c r="S81" s="216"/>
      <c r="T81" s="215"/>
      <c r="U81" s="224"/>
      <c r="V81" s="215"/>
      <c r="Y81" s="224"/>
      <c r="Z81" s="224"/>
    </row>
    <row r="82" spans="1:30" ht="32.25" customHeight="1" thickBot="1" x14ac:dyDescent="0.4">
      <c r="A82" s="429" t="s">
        <v>697</v>
      </c>
      <c r="B82" s="429"/>
      <c r="C82" s="429"/>
      <c r="O82" s="225"/>
      <c r="P82" s="224"/>
      <c r="Q82" s="216"/>
      <c r="R82" s="216"/>
      <c r="S82" s="216"/>
      <c r="T82" s="215"/>
      <c r="U82" s="224"/>
      <c r="V82" s="215"/>
      <c r="Y82" s="224"/>
      <c r="Z82" s="224"/>
    </row>
    <row r="83" spans="1:30" ht="32.25" customHeight="1" thickBot="1" x14ac:dyDescent="0.3">
      <c r="A83" s="295" t="s">
        <v>82</v>
      </c>
      <c r="B83" s="296"/>
      <c r="C83" s="305" t="s">
        <v>83</v>
      </c>
      <c r="D83" s="387" t="s">
        <v>695</v>
      </c>
      <c r="O83" s="225"/>
      <c r="P83" s="224"/>
      <c r="Q83" s="216"/>
      <c r="R83" s="216"/>
      <c r="S83" s="216"/>
      <c r="T83" s="215"/>
      <c r="U83" s="224"/>
      <c r="V83" s="215"/>
      <c r="Y83" s="224"/>
      <c r="Z83" s="224"/>
    </row>
    <row r="84" spans="1:30" ht="35.25" customHeight="1" thickBot="1" x14ac:dyDescent="0.3">
      <c r="A84" s="295" t="s">
        <v>84</v>
      </c>
      <c r="B84" s="296"/>
      <c r="C84" s="305" t="s">
        <v>83</v>
      </c>
      <c r="O84" s="225"/>
      <c r="P84" s="224"/>
      <c r="Q84" s="216"/>
      <c r="R84" s="216"/>
      <c r="S84" s="216"/>
      <c r="T84" s="215"/>
      <c r="U84" s="224"/>
      <c r="V84" s="215"/>
      <c r="Y84" s="224"/>
      <c r="Z84" s="224"/>
    </row>
    <row r="85" spans="1:30" ht="0.75" customHeight="1" thickBot="1" x14ac:dyDescent="0.3">
      <c r="O85" s="225"/>
      <c r="P85" s="224"/>
      <c r="Q85" s="216"/>
      <c r="R85" s="216"/>
      <c r="S85" s="216"/>
      <c r="T85" s="215"/>
      <c r="U85" s="224"/>
      <c r="V85" s="215"/>
      <c r="Y85" s="224"/>
      <c r="Z85" s="224"/>
    </row>
    <row r="86" spans="1:30" ht="48.75" customHeight="1" thickBot="1" x14ac:dyDescent="0.3">
      <c r="A86" s="357" t="s">
        <v>85</v>
      </c>
      <c r="B86" s="358" t="s">
        <v>62</v>
      </c>
      <c r="C86" s="357" t="s">
        <v>699</v>
      </c>
      <c r="D86" s="359">
        <v>0</v>
      </c>
      <c r="O86" s="225"/>
      <c r="P86" s="224"/>
      <c r="Q86" s="216"/>
      <c r="R86" s="216"/>
      <c r="S86" s="216"/>
      <c r="T86" s="215"/>
      <c r="U86" s="224"/>
      <c r="V86" s="215"/>
      <c r="Y86" s="224"/>
      <c r="Z86" s="224"/>
    </row>
    <row r="87" spans="1:30" ht="4.5" customHeight="1" x14ac:dyDescent="0.25">
      <c r="B87" s="253"/>
      <c r="O87" s="225"/>
      <c r="P87" s="224"/>
      <c r="Q87" s="216"/>
      <c r="R87" s="216"/>
      <c r="S87" s="216"/>
      <c r="T87" s="215"/>
      <c r="U87" s="224"/>
      <c r="V87" s="215"/>
      <c r="Y87" s="224"/>
      <c r="Z87" s="224"/>
    </row>
    <row r="88" spans="1:30" ht="14.25" customHeight="1" thickBot="1" x14ac:dyDescent="0.3">
      <c r="A88" s="253"/>
      <c r="B88" s="253"/>
      <c r="P88" s="224"/>
      <c r="Q88" s="216"/>
      <c r="R88" s="216"/>
      <c r="S88" s="216"/>
      <c r="T88" s="215"/>
      <c r="U88" s="224"/>
      <c r="V88" s="215"/>
      <c r="Y88" s="224"/>
      <c r="Z88" s="224"/>
    </row>
    <row r="89" spans="1:30" s="273" customFormat="1" ht="55.5" customHeight="1" thickBot="1" x14ac:dyDescent="0.3">
      <c r="A89" s="398" t="s">
        <v>97</v>
      </c>
      <c r="B89" s="399"/>
      <c r="C89" s="242" t="s">
        <v>86</v>
      </c>
      <c r="D89" s="243" t="s">
        <v>87</v>
      </c>
      <c r="E89" s="244" t="s">
        <v>88</v>
      </c>
      <c r="F89" s="245" t="s">
        <v>89</v>
      </c>
      <c r="G89" s="246" t="s">
        <v>90</v>
      </c>
      <c r="H89" s="310" t="s">
        <v>91</v>
      </c>
      <c r="I89" s="310" t="s">
        <v>92</v>
      </c>
      <c r="J89" s="310" t="s">
        <v>93</v>
      </c>
      <c r="K89" s="247" t="s">
        <v>94</v>
      </c>
      <c r="L89" s="247" t="s">
        <v>95</v>
      </c>
      <c r="M89" s="248" t="s">
        <v>96</v>
      </c>
      <c r="N89" s="249"/>
      <c r="P89" s="274"/>
      <c r="Q89" s="275"/>
      <c r="R89" s="275"/>
      <c r="S89" s="275"/>
      <c r="T89" s="276"/>
      <c r="U89" s="274"/>
      <c r="V89" s="276"/>
      <c r="W89" s="276"/>
      <c r="X89" s="276"/>
      <c r="Y89" s="274"/>
      <c r="Z89" s="274"/>
      <c r="AA89" s="276"/>
      <c r="AB89" s="276"/>
      <c r="AC89" s="276"/>
      <c r="AD89" s="275"/>
    </row>
    <row r="90" spans="1:30" s="278" customFormat="1" ht="33.75" customHeight="1" x14ac:dyDescent="0.25">
      <c r="A90" s="265" t="s">
        <v>99</v>
      </c>
      <c r="B90" s="266">
        <f>B77+B83</f>
        <v>1289</v>
      </c>
      <c r="C90" s="270">
        <f>SUM(E90:M90)</f>
        <v>2281.3041666666668</v>
      </c>
      <c r="D90" s="271">
        <f>SUM(E90:M90)+B90</f>
        <v>3570.3041666666668</v>
      </c>
      <c r="E90" s="267">
        <f>'Child care subsidy'!S208</f>
        <v>0</v>
      </c>
      <c r="F90" s="268">
        <f>EITC!E208/12</f>
        <v>424.25416666666666</v>
      </c>
      <c r="G90" s="268">
        <f>'Health insurance subsidy '!L220</f>
        <v>0</v>
      </c>
      <c r="H90" s="268">
        <f>'Housing Voucher'!Q209</f>
        <v>590.29999999999995</v>
      </c>
      <c r="I90" s="268">
        <f>Medicaid!N212</f>
        <v>835.75</v>
      </c>
      <c r="J90" s="268">
        <f>SNAP!V209</f>
        <v>431</v>
      </c>
      <c r="K90" s="268">
        <f>MAX('TANF-VIEW'!L212,'TANF-VIEW'!T212)</f>
        <v>0</v>
      </c>
      <c r="L90" s="268">
        <f>'TANF-VIEW'!T212</f>
        <v>0</v>
      </c>
      <c r="M90" s="269">
        <f>WIC!F211</f>
        <v>0</v>
      </c>
      <c r="N90" s="272" t="s">
        <v>98</v>
      </c>
      <c r="P90" s="279"/>
      <c r="Q90" s="280"/>
      <c r="R90" s="280"/>
      <c r="S90" s="280"/>
      <c r="T90" s="281"/>
      <c r="U90" s="279"/>
      <c r="V90" s="281"/>
      <c r="W90" s="281"/>
      <c r="X90" s="281"/>
      <c r="Y90" s="279"/>
      <c r="Z90" s="279"/>
      <c r="AA90" s="281"/>
      <c r="AB90" s="281"/>
      <c r="AC90" s="281"/>
      <c r="AD90" s="280"/>
    </row>
    <row r="91" spans="1:30" ht="37.5" customHeight="1" thickBot="1" x14ac:dyDescent="0.3">
      <c r="A91" s="288" t="s">
        <v>101</v>
      </c>
      <c r="B91" s="287">
        <f>B78+B84</f>
        <v>1289</v>
      </c>
      <c r="C91" s="270">
        <f>SUM(E91:M91)</f>
        <v>2281.3041666666668</v>
      </c>
      <c r="D91" s="271">
        <f>SUM(E91:M91)+B91</f>
        <v>3570.3041666666668</v>
      </c>
      <c r="E91" s="282">
        <f>'Child care subsidy'!S210</f>
        <v>0</v>
      </c>
      <c r="F91" s="283">
        <f>EITC!E210/12</f>
        <v>424.25416666666666</v>
      </c>
      <c r="G91" s="283">
        <f>'Health insurance subsidy '!L222</f>
        <v>0</v>
      </c>
      <c r="H91" s="283">
        <f>'Housing Voucher'!Q211</f>
        <v>590.29999999999995</v>
      </c>
      <c r="I91" s="283">
        <f>Medicaid!N214</f>
        <v>835.75</v>
      </c>
      <c r="J91" s="283">
        <f>SNAP!V211</f>
        <v>431</v>
      </c>
      <c r="K91" s="283">
        <f>MAX('TANF-VIEW'!L214,'TANF-VIEW'!T214)</f>
        <v>0</v>
      </c>
      <c r="L91" s="283">
        <f>'TANF-VIEW'!T214</f>
        <v>0</v>
      </c>
      <c r="M91" s="284">
        <f>WIC!F213</f>
        <v>0</v>
      </c>
      <c r="N91" s="277" t="s">
        <v>100</v>
      </c>
      <c r="O91" s="225"/>
      <c r="P91" s="224"/>
      <c r="Q91" s="216"/>
      <c r="R91" s="216"/>
      <c r="S91" s="216"/>
      <c r="T91" s="215"/>
      <c r="U91" s="224"/>
      <c r="V91" s="215"/>
      <c r="Y91" s="224"/>
      <c r="Z91" s="224"/>
    </row>
    <row r="92" spans="1:30" ht="30" customHeight="1" thickBot="1" x14ac:dyDescent="0.3">
      <c r="B92" s="250" t="s">
        <v>102</v>
      </c>
      <c r="C92" s="285">
        <f>C91-C90</f>
        <v>0</v>
      </c>
      <c r="D92" s="286">
        <f>D91-D90</f>
        <v>0</v>
      </c>
      <c r="J92" s="215"/>
      <c r="O92" s="225"/>
      <c r="P92" s="224"/>
      <c r="Q92" s="216"/>
      <c r="R92" s="216"/>
      <c r="S92" s="216"/>
      <c r="T92" s="215"/>
      <c r="U92" s="224"/>
      <c r="V92" s="215"/>
      <c r="Y92" s="224"/>
      <c r="Z92" s="224"/>
    </row>
    <row r="93" spans="1:30" ht="14.25" customHeight="1" x14ac:dyDescent="0.25">
      <c r="O93" s="225"/>
      <c r="P93" s="224"/>
      <c r="Q93" s="216"/>
      <c r="R93" s="216"/>
      <c r="S93" s="216"/>
      <c r="T93" s="215"/>
      <c r="U93" s="224"/>
      <c r="V93" s="215"/>
      <c r="Y93" s="224"/>
      <c r="Z93" s="224"/>
    </row>
    <row r="97" spans="1:26" x14ac:dyDescent="0.25">
      <c r="F97" s="215"/>
    </row>
    <row r="98" spans="1:26" ht="15.75" customHeight="1" x14ac:dyDescent="0.25">
      <c r="C98" s="216"/>
      <c r="D98" s="216"/>
      <c r="E98" s="216"/>
      <c r="F98" s="215"/>
      <c r="G98" s="224"/>
      <c r="H98" s="215"/>
      <c r="I98" s="215"/>
      <c r="J98" s="215"/>
      <c r="K98" s="215"/>
      <c r="L98" s="215"/>
      <c r="M98" s="224"/>
      <c r="N98" s="224"/>
      <c r="O98" s="224"/>
      <c r="P98" s="215"/>
      <c r="Q98" s="215"/>
      <c r="R98" s="215"/>
      <c r="S98" s="216"/>
      <c r="T98" s="215"/>
      <c r="U98" s="224"/>
      <c r="V98" s="215"/>
      <c r="Y98" s="224"/>
      <c r="Z98" s="224"/>
    </row>
    <row r="99" spans="1:26" x14ac:dyDescent="0.25">
      <c r="A99" s="223"/>
      <c r="B99" s="220"/>
      <c r="C99" s="251"/>
      <c r="O99" s="225"/>
      <c r="P99" s="224"/>
      <c r="Q99" s="216"/>
      <c r="R99" s="216"/>
      <c r="S99" s="216"/>
      <c r="T99" s="215"/>
      <c r="U99" s="224"/>
      <c r="V99" s="215"/>
      <c r="Y99" s="224"/>
      <c r="Z99" s="224"/>
    </row>
    <row r="100" spans="1:26" x14ac:dyDescent="0.25">
      <c r="F100" s="215"/>
      <c r="O100" s="225"/>
      <c r="P100" s="224"/>
      <c r="Q100" s="216"/>
      <c r="R100" s="216"/>
      <c r="S100" s="216"/>
      <c r="T100" s="215"/>
      <c r="U100" s="224"/>
      <c r="V100" s="215"/>
      <c r="Y100" s="224"/>
      <c r="Z100" s="224"/>
    </row>
    <row r="101" spans="1:26" x14ac:dyDescent="0.25">
      <c r="O101" s="225"/>
      <c r="P101" s="224"/>
      <c r="Q101" s="216"/>
      <c r="R101" s="216"/>
      <c r="S101" s="216"/>
      <c r="T101" s="215"/>
      <c r="U101" s="224"/>
      <c r="V101" s="215"/>
      <c r="Y101" s="224"/>
      <c r="Z101" s="224"/>
    </row>
    <row r="102" spans="1:26" x14ac:dyDescent="0.25">
      <c r="O102" s="225"/>
      <c r="P102" s="224"/>
      <c r="Q102" s="216"/>
      <c r="R102" s="216"/>
      <c r="S102" s="216"/>
      <c r="T102" s="215"/>
      <c r="U102" s="224"/>
      <c r="V102" s="215"/>
      <c r="Y102" s="224"/>
      <c r="Z102" s="224"/>
    </row>
    <row r="103" spans="1:26" x14ac:dyDescent="0.25">
      <c r="O103" s="225"/>
      <c r="P103" s="224"/>
      <c r="Q103" s="216"/>
      <c r="R103" s="216"/>
      <c r="S103" s="216"/>
      <c r="T103" s="215"/>
      <c r="U103" s="224"/>
      <c r="V103" s="215"/>
      <c r="Y103" s="224"/>
      <c r="Z103" s="224"/>
    </row>
    <row r="104" spans="1:26" x14ac:dyDescent="0.25">
      <c r="A104" s="252"/>
      <c r="O104" s="225"/>
      <c r="P104" s="224"/>
      <c r="Q104" s="216"/>
      <c r="R104" s="216"/>
      <c r="S104" s="216"/>
      <c r="T104" s="215"/>
      <c r="U104" s="224"/>
      <c r="V104" s="215"/>
      <c r="Y104" s="224"/>
      <c r="Z104" s="224"/>
    </row>
    <row r="105" spans="1:26" x14ac:dyDescent="0.25">
      <c r="A105" s="252"/>
      <c r="O105" s="225"/>
      <c r="P105" s="224"/>
      <c r="Q105" s="216"/>
      <c r="R105" s="216"/>
      <c r="S105" s="216"/>
      <c r="T105" s="215"/>
      <c r="U105" s="224"/>
      <c r="V105" s="215"/>
      <c r="Y105" s="224"/>
      <c r="Z105" s="224"/>
    </row>
    <row r="106" spans="1:26" x14ac:dyDescent="0.25">
      <c r="O106" s="225"/>
      <c r="P106" s="224"/>
      <c r="Q106" s="216"/>
      <c r="R106" s="216"/>
      <c r="S106" s="216"/>
      <c r="T106" s="215"/>
      <c r="U106" s="224"/>
      <c r="V106" s="215"/>
      <c r="Y106" s="224"/>
      <c r="Z106" s="224"/>
    </row>
    <row r="107" spans="1:26" x14ac:dyDescent="0.25">
      <c r="B107" s="251"/>
      <c r="O107" s="225"/>
      <c r="P107" s="224"/>
      <c r="Q107" s="216"/>
      <c r="R107" s="216"/>
      <c r="S107" s="216"/>
      <c r="T107" s="215"/>
      <c r="U107" s="224"/>
      <c r="V107" s="215"/>
      <c r="Y107" s="224"/>
      <c r="Z107" s="224"/>
    </row>
    <row r="108" spans="1:26" x14ac:dyDescent="0.25">
      <c r="B108" s="251"/>
      <c r="O108" s="225"/>
      <c r="P108" s="224"/>
      <c r="Q108" s="216"/>
      <c r="R108" s="216"/>
      <c r="S108" s="216"/>
      <c r="T108" s="215"/>
      <c r="U108" s="224"/>
      <c r="V108" s="215"/>
      <c r="Y108" s="224"/>
      <c r="Z108" s="224"/>
    </row>
    <row r="109" spans="1:26" x14ac:dyDescent="0.25">
      <c r="O109" s="225"/>
      <c r="P109" s="224"/>
      <c r="Q109" s="216"/>
      <c r="R109" s="216"/>
      <c r="S109" s="216"/>
      <c r="T109" s="215"/>
      <c r="U109" s="224"/>
      <c r="V109" s="215"/>
      <c r="Y109" s="224"/>
      <c r="Z109" s="224"/>
    </row>
    <row r="110" spans="1:26" x14ac:dyDescent="0.25">
      <c r="O110" s="225"/>
      <c r="P110" s="224"/>
      <c r="Q110" s="216"/>
      <c r="R110" s="216"/>
      <c r="S110" s="216"/>
      <c r="T110" s="215"/>
      <c r="U110" s="224"/>
      <c r="V110" s="215"/>
      <c r="Y110" s="224"/>
      <c r="Z110" s="224"/>
    </row>
    <row r="111" spans="1:26" x14ac:dyDescent="0.25">
      <c r="O111" s="225"/>
      <c r="P111" s="224"/>
      <c r="Q111" s="216"/>
      <c r="R111" s="216"/>
      <c r="S111" s="216"/>
      <c r="T111" s="215"/>
      <c r="U111" s="224"/>
      <c r="V111" s="215"/>
      <c r="Y111" s="224"/>
      <c r="Z111" s="224"/>
    </row>
    <row r="112" spans="1:26" x14ac:dyDescent="0.25">
      <c r="O112" s="225"/>
      <c r="P112" s="224"/>
      <c r="Q112" s="216"/>
      <c r="R112" s="216"/>
      <c r="S112" s="216"/>
      <c r="T112" s="215"/>
      <c r="U112" s="224"/>
      <c r="V112" s="215"/>
      <c r="Y112" s="224"/>
      <c r="Z112" s="224"/>
    </row>
    <row r="113" spans="1:26" x14ac:dyDescent="0.25">
      <c r="O113" s="225"/>
      <c r="P113" s="224"/>
      <c r="Q113" s="216"/>
      <c r="R113" s="216"/>
      <c r="S113" s="216"/>
      <c r="T113" s="215"/>
      <c r="U113" s="224"/>
      <c r="V113" s="215"/>
      <c r="Y113" s="224"/>
      <c r="Z113" s="224"/>
    </row>
    <row r="114" spans="1:26" x14ac:dyDescent="0.25">
      <c r="O114" s="225"/>
      <c r="P114" s="224"/>
      <c r="Q114" s="216"/>
      <c r="R114" s="216"/>
      <c r="S114" s="216"/>
      <c r="T114" s="215"/>
      <c r="U114" s="224"/>
      <c r="V114" s="215"/>
      <c r="Y114" s="224"/>
      <c r="Z114" s="224"/>
    </row>
    <row r="119" spans="1:26" x14ac:dyDescent="0.25">
      <c r="A119" s="252"/>
      <c r="B119" s="252" t="s">
        <v>103</v>
      </c>
    </row>
  </sheetData>
  <mergeCells count="33">
    <mergeCell ref="A82:C82"/>
    <mergeCell ref="C42:D42"/>
    <mergeCell ref="C43:D43"/>
    <mergeCell ref="C44:D44"/>
    <mergeCell ref="C58:H58"/>
    <mergeCell ref="C38:D38"/>
    <mergeCell ref="C39:D39"/>
    <mergeCell ref="C40:D40"/>
    <mergeCell ref="C41:D41"/>
    <mergeCell ref="A76:C76"/>
    <mergeCell ref="A46:A47"/>
    <mergeCell ref="B46:B47"/>
    <mergeCell ref="A89:B89"/>
    <mergeCell ref="A6:B6"/>
    <mergeCell ref="C19:D22"/>
    <mergeCell ref="A27:B29"/>
    <mergeCell ref="C46:C54"/>
    <mergeCell ref="A35:B35"/>
    <mergeCell ref="C9:D11"/>
    <mergeCell ref="A58:B58"/>
    <mergeCell ref="A63:B63"/>
    <mergeCell ref="C13:C15"/>
    <mergeCell ref="D13:D15"/>
    <mergeCell ref="C69:D69"/>
    <mergeCell ref="A68:D68"/>
    <mergeCell ref="A57:B57"/>
    <mergeCell ref="C30:D31"/>
    <mergeCell ref="C37:D37"/>
    <mergeCell ref="E13:G15"/>
    <mergeCell ref="A26:B26"/>
    <mergeCell ref="A1:B1"/>
    <mergeCell ref="A5:B5"/>
    <mergeCell ref="A2:A3"/>
  </mergeCells>
  <phoneticPr fontId="24" type="noConversion"/>
  <conditionalFormatting sqref="A61:B61">
    <cfRule type="expression" dxfId="36" priority="32">
      <formula>IF(OR($B$59="No",$B$59=""),1)</formula>
    </cfRule>
  </conditionalFormatting>
  <conditionalFormatting sqref="A66:B66">
    <cfRule type="expression" dxfId="35" priority="27">
      <formula>IF(OR($B$64="NO",$B$64=""),1)</formula>
    </cfRule>
  </conditionalFormatting>
  <conditionalFormatting sqref="B32">
    <cfRule type="cellIs" dxfId="34" priority="57" operator="greaterThan">
      <formula>8</formula>
    </cfRule>
  </conditionalFormatting>
  <conditionalFormatting sqref="B38">
    <cfRule type="expression" dxfId="33" priority="10" stopIfTrue="1">
      <formula>IF($B$30 &lt;2,1)</formula>
    </cfRule>
  </conditionalFormatting>
  <conditionalFormatting sqref="B39">
    <cfRule type="expression" dxfId="32" priority="9">
      <formula>IF($B$30&lt;3,1)</formula>
    </cfRule>
  </conditionalFormatting>
  <conditionalFormatting sqref="B40">
    <cfRule type="expression" dxfId="31" priority="8">
      <formula>IF($B$30&lt;4,1)</formula>
    </cfRule>
  </conditionalFormatting>
  <conditionalFormatting sqref="B41">
    <cfRule type="expression" dxfId="30" priority="7">
      <formula>IF($B$30&lt;5,1)</formula>
    </cfRule>
  </conditionalFormatting>
  <conditionalFormatting sqref="B42">
    <cfRule type="expression" dxfId="29" priority="6">
      <formula>IF($B$30&lt;6,1)</formula>
    </cfRule>
  </conditionalFormatting>
  <conditionalFormatting sqref="B43">
    <cfRule type="expression" dxfId="28" priority="5">
      <formula>IF($B$30&lt;7,1)</formula>
    </cfRule>
  </conditionalFormatting>
  <conditionalFormatting sqref="B44">
    <cfRule type="expression" dxfId="27" priority="4">
      <formula>IF($B$30&lt;8,1)</formula>
    </cfRule>
  </conditionalFormatting>
  <conditionalFormatting sqref="B48">
    <cfRule type="expression" dxfId="26" priority="43">
      <formula>IF($B$31&lt;1,1)</formula>
    </cfRule>
  </conditionalFormatting>
  <conditionalFormatting sqref="B49">
    <cfRule type="expression" dxfId="25" priority="49" stopIfTrue="1">
      <formula>IF($B$31&lt;2,1)</formula>
    </cfRule>
  </conditionalFormatting>
  <conditionalFormatting sqref="B50">
    <cfRule type="expression" dxfId="24" priority="48">
      <formula>IF($B$31&lt;3,1)</formula>
    </cfRule>
  </conditionalFormatting>
  <conditionalFormatting sqref="B51">
    <cfRule type="expression" dxfId="23" priority="47">
      <formula>IF($B$31&lt;4,1)</formula>
    </cfRule>
  </conditionalFormatting>
  <conditionalFormatting sqref="B52">
    <cfRule type="expression" dxfId="22" priority="46">
      <formula>IF($B$31&lt;5,1)</formula>
    </cfRule>
  </conditionalFormatting>
  <conditionalFormatting sqref="B53">
    <cfRule type="expression" dxfId="21" priority="45">
      <formula>IF($B$31&lt;6,1)</formula>
    </cfRule>
  </conditionalFormatting>
  <conditionalFormatting sqref="B54">
    <cfRule type="expression" dxfId="20" priority="42">
      <formula>IF($B$31&lt;7,1)</formula>
    </cfRule>
  </conditionalFormatting>
  <conditionalFormatting sqref="B92">
    <cfRule type="containsErrors" dxfId="19" priority="58" stopIfTrue="1">
      <formula>ISERROR(B92)</formula>
    </cfRule>
  </conditionalFormatting>
  <conditionalFormatting sqref="C13">
    <cfRule type="expression" dxfId="18" priority="20">
      <formula>IF(A14=FALSE,1)</formula>
    </cfRule>
  </conditionalFormatting>
  <conditionalFormatting sqref="C64:D64">
    <cfRule type="expression" dxfId="17" priority="12">
      <formula>IF(OR($B$64="No",$B$64=""),1)</formula>
    </cfRule>
  </conditionalFormatting>
  <conditionalFormatting sqref="C70:D70">
    <cfRule type="expression" dxfId="16" priority="11">
      <formula>IF(OR($B$70="Standard Utility Allowance (SUA)",$B$70=""),1)</formula>
    </cfRule>
  </conditionalFormatting>
  <conditionalFormatting sqref="C80:D80">
    <cfRule type="expression" dxfId="15" priority="24">
      <formula>IF(OR($B$80="No",$B$80=""),1)</formula>
    </cfRule>
  </conditionalFormatting>
  <conditionalFormatting sqref="C86:D86">
    <cfRule type="expression" dxfId="14" priority="1">
      <formula>IF(OR($B$86="No",$B$86=""),1)</formula>
    </cfRule>
  </conditionalFormatting>
  <conditionalFormatting sqref="C38:E38">
    <cfRule type="expression" dxfId="13" priority="56" stopIfTrue="1">
      <formula>IF($B$30 &lt;2,1)</formula>
    </cfRule>
  </conditionalFormatting>
  <conditionalFormatting sqref="C39:E39">
    <cfRule type="expression" dxfId="12" priority="55">
      <formula>IF($B$30&lt;3,1)</formula>
    </cfRule>
  </conditionalFormatting>
  <conditionalFormatting sqref="C40:E40">
    <cfRule type="expression" dxfId="11" priority="54">
      <formula>IF($B$30&lt;4,1)</formula>
    </cfRule>
  </conditionalFormatting>
  <conditionalFormatting sqref="C41:E41">
    <cfRule type="expression" dxfId="10" priority="53">
      <formula>IF($B$30&lt;5,1)</formula>
    </cfRule>
  </conditionalFormatting>
  <conditionalFormatting sqref="C42:E42">
    <cfRule type="expression" dxfId="9" priority="52">
      <formula>IF($B$30&lt;6,1)</formula>
    </cfRule>
  </conditionalFormatting>
  <conditionalFormatting sqref="C43:E43">
    <cfRule type="expression" dxfId="8" priority="51">
      <formula>IF($B$30&lt;7,1)</formula>
    </cfRule>
  </conditionalFormatting>
  <conditionalFormatting sqref="C44:E44">
    <cfRule type="expression" dxfId="7" priority="50">
      <formula>IF($B$30&lt;8,1)</formula>
    </cfRule>
  </conditionalFormatting>
  <conditionalFormatting sqref="C66:F66">
    <cfRule type="expression" dxfId="6" priority="25">
      <formula>IF(OR($B$66="No",$B$66=""),1)</formula>
    </cfRule>
  </conditionalFormatting>
  <conditionalFormatting sqref="C58:H59 A61:B61">
    <cfRule type="expression" dxfId="5" priority="15">
      <formula>IF(OR($B$59="No",$B$59=""),1)</formula>
    </cfRule>
  </conditionalFormatting>
  <conditionalFormatting sqref="C61:H61">
    <cfRule type="expression" dxfId="4" priority="3">
      <formula>IF(OR($B$61="NO",$B$61=""),1)</formula>
    </cfRule>
  </conditionalFormatting>
  <conditionalFormatting sqref="D13:D15">
    <cfRule type="expression" dxfId="3" priority="19">
      <formula>IF(A14=FALSE,1)</formula>
    </cfRule>
  </conditionalFormatting>
  <conditionalFormatting sqref="E13 H13:H15">
    <cfRule type="expression" dxfId="2" priority="16">
      <formula>IF(A14=FALSE,1)</formula>
    </cfRule>
  </conditionalFormatting>
  <conditionalFormatting sqref="H59">
    <cfRule type="expression" dxfId="1" priority="14">
      <formula>IF(OR($B$59="No",$B$59=""),1)</formula>
    </cfRule>
  </conditionalFormatting>
  <hyperlinks>
    <hyperlink ref="D77" location="'Income conversions'!A1" display="If you need a monthly income calculator click here" xr:uid="{390A6CF0-65EC-4D83-B8FC-B5E01DED7D6A}"/>
    <hyperlink ref="D83" location="'Income conversions'!A1" display="If you need a monthly income calculator click here" xr:uid="{208490ED-F876-4056-9335-60200917D653}"/>
  </hyperlinks>
  <pageMargins left="0.7" right="0.7" top="0.75" bottom="0.75" header="0.3" footer="0.3"/>
  <pageSetup orientation="portrait" r:id="rId1"/>
  <drawing r:id="rId2"/>
  <legacyDrawing r:id="rId3"/>
  <controls>
    <mc:AlternateContent xmlns:mc="http://schemas.openxmlformats.org/markup-compatibility/2006">
      <mc:Choice Requires="x14">
        <control shapeId="10257" r:id="rId4" name="CheckBox1">
          <controlPr defaultSize="0" autoLine="0" linkedCell="A12" r:id="rId5">
            <anchor moveWithCells="1">
              <from>
                <xdr:col>0</xdr:col>
                <xdr:colOff>85725</xdr:colOff>
                <xdr:row>10</xdr:row>
                <xdr:rowOff>28575</xdr:rowOff>
              </from>
              <to>
                <xdr:col>1</xdr:col>
                <xdr:colOff>1123950</xdr:colOff>
                <xdr:row>11</xdr:row>
                <xdr:rowOff>85725</xdr:rowOff>
              </to>
            </anchor>
          </controlPr>
        </control>
      </mc:Choice>
      <mc:Fallback>
        <control shapeId="10257" r:id="rId4" name="CheckBox1"/>
      </mc:Fallback>
    </mc:AlternateContent>
    <mc:AlternateContent xmlns:mc="http://schemas.openxmlformats.org/markup-compatibility/2006">
      <mc:Choice Requires="x14">
        <control shapeId="10258" r:id="rId6" name="CheckBox2">
          <controlPr defaultSize="0" autoLine="0" linkedCell="A8" r:id="rId7">
            <anchor moveWithCells="1">
              <from>
                <xdr:col>0</xdr:col>
                <xdr:colOff>85725</xdr:colOff>
                <xdr:row>6</xdr:row>
                <xdr:rowOff>85725</xdr:rowOff>
              </from>
              <to>
                <xdr:col>1</xdr:col>
                <xdr:colOff>1123950</xdr:colOff>
                <xdr:row>7</xdr:row>
                <xdr:rowOff>76200</xdr:rowOff>
              </to>
            </anchor>
          </controlPr>
        </control>
      </mc:Choice>
      <mc:Fallback>
        <control shapeId="10258" r:id="rId6" name="CheckBox2"/>
      </mc:Fallback>
    </mc:AlternateContent>
    <mc:AlternateContent xmlns:mc="http://schemas.openxmlformats.org/markup-compatibility/2006">
      <mc:Choice Requires="x14">
        <control shapeId="10259" r:id="rId8" name="CheckBox3">
          <controlPr defaultSize="0" autoLine="0" linkedCell="A14" r:id="rId9">
            <anchor moveWithCells="1">
              <from>
                <xdr:col>0</xdr:col>
                <xdr:colOff>85725</xdr:colOff>
                <xdr:row>12</xdr:row>
                <xdr:rowOff>28575</xdr:rowOff>
              </from>
              <to>
                <xdr:col>1</xdr:col>
                <xdr:colOff>1123950</xdr:colOff>
                <xdr:row>13</xdr:row>
                <xdr:rowOff>95250</xdr:rowOff>
              </to>
            </anchor>
          </controlPr>
        </control>
      </mc:Choice>
      <mc:Fallback>
        <control shapeId="10259" r:id="rId8" name="CheckBox3"/>
      </mc:Fallback>
    </mc:AlternateContent>
    <mc:AlternateContent xmlns:mc="http://schemas.openxmlformats.org/markup-compatibility/2006">
      <mc:Choice Requires="x14">
        <control shapeId="10260" r:id="rId10" name="CheckBox4">
          <controlPr defaultSize="0" autoLine="0" linkedCell="A16" r:id="rId11">
            <anchor moveWithCells="1">
              <from>
                <xdr:col>0</xdr:col>
                <xdr:colOff>85725</xdr:colOff>
                <xdr:row>14</xdr:row>
                <xdr:rowOff>38100</xdr:rowOff>
              </from>
              <to>
                <xdr:col>1</xdr:col>
                <xdr:colOff>1123950</xdr:colOff>
                <xdr:row>15</xdr:row>
                <xdr:rowOff>104775</xdr:rowOff>
              </to>
            </anchor>
          </controlPr>
        </control>
      </mc:Choice>
      <mc:Fallback>
        <control shapeId="10260" r:id="rId10" name="CheckBox4"/>
      </mc:Fallback>
    </mc:AlternateContent>
    <mc:AlternateContent xmlns:mc="http://schemas.openxmlformats.org/markup-compatibility/2006">
      <mc:Choice Requires="x14">
        <control shapeId="10261" r:id="rId12" name="CheckBox5">
          <controlPr defaultSize="0" autoLine="0" linkedCell="A10" r:id="rId13">
            <anchor moveWithCells="1">
              <from>
                <xdr:col>0</xdr:col>
                <xdr:colOff>85725</xdr:colOff>
                <xdr:row>8</xdr:row>
                <xdr:rowOff>19050</xdr:rowOff>
              </from>
              <to>
                <xdr:col>1</xdr:col>
                <xdr:colOff>1123950</xdr:colOff>
                <xdr:row>9</xdr:row>
                <xdr:rowOff>123825</xdr:rowOff>
              </to>
            </anchor>
          </controlPr>
        </control>
      </mc:Choice>
      <mc:Fallback>
        <control shapeId="10261" r:id="rId12" name="CheckBox5"/>
      </mc:Fallback>
    </mc:AlternateContent>
    <mc:AlternateContent xmlns:mc="http://schemas.openxmlformats.org/markup-compatibility/2006">
      <mc:Choice Requires="x14">
        <control shapeId="10262" r:id="rId14" name="CheckBox6">
          <controlPr defaultSize="0" autoLine="0" linkedCell="A18" r:id="rId15">
            <anchor moveWithCells="1">
              <from>
                <xdr:col>0</xdr:col>
                <xdr:colOff>85725</xdr:colOff>
                <xdr:row>16</xdr:row>
                <xdr:rowOff>47625</xdr:rowOff>
              </from>
              <to>
                <xdr:col>1</xdr:col>
                <xdr:colOff>1123950</xdr:colOff>
                <xdr:row>17</xdr:row>
                <xdr:rowOff>114300</xdr:rowOff>
              </to>
            </anchor>
          </controlPr>
        </control>
      </mc:Choice>
      <mc:Fallback>
        <control shapeId="10262" r:id="rId14" name="CheckBox6"/>
      </mc:Fallback>
    </mc:AlternateContent>
    <mc:AlternateContent xmlns:mc="http://schemas.openxmlformats.org/markup-compatibility/2006">
      <mc:Choice Requires="x14">
        <control shapeId="10263" r:id="rId16" name="CheckBox7">
          <controlPr defaultSize="0" autoLine="0" linkedCell="A20" r:id="rId17">
            <anchor moveWithCells="1">
              <from>
                <xdr:col>0</xdr:col>
                <xdr:colOff>85725</xdr:colOff>
                <xdr:row>18</xdr:row>
                <xdr:rowOff>57150</xdr:rowOff>
              </from>
              <to>
                <xdr:col>1</xdr:col>
                <xdr:colOff>1123950</xdr:colOff>
                <xdr:row>19</xdr:row>
                <xdr:rowOff>114300</xdr:rowOff>
              </to>
            </anchor>
          </controlPr>
        </control>
      </mc:Choice>
      <mc:Fallback>
        <control shapeId="10263" r:id="rId16" name="CheckBox7"/>
      </mc:Fallback>
    </mc:AlternateContent>
    <mc:AlternateContent xmlns:mc="http://schemas.openxmlformats.org/markup-compatibility/2006">
      <mc:Choice Requires="x14">
        <control shapeId="10264" r:id="rId18" name="CheckBox8">
          <controlPr defaultSize="0" autoLine="0" linkedCell="A24" r:id="rId19">
            <anchor moveWithCells="1">
              <from>
                <xdr:col>0</xdr:col>
                <xdr:colOff>85725</xdr:colOff>
                <xdr:row>22</xdr:row>
                <xdr:rowOff>57150</xdr:rowOff>
              </from>
              <to>
                <xdr:col>1</xdr:col>
                <xdr:colOff>1123950</xdr:colOff>
                <xdr:row>23</xdr:row>
                <xdr:rowOff>123825</xdr:rowOff>
              </to>
            </anchor>
          </controlPr>
        </control>
      </mc:Choice>
      <mc:Fallback>
        <control shapeId="10264" r:id="rId18" name="CheckBox8"/>
      </mc:Fallback>
    </mc:AlternateContent>
    <mc:AlternateContent xmlns:mc="http://schemas.openxmlformats.org/markup-compatibility/2006">
      <mc:Choice Requires="x14">
        <control shapeId="10266" r:id="rId20" name="CheckBox9">
          <controlPr defaultSize="0" autoLine="0" linkedCell="A22" r:id="rId21">
            <anchor moveWithCells="1">
              <from>
                <xdr:col>0</xdr:col>
                <xdr:colOff>85725</xdr:colOff>
                <xdr:row>20</xdr:row>
                <xdr:rowOff>57150</xdr:rowOff>
              </from>
              <to>
                <xdr:col>1</xdr:col>
                <xdr:colOff>1123950</xdr:colOff>
                <xdr:row>21</xdr:row>
                <xdr:rowOff>123825</xdr:rowOff>
              </to>
            </anchor>
          </controlPr>
        </control>
      </mc:Choice>
      <mc:Fallback>
        <control shapeId="10266" r:id="rId20" name="CheckBox9"/>
      </mc:Fallback>
    </mc:AlternateContent>
  </controls>
  <extLst>
    <ext xmlns:x14="http://schemas.microsoft.com/office/spreadsheetml/2009/9/main" uri="{CCE6A557-97BC-4b89-ADB6-D9C93CAAB3DF}">
      <x14:dataValidations xmlns:xm="http://schemas.microsoft.com/office/excel/2006/main" count="7">
        <x14:dataValidation type="list" allowBlank="1" showInputMessage="1" showErrorMessage="1" xr:uid="{CC3366D5-1E9C-4B20-BB90-E04261A8A801}">
          <x14:formula1>
            <xm:f>'Data validation'!$E$2:$E$7</xm:f>
          </x14:formula1>
          <xm:sqref>B74:B75 B58</xm:sqref>
        </x14:dataValidation>
        <x14:dataValidation type="list" allowBlank="1" showInputMessage="1" showErrorMessage="1" xr:uid="{9EEE33B9-2E58-45CB-8FE4-155EE173A89C}">
          <x14:formula1>
            <xm:f>'Data validation'!$G$2:$G$3</xm:f>
          </x14:formula1>
          <xm:sqref>B72</xm:sqref>
        </x14:dataValidation>
        <x14:dataValidation type="list" allowBlank="1" showInputMessage="1" showErrorMessage="1" xr:uid="{8057A10E-5663-4EBB-B056-208208F17316}">
          <x14:formula1>
            <xm:f>'Data validation'!$A$2:$A$134</xm:f>
          </x14:formula1>
          <xm:sqref>B3</xm:sqref>
        </x14:dataValidation>
        <x14:dataValidation type="list" allowBlank="1" showInputMessage="1" showErrorMessage="1" xr:uid="{BDDBF9FE-3E56-43C4-8AE8-9F5EDC2B3A89}">
          <x14:formula1>
            <xm:f>'Data validation'!$B$13:$B$14</xm:f>
          </x14:formula1>
          <xm:sqref>B80 B59 B64 B61 B66:B67 E37:E44 B74:B75 B86</xm:sqref>
        </x14:dataValidation>
        <x14:dataValidation type="list" allowBlank="1" showInputMessage="1" showErrorMessage="1" xr:uid="{A55AF0F3-A5A9-450B-8B1A-E2E6008AADFD}">
          <x14:formula1>
            <xm:f>'Data validation'!$E$2:$E$8</xm:f>
          </x14:formula1>
          <xm:sqref>B48:B54</xm:sqref>
        </x14:dataValidation>
        <x14:dataValidation type="list" allowBlank="1" showInputMessage="1" showErrorMessage="1" xr:uid="{CFA36E09-4E78-4B80-9677-3E9F6E96A1D2}">
          <x14:formula1>
            <xm:f>'Data validation'!$G$10:$G$13</xm:f>
          </x14:formula1>
          <xm:sqref>D13</xm:sqref>
        </x14:dataValidation>
        <x14:dataValidation type="list" allowBlank="1" showInputMessage="1" showErrorMessage="1" xr:uid="{9FD1A842-C236-4598-AF9E-A92DEBFDC38A}">
          <x14:formula1>
            <xm:f>'Data validation'!$E$23:$E$24</xm:f>
          </x14:formula1>
          <xm:sqref>B70</xm:sqref>
        </x14:dataValidation>
      </x14:dataValidations>
    </ext>
  </extLst>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1C75A62-5457-4A71-90FD-8B2D663F60DA}">
  <sheetPr codeName="Sheet18"/>
  <dimension ref="A1:B13"/>
  <sheetViews>
    <sheetView workbookViewId="0">
      <selection activeCell="K11" sqref="K11"/>
    </sheetView>
  </sheetViews>
  <sheetFormatPr defaultRowHeight="15" x14ac:dyDescent="0.25"/>
  <cols>
    <col min="1" max="1" width="42" customWidth="1"/>
    <col min="2" max="2" width="10.140625" bestFit="1" customWidth="1"/>
  </cols>
  <sheetData>
    <row r="1" spans="1:2" ht="36.75" customHeight="1" x14ac:dyDescent="0.3">
      <c r="A1" s="439" t="s">
        <v>692</v>
      </c>
      <c r="B1" s="439"/>
    </row>
    <row r="2" spans="1:2" ht="26.25" customHeight="1" x14ac:dyDescent="0.25">
      <c r="A2" s="385" t="s">
        <v>667</v>
      </c>
      <c r="B2" s="386">
        <v>12</v>
      </c>
    </row>
    <row r="3" spans="1:2" ht="23.25" customHeight="1" x14ac:dyDescent="0.25">
      <c r="A3" s="385" t="s">
        <v>668</v>
      </c>
      <c r="B3" s="386">
        <v>20</v>
      </c>
    </row>
    <row r="4" spans="1:2" x14ac:dyDescent="0.25">
      <c r="A4" s="385"/>
      <c r="B4" s="386"/>
    </row>
    <row r="5" spans="1:2" x14ac:dyDescent="0.25">
      <c r="A5" s="385" t="s">
        <v>349</v>
      </c>
      <c r="B5" s="386">
        <f>B2*B3</f>
        <v>240</v>
      </c>
    </row>
    <row r="6" spans="1:2" x14ac:dyDescent="0.25">
      <c r="A6" s="385" t="s">
        <v>348</v>
      </c>
      <c r="B6" s="386">
        <f>B5*12</f>
        <v>2880</v>
      </c>
    </row>
    <row r="8" spans="1:2" ht="36.75" customHeight="1" x14ac:dyDescent="0.3">
      <c r="A8" s="439" t="s">
        <v>693</v>
      </c>
      <c r="B8" s="439"/>
    </row>
    <row r="9" spans="1:2" x14ac:dyDescent="0.25">
      <c r="A9" s="385" t="s">
        <v>694</v>
      </c>
      <c r="B9" s="386">
        <v>30000</v>
      </c>
    </row>
    <row r="10" spans="1:2" x14ac:dyDescent="0.25">
      <c r="A10" s="385" t="s">
        <v>349</v>
      </c>
      <c r="B10" s="386">
        <f>B9/12</f>
        <v>2500</v>
      </c>
    </row>
    <row r="13" spans="1:2" x14ac:dyDescent="0.25">
      <c r="A13" s="87" t="s">
        <v>669</v>
      </c>
    </row>
  </sheetData>
  <mergeCells count="2">
    <mergeCell ref="A1:B1"/>
    <mergeCell ref="A8:B8"/>
  </mergeCells>
  <hyperlinks>
    <hyperlink ref="A13" location="'Total income package'!A1" display="Return to Total Income tab" xr:uid="{C545C0A1-19F1-4E59-8568-B927504261E0}"/>
  </hyperlinks>
  <pageMargins left="0.7" right="0.7" top="0.75" bottom="0.75" header="0.3" footer="0.3"/>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A33A886-3F88-4A35-919E-3E5114DE64B1}">
  <sheetPr codeName="Sheet2"/>
  <dimension ref="A1:P202"/>
  <sheetViews>
    <sheetView workbookViewId="0">
      <pane xSplit="1" ySplit="1" topLeftCell="B2" activePane="bottomRight" state="frozen"/>
      <selection pane="topRight" activeCell="A2" sqref="A2:C2"/>
      <selection pane="bottomLeft" activeCell="A2" sqref="A2:C2"/>
      <selection pane="bottomRight" activeCell="I7" sqref="I7"/>
    </sheetView>
  </sheetViews>
  <sheetFormatPr defaultColWidth="9.140625" defaultRowHeight="15.75" x14ac:dyDescent="0.25"/>
  <cols>
    <col min="1" max="3" width="16.5703125" style="30" customWidth="1"/>
    <col min="4" max="5" width="13.42578125" style="30" customWidth="1"/>
    <col min="6" max="6" width="9.140625" style="34"/>
    <col min="7" max="8" width="12.28515625" style="34" customWidth="1"/>
    <col min="9" max="9" width="13" style="30" customWidth="1"/>
    <col min="10" max="10" width="13.85546875" style="34" hidden="1" customWidth="1"/>
    <col min="11" max="12" width="14.5703125" style="36" customWidth="1"/>
    <col min="13" max="15" width="9.140625" style="30"/>
    <col min="16" max="16" width="10.140625" style="30" bestFit="1" customWidth="1"/>
    <col min="17" max="16384" width="9.140625" style="30"/>
  </cols>
  <sheetData>
    <row r="1" spans="1:13" ht="47.25" x14ac:dyDescent="0.25">
      <c r="A1" s="31" t="s">
        <v>104</v>
      </c>
      <c r="B1" s="32" t="s">
        <v>105</v>
      </c>
      <c r="C1" s="32" t="s">
        <v>106</v>
      </c>
      <c r="D1" s="32" t="s">
        <v>94</v>
      </c>
      <c r="E1" s="58" t="s">
        <v>107</v>
      </c>
      <c r="F1" s="59" t="s">
        <v>108</v>
      </c>
      <c r="G1" s="37" t="s">
        <v>109</v>
      </c>
      <c r="H1" s="59" t="s">
        <v>110</v>
      </c>
      <c r="I1" s="32" t="s">
        <v>111</v>
      </c>
      <c r="J1" s="37" t="s">
        <v>112</v>
      </c>
      <c r="K1" s="57" t="s">
        <v>113</v>
      </c>
      <c r="L1" s="57" t="s">
        <v>114</v>
      </c>
    </row>
    <row r="2" spans="1:13" x14ac:dyDescent="0.25">
      <c r="A2" s="186">
        <v>0</v>
      </c>
      <c r="B2" s="33">
        <f>A2/12</f>
        <v>0</v>
      </c>
      <c r="C2" s="185">
        <f>'Child care subsidy'!S5*12</f>
        <v>0</v>
      </c>
      <c r="D2" s="185">
        <f>MAX('TANF-VIEW'!L9,'TANF-VIEW'!T9)*12</f>
        <v>4620</v>
      </c>
      <c r="E2" s="193">
        <f>SNAP!V6*12</f>
        <v>6552</v>
      </c>
      <c r="F2" s="184">
        <f>WIC!F8*12</f>
        <v>0</v>
      </c>
      <c r="G2" s="185">
        <f>'Housing Voucher'!Q6*12</f>
        <v>10457.988000000001</v>
      </c>
      <c r="H2" s="184">
        <f>EITC!E5</f>
        <v>0</v>
      </c>
      <c r="I2" s="205">
        <f>Medicaid!N9*12</f>
        <v>10029</v>
      </c>
      <c r="J2" s="183"/>
      <c r="K2" s="185">
        <f>SUM(C2:I2)</f>
        <v>31658.988000000001</v>
      </c>
      <c r="L2" s="185">
        <f>A2+K2</f>
        <v>31658.988000000001</v>
      </c>
      <c r="M2" s="36">
        <f>L2/12</f>
        <v>2638.2490000000003</v>
      </c>
    </row>
    <row r="3" spans="1:13" x14ac:dyDescent="0.25">
      <c r="A3" s="186">
        <v>500</v>
      </c>
      <c r="B3" s="33">
        <f>A3/12</f>
        <v>41.666666666666664</v>
      </c>
      <c r="C3" s="185">
        <f>'Child care subsidy'!S6*12</f>
        <v>0</v>
      </c>
      <c r="D3" s="185">
        <f>MAX('TANF-VIEW'!L10,'TANF-VIEW'!T10)*12</f>
        <v>4620</v>
      </c>
      <c r="E3" s="193">
        <f>SNAP!V7*12</f>
        <v>6552</v>
      </c>
      <c r="F3" s="184">
        <f>WIC!F9*12</f>
        <v>0</v>
      </c>
      <c r="G3" s="185">
        <f>'Housing Voucher'!Q7*12</f>
        <v>10188</v>
      </c>
      <c r="H3" s="197">
        <f>EITC!E6</f>
        <v>204</v>
      </c>
      <c r="I3" s="205">
        <f>Medicaid!N10*12</f>
        <v>10029</v>
      </c>
      <c r="J3" s="183"/>
      <c r="K3" s="185">
        <f>SUM(C3:I3)</f>
        <v>31593</v>
      </c>
      <c r="L3" s="185">
        <f>A3+K3</f>
        <v>32093</v>
      </c>
      <c r="M3" s="36">
        <f t="shared" ref="M3:M66" si="0">L3/12</f>
        <v>2674.4166666666665</v>
      </c>
    </row>
    <row r="4" spans="1:13" ht="15.75" customHeight="1" x14ac:dyDescent="0.25">
      <c r="A4" s="186">
        <v>1000</v>
      </c>
      <c r="B4" s="33">
        <f>A4/12</f>
        <v>83.333333333333329</v>
      </c>
      <c r="C4" s="185">
        <f>'Child care subsidy'!S7*12</f>
        <v>0</v>
      </c>
      <c r="D4" s="185">
        <f>MAX('TANF-VIEW'!L11,'TANF-VIEW'!T11)*12</f>
        <v>4620</v>
      </c>
      <c r="E4" s="193">
        <f>SNAP!V8*12</f>
        <v>6552</v>
      </c>
      <c r="F4" s="184">
        <f>WIC!F10*12</f>
        <v>0</v>
      </c>
      <c r="G4" s="185">
        <f>'Housing Voucher'!Q8*12</f>
        <v>10038</v>
      </c>
      <c r="H4" s="197">
        <f>EITC!E7</f>
        <v>408</v>
      </c>
      <c r="I4" s="205">
        <f>Medicaid!N11*12</f>
        <v>10029</v>
      </c>
      <c r="K4" s="185">
        <f t="shared" ref="K4:K67" si="1">SUM(C4:I4)</f>
        <v>31647</v>
      </c>
      <c r="L4" s="185">
        <f t="shared" ref="L4:L67" si="2">A4+K4</f>
        <v>32647</v>
      </c>
      <c r="M4" s="36">
        <f t="shared" si="0"/>
        <v>2720.5833333333335</v>
      </c>
    </row>
    <row r="5" spans="1:13" x14ac:dyDescent="0.25">
      <c r="A5" s="186">
        <v>1500</v>
      </c>
      <c r="B5" s="33">
        <f t="shared" ref="B5:B68" si="3">A5/12</f>
        <v>125</v>
      </c>
      <c r="C5" s="185">
        <f>'Child care subsidy'!S8*12</f>
        <v>0</v>
      </c>
      <c r="D5" s="185">
        <f>MAX('TANF-VIEW'!L12,'TANF-VIEW'!T12)*12</f>
        <v>4620</v>
      </c>
      <c r="E5" s="193">
        <f>SNAP!V9*12</f>
        <v>6552</v>
      </c>
      <c r="F5" s="184">
        <f>WIC!F11*12</f>
        <v>0</v>
      </c>
      <c r="G5" s="185">
        <f>'Housing Voucher'!Q9*12</f>
        <v>9888</v>
      </c>
      <c r="H5" s="197">
        <f>EITC!E8</f>
        <v>612.00000000000011</v>
      </c>
      <c r="I5" s="205">
        <f>Medicaid!N12*12</f>
        <v>10029</v>
      </c>
      <c r="K5" s="185">
        <f t="shared" si="1"/>
        <v>31701</v>
      </c>
      <c r="L5" s="185">
        <f t="shared" si="2"/>
        <v>33201</v>
      </c>
      <c r="M5" s="36">
        <f t="shared" si="0"/>
        <v>2766.75</v>
      </c>
    </row>
    <row r="6" spans="1:13" x14ac:dyDescent="0.25">
      <c r="A6" s="186">
        <v>2000</v>
      </c>
      <c r="B6" s="33">
        <f t="shared" si="3"/>
        <v>166.66666666666666</v>
      </c>
      <c r="C6" s="185">
        <f>'Child care subsidy'!S9*12</f>
        <v>0</v>
      </c>
      <c r="D6" s="185">
        <f>MAX('TANF-VIEW'!L13,'TANF-VIEW'!T13)*12</f>
        <v>4620</v>
      </c>
      <c r="E6" s="193">
        <f>SNAP!V10*12</f>
        <v>6552</v>
      </c>
      <c r="F6" s="184">
        <f>WIC!F12*12</f>
        <v>0</v>
      </c>
      <c r="G6" s="185">
        <f>'Housing Voucher'!Q10*12</f>
        <v>9738</v>
      </c>
      <c r="H6" s="197">
        <f>EITC!E9</f>
        <v>816</v>
      </c>
      <c r="I6" s="205">
        <f>Medicaid!N13*12</f>
        <v>10029</v>
      </c>
      <c r="K6" s="185">
        <f t="shared" si="1"/>
        <v>31755</v>
      </c>
      <c r="L6" s="185">
        <f t="shared" si="2"/>
        <v>33755</v>
      </c>
      <c r="M6" s="36">
        <f t="shared" si="0"/>
        <v>2812.9166666666665</v>
      </c>
    </row>
    <row r="7" spans="1:13" x14ac:dyDescent="0.25">
      <c r="A7" s="186">
        <v>2500</v>
      </c>
      <c r="B7" s="33">
        <f t="shared" si="3"/>
        <v>208.33333333333334</v>
      </c>
      <c r="C7" s="185">
        <f>'Child care subsidy'!S10*12</f>
        <v>0</v>
      </c>
      <c r="D7" s="185">
        <f>MAX('TANF-VIEW'!L14,'TANF-VIEW'!T14)*12</f>
        <v>4620</v>
      </c>
      <c r="E7" s="193">
        <f>SNAP!V11*12</f>
        <v>6552</v>
      </c>
      <c r="F7" s="184">
        <f>WIC!F13*12</f>
        <v>0</v>
      </c>
      <c r="G7" s="185">
        <f>'Housing Voucher'!Q11*12</f>
        <v>9588</v>
      </c>
      <c r="H7" s="197">
        <f>EITC!E10</f>
        <v>1020.0000000000001</v>
      </c>
      <c r="I7" s="205">
        <f>Medicaid!N14*12</f>
        <v>10029</v>
      </c>
      <c r="K7" s="185">
        <f t="shared" si="1"/>
        <v>31809</v>
      </c>
      <c r="L7" s="185">
        <f t="shared" si="2"/>
        <v>34309</v>
      </c>
      <c r="M7" s="36">
        <f t="shared" si="0"/>
        <v>2859.0833333333335</v>
      </c>
    </row>
    <row r="8" spans="1:13" x14ac:dyDescent="0.25">
      <c r="A8" s="186">
        <v>3000</v>
      </c>
      <c r="B8" s="33">
        <f t="shared" si="3"/>
        <v>250</v>
      </c>
      <c r="C8" s="185">
        <f>'Child care subsidy'!S11*12</f>
        <v>0</v>
      </c>
      <c r="D8" s="185">
        <f>MAX('TANF-VIEW'!L15,'TANF-VIEW'!T15)*12</f>
        <v>4226.3999999999996</v>
      </c>
      <c r="E8" s="193">
        <f>SNAP!V12*12</f>
        <v>6552</v>
      </c>
      <c r="F8" s="184">
        <f>WIC!F14*12</f>
        <v>0</v>
      </c>
      <c r="G8" s="185">
        <f>'Housing Voucher'!Q12*12</f>
        <v>9556.08</v>
      </c>
      <c r="H8" s="197">
        <f>EITC!E11</f>
        <v>1224.0000000000002</v>
      </c>
      <c r="I8" s="205">
        <f>Medicaid!N15*12</f>
        <v>10029</v>
      </c>
      <c r="K8" s="185">
        <f t="shared" si="1"/>
        <v>31587.48</v>
      </c>
      <c r="L8" s="185">
        <f t="shared" si="2"/>
        <v>34587.479999999996</v>
      </c>
      <c r="M8" s="36">
        <f t="shared" si="0"/>
        <v>2882.2899999999995</v>
      </c>
    </row>
    <row r="9" spans="1:13" x14ac:dyDescent="0.25">
      <c r="A9" s="186">
        <v>3500</v>
      </c>
      <c r="B9" s="33">
        <f t="shared" si="3"/>
        <v>291.66666666666669</v>
      </c>
      <c r="C9" s="185">
        <f>'Child care subsidy'!S12*12</f>
        <v>0</v>
      </c>
      <c r="D9" s="185">
        <f>MAX('TANF-VIEW'!L16,'TANF-VIEW'!T16)*12</f>
        <v>3826.4</v>
      </c>
      <c r="E9" s="193">
        <f>SNAP!V13*12</f>
        <v>6552</v>
      </c>
      <c r="F9" s="184">
        <f>WIC!F15*12</f>
        <v>0</v>
      </c>
      <c r="G9" s="185">
        <f>'Housing Voucher'!Q13*12</f>
        <v>9526.08</v>
      </c>
      <c r="H9" s="197">
        <f>EITC!E12</f>
        <v>1428</v>
      </c>
      <c r="I9" s="205">
        <f>Medicaid!N16*12</f>
        <v>10029</v>
      </c>
      <c r="K9" s="185">
        <f t="shared" si="1"/>
        <v>31361.48</v>
      </c>
      <c r="L9" s="185">
        <f t="shared" si="2"/>
        <v>34861.479999999996</v>
      </c>
      <c r="M9" s="36">
        <f t="shared" si="0"/>
        <v>2905.123333333333</v>
      </c>
    </row>
    <row r="10" spans="1:13" x14ac:dyDescent="0.25">
      <c r="A10" s="186">
        <v>4000</v>
      </c>
      <c r="B10" s="33">
        <f t="shared" si="3"/>
        <v>333.33333333333331</v>
      </c>
      <c r="C10" s="185">
        <f>'Child care subsidy'!S13*12</f>
        <v>0</v>
      </c>
      <c r="D10" s="185">
        <f>MAX('TANF-VIEW'!L17,'TANF-VIEW'!T17)*12</f>
        <v>3426.4000000000005</v>
      </c>
      <c r="E10" s="193">
        <f>SNAP!V14*12</f>
        <v>6552</v>
      </c>
      <c r="F10" s="184">
        <f>WIC!F16*12</f>
        <v>0</v>
      </c>
      <c r="G10" s="185">
        <f>'Housing Voucher'!Q14*12</f>
        <v>9496.08</v>
      </c>
      <c r="H10" s="197">
        <f>EITC!E13</f>
        <v>1632</v>
      </c>
      <c r="I10" s="205">
        <f>Medicaid!N17*12</f>
        <v>10029</v>
      </c>
      <c r="K10" s="185">
        <f t="shared" si="1"/>
        <v>31135.480000000003</v>
      </c>
      <c r="L10" s="185">
        <f t="shared" si="2"/>
        <v>35135.480000000003</v>
      </c>
      <c r="M10" s="36">
        <f t="shared" si="0"/>
        <v>2927.9566666666669</v>
      </c>
    </row>
    <row r="11" spans="1:13" x14ac:dyDescent="0.25">
      <c r="A11" s="186">
        <v>4500</v>
      </c>
      <c r="B11" s="33">
        <f t="shared" si="3"/>
        <v>375</v>
      </c>
      <c r="C11" s="185">
        <f>'Child care subsidy'!S14*12</f>
        <v>0</v>
      </c>
      <c r="D11" s="185">
        <f>MAX('TANF-VIEW'!L18,'TANF-VIEW'!T18)*12</f>
        <v>3026.3999999999996</v>
      </c>
      <c r="E11" s="193">
        <f>SNAP!V15*12</f>
        <v>6552</v>
      </c>
      <c r="F11" s="184">
        <f>WIC!F17*12</f>
        <v>0</v>
      </c>
      <c r="G11" s="185">
        <f>'Housing Voucher'!Q15*12</f>
        <v>9466.08</v>
      </c>
      <c r="H11" s="197">
        <f>EITC!E14</f>
        <v>1836</v>
      </c>
      <c r="I11" s="205">
        <f>Medicaid!N18*12</f>
        <v>10029</v>
      </c>
      <c r="K11" s="185">
        <f t="shared" si="1"/>
        <v>30909.48</v>
      </c>
      <c r="L11" s="185">
        <f t="shared" si="2"/>
        <v>35409.479999999996</v>
      </c>
      <c r="M11" s="36">
        <f t="shared" si="0"/>
        <v>2950.7899999999995</v>
      </c>
    </row>
    <row r="12" spans="1:13" x14ac:dyDescent="0.25">
      <c r="A12" s="186">
        <v>5000</v>
      </c>
      <c r="B12" s="33">
        <f t="shared" si="3"/>
        <v>416.66666666666669</v>
      </c>
      <c r="C12" s="185">
        <f>'Child care subsidy'!S15*12</f>
        <v>0</v>
      </c>
      <c r="D12" s="185">
        <f>MAX('TANF-VIEW'!L19,'TANF-VIEW'!T19)*12</f>
        <v>2626.3999999999996</v>
      </c>
      <c r="E12" s="193">
        <f>SNAP!V16*12</f>
        <v>6552</v>
      </c>
      <c r="F12" s="184">
        <f>WIC!F18*12</f>
        <v>0</v>
      </c>
      <c r="G12" s="185">
        <f>'Housing Voucher'!Q16*12</f>
        <v>9436.08</v>
      </c>
      <c r="H12" s="197">
        <f>EITC!E15</f>
        <v>2040.0000000000002</v>
      </c>
      <c r="I12" s="205">
        <f>Medicaid!N19*12</f>
        <v>10029</v>
      </c>
      <c r="K12" s="185">
        <f t="shared" si="1"/>
        <v>30683.48</v>
      </c>
      <c r="L12" s="185">
        <f t="shared" si="2"/>
        <v>35683.479999999996</v>
      </c>
      <c r="M12" s="36">
        <f t="shared" si="0"/>
        <v>2973.623333333333</v>
      </c>
    </row>
    <row r="13" spans="1:13" x14ac:dyDescent="0.25">
      <c r="A13" s="186">
        <v>5500</v>
      </c>
      <c r="B13" s="33">
        <f t="shared" si="3"/>
        <v>458.33333333333331</v>
      </c>
      <c r="C13" s="185">
        <f>'Child care subsidy'!S16*12</f>
        <v>0</v>
      </c>
      <c r="D13" s="185">
        <f>MAX('TANF-VIEW'!L20,'TANF-VIEW'!T20)*12</f>
        <v>2226.4000000000005</v>
      </c>
      <c r="E13" s="193">
        <f>SNAP!V17*12</f>
        <v>6552</v>
      </c>
      <c r="F13" s="184">
        <f>WIC!F19*12</f>
        <v>0</v>
      </c>
      <c r="G13" s="185">
        <f>'Housing Voucher'!Q17*12</f>
        <v>9406.08</v>
      </c>
      <c r="H13" s="197">
        <f>EITC!E16</f>
        <v>2244.0000000000005</v>
      </c>
      <c r="I13" s="205">
        <f>Medicaid!N20*12</f>
        <v>10029</v>
      </c>
      <c r="K13" s="185">
        <f t="shared" si="1"/>
        <v>30457.480000000003</v>
      </c>
      <c r="L13" s="185">
        <f t="shared" si="2"/>
        <v>35957.480000000003</v>
      </c>
      <c r="M13" s="36">
        <f t="shared" si="0"/>
        <v>2996.4566666666669</v>
      </c>
    </row>
    <row r="14" spans="1:13" x14ac:dyDescent="0.25">
      <c r="A14" s="186">
        <v>6000</v>
      </c>
      <c r="B14" s="33">
        <f t="shared" si="3"/>
        <v>500</v>
      </c>
      <c r="C14" s="185">
        <f>'Child care subsidy'!S17*12</f>
        <v>0</v>
      </c>
      <c r="D14" s="185">
        <f>MAX('TANF-VIEW'!L21,'TANF-VIEW'!T21)*12</f>
        <v>1826.3999999999999</v>
      </c>
      <c r="E14" s="193">
        <f>SNAP!V18*12</f>
        <v>6552</v>
      </c>
      <c r="F14" s="184">
        <f>WIC!F20*12</f>
        <v>0</v>
      </c>
      <c r="G14" s="185">
        <f>'Housing Voucher'!Q18*12</f>
        <v>9376.08</v>
      </c>
      <c r="H14" s="197">
        <f>EITC!E17</f>
        <v>2448.0000000000005</v>
      </c>
      <c r="I14" s="205">
        <f>Medicaid!N21*12</f>
        <v>10029</v>
      </c>
      <c r="K14" s="185">
        <f t="shared" si="1"/>
        <v>30231.48</v>
      </c>
      <c r="L14" s="185">
        <f t="shared" si="2"/>
        <v>36231.479999999996</v>
      </c>
      <c r="M14" s="36">
        <f t="shared" si="0"/>
        <v>3019.2899999999995</v>
      </c>
    </row>
    <row r="15" spans="1:13" x14ac:dyDescent="0.25">
      <c r="A15" s="186">
        <v>6500</v>
      </c>
      <c r="B15" s="33">
        <f t="shared" si="3"/>
        <v>541.66666666666663</v>
      </c>
      <c r="C15" s="185">
        <f>'Child care subsidy'!S18*12</f>
        <v>0</v>
      </c>
      <c r="D15" s="185">
        <f>MAX('TANF-VIEW'!L22,'TANF-VIEW'!T22)*12</f>
        <v>1426.4</v>
      </c>
      <c r="E15" s="193">
        <f>SNAP!V19*12</f>
        <v>6552</v>
      </c>
      <c r="F15" s="184">
        <f>WIC!F21*12</f>
        <v>0</v>
      </c>
      <c r="G15" s="185">
        <f>'Housing Voucher'!Q19*12</f>
        <v>9346.08</v>
      </c>
      <c r="H15" s="197">
        <f>EITC!E18</f>
        <v>2652</v>
      </c>
      <c r="I15" s="205">
        <f>Medicaid!N22*12</f>
        <v>10029</v>
      </c>
      <c r="K15" s="185">
        <f t="shared" si="1"/>
        <v>30005.48</v>
      </c>
      <c r="L15" s="185">
        <f t="shared" si="2"/>
        <v>36505.479999999996</v>
      </c>
      <c r="M15" s="36">
        <f t="shared" si="0"/>
        <v>3042.123333333333</v>
      </c>
    </row>
    <row r="16" spans="1:13" x14ac:dyDescent="0.25">
      <c r="A16" s="186">
        <v>7000</v>
      </c>
      <c r="B16" s="33">
        <f t="shared" si="3"/>
        <v>583.33333333333337</v>
      </c>
      <c r="C16" s="185">
        <f>'Child care subsidy'!S19*12</f>
        <v>0</v>
      </c>
      <c r="D16" s="185">
        <f>MAX('TANF-VIEW'!L23,'TANF-VIEW'!T23)*12</f>
        <v>1026.3999999999996</v>
      </c>
      <c r="E16" s="193">
        <f>SNAP!V20*12</f>
        <v>6552</v>
      </c>
      <c r="F16" s="184">
        <f>WIC!F22*12</f>
        <v>0</v>
      </c>
      <c r="G16" s="185">
        <f>'Housing Voucher'!Q20*12</f>
        <v>9316.08</v>
      </c>
      <c r="H16" s="197">
        <f>EITC!E19</f>
        <v>2856</v>
      </c>
      <c r="I16" s="205">
        <f>Medicaid!N23*12</f>
        <v>10029</v>
      </c>
      <c r="K16" s="185">
        <f t="shared" si="1"/>
        <v>29779.48</v>
      </c>
      <c r="L16" s="185">
        <f t="shared" si="2"/>
        <v>36779.479999999996</v>
      </c>
      <c r="M16" s="36">
        <f t="shared" si="0"/>
        <v>3064.9566666666665</v>
      </c>
    </row>
    <row r="17" spans="1:13" x14ac:dyDescent="0.25">
      <c r="A17" s="186">
        <v>7500</v>
      </c>
      <c r="B17" s="33">
        <f t="shared" si="3"/>
        <v>625</v>
      </c>
      <c r="C17" s="185">
        <f>'Child care subsidy'!S20*12</f>
        <v>0</v>
      </c>
      <c r="D17" s="185">
        <f>MAX('TANF-VIEW'!L24,'TANF-VIEW'!T24)*12</f>
        <v>626.39999999999986</v>
      </c>
      <c r="E17" s="193">
        <f>SNAP!V21*12</f>
        <v>6552</v>
      </c>
      <c r="F17" s="184">
        <f>WIC!F23*12</f>
        <v>0</v>
      </c>
      <c r="G17" s="185">
        <f>'Housing Voucher'!Q21*12</f>
        <v>9286.08</v>
      </c>
      <c r="H17" s="197">
        <f>EITC!E20</f>
        <v>3060</v>
      </c>
      <c r="I17" s="205">
        <f>Medicaid!N24*12</f>
        <v>10029</v>
      </c>
      <c r="K17" s="185">
        <f t="shared" si="1"/>
        <v>29553.48</v>
      </c>
      <c r="L17" s="185">
        <f t="shared" si="2"/>
        <v>37053.479999999996</v>
      </c>
      <c r="M17" s="36">
        <f t="shared" si="0"/>
        <v>3087.7899999999995</v>
      </c>
    </row>
    <row r="18" spans="1:13" x14ac:dyDescent="0.25">
      <c r="A18" s="186">
        <v>8000</v>
      </c>
      <c r="B18" s="33">
        <f t="shared" si="3"/>
        <v>666.66666666666663</v>
      </c>
      <c r="C18" s="185">
        <f>'Child care subsidy'!S21*12</f>
        <v>0</v>
      </c>
      <c r="D18" s="185">
        <f>MAX('TANF-VIEW'!L25,'TANF-VIEW'!T25)*12</f>
        <v>226.40000000000009</v>
      </c>
      <c r="E18" s="193">
        <f>SNAP!V22*12</f>
        <v>6552</v>
      </c>
      <c r="F18" s="184">
        <f>WIC!F24*12</f>
        <v>0</v>
      </c>
      <c r="G18" s="185">
        <f>'Housing Voucher'!Q22*12</f>
        <v>9256.08</v>
      </c>
      <c r="H18" s="197">
        <f>EITC!E21</f>
        <v>3264</v>
      </c>
      <c r="I18" s="205">
        <f>Medicaid!N25*12</f>
        <v>10029</v>
      </c>
      <c r="K18" s="185">
        <f t="shared" si="1"/>
        <v>29327.48</v>
      </c>
      <c r="L18" s="185">
        <f t="shared" si="2"/>
        <v>37327.479999999996</v>
      </c>
      <c r="M18" s="36">
        <f t="shared" si="0"/>
        <v>3110.623333333333</v>
      </c>
    </row>
    <row r="19" spans="1:13" x14ac:dyDescent="0.25">
      <c r="A19" s="186">
        <v>8500</v>
      </c>
      <c r="B19" s="33">
        <f t="shared" si="3"/>
        <v>708.33333333333337</v>
      </c>
      <c r="C19" s="185">
        <f>'Child care subsidy'!S22*12</f>
        <v>0</v>
      </c>
      <c r="D19" s="185">
        <f>MAX('TANF-VIEW'!L26,'TANF-VIEW'!T26)*12</f>
        <v>0</v>
      </c>
      <c r="E19" s="193">
        <f>SNAP!V23*12</f>
        <v>6552</v>
      </c>
      <c r="F19" s="184">
        <f>WIC!F25*12</f>
        <v>0</v>
      </c>
      <c r="G19" s="185">
        <f>'Housing Voucher'!Q23*12</f>
        <v>9174</v>
      </c>
      <c r="H19" s="197">
        <f>EITC!E22</f>
        <v>3468</v>
      </c>
      <c r="I19" s="205">
        <f>Medicaid!N26*12</f>
        <v>10029</v>
      </c>
      <c r="K19" s="185">
        <f t="shared" si="1"/>
        <v>29223</v>
      </c>
      <c r="L19" s="185">
        <f t="shared" si="2"/>
        <v>37723</v>
      </c>
      <c r="M19" s="36">
        <f t="shared" si="0"/>
        <v>3143.5833333333335</v>
      </c>
    </row>
    <row r="20" spans="1:13" x14ac:dyDescent="0.25">
      <c r="A20" s="186">
        <v>9000</v>
      </c>
      <c r="B20" s="33">
        <f t="shared" si="3"/>
        <v>750</v>
      </c>
      <c r="C20" s="185">
        <f>'Child care subsidy'!S23*12</f>
        <v>0</v>
      </c>
      <c r="D20" s="185">
        <f>MAX('TANF-VIEW'!L27,'TANF-VIEW'!T27)*12</f>
        <v>0</v>
      </c>
      <c r="E20" s="193">
        <f>SNAP!V24*12</f>
        <v>6552</v>
      </c>
      <c r="F20" s="184">
        <f>WIC!F26*12</f>
        <v>0</v>
      </c>
      <c r="G20" s="185">
        <f>'Housing Voucher'!Q24*12</f>
        <v>9024</v>
      </c>
      <c r="H20" s="197">
        <f>EITC!E23</f>
        <v>3672</v>
      </c>
      <c r="I20" s="205">
        <f>Medicaid!N27*12</f>
        <v>10029</v>
      </c>
      <c r="K20" s="185">
        <f t="shared" si="1"/>
        <v>29277</v>
      </c>
      <c r="L20" s="185">
        <f t="shared" si="2"/>
        <v>38277</v>
      </c>
      <c r="M20" s="36">
        <f t="shared" si="0"/>
        <v>3189.75</v>
      </c>
    </row>
    <row r="21" spans="1:13" x14ac:dyDescent="0.25">
      <c r="A21" s="186">
        <v>9500</v>
      </c>
      <c r="B21" s="33">
        <f t="shared" si="3"/>
        <v>791.66666666666663</v>
      </c>
      <c r="C21" s="185">
        <f>'Child care subsidy'!S24*12</f>
        <v>0</v>
      </c>
      <c r="D21" s="185">
        <f>MAX('TANF-VIEW'!L28,'TANF-VIEW'!T28)*12</f>
        <v>0</v>
      </c>
      <c r="E21" s="193">
        <f>SNAP!V25*12</f>
        <v>6552</v>
      </c>
      <c r="F21" s="184">
        <f>WIC!F27*12</f>
        <v>0</v>
      </c>
      <c r="G21" s="185">
        <f>'Housing Voucher'!Q25*12</f>
        <v>8874</v>
      </c>
      <c r="H21" s="197">
        <f>EITC!E24</f>
        <v>3876.0000000000005</v>
      </c>
      <c r="I21" s="205">
        <f>Medicaid!N28*12</f>
        <v>10029</v>
      </c>
      <c r="K21" s="185">
        <f t="shared" si="1"/>
        <v>29331</v>
      </c>
      <c r="L21" s="185">
        <f t="shared" si="2"/>
        <v>38831</v>
      </c>
      <c r="M21" s="36">
        <f t="shared" si="0"/>
        <v>3235.9166666666665</v>
      </c>
    </row>
    <row r="22" spans="1:13" x14ac:dyDescent="0.25">
      <c r="A22" s="186">
        <v>10000</v>
      </c>
      <c r="B22" s="33">
        <f t="shared" si="3"/>
        <v>833.33333333333337</v>
      </c>
      <c r="C22" s="185">
        <f>'Child care subsidy'!S25*12</f>
        <v>0</v>
      </c>
      <c r="D22" s="185">
        <f>MAX('TANF-VIEW'!L29,'TANF-VIEW'!T29)*12</f>
        <v>0</v>
      </c>
      <c r="E22" s="193">
        <f>SNAP!V26*12</f>
        <v>6552</v>
      </c>
      <c r="F22" s="184">
        <f>WIC!F28*12</f>
        <v>0</v>
      </c>
      <c r="G22" s="185">
        <f>'Housing Voucher'!Q26*12</f>
        <v>8724</v>
      </c>
      <c r="H22" s="197">
        <f>EITC!E25</f>
        <v>4080.0000000000005</v>
      </c>
      <c r="I22" s="205">
        <f>Medicaid!N29*12</f>
        <v>10029</v>
      </c>
      <c r="K22" s="185">
        <f t="shared" si="1"/>
        <v>29385</v>
      </c>
      <c r="L22" s="185">
        <f t="shared" si="2"/>
        <v>39385</v>
      </c>
      <c r="M22" s="36">
        <f t="shared" si="0"/>
        <v>3282.0833333333335</v>
      </c>
    </row>
    <row r="23" spans="1:13" x14ac:dyDescent="0.25">
      <c r="A23" s="186">
        <v>10500</v>
      </c>
      <c r="B23" s="33">
        <f t="shared" si="3"/>
        <v>875</v>
      </c>
      <c r="C23" s="185">
        <f>'Child care subsidy'!S26*12</f>
        <v>0</v>
      </c>
      <c r="D23" s="185">
        <f>MAX('TANF-VIEW'!L30,'TANF-VIEW'!T30)*12</f>
        <v>0</v>
      </c>
      <c r="E23" s="193">
        <f>SNAP!V27*12</f>
        <v>6552</v>
      </c>
      <c r="F23" s="184">
        <f>WIC!F29*12</f>
        <v>0</v>
      </c>
      <c r="G23" s="185">
        <f>'Housing Voucher'!Q27*12</f>
        <v>8574</v>
      </c>
      <c r="H23" s="197">
        <f>EITC!E26</f>
        <v>4284.0000000000009</v>
      </c>
      <c r="I23" s="205">
        <f>Medicaid!N30*12</f>
        <v>10029</v>
      </c>
      <c r="K23" s="185">
        <f t="shared" si="1"/>
        <v>29439</v>
      </c>
      <c r="L23" s="185">
        <f t="shared" si="2"/>
        <v>39939</v>
      </c>
      <c r="M23" s="36">
        <f t="shared" si="0"/>
        <v>3328.25</v>
      </c>
    </row>
    <row r="24" spans="1:13" ht="15.75" customHeight="1" x14ac:dyDescent="0.25">
      <c r="A24" s="186">
        <v>11000</v>
      </c>
      <c r="B24" s="33">
        <f t="shared" si="3"/>
        <v>916.66666666666663</v>
      </c>
      <c r="C24" s="185">
        <f>'Child care subsidy'!S27*12</f>
        <v>0</v>
      </c>
      <c r="D24" s="185">
        <f>MAX('TANF-VIEW'!L31,'TANF-VIEW'!T31)*12</f>
        <v>0</v>
      </c>
      <c r="E24" s="193">
        <f>SNAP!V28*12</f>
        <v>6552</v>
      </c>
      <c r="F24" s="184">
        <f>WIC!F30*12</f>
        <v>0</v>
      </c>
      <c r="G24" s="185">
        <f>'Housing Voucher'!Q28*12</f>
        <v>8424</v>
      </c>
      <c r="H24" s="197">
        <f>EITC!E27</f>
        <v>4488.0000000000009</v>
      </c>
      <c r="I24" s="205">
        <f>Medicaid!N31*12</f>
        <v>10029</v>
      </c>
      <c r="K24" s="185">
        <f t="shared" si="1"/>
        <v>29493</v>
      </c>
      <c r="L24" s="185">
        <f t="shared" si="2"/>
        <v>40493</v>
      </c>
      <c r="M24" s="36">
        <f t="shared" si="0"/>
        <v>3374.4166666666665</v>
      </c>
    </row>
    <row r="25" spans="1:13" ht="15" customHeight="1" x14ac:dyDescent="0.25">
      <c r="A25" s="186">
        <v>11500</v>
      </c>
      <c r="B25" s="33">
        <f t="shared" si="3"/>
        <v>958.33333333333337</v>
      </c>
      <c r="C25" s="185">
        <f>'Child care subsidy'!S28*12</f>
        <v>0</v>
      </c>
      <c r="D25" s="185">
        <f>MAX('TANF-VIEW'!L32,'TANF-VIEW'!T32)*12</f>
        <v>0</v>
      </c>
      <c r="E25" s="193">
        <f>SNAP!V29*12</f>
        <v>6552</v>
      </c>
      <c r="F25" s="184">
        <f>WIC!F31*12</f>
        <v>0</v>
      </c>
      <c r="G25" s="185">
        <f>'Housing Voucher'!Q29*12</f>
        <v>8274</v>
      </c>
      <c r="H25" s="197">
        <f>EITC!E28</f>
        <v>4692.0000000000009</v>
      </c>
      <c r="I25" s="205">
        <f>Medicaid!N32*12</f>
        <v>10029</v>
      </c>
      <c r="K25" s="185">
        <f t="shared" si="1"/>
        <v>29547</v>
      </c>
      <c r="L25" s="185">
        <f t="shared" si="2"/>
        <v>41047</v>
      </c>
      <c r="M25" s="36">
        <f t="shared" si="0"/>
        <v>3420.5833333333335</v>
      </c>
    </row>
    <row r="26" spans="1:13" ht="15" customHeight="1" x14ac:dyDescent="0.25">
      <c r="A26" s="186">
        <v>12000</v>
      </c>
      <c r="B26" s="33">
        <f t="shared" si="3"/>
        <v>1000</v>
      </c>
      <c r="C26" s="185">
        <f>'Child care subsidy'!S29*12</f>
        <v>0</v>
      </c>
      <c r="D26" s="185">
        <f>MAX('TANF-VIEW'!L33,'TANF-VIEW'!T33)*12</f>
        <v>0</v>
      </c>
      <c r="E26" s="193">
        <f>SNAP!V30*12</f>
        <v>6420</v>
      </c>
      <c r="F26" s="184">
        <f>WIC!F32*12</f>
        <v>0</v>
      </c>
      <c r="G26" s="185">
        <f>'Housing Voucher'!Q30*12</f>
        <v>8124</v>
      </c>
      <c r="H26" s="197">
        <f>EITC!E29</f>
        <v>4896.0000000000009</v>
      </c>
      <c r="I26" s="205">
        <f>Medicaid!N33*12</f>
        <v>10029</v>
      </c>
      <c r="K26" s="185">
        <f t="shared" si="1"/>
        <v>29469</v>
      </c>
      <c r="L26" s="185">
        <f t="shared" si="2"/>
        <v>41469</v>
      </c>
      <c r="M26" s="36">
        <f t="shared" si="0"/>
        <v>3455.75</v>
      </c>
    </row>
    <row r="27" spans="1:13" ht="15" customHeight="1" x14ac:dyDescent="0.25">
      <c r="A27" s="186">
        <v>12500</v>
      </c>
      <c r="B27" s="33">
        <f t="shared" si="3"/>
        <v>1041.6666666666667</v>
      </c>
      <c r="C27" s="185">
        <f>'Child care subsidy'!S30*12</f>
        <v>0</v>
      </c>
      <c r="D27" s="185">
        <f>MAX('TANF-VIEW'!L34,'TANF-VIEW'!T34)*12</f>
        <v>0</v>
      </c>
      <c r="E27" s="193">
        <f>SNAP!V31*12</f>
        <v>6240</v>
      </c>
      <c r="F27" s="184">
        <f>WIC!F33*12</f>
        <v>0</v>
      </c>
      <c r="G27" s="185">
        <f>'Housing Voucher'!Q31*12</f>
        <v>7974</v>
      </c>
      <c r="H27" s="197">
        <f>EITC!E30</f>
        <v>5100</v>
      </c>
      <c r="I27" s="205">
        <f>Medicaid!N34*12</f>
        <v>10029</v>
      </c>
      <c r="K27" s="185">
        <f t="shared" si="1"/>
        <v>29343</v>
      </c>
      <c r="L27" s="185">
        <f t="shared" si="2"/>
        <v>41843</v>
      </c>
      <c r="M27" s="36">
        <f t="shared" si="0"/>
        <v>3486.9166666666665</v>
      </c>
    </row>
    <row r="28" spans="1:13" x14ac:dyDescent="0.25">
      <c r="A28" s="186">
        <v>13000</v>
      </c>
      <c r="B28" s="33">
        <f t="shared" si="3"/>
        <v>1083.3333333333333</v>
      </c>
      <c r="C28" s="185">
        <f>'Child care subsidy'!S31*12</f>
        <v>0</v>
      </c>
      <c r="D28" s="185">
        <f>MAX('TANF-VIEW'!L35,'TANF-VIEW'!T35)*12</f>
        <v>0</v>
      </c>
      <c r="E28" s="193">
        <f>SNAP!V32*12</f>
        <v>6060</v>
      </c>
      <c r="F28" s="184">
        <f>WIC!F34*12</f>
        <v>0</v>
      </c>
      <c r="G28" s="185">
        <f>'Housing Voucher'!Q32*12</f>
        <v>7824</v>
      </c>
      <c r="H28" s="197">
        <f>EITC!E31</f>
        <v>5304</v>
      </c>
      <c r="I28" s="205">
        <f>Medicaid!N35*12</f>
        <v>10029</v>
      </c>
      <c r="K28" s="185">
        <f t="shared" si="1"/>
        <v>29217</v>
      </c>
      <c r="L28" s="185">
        <f t="shared" si="2"/>
        <v>42217</v>
      </c>
      <c r="M28" s="36">
        <f t="shared" si="0"/>
        <v>3518.0833333333335</v>
      </c>
    </row>
    <row r="29" spans="1:13" x14ac:dyDescent="0.25">
      <c r="A29" s="186">
        <v>13500</v>
      </c>
      <c r="B29" s="33">
        <f t="shared" si="3"/>
        <v>1125</v>
      </c>
      <c r="C29" s="185">
        <f>'Child care subsidy'!S32*12</f>
        <v>0</v>
      </c>
      <c r="D29" s="185">
        <f>MAX('TANF-VIEW'!L36,'TANF-VIEW'!T36)*12</f>
        <v>0</v>
      </c>
      <c r="E29" s="193">
        <f>SNAP!V33*12</f>
        <v>5880</v>
      </c>
      <c r="F29" s="184">
        <f>WIC!F35*12</f>
        <v>0</v>
      </c>
      <c r="G29" s="185">
        <f>'Housing Voucher'!Q33*12</f>
        <v>7674</v>
      </c>
      <c r="H29" s="197">
        <f>EITC!E32</f>
        <v>5312.4</v>
      </c>
      <c r="I29" s="205">
        <f>Medicaid!N36*12</f>
        <v>10029</v>
      </c>
      <c r="K29" s="185">
        <f t="shared" si="1"/>
        <v>28895.4</v>
      </c>
      <c r="L29" s="185">
        <f t="shared" si="2"/>
        <v>42395.4</v>
      </c>
      <c r="M29" s="36">
        <f t="shared" si="0"/>
        <v>3532.9500000000003</v>
      </c>
    </row>
    <row r="30" spans="1:13" x14ac:dyDescent="0.25">
      <c r="A30" s="186">
        <v>14000</v>
      </c>
      <c r="B30" s="33">
        <f t="shared" si="3"/>
        <v>1166.6666666666667</v>
      </c>
      <c r="C30" s="185">
        <f>'Child care subsidy'!S33*12</f>
        <v>0</v>
      </c>
      <c r="D30" s="185">
        <f>MAX('TANF-VIEW'!L37,'TANF-VIEW'!T37)*12</f>
        <v>0</v>
      </c>
      <c r="E30" s="193">
        <f>SNAP!V34*12</f>
        <v>5700</v>
      </c>
      <c r="F30" s="184">
        <f>WIC!F36*12</f>
        <v>0</v>
      </c>
      <c r="G30" s="185">
        <f>'Housing Voucher'!Q34*12</f>
        <v>7524</v>
      </c>
      <c r="H30" s="197">
        <f>EITC!E33</f>
        <v>5312.4</v>
      </c>
      <c r="I30" s="205">
        <f>Medicaid!N37*12</f>
        <v>10029</v>
      </c>
      <c r="K30" s="185">
        <f t="shared" si="1"/>
        <v>28565.4</v>
      </c>
      <c r="L30" s="185">
        <f t="shared" si="2"/>
        <v>42565.4</v>
      </c>
      <c r="M30" s="36">
        <f t="shared" si="0"/>
        <v>3547.1166666666668</v>
      </c>
    </row>
    <row r="31" spans="1:13" x14ac:dyDescent="0.25">
      <c r="A31" s="186">
        <v>14500</v>
      </c>
      <c r="B31" s="33">
        <f t="shared" si="3"/>
        <v>1208.3333333333333</v>
      </c>
      <c r="C31" s="185">
        <f>'Child care subsidy'!S34*12</f>
        <v>0</v>
      </c>
      <c r="D31" s="185">
        <f>MAX('TANF-VIEW'!L38,'TANF-VIEW'!T38)*12</f>
        <v>0</v>
      </c>
      <c r="E31" s="193">
        <f>SNAP!V35*12</f>
        <v>5520</v>
      </c>
      <c r="F31" s="184">
        <f>WIC!F37*12</f>
        <v>0</v>
      </c>
      <c r="G31" s="185">
        <f>'Housing Voucher'!Q35*12</f>
        <v>7374</v>
      </c>
      <c r="H31" s="197">
        <f>EITC!E34</f>
        <v>5312.4</v>
      </c>
      <c r="I31" s="205">
        <f>Medicaid!N38*12</f>
        <v>10029</v>
      </c>
      <c r="K31" s="185">
        <f t="shared" si="1"/>
        <v>28235.4</v>
      </c>
      <c r="L31" s="185">
        <f t="shared" si="2"/>
        <v>42735.4</v>
      </c>
      <c r="M31" s="36">
        <f t="shared" si="0"/>
        <v>3561.2833333333333</v>
      </c>
    </row>
    <row r="32" spans="1:13" x14ac:dyDescent="0.25">
      <c r="A32" s="186">
        <v>15000</v>
      </c>
      <c r="B32" s="33">
        <f t="shared" si="3"/>
        <v>1250</v>
      </c>
      <c r="C32" s="185">
        <f>'Child care subsidy'!S35*12</f>
        <v>0</v>
      </c>
      <c r="D32" s="185">
        <f>MAX('TANF-VIEW'!L39,'TANF-VIEW'!T39)*12</f>
        <v>0</v>
      </c>
      <c r="E32" s="193">
        <f>SNAP!V36*12</f>
        <v>5340</v>
      </c>
      <c r="F32" s="184">
        <f>WIC!F38*12</f>
        <v>0</v>
      </c>
      <c r="G32" s="185">
        <f>'Housing Voucher'!Q36*12</f>
        <v>7224</v>
      </c>
      <c r="H32" s="197">
        <f>EITC!E35</f>
        <v>5312.4</v>
      </c>
      <c r="I32" s="205">
        <f>Medicaid!N39*12</f>
        <v>10029</v>
      </c>
      <c r="K32" s="185">
        <f t="shared" si="1"/>
        <v>27905.4</v>
      </c>
      <c r="L32" s="185">
        <f t="shared" si="2"/>
        <v>42905.4</v>
      </c>
      <c r="M32" s="36">
        <f t="shared" si="0"/>
        <v>3575.4500000000003</v>
      </c>
    </row>
    <row r="33" spans="1:13" x14ac:dyDescent="0.25">
      <c r="A33" s="186">
        <v>15500</v>
      </c>
      <c r="B33" s="33">
        <f t="shared" si="3"/>
        <v>1291.6666666666667</v>
      </c>
      <c r="C33" s="185">
        <f>'Child care subsidy'!S36*12</f>
        <v>0</v>
      </c>
      <c r="D33" s="185">
        <f>MAX('TANF-VIEW'!L40,'TANF-VIEW'!T40)*12</f>
        <v>0</v>
      </c>
      <c r="E33" s="193">
        <f>SNAP!V37*12</f>
        <v>5160</v>
      </c>
      <c r="F33" s="184">
        <f>WIC!F39*12</f>
        <v>0</v>
      </c>
      <c r="G33" s="185">
        <f>'Housing Voucher'!Q37*12</f>
        <v>7074</v>
      </c>
      <c r="H33" s="197">
        <f>EITC!E36</f>
        <v>5312.4</v>
      </c>
      <c r="I33" s="205">
        <f>Medicaid!N40*12</f>
        <v>10029</v>
      </c>
      <c r="K33" s="185">
        <f t="shared" si="1"/>
        <v>27575.4</v>
      </c>
      <c r="L33" s="185">
        <f t="shared" si="2"/>
        <v>43075.4</v>
      </c>
      <c r="M33" s="36">
        <f t="shared" si="0"/>
        <v>3589.6166666666668</v>
      </c>
    </row>
    <row r="34" spans="1:13" x14ac:dyDescent="0.25">
      <c r="A34" s="186">
        <v>16000</v>
      </c>
      <c r="B34" s="33">
        <f t="shared" si="3"/>
        <v>1333.3333333333333</v>
      </c>
      <c r="C34" s="185">
        <f>'Child care subsidy'!S37*12</f>
        <v>0</v>
      </c>
      <c r="D34" s="185">
        <f>MAX('TANF-VIEW'!L41,'TANF-VIEW'!T41)*12</f>
        <v>0</v>
      </c>
      <c r="E34" s="193">
        <f>SNAP!V38*12</f>
        <v>4980</v>
      </c>
      <c r="F34" s="184">
        <f>WIC!F40*12</f>
        <v>0</v>
      </c>
      <c r="G34" s="185">
        <f>'Housing Voucher'!Q38*12</f>
        <v>6924</v>
      </c>
      <c r="H34" s="197">
        <f>EITC!E37</f>
        <v>5312.4</v>
      </c>
      <c r="I34" s="205">
        <f>Medicaid!N41*12</f>
        <v>10029</v>
      </c>
      <c r="K34" s="185">
        <f t="shared" si="1"/>
        <v>27245.4</v>
      </c>
      <c r="L34" s="185">
        <f t="shared" si="2"/>
        <v>43245.4</v>
      </c>
      <c r="M34" s="36">
        <f t="shared" si="0"/>
        <v>3603.7833333333333</v>
      </c>
    </row>
    <row r="35" spans="1:13" x14ac:dyDescent="0.25">
      <c r="A35" s="186">
        <v>16500</v>
      </c>
      <c r="B35" s="33">
        <f t="shared" si="3"/>
        <v>1375</v>
      </c>
      <c r="C35" s="185">
        <f>'Child care subsidy'!S38*12</f>
        <v>0</v>
      </c>
      <c r="D35" s="185">
        <f>MAX('TANF-VIEW'!L42,'TANF-VIEW'!T42)*12</f>
        <v>0</v>
      </c>
      <c r="E35" s="193">
        <f>SNAP!V39*12</f>
        <v>4800</v>
      </c>
      <c r="F35" s="184">
        <f>WIC!F41*12</f>
        <v>0</v>
      </c>
      <c r="G35" s="185">
        <f>'Housing Voucher'!Q39*12</f>
        <v>6774</v>
      </c>
      <c r="H35" s="197">
        <f>EITC!E38</f>
        <v>5312.4</v>
      </c>
      <c r="I35" s="205">
        <f>Medicaid!N42*12</f>
        <v>10029</v>
      </c>
      <c r="K35" s="185">
        <f t="shared" si="1"/>
        <v>26915.4</v>
      </c>
      <c r="L35" s="185">
        <f t="shared" si="2"/>
        <v>43415.4</v>
      </c>
      <c r="M35" s="36">
        <f t="shared" si="0"/>
        <v>3617.9500000000003</v>
      </c>
    </row>
    <row r="36" spans="1:13" x14ac:dyDescent="0.25">
      <c r="A36" s="186">
        <v>17000</v>
      </c>
      <c r="B36" s="33">
        <f t="shared" si="3"/>
        <v>1416.6666666666667</v>
      </c>
      <c r="C36" s="185">
        <f>'Child care subsidy'!S39*12</f>
        <v>0</v>
      </c>
      <c r="D36" s="185">
        <f>MAX('TANF-VIEW'!L43,'TANF-VIEW'!T43)*12</f>
        <v>0</v>
      </c>
      <c r="E36" s="193">
        <f>SNAP!V40*12</f>
        <v>4620</v>
      </c>
      <c r="F36" s="184">
        <f>WIC!F42*12</f>
        <v>0</v>
      </c>
      <c r="G36" s="185">
        <f>'Housing Voucher'!Q40*12</f>
        <v>6624</v>
      </c>
      <c r="H36" s="197">
        <f>EITC!E39</f>
        <v>5312.4</v>
      </c>
      <c r="I36" s="205">
        <f>Medicaid!N43*12</f>
        <v>10029</v>
      </c>
      <c r="K36" s="185">
        <f t="shared" si="1"/>
        <v>26585.4</v>
      </c>
      <c r="L36" s="185">
        <f t="shared" si="2"/>
        <v>43585.4</v>
      </c>
      <c r="M36" s="36">
        <f t="shared" si="0"/>
        <v>3632.1166666666668</v>
      </c>
    </row>
    <row r="37" spans="1:13" x14ac:dyDescent="0.25">
      <c r="A37" s="186">
        <v>17500</v>
      </c>
      <c r="B37" s="33">
        <f t="shared" si="3"/>
        <v>1458.3333333333333</v>
      </c>
      <c r="C37" s="185">
        <f>'Child care subsidy'!S40*12</f>
        <v>0</v>
      </c>
      <c r="D37" s="185">
        <f>MAX('TANF-VIEW'!L44,'TANF-VIEW'!T44)*12</f>
        <v>0</v>
      </c>
      <c r="E37" s="193">
        <f>SNAP!V41*12</f>
        <v>4440</v>
      </c>
      <c r="F37" s="184">
        <f>WIC!F43*12</f>
        <v>0</v>
      </c>
      <c r="G37" s="185">
        <f>'Housing Voucher'!Q41*12</f>
        <v>6474</v>
      </c>
      <c r="H37" s="197">
        <f>EITC!E40</f>
        <v>5312.4</v>
      </c>
      <c r="I37" s="205">
        <f>Medicaid!N44*12</f>
        <v>10029</v>
      </c>
      <c r="K37" s="185">
        <f t="shared" si="1"/>
        <v>26255.4</v>
      </c>
      <c r="L37" s="185">
        <f t="shared" si="2"/>
        <v>43755.4</v>
      </c>
      <c r="M37" s="36">
        <f t="shared" si="0"/>
        <v>3646.2833333333333</v>
      </c>
    </row>
    <row r="38" spans="1:13" x14ac:dyDescent="0.25">
      <c r="A38" s="186">
        <v>18000</v>
      </c>
      <c r="B38" s="33">
        <f t="shared" si="3"/>
        <v>1500</v>
      </c>
      <c r="C38" s="185">
        <f>'Child care subsidy'!S41*12</f>
        <v>0</v>
      </c>
      <c r="D38" s="185">
        <f>MAX('TANF-VIEW'!L45,'TANF-VIEW'!T45)*12</f>
        <v>0</v>
      </c>
      <c r="E38" s="193">
        <f>SNAP!V42*12</f>
        <v>4260</v>
      </c>
      <c r="F38" s="184">
        <f>WIC!F44*12</f>
        <v>0</v>
      </c>
      <c r="G38" s="185">
        <f>'Housing Voucher'!Q42*12</f>
        <v>6324</v>
      </c>
      <c r="H38" s="197">
        <f>EITC!E41</f>
        <v>5312.4</v>
      </c>
      <c r="I38" s="205">
        <f>Medicaid!N45*12</f>
        <v>10029</v>
      </c>
      <c r="K38" s="185">
        <f t="shared" si="1"/>
        <v>25925.4</v>
      </c>
      <c r="L38" s="185">
        <f t="shared" si="2"/>
        <v>43925.4</v>
      </c>
      <c r="M38" s="36">
        <f t="shared" si="0"/>
        <v>3660.4500000000003</v>
      </c>
    </row>
    <row r="39" spans="1:13" ht="15" customHeight="1" x14ac:dyDescent="0.25">
      <c r="A39" s="186">
        <v>18500</v>
      </c>
      <c r="B39" s="33">
        <f t="shared" si="3"/>
        <v>1541.6666666666667</v>
      </c>
      <c r="C39" s="185">
        <f>'Child care subsidy'!S42*12</f>
        <v>0</v>
      </c>
      <c r="D39" s="185">
        <f>MAX('TANF-VIEW'!L46,'TANF-VIEW'!T46)*12</f>
        <v>0</v>
      </c>
      <c r="E39" s="193">
        <f>SNAP!V43*12</f>
        <v>4080</v>
      </c>
      <c r="F39" s="184">
        <f>WIC!F45*12</f>
        <v>0</v>
      </c>
      <c r="G39" s="185">
        <f>'Housing Voucher'!Q43*12</f>
        <v>6174</v>
      </c>
      <c r="H39" s="197">
        <f>EITC!E42</f>
        <v>5312.4</v>
      </c>
      <c r="I39" s="205">
        <f>Medicaid!N46*12</f>
        <v>10029</v>
      </c>
      <c r="K39" s="185">
        <f t="shared" si="1"/>
        <v>25595.4</v>
      </c>
      <c r="L39" s="185">
        <f t="shared" si="2"/>
        <v>44095.4</v>
      </c>
      <c r="M39" s="36">
        <f t="shared" si="0"/>
        <v>3674.6166666666668</v>
      </c>
    </row>
    <row r="40" spans="1:13" x14ac:dyDescent="0.25">
      <c r="A40" s="186">
        <v>19000</v>
      </c>
      <c r="B40" s="33">
        <f t="shared" si="3"/>
        <v>1583.3333333333333</v>
      </c>
      <c r="C40" s="185">
        <f>'Child care subsidy'!S43*12</f>
        <v>0</v>
      </c>
      <c r="D40" s="185">
        <f>MAX('TANF-VIEW'!L47,'TANF-VIEW'!T47)*12</f>
        <v>0</v>
      </c>
      <c r="E40" s="193">
        <f>SNAP!V44*12</f>
        <v>3900</v>
      </c>
      <c r="F40" s="184">
        <f>WIC!F46*12</f>
        <v>0</v>
      </c>
      <c r="G40" s="185">
        <f>'Housing Voucher'!Q44*12</f>
        <v>6024.0000000000009</v>
      </c>
      <c r="H40" s="197">
        <f>EITC!E43</f>
        <v>5312.4</v>
      </c>
      <c r="I40" s="205">
        <f>Medicaid!N47*12</f>
        <v>10029</v>
      </c>
      <c r="K40" s="185">
        <f t="shared" si="1"/>
        <v>25265.4</v>
      </c>
      <c r="L40" s="185">
        <f t="shared" si="2"/>
        <v>44265.4</v>
      </c>
      <c r="M40" s="36">
        <f t="shared" si="0"/>
        <v>3688.7833333333333</v>
      </c>
    </row>
    <row r="41" spans="1:13" x14ac:dyDescent="0.25">
      <c r="A41" s="186">
        <v>19500</v>
      </c>
      <c r="B41" s="33">
        <f t="shared" si="3"/>
        <v>1625</v>
      </c>
      <c r="C41" s="185">
        <f>'Child care subsidy'!S44*12</f>
        <v>0</v>
      </c>
      <c r="D41" s="185">
        <f>MAX('TANF-VIEW'!L48,'TANF-VIEW'!T48)*12</f>
        <v>0</v>
      </c>
      <c r="E41" s="193">
        <f>SNAP!V45*12</f>
        <v>3720</v>
      </c>
      <c r="F41" s="184">
        <f>WIC!F47*12</f>
        <v>0</v>
      </c>
      <c r="G41" s="185">
        <f>'Housing Voucher'!Q45*12</f>
        <v>5874</v>
      </c>
      <c r="H41" s="197">
        <f>EITC!E44</f>
        <v>5312.4</v>
      </c>
      <c r="I41" s="205">
        <f>Medicaid!N48*12</f>
        <v>10029</v>
      </c>
      <c r="K41" s="185">
        <f t="shared" si="1"/>
        <v>24935.4</v>
      </c>
      <c r="L41" s="185">
        <f t="shared" si="2"/>
        <v>44435.4</v>
      </c>
      <c r="M41" s="36">
        <f t="shared" si="0"/>
        <v>3702.9500000000003</v>
      </c>
    </row>
    <row r="42" spans="1:13" x14ac:dyDescent="0.25">
      <c r="A42" s="186">
        <v>20000</v>
      </c>
      <c r="B42" s="33">
        <f t="shared" si="3"/>
        <v>1666.6666666666667</v>
      </c>
      <c r="C42" s="185">
        <f>'Child care subsidy'!S45*12</f>
        <v>0</v>
      </c>
      <c r="D42" s="185">
        <f>MAX('TANF-VIEW'!L49,'TANF-VIEW'!T49)*12</f>
        <v>0</v>
      </c>
      <c r="E42" s="193">
        <f>SNAP!V46*12</f>
        <v>3540</v>
      </c>
      <c r="F42" s="184">
        <f>WIC!F48*12</f>
        <v>0</v>
      </c>
      <c r="G42" s="185">
        <f>'Housing Voucher'!Q46*12</f>
        <v>5724</v>
      </c>
      <c r="H42" s="197">
        <f>EITC!E45</f>
        <v>5312.4</v>
      </c>
      <c r="I42" s="205">
        <f>Medicaid!N49*12</f>
        <v>10029</v>
      </c>
      <c r="K42" s="185">
        <f t="shared" si="1"/>
        <v>24605.4</v>
      </c>
      <c r="L42" s="185">
        <f t="shared" si="2"/>
        <v>44605.4</v>
      </c>
      <c r="M42" s="36">
        <f t="shared" si="0"/>
        <v>3717.1166666666668</v>
      </c>
    </row>
    <row r="43" spans="1:13" x14ac:dyDescent="0.25">
      <c r="A43" s="186">
        <v>20500</v>
      </c>
      <c r="B43" s="33">
        <f t="shared" si="3"/>
        <v>1708.3333333333333</v>
      </c>
      <c r="C43" s="185">
        <f>'Child care subsidy'!S46*12</f>
        <v>0</v>
      </c>
      <c r="D43" s="185">
        <f>MAX('TANF-VIEW'!L50,'TANF-VIEW'!T50)*12</f>
        <v>0</v>
      </c>
      <c r="E43" s="193">
        <f>SNAP!V47*12</f>
        <v>3360</v>
      </c>
      <c r="F43" s="184">
        <f>WIC!F49*12</f>
        <v>0</v>
      </c>
      <c r="G43" s="185">
        <f>'Housing Voucher'!Q47*12</f>
        <v>5574</v>
      </c>
      <c r="H43" s="197">
        <f>EITC!E46</f>
        <v>5312.4</v>
      </c>
      <c r="I43" s="205">
        <f>Medicaid!N50*12</f>
        <v>10029</v>
      </c>
      <c r="K43" s="185">
        <f t="shared" si="1"/>
        <v>24275.4</v>
      </c>
      <c r="L43" s="185">
        <f t="shared" si="2"/>
        <v>44775.4</v>
      </c>
      <c r="M43" s="36">
        <f t="shared" si="0"/>
        <v>3731.2833333333333</v>
      </c>
    </row>
    <row r="44" spans="1:13" x14ac:dyDescent="0.25">
      <c r="A44" s="186">
        <v>21000</v>
      </c>
      <c r="B44" s="33">
        <f t="shared" si="3"/>
        <v>1750</v>
      </c>
      <c r="C44" s="185">
        <f>'Child care subsidy'!S47*12</f>
        <v>0</v>
      </c>
      <c r="D44" s="185">
        <f>MAX('TANF-VIEW'!L51,'TANF-VIEW'!T51)*12</f>
        <v>0</v>
      </c>
      <c r="E44" s="193">
        <f>SNAP!V48*12</f>
        <v>3180</v>
      </c>
      <c r="F44" s="184">
        <f>WIC!F50*12</f>
        <v>0</v>
      </c>
      <c r="G44" s="185">
        <f>'Housing Voucher'!Q48*12</f>
        <v>5424</v>
      </c>
      <c r="H44" s="197">
        <f>EITC!E47</f>
        <v>5312.4</v>
      </c>
      <c r="I44" s="205">
        <f>Medicaid!N51*12</f>
        <v>10029</v>
      </c>
      <c r="K44" s="185">
        <f t="shared" si="1"/>
        <v>23945.4</v>
      </c>
      <c r="L44" s="185">
        <f t="shared" si="2"/>
        <v>44945.4</v>
      </c>
      <c r="M44" s="36">
        <f t="shared" si="0"/>
        <v>3745.4500000000003</v>
      </c>
    </row>
    <row r="45" spans="1:13" x14ac:dyDescent="0.25">
      <c r="A45" s="186">
        <v>21500</v>
      </c>
      <c r="B45" s="33">
        <f t="shared" si="3"/>
        <v>1791.6666666666667</v>
      </c>
      <c r="C45" s="185">
        <f>'Child care subsidy'!S48*12</f>
        <v>0</v>
      </c>
      <c r="D45" s="185">
        <f>MAX('TANF-VIEW'!L52,'TANF-VIEW'!T52)*12</f>
        <v>0</v>
      </c>
      <c r="E45" s="193">
        <f>SNAP!V49*12</f>
        <v>3000</v>
      </c>
      <c r="F45" s="184">
        <f>WIC!F51*12</f>
        <v>0</v>
      </c>
      <c r="G45" s="185">
        <f>'Housing Voucher'!Q49*12</f>
        <v>5274</v>
      </c>
      <c r="H45" s="197">
        <f>EITC!E48</f>
        <v>5312.4</v>
      </c>
      <c r="I45" s="205">
        <f>Medicaid!N52*12</f>
        <v>10029</v>
      </c>
      <c r="K45" s="185">
        <f t="shared" si="1"/>
        <v>23615.4</v>
      </c>
      <c r="L45" s="185">
        <f t="shared" si="2"/>
        <v>45115.4</v>
      </c>
      <c r="M45" s="36">
        <f t="shared" si="0"/>
        <v>3759.6166666666668</v>
      </c>
    </row>
    <row r="46" spans="1:13" x14ac:dyDescent="0.25">
      <c r="A46" s="186">
        <v>22000</v>
      </c>
      <c r="B46" s="33">
        <f t="shared" si="3"/>
        <v>1833.3333333333333</v>
      </c>
      <c r="C46" s="185">
        <f>'Child care subsidy'!S49*12</f>
        <v>0</v>
      </c>
      <c r="D46" s="185">
        <f>MAX('TANF-VIEW'!L53,'TANF-VIEW'!T53)*12</f>
        <v>0</v>
      </c>
      <c r="E46" s="193">
        <f>SNAP!V50*12</f>
        <v>2820</v>
      </c>
      <c r="F46" s="184">
        <f>WIC!F52*12</f>
        <v>0</v>
      </c>
      <c r="G46" s="185">
        <f>'Housing Voucher'!Q50*12</f>
        <v>5124</v>
      </c>
      <c r="H46" s="197">
        <f>EITC!E49</f>
        <v>5312.4</v>
      </c>
      <c r="I46" s="205">
        <f>Medicaid!N53*12</f>
        <v>10029</v>
      </c>
      <c r="K46" s="185">
        <f t="shared" si="1"/>
        <v>23285.4</v>
      </c>
      <c r="L46" s="185">
        <f t="shared" si="2"/>
        <v>45285.4</v>
      </c>
      <c r="M46" s="36">
        <f t="shared" si="0"/>
        <v>3773.7833333333333</v>
      </c>
    </row>
    <row r="47" spans="1:13" x14ac:dyDescent="0.25">
      <c r="A47" s="186">
        <v>22500</v>
      </c>
      <c r="B47" s="33">
        <f t="shared" si="3"/>
        <v>1875</v>
      </c>
      <c r="C47" s="185">
        <f>'Child care subsidy'!S50*12</f>
        <v>0</v>
      </c>
      <c r="D47" s="185">
        <f>MAX('TANF-VIEW'!L54,'TANF-VIEW'!T54)*12</f>
        <v>0</v>
      </c>
      <c r="E47" s="193">
        <f>SNAP!V51*12</f>
        <v>2640</v>
      </c>
      <c r="F47" s="184">
        <f>WIC!F53*12</f>
        <v>0</v>
      </c>
      <c r="G47" s="185">
        <f>'Housing Voucher'!Q51*12</f>
        <v>4974</v>
      </c>
      <c r="H47" s="197">
        <f>EITC!E50</f>
        <v>5312.4</v>
      </c>
      <c r="I47" s="205">
        <f>Medicaid!N54*12</f>
        <v>10029</v>
      </c>
      <c r="K47" s="185">
        <f t="shared" si="1"/>
        <v>22955.4</v>
      </c>
      <c r="L47" s="185">
        <f t="shared" si="2"/>
        <v>45455.4</v>
      </c>
      <c r="M47" s="36">
        <f t="shared" si="0"/>
        <v>3787.9500000000003</v>
      </c>
    </row>
    <row r="48" spans="1:13" x14ac:dyDescent="0.25">
      <c r="A48" s="186">
        <v>23000</v>
      </c>
      <c r="B48" s="33">
        <f t="shared" si="3"/>
        <v>1916.6666666666667</v>
      </c>
      <c r="C48" s="185">
        <f>'Child care subsidy'!S51*12</f>
        <v>0</v>
      </c>
      <c r="D48" s="185">
        <f>MAX('TANF-VIEW'!L55,'TANF-VIEW'!T55)*12</f>
        <v>0</v>
      </c>
      <c r="E48" s="193">
        <f>SNAP!V52*12</f>
        <v>2460</v>
      </c>
      <c r="F48" s="184">
        <f>WIC!F54*12</f>
        <v>0</v>
      </c>
      <c r="G48" s="185">
        <f>'Housing Voucher'!Q52*12</f>
        <v>4824</v>
      </c>
      <c r="H48" s="197">
        <f>EITC!E51</f>
        <v>5312.4</v>
      </c>
      <c r="I48" s="205">
        <f>Medicaid!N55*12</f>
        <v>10029</v>
      </c>
      <c r="K48" s="185">
        <f t="shared" si="1"/>
        <v>22625.4</v>
      </c>
      <c r="L48" s="185">
        <f t="shared" si="2"/>
        <v>45625.4</v>
      </c>
      <c r="M48" s="36">
        <f t="shared" si="0"/>
        <v>3802.1166666666668</v>
      </c>
    </row>
    <row r="49" spans="1:13" x14ac:dyDescent="0.25">
      <c r="A49" s="186">
        <v>23500</v>
      </c>
      <c r="B49" s="33">
        <f t="shared" si="3"/>
        <v>1958.3333333333333</v>
      </c>
      <c r="C49" s="185">
        <f>'Child care subsidy'!S52*12</f>
        <v>0</v>
      </c>
      <c r="D49" s="185">
        <f>MAX('TANF-VIEW'!L56,'TANF-VIEW'!T56)*12</f>
        <v>0</v>
      </c>
      <c r="E49" s="193">
        <f>SNAP!V53*12</f>
        <v>2280</v>
      </c>
      <c r="F49" s="184">
        <f>WIC!F55*12</f>
        <v>0</v>
      </c>
      <c r="G49" s="185">
        <f>'Housing Voucher'!Q53*12</f>
        <v>4674.0000000000018</v>
      </c>
      <c r="H49" s="197">
        <f>EITC!E52</f>
        <v>5312.4</v>
      </c>
      <c r="I49" s="205">
        <f>Medicaid!N56*12</f>
        <v>10029</v>
      </c>
      <c r="K49" s="185">
        <f t="shared" si="1"/>
        <v>22295.4</v>
      </c>
      <c r="L49" s="185">
        <f t="shared" si="2"/>
        <v>45795.4</v>
      </c>
      <c r="M49" s="36">
        <f t="shared" si="0"/>
        <v>3816.2833333333333</v>
      </c>
    </row>
    <row r="50" spans="1:13" x14ac:dyDescent="0.25">
      <c r="A50" s="186">
        <v>24000</v>
      </c>
      <c r="B50" s="33">
        <f t="shared" si="3"/>
        <v>2000</v>
      </c>
      <c r="C50" s="185">
        <f>'Child care subsidy'!S53*12</f>
        <v>0</v>
      </c>
      <c r="D50" s="185">
        <f>MAX('TANF-VIEW'!L57,'TANF-VIEW'!T57)*12</f>
        <v>0</v>
      </c>
      <c r="E50" s="193">
        <f>SNAP!V54*12</f>
        <v>2100</v>
      </c>
      <c r="F50" s="184">
        <f>WIC!F56*12</f>
        <v>0</v>
      </c>
      <c r="G50" s="185">
        <f>'Housing Voucher'!Q54*12</f>
        <v>4524</v>
      </c>
      <c r="H50" s="197">
        <f>EITC!E53</f>
        <v>5291.4981600000001</v>
      </c>
      <c r="I50" s="205">
        <f>Medicaid!N57*12</f>
        <v>10029</v>
      </c>
      <c r="K50" s="185">
        <f t="shared" si="1"/>
        <v>21944.498159999999</v>
      </c>
      <c r="L50" s="185">
        <f t="shared" si="2"/>
        <v>45944.498160000003</v>
      </c>
      <c r="M50" s="36">
        <f t="shared" si="0"/>
        <v>3828.7081800000001</v>
      </c>
    </row>
    <row r="51" spans="1:13" x14ac:dyDescent="0.25">
      <c r="A51" s="186">
        <v>24500</v>
      </c>
      <c r="B51" s="33">
        <f t="shared" si="3"/>
        <v>2041.6666666666667</v>
      </c>
      <c r="C51" s="185">
        <f>'Child care subsidy'!S54*12</f>
        <v>0</v>
      </c>
      <c r="D51" s="185">
        <f>MAX('TANF-VIEW'!L58,'TANF-VIEW'!T58)*12</f>
        <v>0</v>
      </c>
      <c r="E51" s="193">
        <f>SNAP!V55*12</f>
        <v>1920</v>
      </c>
      <c r="F51" s="184">
        <f>WIC!F57*12</f>
        <v>0</v>
      </c>
      <c r="G51" s="185">
        <f>'Housing Voucher'!Q55*12</f>
        <v>4373.9999999999982</v>
      </c>
      <c r="H51" s="197">
        <f>EITC!E54</f>
        <v>5195.61816</v>
      </c>
      <c r="I51" s="205">
        <f>Medicaid!N58*12</f>
        <v>10029</v>
      </c>
      <c r="K51" s="185">
        <f t="shared" si="1"/>
        <v>21518.618159999998</v>
      </c>
      <c r="L51" s="185">
        <f t="shared" si="2"/>
        <v>46018.618159999998</v>
      </c>
      <c r="M51" s="36">
        <f t="shared" si="0"/>
        <v>3834.8848466666664</v>
      </c>
    </row>
    <row r="52" spans="1:13" x14ac:dyDescent="0.25">
      <c r="A52" s="186">
        <v>25000</v>
      </c>
      <c r="B52" s="33">
        <f t="shared" si="3"/>
        <v>2083.3333333333335</v>
      </c>
      <c r="C52" s="185">
        <f>'Child care subsidy'!S55*12</f>
        <v>0</v>
      </c>
      <c r="D52" s="185">
        <f>MAX('TANF-VIEW'!L59,'TANF-VIEW'!T59)*12</f>
        <v>0</v>
      </c>
      <c r="E52" s="193">
        <f>SNAP!V56*12</f>
        <v>1740</v>
      </c>
      <c r="F52" s="184">
        <f>WIC!F58*12</f>
        <v>0</v>
      </c>
      <c r="G52" s="185">
        <f>'Housing Voucher'!Q56*12</f>
        <v>4224</v>
      </c>
      <c r="H52" s="197">
        <f>EITC!E55</f>
        <v>5099.7381599999999</v>
      </c>
      <c r="I52" s="205">
        <f>Medicaid!N59*12</f>
        <v>10029</v>
      </c>
      <c r="K52" s="185">
        <f t="shared" si="1"/>
        <v>21092.738160000001</v>
      </c>
      <c r="L52" s="185">
        <f t="shared" si="2"/>
        <v>46092.738160000001</v>
      </c>
      <c r="M52" s="36">
        <f t="shared" si="0"/>
        <v>3841.0615133333336</v>
      </c>
    </row>
    <row r="53" spans="1:13" x14ac:dyDescent="0.25">
      <c r="A53" s="186">
        <v>25500</v>
      </c>
      <c r="B53" s="33">
        <f t="shared" si="3"/>
        <v>2125</v>
      </c>
      <c r="C53" s="185">
        <f>'Child care subsidy'!S56*12</f>
        <v>0</v>
      </c>
      <c r="D53" s="185">
        <f>MAX('TANF-VIEW'!L60,'TANF-VIEW'!T60)*12</f>
        <v>0</v>
      </c>
      <c r="E53" s="193">
        <f>SNAP!V57*12</f>
        <v>1560</v>
      </c>
      <c r="F53" s="184">
        <f>WIC!F59*12</f>
        <v>0</v>
      </c>
      <c r="G53" s="185">
        <f>'Housing Voucher'!Q57*12</f>
        <v>4074</v>
      </c>
      <c r="H53" s="197">
        <f>EITC!E56</f>
        <v>5003.8581599999998</v>
      </c>
      <c r="I53" s="205">
        <f>Medicaid!N60*12</f>
        <v>10029</v>
      </c>
      <c r="K53" s="185">
        <f t="shared" si="1"/>
        <v>20666.85816</v>
      </c>
      <c r="L53" s="185">
        <f t="shared" si="2"/>
        <v>46166.858160000003</v>
      </c>
      <c r="M53" s="36">
        <f t="shared" si="0"/>
        <v>3847.2381800000003</v>
      </c>
    </row>
    <row r="54" spans="1:13" x14ac:dyDescent="0.25">
      <c r="A54" s="186">
        <v>26000</v>
      </c>
      <c r="B54" s="33">
        <f t="shared" si="3"/>
        <v>2166.6666666666665</v>
      </c>
      <c r="C54" s="185">
        <f>'Child care subsidy'!S57*12</f>
        <v>0</v>
      </c>
      <c r="D54" s="185">
        <f>MAX('TANF-VIEW'!L61,'TANF-VIEW'!T61)*12</f>
        <v>0</v>
      </c>
      <c r="E54" s="193">
        <f>SNAP!V58*12</f>
        <v>1380</v>
      </c>
      <c r="F54" s="184">
        <f>WIC!F60*12</f>
        <v>0</v>
      </c>
      <c r="G54" s="185">
        <f>'Housing Voucher'!Q58*12</f>
        <v>3924.0000000000014</v>
      </c>
      <c r="H54" s="197">
        <f>EITC!E57</f>
        <v>4907.9781600000006</v>
      </c>
      <c r="I54" s="205">
        <f>Medicaid!N61*12</f>
        <v>10029</v>
      </c>
      <c r="K54" s="185">
        <f t="shared" si="1"/>
        <v>20240.978160000002</v>
      </c>
      <c r="L54" s="185">
        <f t="shared" si="2"/>
        <v>46240.978159999999</v>
      </c>
      <c r="M54" s="36">
        <f t="shared" si="0"/>
        <v>3853.4148466666666</v>
      </c>
    </row>
    <row r="55" spans="1:13" x14ac:dyDescent="0.25">
      <c r="A55" s="206">
        <v>26500</v>
      </c>
      <c r="B55" s="207">
        <f t="shared" si="3"/>
        <v>2208.3333333333335</v>
      </c>
      <c r="C55" s="208">
        <f>'Child care subsidy'!S58*12</f>
        <v>0</v>
      </c>
      <c r="D55" s="208">
        <f>MAX('TANF-VIEW'!L62,'TANF-VIEW'!T62)*12</f>
        <v>0</v>
      </c>
      <c r="E55" s="209">
        <f>SNAP!V59*12</f>
        <v>1200</v>
      </c>
      <c r="F55" s="210">
        <f>WIC!F61*12</f>
        <v>0</v>
      </c>
      <c r="G55" s="208">
        <f>'Housing Voucher'!Q59*12</f>
        <v>3774</v>
      </c>
      <c r="H55" s="211">
        <f>EITC!E58</f>
        <v>4812.0981599999996</v>
      </c>
      <c r="I55" s="212">
        <f>Medicaid!N62*12</f>
        <v>10029</v>
      </c>
      <c r="J55" s="213"/>
      <c r="K55" s="208">
        <f t="shared" si="1"/>
        <v>19815.098160000001</v>
      </c>
      <c r="L55" s="208">
        <f t="shared" si="2"/>
        <v>46315.098160000001</v>
      </c>
      <c r="M55" s="36">
        <f t="shared" si="0"/>
        <v>3859.5915133333333</v>
      </c>
    </row>
    <row r="56" spans="1:13" x14ac:dyDescent="0.25">
      <c r="A56" s="206">
        <v>27000</v>
      </c>
      <c r="B56" s="207">
        <f t="shared" si="3"/>
        <v>2250</v>
      </c>
      <c r="C56" s="208">
        <f>'Child care subsidy'!S59*12</f>
        <v>0</v>
      </c>
      <c r="D56" s="208">
        <f>MAX('TANF-VIEW'!L63,'TANF-VIEW'!T63)*12</f>
        <v>0</v>
      </c>
      <c r="E56" s="209">
        <f>SNAP!V60*12</f>
        <v>1020</v>
      </c>
      <c r="F56" s="210">
        <f>WIC!F62*12</f>
        <v>0</v>
      </c>
      <c r="G56" s="208">
        <f>'Housing Voucher'!Q60*12</f>
        <v>3624</v>
      </c>
      <c r="H56" s="211">
        <f>EITC!E59</f>
        <v>4716.2181600000004</v>
      </c>
      <c r="I56" s="212">
        <f>Medicaid!N63*12</f>
        <v>10029</v>
      </c>
      <c r="J56" s="213"/>
      <c r="K56" s="208">
        <f t="shared" si="1"/>
        <v>19389.21816</v>
      </c>
      <c r="L56" s="208">
        <f t="shared" si="2"/>
        <v>46389.218160000004</v>
      </c>
      <c r="M56" s="36">
        <f t="shared" si="0"/>
        <v>3865.7681800000005</v>
      </c>
    </row>
    <row r="57" spans="1:13" x14ac:dyDescent="0.25">
      <c r="A57" s="186">
        <v>27500</v>
      </c>
      <c r="B57" s="33">
        <f t="shared" si="3"/>
        <v>2291.6666666666665</v>
      </c>
      <c r="C57" s="185">
        <f>'Child care subsidy'!S60*12</f>
        <v>0</v>
      </c>
      <c r="D57" s="185">
        <f>MAX('TANF-VIEW'!L64,'TANF-VIEW'!T64)*12</f>
        <v>0</v>
      </c>
      <c r="E57" s="193">
        <f>SNAP!V61*12</f>
        <v>840</v>
      </c>
      <c r="F57" s="184">
        <f>WIC!F63*12</f>
        <v>0</v>
      </c>
      <c r="G57" s="185">
        <f>'Housing Voucher'!Q61*12</f>
        <v>3474.0000000000014</v>
      </c>
      <c r="H57" s="197">
        <f>EITC!E60</f>
        <v>4620.3381599999993</v>
      </c>
      <c r="I57" s="205">
        <f>Medicaid!N64*12</f>
        <v>10029</v>
      </c>
      <c r="K57" s="185">
        <f t="shared" si="1"/>
        <v>18963.338159999999</v>
      </c>
      <c r="L57" s="185">
        <f t="shared" si="2"/>
        <v>46463.338159999999</v>
      </c>
      <c r="M57" s="36">
        <f t="shared" si="0"/>
        <v>3871.9448466666668</v>
      </c>
    </row>
    <row r="58" spans="1:13" x14ac:dyDescent="0.25">
      <c r="A58" s="186">
        <v>28000</v>
      </c>
      <c r="B58" s="33">
        <f t="shared" si="3"/>
        <v>2333.3333333333335</v>
      </c>
      <c r="C58" s="185">
        <f>'Child care subsidy'!S61*12</f>
        <v>0</v>
      </c>
      <c r="D58" s="185">
        <f>MAX('TANF-VIEW'!L65,'TANF-VIEW'!T65)*12</f>
        <v>0</v>
      </c>
      <c r="E58" s="193">
        <f>SNAP!V62*12</f>
        <v>660</v>
      </c>
      <c r="F58" s="184">
        <f>WIC!F64*12</f>
        <v>0</v>
      </c>
      <c r="G58" s="185">
        <f>'Housing Voucher'!Q62*12</f>
        <v>3324</v>
      </c>
      <c r="H58" s="197">
        <f>EITC!E61</f>
        <v>4524.4581600000001</v>
      </c>
      <c r="I58" s="205">
        <f>Medicaid!N65*12</f>
        <v>10029</v>
      </c>
      <c r="K58" s="185">
        <f t="shared" si="1"/>
        <v>18537.458160000002</v>
      </c>
      <c r="L58" s="185">
        <f t="shared" si="2"/>
        <v>46537.458160000002</v>
      </c>
      <c r="M58" s="36">
        <f t="shared" si="0"/>
        <v>3878.1215133333335</v>
      </c>
    </row>
    <row r="59" spans="1:13" x14ac:dyDescent="0.25">
      <c r="A59" s="186">
        <v>28500</v>
      </c>
      <c r="B59" s="33">
        <f t="shared" si="3"/>
        <v>2375</v>
      </c>
      <c r="C59" s="185">
        <f>'Child care subsidy'!S62*12</f>
        <v>0</v>
      </c>
      <c r="D59" s="185">
        <f>MAX('TANF-VIEW'!L66,'TANF-VIEW'!T66)*12</f>
        <v>0</v>
      </c>
      <c r="E59" s="193">
        <f>SNAP!V63*12</f>
        <v>480</v>
      </c>
      <c r="F59" s="184">
        <f>WIC!F65*12</f>
        <v>0</v>
      </c>
      <c r="G59" s="185">
        <f>'Housing Voucher'!Q63*12</f>
        <v>3174</v>
      </c>
      <c r="H59" s="197">
        <f>EITC!E62</f>
        <v>4428.57816</v>
      </c>
      <c r="I59" s="205">
        <f>Medicaid!N66*12</f>
        <v>10029</v>
      </c>
      <c r="K59" s="185">
        <f t="shared" si="1"/>
        <v>18111.578160000001</v>
      </c>
      <c r="L59" s="185">
        <f t="shared" si="2"/>
        <v>46611.578160000005</v>
      </c>
      <c r="M59" s="36">
        <f t="shared" si="0"/>
        <v>3884.2981800000002</v>
      </c>
    </row>
    <row r="60" spans="1:13" x14ac:dyDescent="0.25">
      <c r="A60" s="186">
        <v>29000</v>
      </c>
      <c r="B60" s="33">
        <f t="shared" si="3"/>
        <v>2416.6666666666665</v>
      </c>
      <c r="C60" s="185">
        <f>'Child care subsidy'!S63*12</f>
        <v>0</v>
      </c>
      <c r="D60" s="185">
        <f>MAX('TANF-VIEW'!L67,'TANF-VIEW'!T67)*12</f>
        <v>0</v>
      </c>
      <c r="E60" s="193">
        <f>SNAP!V64*12</f>
        <v>300</v>
      </c>
      <c r="F60" s="184">
        <f>WIC!F66*12</f>
        <v>0</v>
      </c>
      <c r="G60" s="185">
        <f>'Housing Voucher'!Q64*12</f>
        <v>3024.0000000000014</v>
      </c>
      <c r="H60" s="197">
        <f>EITC!E63</f>
        <v>4332.6981599999999</v>
      </c>
      <c r="I60" s="205">
        <f>Medicaid!N67*12</f>
        <v>10029</v>
      </c>
      <c r="K60" s="185">
        <f t="shared" si="1"/>
        <v>17685.69816</v>
      </c>
      <c r="L60" s="185">
        <f t="shared" si="2"/>
        <v>46685.69816</v>
      </c>
      <c r="M60" s="36">
        <f t="shared" si="0"/>
        <v>3890.4748466666665</v>
      </c>
    </row>
    <row r="61" spans="1:13" x14ac:dyDescent="0.25">
      <c r="A61" s="186">
        <v>29500</v>
      </c>
      <c r="B61" s="33">
        <f t="shared" si="3"/>
        <v>2458.3333333333335</v>
      </c>
      <c r="C61" s="185">
        <f>'Child care subsidy'!S64*12</f>
        <v>0</v>
      </c>
      <c r="D61" s="185">
        <f>MAX('TANF-VIEW'!L68,'TANF-VIEW'!T68)*12</f>
        <v>0</v>
      </c>
      <c r="E61" s="193">
        <f>SNAP!V65*12</f>
        <v>120</v>
      </c>
      <c r="F61" s="184">
        <f>WIC!F67*12</f>
        <v>0</v>
      </c>
      <c r="G61" s="185">
        <f>'Housing Voucher'!Q65*12</f>
        <v>2874</v>
      </c>
      <c r="H61" s="197">
        <f>EITC!E64</f>
        <v>4236.8181600000007</v>
      </c>
      <c r="I61" s="205">
        <f>Medicaid!N68*12</f>
        <v>10029</v>
      </c>
      <c r="K61" s="185">
        <f t="shared" si="1"/>
        <v>17259.818160000003</v>
      </c>
      <c r="L61" s="185">
        <f t="shared" si="2"/>
        <v>46759.818160000003</v>
      </c>
      <c r="M61" s="36">
        <f t="shared" si="0"/>
        <v>3896.6515133333337</v>
      </c>
    </row>
    <row r="62" spans="1:13" x14ac:dyDescent="0.25">
      <c r="A62" s="186">
        <v>30000</v>
      </c>
      <c r="B62" s="33">
        <f t="shared" si="3"/>
        <v>2500</v>
      </c>
      <c r="C62" s="185">
        <f>'Child care subsidy'!S65*12</f>
        <v>0</v>
      </c>
      <c r="D62" s="185">
        <f>MAX('TANF-VIEW'!L69,'TANF-VIEW'!T69)*12</f>
        <v>0</v>
      </c>
      <c r="E62" s="193">
        <f>SNAP!V66*12</f>
        <v>0</v>
      </c>
      <c r="F62" s="184">
        <f>WIC!F68*12</f>
        <v>0</v>
      </c>
      <c r="G62" s="185">
        <f>'Housing Voucher'!Q66*12</f>
        <v>2724</v>
      </c>
      <c r="H62" s="197">
        <f>EITC!E65</f>
        <v>4140.9381599999997</v>
      </c>
      <c r="I62" s="205">
        <f>Medicaid!N69*12</f>
        <v>3822</v>
      </c>
      <c r="K62" s="185">
        <f t="shared" si="1"/>
        <v>10686.93816</v>
      </c>
      <c r="L62" s="185">
        <f t="shared" si="2"/>
        <v>40686.938159999998</v>
      </c>
      <c r="M62" s="36">
        <f t="shared" si="0"/>
        <v>3390.57818</v>
      </c>
    </row>
    <row r="63" spans="1:13" x14ac:dyDescent="0.25">
      <c r="A63" s="186">
        <v>30500</v>
      </c>
      <c r="B63" s="33">
        <f t="shared" si="3"/>
        <v>2541.6666666666665</v>
      </c>
      <c r="C63" s="185">
        <f>'Child care subsidy'!S66*12</f>
        <v>0</v>
      </c>
      <c r="D63" s="185">
        <f>MAX('TANF-VIEW'!L70,'TANF-VIEW'!T70)*12</f>
        <v>0</v>
      </c>
      <c r="E63" s="193">
        <f>SNAP!V67*12</f>
        <v>0</v>
      </c>
      <c r="F63" s="184">
        <f>WIC!F69*12</f>
        <v>0</v>
      </c>
      <c r="G63" s="185">
        <f>'Housing Voucher'!Q67*12</f>
        <v>2574.0000000000014</v>
      </c>
      <c r="H63" s="197">
        <f>EITC!E66</f>
        <v>4045.05816</v>
      </c>
      <c r="I63" s="205">
        <f>Medicaid!N70*12</f>
        <v>3822</v>
      </c>
      <c r="K63" s="185">
        <f t="shared" si="1"/>
        <v>10441.05816</v>
      </c>
      <c r="L63" s="185">
        <f t="shared" si="2"/>
        <v>40941.05816</v>
      </c>
      <c r="M63" s="36">
        <f t="shared" si="0"/>
        <v>3411.7548466666667</v>
      </c>
    </row>
    <row r="64" spans="1:13" x14ac:dyDescent="0.25">
      <c r="A64" s="186">
        <v>31000</v>
      </c>
      <c r="B64" s="33">
        <f t="shared" si="3"/>
        <v>2583.3333333333335</v>
      </c>
      <c r="C64" s="185">
        <f>'Child care subsidy'!S67*12</f>
        <v>0</v>
      </c>
      <c r="D64" s="185">
        <f>MAX('TANF-VIEW'!L71,'TANF-VIEW'!T71)*12</f>
        <v>0</v>
      </c>
      <c r="E64" s="193">
        <f>SNAP!V68*12</f>
        <v>0</v>
      </c>
      <c r="F64" s="184">
        <f>WIC!F70*12</f>
        <v>0</v>
      </c>
      <c r="G64" s="185">
        <f>'Housing Voucher'!Q68*12</f>
        <v>2424</v>
      </c>
      <c r="H64" s="197">
        <f>EITC!E67</f>
        <v>3949.1781599999999</v>
      </c>
      <c r="I64" s="205">
        <f>Medicaid!N71*12</f>
        <v>3822</v>
      </c>
      <c r="K64" s="185">
        <f t="shared" si="1"/>
        <v>10195.178159999999</v>
      </c>
      <c r="L64" s="185">
        <f t="shared" si="2"/>
        <v>41195.178159999996</v>
      </c>
      <c r="M64" s="36">
        <f t="shared" si="0"/>
        <v>3432.931513333333</v>
      </c>
    </row>
    <row r="65" spans="1:13" x14ac:dyDescent="0.25">
      <c r="A65" s="186">
        <v>31500</v>
      </c>
      <c r="B65" s="33">
        <f t="shared" si="3"/>
        <v>2625</v>
      </c>
      <c r="C65" s="185">
        <f>'Child care subsidy'!S68*12</f>
        <v>0</v>
      </c>
      <c r="D65" s="185">
        <f>MAX('TANF-VIEW'!L72,'TANF-VIEW'!T72)*12</f>
        <v>0</v>
      </c>
      <c r="E65" s="193">
        <f>SNAP!V69*12</f>
        <v>0</v>
      </c>
      <c r="F65" s="184">
        <f>WIC!F71*12</f>
        <v>0</v>
      </c>
      <c r="G65" s="185">
        <f>'Housing Voucher'!Q69*12</f>
        <v>2274</v>
      </c>
      <c r="H65" s="197">
        <f>EITC!E68</f>
        <v>3853.2981599999998</v>
      </c>
      <c r="I65" s="205">
        <f>Medicaid!N72*12</f>
        <v>3822</v>
      </c>
      <c r="K65" s="185">
        <f t="shared" si="1"/>
        <v>9949.2981600000003</v>
      </c>
      <c r="L65" s="185">
        <f t="shared" si="2"/>
        <v>41449.298159999998</v>
      </c>
      <c r="M65" s="36">
        <f t="shared" si="0"/>
        <v>3454.1081799999997</v>
      </c>
    </row>
    <row r="66" spans="1:13" x14ac:dyDescent="0.25">
      <c r="A66" s="186">
        <v>32000</v>
      </c>
      <c r="B66" s="33">
        <f t="shared" si="3"/>
        <v>2666.6666666666665</v>
      </c>
      <c r="C66" s="185">
        <f>'Child care subsidy'!S69*12</f>
        <v>0</v>
      </c>
      <c r="D66" s="185">
        <f>MAX('TANF-VIEW'!L73,'TANF-VIEW'!T73)*12</f>
        <v>0</v>
      </c>
      <c r="E66" s="193">
        <f>SNAP!V70*12</f>
        <v>0</v>
      </c>
      <c r="F66" s="184">
        <f>WIC!F72*12</f>
        <v>0</v>
      </c>
      <c r="G66" s="185">
        <f>'Housing Voucher'!Q70*12</f>
        <v>2124.0000000000014</v>
      </c>
      <c r="H66" s="197">
        <f>EITC!E69</f>
        <v>3757.4181600000002</v>
      </c>
      <c r="I66" s="205">
        <f>Medicaid!N73*12</f>
        <v>3822</v>
      </c>
      <c r="K66" s="185">
        <f t="shared" si="1"/>
        <v>9703.4181600000011</v>
      </c>
      <c r="L66" s="185">
        <f t="shared" si="2"/>
        <v>41703.418160000001</v>
      </c>
      <c r="M66" s="36">
        <f t="shared" si="0"/>
        <v>3475.2848466666669</v>
      </c>
    </row>
    <row r="67" spans="1:13" x14ac:dyDescent="0.25">
      <c r="A67" s="186">
        <v>32500</v>
      </c>
      <c r="B67" s="33">
        <f t="shared" si="3"/>
        <v>2708.3333333333335</v>
      </c>
      <c r="C67" s="185">
        <f>'Child care subsidy'!S70*12</f>
        <v>0</v>
      </c>
      <c r="D67" s="185">
        <f>MAX('TANF-VIEW'!L74,'TANF-VIEW'!T74)*12</f>
        <v>0</v>
      </c>
      <c r="E67" s="193">
        <f>SNAP!V71*12</f>
        <v>0</v>
      </c>
      <c r="F67" s="184">
        <f>WIC!F73*12</f>
        <v>0</v>
      </c>
      <c r="G67" s="185">
        <f>'Housing Voucher'!Q71*12</f>
        <v>1974</v>
      </c>
      <c r="H67" s="197">
        <f>EITC!E70</f>
        <v>3661.5381599999996</v>
      </c>
      <c r="I67" s="205">
        <f>Medicaid!N74*12</f>
        <v>3822</v>
      </c>
      <c r="K67" s="185">
        <f t="shared" si="1"/>
        <v>9457.5381600000001</v>
      </c>
      <c r="L67" s="185">
        <f t="shared" si="2"/>
        <v>41957.538159999996</v>
      </c>
      <c r="M67" s="36">
        <f t="shared" ref="M67:M130" si="4">L67/12</f>
        <v>3496.4615133333332</v>
      </c>
    </row>
    <row r="68" spans="1:13" x14ac:dyDescent="0.25">
      <c r="A68" s="206">
        <v>33000</v>
      </c>
      <c r="B68" s="207">
        <f t="shared" si="3"/>
        <v>2750</v>
      </c>
      <c r="C68" s="208">
        <f>'Child care subsidy'!S71*12</f>
        <v>0</v>
      </c>
      <c r="D68" s="208">
        <f>MAX('TANF-VIEW'!L75,'TANF-VIEW'!T75)*12</f>
        <v>0</v>
      </c>
      <c r="E68" s="209">
        <f>SNAP!V72*12</f>
        <v>0</v>
      </c>
      <c r="F68" s="210">
        <f>WIC!F74*12</f>
        <v>0</v>
      </c>
      <c r="G68" s="208">
        <f>'Housing Voucher'!Q72*12</f>
        <v>1824</v>
      </c>
      <c r="H68" s="211">
        <f>EITC!E71</f>
        <v>3565.65816</v>
      </c>
      <c r="I68" s="212">
        <f>Medicaid!N75*12</f>
        <v>3822</v>
      </c>
      <c r="J68" s="213"/>
      <c r="K68" s="208">
        <f t="shared" ref="K68:K131" si="5">SUM(C68:I68)</f>
        <v>9211.658159999999</v>
      </c>
      <c r="L68" s="208">
        <f t="shared" ref="L68:L131" si="6">A68+K68</f>
        <v>42211.658159999999</v>
      </c>
      <c r="M68" s="36">
        <f t="shared" si="4"/>
        <v>3517.6381799999999</v>
      </c>
    </row>
    <row r="69" spans="1:13" x14ac:dyDescent="0.25">
      <c r="A69" s="206">
        <v>33500</v>
      </c>
      <c r="B69" s="207">
        <f t="shared" ref="B69:B102" si="7">A69/12</f>
        <v>2791.6666666666665</v>
      </c>
      <c r="C69" s="208">
        <f>'Child care subsidy'!S72*12</f>
        <v>0</v>
      </c>
      <c r="D69" s="208">
        <f>MAX('TANF-VIEW'!L76,'TANF-VIEW'!T76)*12</f>
        <v>0</v>
      </c>
      <c r="E69" s="209">
        <f>SNAP!V73*12</f>
        <v>0</v>
      </c>
      <c r="F69" s="210">
        <f>WIC!F75*12</f>
        <v>0</v>
      </c>
      <c r="G69" s="208">
        <f>'Housing Voucher'!Q73*12</f>
        <v>1674.0000000000014</v>
      </c>
      <c r="H69" s="211">
        <f>EITC!E72</f>
        <v>3469.7781599999998</v>
      </c>
      <c r="I69" s="212">
        <f>Medicaid!N76*12</f>
        <v>3822</v>
      </c>
      <c r="J69" s="213"/>
      <c r="K69" s="208">
        <f t="shared" si="5"/>
        <v>8965.7781600000017</v>
      </c>
      <c r="L69" s="208">
        <f t="shared" si="6"/>
        <v>42465.778160000002</v>
      </c>
      <c r="M69" s="36">
        <f t="shared" si="4"/>
        <v>3538.8148466666667</v>
      </c>
    </row>
    <row r="70" spans="1:13" x14ac:dyDescent="0.25">
      <c r="A70" s="186">
        <v>34000</v>
      </c>
      <c r="B70" s="33">
        <f t="shared" si="7"/>
        <v>2833.3333333333335</v>
      </c>
      <c r="C70" s="185">
        <f>'Child care subsidy'!S73*12</f>
        <v>0</v>
      </c>
      <c r="D70" s="185">
        <f>MAX('TANF-VIEW'!L77,'TANF-VIEW'!T77)*12</f>
        <v>0</v>
      </c>
      <c r="E70" s="193">
        <f>SNAP!V74*12</f>
        <v>0</v>
      </c>
      <c r="F70" s="184">
        <f>WIC!F76*12</f>
        <v>0</v>
      </c>
      <c r="G70" s="185">
        <f>'Housing Voucher'!Q74*12</f>
        <v>1524</v>
      </c>
      <c r="H70" s="197">
        <f>EITC!E73</f>
        <v>3373.8981599999997</v>
      </c>
      <c r="I70" s="205">
        <f>Medicaid!N77*12</f>
        <v>3822</v>
      </c>
      <c r="K70" s="185">
        <f t="shared" si="5"/>
        <v>8719.8981600000006</v>
      </c>
      <c r="L70" s="185">
        <f t="shared" si="6"/>
        <v>42719.898159999997</v>
      </c>
      <c r="M70" s="36">
        <f t="shared" si="4"/>
        <v>3559.9915133333329</v>
      </c>
    </row>
    <row r="71" spans="1:13" x14ac:dyDescent="0.25">
      <c r="A71" s="186">
        <v>34500</v>
      </c>
      <c r="B71" s="33">
        <f t="shared" si="7"/>
        <v>2875</v>
      </c>
      <c r="C71" s="185">
        <f>'Child care subsidy'!S74*12</f>
        <v>0</v>
      </c>
      <c r="D71" s="185">
        <f>MAX('TANF-VIEW'!L78,'TANF-VIEW'!T78)*12</f>
        <v>0</v>
      </c>
      <c r="E71" s="193">
        <f>SNAP!V75*12</f>
        <v>0</v>
      </c>
      <c r="F71" s="184">
        <f>WIC!F77*12</f>
        <v>0</v>
      </c>
      <c r="G71" s="185">
        <f>'Housing Voucher'!Q75*12</f>
        <v>1374</v>
      </c>
      <c r="H71" s="197">
        <f>EITC!E74</f>
        <v>3278.0181600000005</v>
      </c>
      <c r="I71" s="205">
        <f>Medicaid!N78*12</f>
        <v>3822</v>
      </c>
      <c r="K71" s="185">
        <f t="shared" si="5"/>
        <v>8474.0181599999996</v>
      </c>
      <c r="L71" s="185">
        <f t="shared" si="6"/>
        <v>42974.01816</v>
      </c>
      <c r="M71" s="36">
        <f t="shared" si="4"/>
        <v>3581.1681800000001</v>
      </c>
    </row>
    <row r="72" spans="1:13" x14ac:dyDescent="0.25">
      <c r="A72" s="186">
        <v>35000</v>
      </c>
      <c r="B72" s="33">
        <f t="shared" si="7"/>
        <v>2916.6666666666665</v>
      </c>
      <c r="C72" s="185">
        <f>'Child care subsidy'!S75*12</f>
        <v>0</v>
      </c>
      <c r="D72" s="185">
        <f>MAX('TANF-VIEW'!L79,'TANF-VIEW'!T79)*12</f>
        <v>0</v>
      </c>
      <c r="E72" s="193">
        <f>SNAP!V76*12</f>
        <v>0</v>
      </c>
      <c r="F72" s="184">
        <f>WIC!F78*12</f>
        <v>0</v>
      </c>
      <c r="G72" s="185">
        <f>'Housing Voucher'!Q76*12</f>
        <v>1224.0000000000014</v>
      </c>
      <c r="H72" s="197">
        <f>EITC!E75</f>
        <v>3182.1381599999995</v>
      </c>
      <c r="I72" s="205">
        <f>Medicaid!N79*12</f>
        <v>3822</v>
      </c>
      <c r="K72" s="185">
        <f t="shared" si="5"/>
        <v>8228.1381600000004</v>
      </c>
      <c r="L72" s="185">
        <f t="shared" si="6"/>
        <v>43228.138160000002</v>
      </c>
      <c r="M72" s="36">
        <f t="shared" si="4"/>
        <v>3602.3448466666669</v>
      </c>
    </row>
    <row r="73" spans="1:13" x14ac:dyDescent="0.25">
      <c r="A73" s="186">
        <v>35500</v>
      </c>
      <c r="B73" s="33">
        <f t="shared" si="7"/>
        <v>2958.3333333333335</v>
      </c>
      <c r="C73" s="185">
        <f>'Child care subsidy'!S76*12</f>
        <v>0</v>
      </c>
      <c r="D73" s="185">
        <f>MAX('TANF-VIEW'!L80,'TANF-VIEW'!T80)*12</f>
        <v>0</v>
      </c>
      <c r="E73" s="193">
        <f>SNAP!V77*12</f>
        <v>0</v>
      </c>
      <c r="F73" s="184">
        <f>WIC!F79*12</f>
        <v>0</v>
      </c>
      <c r="G73" s="185">
        <f>'Housing Voucher'!Q77*12</f>
        <v>1074</v>
      </c>
      <c r="H73" s="197">
        <f>EITC!E76</f>
        <v>3086.2581600000003</v>
      </c>
      <c r="I73" s="205">
        <f>Medicaid!N80*12</f>
        <v>3822</v>
      </c>
      <c r="K73" s="185">
        <f t="shared" si="5"/>
        <v>7982.2581600000003</v>
      </c>
      <c r="L73" s="185">
        <f t="shared" si="6"/>
        <v>43482.258159999998</v>
      </c>
      <c r="M73" s="36">
        <f t="shared" si="4"/>
        <v>3623.5215133333331</v>
      </c>
    </row>
    <row r="74" spans="1:13" x14ac:dyDescent="0.25">
      <c r="A74" s="186">
        <v>36000</v>
      </c>
      <c r="B74" s="33">
        <f t="shared" si="7"/>
        <v>3000</v>
      </c>
      <c r="C74" s="185">
        <f>'Child care subsidy'!S77*12</f>
        <v>0</v>
      </c>
      <c r="D74" s="185">
        <f>MAX('TANF-VIEW'!L81,'TANF-VIEW'!T81)*12</f>
        <v>0</v>
      </c>
      <c r="E74" s="193">
        <f>SNAP!V78*12</f>
        <v>0</v>
      </c>
      <c r="F74" s="184">
        <f>WIC!F80*12</f>
        <v>0</v>
      </c>
      <c r="G74" s="185">
        <f>'Housing Voucher'!Q78*12</f>
        <v>924</v>
      </c>
      <c r="H74" s="197">
        <f>EITC!E77</f>
        <v>2990.3781600000002</v>
      </c>
      <c r="I74" s="205">
        <f>Medicaid!N81*12</f>
        <v>3822</v>
      </c>
      <c r="K74" s="185">
        <f t="shared" si="5"/>
        <v>7736.3781600000002</v>
      </c>
      <c r="L74" s="185">
        <f t="shared" si="6"/>
        <v>43736.37816</v>
      </c>
      <c r="M74" s="36">
        <f t="shared" si="4"/>
        <v>3644.6981799999999</v>
      </c>
    </row>
    <row r="75" spans="1:13" x14ac:dyDescent="0.25">
      <c r="A75" s="206">
        <v>36500</v>
      </c>
      <c r="B75" s="207">
        <f t="shared" si="7"/>
        <v>3041.6666666666665</v>
      </c>
      <c r="C75" s="208">
        <f>'Child care subsidy'!S78*12</f>
        <v>0</v>
      </c>
      <c r="D75" s="208">
        <f>MAX('TANF-VIEW'!L82,'TANF-VIEW'!T82)*12</f>
        <v>0</v>
      </c>
      <c r="E75" s="209">
        <f>SNAP!V79*12</f>
        <v>0</v>
      </c>
      <c r="F75" s="210">
        <f>WIC!F81*12</f>
        <v>0</v>
      </c>
      <c r="G75" s="208">
        <f>'Housing Voucher'!Q79*12</f>
        <v>774.00000000000136</v>
      </c>
      <c r="H75" s="211">
        <f>EITC!E78</f>
        <v>2894.4981600000001</v>
      </c>
      <c r="I75" s="212">
        <f>Medicaid!N82*12</f>
        <v>3822</v>
      </c>
      <c r="J75" s="213"/>
      <c r="K75" s="208">
        <f t="shared" si="5"/>
        <v>7490.498160000001</v>
      </c>
      <c r="L75" s="208">
        <f t="shared" si="6"/>
        <v>43990.498160000003</v>
      </c>
      <c r="M75" s="36">
        <f t="shared" si="4"/>
        <v>3665.8748466666671</v>
      </c>
    </row>
    <row r="76" spans="1:13" x14ac:dyDescent="0.25">
      <c r="A76" s="206">
        <v>37000</v>
      </c>
      <c r="B76" s="207">
        <f t="shared" si="7"/>
        <v>3083.3333333333335</v>
      </c>
      <c r="C76" s="208">
        <f>'Child care subsidy'!S79*12</f>
        <v>0</v>
      </c>
      <c r="D76" s="208">
        <f>MAX('TANF-VIEW'!L83,'TANF-VIEW'!T83)*12</f>
        <v>0</v>
      </c>
      <c r="E76" s="209">
        <f>SNAP!V80*12</f>
        <v>0</v>
      </c>
      <c r="F76" s="210">
        <f>WIC!F82*12</f>
        <v>0</v>
      </c>
      <c r="G76" s="208">
        <f>'Housing Voucher'!Q80*12</f>
        <v>624</v>
      </c>
      <c r="H76" s="211">
        <f>EITC!E79</f>
        <v>2798.61816</v>
      </c>
      <c r="I76" s="212">
        <f>Medicaid!N83*12</f>
        <v>3822</v>
      </c>
      <c r="J76" s="213"/>
      <c r="K76" s="208">
        <f t="shared" si="5"/>
        <v>7244.61816</v>
      </c>
      <c r="L76" s="208">
        <f t="shared" si="6"/>
        <v>44244.618159999998</v>
      </c>
      <c r="M76" s="36">
        <f t="shared" si="4"/>
        <v>3687.0515133333333</v>
      </c>
    </row>
    <row r="77" spans="1:13" x14ac:dyDescent="0.25">
      <c r="A77" s="186">
        <v>37500</v>
      </c>
      <c r="B77" s="33">
        <f t="shared" si="7"/>
        <v>3125</v>
      </c>
      <c r="C77" s="185">
        <f>'Child care subsidy'!S80*12</f>
        <v>0</v>
      </c>
      <c r="D77" s="185">
        <f>MAX('TANF-VIEW'!L84,'TANF-VIEW'!T84)*12</f>
        <v>0</v>
      </c>
      <c r="E77" s="193">
        <f>SNAP!V81*12</f>
        <v>0</v>
      </c>
      <c r="F77" s="184">
        <f>WIC!F83*12</f>
        <v>0</v>
      </c>
      <c r="G77" s="185">
        <f>'Housing Voucher'!Q81*12</f>
        <v>474</v>
      </c>
      <c r="H77" s="197">
        <f>EITC!E80</f>
        <v>2702.7381600000003</v>
      </c>
      <c r="I77" s="205">
        <f>Medicaid!N84*12</f>
        <v>3822</v>
      </c>
      <c r="K77" s="185">
        <f t="shared" si="5"/>
        <v>6998.7381600000008</v>
      </c>
      <c r="L77" s="185">
        <f t="shared" si="6"/>
        <v>44498.738160000001</v>
      </c>
      <c r="M77" s="36">
        <f t="shared" si="4"/>
        <v>3708.2281800000001</v>
      </c>
    </row>
    <row r="78" spans="1:13" x14ac:dyDescent="0.25">
      <c r="A78" s="186">
        <v>38000</v>
      </c>
      <c r="B78" s="33">
        <f t="shared" si="7"/>
        <v>3166.6666666666665</v>
      </c>
      <c r="C78" s="185">
        <f>'Child care subsidy'!S81*12</f>
        <v>0</v>
      </c>
      <c r="D78" s="185">
        <f>MAX('TANF-VIEW'!L85,'TANF-VIEW'!T85)*12</f>
        <v>0</v>
      </c>
      <c r="E78" s="193">
        <f>SNAP!V82*12</f>
        <v>0</v>
      </c>
      <c r="F78" s="184">
        <f>WIC!F84*12</f>
        <v>0</v>
      </c>
      <c r="G78" s="185">
        <f>'Housing Voucher'!Q82*12</f>
        <v>324.00000000000136</v>
      </c>
      <c r="H78" s="197">
        <f>EITC!E81</f>
        <v>2606.8581600000002</v>
      </c>
      <c r="I78" s="205">
        <f>Medicaid!N85*12</f>
        <v>3822</v>
      </c>
      <c r="K78" s="185">
        <f t="shared" si="5"/>
        <v>6752.8581600000016</v>
      </c>
      <c r="L78" s="185">
        <f t="shared" si="6"/>
        <v>44752.858160000003</v>
      </c>
      <c r="M78" s="36">
        <f t="shared" si="4"/>
        <v>3729.4048466666668</v>
      </c>
    </row>
    <row r="79" spans="1:13" x14ac:dyDescent="0.25">
      <c r="A79" s="186">
        <v>38500</v>
      </c>
      <c r="B79" s="33">
        <f t="shared" si="7"/>
        <v>3208.3333333333335</v>
      </c>
      <c r="C79" s="185">
        <f>'Child care subsidy'!S82*12</f>
        <v>0</v>
      </c>
      <c r="D79" s="185">
        <f>MAX('TANF-VIEW'!L86,'TANF-VIEW'!T86)*12</f>
        <v>0</v>
      </c>
      <c r="E79" s="193">
        <f>SNAP!V83*12</f>
        <v>0</v>
      </c>
      <c r="F79" s="184">
        <f>WIC!F85*12</f>
        <v>0</v>
      </c>
      <c r="G79" s="185">
        <f>'Housing Voucher'!Q83*12</f>
        <v>174</v>
      </c>
      <c r="H79" s="197">
        <f>EITC!E82</f>
        <v>2510.9781600000001</v>
      </c>
      <c r="I79" s="205">
        <f>Medicaid!N86*12</f>
        <v>3822</v>
      </c>
      <c r="K79" s="185">
        <f t="shared" si="5"/>
        <v>6506.9781600000006</v>
      </c>
      <c r="L79" s="185">
        <f t="shared" si="6"/>
        <v>45006.978159999999</v>
      </c>
      <c r="M79" s="36">
        <f t="shared" si="4"/>
        <v>3750.5815133333331</v>
      </c>
    </row>
    <row r="80" spans="1:13" x14ac:dyDescent="0.25">
      <c r="A80" s="186">
        <v>39000</v>
      </c>
      <c r="B80" s="33">
        <f t="shared" si="7"/>
        <v>3250</v>
      </c>
      <c r="C80" s="185">
        <f>'Child care subsidy'!S83*12</f>
        <v>0</v>
      </c>
      <c r="D80" s="185">
        <f>MAX('TANF-VIEW'!L87,'TANF-VIEW'!T87)*12</f>
        <v>0</v>
      </c>
      <c r="E80" s="193">
        <f>SNAP!V84*12</f>
        <v>0</v>
      </c>
      <c r="F80" s="184">
        <f>WIC!F86*12</f>
        <v>0</v>
      </c>
      <c r="G80" s="185">
        <f>'Housing Voucher'!Q84*12</f>
        <v>24</v>
      </c>
      <c r="H80" s="197">
        <f>EITC!E83</f>
        <v>2415.09816</v>
      </c>
      <c r="I80" s="205">
        <f>Medicaid!N87*12</f>
        <v>3822</v>
      </c>
      <c r="K80" s="185">
        <f t="shared" si="5"/>
        <v>6261.0981599999996</v>
      </c>
      <c r="L80" s="185">
        <f t="shared" si="6"/>
        <v>45261.098160000001</v>
      </c>
      <c r="M80" s="36">
        <f t="shared" si="4"/>
        <v>3771.7581800000003</v>
      </c>
    </row>
    <row r="81" spans="1:13" x14ac:dyDescent="0.25">
      <c r="A81" s="186">
        <v>39500</v>
      </c>
      <c r="B81" s="33">
        <f t="shared" si="7"/>
        <v>3291.6666666666665</v>
      </c>
      <c r="C81" s="185">
        <f>'Child care subsidy'!S84*12</f>
        <v>0</v>
      </c>
      <c r="D81" s="185">
        <f>MAX('TANF-VIEW'!L88,'TANF-VIEW'!T88)*12</f>
        <v>0</v>
      </c>
      <c r="E81" s="193">
        <f>SNAP!V85*12</f>
        <v>0</v>
      </c>
      <c r="F81" s="184">
        <f>WIC!F87*12</f>
        <v>0</v>
      </c>
      <c r="G81" s="185">
        <f>'Housing Voucher'!Q85*12</f>
        <v>0</v>
      </c>
      <c r="H81" s="197">
        <f>EITC!E84</f>
        <v>2319.2181599999999</v>
      </c>
      <c r="I81" s="205">
        <f>Medicaid!N88*12</f>
        <v>3822</v>
      </c>
      <c r="K81" s="185">
        <f t="shared" si="5"/>
        <v>6141.2181600000004</v>
      </c>
      <c r="L81" s="185">
        <f t="shared" si="6"/>
        <v>45641.218160000004</v>
      </c>
      <c r="M81" s="36">
        <f t="shared" si="4"/>
        <v>3803.434846666667</v>
      </c>
    </row>
    <row r="82" spans="1:13" x14ac:dyDescent="0.25">
      <c r="A82" s="186">
        <v>40000</v>
      </c>
      <c r="B82" s="33">
        <f t="shared" si="7"/>
        <v>3333.3333333333335</v>
      </c>
      <c r="C82" s="185">
        <f>'Child care subsidy'!S85*12</f>
        <v>0</v>
      </c>
      <c r="D82" s="185">
        <f>MAX('TANF-VIEW'!L89,'TANF-VIEW'!T89)*12</f>
        <v>0</v>
      </c>
      <c r="E82" s="193">
        <f>SNAP!V86*12</f>
        <v>0</v>
      </c>
      <c r="F82" s="184">
        <f>WIC!F88*12</f>
        <v>0</v>
      </c>
      <c r="G82" s="185">
        <f>'Housing Voucher'!Q86*12</f>
        <v>0</v>
      </c>
      <c r="H82" s="197">
        <f>EITC!E85</f>
        <v>2223.3381600000002</v>
      </c>
      <c r="I82" s="205">
        <f>Medicaid!N89*12</f>
        <v>3822</v>
      </c>
      <c r="K82" s="185">
        <f t="shared" si="5"/>
        <v>6045.3381600000002</v>
      </c>
      <c r="L82" s="185">
        <f t="shared" si="6"/>
        <v>46045.338159999999</v>
      </c>
      <c r="M82" s="36">
        <f t="shared" si="4"/>
        <v>3837.1115133333333</v>
      </c>
    </row>
    <row r="83" spans="1:13" x14ac:dyDescent="0.25">
      <c r="A83" s="186">
        <v>40500</v>
      </c>
      <c r="B83" s="33">
        <f t="shared" si="7"/>
        <v>3375</v>
      </c>
      <c r="C83" s="185">
        <f>'Child care subsidy'!S86*12</f>
        <v>0</v>
      </c>
      <c r="D83" s="185">
        <f>MAX('TANF-VIEW'!L90,'TANF-VIEW'!T90)*12</f>
        <v>0</v>
      </c>
      <c r="E83" s="193">
        <f>SNAP!V87*12</f>
        <v>0</v>
      </c>
      <c r="F83" s="184">
        <f>WIC!F89*12</f>
        <v>0</v>
      </c>
      <c r="G83" s="185">
        <f>'Housing Voucher'!Q87*12</f>
        <v>0</v>
      </c>
      <c r="H83" s="197">
        <f>EITC!E86</f>
        <v>2127.4581600000001</v>
      </c>
      <c r="I83" s="205">
        <f>Medicaid!N90*12</f>
        <v>3822</v>
      </c>
      <c r="K83" s="185">
        <f t="shared" si="5"/>
        <v>5949.4581600000001</v>
      </c>
      <c r="L83" s="185">
        <f t="shared" si="6"/>
        <v>46449.458160000002</v>
      </c>
      <c r="M83" s="36">
        <f t="shared" si="4"/>
        <v>3870.78818</v>
      </c>
    </row>
    <row r="84" spans="1:13" x14ac:dyDescent="0.25">
      <c r="A84" s="186">
        <v>41000</v>
      </c>
      <c r="B84" s="33">
        <f t="shared" si="7"/>
        <v>3416.6666666666665</v>
      </c>
      <c r="C84" s="185">
        <f>'Child care subsidy'!S87*12</f>
        <v>0</v>
      </c>
      <c r="D84" s="185">
        <f>MAX('TANF-VIEW'!L91,'TANF-VIEW'!T91)*12</f>
        <v>0</v>
      </c>
      <c r="E84" s="193">
        <f>SNAP!V88*12</f>
        <v>0</v>
      </c>
      <c r="F84" s="184">
        <f>WIC!F90*12</f>
        <v>0</v>
      </c>
      <c r="G84" s="185">
        <f>'Housing Voucher'!Q88*12</f>
        <v>0</v>
      </c>
      <c r="H84" s="197">
        <f>EITC!E87</f>
        <v>2031.57816</v>
      </c>
      <c r="I84" s="205">
        <f>Medicaid!N91*12</f>
        <v>3822</v>
      </c>
      <c r="K84" s="185">
        <f t="shared" si="5"/>
        <v>5853.57816</v>
      </c>
      <c r="L84" s="185">
        <f t="shared" si="6"/>
        <v>46853.578159999997</v>
      </c>
      <c r="M84" s="36">
        <f t="shared" si="4"/>
        <v>3904.4648466666663</v>
      </c>
    </row>
    <row r="85" spans="1:13" x14ac:dyDescent="0.25">
      <c r="A85" s="186">
        <v>41500</v>
      </c>
      <c r="B85" s="33">
        <f t="shared" si="7"/>
        <v>3458.3333333333335</v>
      </c>
      <c r="C85" s="185">
        <f>'Child care subsidy'!S88*12</f>
        <v>0</v>
      </c>
      <c r="D85" s="185">
        <f>MAX('TANF-VIEW'!L92,'TANF-VIEW'!T92)*12</f>
        <v>0</v>
      </c>
      <c r="E85" s="193">
        <f>SNAP!V89*12</f>
        <v>0</v>
      </c>
      <c r="F85" s="184">
        <f>WIC!F91*12</f>
        <v>0</v>
      </c>
      <c r="G85" s="185">
        <f>'Housing Voucher'!Q89*12</f>
        <v>0</v>
      </c>
      <c r="H85" s="197">
        <f>EITC!E88</f>
        <v>1935.6981599999999</v>
      </c>
      <c r="I85" s="205">
        <f>Medicaid!N92*12</f>
        <v>3822</v>
      </c>
      <c r="K85" s="185">
        <f t="shared" si="5"/>
        <v>5757.6981599999999</v>
      </c>
      <c r="L85" s="185">
        <f t="shared" si="6"/>
        <v>47257.69816</v>
      </c>
      <c r="M85" s="36">
        <f t="shared" si="4"/>
        <v>3938.1415133333335</v>
      </c>
    </row>
    <row r="86" spans="1:13" x14ac:dyDescent="0.25">
      <c r="A86" s="186">
        <v>42000</v>
      </c>
      <c r="B86" s="33">
        <f t="shared" si="7"/>
        <v>3500</v>
      </c>
      <c r="C86" s="185">
        <f>'Child care subsidy'!S89*12</f>
        <v>0</v>
      </c>
      <c r="D86" s="185">
        <f>MAX('TANF-VIEW'!L93,'TANF-VIEW'!T93)*12</f>
        <v>0</v>
      </c>
      <c r="E86" s="193">
        <f>SNAP!V90*12</f>
        <v>0</v>
      </c>
      <c r="F86" s="184">
        <f>WIC!F92*12</f>
        <v>0</v>
      </c>
      <c r="G86" s="185">
        <f>'Housing Voucher'!Q90*12</f>
        <v>0</v>
      </c>
      <c r="H86" s="197">
        <f>EITC!E89</f>
        <v>1839.8181599999998</v>
      </c>
      <c r="I86" s="205">
        <f>Medicaid!N93*12</f>
        <v>3822</v>
      </c>
      <c r="K86" s="185">
        <f t="shared" si="5"/>
        <v>5661.8181599999998</v>
      </c>
      <c r="L86" s="185">
        <f t="shared" si="6"/>
        <v>47661.818160000003</v>
      </c>
      <c r="M86" s="36">
        <f t="shared" si="4"/>
        <v>3971.8181800000002</v>
      </c>
    </row>
    <row r="87" spans="1:13" x14ac:dyDescent="0.25">
      <c r="A87" s="186">
        <v>42500</v>
      </c>
      <c r="B87" s="33">
        <f t="shared" si="7"/>
        <v>3541.6666666666665</v>
      </c>
      <c r="C87" s="185">
        <f>'Child care subsidy'!S90*12</f>
        <v>0</v>
      </c>
      <c r="D87" s="185">
        <f>MAX('TANF-VIEW'!L94,'TANF-VIEW'!T94)*12</f>
        <v>0</v>
      </c>
      <c r="E87" s="193">
        <f>SNAP!V91*12</f>
        <v>0</v>
      </c>
      <c r="F87" s="184">
        <f>WIC!F93*12</f>
        <v>0</v>
      </c>
      <c r="G87" s="185">
        <f>'Housing Voucher'!Q91*12</f>
        <v>0</v>
      </c>
      <c r="H87" s="197">
        <f>EITC!E90</f>
        <v>1743.9381600000002</v>
      </c>
      <c r="I87" s="205">
        <f>Medicaid!N94*12</f>
        <v>3822</v>
      </c>
      <c r="K87" s="185">
        <f t="shared" si="5"/>
        <v>5565.9381599999997</v>
      </c>
      <c r="L87" s="185">
        <f t="shared" si="6"/>
        <v>48065.938159999998</v>
      </c>
      <c r="M87" s="36">
        <f t="shared" si="4"/>
        <v>4005.4948466666665</v>
      </c>
    </row>
    <row r="88" spans="1:13" x14ac:dyDescent="0.25">
      <c r="A88" s="186">
        <v>43000</v>
      </c>
      <c r="B88" s="33">
        <f t="shared" si="7"/>
        <v>3583.3333333333335</v>
      </c>
      <c r="C88" s="185">
        <f>'Child care subsidy'!S91*12</f>
        <v>0</v>
      </c>
      <c r="D88" s="185">
        <f>MAX('TANF-VIEW'!L95,'TANF-VIEW'!T95)*12</f>
        <v>0</v>
      </c>
      <c r="E88" s="193">
        <f>SNAP!V92*12</f>
        <v>0</v>
      </c>
      <c r="F88" s="184">
        <f>WIC!F94*12</f>
        <v>0</v>
      </c>
      <c r="G88" s="185">
        <f>'Housing Voucher'!Q92*12</f>
        <v>0</v>
      </c>
      <c r="H88" s="197">
        <f>EITC!E91</f>
        <v>1648.05816</v>
      </c>
      <c r="I88" s="205">
        <f>Medicaid!N95*12</f>
        <v>3822</v>
      </c>
      <c r="K88" s="185">
        <f t="shared" si="5"/>
        <v>5470.0581600000005</v>
      </c>
      <c r="L88" s="185">
        <f t="shared" si="6"/>
        <v>48470.05816</v>
      </c>
      <c r="M88" s="36">
        <f t="shared" si="4"/>
        <v>4039.1715133333332</v>
      </c>
    </row>
    <row r="89" spans="1:13" x14ac:dyDescent="0.25">
      <c r="A89" s="186">
        <v>43500</v>
      </c>
      <c r="B89" s="33">
        <f t="shared" si="7"/>
        <v>3625</v>
      </c>
      <c r="C89" s="185">
        <f>'Child care subsidy'!S92*12</f>
        <v>0</v>
      </c>
      <c r="D89" s="185">
        <f>MAX('TANF-VIEW'!L96,'TANF-VIEW'!T96)*12</f>
        <v>0</v>
      </c>
      <c r="E89" s="193">
        <f>SNAP!V93*12</f>
        <v>0</v>
      </c>
      <c r="F89" s="184">
        <f>WIC!F95*12</f>
        <v>0</v>
      </c>
      <c r="G89" s="185">
        <f>'Housing Voucher'!Q93*12</f>
        <v>0</v>
      </c>
      <c r="H89" s="197">
        <f>EITC!E92</f>
        <v>1552.1781599999999</v>
      </c>
      <c r="I89" s="205">
        <f>Medicaid!N96*12</f>
        <v>0</v>
      </c>
      <c r="K89" s="185">
        <f t="shared" si="5"/>
        <v>1552.1781599999999</v>
      </c>
      <c r="L89" s="185">
        <f t="shared" si="6"/>
        <v>45052.178160000003</v>
      </c>
      <c r="M89" s="36">
        <f t="shared" si="4"/>
        <v>3754.3481800000004</v>
      </c>
    </row>
    <row r="90" spans="1:13" x14ac:dyDescent="0.25">
      <c r="A90" s="186">
        <v>44000</v>
      </c>
      <c r="B90" s="33">
        <f t="shared" si="7"/>
        <v>3666.6666666666665</v>
      </c>
      <c r="C90" s="185">
        <f>'Child care subsidy'!S93*12</f>
        <v>0</v>
      </c>
      <c r="D90" s="185">
        <f>MAX('TANF-VIEW'!L97,'TANF-VIEW'!T97)*12</f>
        <v>0</v>
      </c>
      <c r="E90" s="193">
        <f>SNAP!V94*12</f>
        <v>0</v>
      </c>
      <c r="F90" s="184">
        <f>WIC!F96*12</f>
        <v>0</v>
      </c>
      <c r="G90" s="185">
        <f>'Housing Voucher'!Q94*12</f>
        <v>0</v>
      </c>
      <c r="H90" s="197">
        <f>EITC!E93</f>
        <v>1456.2981599999998</v>
      </c>
      <c r="I90" s="205">
        <f>Medicaid!N97*12</f>
        <v>0</v>
      </c>
      <c r="K90" s="185">
        <f t="shared" si="5"/>
        <v>1456.2981599999998</v>
      </c>
      <c r="L90" s="185">
        <f t="shared" si="6"/>
        <v>45456.298159999998</v>
      </c>
      <c r="M90" s="36">
        <f t="shared" si="4"/>
        <v>3788.0248466666667</v>
      </c>
    </row>
    <row r="91" spans="1:13" x14ac:dyDescent="0.25">
      <c r="A91" s="186">
        <v>44500</v>
      </c>
      <c r="B91" s="33">
        <f t="shared" si="7"/>
        <v>3708.3333333333335</v>
      </c>
      <c r="C91" s="185">
        <f>'Child care subsidy'!S94*12</f>
        <v>0</v>
      </c>
      <c r="D91" s="185">
        <f>MAX('TANF-VIEW'!L98,'TANF-VIEW'!T98)*12</f>
        <v>0</v>
      </c>
      <c r="E91" s="193">
        <f>SNAP!V95*12</f>
        <v>0</v>
      </c>
      <c r="F91" s="184">
        <f>WIC!F97*12</f>
        <v>0</v>
      </c>
      <c r="G91" s="185">
        <f>'Housing Voucher'!Q95*12</f>
        <v>0</v>
      </c>
      <c r="H91" s="197">
        <f>EITC!E94</f>
        <v>1360.4181599999997</v>
      </c>
      <c r="I91" s="205">
        <f>Medicaid!N98*12</f>
        <v>0</v>
      </c>
      <c r="K91" s="185">
        <f t="shared" si="5"/>
        <v>1360.4181599999997</v>
      </c>
      <c r="L91" s="185">
        <f t="shared" si="6"/>
        <v>45860.418160000001</v>
      </c>
      <c r="M91" s="36">
        <f t="shared" si="4"/>
        <v>3821.7015133333334</v>
      </c>
    </row>
    <row r="92" spans="1:13" x14ac:dyDescent="0.25">
      <c r="A92" s="186">
        <v>45000</v>
      </c>
      <c r="B92" s="33">
        <f t="shared" si="7"/>
        <v>3750</v>
      </c>
      <c r="C92" s="185">
        <f>'Child care subsidy'!S95*12</f>
        <v>0</v>
      </c>
      <c r="D92" s="185">
        <f>MAX('TANF-VIEW'!L99,'TANF-VIEW'!T99)*12</f>
        <v>0</v>
      </c>
      <c r="E92" s="193">
        <f>SNAP!V96*12</f>
        <v>0</v>
      </c>
      <c r="F92" s="184">
        <f>WIC!F98*12</f>
        <v>0</v>
      </c>
      <c r="G92" s="185">
        <f>'Housing Voucher'!Q96*12</f>
        <v>0</v>
      </c>
      <c r="H92" s="197">
        <f>EITC!E95</f>
        <v>1264.5381600000003</v>
      </c>
      <c r="I92" s="205">
        <f>Medicaid!N99*12</f>
        <v>0</v>
      </c>
      <c r="K92" s="185">
        <f t="shared" si="5"/>
        <v>1264.5381600000003</v>
      </c>
      <c r="L92" s="185">
        <f t="shared" si="6"/>
        <v>46264.538160000004</v>
      </c>
      <c r="M92" s="36">
        <f t="shared" si="4"/>
        <v>3855.3781800000002</v>
      </c>
    </row>
    <row r="93" spans="1:13" x14ac:dyDescent="0.25">
      <c r="A93" s="186">
        <v>45500</v>
      </c>
      <c r="B93" s="33">
        <f t="shared" si="7"/>
        <v>3791.6666666666665</v>
      </c>
      <c r="C93" s="185">
        <f>'Child care subsidy'!S96*12</f>
        <v>0</v>
      </c>
      <c r="D93" s="185">
        <f>MAX('TANF-VIEW'!L100,'TANF-VIEW'!T100)*12</f>
        <v>0</v>
      </c>
      <c r="E93" s="193">
        <f>SNAP!V97*12</f>
        <v>0</v>
      </c>
      <c r="F93" s="184">
        <f>WIC!F99*12</f>
        <v>0</v>
      </c>
      <c r="G93" s="185">
        <f>'Housing Voucher'!Q97*12</f>
        <v>0</v>
      </c>
      <c r="H93" s="197">
        <f>EITC!E96</f>
        <v>1168.6581600000002</v>
      </c>
      <c r="I93" s="205">
        <f>Medicaid!N100*12</f>
        <v>0</v>
      </c>
      <c r="K93" s="185">
        <f t="shared" si="5"/>
        <v>1168.6581600000002</v>
      </c>
      <c r="L93" s="185">
        <f t="shared" si="6"/>
        <v>46668.658159999999</v>
      </c>
      <c r="M93" s="36">
        <f t="shared" si="4"/>
        <v>3889.0548466666664</v>
      </c>
    </row>
    <row r="94" spans="1:13" x14ac:dyDescent="0.25">
      <c r="A94" s="186">
        <v>46000</v>
      </c>
      <c r="B94" s="33">
        <f>A94/12</f>
        <v>3833.3333333333335</v>
      </c>
      <c r="C94" s="185">
        <f>'Child care subsidy'!S97*12</f>
        <v>0</v>
      </c>
      <c r="D94" s="185">
        <f>MAX('TANF-VIEW'!L101,'TANF-VIEW'!T101)*12</f>
        <v>0</v>
      </c>
      <c r="E94" s="193">
        <f>SNAP!V98*12</f>
        <v>0</v>
      </c>
      <c r="F94" s="184">
        <f>WIC!F100*12</f>
        <v>0</v>
      </c>
      <c r="G94" s="185">
        <f>'Housing Voucher'!Q98*12</f>
        <v>0</v>
      </c>
      <c r="H94" s="197">
        <f>EITC!E97</f>
        <v>1072.7781600000001</v>
      </c>
      <c r="I94" s="205">
        <f>Medicaid!N101*12</f>
        <v>0</v>
      </c>
      <c r="K94" s="185">
        <f t="shared" si="5"/>
        <v>1072.7781600000001</v>
      </c>
      <c r="L94" s="185">
        <f t="shared" si="6"/>
        <v>47072.778160000002</v>
      </c>
      <c r="M94" s="36">
        <f t="shared" si="4"/>
        <v>3922.7315133333336</v>
      </c>
    </row>
    <row r="95" spans="1:13" x14ac:dyDescent="0.25">
      <c r="A95" s="186">
        <v>46500</v>
      </c>
      <c r="B95" s="33">
        <f t="shared" si="7"/>
        <v>3875</v>
      </c>
      <c r="C95" s="185">
        <f>'Child care subsidy'!S98*12</f>
        <v>0</v>
      </c>
      <c r="D95" s="185">
        <f>MAX('TANF-VIEW'!L102,'TANF-VIEW'!T102)*12</f>
        <v>0</v>
      </c>
      <c r="E95" s="193">
        <f>SNAP!V99*12</f>
        <v>0</v>
      </c>
      <c r="F95" s="184">
        <f>WIC!F101*12</f>
        <v>0</v>
      </c>
      <c r="G95" s="185">
        <f>'Housing Voucher'!Q99*12</f>
        <v>0</v>
      </c>
      <c r="H95" s="197">
        <f>EITC!E98</f>
        <v>976.89815999999996</v>
      </c>
      <c r="I95" s="205">
        <f>Medicaid!N102*12</f>
        <v>0</v>
      </c>
      <c r="K95" s="185">
        <f t="shared" si="5"/>
        <v>976.89815999999996</v>
      </c>
      <c r="L95" s="185">
        <f t="shared" si="6"/>
        <v>47476.898159999997</v>
      </c>
      <c r="M95" s="36">
        <f t="shared" si="4"/>
        <v>3956.4081799999999</v>
      </c>
    </row>
    <row r="96" spans="1:13" x14ac:dyDescent="0.25">
      <c r="A96" s="186">
        <v>47000</v>
      </c>
      <c r="B96" s="33">
        <f t="shared" si="7"/>
        <v>3916.6666666666665</v>
      </c>
      <c r="C96" s="185">
        <f>'Child care subsidy'!S99*12</f>
        <v>0</v>
      </c>
      <c r="D96" s="185">
        <f>MAX('TANF-VIEW'!L103,'TANF-VIEW'!T103)*12</f>
        <v>0</v>
      </c>
      <c r="E96" s="193">
        <f>SNAP!V100*12</f>
        <v>0</v>
      </c>
      <c r="F96" s="184">
        <f>WIC!F102*12</f>
        <v>0</v>
      </c>
      <c r="G96" s="185">
        <f>'Housing Voucher'!Q100*12</f>
        <v>0</v>
      </c>
      <c r="H96" s="197">
        <f>EITC!E99</f>
        <v>881.01815999999985</v>
      </c>
      <c r="I96" s="205">
        <f>Medicaid!N103*12</f>
        <v>0</v>
      </c>
      <c r="K96" s="185">
        <f t="shared" si="5"/>
        <v>881.01815999999985</v>
      </c>
      <c r="L96" s="185">
        <f t="shared" si="6"/>
        <v>47881.01816</v>
      </c>
      <c r="M96" s="36">
        <f t="shared" si="4"/>
        <v>3990.0848466666666</v>
      </c>
    </row>
    <row r="97" spans="1:13" x14ac:dyDescent="0.25">
      <c r="A97" s="186">
        <v>47500</v>
      </c>
      <c r="B97" s="33">
        <f t="shared" si="7"/>
        <v>3958.3333333333335</v>
      </c>
      <c r="C97" s="185">
        <f>'Child care subsidy'!S100*12</f>
        <v>0</v>
      </c>
      <c r="D97" s="185">
        <f>MAX('TANF-VIEW'!L104,'TANF-VIEW'!T104)*12</f>
        <v>0</v>
      </c>
      <c r="E97" s="193">
        <f>SNAP!V101*12</f>
        <v>0</v>
      </c>
      <c r="F97" s="184">
        <f>WIC!F103*12</f>
        <v>0</v>
      </c>
      <c r="G97" s="185">
        <f>'Housing Voucher'!Q101*12</f>
        <v>0</v>
      </c>
      <c r="H97" s="197">
        <f>EITC!E100</f>
        <v>785.1381600000002</v>
      </c>
      <c r="I97" s="205">
        <f>Medicaid!N104*12</f>
        <v>0</v>
      </c>
      <c r="K97" s="185">
        <f t="shared" si="5"/>
        <v>785.1381600000002</v>
      </c>
      <c r="L97" s="185">
        <f t="shared" si="6"/>
        <v>48285.138160000002</v>
      </c>
      <c r="M97" s="36">
        <f t="shared" si="4"/>
        <v>4023.7615133333334</v>
      </c>
    </row>
    <row r="98" spans="1:13" x14ac:dyDescent="0.25">
      <c r="A98" s="186">
        <v>48000</v>
      </c>
      <c r="B98" s="33">
        <f t="shared" si="7"/>
        <v>4000</v>
      </c>
      <c r="C98" s="185">
        <f>'Child care subsidy'!S101*12</f>
        <v>0</v>
      </c>
      <c r="D98" s="185">
        <f>MAX('TANF-VIEW'!L105,'TANF-VIEW'!T105)*12</f>
        <v>0</v>
      </c>
      <c r="E98" s="193">
        <f>SNAP!V102*12</f>
        <v>0</v>
      </c>
      <c r="F98" s="184">
        <f>WIC!F104*12</f>
        <v>0</v>
      </c>
      <c r="G98" s="185">
        <f>'Housing Voucher'!Q102*12</f>
        <v>0</v>
      </c>
      <c r="H98" s="197">
        <f>EITC!E101</f>
        <v>689.25816000000009</v>
      </c>
      <c r="I98" s="205">
        <f>Medicaid!N105*12</f>
        <v>0</v>
      </c>
      <c r="K98" s="185">
        <f t="shared" si="5"/>
        <v>689.25816000000009</v>
      </c>
      <c r="L98" s="185">
        <f t="shared" si="6"/>
        <v>48689.258159999998</v>
      </c>
      <c r="M98" s="36">
        <f t="shared" si="4"/>
        <v>4057.4381799999996</v>
      </c>
    </row>
    <row r="99" spans="1:13" x14ac:dyDescent="0.25">
      <c r="A99" s="186">
        <v>48500</v>
      </c>
      <c r="B99" s="33">
        <f t="shared" si="7"/>
        <v>4041.6666666666665</v>
      </c>
      <c r="C99" s="185">
        <f>'Child care subsidy'!S102*12</f>
        <v>0</v>
      </c>
      <c r="D99" s="185">
        <f>MAX('TANF-VIEW'!L106,'TANF-VIEW'!T106)*12</f>
        <v>0</v>
      </c>
      <c r="E99" s="193">
        <f>SNAP!V103*12</f>
        <v>0</v>
      </c>
      <c r="F99" s="184">
        <f>WIC!F105*12</f>
        <v>0</v>
      </c>
      <c r="G99" s="185">
        <f>'Housing Voucher'!Q103*12</f>
        <v>0</v>
      </c>
      <c r="H99" s="197">
        <f>EITC!E102</f>
        <v>593.37815999999998</v>
      </c>
      <c r="I99" s="205">
        <f>Medicaid!N106*12</f>
        <v>0</v>
      </c>
      <c r="K99" s="185">
        <f t="shared" si="5"/>
        <v>593.37815999999998</v>
      </c>
      <c r="L99" s="185">
        <f t="shared" si="6"/>
        <v>49093.37816</v>
      </c>
      <c r="M99" s="36">
        <f t="shared" si="4"/>
        <v>4091.1148466666668</v>
      </c>
    </row>
    <row r="100" spans="1:13" x14ac:dyDescent="0.25">
      <c r="A100" s="186">
        <v>49000</v>
      </c>
      <c r="B100" s="33">
        <f t="shared" si="7"/>
        <v>4083.3333333333335</v>
      </c>
      <c r="C100" s="185">
        <f>'Child care subsidy'!S103*12</f>
        <v>0</v>
      </c>
      <c r="D100" s="185">
        <f>MAX('TANF-VIEW'!L107,'TANF-VIEW'!T107)*12</f>
        <v>0</v>
      </c>
      <c r="E100" s="193">
        <f>SNAP!V104*12</f>
        <v>0</v>
      </c>
      <c r="F100" s="184">
        <f>WIC!F106*12</f>
        <v>0</v>
      </c>
      <c r="G100" s="185">
        <f>'Housing Voucher'!Q104*12</f>
        <v>0</v>
      </c>
      <c r="H100" s="197">
        <f>EITC!E103</f>
        <v>497.49815999999993</v>
      </c>
      <c r="I100" s="205">
        <f>Medicaid!N107*12</f>
        <v>0</v>
      </c>
      <c r="K100" s="185">
        <f t="shared" si="5"/>
        <v>497.49815999999993</v>
      </c>
      <c r="L100" s="185">
        <f t="shared" si="6"/>
        <v>49497.498160000003</v>
      </c>
      <c r="M100" s="36">
        <f t="shared" si="4"/>
        <v>4124.7915133333336</v>
      </c>
    </row>
    <row r="101" spans="1:13" x14ac:dyDescent="0.25">
      <c r="A101" s="186">
        <v>49500</v>
      </c>
      <c r="B101" s="33">
        <f t="shared" si="7"/>
        <v>4125</v>
      </c>
      <c r="C101" s="185">
        <f>'Child care subsidy'!S104*12</f>
        <v>0</v>
      </c>
      <c r="D101" s="185">
        <f>MAX('TANF-VIEW'!L108,'TANF-VIEW'!T108)*12</f>
        <v>0</v>
      </c>
      <c r="E101" s="193">
        <f>SNAP!V105*12</f>
        <v>0</v>
      </c>
      <c r="F101" s="184">
        <f>WIC!F107*12</f>
        <v>0</v>
      </c>
      <c r="G101" s="185">
        <f>'Housing Voucher'!Q105*12</f>
        <v>0</v>
      </c>
      <c r="H101" s="197">
        <f>EITC!E104</f>
        <v>401.61815999999982</v>
      </c>
      <c r="I101" s="205">
        <f>Medicaid!N108*12</f>
        <v>0</v>
      </c>
      <c r="K101" s="185">
        <f t="shared" si="5"/>
        <v>401.61815999999982</v>
      </c>
      <c r="L101" s="185">
        <f t="shared" si="6"/>
        <v>49901.618159999998</v>
      </c>
      <c r="M101" s="36">
        <f t="shared" si="4"/>
        <v>4158.4681799999998</v>
      </c>
    </row>
    <row r="102" spans="1:13" x14ac:dyDescent="0.25">
      <c r="A102" s="186">
        <v>50000</v>
      </c>
      <c r="B102" s="33">
        <f t="shared" si="7"/>
        <v>4166.666666666667</v>
      </c>
      <c r="C102" s="185">
        <f>'Child care subsidy'!S105*12</f>
        <v>0</v>
      </c>
      <c r="D102" s="185">
        <f>MAX('TANF-VIEW'!L109,'TANF-VIEW'!T109)*12</f>
        <v>0</v>
      </c>
      <c r="E102" s="193">
        <f>SNAP!V106*12</f>
        <v>0</v>
      </c>
      <c r="F102" s="184">
        <f>WIC!F108*12</f>
        <v>0</v>
      </c>
      <c r="G102" s="185">
        <f>'Housing Voucher'!Q106*12</f>
        <v>0</v>
      </c>
      <c r="H102" s="197">
        <f>EITC!E105</f>
        <v>305.73815999999971</v>
      </c>
      <c r="I102" s="205">
        <f>Medicaid!N109*12</f>
        <v>0</v>
      </c>
      <c r="K102" s="185">
        <f t="shared" si="5"/>
        <v>305.73815999999971</v>
      </c>
      <c r="L102" s="185">
        <f t="shared" si="6"/>
        <v>50305.738160000001</v>
      </c>
      <c r="M102" s="36">
        <f t="shared" si="4"/>
        <v>4192.144846666667</v>
      </c>
    </row>
    <row r="103" spans="1:13" x14ac:dyDescent="0.25">
      <c r="A103" s="186">
        <v>50500</v>
      </c>
      <c r="B103" s="33">
        <f>A103/12</f>
        <v>4208.333333333333</v>
      </c>
      <c r="C103" s="185">
        <f>'Child care subsidy'!S106*12</f>
        <v>0</v>
      </c>
      <c r="D103" s="185">
        <f>MAX('TANF-VIEW'!L110,'TANF-VIEW'!T110)*12</f>
        <v>0</v>
      </c>
      <c r="E103" s="193">
        <f>SNAP!V107*12</f>
        <v>0</v>
      </c>
      <c r="F103" s="184">
        <f>WIC!F109*12</f>
        <v>0</v>
      </c>
      <c r="G103" s="185">
        <f>'Housing Voucher'!Q107*12</f>
        <v>0</v>
      </c>
      <c r="H103" s="197">
        <f>EITC!E106</f>
        <v>0</v>
      </c>
      <c r="I103" s="205">
        <f>Medicaid!N110*12</f>
        <v>0</v>
      </c>
      <c r="K103" s="185">
        <f t="shared" si="5"/>
        <v>0</v>
      </c>
      <c r="L103" s="185">
        <f t="shared" si="6"/>
        <v>50500</v>
      </c>
      <c r="M103" s="36">
        <f t="shared" si="4"/>
        <v>4208.333333333333</v>
      </c>
    </row>
    <row r="104" spans="1:13" x14ac:dyDescent="0.25">
      <c r="A104" s="186">
        <v>51000</v>
      </c>
      <c r="B104" s="33">
        <f t="shared" ref="B104:B167" si="8">A104/12</f>
        <v>4250</v>
      </c>
      <c r="C104" s="185">
        <f>'Child care subsidy'!S107*12</f>
        <v>0</v>
      </c>
      <c r="D104" s="185">
        <f>MAX('TANF-VIEW'!L111,'TANF-VIEW'!T111)*12</f>
        <v>0</v>
      </c>
      <c r="E104" s="193">
        <f>SNAP!V108*12</f>
        <v>0</v>
      </c>
      <c r="F104" s="184">
        <f>WIC!F110*12</f>
        <v>0</v>
      </c>
      <c r="G104" s="185">
        <f>'Housing Voucher'!Q108*12</f>
        <v>0</v>
      </c>
      <c r="H104" s="197">
        <f>EITC!E107</f>
        <v>0</v>
      </c>
      <c r="I104" s="205">
        <f>Medicaid!N111*12</f>
        <v>0</v>
      </c>
      <c r="K104" s="185">
        <f t="shared" si="5"/>
        <v>0</v>
      </c>
      <c r="L104" s="185">
        <f t="shared" si="6"/>
        <v>51000</v>
      </c>
      <c r="M104" s="36">
        <f t="shared" si="4"/>
        <v>4250</v>
      </c>
    </row>
    <row r="105" spans="1:13" x14ac:dyDescent="0.25">
      <c r="A105" s="186">
        <v>51500</v>
      </c>
      <c r="B105" s="33">
        <f t="shared" si="8"/>
        <v>4291.666666666667</v>
      </c>
      <c r="C105" s="185">
        <f>'Child care subsidy'!S108*12</f>
        <v>0</v>
      </c>
      <c r="D105" s="185">
        <f>MAX('TANF-VIEW'!L112,'TANF-VIEW'!T112)*12</f>
        <v>0</v>
      </c>
      <c r="E105" s="193">
        <f>SNAP!V109*12</f>
        <v>0</v>
      </c>
      <c r="F105" s="184">
        <f>WIC!F111*12</f>
        <v>0</v>
      </c>
      <c r="G105" s="185">
        <f>'Housing Voucher'!Q109*12</f>
        <v>0</v>
      </c>
      <c r="H105" s="197">
        <f>EITC!E108</f>
        <v>0</v>
      </c>
      <c r="I105" s="205">
        <f>Medicaid!N112*12</f>
        <v>0</v>
      </c>
      <c r="K105" s="185">
        <f t="shared" si="5"/>
        <v>0</v>
      </c>
      <c r="L105" s="185">
        <f t="shared" si="6"/>
        <v>51500</v>
      </c>
      <c r="M105" s="36">
        <f t="shared" si="4"/>
        <v>4291.666666666667</v>
      </c>
    </row>
    <row r="106" spans="1:13" x14ac:dyDescent="0.25">
      <c r="A106" s="186">
        <v>52000</v>
      </c>
      <c r="B106" s="33">
        <f t="shared" si="8"/>
        <v>4333.333333333333</v>
      </c>
      <c r="C106" s="185">
        <f>'Child care subsidy'!S109*12</f>
        <v>0</v>
      </c>
      <c r="D106" s="185">
        <f>MAX('TANF-VIEW'!L113,'TANF-VIEW'!T113)*12</f>
        <v>0</v>
      </c>
      <c r="E106" s="193">
        <f>SNAP!V110*12</f>
        <v>0</v>
      </c>
      <c r="F106" s="184">
        <f>WIC!F112*12</f>
        <v>0</v>
      </c>
      <c r="G106" s="185">
        <f>'Housing Voucher'!Q110*12</f>
        <v>0</v>
      </c>
      <c r="H106" s="197">
        <f>EITC!E109</f>
        <v>0</v>
      </c>
      <c r="I106" s="205">
        <f>Medicaid!N113*12</f>
        <v>0</v>
      </c>
      <c r="K106" s="185">
        <f t="shared" si="5"/>
        <v>0</v>
      </c>
      <c r="L106" s="185">
        <f t="shared" si="6"/>
        <v>52000</v>
      </c>
      <c r="M106" s="36">
        <f t="shared" si="4"/>
        <v>4333.333333333333</v>
      </c>
    </row>
    <row r="107" spans="1:13" x14ac:dyDescent="0.25">
      <c r="A107" s="186">
        <v>52500</v>
      </c>
      <c r="B107" s="33">
        <f t="shared" si="8"/>
        <v>4375</v>
      </c>
      <c r="C107" s="185">
        <f>'Child care subsidy'!S110*12</f>
        <v>0</v>
      </c>
      <c r="D107" s="185">
        <f>MAX('TANF-VIEW'!L114,'TANF-VIEW'!T114)*12</f>
        <v>0</v>
      </c>
      <c r="E107" s="193">
        <f>SNAP!V111*12</f>
        <v>0</v>
      </c>
      <c r="F107" s="184">
        <f>WIC!F113*12</f>
        <v>0</v>
      </c>
      <c r="G107" s="185">
        <f>'Housing Voucher'!Q111*12</f>
        <v>0</v>
      </c>
      <c r="H107" s="197">
        <f>EITC!E110</f>
        <v>0</v>
      </c>
      <c r="I107" s="205">
        <f>Medicaid!N114*12</f>
        <v>0</v>
      </c>
      <c r="K107" s="185">
        <f t="shared" si="5"/>
        <v>0</v>
      </c>
      <c r="L107" s="185">
        <f t="shared" si="6"/>
        <v>52500</v>
      </c>
      <c r="M107" s="36">
        <f t="shared" si="4"/>
        <v>4375</v>
      </c>
    </row>
    <row r="108" spans="1:13" x14ac:dyDescent="0.25">
      <c r="A108" s="186">
        <v>53000</v>
      </c>
      <c r="B108" s="33">
        <f t="shared" si="8"/>
        <v>4416.666666666667</v>
      </c>
      <c r="C108" s="185">
        <f>'Child care subsidy'!S111*12</f>
        <v>0</v>
      </c>
      <c r="D108" s="185">
        <f>MAX('TANF-VIEW'!L115,'TANF-VIEW'!T115)*12</f>
        <v>0</v>
      </c>
      <c r="E108" s="193">
        <f>SNAP!V112*12</f>
        <v>0</v>
      </c>
      <c r="F108" s="184">
        <f>WIC!F114*12</f>
        <v>0</v>
      </c>
      <c r="G108" s="185">
        <f>'Housing Voucher'!Q112*12</f>
        <v>0</v>
      </c>
      <c r="H108" s="197">
        <f>EITC!E111</f>
        <v>0</v>
      </c>
      <c r="I108" s="205">
        <f>Medicaid!N115*12</f>
        <v>0</v>
      </c>
      <c r="K108" s="185">
        <f t="shared" si="5"/>
        <v>0</v>
      </c>
      <c r="L108" s="185">
        <f t="shared" si="6"/>
        <v>53000</v>
      </c>
      <c r="M108" s="36">
        <f t="shared" si="4"/>
        <v>4416.666666666667</v>
      </c>
    </row>
    <row r="109" spans="1:13" x14ac:dyDescent="0.25">
      <c r="A109" s="186">
        <v>53500</v>
      </c>
      <c r="B109" s="33">
        <f t="shared" si="8"/>
        <v>4458.333333333333</v>
      </c>
      <c r="C109" s="185">
        <f>'Child care subsidy'!S112*12</f>
        <v>0</v>
      </c>
      <c r="D109" s="185">
        <f>MAX('TANF-VIEW'!L116,'TANF-VIEW'!T116)*12</f>
        <v>0</v>
      </c>
      <c r="E109" s="193">
        <f>SNAP!V113*12</f>
        <v>0</v>
      </c>
      <c r="F109" s="184">
        <f>WIC!F115*12</f>
        <v>0</v>
      </c>
      <c r="G109" s="185">
        <f>'Housing Voucher'!Q113*12</f>
        <v>0</v>
      </c>
      <c r="H109" s="197">
        <f>EITC!E112</f>
        <v>0</v>
      </c>
      <c r="I109" s="205">
        <f>Medicaid!N116*12</f>
        <v>0</v>
      </c>
      <c r="K109" s="185">
        <f t="shared" si="5"/>
        <v>0</v>
      </c>
      <c r="L109" s="185">
        <f t="shared" si="6"/>
        <v>53500</v>
      </c>
      <c r="M109" s="36">
        <f t="shared" si="4"/>
        <v>4458.333333333333</v>
      </c>
    </row>
    <row r="110" spans="1:13" x14ac:dyDescent="0.25">
      <c r="A110" s="186">
        <v>54000</v>
      </c>
      <c r="B110" s="33">
        <f t="shared" si="8"/>
        <v>4500</v>
      </c>
      <c r="C110" s="185">
        <f>'Child care subsidy'!S113*12</f>
        <v>0</v>
      </c>
      <c r="D110" s="185">
        <f>MAX('TANF-VIEW'!L117,'TANF-VIEW'!T117)*12</f>
        <v>0</v>
      </c>
      <c r="E110" s="193">
        <f>SNAP!V114*12</f>
        <v>0</v>
      </c>
      <c r="F110" s="184">
        <f>WIC!F116*12</f>
        <v>0</v>
      </c>
      <c r="G110" s="185">
        <f>'Housing Voucher'!Q114*12</f>
        <v>0</v>
      </c>
      <c r="H110" s="197">
        <f>EITC!E113</f>
        <v>0</v>
      </c>
      <c r="I110" s="205">
        <f>Medicaid!N117*12</f>
        <v>0</v>
      </c>
      <c r="K110" s="185">
        <f t="shared" si="5"/>
        <v>0</v>
      </c>
      <c r="L110" s="185">
        <f t="shared" si="6"/>
        <v>54000</v>
      </c>
      <c r="M110" s="36">
        <f t="shared" si="4"/>
        <v>4500</v>
      </c>
    </row>
    <row r="111" spans="1:13" x14ac:dyDescent="0.25">
      <c r="A111" s="186">
        <v>54500</v>
      </c>
      <c r="B111" s="33">
        <f t="shared" si="8"/>
        <v>4541.666666666667</v>
      </c>
      <c r="C111" s="185">
        <f>'Child care subsidy'!S114*12</f>
        <v>0</v>
      </c>
      <c r="D111" s="185">
        <f>MAX('TANF-VIEW'!L118,'TANF-VIEW'!T118)*12</f>
        <v>0</v>
      </c>
      <c r="E111" s="193">
        <f>SNAP!V115*12</f>
        <v>0</v>
      </c>
      <c r="F111" s="184">
        <f>WIC!F117*12</f>
        <v>0</v>
      </c>
      <c r="G111" s="185">
        <f>'Housing Voucher'!Q115*12</f>
        <v>0</v>
      </c>
      <c r="H111" s="197">
        <f>EITC!E114</f>
        <v>0</v>
      </c>
      <c r="I111" s="205">
        <f>Medicaid!N118*12</f>
        <v>0</v>
      </c>
      <c r="K111" s="185">
        <f t="shared" si="5"/>
        <v>0</v>
      </c>
      <c r="L111" s="185">
        <f t="shared" si="6"/>
        <v>54500</v>
      </c>
      <c r="M111" s="36">
        <f t="shared" si="4"/>
        <v>4541.666666666667</v>
      </c>
    </row>
    <row r="112" spans="1:13" x14ac:dyDescent="0.25">
      <c r="A112" s="186">
        <v>55000</v>
      </c>
      <c r="B112" s="33">
        <f t="shared" si="8"/>
        <v>4583.333333333333</v>
      </c>
      <c r="C112" s="185">
        <f>'Child care subsidy'!S115*12</f>
        <v>0</v>
      </c>
      <c r="D112" s="185">
        <f>MAX('TANF-VIEW'!L119,'TANF-VIEW'!T119)*12</f>
        <v>0</v>
      </c>
      <c r="E112" s="193">
        <f>SNAP!V116*12</f>
        <v>0</v>
      </c>
      <c r="F112" s="184">
        <f>WIC!F118*12</f>
        <v>0</v>
      </c>
      <c r="G112" s="185">
        <f>'Housing Voucher'!Q116*12</f>
        <v>0</v>
      </c>
      <c r="H112" s="197">
        <f>EITC!E115</f>
        <v>0</v>
      </c>
      <c r="I112" s="205">
        <f>Medicaid!N119*12</f>
        <v>0</v>
      </c>
      <c r="K112" s="185">
        <f t="shared" si="5"/>
        <v>0</v>
      </c>
      <c r="L112" s="185">
        <f t="shared" si="6"/>
        <v>55000</v>
      </c>
      <c r="M112" s="36">
        <f t="shared" si="4"/>
        <v>4583.333333333333</v>
      </c>
    </row>
    <row r="113" spans="1:13" x14ac:dyDescent="0.25">
      <c r="A113" s="206">
        <v>55500</v>
      </c>
      <c r="B113" s="207">
        <f t="shared" si="8"/>
        <v>4625</v>
      </c>
      <c r="C113" s="208">
        <f>'Child care subsidy'!S116*12</f>
        <v>0</v>
      </c>
      <c r="D113" s="208">
        <f>MAX('TANF-VIEW'!L120,'TANF-VIEW'!T120)*12</f>
        <v>0</v>
      </c>
      <c r="E113" s="209">
        <f>SNAP!V117*12</f>
        <v>0</v>
      </c>
      <c r="F113" s="210">
        <f>WIC!F119*12</f>
        <v>0</v>
      </c>
      <c r="G113" s="208">
        <f>'Housing Voucher'!Q117*12</f>
        <v>0</v>
      </c>
      <c r="H113" s="211">
        <f>EITC!E116</f>
        <v>0</v>
      </c>
      <c r="I113" s="212">
        <f>Medicaid!N120*12</f>
        <v>0</v>
      </c>
      <c r="J113" s="213"/>
      <c r="K113" s="208">
        <f t="shared" si="5"/>
        <v>0</v>
      </c>
      <c r="L113" s="208">
        <f t="shared" si="6"/>
        <v>55500</v>
      </c>
      <c r="M113" s="36">
        <f t="shared" si="4"/>
        <v>4625</v>
      </c>
    </row>
    <row r="114" spans="1:13" x14ac:dyDescent="0.25">
      <c r="A114" s="206">
        <v>56000</v>
      </c>
      <c r="B114" s="207">
        <f t="shared" si="8"/>
        <v>4666.666666666667</v>
      </c>
      <c r="C114" s="208">
        <f>'Child care subsidy'!S117*12</f>
        <v>0</v>
      </c>
      <c r="D114" s="208">
        <f>MAX('TANF-VIEW'!L121,'TANF-VIEW'!T121)*12</f>
        <v>0</v>
      </c>
      <c r="E114" s="209">
        <f>SNAP!V118*12</f>
        <v>0</v>
      </c>
      <c r="F114" s="210">
        <f>WIC!F120*12</f>
        <v>0</v>
      </c>
      <c r="G114" s="208">
        <f>'Housing Voucher'!Q118*12</f>
        <v>0</v>
      </c>
      <c r="H114" s="211">
        <f>EITC!E117</f>
        <v>0</v>
      </c>
      <c r="I114" s="212">
        <f>Medicaid!N121*12</f>
        <v>0</v>
      </c>
      <c r="J114" s="213"/>
      <c r="K114" s="208">
        <f t="shared" si="5"/>
        <v>0</v>
      </c>
      <c r="L114" s="208">
        <f t="shared" si="6"/>
        <v>56000</v>
      </c>
      <c r="M114" s="36">
        <f t="shared" si="4"/>
        <v>4666.666666666667</v>
      </c>
    </row>
    <row r="115" spans="1:13" x14ac:dyDescent="0.25">
      <c r="A115" s="186">
        <v>56500</v>
      </c>
      <c r="B115" s="33">
        <f t="shared" si="8"/>
        <v>4708.333333333333</v>
      </c>
      <c r="C115" s="185">
        <f>'Child care subsidy'!S118*12</f>
        <v>0</v>
      </c>
      <c r="D115" s="185">
        <f>MAX('TANF-VIEW'!L122,'TANF-VIEW'!T122)*12</f>
        <v>0</v>
      </c>
      <c r="E115" s="193">
        <f>SNAP!V119*12</f>
        <v>0</v>
      </c>
      <c r="F115" s="184">
        <f>WIC!F121*12</f>
        <v>0</v>
      </c>
      <c r="G115" s="185">
        <f>'Housing Voucher'!Q119*12</f>
        <v>0</v>
      </c>
      <c r="H115" s="197">
        <f>EITC!E118</f>
        <v>0</v>
      </c>
      <c r="I115" s="205">
        <f>Medicaid!N122*12</f>
        <v>0</v>
      </c>
      <c r="K115" s="185">
        <f t="shared" si="5"/>
        <v>0</v>
      </c>
      <c r="L115" s="185">
        <f t="shared" si="6"/>
        <v>56500</v>
      </c>
      <c r="M115" s="36">
        <f t="shared" si="4"/>
        <v>4708.333333333333</v>
      </c>
    </row>
    <row r="116" spans="1:13" x14ac:dyDescent="0.25">
      <c r="A116" s="186">
        <v>57000</v>
      </c>
      <c r="B116" s="33">
        <f t="shared" si="8"/>
        <v>4750</v>
      </c>
      <c r="C116" s="185">
        <f>'Child care subsidy'!S119*12</f>
        <v>0</v>
      </c>
      <c r="D116" s="185">
        <f>MAX('TANF-VIEW'!L123,'TANF-VIEW'!T123)*12</f>
        <v>0</v>
      </c>
      <c r="E116" s="193">
        <f>SNAP!V120*12</f>
        <v>0</v>
      </c>
      <c r="F116" s="184">
        <f>WIC!F122*12</f>
        <v>0</v>
      </c>
      <c r="G116" s="185">
        <f>'Housing Voucher'!Q120*12</f>
        <v>0</v>
      </c>
      <c r="H116" s="197">
        <f>EITC!E119</f>
        <v>0</v>
      </c>
      <c r="I116" s="205">
        <f>Medicaid!N123*12</f>
        <v>0</v>
      </c>
      <c r="K116" s="185">
        <f t="shared" si="5"/>
        <v>0</v>
      </c>
      <c r="L116" s="185">
        <f t="shared" si="6"/>
        <v>57000</v>
      </c>
      <c r="M116" s="36">
        <f t="shared" si="4"/>
        <v>4750</v>
      </c>
    </row>
    <row r="117" spans="1:13" x14ac:dyDescent="0.25">
      <c r="A117" s="186">
        <v>57500</v>
      </c>
      <c r="B117" s="33">
        <f t="shared" si="8"/>
        <v>4791.666666666667</v>
      </c>
      <c r="C117" s="185">
        <f>'Child care subsidy'!S120*12</f>
        <v>0</v>
      </c>
      <c r="D117" s="185">
        <f>MAX('TANF-VIEW'!L124,'TANF-VIEW'!T124)*12</f>
        <v>0</v>
      </c>
      <c r="E117" s="193">
        <f>SNAP!V121*12</f>
        <v>0</v>
      </c>
      <c r="F117" s="184">
        <f>WIC!F123*12</f>
        <v>0</v>
      </c>
      <c r="G117" s="185">
        <f>'Housing Voucher'!Q121*12</f>
        <v>0</v>
      </c>
      <c r="H117" s="197">
        <f>EITC!E120</f>
        <v>0</v>
      </c>
      <c r="I117" s="205">
        <f>Medicaid!N124*12</f>
        <v>0</v>
      </c>
      <c r="K117" s="185">
        <f t="shared" si="5"/>
        <v>0</v>
      </c>
      <c r="L117" s="185">
        <f t="shared" si="6"/>
        <v>57500</v>
      </c>
      <c r="M117" s="36">
        <f t="shared" si="4"/>
        <v>4791.666666666667</v>
      </c>
    </row>
    <row r="118" spans="1:13" x14ac:dyDescent="0.25">
      <c r="A118" s="186">
        <v>58000</v>
      </c>
      <c r="B118" s="33">
        <f t="shared" si="8"/>
        <v>4833.333333333333</v>
      </c>
      <c r="C118" s="185">
        <f>'Child care subsidy'!S121*12</f>
        <v>0</v>
      </c>
      <c r="D118" s="185">
        <f>MAX('TANF-VIEW'!L125,'TANF-VIEW'!T125)*12</f>
        <v>0</v>
      </c>
      <c r="E118" s="193">
        <f>SNAP!V122*12</f>
        <v>0</v>
      </c>
      <c r="F118" s="184">
        <f>WIC!F124*12</f>
        <v>0</v>
      </c>
      <c r="G118" s="185">
        <f>'Housing Voucher'!Q122*12</f>
        <v>0</v>
      </c>
      <c r="H118" s="197">
        <f>EITC!E121</f>
        <v>0</v>
      </c>
      <c r="I118" s="205">
        <f>Medicaid!N125*12</f>
        <v>0</v>
      </c>
      <c r="K118" s="185">
        <f t="shared" si="5"/>
        <v>0</v>
      </c>
      <c r="L118" s="185">
        <f t="shared" si="6"/>
        <v>58000</v>
      </c>
      <c r="M118" s="36">
        <f t="shared" si="4"/>
        <v>4833.333333333333</v>
      </c>
    </row>
    <row r="119" spans="1:13" x14ac:dyDescent="0.25">
      <c r="A119" s="186">
        <v>58500</v>
      </c>
      <c r="B119" s="33">
        <f t="shared" si="8"/>
        <v>4875</v>
      </c>
      <c r="C119" s="185">
        <f>'Child care subsidy'!S122*12</f>
        <v>0</v>
      </c>
      <c r="D119" s="185">
        <f>MAX('TANF-VIEW'!L126,'TANF-VIEW'!T126)*12</f>
        <v>0</v>
      </c>
      <c r="E119" s="193">
        <f>SNAP!V123*12</f>
        <v>0</v>
      </c>
      <c r="F119" s="184">
        <f>WIC!F125*12</f>
        <v>0</v>
      </c>
      <c r="G119" s="185">
        <f>'Housing Voucher'!Q123*12</f>
        <v>0</v>
      </c>
      <c r="H119" s="197">
        <f>EITC!E122</f>
        <v>0</v>
      </c>
      <c r="I119" s="205">
        <f>Medicaid!N126*12</f>
        <v>0</v>
      </c>
      <c r="K119" s="185">
        <f t="shared" si="5"/>
        <v>0</v>
      </c>
      <c r="L119" s="185">
        <f t="shared" si="6"/>
        <v>58500</v>
      </c>
      <c r="M119" s="36">
        <f t="shared" si="4"/>
        <v>4875</v>
      </c>
    </row>
    <row r="120" spans="1:13" x14ac:dyDescent="0.25">
      <c r="A120" s="186">
        <v>59000</v>
      </c>
      <c r="B120" s="33">
        <f t="shared" si="8"/>
        <v>4916.666666666667</v>
      </c>
      <c r="C120" s="185">
        <f>'Child care subsidy'!S123*12</f>
        <v>0</v>
      </c>
      <c r="D120" s="185">
        <f>MAX('TANF-VIEW'!L127,'TANF-VIEW'!T127)*12</f>
        <v>0</v>
      </c>
      <c r="E120" s="193">
        <f>SNAP!V124*12</f>
        <v>0</v>
      </c>
      <c r="F120" s="184">
        <f>WIC!F126*12</f>
        <v>0</v>
      </c>
      <c r="G120" s="185">
        <f>'Housing Voucher'!Q124*12</f>
        <v>0</v>
      </c>
      <c r="H120" s="197">
        <f>EITC!E123</f>
        <v>0</v>
      </c>
      <c r="I120" s="205">
        <f>Medicaid!N127*12</f>
        <v>0</v>
      </c>
      <c r="K120" s="185">
        <f t="shared" si="5"/>
        <v>0</v>
      </c>
      <c r="L120" s="185">
        <f t="shared" si="6"/>
        <v>59000</v>
      </c>
      <c r="M120" s="36">
        <f t="shared" si="4"/>
        <v>4916.666666666667</v>
      </c>
    </row>
    <row r="121" spans="1:13" x14ac:dyDescent="0.25">
      <c r="A121" s="186">
        <v>59500</v>
      </c>
      <c r="B121" s="33">
        <f t="shared" si="8"/>
        <v>4958.333333333333</v>
      </c>
      <c r="C121" s="185">
        <f>'Child care subsidy'!S124*12</f>
        <v>0</v>
      </c>
      <c r="D121" s="185">
        <f>MAX('TANF-VIEW'!L128,'TANF-VIEW'!T128)*12</f>
        <v>0</v>
      </c>
      <c r="E121" s="193">
        <f>SNAP!V125*12</f>
        <v>0</v>
      </c>
      <c r="F121" s="184">
        <f>WIC!F127*12</f>
        <v>0</v>
      </c>
      <c r="G121" s="185">
        <f>'Housing Voucher'!Q125*12</f>
        <v>0</v>
      </c>
      <c r="H121" s="197">
        <f>EITC!E124</f>
        <v>0</v>
      </c>
      <c r="I121" s="205">
        <f>Medicaid!N128*12</f>
        <v>0</v>
      </c>
      <c r="K121" s="185">
        <f t="shared" si="5"/>
        <v>0</v>
      </c>
      <c r="L121" s="185">
        <f t="shared" si="6"/>
        <v>59500</v>
      </c>
      <c r="M121" s="36">
        <f t="shared" si="4"/>
        <v>4958.333333333333</v>
      </c>
    </row>
    <row r="122" spans="1:13" x14ac:dyDescent="0.25">
      <c r="A122" s="186">
        <v>60000</v>
      </c>
      <c r="B122" s="33">
        <f t="shared" si="8"/>
        <v>5000</v>
      </c>
      <c r="C122" s="185">
        <f>'Child care subsidy'!S125*12</f>
        <v>0</v>
      </c>
      <c r="D122" s="185">
        <f>MAX('TANF-VIEW'!L129,'TANF-VIEW'!T129)*12</f>
        <v>0</v>
      </c>
      <c r="E122" s="193">
        <f>SNAP!V126*12</f>
        <v>0</v>
      </c>
      <c r="F122" s="184">
        <f>WIC!F128*12</f>
        <v>0</v>
      </c>
      <c r="G122" s="185">
        <f>'Housing Voucher'!Q126*12</f>
        <v>0</v>
      </c>
      <c r="H122" s="197">
        <f>EITC!E125</f>
        <v>0</v>
      </c>
      <c r="I122" s="205">
        <f>Medicaid!N129*12</f>
        <v>0</v>
      </c>
      <c r="K122" s="185">
        <f t="shared" si="5"/>
        <v>0</v>
      </c>
      <c r="L122" s="185">
        <f t="shared" si="6"/>
        <v>60000</v>
      </c>
      <c r="M122" s="36">
        <f t="shared" si="4"/>
        <v>5000</v>
      </c>
    </row>
    <row r="123" spans="1:13" x14ac:dyDescent="0.25">
      <c r="A123" s="186">
        <v>60500</v>
      </c>
      <c r="B123" s="33">
        <f t="shared" si="8"/>
        <v>5041.666666666667</v>
      </c>
      <c r="C123" s="185">
        <f>'Child care subsidy'!S126*12</f>
        <v>0</v>
      </c>
      <c r="D123" s="185">
        <f>MAX('TANF-VIEW'!L130,'TANF-VIEW'!T130)*12</f>
        <v>0</v>
      </c>
      <c r="E123" s="193">
        <f>SNAP!V127*12</f>
        <v>0</v>
      </c>
      <c r="F123" s="184">
        <f>WIC!F129*12</f>
        <v>0</v>
      </c>
      <c r="G123" s="185">
        <f>'Housing Voucher'!Q127*12</f>
        <v>0</v>
      </c>
      <c r="H123" s="197">
        <f>EITC!E126</f>
        <v>0</v>
      </c>
      <c r="I123" s="205">
        <f>Medicaid!N130*12</f>
        <v>0</v>
      </c>
      <c r="K123" s="185">
        <f t="shared" si="5"/>
        <v>0</v>
      </c>
      <c r="L123" s="185">
        <f t="shared" si="6"/>
        <v>60500</v>
      </c>
      <c r="M123" s="36">
        <f t="shared" si="4"/>
        <v>5041.666666666667</v>
      </c>
    </row>
    <row r="124" spans="1:13" x14ac:dyDescent="0.25">
      <c r="A124" s="186">
        <v>61000</v>
      </c>
      <c r="B124" s="33">
        <f t="shared" si="8"/>
        <v>5083.333333333333</v>
      </c>
      <c r="C124" s="185">
        <f>'Child care subsidy'!S127*12</f>
        <v>0</v>
      </c>
      <c r="D124" s="185">
        <f>MAX('TANF-VIEW'!L131,'TANF-VIEW'!T131)*12</f>
        <v>0</v>
      </c>
      <c r="E124" s="193">
        <f>SNAP!V128*12</f>
        <v>0</v>
      </c>
      <c r="F124" s="184">
        <f>WIC!F130*12</f>
        <v>0</v>
      </c>
      <c r="G124" s="185">
        <f>'Housing Voucher'!Q128*12</f>
        <v>0</v>
      </c>
      <c r="H124" s="197">
        <f>EITC!E127</f>
        <v>0</v>
      </c>
      <c r="I124" s="205">
        <f>Medicaid!N131*12</f>
        <v>0</v>
      </c>
      <c r="K124" s="185">
        <f t="shared" si="5"/>
        <v>0</v>
      </c>
      <c r="L124" s="185">
        <f t="shared" si="6"/>
        <v>61000</v>
      </c>
      <c r="M124" s="36">
        <f t="shared" si="4"/>
        <v>5083.333333333333</v>
      </c>
    </row>
    <row r="125" spans="1:13" x14ac:dyDescent="0.25">
      <c r="A125" s="186">
        <v>61500</v>
      </c>
      <c r="B125" s="33">
        <f t="shared" si="8"/>
        <v>5125</v>
      </c>
      <c r="C125" s="185">
        <f>'Child care subsidy'!S128*12</f>
        <v>0</v>
      </c>
      <c r="D125" s="185">
        <f>MAX('TANF-VIEW'!L132,'TANF-VIEW'!T132)*12</f>
        <v>0</v>
      </c>
      <c r="E125" s="193">
        <f>SNAP!V129*12</f>
        <v>0</v>
      </c>
      <c r="F125" s="184">
        <f>WIC!F131*12</f>
        <v>0</v>
      </c>
      <c r="G125" s="185">
        <f>'Housing Voucher'!Q129*12</f>
        <v>0</v>
      </c>
      <c r="H125" s="197">
        <f>EITC!E128</f>
        <v>0</v>
      </c>
      <c r="I125" s="205">
        <f>Medicaid!N132*12</f>
        <v>0</v>
      </c>
      <c r="K125" s="185">
        <f t="shared" si="5"/>
        <v>0</v>
      </c>
      <c r="L125" s="185">
        <f t="shared" si="6"/>
        <v>61500</v>
      </c>
      <c r="M125" s="36">
        <f t="shared" si="4"/>
        <v>5125</v>
      </c>
    </row>
    <row r="126" spans="1:13" x14ac:dyDescent="0.25">
      <c r="A126" s="186">
        <v>62000</v>
      </c>
      <c r="B126" s="33">
        <f t="shared" si="8"/>
        <v>5166.666666666667</v>
      </c>
      <c r="C126" s="185">
        <f>'Child care subsidy'!S129*12</f>
        <v>0</v>
      </c>
      <c r="D126" s="185">
        <f>MAX('TANF-VIEW'!L133,'TANF-VIEW'!T133)*12</f>
        <v>0</v>
      </c>
      <c r="E126" s="193">
        <f>SNAP!V130*12</f>
        <v>0</v>
      </c>
      <c r="F126" s="184">
        <f>WIC!F132*12</f>
        <v>0</v>
      </c>
      <c r="G126" s="185">
        <f>'Housing Voucher'!Q130*12</f>
        <v>0</v>
      </c>
      <c r="H126" s="197">
        <f>EITC!E129</f>
        <v>0</v>
      </c>
      <c r="I126" s="205">
        <f>Medicaid!N133*12</f>
        <v>0</v>
      </c>
      <c r="K126" s="185">
        <f t="shared" si="5"/>
        <v>0</v>
      </c>
      <c r="L126" s="185">
        <f t="shared" si="6"/>
        <v>62000</v>
      </c>
      <c r="M126" s="36">
        <f t="shared" si="4"/>
        <v>5166.666666666667</v>
      </c>
    </row>
    <row r="127" spans="1:13" x14ac:dyDescent="0.25">
      <c r="A127" s="186">
        <v>62500</v>
      </c>
      <c r="B127" s="33">
        <f t="shared" si="8"/>
        <v>5208.333333333333</v>
      </c>
      <c r="C127" s="185">
        <f>'Child care subsidy'!S130*12</f>
        <v>0</v>
      </c>
      <c r="D127" s="185">
        <f>MAX('TANF-VIEW'!L134,'TANF-VIEW'!T134)*12</f>
        <v>0</v>
      </c>
      <c r="E127" s="193">
        <f>SNAP!V131*12</f>
        <v>0</v>
      </c>
      <c r="F127" s="184">
        <f>WIC!F133*12</f>
        <v>0</v>
      </c>
      <c r="G127" s="185">
        <f>'Housing Voucher'!Q131*12</f>
        <v>0</v>
      </c>
      <c r="H127" s="197">
        <f>EITC!E130</f>
        <v>0</v>
      </c>
      <c r="I127" s="205">
        <f>Medicaid!N134*12</f>
        <v>0</v>
      </c>
      <c r="K127" s="185">
        <f t="shared" si="5"/>
        <v>0</v>
      </c>
      <c r="L127" s="185">
        <f t="shared" si="6"/>
        <v>62500</v>
      </c>
      <c r="M127" s="36">
        <f t="shared" si="4"/>
        <v>5208.333333333333</v>
      </c>
    </row>
    <row r="128" spans="1:13" x14ac:dyDescent="0.25">
      <c r="A128" s="186">
        <v>63000</v>
      </c>
      <c r="B128" s="33">
        <f t="shared" si="8"/>
        <v>5250</v>
      </c>
      <c r="C128" s="185">
        <f>'Child care subsidy'!S131*12</f>
        <v>0</v>
      </c>
      <c r="D128" s="185">
        <f>MAX('TANF-VIEW'!L135,'TANF-VIEW'!T135)*12</f>
        <v>0</v>
      </c>
      <c r="E128" s="193">
        <f>SNAP!V132*12</f>
        <v>0</v>
      </c>
      <c r="F128" s="184">
        <f>WIC!F134*12</f>
        <v>0</v>
      </c>
      <c r="G128" s="185">
        <f>'Housing Voucher'!Q132*12</f>
        <v>0</v>
      </c>
      <c r="H128" s="197">
        <f>EITC!E131</f>
        <v>0</v>
      </c>
      <c r="I128" s="205">
        <f>Medicaid!N135*12</f>
        <v>0</v>
      </c>
      <c r="K128" s="185">
        <f t="shared" si="5"/>
        <v>0</v>
      </c>
      <c r="L128" s="185">
        <f t="shared" si="6"/>
        <v>63000</v>
      </c>
      <c r="M128" s="36">
        <f t="shared" si="4"/>
        <v>5250</v>
      </c>
    </row>
    <row r="129" spans="1:16" x14ac:dyDescent="0.25">
      <c r="A129" s="186">
        <v>63500</v>
      </c>
      <c r="B129" s="33">
        <f t="shared" si="8"/>
        <v>5291.666666666667</v>
      </c>
      <c r="C129" s="185">
        <f>'Child care subsidy'!S132*12</f>
        <v>0</v>
      </c>
      <c r="D129" s="185">
        <f>MAX('TANF-VIEW'!L136,'TANF-VIEW'!T136)*12</f>
        <v>0</v>
      </c>
      <c r="E129" s="193">
        <f>SNAP!V133*12</f>
        <v>0</v>
      </c>
      <c r="F129" s="184">
        <f>WIC!F135*12</f>
        <v>0</v>
      </c>
      <c r="G129" s="185">
        <f>'Housing Voucher'!Q133*12</f>
        <v>0</v>
      </c>
      <c r="H129" s="197">
        <f>EITC!E132</f>
        <v>0</v>
      </c>
      <c r="I129" s="205">
        <f>Medicaid!N136*12</f>
        <v>0</v>
      </c>
      <c r="K129" s="185">
        <f t="shared" si="5"/>
        <v>0</v>
      </c>
      <c r="L129" s="185">
        <f t="shared" si="6"/>
        <v>63500</v>
      </c>
      <c r="M129" s="36">
        <f t="shared" si="4"/>
        <v>5291.666666666667</v>
      </c>
    </row>
    <row r="130" spans="1:16" x14ac:dyDescent="0.25">
      <c r="A130" s="186">
        <v>64000</v>
      </c>
      <c r="B130" s="33">
        <f t="shared" si="8"/>
        <v>5333.333333333333</v>
      </c>
      <c r="C130" s="185">
        <f>'Child care subsidy'!S133*12</f>
        <v>0</v>
      </c>
      <c r="D130" s="185">
        <f>MAX('TANF-VIEW'!L137,'TANF-VIEW'!T137)*12</f>
        <v>0</v>
      </c>
      <c r="E130" s="193">
        <f>SNAP!V134*12</f>
        <v>0</v>
      </c>
      <c r="F130" s="184">
        <f>WIC!F136*12</f>
        <v>0</v>
      </c>
      <c r="G130" s="185">
        <f>'Housing Voucher'!Q134*12</f>
        <v>0</v>
      </c>
      <c r="H130" s="197">
        <f>EITC!E133</f>
        <v>0</v>
      </c>
      <c r="I130" s="205">
        <f>Medicaid!N137*12</f>
        <v>0</v>
      </c>
      <c r="K130" s="185">
        <f t="shared" si="5"/>
        <v>0</v>
      </c>
      <c r="L130" s="185">
        <f t="shared" si="6"/>
        <v>64000</v>
      </c>
      <c r="M130" s="36">
        <f t="shared" si="4"/>
        <v>5333.333333333333</v>
      </c>
    </row>
    <row r="131" spans="1:16" x14ac:dyDescent="0.25">
      <c r="A131" s="186">
        <v>64500</v>
      </c>
      <c r="B131" s="33">
        <f t="shared" si="8"/>
        <v>5375</v>
      </c>
      <c r="C131" s="185">
        <f>'Child care subsidy'!S134*12</f>
        <v>0</v>
      </c>
      <c r="D131" s="185">
        <f>MAX('TANF-VIEW'!L138,'TANF-VIEW'!T138)*12</f>
        <v>0</v>
      </c>
      <c r="E131" s="193">
        <f>SNAP!V135*12</f>
        <v>0</v>
      </c>
      <c r="F131" s="184">
        <f>WIC!F137*12</f>
        <v>0</v>
      </c>
      <c r="G131" s="185">
        <f>'Housing Voucher'!Q135*12</f>
        <v>0</v>
      </c>
      <c r="H131" s="197">
        <f>EITC!E134</f>
        <v>0</v>
      </c>
      <c r="I131" s="205">
        <f>Medicaid!N138*12</f>
        <v>0</v>
      </c>
      <c r="K131" s="185">
        <f t="shared" si="5"/>
        <v>0</v>
      </c>
      <c r="L131" s="185">
        <f t="shared" si="6"/>
        <v>64500</v>
      </c>
      <c r="M131" s="36">
        <f t="shared" ref="M131:M194" si="9">L131/12</f>
        <v>5375</v>
      </c>
    </row>
    <row r="132" spans="1:16" x14ac:dyDescent="0.25">
      <c r="A132" s="186">
        <v>65000</v>
      </c>
      <c r="B132" s="33">
        <f t="shared" si="8"/>
        <v>5416.666666666667</v>
      </c>
      <c r="C132" s="185">
        <f>'Child care subsidy'!S135*12</f>
        <v>0</v>
      </c>
      <c r="D132" s="185">
        <f>MAX('TANF-VIEW'!L139,'TANF-VIEW'!T139)*12</f>
        <v>0</v>
      </c>
      <c r="E132" s="193">
        <f>SNAP!V136*12</f>
        <v>0</v>
      </c>
      <c r="F132" s="184">
        <f>WIC!F138*12</f>
        <v>0</v>
      </c>
      <c r="G132" s="185">
        <f>'Housing Voucher'!Q136*12</f>
        <v>0</v>
      </c>
      <c r="H132" s="197">
        <f>EITC!E135</f>
        <v>0</v>
      </c>
      <c r="I132" s="205">
        <f>Medicaid!N139*12</f>
        <v>0</v>
      </c>
      <c r="K132" s="185">
        <f t="shared" ref="K132:K195" si="10">SUM(C132:I132)</f>
        <v>0</v>
      </c>
      <c r="L132" s="185">
        <f t="shared" ref="L132:L195" si="11">A132+K132</f>
        <v>65000</v>
      </c>
      <c r="M132" s="36">
        <f t="shared" si="9"/>
        <v>5416.666666666667</v>
      </c>
    </row>
    <row r="133" spans="1:16" x14ac:dyDescent="0.25">
      <c r="A133" s="186">
        <v>65500</v>
      </c>
      <c r="B133" s="33">
        <f t="shared" si="8"/>
        <v>5458.333333333333</v>
      </c>
      <c r="C133" s="185">
        <f>'Child care subsidy'!S136*12</f>
        <v>0</v>
      </c>
      <c r="D133" s="185">
        <f>MAX('TANF-VIEW'!L140,'TANF-VIEW'!T140)*12</f>
        <v>0</v>
      </c>
      <c r="E133" s="193">
        <f>SNAP!V137*12</f>
        <v>0</v>
      </c>
      <c r="F133" s="184">
        <f>WIC!F139*12</f>
        <v>0</v>
      </c>
      <c r="G133" s="185">
        <f>'Housing Voucher'!Q137*12</f>
        <v>0</v>
      </c>
      <c r="H133" s="197">
        <f>EITC!E136</f>
        <v>0</v>
      </c>
      <c r="I133" s="205">
        <f>Medicaid!N140*12</f>
        <v>0</v>
      </c>
      <c r="K133" s="185">
        <f t="shared" si="10"/>
        <v>0</v>
      </c>
      <c r="L133" s="185">
        <f t="shared" si="11"/>
        <v>65500</v>
      </c>
      <c r="M133" s="36">
        <f t="shared" si="9"/>
        <v>5458.333333333333</v>
      </c>
      <c r="P133" s="34">
        <f>C135/12</f>
        <v>0</v>
      </c>
    </row>
    <row r="134" spans="1:16" x14ac:dyDescent="0.25">
      <c r="A134" s="186">
        <v>66000</v>
      </c>
      <c r="B134" s="33">
        <f t="shared" si="8"/>
        <v>5500</v>
      </c>
      <c r="C134" s="185">
        <f>'Child care subsidy'!S137*12</f>
        <v>0</v>
      </c>
      <c r="D134" s="185">
        <f>MAX('TANF-VIEW'!L141,'TANF-VIEW'!T141)*12</f>
        <v>0</v>
      </c>
      <c r="E134" s="193">
        <f>SNAP!V138*12</f>
        <v>0</v>
      </c>
      <c r="F134" s="184">
        <f>WIC!F140*12</f>
        <v>0</v>
      </c>
      <c r="G134" s="185">
        <f>'Housing Voucher'!Q138*12</f>
        <v>0</v>
      </c>
      <c r="H134" s="197">
        <f>EITC!E137</f>
        <v>0</v>
      </c>
      <c r="I134" s="205">
        <f>Medicaid!N141*12</f>
        <v>0</v>
      </c>
      <c r="K134" s="185">
        <f t="shared" si="10"/>
        <v>0</v>
      </c>
      <c r="L134" s="185">
        <f t="shared" si="11"/>
        <v>66000</v>
      </c>
      <c r="M134" s="36">
        <f t="shared" si="9"/>
        <v>5500</v>
      </c>
    </row>
    <row r="135" spans="1:16" x14ac:dyDescent="0.25">
      <c r="A135" s="186">
        <v>66500</v>
      </c>
      <c r="B135" s="33">
        <f t="shared" si="8"/>
        <v>5541.666666666667</v>
      </c>
      <c r="C135" s="185">
        <f>'Child care subsidy'!S138*12</f>
        <v>0</v>
      </c>
      <c r="D135" s="185">
        <f>MAX('TANF-VIEW'!L142,'TANF-VIEW'!T142)*12</f>
        <v>0</v>
      </c>
      <c r="E135" s="193">
        <f>SNAP!V139*12</f>
        <v>0</v>
      </c>
      <c r="F135" s="184">
        <f>WIC!F141*12</f>
        <v>0</v>
      </c>
      <c r="G135" s="185">
        <f>'Housing Voucher'!Q139*12</f>
        <v>0</v>
      </c>
      <c r="H135" s="197">
        <f>EITC!E138</f>
        <v>0</v>
      </c>
      <c r="I135" s="205">
        <f>Medicaid!N142*12</f>
        <v>0</v>
      </c>
      <c r="K135" s="185">
        <f t="shared" si="10"/>
        <v>0</v>
      </c>
      <c r="L135" s="185">
        <f t="shared" si="11"/>
        <v>66500</v>
      </c>
      <c r="M135" s="36">
        <f t="shared" si="9"/>
        <v>5541.666666666667</v>
      </c>
    </row>
    <row r="136" spans="1:16" x14ac:dyDescent="0.25">
      <c r="A136" s="186">
        <v>67000</v>
      </c>
      <c r="B136" s="33">
        <f t="shared" si="8"/>
        <v>5583.333333333333</v>
      </c>
      <c r="C136" s="185">
        <f>'Child care subsidy'!S139*12</f>
        <v>0</v>
      </c>
      <c r="D136" s="185">
        <f>MAX('TANF-VIEW'!L143,'TANF-VIEW'!T143)*12</f>
        <v>0</v>
      </c>
      <c r="E136" s="193">
        <f>SNAP!V140*12</f>
        <v>0</v>
      </c>
      <c r="F136" s="184">
        <f>WIC!F142*12</f>
        <v>0</v>
      </c>
      <c r="G136" s="185">
        <f>'Housing Voucher'!Q140*12</f>
        <v>0</v>
      </c>
      <c r="H136" s="197">
        <f>EITC!E139</f>
        <v>0</v>
      </c>
      <c r="I136" s="205">
        <f>Medicaid!N143*12</f>
        <v>0</v>
      </c>
      <c r="K136" s="185">
        <f t="shared" si="10"/>
        <v>0</v>
      </c>
      <c r="L136" s="185">
        <f t="shared" si="11"/>
        <v>67000</v>
      </c>
      <c r="M136" s="36">
        <f t="shared" si="9"/>
        <v>5583.333333333333</v>
      </c>
    </row>
    <row r="137" spans="1:16" x14ac:dyDescent="0.25">
      <c r="A137" s="186">
        <v>67500</v>
      </c>
      <c r="B137" s="33">
        <f t="shared" si="8"/>
        <v>5625</v>
      </c>
      <c r="C137" s="185">
        <f>'Child care subsidy'!S140*12</f>
        <v>0</v>
      </c>
      <c r="D137" s="185">
        <f>MAX('TANF-VIEW'!L144,'TANF-VIEW'!T144)*12</f>
        <v>0</v>
      </c>
      <c r="E137" s="193">
        <f>SNAP!V141*12</f>
        <v>0</v>
      </c>
      <c r="F137" s="184">
        <f>WIC!F143*12</f>
        <v>0</v>
      </c>
      <c r="G137" s="185">
        <f>'Housing Voucher'!Q141*12</f>
        <v>0</v>
      </c>
      <c r="H137" s="197">
        <f>EITC!E140</f>
        <v>0</v>
      </c>
      <c r="I137" s="205">
        <f>Medicaid!N144*12</f>
        <v>0</v>
      </c>
      <c r="K137" s="185">
        <f t="shared" si="10"/>
        <v>0</v>
      </c>
      <c r="L137" s="185">
        <f t="shared" si="11"/>
        <v>67500</v>
      </c>
      <c r="M137" s="36">
        <f t="shared" si="9"/>
        <v>5625</v>
      </c>
    </row>
    <row r="138" spans="1:16" x14ac:dyDescent="0.25">
      <c r="A138" s="186">
        <v>68000</v>
      </c>
      <c r="B138" s="33">
        <f t="shared" si="8"/>
        <v>5666.666666666667</v>
      </c>
      <c r="C138" s="185">
        <f>'Child care subsidy'!S141*12</f>
        <v>0</v>
      </c>
      <c r="D138" s="185">
        <f>MAX('TANF-VIEW'!L145,'TANF-VIEW'!T145)*12</f>
        <v>0</v>
      </c>
      <c r="E138" s="193">
        <f>SNAP!V142*12</f>
        <v>0</v>
      </c>
      <c r="F138" s="184">
        <f>WIC!F144*12</f>
        <v>0</v>
      </c>
      <c r="G138" s="185">
        <f>'Housing Voucher'!Q142*12</f>
        <v>0</v>
      </c>
      <c r="H138" s="197">
        <f>EITC!E141</f>
        <v>0</v>
      </c>
      <c r="I138" s="205">
        <f>Medicaid!N145*12</f>
        <v>0</v>
      </c>
      <c r="K138" s="185">
        <f t="shared" si="10"/>
        <v>0</v>
      </c>
      <c r="L138" s="185">
        <f t="shared" si="11"/>
        <v>68000</v>
      </c>
      <c r="M138" s="36">
        <f t="shared" si="9"/>
        <v>5666.666666666667</v>
      </c>
    </row>
    <row r="139" spans="1:16" x14ac:dyDescent="0.25">
      <c r="A139" s="186">
        <v>68500</v>
      </c>
      <c r="B139" s="33">
        <f t="shared" si="8"/>
        <v>5708.333333333333</v>
      </c>
      <c r="C139" s="185">
        <f>'Child care subsidy'!S142*12</f>
        <v>0</v>
      </c>
      <c r="D139" s="185">
        <f>MAX('TANF-VIEW'!L146,'TANF-VIEW'!T146)*12</f>
        <v>0</v>
      </c>
      <c r="E139" s="193">
        <f>SNAP!V143*12</f>
        <v>0</v>
      </c>
      <c r="F139" s="184">
        <f>WIC!F145*12</f>
        <v>0</v>
      </c>
      <c r="G139" s="185">
        <f>'Housing Voucher'!Q143*12</f>
        <v>0</v>
      </c>
      <c r="H139" s="197">
        <f>EITC!E142</f>
        <v>0</v>
      </c>
      <c r="I139" s="205">
        <f>Medicaid!N146*12</f>
        <v>0</v>
      </c>
      <c r="K139" s="185">
        <f t="shared" si="10"/>
        <v>0</v>
      </c>
      <c r="L139" s="185">
        <f t="shared" si="11"/>
        <v>68500</v>
      </c>
      <c r="M139" s="36">
        <f t="shared" si="9"/>
        <v>5708.333333333333</v>
      </c>
    </row>
    <row r="140" spans="1:16" x14ac:dyDescent="0.25">
      <c r="A140" s="186">
        <v>69000</v>
      </c>
      <c r="B140" s="33">
        <f t="shared" si="8"/>
        <v>5750</v>
      </c>
      <c r="C140" s="185">
        <f>'Child care subsidy'!S143*12</f>
        <v>0</v>
      </c>
      <c r="D140" s="185">
        <f>MAX('TANF-VIEW'!L147,'TANF-VIEW'!T147)*12</f>
        <v>0</v>
      </c>
      <c r="E140" s="193">
        <f>SNAP!V144*12</f>
        <v>0</v>
      </c>
      <c r="F140" s="184">
        <f>WIC!F146*12</f>
        <v>0</v>
      </c>
      <c r="G140" s="185">
        <f>'Housing Voucher'!Q144*12</f>
        <v>0</v>
      </c>
      <c r="H140" s="197">
        <f>EITC!E143</f>
        <v>0</v>
      </c>
      <c r="I140" s="205">
        <f>Medicaid!N147*12</f>
        <v>0</v>
      </c>
      <c r="K140" s="185">
        <f t="shared" si="10"/>
        <v>0</v>
      </c>
      <c r="L140" s="185">
        <f t="shared" si="11"/>
        <v>69000</v>
      </c>
      <c r="M140" s="36">
        <f t="shared" si="9"/>
        <v>5750</v>
      </c>
    </row>
    <row r="141" spans="1:16" x14ac:dyDescent="0.25">
      <c r="A141" s="186">
        <v>69500</v>
      </c>
      <c r="B141" s="33">
        <f t="shared" si="8"/>
        <v>5791.666666666667</v>
      </c>
      <c r="C141" s="185">
        <f>'Child care subsidy'!S144*12</f>
        <v>0</v>
      </c>
      <c r="D141" s="185">
        <f>MAX('TANF-VIEW'!L148,'TANF-VIEW'!T148)*12</f>
        <v>0</v>
      </c>
      <c r="E141" s="193">
        <f>SNAP!V145*12</f>
        <v>0</v>
      </c>
      <c r="F141" s="184">
        <f>WIC!F147*12</f>
        <v>0</v>
      </c>
      <c r="G141" s="185">
        <f>'Housing Voucher'!Q145*12</f>
        <v>0</v>
      </c>
      <c r="H141" s="197">
        <f>EITC!E144</f>
        <v>0</v>
      </c>
      <c r="I141" s="205">
        <f>Medicaid!N148*12</f>
        <v>0</v>
      </c>
      <c r="K141" s="185">
        <f t="shared" si="10"/>
        <v>0</v>
      </c>
      <c r="L141" s="185">
        <f t="shared" si="11"/>
        <v>69500</v>
      </c>
      <c r="M141" s="36">
        <f t="shared" si="9"/>
        <v>5791.666666666667</v>
      </c>
    </row>
    <row r="142" spans="1:16" x14ac:dyDescent="0.25">
      <c r="A142" s="186">
        <v>70000</v>
      </c>
      <c r="B142" s="33">
        <f t="shared" si="8"/>
        <v>5833.333333333333</v>
      </c>
      <c r="C142" s="185">
        <f>'Child care subsidy'!S145*12</f>
        <v>0</v>
      </c>
      <c r="D142" s="185">
        <f>MAX('TANF-VIEW'!L149,'TANF-VIEW'!T149)*12</f>
        <v>0</v>
      </c>
      <c r="E142" s="193">
        <f>SNAP!V146*12</f>
        <v>0</v>
      </c>
      <c r="F142" s="184">
        <f>WIC!F148*12</f>
        <v>0</v>
      </c>
      <c r="G142" s="185">
        <f>'Housing Voucher'!Q146*12</f>
        <v>0</v>
      </c>
      <c r="H142" s="197">
        <f>EITC!E145</f>
        <v>0</v>
      </c>
      <c r="I142" s="205">
        <f>Medicaid!N149*12</f>
        <v>0</v>
      </c>
      <c r="K142" s="185">
        <f t="shared" si="10"/>
        <v>0</v>
      </c>
      <c r="L142" s="185">
        <f t="shared" si="11"/>
        <v>70000</v>
      </c>
      <c r="M142" s="36">
        <f t="shared" si="9"/>
        <v>5833.333333333333</v>
      </c>
    </row>
    <row r="143" spans="1:16" x14ac:dyDescent="0.25">
      <c r="A143" s="186">
        <v>70500</v>
      </c>
      <c r="B143" s="33">
        <f t="shared" si="8"/>
        <v>5875</v>
      </c>
      <c r="C143" s="185">
        <f>'Child care subsidy'!S146*12</f>
        <v>0</v>
      </c>
      <c r="D143" s="185">
        <f>MAX('TANF-VIEW'!L150,'TANF-VIEW'!T150)*12</f>
        <v>0</v>
      </c>
      <c r="E143" s="193">
        <f>SNAP!V147*12</f>
        <v>0</v>
      </c>
      <c r="F143" s="184">
        <f>WIC!F149*12</f>
        <v>0</v>
      </c>
      <c r="G143" s="185">
        <f>'Housing Voucher'!Q147*12</f>
        <v>0</v>
      </c>
      <c r="H143" s="197">
        <f>EITC!E146</f>
        <v>0</v>
      </c>
      <c r="I143" s="205">
        <f>Medicaid!N150*12</f>
        <v>0</v>
      </c>
      <c r="K143" s="185">
        <f t="shared" si="10"/>
        <v>0</v>
      </c>
      <c r="L143" s="185">
        <f t="shared" si="11"/>
        <v>70500</v>
      </c>
      <c r="M143" s="36">
        <f t="shared" si="9"/>
        <v>5875</v>
      </c>
    </row>
    <row r="144" spans="1:16" x14ac:dyDescent="0.25">
      <c r="A144" s="186">
        <v>71000</v>
      </c>
      <c r="B144" s="33">
        <f t="shared" si="8"/>
        <v>5916.666666666667</v>
      </c>
      <c r="C144" s="185">
        <f>'Child care subsidy'!S147*12</f>
        <v>0</v>
      </c>
      <c r="D144" s="185">
        <f>MAX('TANF-VIEW'!L151,'TANF-VIEW'!T151)*12</f>
        <v>0</v>
      </c>
      <c r="E144" s="193">
        <f>SNAP!V148*12</f>
        <v>0</v>
      </c>
      <c r="F144" s="184">
        <f>WIC!F150*12</f>
        <v>0</v>
      </c>
      <c r="G144" s="185">
        <f>'Housing Voucher'!Q148*12</f>
        <v>0</v>
      </c>
      <c r="H144" s="197">
        <f>EITC!E147</f>
        <v>0</v>
      </c>
      <c r="I144" s="205">
        <f>Medicaid!N151*12</f>
        <v>0</v>
      </c>
      <c r="K144" s="185">
        <f t="shared" si="10"/>
        <v>0</v>
      </c>
      <c r="L144" s="185">
        <f t="shared" si="11"/>
        <v>71000</v>
      </c>
      <c r="M144" s="36">
        <f t="shared" si="9"/>
        <v>5916.666666666667</v>
      </c>
    </row>
    <row r="145" spans="1:13" x14ac:dyDescent="0.25">
      <c r="A145" s="186">
        <v>71500</v>
      </c>
      <c r="B145" s="33">
        <f t="shared" si="8"/>
        <v>5958.333333333333</v>
      </c>
      <c r="C145" s="185">
        <f>'Child care subsidy'!S148*12</f>
        <v>0</v>
      </c>
      <c r="D145" s="185">
        <f>MAX('TANF-VIEW'!L152,'TANF-VIEW'!T152)*12</f>
        <v>0</v>
      </c>
      <c r="E145" s="193">
        <f>SNAP!V149*12</f>
        <v>0</v>
      </c>
      <c r="F145" s="184">
        <f>WIC!F151*12</f>
        <v>0</v>
      </c>
      <c r="G145" s="185">
        <f>'Housing Voucher'!Q149*12</f>
        <v>0</v>
      </c>
      <c r="H145" s="197">
        <f>EITC!E148</f>
        <v>0</v>
      </c>
      <c r="I145" s="205">
        <f>Medicaid!N152*12</f>
        <v>0</v>
      </c>
      <c r="K145" s="185">
        <f t="shared" si="10"/>
        <v>0</v>
      </c>
      <c r="L145" s="185">
        <f t="shared" si="11"/>
        <v>71500</v>
      </c>
      <c r="M145" s="36">
        <f t="shared" si="9"/>
        <v>5958.333333333333</v>
      </c>
    </row>
    <row r="146" spans="1:13" x14ac:dyDescent="0.25">
      <c r="A146" s="186">
        <v>72000</v>
      </c>
      <c r="B146" s="33">
        <f t="shared" si="8"/>
        <v>6000</v>
      </c>
      <c r="C146" s="185">
        <f>'Child care subsidy'!S149*12</f>
        <v>0</v>
      </c>
      <c r="D146" s="185">
        <f>MAX('TANF-VIEW'!L153,'TANF-VIEW'!T153)*12</f>
        <v>0</v>
      </c>
      <c r="E146" s="193">
        <f>SNAP!V150*12</f>
        <v>0</v>
      </c>
      <c r="F146" s="184">
        <f>WIC!F152*12</f>
        <v>0</v>
      </c>
      <c r="G146" s="185">
        <f>'Housing Voucher'!Q150*12</f>
        <v>0</v>
      </c>
      <c r="H146" s="197">
        <f>EITC!E149</f>
        <v>0</v>
      </c>
      <c r="I146" s="205">
        <f>Medicaid!N153*12</f>
        <v>0</v>
      </c>
      <c r="K146" s="185">
        <f t="shared" si="10"/>
        <v>0</v>
      </c>
      <c r="L146" s="185">
        <f t="shared" si="11"/>
        <v>72000</v>
      </c>
      <c r="M146" s="36">
        <f t="shared" si="9"/>
        <v>6000</v>
      </c>
    </row>
    <row r="147" spans="1:13" x14ac:dyDescent="0.25">
      <c r="A147" s="186">
        <v>72500</v>
      </c>
      <c r="B147" s="33">
        <f t="shared" si="8"/>
        <v>6041.666666666667</v>
      </c>
      <c r="C147" s="185">
        <f>'Child care subsidy'!S150*12</f>
        <v>0</v>
      </c>
      <c r="D147" s="185">
        <f>MAX('TANF-VIEW'!L154,'TANF-VIEW'!T154)*12</f>
        <v>0</v>
      </c>
      <c r="E147" s="193">
        <f>SNAP!V151*12</f>
        <v>0</v>
      </c>
      <c r="F147" s="184">
        <f>WIC!F153*12</f>
        <v>0</v>
      </c>
      <c r="G147" s="185">
        <f>'Housing Voucher'!Q151*12</f>
        <v>0</v>
      </c>
      <c r="H147" s="197">
        <f>EITC!E150</f>
        <v>0</v>
      </c>
      <c r="I147" s="205">
        <f>Medicaid!N154*12</f>
        <v>0</v>
      </c>
      <c r="K147" s="185">
        <f t="shared" si="10"/>
        <v>0</v>
      </c>
      <c r="L147" s="185">
        <f t="shared" si="11"/>
        <v>72500</v>
      </c>
      <c r="M147" s="36">
        <f t="shared" si="9"/>
        <v>6041.666666666667</v>
      </c>
    </row>
    <row r="148" spans="1:13" x14ac:dyDescent="0.25">
      <c r="A148" s="186">
        <v>73000</v>
      </c>
      <c r="B148" s="33">
        <f t="shared" si="8"/>
        <v>6083.333333333333</v>
      </c>
      <c r="C148" s="185">
        <f>'Child care subsidy'!S151*12</f>
        <v>0</v>
      </c>
      <c r="D148" s="185">
        <f>MAX('TANF-VIEW'!L155,'TANF-VIEW'!T155)*12</f>
        <v>0</v>
      </c>
      <c r="E148" s="193">
        <f>SNAP!V152*12</f>
        <v>0</v>
      </c>
      <c r="F148" s="184">
        <f>WIC!F154*12</f>
        <v>0</v>
      </c>
      <c r="G148" s="185">
        <f>'Housing Voucher'!Q152*12</f>
        <v>0</v>
      </c>
      <c r="H148" s="197">
        <f>EITC!E151</f>
        <v>0</v>
      </c>
      <c r="I148" s="205">
        <f>Medicaid!N155*12</f>
        <v>0</v>
      </c>
      <c r="K148" s="185">
        <f t="shared" si="10"/>
        <v>0</v>
      </c>
      <c r="L148" s="185">
        <f t="shared" si="11"/>
        <v>73000</v>
      </c>
      <c r="M148" s="36">
        <f t="shared" si="9"/>
        <v>6083.333333333333</v>
      </c>
    </row>
    <row r="149" spans="1:13" x14ac:dyDescent="0.25">
      <c r="A149" s="186">
        <v>73500</v>
      </c>
      <c r="B149" s="33">
        <f t="shared" si="8"/>
        <v>6125</v>
      </c>
      <c r="C149" s="185">
        <f>'Child care subsidy'!S152*12</f>
        <v>0</v>
      </c>
      <c r="D149" s="185">
        <f>MAX('TANF-VIEW'!L156,'TANF-VIEW'!T156)*12</f>
        <v>0</v>
      </c>
      <c r="E149" s="193">
        <f>SNAP!V153*12</f>
        <v>0</v>
      </c>
      <c r="F149" s="184">
        <f>WIC!F155*12</f>
        <v>0</v>
      </c>
      <c r="G149" s="185">
        <f>'Housing Voucher'!Q153*12</f>
        <v>0</v>
      </c>
      <c r="H149" s="197">
        <f>EITC!E152</f>
        <v>0</v>
      </c>
      <c r="I149" s="205">
        <f>Medicaid!N156*12</f>
        <v>0</v>
      </c>
      <c r="K149" s="185">
        <f t="shared" si="10"/>
        <v>0</v>
      </c>
      <c r="L149" s="185">
        <f t="shared" si="11"/>
        <v>73500</v>
      </c>
      <c r="M149" s="36">
        <f t="shared" si="9"/>
        <v>6125</v>
      </c>
    </row>
    <row r="150" spans="1:13" x14ac:dyDescent="0.25">
      <c r="A150" s="186">
        <v>74000</v>
      </c>
      <c r="B150" s="33">
        <f t="shared" si="8"/>
        <v>6166.666666666667</v>
      </c>
      <c r="C150" s="185">
        <f>'Child care subsidy'!S153*12</f>
        <v>0</v>
      </c>
      <c r="D150" s="185">
        <f>MAX('TANF-VIEW'!L157,'TANF-VIEW'!T157)*12</f>
        <v>0</v>
      </c>
      <c r="E150" s="193">
        <f>SNAP!V154*12</f>
        <v>0</v>
      </c>
      <c r="F150" s="184">
        <f>WIC!F156*12</f>
        <v>0</v>
      </c>
      <c r="G150" s="185">
        <f>'Housing Voucher'!Q154*12</f>
        <v>0</v>
      </c>
      <c r="H150" s="197">
        <f>EITC!E153</f>
        <v>0</v>
      </c>
      <c r="I150" s="205">
        <f>Medicaid!N157*12</f>
        <v>0</v>
      </c>
      <c r="K150" s="185">
        <f t="shared" si="10"/>
        <v>0</v>
      </c>
      <c r="L150" s="185">
        <f t="shared" si="11"/>
        <v>74000</v>
      </c>
      <c r="M150" s="36">
        <f t="shared" si="9"/>
        <v>6166.666666666667</v>
      </c>
    </row>
    <row r="151" spans="1:13" x14ac:dyDescent="0.25">
      <c r="A151" s="186">
        <v>74500</v>
      </c>
      <c r="B151" s="33">
        <f t="shared" si="8"/>
        <v>6208.333333333333</v>
      </c>
      <c r="C151" s="185">
        <f>'Child care subsidy'!S154*12</f>
        <v>0</v>
      </c>
      <c r="D151" s="185">
        <f>MAX('TANF-VIEW'!L158,'TANF-VIEW'!T158)*12</f>
        <v>0</v>
      </c>
      <c r="E151" s="193">
        <f>SNAP!V155*12</f>
        <v>0</v>
      </c>
      <c r="F151" s="184">
        <f>WIC!F157*12</f>
        <v>0</v>
      </c>
      <c r="G151" s="185">
        <f>'Housing Voucher'!Q155*12</f>
        <v>0</v>
      </c>
      <c r="H151" s="197">
        <f>EITC!E154</f>
        <v>0</v>
      </c>
      <c r="I151" s="205">
        <f>Medicaid!N158*12</f>
        <v>0</v>
      </c>
      <c r="K151" s="185">
        <f t="shared" si="10"/>
        <v>0</v>
      </c>
      <c r="L151" s="185">
        <f t="shared" si="11"/>
        <v>74500</v>
      </c>
      <c r="M151" s="36">
        <f t="shared" si="9"/>
        <v>6208.333333333333</v>
      </c>
    </row>
    <row r="152" spans="1:13" x14ac:dyDescent="0.25">
      <c r="A152" s="186">
        <v>75000</v>
      </c>
      <c r="B152" s="33">
        <f t="shared" si="8"/>
        <v>6250</v>
      </c>
      <c r="C152" s="185">
        <f>'Child care subsidy'!S155*12</f>
        <v>0</v>
      </c>
      <c r="D152" s="185">
        <f>MAX('TANF-VIEW'!L159,'TANF-VIEW'!T159)*12</f>
        <v>0</v>
      </c>
      <c r="E152" s="193">
        <f>SNAP!V156*12</f>
        <v>0</v>
      </c>
      <c r="F152" s="184">
        <f>WIC!F158*12</f>
        <v>0</v>
      </c>
      <c r="G152" s="185">
        <f>'Housing Voucher'!Q156*12</f>
        <v>0</v>
      </c>
      <c r="H152" s="197">
        <f>EITC!E155</f>
        <v>0</v>
      </c>
      <c r="I152" s="205">
        <f>Medicaid!N159*12</f>
        <v>0</v>
      </c>
      <c r="K152" s="185">
        <f t="shared" si="10"/>
        <v>0</v>
      </c>
      <c r="L152" s="185">
        <f t="shared" si="11"/>
        <v>75000</v>
      </c>
      <c r="M152" s="36">
        <f t="shared" si="9"/>
        <v>6250</v>
      </c>
    </row>
    <row r="153" spans="1:13" x14ac:dyDescent="0.25">
      <c r="A153" s="186">
        <v>75500</v>
      </c>
      <c r="B153" s="33">
        <f t="shared" si="8"/>
        <v>6291.666666666667</v>
      </c>
      <c r="C153" s="185">
        <f>'Child care subsidy'!S156*12</f>
        <v>0</v>
      </c>
      <c r="D153" s="185">
        <f>MAX('TANF-VIEW'!L160,'TANF-VIEW'!T160)*12</f>
        <v>0</v>
      </c>
      <c r="E153" s="193">
        <f>SNAP!V157*12</f>
        <v>0</v>
      </c>
      <c r="F153" s="184">
        <f>WIC!F159*12</f>
        <v>0</v>
      </c>
      <c r="G153" s="185">
        <f>'Housing Voucher'!Q157*12</f>
        <v>0</v>
      </c>
      <c r="H153" s="197">
        <f>EITC!E156</f>
        <v>0</v>
      </c>
      <c r="I153" s="205">
        <f>Medicaid!N160*12</f>
        <v>0</v>
      </c>
      <c r="K153" s="185">
        <f t="shared" si="10"/>
        <v>0</v>
      </c>
      <c r="L153" s="185">
        <f t="shared" si="11"/>
        <v>75500</v>
      </c>
      <c r="M153" s="36">
        <f t="shared" si="9"/>
        <v>6291.666666666667</v>
      </c>
    </row>
    <row r="154" spans="1:13" x14ac:dyDescent="0.25">
      <c r="A154" s="186">
        <v>76000</v>
      </c>
      <c r="B154" s="33">
        <f t="shared" si="8"/>
        <v>6333.333333333333</v>
      </c>
      <c r="C154" s="185">
        <f>'Child care subsidy'!S157*12</f>
        <v>0</v>
      </c>
      <c r="D154" s="185">
        <f>MAX('TANF-VIEW'!L161,'TANF-VIEW'!T161)*12</f>
        <v>0</v>
      </c>
      <c r="E154" s="193">
        <f>SNAP!V158*12</f>
        <v>0</v>
      </c>
      <c r="F154" s="184">
        <f>WIC!F160*12</f>
        <v>0</v>
      </c>
      <c r="G154" s="185">
        <f>'Housing Voucher'!Q158*12</f>
        <v>0</v>
      </c>
      <c r="H154" s="197">
        <f>EITC!E157</f>
        <v>0</v>
      </c>
      <c r="I154" s="205">
        <f>Medicaid!N161*12</f>
        <v>0</v>
      </c>
      <c r="K154" s="185">
        <f t="shared" si="10"/>
        <v>0</v>
      </c>
      <c r="L154" s="185">
        <f t="shared" si="11"/>
        <v>76000</v>
      </c>
      <c r="M154" s="36">
        <f t="shared" si="9"/>
        <v>6333.333333333333</v>
      </c>
    </row>
    <row r="155" spans="1:13" x14ac:dyDescent="0.25">
      <c r="A155" s="186">
        <v>76500</v>
      </c>
      <c r="B155" s="33">
        <f t="shared" si="8"/>
        <v>6375</v>
      </c>
      <c r="C155" s="185">
        <f>'Child care subsidy'!S158*12</f>
        <v>0</v>
      </c>
      <c r="D155" s="185">
        <f>MAX('TANF-VIEW'!L162,'TANF-VIEW'!T162)*12</f>
        <v>0</v>
      </c>
      <c r="E155" s="193">
        <f>SNAP!V159*12</f>
        <v>0</v>
      </c>
      <c r="F155" s="184">
        <f>WIC!F161*12</f>
        <v>0</v>
      </c>
      <c r="G155" s="185">
        <f>'Housing Voucher'!Q159*12</f>
        <v>0</v>
      </c>
      <c r="H155" s="197">
        <f>EITC!E158</f>
        <v>0</v>
      </c>
      <c r="I155" s="205">
        <f>Medicaid!N162*12</f>
        <v>0</v>
      </c>
      <c r="K155" s="185">
        <f t="shared" si="10"/>
        <v>0</v>
      </c>
      <c r="L155" s="185">
        <f t="shared" si="11"/>
        <v>76500</v>
      </c>
      <c r="M155" s="36">
        <f t="shared" si="9"/>
        <v>6375</v>
      </c>
    </row>
    <row r="156" spans="1:13" x14ac:dyDescent="0.25">
      <c r="A156" s="186">
        <v>77000</v>
      </c>
      <c r="B156" s="33">
        <f t="shared" si="8"/>
        <v>6416.666666666667</v>
      </c>
      <c r="C156" s="185">
        <f>'Child care subsidy'!S159*12</f>
        <v>0</v>
      </c>
      <c r="D156" s="185">
        <f>MAX('TANF-VIEW'!L163,'TANF-VIEW'!T163)*12</f>
        <v>0</v>
      </c>
      <c r="E156" s="193">
        <f>SNAP!V160*12</f>
        <v>0</v>
      </c>
      <c r="F156" s="184">
        <f>WIC!F162*12</f>
        <v>0</v>
      </c>
      <c r="G156" s="185">
        <f>'Housing Voucher'!Q160*12</f>
        <v>0</v>
      </c>
      <c r="H156" s="197">
        <f>EITC!E159</f>
        <v>0</v>
      </c>
      <c r="I156" s="205">
        <f>Medicaid!N163*12</f>
        <v>0</v>
      </c>
      <c r="K156" s="185">
        <f t="shared" si="10"/>
        <v>0</v>
      </c>
      <c r="L156" s="185">
        <f t="shared" si="11"/>
        <v>77000</v>
      </c>
      <c r="M156" s="36">
        <f t="shared" si="9"/>
        <v>6416.666666666667</v>
      </c>
    </row>
    <row r="157" spans="1:13" x14ac:dyDescent="0.25">
      <c r="A157" s="186">
        <v>77500</v>
      </c>
      <c r="B157" s="33">
        <f t="shared" si="8"/>
        <v>6458.333333333333</v>
      </c>
      <c r="C157" s="185">
        <f>'Child care subsidy'!S160*12</f>
        <v>0</v>
      </c>
      <c r="D157" s="185">
        <f>MAX('TANF-VIEW'!L164,'TANF-VIEW'!T164)*12</f>
        <v>0</v>
      </c>
      <c r="E157" s="193">
        <f>SNAP!V161*12</f>
        <v>0</v>
      </c>
      <c r="F157" s="184">
        <f>WIC!F163*12</f>
        <v>0</v>
      </c>
      <c r="G157" s="185">
        <f>'Housing Voucher'!Q161*12</f>
        <v>0</v>
      </c>
      <c r="H157" s="197">
        <f>EITC!E160</f>
        <v>0</v>
      </c>
      <c r="I157" s="205">
        <f>Medicaid!N164*12</f>
        <v>0</v>
      </c>
      <c r="K157" s="185">
        <f t="shared" si="10"/>
        <v>0</v>
      </c>
      <c r="L157" s="185">
        <f t="shared" si="11"/>
        <v>77500</v>
      </c>
      <c r="M157" s="36">
        <f t="shared" si="9"/>
        <v>6458.333333333333</v>
      </c>
    </row>
    <row r="158" spans="1:13" x14ac:dyDescent="0.25">
      <c r="A158" s="186">
        <v>78000</v>
      </c>
      <c r="B158" s="33">
        <f t="shared" si="8"/>
        <v>6500</v>
      </c>
      <c r="C158" s="185">
        <f>'Child care subsidy'!S161*12</f>
        <v>0</v>
      </c>
      <c r="D158" s="185">
        <f>MAX('TANF-VIEW'!L165,'TANF-VIEW'!T165)*12</f>
        <v>0</v>
      </c>
      <c r="E158" s="193">
        <f>SNAP!V162*12</f>
        <v>0</v>
      </c>
      <c r="F158" s="184">
        <f>WIC!F164*12</f>
        <v>0</v>
      </c>
      <c r="G158" s="185">
        <f>'Housing Voucher'!Q162*12</f>
        <v>0</v>
      </c>
      <c r="H158" s="197">
        <f>EITC!E161</f>
        <v>0</v>
      </c>
      <c r="I158" s="205">
        <f>Medicaid!N165*12</f>
        <v>0</v>
      </c>
      <c r="K158" s="185">
        <f t="shared" si="10"/>
        <v>0</v>
      </c>
      <c r="L158" s="185">
        <f t="shared" si="11"/>
        <v>78000</v>
      </c>
      <c r="M158" s="36">
        <f t="shared" si="9"/>
        <v>6500</v>
      </c>
    </row>
    <row r="159" spans="1:13" x14ac:dyDescent="0.25">
      <c r="A159" s="186">
        <v>78500</v>
      </c>
      <c r="B159" s="33">
        <f t="shared" si="8"/>
        <v>6541.666666666667</v>
      </c>
      <c r="C159" s="185">
        <f>'Child care subsidy'!S162*12</f>
        <v>0</v>
      </c>
      <c r="D159" s="185">
        <f>MAX('TANF-VIEW'!L166,'TANF-VIEW'!T166)*12</f>
        <v>0</v>
      </c>
      <c r="E159" s="193">
        <f>SNAP!V163*12</f>
        <v>0</v>
      </c>
      <c r="F159" s="184">
        <f>WIC!F165*12</f>
        <v>0</v>
      </c>
      <c r="G159" s="185">
        <f>'Housing Voucher'!Q163*12</f>
        <v>0</v>
      </c>
      <c r="H159" s="197">
        <f>EITC!E162</f>
        <v>0</v>
      </c>
      <c r="I159" s="205">
        <f>Medicaid!N166*12</f>
        <v>0</v>
      </c>
      <c r="K159" s="185">
        <f t="shared" si="10"/>
        <v>0</v>
      </c>
      <c r="L159" s="185">
        <f t="shared" si="11"/>
        <v>78500</v>
      </c>
      <c r="M159" s="36">
        <f t="shared" si="9"/>
        <v>6541.666666666667</v>
      </c>
    </row>
    <row r="160" spans="1:13" x14ac:dyDescent="0.25">
      <c r="A160" s="186">
        <v>79000</v>
      </c>
      <c r="B160" s="33">
        <f t="shared" si="8"/>
        <v>6583.333333333333</v>
      </c>
      <c r="C160" s="185">
        <f>'Child care subsidy'!S163*12</f>
        <v>0</v>
      </c>
      <c r="D160" s="185">
        <f>MAX('TANF-VIEW'!L167,'TANF-VIEW'!T167)*12</f>
        <v>0</v>
      </c>
      <c r="E160" s="193">
        <f>SNAP!V164*12</f>
        <v>0</v>
      </c>
      <c r="F160" s="184">
        <f>WIC!F166*12</f>
        <v>0</v>
      </c>
      <c r="G160" s="185">
        <f>'Housing Voucher'!Q164*12</f>
        <v>0</v>
      </c>
      <c r="H160" s="197">
        <f>EITC!E163</f>
        <v>0</v>
      </c>
      <c r="I160" s="205">
        <f>Medicaid!N167*12</f>
        <v>0</v>
      </c>
      <c r="K160" s="185">
        <f t="shared" si="10"/>
        <v>0</v>
      </c>
      <c r="L160" s="185">
        <f t="shared" si="11"/>
        <v>79000</v>
      </c>
      <c r="M160" s="36">
        <f t="shared" si="9"/>
        <v>6583.333333333333</v>
      </c>
    </row>
    <row r="161" spans="1:13" x14ac:dyDescent="0.25">
      <c r="A161" s="186">
        <v>79500</v>
      </c>
      <c r="B161" s="33">
        <f t="shared" si="8"/>
        <v>6625</v>
      </c>
      <c r="C161" s="185">
        <f>'Child care subsidy'!S164*12</f>
        <v>0</v>
      </c>
      <c r="D161" s="185">
        <f>MAX('TANF-VIEW'!L168,'TANF-VIEW'!T168)*12</f>
        <v>0</v>
      </c>
      <c r="E161" s="193">
        <f>SNAP!V165*12</f>
        <v>0</v>
      </c>
      <c r="F161" s="184">
        <f>WIC!F167*12</f>
        <v>0</v>
      </c>
      <c r="G161" s="185">
        <f>'Housing Voucher'!Q165*12</f>
        <v>0</v>
      </c>
      <c r="H161" s="197">
        <f>EITC!E164</f>
        <v>0</v>
      </c>
      <c r="I161" s="205">
        <f>Medicaid!N168*12</f>
        <v>0</v>
      </c>
      <c r="K161" s="185">
        <f t="shared" si="10"/>
        <v>0</v>
      </c>
      <c r="L161" s="185">
        <f t="shared" si="11"/>
        <v>79500</v>
      </c>
      <c r="M161" s="36">
        <f t="shared" si="9"/>
        <v>6625</v>
      </c>
    </row>
    <row r="162" spans="1:13" x14ac:dyDescent="0.25">
      <c r="A162" s="186">
        <v>80000</v>
      </c>
      <c r="B162" s="33">
        <f t="shared" si="8"/>
        <v>6666.666666666667</v>
      </c>
      <c r="C162" s="185">
        <f>'Child care subsidy'!S165*12</f>
        <v>0</v>
      </c>
      <c r="D162" s="185">
        <f>MAX('TANF-VIEW'!L169,'TANF-VIEW'!T169)*12</f>
        <v>0</v>
      </c>
      <c r="E162" s="193">
        <f>SNAP!V166*12</f>
        <v>0</v>
      </c>
      <c r="F162" s="184">
        <f>WIC!F168*12</f>
        <v>0</v>
      </c>
      <c r="G162" s="185">
        <f>'Housing Voucher'!Q166*12</f>
        <v>0</v>
      </c>
      <c r="H162" s="197">
        <f>EITC!E165</f>
        <v>0</v>
      </c>
      <c r="I162" s="205">
        <f>Medicaid!N169*12</f>
        <v>0</v>
      </c>
      <c r="K162" s="185">
        <f t="shared" si="10"/>
        <v>0</v>
      </c>
      <c r="L162" s="185">
        <f t="shared" si="11"/>
        <v>80000</v>
      </c>
      <c r="M162" s="36">
        <f t="shared" si="9"/>
        <v>6666.666666666667</v>
      </c>
    </row>
    <row r="163" spans="1:13" x14ac:dyDescent="0.25">
      <c r="A163" s="186">
        <v>80500</v>
      </c>
      <c r="B163" s="33">
        <f t="shared" si="8"/>
        <v>6708.333333333333</v>
      </c>
      <c r="C163" s="185">
        <f>'Child care subsidy'!S166*12</f>
        <v>0</v>
      </c>
      <c r="D163" s="185">
        <f>MAX('TANF-VIEW'!L170,'TANF-VIEW'!T170)*12</f>
        <v>0</v>
      </c>
      <c r="E163" s="193">
        <f>SNAP!V167*12</f>
        <v>0</v>
      </c>
      <c r="F163" s="184">
        <f>WIC!F169*12</f>
        <v>0</v>
      </c>
      <c r="G163" s="185">
        <f>'Housing Voucher'!Q167*12</f>
        <v>0</v>
      </c>
      <c r="H163" s="197">
        <f>EITC!E166</f>
        <v>0</v>
      </c>
      <c r="I163" s="205">
        <f>Medicaid!N170*12</f>
        <v>0</v>
      </c>
      <c r="K163" s="185">
        <f t="shared" si="10"/>
        <v>0</v>
      </c>
      <c r="L163" s="185">
        <f t="shared" si="11"/>
        <v>80500</v>
      </c>
      <c r="M163" s="36">
        <f t="shared" si="9"/>
        <v>6708.333333333333</v>
      </c>
    </row>
    <row r="164" spans="1:13" x14ac:dyDescent="0.25">
      <c r="A164" s="186">
        <v>81000</v>
      </c>
      <c r="B164" s="33">
        <f t="shared" si="8"/>
        <v>6750</v>
      </c>
      <c r="C164" s="185">
        <f>'Child care subsidy'!S167*12</f>
        <v>0</v>
      </c>
      <c r="D164" s="185">
        <f>MAX('TANF-VIEW'!L171,'TANF-VIEW'!T171)*12</f>
        <v>0</v>
      </c>
      <c r="E164" s="193">
        <f>SNAP!V168*12</f>
        <v>0</v>
      </c>
      <c r="F164" s="184">
        <f>WIC!F170*12</f>
        <v>0</v>
      </c>
      <c r="G164" s="185">
        <f>'Housing Voucher'!Q168*12</f>
        <v>0</v>
      </c>
      <c r="H164" s="197">
        <f>EITC!E167</f>
        <v>0</v>
      </c>
      <c r="I164" s="205">
        <f>Medicaid!N171*12</f>
        <v>0</v>
      </c>
      <c r="K164" s="185">
        <f t="shared" si="10"/>
        <v>0</v>
      </c>
      <c r="L164" s="185">
        <f t="shared" si="11"/>
        <v>81000</v>
      </c>
      <c r="M164" s="36">
        <f t="shared" si="9"/>
        <v>6750</v>
      </c>
    </row>
    <row r="165" spans="1:13" x14ac:dyDescent="0.25">
      <c r="A165" s="186">
        <v>81500</v>
      </c>
      <c r="B165" s="33">
        <f t="shared" si="8"/>
        <v>6791.666666666667</v>
      </c>
      <c r="C165" s="185">
        <f>'Child care subsidy'!S168*12</f>
        <v>0</v>
      </c>
      <c r="D165" s="185">
        <f>MAX('TANF-VIEW'!L172,'TANF-VIEW'!T172)*12</f>
        <v>0</v>
      </c>
      <c r="E165" s="193">
        <f>SNAP!V169*12</f>
        <v>0</v>
      </c>
      <c r="F165" s="184">
        <f>WIC!F171*12</f>
        <v>0</v>
      </c>
      <c r="G165" s="185">
        <f>'Housing Voucher'!Q169*12</f>
        <v>0</v>
      </c>
      <c r="H165" s="197">
        <f>EITC!E168</f>
        <v>0</v>
      </c>
      <c r="I165" s="205">
        <f>Medicaid!N172*12</f>
        <v>0</v>
      </c>
      <c r="K165" s="185">
        <f t="shared" si="10"/>
        <v>0</v>
      </c>
      <c r="L165" s="185">
        <f t="shared" si="11"/>
        <v>81500</v>
      </c>
      <c r="M165" s="36">
        <f t="shared" si="9"/>
        <v>6791.666666666667</v>
      </c>
    </row>
    <row r="166" spans="1:13" x14ac:dyDescent="0.25">
      <c r="A166" s="186">
        <v>82000</v>
      </c>
      <c r="B166" s="33">
        <f t="shared" si="8"/>
        <v>6833.333333333333</v>
      </c>
      <c r="C166" s="185">
        <f>'Child care subsidy'!S169*12</f>
        <v>0</v>
      </c>
      <c r="D166" s="185">
        <f>MAX('TANF-VIEW'!L173,'TANF-VIEW'!T173)*12</f>
        <v>0</v>
      </c>
      <c r="E166" s="193">
        <f>SNAP!V170*12</f>
        <v>0</v>
      </c>
      <c r="F166" s="184">
        <f>WIC!F172*12</f>
        <v>0</v>
      </c>
      <c r="G166" s="185">
        <f>'Housing Voucher'!Q170*12</f>
        <v>0</v>
      </c>
      <c r="H166" s="197">
        <f>EITC!E169</f>
        <v>0</v>
      </c>
      <c r="I166" s="205">
        <f>Medicaid!N173*12</f>
        <v>0</v>
      </c>
      <c r="K166" s="185">
        <f t="shared" si="10"/>
        <v>0</v>
      </c>
      <c r="L166" s="185">
        <f t="shared" si="11"/>
        <v>82000</v>
      </c>
      <c r="M166" s="36">
        <f t="shared" si="9"/>
        <v>6833.333333333333</v>
      </c>
    </row>
    <row r="167" spans="1:13" x14ac:dyDescent="0.25">
      <c r="A167" s="186">
        <v>82500</v>
      </c>
      <c r="B167" s="33">
        <f t="shared" si="8"/>
        <v>6875</v>
      </c>
      <c r="C167" s="185">
        <f>'Child care subsidy'!S170*12</f>
        <v>0</v>
      </c>
      <c r="D167" s="185">
        <f>MAX('TANF-VIEW'!L174,'TANF-VIEW'!T174)*12</f>
        <v>0</v>
      </c>
      <c r="E167" s="193">
        <f>SNAP!V171*12</f>
        <v>0</v>
      </c>
      <c r="F167" s="184">
        <f>WIC!F173*12</f>
        <v>0</v>
      </c>
      <c r="G167" s="185">
        <f>'Housing Voucher'!Q171*12</f>
        <v>0</v>
      </c>
      <c r="H167" s="197">
        <f>EITC!E170</f>
        <v>0</v>
      </c>
      <c r="I167" s="205">
        <f>Medicaid!N174*12</f>
        <v>0</v>
      </c>
      <c r="K167" s="185">
        <f t="shared" si="10"/>
        <v>0</v>
      </c>
      <c r="L167" s="185">
        <f t="shared" si="11"/>
        <v>82500</v>
      </c>
      <c r="M167" s="36">
        <f t="shared" si="9"/>
        <v>6875</v>
      </c>
    </row>
    <row r="168" spans="1:13" x14ac:dyDescent="0.25">
      <c r="A168" s="186">
        <v>83000</v>
      </c>
      <c r="B168" s="33">
        <f t="shared" ref="B168:B202" si="12">A168/12</f>
        <v>6916.666666666667</v>
      </c>
      <c r="C168" s="185">
        <f>'Child care subsidy'!S171*12</f>
        <v>0</v>
      </c>
      <c r="D168" s="185">
        <f>MAX('TANF-VIEW'!L175,'TANF-VIEW'!T175)*12</f>
        <v>0</v>
      </c>
      <c r="E168" s="193">
        <f>SNAP!V172*12</f>
        <v>0</v>
      </c>
      <c r="F168" s="184">
        <f>WIC!F174*12</f>
        <v>0</v>
      </c>
      <c r="G168" s="185">
        <f>'Housing Voucher'!Q172*12</f>
        <v>0</v>
      </c>
      <c r="H168" s="197">
        <f>EITC!E171</f>
        <v>0</v>
      </c>
      <c r="I168" s="205">
        <f>Medicaid!N175*12</f>
        <v>0</v>
      </c>
      <c r="K168" s="185">
        <f t="shared" si="10"/>
        <v>0</v>
      </c>
      <c r="L168" s="185">
        <f t="shared" si="11"/>
        <v>83000</v>
      </c>
      <c r="M168" s="36">
        <f t="shared" si="9"/>
        <v>6916.666666666667</v>
      </c>
    </row>
    <row r="169" spans="1:13" x14ac:dyDescent="0.25">
      <c r="A169" s="186">
        <v>83500</v>
      </c>
      <c r="B169" s="33">
        <f t="shared" si="12"/>
        <v>6958.333333333333</v>
      </c>
      <c r="C169" s="185">
        <f>'Child care subsidy'!S172*12</f>
        <v>0</v>
      </c>
      <c r="D169" s="185">
        <f>MAX('TANF-VIEW'!L176,'TANF-VIEW'!T176)*12</f>
        <v>0</v>
      </c>
      <c r="E169" s="193">
        <f>SNAP!V173*12</f>
        <v>0</v>
      </c>
      <c r="F169" s="184">
        <f>WIC!F175*12</f>
        <v>0</v>
      </c>
      <c r="G169" s="185">
        <f>'Housing Voucher'!Q173*12</f>
        <v>0</v>
      </c>
      <c r="H169" s="197">
        <f>EITC!E172</f>
        <v>0</v>
      </c>
      <c r="I169" s="205">
        <f>Medicaid!N176*12</f>
        <v>0</v>
      </c>
      <c r="K169" s="185">
        <f t="shared" si="10"/>
        <v>0</v>
      </c>
      <c r="L169" s="185">
        <f t="shared" si="11"/>
        <v>83500</v>
      </c>
      <c r="M169" s="36">
        <f t="shared" si="9"/>
        <v>6958.333333333333</v>
      </c>
    </row>
    <row r="170" spans="1:13" x14ac:dyDescent="0.25">
      <c r="A170" s="186">
        <v>84000</v>
      </c>
      <c r="B170" s="33">
        <f t="shared" si="12"/>
        <v>7000</v>
      </c>
      <c r="C170" s="185">
        <f>'Child care subsidy'!S173*12</f>
        <v>0</v>
      </c>
      <c r="D170" s="185">
        <f>MAX('TANF-VIEW'!L177,'TANF-VIEW'!T177)*12</f>
        <v>0</v>
      </c>
      <c r="E170" s="193">
        <f>SNAP!V174*12</f>
        <v>0</v>
      </c>
      <c r="F170" s="184">
        <f>WIC!F176*12</f>
        <v>0</v>
      </c>
      <c r="G170" s="185">
        <f>'Housing Voucher'!Q174*12</f>
        <v>0</v>
      </c>
      <c r="H170" s="197">
        <f>EITC!E173</f>
        <v>0</v>
      </c>
      <c r="I170" s="205">
        <f>Medicaid!N177*12</f>
        <v>0</v>
      </c>
      <c r="K170" s="185">
        <f t="shared" si="10"/>
        <v>0</v>
      </c>
      <c r="L170" s="185">
        <f t="shared" si="11"/>
        <v>84000</v>
      </c>
      <c r="M170" s="36">
        <f t="shared" si="9"/>
        <v>7000</v>
      </c>
    </row>
    <row r="171" spans="1:13" x14ac:dyDescent="0.25">
      <c r="A171" s="186">
        <v>84500</v>
      </c>
      <c r="B171" s="33">
        <f t="shared" si="12"/>
        <v>7041.666666666667</v>
      </c>
      <c r="C171" s="185">
        <f>'Child care subsidy'!S174*12</f>
        <v>0</v>
      </c>
      <c r="D171" s="185">
        <f>MAX('TANF-VIEW'!L178,'TANF-VIEW'!T178)*12</f>
        <v>0</v>
      </c>
      <c r="E171" s="193">
        <f>SNAP!V175*12</f>
        <v>0</v>
      </c>
      <c r="F171" s="184">
        <f>WIC!F177*12</f>
        <v>0</v>
      </c>
      <c r="G171" s="185">
        <f>'Housing Voucher'!Q175*12</f>
        <v>0</v>
      </c>
      <c r="H171" s="197">
        <f>EITC!E174</f>
        <v>0</v>
      </c>
      <c r="I171" s="205">
        <f>Medicaid!N178*12</f>
        <v>0</v>
      </c>
      <c r="K171" s="185">
        <f t="shared" si="10"/>
        <v>0</v>
      </c>
      <c r="L171" s="185">
        <f t="shared" si="11"/>
        <v>84500</v>
      </c>
      <c r="M171" s="36">
        <f t="shared" si="9"/>
        <v>7041.666666666667</v>
      </c>
    </row>
    <row r="172" spans="1:13" x14ac:dyDescent="0.25">
      <c r="A172" s="186">
        <v>85000</v>
      </c>
      <c r="B172" s="33">
        <f t="shared" si="12"/>
        <v>7083.333333333333</v>
      </c>
      <c r="C172" s="185">
        <f>'Child care subsidy'!S175*12</f>
        <v>0</v>
      </c>
      <c r="D172" s="185">
        <f>MAX('TANF-VIEW'!L179,'TANF-VIEW'!T179)*12</f>
        <v>0</v>
      </c>
      <c r="E172" s="193">
        <f>SNAP!V176*12</f>
        <v>0</v>
      </c>
      <c r="F172" s="184">
        <f>WIC!F178*12</f>
        <v>0</v>
      </c>
      <c r="G172" s="185">
        <f>'Housing Voucher'!Q176*12</f>
        <v>0</v>
      </c>
      <c r="H172" s="197">
        <f>EITC!E175</f>
        <v>0</v>
      </c>
      <c r="I172" s="205">
        <f>Medicaid!N179*12</f>
        <v>0</v>
      </c>
      <c r="K172" s="185">
        <f t="shared" si="10"/>
        <v>0</v>
      </c>
      <c r="L172" s="185">
        <f t="shared" si="11"/>
        <v>85000</v>
      </c>
      <c r="M172" s="36">
        <f t="shared" si="9"/>
        <v>7083.333333333333</v>
      </c>
    </row>
    <row r="173" spans="1:13" x14ac:dyDescent="0.25">
      <c r="A173" s="186">
        <v>85500</v>
      </c>
      <c r="B173" s="33">
        <f t="shared" si="12"/>
        <v>7125</v>
      </c>
      <c r="C173" s="185">
        <f>'Child care subsidy'!S176*12</f>
        <v>0</v>
      </c>
      <c r="D173" s="185">
        <f>MAX('TANF-VIEW'!L180,'TANF-VIEW'!T180)*12</f>
        <v>0</v>
      </c>
      <c r="E173" s="193">
        <f>SNAP!V177*12</f>
        <v>0</v>
      </c>
      <c r="F173" s="184">
        <f>WIC!F179*12</f>
        <v>0</v>
      </c>
      <c r="G173" s="185">
        <f>'Housing Voucher'!Q177*12</f>
        <v>0</v>
      </c>
      <c r="H173" s="197">
        <f>EITC!E176</f>
        <v>0</v>
      </c>
      <c r="I173" s="205">
        <f>Medicaid!N180*12</f>
        <v>0</v>
      </c>
      <c r="K173" s="185">
        <f t="shared" si="10"/>
        <v>0</v>
      </c>
      <c r="L173" s="185">
        <f t="shared" si="11"/>
        <v>85500</v>
      </c>
      <c r="M173" s="36">
        <f t="shared" si="9"/>
        <v>7125</v>
      </c>
    </row>
    <row r="174" spans="1:13" x14ac:dyDescent="0.25">
      <c r="A174" s="186">
        <v>86000</v>
      </c>
      <c r="B174" s="33">
        <f t="shared" si="12"/>
        <v>7166.666666666667</v>
      </c>
      <c r="C174" s="185">
        <f>'Child care subsidy'!S177*12</f>
        <v>0</v>
      </c>
      <c r="D174" s="185">
        <f>MAX('TANF-VIEW'!L181,'TANF-VIEW'!T181)*12</f>
        <v>0</v>
      </c>
      <c r="E174" s="193">
        <f>SNAP!V178*12</f>
        <v>0</v>
      </c>
      <c r="F174" s="184">
        <f>WIC!F180*12</f>
        <v>0</v>
      </c>
      <c r="G174" s="185">
        <f>'Housing Voucher'!Q178*12</f>
        <v>0</v>
      </c>
      <c r="H174" s="197">
        <f>EITC!E177</f>
        <v>0</v>
      </c>
      <c r="I174" s="205">
        <f>Medicaid!N181*12</f>
        <v>0</v>
      </c>
      <c r="K174" s="185">
        <f t="shared" si="10"/>
        <v>0</v>
      </c>
      <c r="L174" s="185">
        <f t="shared" si="11"/>
        <v>86000</v>
      </c>
      <c r="M174" s="36">
        <f t="shared" si="9"/>
        <v>7166.666666666667</v>
      </c>
    </row>
    <row r="175" spans="1:13" x14ac:dyDescent="0.25">
      <c r="A175" s="186">
        <v>86500</v>
      </c>
      <c r="B175" s="33">
        <f t="shared" si="12"/>
        <v>7208.333333333333</v>
      </c>
      <c r="C175" s="185">
        <f>'Child care subsidy'!S178*12</f>
        <v>0</v>
      </c>
      <c r="D175" s="185">
        <f>MAX('TANF-VIEW'!L182,'TANF-VIEW'!T182)*12</f>
        <v>0</v>
      </c>
      <c r="E175" s="193">
        <f>SNAP!V179*12</f>
        <v>0</v>
      </c>
      <c r="F175" s="184">
        <f>WIC!F181*12</f>
        <v>0</v>
      </c>
      <c r="G175" s="185">
        <f>'Housing Voucher'!Q179*12</f>
        <v>0</v>
      </c>
      <c r="H175" s="197">
        <f>EITC!E178</f>
        <v>0</v>
      </c>
      <c r="I175" s="205">
        <f>Medicaid!N182*12</f>
        <v>0</v>
      </c>
      <c r="K175" s="185">
        <f t="shared" si="10"/>
        <v>0</v>
      </c>
      <c r="L175" s="185">
        <f t="shared" si="11"/>
        <v>86500</v>
      </c>
      <c r="M175" s="36">
        <f t="shared" si="9"/>
        <v>7208.333333333333</v>
      </c>
    </row>
    <row r="176" spans="1:13" x14ac:dyDescent="0.25">
      <c r="A176" s="186">
        <v>87000</v>
      </c>
      <c r="B176" s="33">
        <f t="shared" si="12"/>
        <v>7250</v>
      </c>
      <c r="C176" s="185">
        <f>'Child care subsidy'!S179*12</f>
        <v>0</v>
      </c>
      <c r="D176" s="185">
        <f>MAX('TANF-VIEW'!L183,'TANF-VIEW'!T183)*12</f>
        <v>0</v>
      </c>
      <c r="E176" s="193">
        <f>SNAP!V180*12</f>
        <v>0</v>
      </c>
      <c r="F176" s="184">
        <f>WIC!F182*12</f>
        <v>0</v>
      </c>
      <c r="G176" s="185">
        <f>'Housing Voucher'!Q180*12</f>
        <v>0</v>
      </c>
      <c r="H176" s="197">
        <f>EITC!E179</f>
        <v>0</v>
      </c>
      <c r="I176" s="205">
        <f>Medicaid!N183*12</f>
        <v>0</v>
      </c>
      <c r="K176" s="185">
        <f t="shared" si="10"/>
        <v>0</v>
      </c>
      <c r="L176" s="185">
        <f t="shared" si="11"/>
        <v>87000</v>
      </c>
      <c r="M176" s="36">
        <f t="shared" si="9"/>
        <v>7250</v>
      </c>
    </row>
    <row r="177" spans="1:13" x14ac:dyDescent="0.25">
      <c r="A177" s="186">
        <v>87500</v>
      </c>
      <c r="B177" s="33">
        <f t="shared" si="12"/>
        <v>7291.666666666667</v>
      </c>
      <c r="C177" s="185">
        <f>'Child care subsidy'!S180*12</f>
        <v>0</v>
      </c>
      <c r="D177" s="185">
        <f>MAX('TANF-VIEW'!L184,'TANF-VIEW'!T184)*12</f>
        <v>0</v>
      </c>
      <c r="E177" s="193">
        <f>SNAP!V181*12</f>
        <v>0</v>
      </c>
      <c r="F177" s="184">
        <f>WIC!F183*12</f>
        <v>0</v>
      </c>
      <c r="G177" s="185">
        <f>'Housing Voucher'!Q181*12</f>
        <v>0</v>
      </c>
      <c r="H177" s="197">
        <f>EITC!E180</f>
        <v>0</v>
      </c>
      <c r="I177" s="205">
        <f>Medicaid!N184*12</f>
        <v>0</v>
      </c>
      <c r="K177" s="185">
        <f t="shared" si="10"/>
        <v>0</v>
      </c>
      <c r="L177" s="185">
        <f t="shared" si="11"/>
        <v>87500</v>
      </c>
      <c r="M177" s="36">
        <f t="shared" si="9"/>
        <v>7291.666666666667</v>
      </c>
    </row>
    <row r="178" spans="1:13" x14ac:dyDescent="0.25">
      <c r="A178" s="186">
        <v>88000</v>
      </c>
      <c r="B178" s="33">
        <f t="shared" si="12"/>
        <v>7333.333333333333</v>
      </c>
      <c r="C178" s="185">
        <f>'Child care subsidy'!S181*12</f>
        <v>0</v>
      </c>
      <c r="D178" s="185">
        <f>MAX('TANF-VIEW'!L185,'TANF-VIEW'!T185)*12</f>
        <v>0</v>
      </c>
      <c r="E178" s="193">
        <f>SNAP!V182*12</f>
        <v>0</v>
      </c>
      <c r="F178" s="184">
        <f>WIC!F184*12</f>
        <v>0</v>
      </c>
      <c r="G178" s="185">
        <f>'Housing Voucher'!Q182*12</f>
        <v>0</v>
      </c>
      <c r="H178" s="197">
        <f>EITC!E181</f>
        <v>0</v>
      </c>
      <c r="I178" s="205">
        <f>Medicaid!N185*12</f>
        <v>0</v>
      </c>
      <c r="K178" s="185">
        <f t="shared" si="10"/>
        <v>0</v>
      </c>
      <c r="L178" s="185">
        <f t="shared" si="11"/>
        <v>88000</v>
      </c>
      <c r="M178" s="36">
        <f t="shared" si="9"/>
        <v>7333.333333333333</v>
      </c>
    </row>
    <row r="179" spans="1:13" x14ac:dyDescent="0.25">
      <c r="A179" s="186">
        <v>88500</v>
      </c>
      <c r="B179" s="33">
        <f t="shared" si="12"/>
        <v>7375</v>
      </c>
      <c r="C179" s="185">
        <f>'Child care subsidy'!S182*12</f>
        <v>0</v>
      </c>
      <c r="D179" s="185">
        <f>MAX('TANF-VIEW'!L186,'TANF-VIEW'!T186)*12</f>
        <v>0</v>
      </c>
      <c r="E179" s="193">
        <f>SNAP!V183*12</f>
        <v>0</v>
      </c>
      <c r="F179" s="184">
        <f>WIC!F185*12</f>
        <v>0</v>
      </c>
      <c r="G179" s="185">
        <f>'Housing Voucher'!Q183*12</f>
        <v>0</v>
      </c>
      <c r="H179" s="197">
        <f>EITC!E182</f>
        <v>0</v>
      </c>
      <c r="I179" s="205">
        <f>Medicaid!N186*12</f>
        <v>0</v>
      </c>
      <c r="K179" s="185">
        <f t="shared" si="10"/>
        <v>0</v>
      </c>
      <c r="L179" s="185">
        <f t="shared" si="11"/>
        <v>88500</v>
      </c>
      <c r="M179" s="36">
        <f t="shared" si="9"/>
        <v>7375</v>
      </c>
    </row>
    <row r="180" spans="1:13" x14ac:dyDescent="0.25">
      <c r="A180" s="186">
        <v>89000</v>
      </c>
      <c r="B180" s="33">
        <f t="shared" si="12"/>
        <v>7416.666666666667</v>
      </c>
      <c r="C180" s="185">
        <f>'Child care subsidy'!S183*12</f>
        <v>0</v>
      </c>
      <c r="D180" s="185">
        <f>MAX('TANF-VIEW'!L187,'TANF-VIEW'!T187)*12</f>
        <v>0</v>
      </c>
      <c r="E180" s="193">
        <f>SNAP!V184*12</f>
        <v>0</v>
      </c>
      <c r="F180" s="184">
        <f>WIC!F186*12</f>
        <v>0</v>
      </c>
      <c r="G180" s="185">
        <f>'Housing Voucher'!Q184*12</f>
        <v>0</v>
      </c>
      <c r="H180" s="197">
        <f>EITC!E183</f>
        <v>0</v>
      </c>
      <c r="I180" s="205">
        <f>Medicaid!N187*12</f>
        <v>0</v>
      </c>
      <c r="K180" s="185">
        <f t="shared" si="10"/>
        <v>0</v>
      </c>
      <c r="L180" s="185">
        <f t="shared" si="11"/>
        <v>89000</v>
      </c>
      <c r="M180" s="36">
        <f t="shared" si="9"/>
        <v>7416.666666666667</v>
      </c>
    </row>
    <row r="181" spans="1:13" x14ac:dyDescent="0.25">
      <c r="A181" s="186">
        <v>89500</v>
      </c>
      <c r="B181" s="33">
        <f t="shared" si="12"/>
        <v>7458.333333333333</v>
      </c>
      <c r="C181" s="185">
        <f>'Child care subsidy'!S184*12</f>
        <v>0</v>
      </c>
      <c r="D181" s="185">
        <f>MAX('TANF-VIEW'!L188,'TANF-VIEW'!T188)*12</f>
        <v>0</v>
      </c>
      <c r="E181" s="193">
        <f>SNAP!V185*12</f>
        <v>0</v>
      </c>
      <c r="F181" s="184">
        <f>WIC!F187*12</f>
        <v>0</v>
      </c>
      <c r="G181" s="185">
        <f>'Housing Voucher'!Q185*12</f>
        <v>0</v>
      </c>
      <c r="H181" s="197">
        <f>EITC!E184</f>
        <v>0</v>
      </c>
      <c r="I181" s="205">
        <f>Medicaid!N188*12</f>
        <v>0</v>
      </c>
      <c r="K181" s="185">
        <f t="shared" si="10"/>
        <v>0</v>
      </c>
      <c r="L181" s="185">
        <f t="shared" si="11"/>
        <v>89500</v>
      </c>
      <c r="M181" s="36">
        <f t="shared" si="9"/>
        <v>7458.333333333333</v>
      </c>
    </row>
    <row r="182" spans="1:13" x14ac:dyDescent="0.25">
      <c r="A182" s="186">
        <v>90000</v>
      </c>
      <c r="B182" s="33">
        <f t="shared" si="12"/>
        <v>7500</v>
      </c>
      <c r="C182" s="185">
        <f>'Child care subsidy'!S185*12</f>
        <v>0</v>
      </c>
      <c r="D182" s="185">
        <f>MAX('TANF-VIEW'!L189,'TANF-VIEW'!T189)*12</f>
        <v>0</v>
      </c>
      <c r="E182" s="193">
        <f>SNAP!V186*12</f>
        <v>0</v>
      </c>
      <c r="F182" s="184">
        <f>WIC!F188*12</f>
        <v>0</v>
      </c>
      <c r="G182" s="185">
        <f>'Housing Voucher'!Q186*12</f>
        <v>0</v>
      </c>
      <c r="H182" s="197">
        <f>EITC!E185</f>
        <v>0</v>
      </c>
      <c r="I182" s="205">
        <f>Medicaid!N189*12</f>
        <v>0</v>
      </c>
      <c r="K182" s="185">
        <f t="shared" si="10"/>
        <v>0</v>
      </c>
      <c r="L182" s="185">
        <f t="shared" si="11"/>
        <v>90000</v>
      </c>
      <c r="M182" s="36">
        <f t="shared" si="9"/>
        <v>7500</v>
      </c>
    </row>
    <row r="183" spans="1:13" x14ac:dyDescent="0.25">
      <c r="A183" s="186">
        <v>90500</v>
      </c>
      <c r="B183" s="33">
        <f t="shared" si="12"/>
        <v>7541.666666666667</v>
      </c>
      <c r="C183" s="185">
        <f>'Child care subsidy'!S186*12</f>
        <v>0</v>
      </c>
      <c r="D183" s="185">
        <f>MAX('TANF-VIEW'!L190,'TANF-VIEW'!T190)*12</f>
        <v>0</v>
      </c>
      <c r="E183" s="193">
        <f>SNAP!V187*12</f>
        <v>0</v>
      </c>
      <c r="F183" s="184">
        <f>WIC!F189*12</f>
        <v>0</v>
      </c>
      <c r="G183" s="185">
        <f>'Housing Voucher'!Q187*12</f>
        <v>0</v>
      </c>
      <c r="H183" s="197">
        <f>EITC!E186</f>
        <v>0</v>
      </c>
      <c r="I183" s="205">
        <f>Medicaid!N190*12</f>
        <v>0</v>
      </c>
      <c r="K183" s="185">
        <f t="shared" si="10"/>
        <v>0</v>
      </c>
      <c r="L183" s="185">
        <f t="shared" si="11"/>
        <v>90500</v>
      </c>
      <c r="M183" s="36">
        <f t="shared" si="9"/>
        <v>7541.666666666667</v>
      </c>
    </row>
    <row r="184" spans="1:13" x14ac:dyDescent="0.25">
      <c r="A184" s="186">
        <v>91000</v>
      </c>
      <c r="B184" s="33">
        <f t="shared" si="12"/>
        <v>7583.333333333333</v>
      </c>
      <c r="C184" s="185">
        <f>'Child care subsidy'!S187*12</f>
        <v>0</v>
      </c>
      <c r="D184" s="185">
        <f>MAX('TANF-VIEW'!L191,'TANF-VIEW'!T191)*12</f>
        <v>0</v>
      </c>
      <c r="E184" s="193">
        <f>SNAP!V188*12</f>
        <v>0</v>
      </c>
      <c r="F184" s="184">
        <f>WIC!F190*12</f>
        <v>0</v>
      </c>
      <c r="G184" s="185">
        <f>'Housing Voucher'!Q188*12</f>
        <v>0</v>
      </c>
      <c r="H184" s="197">
        <f>EITC!E187</f>
        <v>0</v>
      </c>
      <c r="I184" s="205">
        <f>Medicaid!N191*12</f>
        <v>0</v>
      </c>
      <c r="K184" s="185">
        <f t="shared" si="10"/>
        <v>0</v>
      </c>
      <c r="L184" s="185">
        <f t="shared" si="11"/>
        <v>91000</v>
      </c>
      <c r="M184" s="36">
        <f t="shared" si="9"/>
        <v>7583.333333333333</v>
      </c>
    </row>
    <row r="185" spans="1:13" x14ac:dyDescent="0.25">
      <c r="A185" s="186">
        <v>91500</v>
      </c>
      <c r="B185" s="33">
        <f t="shared" si="12"/>
        <v>7625</v>
      </c>
      <c r="C185" s="185">
        <f>'Child care subsidy'!S188*12</f>
        <v>0</v>
      </c>
      <c r="D185" s="185">
        <f>MAX('TANF-VIEW'!L192,'TANF-VIEW'!T192)*12</f>
        <v>0</v>
      </c>
      <c r="E185" s="193">
        <f>SNAP!V189*12</f>
        <v>0</v>
      </c>
      <c r="F185" s="184">
        <f>WIC!F191*12</f>
        <v>0</v>
      </c>
      <c r="G185" s="185">
        <f>'Housing Voucher'!Q189*12</f>
        <v>0</v>
      </c>
      <c r="H185" s="197">
        <f>EITC!E188</f>
        <v>0</v>
      </c>
      <c r="I185" s="205">
        <f>Medicaid!N192*12</f>
        <v>0</v>
      </c>
      <c r="K185" s="185">
        <f t="shared" si="10"/>
        <v>0</v>
      </c>
      <c r="L185" s="185">
        <f t="shared" si="11"/>
        <v>91500</v>
      </c>
      <c r="M185" s="36">
        <f t="shared" si="9"/>
        <v>7625</v>
      </c>
    </row>
    <row r="186" spans="1:13" x14ac:dyDescent="0.25">
      <c r="A186" s="186">
        <v>92000</v>
      </c>
      <c r="B186" s="33">
        <f t="shared" si="12"/>
        <v>7666.666666666667</v>
      </c>
      <c r="C186" s="185">
        <f>'Child care subsidy'!S189*12</f>
        <v>0</v>
      </c>
      <c r="D186" s="185">
        <f>MAX('TANF-VIEW'!L193,'TANF-VIEW'!T193)*12</f>
        <v>0</v>
      </c>
      <c r="E186" s="193">
        <f>SNAP!V190*12</f>
        <v>0</v>
      </c>
      <c r="F186" s="184">
        <f>WIC!F192*12</f>
        <v>0</v>
      </c>
      <c r="G186" s="185">
        <f>'Housing Voucher'!Q190*12</f>
        <v>0</v>
      </c>
      <c r="H186" s="197">
        <f>EITC!E189</f>
        <v>0</v>
      </c>
      <c r="I186" s="205">
        <f>Medicaid!N193*12</f>
        <v>0</v>
      </c>
      <c r="K186" s="185">
        <f t="shared" si="10"/>
        <v>0</v>
      </c>
      <c r="L186" s="185">
        <f t="shared" si="11"/>
        <v>92000</v>
      </c>
      <c r="M186" s="36">
        <f t="shared" si="9"/>
        <v>7666.666666666667</v>
      </c>
    </row>
    <row r="187" spans="1:13" x14ac:dyDescent="0.25">
      <c r="A187" s="186">
        <v>92500</v>
      </c>
      <c r="B187" s="33">
        <f t="shared" si="12"/>
        <v>7708.333333333333</v>
      </c>
      <c r="C187" s="185">
        <f>'Child care subsidy'!S190*12</f>
        <v>0</v>
      </c>
      <c r="D187" s="185">
        <f>MAX('TANF-VIEW'!L194,'TANF-VIEW'!T194)*12</f>
        <v>0</v>
      </c>
      <c r="E187" s="193">
        <f>SNAP!V191*12</f>
        <v>0</v>
      </c>
      <c r="F187" s="184">
        <f>WIC!F193*12</f>
        <v>0</v>
      </c>
      <c r="G187" s="185">
        <f>'Housing Voucher'!Q191*12</f>
        <v>0</v>
      </c>
      <c r="H187" s="197">
        <f>EITC!E190</f>
        <v>0</v>
      </c>
      <c r="I187" s="205">
        <f>Medicaid!N194*12</f>
        <v>0</v>
      </c>
      <c r="K187" s="185">
        <f t="shared" si="10"/>
        <v>0</v>
      </c>
      <c r="L187" s="185">
        <f t="shared" si="11"/>
        <v>92500</v>
      </c>
      <c r="M187" s="36">
        <f t="shared" si="9"/>
        <v>7708.333333333333</v>
      </c>
    </row>
    <row r="188" spans="1:13" x14ac:dyDescent="0.25">
      <c r="A188" s="186">
        <v>93000</v>
      </c>
      <c r="B188" s="33">
        <f t="shared" si="12"/>
        <v>7750</v>
      </c>
      <c r="C188" s="185">
        <f>'Child care subsidy'!S191*12</f>
        <v>0</v>
      </c>
      <c r="D188" s="185">
        <f>MAX('TANF-VIEW'!L195,'TANF-VIEW'!T195)*12</f>
        <v>0</v>
      </c>
      <c r="E188" s="193">
        <f>SNAP!V192*12</f>
        <v>0</v>
      </c>
      <c r="F188" s="184">
        <f>WIC!F194*12</f>
        <v>0</v>
      </c>
      <c r="G188" s="185">
        <f>'Housing Voucher'!Q192*12</f>
        <v>0</v>
      </c>
      <c r="H188" s="197">
        <f>EITC!E191</f>
        <v>0</v>
      </c>
      <c r="I188" s="205">
        <f>Medicaid!N195*12</f>
        <v>0</v>
      </c>
      <c r="K188" s="185">
        <f t="shared" si="10"/>
        <v>0</v>
      </c>
      <c r="L188" s="185">
        <f t="shared" si="11"/>
        <v>93000</v>
      </c>
      <c r="M188" s="36">
        <f t="shared" si="9"/>
        <v>7750</v>
      </c>
    </row>
    <row r="189" spans="1:13" x14ac:dyDescent="0.25">
      <c r="A189" s="186">
        <v>93500</v>
      </c>
      <c r="B189" s="33">
        <f t="shared" si="12"/>
        <v>7791.666666666667</v>
      </c>
      <c r="C189" s="185">
        <f>'Child care subsidy'!S192*12</f>
        <v>0</v>
      </c>
      <c r="D189" s="185">
        <f>MAX('TANF-VIEW'!L196,'TANF-VIEW'!T196)*12</f>
        <v>0</v>
      </c>
      <c r="E189" s="193">
        <f>SNAP!V193*12</f>
        <v>0</v>
      </c>
      <c r="F189" s="184">
        <f>WIC!F195*12</f>
        <v>0</v>
      </c>
      <c r="G189" s="185">
        <f>'Housing Voucher'!Q193*12</f>
        <v>0</v>
      </c>
      <c r="H189" s="197">
        <f>EITC!E192</f>
        <v>0</v>
      </c>
      <c r="I189" s="205">
        <f>Medicaid!N196*12</f>
        <v>0</v>
      </c>
      <c r="K189" s="185">
        <f t="shared" si="10"/>
        <v>0</v>
      </c>
      <c r="L189" s="185">
        <f t="shared" si="11"/>
        <v>93500</v>
      </c>
      <c r="M189" s="36">
        <f t="shared" si="9"/>
        <v>7791.666666666667</v>
      </c>
    </row>
    <row r="190" spans="1:13" x14ac:dyDescent="0.25">
      <c r="A190" s="186">
        <v>94000</v>
      </c>
      <c r="B190" s="33">
        <f t="shared" si="12"/>
        <v>7833.333333333333</v>
      </c>
      <c r="C190" s="185">
        <f>'Child care subsidy'!S193*12</f>
        <v>0</v>
      </c>
      <c r="D190" s="185">
        <f>MAX('TANF-VIEW'!L197,'TANF-VIEW'!T197)*12</f>
        <v>0</v>
      </c>
      <c r="E190" s="193">
        <f>SNAP!V194*12</f>
        <v>0</v>
      </c>
      <c r="F190" s="184">
        <f>WIC!F196*12</f>
        <v>0</v>
      </c>
      <c r="G190" s="185">
        <f>'Housing Voucher'!Q194*12</f>
        <v>0</v>
      </c>
      <c r="H190" s="197">
        <f>EITC!E193</f>
        <v>0</v>
      </c>
      <c r="I190" s="205">
        <f>Medicaid!N197*12</f>
        <v>0</v>
      </c>
      <c r="K190" s="185">
        <f t="shared" si="10"/>
        <v>0</v>
      </c>
      <c r="L190" s="185">
        <f t="shared" si="11"/>
        <v>94000</v>
      </c>
      <c r="M190" s="36">
        <f t="shared" si="9"/>
        <v>7833.333333333333</v>
      </c>
    </row>
    <row r="191" spans="1:13" x14ac:dyDescent="0.25">
      <c r="A191" s="186">
        <v>94500</v>
      </c>
      <c r="B191" s="33">
        <f t="shared" si="12"/>
        <v>7875</v>
      </c>
      <c r="C191" s="185">
        <f>'Child care subsidy'!S194*12</f>
        <v>0</v>
      </c>
      <c r="D191" s="185">
        <f>MAX('TANF-VIEW'!L198,'TANF-VIEW'!T198)*12</f>
        <v>0</v>
      </c>
      <c r="E191" s="193">
        <f>SNAP!V195*12</f>
        <v>0</v>
      </c>
      <c r="F191" s="184">
        <f>WIC!F197*12</f>
        <v>0</v>
      </c>
      <c r="G191" s="185">
        <f>'Housing Voucher'!Q195*12</f>
        <v>0</v>
      </c>
      <c r="H191" s="197">
        <f>EITC!E194</f>
        <v>0</v>
      </c>
      <c r="I191" s="205">
        <f>Medicaid!N198*12</f>
        <v>0</v>
      </c>
      <c r="K191" s="185">
        <f t="shared" si="10"/>
        <v>0</v>
      </c>
      <c r="L191" s="185">
        <f t="shared" si="11"/>
        <v>94500</v>
      </c>
      <c r="M191" s="36">
        <f t="shared" si="9"/>
        <v>7875</v>
      </c>
    </row>
    <row r="192" spans="1:13" x14ac:dyDescent="0.25">
      <c r="A192" s="186">
        <v>95000</v>
      </c>
      <c r="B192" s="33">
        <f t="shared" si="12"/>
        <v>7916.666666666667</v>
      </c>
      <c r="C192" s="185">
        <f>'Child care subsidy'!S195*12</f>
        <v>0</v>
      </c>
      <c r="D192" s="185">
        <f>MAX('TANF-VIEW'!L199,'TANF-VIEW'!T199)*12</f>
        <v>0</v>
      </c>
      <c r="E192" s="193">
        <f>SNAP!V196*12</f>
        <v>0</v>
      </c>
      <c r="F192" s="184">
        <f>WIC!F198*12</f>
        <v>0</v>
      </c>
      <c r="G192" s="185">
        <f>'Housing Voucher'!Q196*12</f>
        <v>0</v>
      </c>
      <c r="H192" s="197">
        <f>EITC!E195</f>
        <v>0</v>
      </c>
      <c r="I192" s="205">
        <f>Medicaid!N199*12</f>
        <v>0</v>
      </c>
      <c r="K192" s="185">
        <f t="shared" si="10"/>
        <v>0</v>
      </c>
      <c r="L192" s="185">
        <f t="shared" si="11"/>
        <v>95000</v>
      </c>
      <c r="M192" s="36">
        <f t="shared" si="9"/>
        <v>7916.666666666667</v>
      </c>
    </row>
    <row r="193" spans="1:13" s="214" customFormat="1" x14ac:dyDescent="0.25">
      <c r="A193" s="206">
        <v>95500</v>
      </c>
      <c r="B193" s="207">
        <f t="shared" si="12"/>
        <v>7958.333333333333</v>
      </c>
      <c r="C193" s="208">
        <f>'Child care subsidy'!S196*12</f>
        <v>0</v>
      </c>
      <c r="D193" s="208">
        <f>MAX('TANF-VIEW'!L200,'TANF-VIEW'!T200)*12</f>
        <v>0</v>
      </c>
      <c r="E193" s="209">
        <f>SNAP!V197*12</f>
        <v>0</v>
      </c>
      <c r="F193" s="210">
        <f>WIC!F199*12</f>
        <v>0</v>
      </c>
      <c r="G193" s="208">
        <f>'Housing Voucher'!Q197*12</f>
        <v>0</v>
      </c>
      <c r="H193" s="211">
        <f>EITC!E196</f>
        <v>0</v>
      </c>
      <c r="I193" s="212">
        <f>Medicaid!N200*12</f>
        <v>0</v>
      </c>
      <c r="J193" s="213"/>
      <c r="K193" s="208">
        <f t="shared" si="10"/>
        <v>0</v>
      </c>
      <c r="L193" s="208">
        <f t="shared" si="11"/>
        <v>95500</v>
      </c>
      <c r="M193" s="36">
        <f t="shared" si="9"/>
        <v>7958.333333333333</v>
      </c>
    </row>
    <row r="194" spans="1:13" s="214" customFormat="1" x14ac:dyDescent="0.25">
      <c r="A194" s="206">
        <v>96000</v>
      </c>
      <c r="B194" s="207">
        <f t="shared" si="12"/>
        <v>8000</v>
      </c>
      <c r="C194" s="208">
        <f>'Child care subsidy'!S197*12</f>
        <v>0</v>
      </c>
      <c r="D194" s="208">
        <f>MAX('TANF-VIEW'!L201,'TANF-VIEW'!T201)*12</f>
        <v>0</v>
      </c>
      <c r="E194" s="209">
        <f>SNAP!V198*12</f>
        <v>0</v>
      </c>
      <c r="F194" s="210">
        <f>WIC!F200*12</f>
        <v>0</v>
      </c>
      <c r="G194" s="208">
        <f>'Housing Voucher'!Q198*12</f>
        <v>0</v>
      </c>
      <c r="H194" s="211">
        <f>EITC!E197</f>
        <v>0</v>
      </c>
      <c r="I194" s="212">
        <f>Medicaid!N201*12</f>
        <v>0</v>
      </c>
      <c r="J194" s="213"/>
      <c r="K194" s="208">
        <f t="shared" si="10"/>
        <v>0</v>
      </c>
      <c r="L194" s="208">
        <f t="shared" si="11"/>
        <v>96000</v>
      </c>
      <c r="M194" s="36">
        <f t="shared" si="9"/>
        <v>8000</v>
      </c>
    </row>
    <row r="195" spans="1:13" x14ac:dyDescent="0.25">
      <c r="A195" s="186">
        <v>96500</v>
      </c>
      <c r="B195" s="33">
        <f t="shared" si="12"/>
        <v>8041.666666666667</v>
      </c>
      <c r="C195" s="185">
        <f>'Child care subsidy'!S198*12</f>
        <v>0</v>
      </c>
      <c r="D195" s="185">
        <f>MAX('TANF-VIEW'!L202,'TANF-VIEW'!T202)*12</f>
        <v>0</v>
      </c>
      <c r="E195" s="193">
        <f>SNAP!V199*12</f>
        <v>0</v>
      </c>
      <c r="F195" s="184">
        <f>WIC!F201*12</f>
        <v>0</v>
      </c>
      <c r="G195" s="185">
        <f>'Housing Voucher'!Q199*12</f>
        <v>0</v>
      </c>
      <c r="H195" s="197">
        <f>EITC!E198</f>
        <v>0</v>
      </c>
      <c r="I195" s="205">
        <f>Medicaid!N202*12</f>
        <v>0</v>
      </c>
      <c r="K195" s="185">
        <f t="shared" si="10"/>
        <v>0</v>
      </c>
      <c r="L195" s="185">
        <f t="shared" si="11"/>
        <v>96500</v>
      </c>
      <c r="M195" s="36">
        <f t="shared" ref="M195:M202" si="13">L195/12</f>
        <v>8041.666666666667</v>
      </c>
    </row>
    <row r="196" spans="1:13" x14ac:dyDescent="0.25">
      <c r="A196" s="186">
        <v>97000</v>
      </c>
      <c r="B196" s="33">
        <f t="shared" si="12"/>
        <v>8083.333333333333</v>
      </c>
      <c r="C196" s="185">
        <f>'Child care subsidy'!S199*12</f>
        <v>0</v>
      </c>
      <c r="D196" s="185">
        <f>MAX('TANF-VIEW'!L203,'TANF-VIEW'!T203)*12</f>
        <v>0</v>
      </c>
      <c r="E196" s="193">
        <f>SNAP!V200*12</f>
        <v>0</v>
      </c>
      <c r="F196" s="184">
        <f>WIC!F202*12</f>
        <v>0</v>
      </c>
      <c r="G196" s="185">
        <f>'Housing Voucher'!Q200*12</f>
        <v>0</v>
      </c>
      <c r="H196" s="197">
        <f>EITC!E199</f>
        <v>0</v>
      </c>
      <c r="I196" s="205">
        <f>Medicaid!N203*12</f>
        <v>0</v>
      </c>
      <c r="K196" s="185">
        <f t="shared" ref="K196:K202" si="14">SUM(C196:I196)</f>
        <v>0</v>
      </c>
      <c r="L196" s="185">
        <f t="shared" ref="L196:L202" si="15">A196+K196</f>
        <v>97000</v>
      </c>
      <c r="M196" s="36">
        <f t="shared" si="13"/>
        <v>8083.333333333333</v>
      </c>
    </row>
    <row r="197" spans="1:13" x14ac:dyDescent="0.25">
      <c r="A197" s="186">
        <v>97500</v>
      </c>
      <c r="B197" s="33">
        <f t="shared" si="12"/>
        <v>8125</v>
      </c>
      <c r="C197" s="185">
        <f>'Child care subsidy'!S200*12</f>
        <v>0</v>
      </c>
      <c r="D197" s="185">
        <f>MAX('TANF-VIEW'!L204,'TANF-VIEW'!T204)*12</f>
        <v>0</v>
      </c>
      <c r="E197" s="193">
        <f>SNAP!V201*12</f>
        <v>0</v>
      </c>
      <c r="F197" s="184">
        <f>WIC!F203*12</f>
        <v>0</v>
      </c>
      <c r="G197" s="185">
        <f>'Housing Voucher'!Q201*12</f>
        <v>0</v>
      </c>
      <c r="H197" s="197">
        <f>EITC!E200</f>
        <v>0</v>
      </c>
      <c r="I197" s="205">
        <f>Medicaid!N204*12</f>
        <v>0</v>
      </c>
      <c r="K197" s="185">
        <f t="shared" si="14"/>
        <v>0</v>
      </c>
      <c r="L197" s="185">
        <f t="shared" si="15"/>
        <v>97500</v>
      </c>
      <c r="M197" s="36">
        <f t="shared" si="13"/>
        <v>8125</v>
      </c>
    </row>
    <row r="198" spans="1:13" x14ac:dyDescent="0.25">
      <c r="A198" s="186">
        <v>98000</v>
      </c>
      <c r="B198" s="33">
        <f t="shared" si="12"/>
        <v>8166.666666666667</v>
      </c>
      <c r="C198" s="185">
        <f>'Child care subsidy'!S201*12</f>
        <v>0</v>
      </c>
      <c r="D198" s="185">
        <f>MAX('TANF-VIEW'!L205,'TANF-VIEW'!T205)*12</f>
        <v>0</v>
      </c>
      <c r="E198" s="193">
        <f>SNAP!V202*12</f>
        <v>0</v>
      </c>
      <c r="F198" s="184">
        <f>WIC!F204*12</f>
        <v>0</v>
      </c>
      <c r="G198" s="185">
        <f>'Housing Voucher'!Q202*12</f>
        <v>0</v>
      </c>
      <c r="H198" s="197">
        <f>EITC!E201</f>
        <v>0</v>
      </c>
      <c r="I198" s="205">
        <f>Medicaid!N205*12</f>
        <v>0</v>
      </c>
      <c r="K198" s="185">
        <f t="shared" si="14"/>
        <v>0</v>
      </c>
      <c r="L198" s="185">
        <f t="shared" si="15"/>
        <v>98000</v>
      </c>
      <c r="M198" s="36">
        <f t="shared" si="13"/>
        <v>8166.666666666667</v>
      </c>
    </row>
    <row r="199" spans="1:13" x14ac:dyDescent="0.25">
      <c r="A199" s="186">
        <v>98500</v>
      </c>
      <c r="B199" s="33">
        <f t="shared" si="12"/>
        <v>8208.3333333333339</v>
      </c>
      <c r="C199" s="185">
        <f>'Child care subsidy'!S202*12</f>
        <v>0</v>
      </c>
      <c r="D199" s="185">
        <f>MAX('TANF-VIEW'!L206,'TANF-VIEW'!T206)*12</f>
        <v>0</v>
      </c>
      <c r="E199" s="193">
        <f>SNAP!V203*12</f>
        <v>0</v>
      </c>
      <c r="F199" s="184">
        <f>WIC!F205*12</f>
        <v>0</v>
      </c>
      <c r="G199" s="185">
        <f>'Housing Voucher'!Q203*12</f>
        <v>0</v>
      </c>
      <c r="H199" s="197">
        <f>EITC!E202</f>
        <v>0</v>
      </c>
      <c r="I199" s="205">
        <f>Medicaid!N206*12</f>
        <v>0</v>
      </c>
      <c r="K199" s="185">
        <f t="shared" si="14"/>
        <v>0</v>
      </c>
      <c r="L199" s="185">
        <f t="shared" si="15"/>
        <v>98500</v>
      </c>
      <c r="M199" s="36">
        <f t="shared" si="13"/>
        <v>8208.3333333333339</v>
      </c>
    </row>
    <row r="200" spans="1:13" x14ac:dyDescent="0.25">
      <c r="A200" s="186">
        <v>99000</v>
      </c>
      <c r="B200" s="33">
        <f t="shared" si="12"/>
        <v>8250</v>
      </c>
      <c r="C200" s="185">
        <f>'Child care subsidy'!S203*12</f>
        <v>0</v>
      </c>
      <c r="D200" s="185">
        <f>MAX('TANF-VIEW'!L207,'TANF-VIEW'!T207)*12</f>
        <v>0</v>
      </c>
      <c r="E200" s="193">
        <f>SNAP!V204*12</f>
        <v>0</v>
      </c>
      <c r="F200" s="184">
        <f>WIC!F206*12</f>
        <v>0</v>
      </c>
      <c r="G200" s="185">
        <f>'Housing Voucher'!Q204*12</f>
        <v>0</v>
      </c>
      <c r="H200" s="197">
        <f>EITC!E203</f>
        <v>0</v>
      </c>
      <c r="I200" s="205">
        <f>Medicaid!N207*12</f>
        <v>0</v>
      </c>
      <c r="K200" s="185">
        <f t="shared" si="14"/>
        <v>0</v>
      </c>
      <c r="L200" s="185">
        <f t="shared" si="15"/>
        <v>99000</v>
      </c>
      <c r="M200" s="36">
        <f t="shared" si="13"/>
        <v>8250</v>
      </c>
    </row>
    <row r="201" spans="1:13" x14ac:dyDescent="0.25">
      <c r="A201" s="186">
        <v>99500</v>
      </c>
      <c r="B201" s="33">
        <f t="shared" si="12"/>
        <v>8291.6666666666661</v>
      </c>
      <c r="C201" s="185">
        <f>'Child care subsidy'!S204*12</f>
        <v>0</v>
      </c>
      <c r="D201" s="185">
        <f>MAX('TANF-VIEW'!L208,'TANF-VIEW'!T208)*12</f>
        <v>0</v>
      </c>
      <c r="E201" s="193">
        <f>SNAP!V205*12</f>
        <v>0</v>
      </c>
      <c r="F201" s="184">
        <f>WIC!F207*12</f>
        <v>0</v>
      </c>
      <c r="G201" s="185">
        <f>'Housing Voucher'!Q205*12</f>
        <v>0</v>
      </c>
      <c r="H201" s="197">
        <f>EITC!E204</f>
        <v>0</v>
      </c>
      <c r="I201" s="205">
        <f>Medicaid!N208*12</f>
        <v>0</v>
      </c>
      <c r="K201" s="185">
        <f t="shared" si="14"/>
        <v>0</v>
      </c>
      <c r="L201" s="185">
        <f t="shared" si="15"/>
        <v>99500</v>
      </c>
      <c r="M201" s="36">
        <f t="shared" si="13"/>
        <v>8291.6666666666661</v>
      </c>
    </row>
    <row r="202" spans="1:13" x14ac:dyDescent="0.25">
      <c r="A202" s="186">
        <v>100000</v>
      </c>
      <c r="B202" s="33">
        <f t="shared" si="12"/>
        <v>8333.3333333333339</v>
      </c>
      <c r="C202" s="185">
        <f>'Child care subsidy'!S205*12</f>
        <v>0</v>
      </c>
      <c r="D202" s="185">
        <f>MAX('TANF-VIEW'!L209,'TANF-VIEW'!T209)*12</f>
        <v>0</v>
      </c>
      <c r="E202" s="193">
        <f>SNAP!V206*12</f>
        <v>0</v>
      </c>
      <c r="F202" s="184">
        <f>WIC!F208*12</f>
        <v>0</v>
      </c>
      <c r="G202" s="185">
        <f>'Housing Voucher'!Q206*12</f>
        <v>0</v>
      </c>
      <c r="H202" s="197">
        <f>EITC!E205</f>
        <v>0</v>
      </c>
      <c r="I202" s="205">
        <f>Medicaid!N209*12</f>
        <v>0</v>
      </c>
      <c r="K202" s="185">
        <f t="shared" si="14"/>
        <v>0</v>
      </c>
      <c r="L202" s="185">
        <f t="shared" si="15"/>
        <v>100000</v>
      </c>
      <c r="M202" s="36">
        <f t="shared" si="13"/>
        <v>8333.3333333333339</v>
      </c>
    </row>
  </sheetData>
  <sheetProtection algorithmName="SHA-512" hashValue="+0V+8xanDWi320MWVzTzWpO0ZKMd3eohFawaZ6VfqL/fq5iEK4dnYrl2Aho+pMUhZCeDp93RUOO2SjIrRDqzkA==" saltValue="bm7R9ZyFSqy7NdeUj6kZQw==" spinCount="100000" sheet="1" objects="1" scenarios="1"/>
  <pageMargins left="0.7" right="0.7" top="0.75" bottom="0.75" header="0.3" footer="0.3"/>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5C7E7FE-348E-4D16-9731-6595CF5E601A}">
  <sheetPr codeName="Sheet31"/>
  <dimension ref="A1:G134"/>
  <sheetViews>
    <sheetView workbookViewId="0">
      <selection activeCell="D12" sqref="D12"/>
    </sheetView>
  </sheetViews>
  <sheetFormatPr defaultRowHeight="15" x14ac:dyDescent="0.25"/>
  <cols>
    <col min="1" max="1" width="33" customWidth="1"/>
    <col min="2" max="2" width="19" customWidth="1"/>
    <col min="5" max="5" width="17.5703125" customWidth="1"/>
  </cols>
  <sheetData>
    <row r="1" spans="1:7" x14ac:dyDescent="0.25">
      <c r="A1" s="27" t="s">
        <v>115</v>
      </c>
      <c r="B1" s="27" t="s">
        <v>116</v>
      </c>
      <c r="E1" s="27" t="s">
        <v>117</v>
      </c>
      <c r="G1" s="27" t="s">
        <v>118</v>
      </c>
    </row>
    <row r="2" spans="1:7" x14ac:dyDescent="0.25">
      <c r="A2" t="s">
        <v>119</v>
      </c>
      <c r="B2" t="s">
        <v>88</v>
      </c>
      <c r="E2" t="s">
        <v>120</v>
      </c>
      <c r="G2" t="s">
        <v>620</v>
      </c>
    </row>
    <row r="3" spans="1:7" x14ac:dyDescent="0.25">
      <c r="A3" t="s">
        <v>121</v>
      </c>
      <c r="B3" t="s">
        <v>122</v>
      </c>
      <c r="E3" t="s">
        <v>123</v>
      </c>
      <c r="G3" t="s">
        <v>679</v>
      </c>
    </row>
    <row r="4" spans="1:7" x14ac:dyDescent="0.25">
      <c r="A4" s="88" t="s">
        <v>26</v>
      </c>
      <c r="B4" t="s">
        <v>124</v>
      </c>
      <c r="E4" t="s">
        <v>125</v>
      </c>
    </row>
    <row r="5" spans="1:7" x14ac:dyDescent="0.25">
      <c r="A5" t="s">
        <v>126</v>
      </c>
      <c r="B5" t="s">
        <v>127</v>
      </c>
      <c r="E5" t="s">
        <v>128</v>
      </c>
    </row>
    <row r="6" spans="1:7" x14ac:dyDescent="0.25">
      <c r="A6" t="s">
        <v>129</v>
      </c>
      <c r="B6" t="s">
        <v>92</v>
      </c>
      <c r="E6" t="s">
        <v>51</v>
      </c>
    </row>
    <row r="7" spans="1:7" x14ac:dyDescent="0.25">
      <c r="A7" t="s">
        <v>130</v>
      </c>
      <c r="B7" t="s">
        <v>93</v>
      </c>
      <c r="E7" t="s">
        <v>131</v>
      </c>
      <c r="G7" t="s">
        <v>132</v>
      </c>
    </row>
    <row r="8" spans="1:7" x14ac:dyDescent="0.25">
      <c r="A8" t="s">
        <v>133</v>
      </c>
      <c r="B8" t="s">
        <v>94</v>
      </c>
      <c r="E8" s="24" t="s">
        <v>134</v>
      </c>
    </row>
    <row r="9" spans="1:7" x14ac:dyDescent="0.25">
      <c r="A9" t="s">
        <v>135</v>
      </c>
      <c r="B9" t="s">
        <v>95</v>
      </c>
      <c r="G9" s="27" t="s">
        <v>136</v>
      </c>
    </row>
    <row r="10" spans="1:7" x14ac:dyDescent="0.25">
      <c r="A10" t="s">
        <v>137</v>
      </c>
      <c r="B10" t="s">
        <v>96</v>
      </c>
      <c r="E10" s="27" t="s">
        <v>138</v>
      </c>
      <c r="G10">
        <v>1</v>
      </c>
    </row>
    <row r="11" spans="1:7" x14ac:dyDescent="0.25">
      <c r="A11" t="s">
        <v>139</v>
      </c>
      <c r="E11" t="s">
        <v>140</v>
      </c>
      <c r="G11">
        <v>2</v>
      </c>
    </row>
    <row r="12" spans="1:7" x14ac:dyDescent="0.25">
      <c r="A12" t="s">
        <v>141</v>
      </c>
      <c r="B12" s="27" t="s">
        <v>142</v>
      </c>
      <c r="E12" t="s">
        <v>143</v>
      </c>
      <c r="G12">
        <v>3</v>
      </c>
    </row>
    <row r="13" spans="1:7" x14ac:dyDescent="0.25">
      <c r="A13" t="s">
        <v>144</v>
      </c>
      <c r="B13" t="s">
        <v>67</v>
      </c>
      <c r="G13">
        <v>4</v>
      </c>
    </row>
    <row r="14" spans="1:7" x14ac:dyDescent="0.25">
      <c r="A14" t="s">
        <v>145</v>
      </c>
      <c r="B14" t="s">
        <v>62</v>
      </c>
    </row>
    <row r="15" spans="1:7" x14ac:dyDescent="0.25">
      <c r="A15" t="s">
        <v>146</v>
      </c>
      <c r="E15" s="27" t="s">
        <v>147</v>
      </c>
    </row>
    <row r="16" spans="1:7" x14ac:dyDescent="0.25">
      <c r="A16" t="s">
        <v>148</v>
      </c>
      <c r="E16" t="s">
        <v>149</v>
      </c>
    </row>
    <row r="17" spans="1:5" x14ac:dyDescent="0.25">
      <c r="A17" t="s">
        <v>150</v>
      </c>
      <c r="E17" t="s">
        <v>151</v>
      </c>
    </row>
    <row r="18" spans="1:5" x14ac:dyDescent="0.25">
      <c r="A18" t="s">
        <v>152</v>
      </c>
      <c r="B18" s="55" t="s">
        <v>153</v>
      </c>
      <c r="E18" t="s">
        <v>154</v>
      </c>
    </row>
    <row r="19" spans="1:5" x14ac:dyDescent="0.25">
      <c r="A19" t="s">
        <v>155</v>
      </c>
      <c r="B19" s="66">
        <v>0</v>
      </c>
      <c r="E19" t="s">
        <v>62</v>
      </c>
    </row>
    <row r="20" spans="1:5" ht="15.75" x14ac:dyDescent="0.25">
      <c r="A20" t="s">
        <v>156</v>
      </c>
      <c r="B20" s="56">
        <v>1000</v>
      </c>
    </row>
    <row r="21" spans="1:5" ht="15.75" x14ac:dyDescent="0.25">
      <c r="A21" t="s">
        <v>157</v>
      </c>
      <c r="B21" s="56">
        <v>2000</v>
      </c>
    </row>
    <row r="22" spans="1:5" ht="15.75" x14ac:dyDescent="0.25">
      <c r="A22" t="s">
        <v>158</v>
      </c>
      <c r="B22" s="56">
        <v>3000</v>
      </c>
      <c r="E22" s="27" t="s">
        <v>672</v>
      </c>
    </row>
    <row r="23" spans="1:5" ht="15.75" x14ac:dyDescent="0.25">
      <c r="A23" t="s">
        <v>159</v>
      </c>
      <c r="B23" s="56">
        <v>4000</v>
      </c>
      <c r="E23" t="s">
        <v>676</v>
      </c>
    </row>
    <row r="24" spans="1:5" ht="15.75" x14ac:dyDescent="0.25">
      <c r="A24" t="s">
        <v>160</v>
      </c>
      <c r="B24" s="56">
        <v>5000</v>
      </c>
      <c r="E24" t="s">
        <v>673</v>
      </c>
    </row>
    <row r="25" spans="1:5" ht="15.75" x14ac:dyDescent="0.25">
      <c r="A25" s="88" t="s">
        <v>161</v>
      </c>
      <c r="B25" s="56">
        <v>6000</v>
      </c>
    </row>
    <row r="26" spans="1:5" ht="15.75" x14ac:dyDescent="0.25">
      <c r="A26" s="26" t="s">
        <v>162</v>
      </c>
      <c r="B26" s="56">
        <v>7000</v>
      </c>
    </row>
    <row r="27" spans="1:5" ht="15.75" x14ac:dyDescent="0.25">
      <c r="A27" s="26" t="s">
        <v>163</v>
      </c>
      <c r="B27" s="56">
        <v>8000</v>
      </c>
    </row>
    <row r="28" spans="1:5" ht="15.75" x14ac:dyDescent="0.25">
      <c r="A28" t="s">
        <v>164</v>
      </c>
      <c r="B28" s="56">
        <v>9000</v>
      </c>
    </row>
    <row r="29" spans="1:5" ht="15.75" x14ac:dyDescent="0.25">
      <c r="A29" t="s">
        <v>165</v>
      </c>
      <c r="B29" s="56">
        <v>10000</v>
      </c>
    </row>
    <row r="30" spans="1:5" ht="15.75" x14ac:dyDescent="0.25">
      <c r="A30" t="s">
        <v>166</v>
      </c>
      <c r="B30" s="56">
        <v>11000</v>
      </c>
    </row>
    <row r="31" spans="1:5" ht="15.75" x14ac:dyDescent="0.25">
      <c r="A31" t="s">
        <v>167</v>
      </c>
      <c r="B31" s="56">
        <v>12000</v>
      </c>
    </row>
    <row r="32" spans="1:5" ht="15.75" x14ac:dyDescent="0.25">
      <c r="A32" t="s">
        <v>168</v>
      </c>
      <c r="B32" s="56">
        <v>13000</v>
      </c>
    </row>
    <row r="33" spans="1:2" ht="15.75" x14ac:dyDescent="0.25">
      <c r="A33" t="s">
        <v>169</v>
      </c>
      <c r="B33" s="56">
        <v>14000</v>
      </c>
    </row>
    <row r="34" spans="1:2" ht="15.75" x14ac:dyDescent="0.25">
      <c r="A34" t="s">
        <v>170</v>
      </c>
      <c r="B34" s="56">
        <v>15000</v>
      </c>
    </row>
    <row r="35" spans="1:2" ht="15.75" x14ac:dyDescent="0.25">
      <c r="A35" t="s">
        <v>171</v>
      </c>
      <c r="B35" s="56">
        <v>16000</v>
      </c>
    </row>
    <row r="36" spans="1:2" ht="15.75" x14ac:dyDescent="0.25">
      <c r="A36" t="s">
        <v>172</v>
      </c>
      <c r="B36" s="56">
        <v>17000</v>
      </c>
    </row>
    <row r="37" spans="1:2" ht="15.75" x14ac:dyDescent="0.25">
      <c r="A37" t="s">
        <v>173</v>
      </c>
      <c r="B37" s="56">
        <v>18000</v>
      </c>
    </row>
    <row r="38" spans="1:2" ht="15.75" x14ac:dyDescent="0.25">
      <c r="A38" t="s">
        <v>174</v>
      </c>
      <c r="B38" s="56">
        <v>19000</v>
      </c>
    </row>
    <row r="39" spans="1:2" ht="15.75" x14ac:dyDescent="0.25">
      <c r="A39" s="88" t="s">
        <v>175</v>
      </c>
      <c r="B39" s="56">
        <v>20000</v>
      </c>
    </row>
    <row r="40" spans="1:2" ht="15.75" x14ac:dyDescent="0.25">
      <c r="A40" t="s">
        <v>176</v>
      </c>
      <c r="B40" s="56">
        <v>21000</v>
      </c>
    </row>
    <row r="41" spans="1:2" ht="15.75" x14ac:dyDescent="0.25">
      <c r="A41" s="88" t="s">
        <v>177</v>
      </c>
      <c r="B41" s="56">
        <v>22000</v>
      </c>
    </row>
    <row r="42" spans="1:2" ht="15.75" x14ac:dyDescent="0.25">
      <c r="A42" s="88" t="s">
        <v>178</v>
      </c>
      <c r="B42" s="56">
        <v>23000</v>
      </c>
    </row>
    <row r="43" spans="1:2" ht="15.75" x14ac:dyDescent="0.25">
      <c r="A43" s="88" t="s">
        <v>179</v>
      </c>
      <c r="B43" s="56">
        <v>24000</v>
      </c>
    </row>
    <row r="44" spans="1:2" ht="15.75" x14ac:dyDescent="0.25">
      <c r="A44" s="88" t="s">
        <v>180</v>
      </c>
      <c r="B44" s="56">
        <v>25000</v>
      </c>
    </row>
    <row r="45" spans="1:2" ht="15.75" x14ac:dyDescent="0.25">
      <c r="A45" s="88" t="s">
        <v>181</v>
      </c>
      <c r="B45" s="56">
        <v>26000</v>
      </c>
    </row>
    <row r="46" spans="1:2" ht="15.75" x14ac:dyDescent="0.25">
      <c r="A46" s="88" t="s">
        <v>182</v>
      </c>
      <c r="B46" s="56">
        <v>27000</v>
      </c>
    </row>
    <row r="47" spans="1:2" ht="15.75" x14ac:dyDescent="0.25">
      <c r="A47" t="s">
        <v>183</v>
      </c>
      <c r="B47" s="56">
        <v>28000</v>
      </c>
    </row>
    <row r="48" spans="1:2" ht="15.75" x14ac:dyDescent="0.25">
      <c r="A48" s="88" t="s">
        <v>184</v>
      </c>
      <c r="B48" s="56">
        <v>29000</v>
      </c>
    </row>
    <row r="49" spans="1:2" ht="15.75" x14ac:dyDescent="0.25">
      <c r="A49" s="88" t="s">
        <v>185</v>
      </c>
      <c r="B49" s="56">
        <v>30000</v>
      </c>
    </row>
    <row r="50" spans="1:2" ht="15.75" x14ac:dyDescent="0.25">
      <c r="A50" s="88" t="s">
        <v>186</v>
      </c>
      <c r="B50" s="56">
        <v>31000</v>
      </c>
    </row>
    <row r="51" spans="1:2" ht="15.75" x14ac:dyDescent="0.25">
      <c r="A51" s="88" t="s">
        <v>187</v>
      </c>
      <c r="B51" s="56">
        <v>32000</v>
      </c>
    </row>
    <row r="52" spans="1:2" ht="15.75" x14ac:dyDescent="0.25">
      <c r="A52" s="88" t="s">
        <v>188</v>
      </c>
      <c r="B52" s="56">
        <v>33000</v>
      </c>
    </row>
    <row r="53" spans="1:2" ht="15.75" x14ac:dyDescent="0.25">
      <c r="A53" s="88" t="s">
        <v>189</v>
      </c>
      <c r="B53" s="56">
        <v>34000</v>
      </c>
    </row>
    <row r="54" spans="1:2" ht="15.75" x14ac:dyDescent="0.25">
      <c r="A54" s="88" t="s">
        <v>190</v>
      </c>
      <c r="B54" s="56">
        <v>35000</v>
      </c>
    </row>
    <row r="55" spans="1:2" ht="15.75" x14ac:dyDescent="0.25">
      <c r="A55" s="88" t="s">
        <v>191</v>
      </c>
      <c r="B55" s="56">
        <v>36000</v>
      </c>
    </row>
    <row r="56" spans="1:2" ht="15.75" x14ac:dyDescent="0.25">
      <c r="A56" s="88" t="s">
        <v>192</v>
      </c>
      <c r="B56" s="56">
        <v>37000</v>
      </c>
    </row>
    <row r="57" spans="1:2" ht="15.75" x14ac:dyDescent="0.25">
      <c r="A57" s="88" t="s">
        <v>193</v>
      </c>
      <c r="B57" s="56">
        <v>38000</v>
      </c>
    </row>
    <row r="58" spans="1:2" ht="15.75" x14ac:dyDescent="0.25">
      <c r="A58" s="26" t="s">
        <v>194</v>
      </c>
      <c r="B58" s="56">
        <v>39000</v>
      </c>
    </row>
    <row r="59" spans="1:2" ht="15.75" x14ac:dyDescent="0.25">
      <c r="A59" s="88" t="s">
        <v>195</v>
      </c>
      <c r="B59" s="56">
        <v>40000</v>
      </c>
    </row>
    <row r="60" spans="1:2" ht="15.75" x14ac:dyDescent="0.25">
      <c r="A60" s="88" t="s">
        <v>196</v>
      </c>
      <c r="B60" s="56">
        <v>41000</v>
      </c>
    </row>
    <row r="61" spans="1:2" ht="15.75" x14ac:dyDescent="0.25">
      <c r="A61" s="88" t="s">
        <v>197</v>
      </c>
      <c r="B61" s="56">
        <v>42000</v>
      </c>
    </row>
    <row r="62" spans="1:2" ht="15.75" x14ac:dyDescent="0.25">
      <c r="A62" s="88" t="s">
        <v>198</v>
      </c>
      <c r="B62" s="56">
        <v>43000</v>
      </c>
    </row>
    <row r="63" spans="1:2" ht="15.75" x14ac:dyDescent="0.25">
      <c r="A63" s="88" t="s">
        <v>199</v>
      </c>
      <c r="B63" s="56">
        <v>44000</v>
      </c>
    </row>
    <row r="64" spans="1:2" ht="15.75" x14ac:dyDescent="0.25">
      <c r="A64" s="88" t="s">
        <v>200</v>
      </c>
      <c r="B64" s="56">
        <v>45000</v>
      </c>
    </row>
    <row r="65" spans="1:2" ht="15.75" x14ac:dyDescent="0.25">
      <c r="A65" s="88" t="s">
        <v>201</v>
      </c>
      <c r="B65" s="56">
        <v>46000</v>
      </c>
    </row>
    <row r="66" spans="1:2" ht="15.75" x14ac:dyDescent="0.25">
      <c r="A66" s="88" t="s">
        <v>202</v>
      </c>
      <c r="B66" s="56">
        <v>47000</v>
      </c>
    </row>
    <row r="67" spans="1:2" ht="15.75" x14ac:dyDescent="0.25">
      <c r="A67" s="88" t="s">
        <v>203</v>
      </c>
      <c r="B67" s="56">
        <v>48000</v>
      </c>
    </row>
    <row r="68" spans="1:2" ht="15.75" x14ac:dyDescent="0.25">
      <c r="A68" s="88" t="s">
        <v>204</v>
      </c>
      <c r="B68" s="56">
        <v>49000</v>
      </c>
    </row>
    <row r="69" spans="1:2" ht="15.75" x14ac:dyDescent="0.25">
      <c r="A69" s="88" t="s">
        <v>205</v>
      </c>
      <c r="B69" s="56">
        <v>50000</v>
      </c>
    </row>
    <row r="70" spans="1:2" ht="15.75" x14ac:dyDescent="0.25">
      <c r="A70" s="88" t="s">
        <v>206</v>
      </c>
      <c r="B70" s="56">
        <v>51000</v>
      </c>
    </row>
    <row r="71" spans="1:2" ht="15.75" x14ac:dyDescent="0.25">
      <c r="A71" s="88" t="s">
        <v>207</v>
      </c>
      <c r="B71" s="56">
        <v>52000</v>
      </c>
    </row>
    <row r="72" spans="1:2" ht="15.75" x14ac:dyDescent="0.25">
      <c r="A72" s="88" t="s">
        <v>208</v>
      </c>
      <c r="B72" s="56">
        <v>53000</v>
      </c>
    </row>
    <row r="73" spans="1:2" ht="15.75" x14ac:dyDescent="0.25">
      <c r="A73" s="88" t="s">
        <v>209</v>
      </c>
      <c r="B73" s="56">
        <v>54000</v>
      </c>
    </row>
    <row r="74" spans="1:2" ht="15.75" x14ac:dyDescent="0.25">
      <c r="A74" s="88" t="s">
        <v>210</v>
      </c>
      <c r="B74" s="56">
        <v>55000</v>
      </c>
    </row>
    <row r="75" spans="1:2" ht="15.75" x14ac:dyDescent="0.25">
      <c r="A75" s="88" t="s">
        <v>211</v>
      </c>
      <c r="B75" s="56">
        <v>56000</v>
      </c>
    </row>
    <row r="76" spans="1:2" ht="15.75" x14ac:dyDescent="0.25">
      <c r="A76" s="88" t="s">
        <v>212</v>
      </c>
      <c r="B76" s="56">
        <v>57000</v>
      </c>
    </row>
    <row r="77" spans="1:2" ht="15.75" x14ac:dyDescent="0.25">
      <c r="A77" s="88" t="s">
        <v>213</v>
      </c>
      <c r="B77" s="56">
        <v>58000</v>
      </c>
    </row>
    <row r="78" spans="1:2" ht="15.75" x14ac:dyDescent="0.25">
      <c r="A78" s="88" t="s">
        <v>214</v>
      </c>
      <c r="B78" s="56">
        <v>59000</v>
      </c>
    </row>
    <row r="79" spans="1:2" ht="15.75" x14ac:dyDescent="0.25">
      <c r="A79" s="88" t="s">
        <v>215</v>
      </c>
      <c r="B79" s="56">
        <v>60000</v>
      </c>
    </row>
    <row r="80" spans="1:2" ht="15.75" x14ac:dyDescent="0.25">
      <c r="A80" s="88" t="s">
        <v>216</v>
      </c>
      <c r="B80" s="56">
        <v>61000</v>
      </c>
    </row>
    <row r="81" spans="1:2" ht="15.75" x14ac:dyDescent="0.25">
      <c r="A81" s="88" t="s">
        <v>217</v>
      </c>
      <c r="B81" s="56">
        <v>62000</v>
      </c>
    </row>
    <row r="82" spans="1:2" ht="15.75" x14ac:dyDescent="0.25">
      <c r="A82" s="88" t="s">
        <v>218</v>
      </c>
      <c r="B82" s="56">
        <v>63000</v>
      </c>
    </row>
    <row r="83" spans="1:2" ht="15.75" x14ac:dyDescent="0.25">
      <c r="A83" s="88" t="s">
        <v>219</v>
      </c>
      <c r="B83" s="56">
        <v>64000</v>
      </c>
    </row>
    <row r="84" spans="1:2" ht="15.75" x14ac:dyDescent="0.25">
      <c r="A84" s="88" t="s">
        <v>220</v>
      </c>
      <c r="B84" s="56">
        <v>65000</v>
      </c>
    </row>
    <row r="85" spans="1:2" ht="15.75" x14ac:dyDescent="0.25">
      <c r="A85" s="88" t="s">
        <v>221</v>
      </c>
      <c r="B85" s="56">
        <v>66000</v>
      </c>
    </row>
    <row r="86" spans="1:2" ht="15.75" x14ac:dyDescent="0.25">
      <c r="A86" s="26" t="s">
        <v>222</v>
      </c>
      <c r="B86" s="56">
        <v>67000</v>
      </c>
    </row>
    <row r="87" spans="1:2" ht="15.75" x14ac:dyDescent="0.25">
      <c r="A87" s="26" t="s">
        <v>223</v>
      </c>
      <c r="B87" s="56">
        <v>68000</v>
      </c>
    </row>
    <row r="88" spans="1:2" ht="15.75" x14ac:dyDescent="0.25">
      <c r="A88" s="88" t="s">
        <v>224</v>
      </c>
      <c r="B88" s="56">
        <v>69000</v>
      </c>
    </row>
    <row r="89" spans="1:2" ht="15.75" x14ac:dyDescent="0.25">
      <c r="A89" s="88" t="s">
        <v>225</v>
      </c>
      <c r="B89" s="56">
        <v>70000</v>
      </c>
    </row>
    <row r="90" spans="1:2" ht="15.75" x14ac:dyDescent="0.25">
      <c r="A90" s="88" t="s">
        <v>226</v>
      </c>
      <c r="B90" s="56">
        <v>71000</v>
      </c>
    </row>
    <row r="91" spans="1:2" ht="15.75" x14ac:dyDescent="0.25">
      <c r="A91" s="88" t="s">
        <v>227</v>
      </c>
      <c r="B91" s="56">
        <v>72000</v>
      </c>
    </row>
    <row r="92" spans="1:2" ht="15.75" x14ac:dyDescent="0.25">
      <c r="A92" s="88" t="s">
        <v>228</v>
      </c>
      <c r="B92" s="56">
        <v>73000</v>
      </c>
    </row>
    <row r="93" spans="1:2" ht="15.75" x14ac:dyDescent="0.25">
      <c r="A93" s="88" t="s">
        <v>229</v>
      </c>
      <c r="B93" s="56">
        <v>74000</v>
      </c>
    </row>
    <row r="94" spans="1:2" ht="15.75" x14ac:dyDescent="0.25">
      <c r="A94" s="88" t="s">
        <v>230</v>
      </c>
      <c r="B94" s="56">
        <v>75000</v>
      </c>
    </row>
    <row r="95" spans="1:2" ht="15.75" x14ac:dyDescent="0.25">
      <c r="A95" s="88" t="s">
        <v>231</v>
      </c>
      <c r="B95" s="56">
        <v>76000</v>
      </c>
    </row>
    <row r="96" spans="1:2" ht="15.75" x14ac:dyDescent="0.25">
      <c r="A96" s="88" t="s">
        <v>232</v>
      </c>
      <c r="B96" s="56">
        <v>77000</v>
      </c>
    </row>
    <row r="97" spans="1:2" ht="15.75" x14ac:dyDescent="0.25">
      <c r="A97" s="88" t="s">
        <v>233</v>
      </c>
      <c r="B97" s="56">
        <v>78000</v>
      </c>
    </row>
    <row r="98" spans="1:2" ht="15.75" x14ac:dyDescent="0.25">
      <c r="A98" s="88" t="s">
        <v>234</v>
      </c>
      <c r="B98" s="56">
        <v>79000</v>
      </c>
    </row>
    <row r="99" spans="1:2" ht="15.75" x14ac:dyDescent="0.25">
      <c r="A99" s="88" t="s">
        <v>235</v>
      </c>
      <c r="B99" s="56">
        <v>80000</v>
      </c>
    </row>
    <row r="100" spans="1:2" ht="15.75" x14ac:dyDescent="0.25">
      <c r="A100" s="88" t="s">
        <v>236</v>
      </c>
      <c r="B100" s="56">
        <v>81000</v>
      </c>
    </row>
    <row r="101" spans="1:2" ht="15.75" x14ac:dyDescent="0.25">
      <c r="A101" s="88" t="s">
        <v>237</v>
      </c>
      <c r="B101" s="56">
        <v>82000</v>
      </c>
    </row>
    <row r="102" spans="1:2" ht="15.75" x14ac:dyDescent="0.25">
      <c r="A102" s="26" t="s">
        <v>238</v>
      </c>
      <c r="B102" s="56">
        <v>83000</v>
      </c>
    </row>
    <row r="103" spans="1:2" ht="15.75" x14ac:dyDescent="0.25">
      <c r="A103" s="88" t="s">
        <v>239</v>
      </c>
      <c r="B103" s="56">
        <v>84000</v>
      </c>
    </row>
    <row r="104" spans="1:2" ht="15.75" x14ac:dyDescent="0.25">
      <c r="A104" s="88" t="s">
        <v>240</v>
      </c>
      <c r="B104" s="56">
        <v>85000</v>
      </c>
    </row>
    <row r="105" spans="1:2" ht="15.75" x14ac:dyDescent="0.25">
      <c r="A105" s="88" t="s">
        <v>241</v>
      </c>
      <c r="B105" s="56">
        <v>86000</v>
      </c>
    </row>
    <row r="106" spans="1:2" ht="15.75" x14ac:dyDescent="0.25">
      <c r="A106" s="26" t="s">
        <v>242</v>
      </c>
      <c r="B106" s="56">
        <v>87000</v>
      </c>
    </row>
    <row r="107" spans="1:2" ht="15.75" x14ac:dyDescent="0.25">
      <c r="A107" s="26" t="s">
        <v>243</v>
      </c>
      <c r="B107" s="56">
        <v>88000</v>
      </c>
    </row>
    <row r="108" spans="1:2" ht="15.75" x14ac:dyDescent="0.25">
      <c r="A108" s="26" t="s">
        <v>244</v>
      </c>
      <c r="B108" s="56">
        <v>89000</v>
      </c>
    </row>
    <row r="109" spans="1:2" ht="15.75" x14ac:dyDescent="0.25">
      <c r="A109" s="26" t="s">
        <v>245</v>
      </c>
      <c r="B109" s="56">
        <v>90000</v>
      </c>
    </row>
    <row r="110" spans="1:2" ht="15.75" x14ac:dyDescent="0.25">
      <c r="A110" s="26" t="s">
        <v>246</v>
      </c>
      <c r="B110" s="56">
        <v>91000</v>
      </c>
    </row>
    <row r="111" spans="1:2" ht="15.75" x14ac:dyDescent="0.25">
      <c r="A111" s="88" t="s">
        <v>247</v>
      </c>
      <c r="B111" s="56">
        <v>92000</v>
      </c>
    </row>
    <row r="112" spans="1:2" ht="15.75" x14ac:dyDescent="0.25">
      <c r="A112" s="88" t="s">
        <v>248</v>
      </c>
      <c r="B112" s="56">
        <v>93000</v>
      </c>
    </row>
    <row r="113" spans="1:2" ht="15.75" x14ac:dyDescent="0.25">
      <c r="A113" s="88" t="s">
        <v>249</v>
      </c>
      <c r="B113" s="56">
        <v>94000</v>
      </c>
    </row>
    <row r="114" spans="1:2" ht="15.75" x14ac:dyDescent="0.25">
      <c r="A114" s="88" t="s">
        <v>250</v>
      </c>
      <c r="B114" s="56">
        <v>95000</v>
      </c>
    </row>
    <row r="115" spans="1:2" ht="15.75" x14ac:dyDescent="0.25">
      <c r="A115" s="26" t="s">
        <v>251</v>
      </c>
      <c r="B115" s="56">
        <v>96000</v>
      </c>
    </row>
    <row r="116" spans="1:2" ht="15.75" x14ac:dyDescent="0.25">
      <c r="A116" s="88" t="s">
        <v>252</v>
      </c>
      <c r="B116" s="56">
        <v>97000</v>
      </c>
    </row>
    <row r="117" spans="1:2" ht="15.75" x14ac:dyDescent="0.25">
      <c r="A117" s="88" t="s">
        <v>253</v>
      </c>
      <c r="B117" s="56">
        <v>98000</v>
      </c>
    </row>
    <row r="118" spans="1:2" ht="15.75" x14ac:dyDescent="0.25">
      <c r="A118" s="26" t="s">
        <v>254</v>
      </c>
      <c r="B118" s="56">
        <v>99000</v>
      </c>
    </row>
    <row r="119" spans="1:2" ht="15.75" x14ac:dyDescent="0.25">
      <c r="A119" s="26" t="s">
        <v>255</v>
      </c>
      <c r="B119" s="56">
        <v>100000</v>
      </c>
    </row>
    <row r="120" spans="1:2" x14ac:dyDescent="0.25">
      <c r="A120" s="88" t="s">
        <v>256</v>
      </c>
    </row>
    <row r="121" spans="1:2" x14ac:dyDescent="0.25">
      <c r="A121" s="26" t="s">
        <v>257</v>
      </c>
    </row>
    <row r="122" spans="1:2" x14ac:dyDescent="0.25">
      <c r="A122" s="88" t="s">
        <v>258</v>
      </c>
    </row>
    <row r="123" spans="1:2" x14ac:dyDescent="0.25">
      <c r="A123" s="88" t="s">
        <v>259</v>
      </c>
    </row>
    <row r="124" spans="1:2" x14ac:dyDescent="0.25">
      <c r="A124" s="88" t="s">
        <v>260</v>
      </c>
    </row>
    <row r="125" spans="1:2" x14ac:dyDescent="0.25">
      <c r="A125" s="88" t="s">
        <v>261</v>
      </c>
    </row>
    <row r="126" spans="1:2" x14ac:dyDescent="0.25">
      <c r="A126" s="88" t="s">
        <v>262</v>
      </c>
    </row>
    <row r="127" spans="1:2" x14ac:dyDescent="0.25">
      <c r="A127" s="26" t="s">
        <v>263</v>
      </c>
    </row>
    <row r="128" spans="1:2" x14ac:dyDescent="0.25">
      <c r="A128" s="88" t="s">
        <v>264</v>
      </c>
    </row>
    <row r="129" spans="1:1" x14ac:dyDescent="0.25">
      <c r="A129" s="88" t="s">
        <v>265</v>
      </c>
    </row>
    <row r="130" spans="1:1" x14ac:dyDescent="0.25">
      <c r="A130" s="88" t="s">
        <v>266</v>
      </c>
    </row>
    <row r="131" spans="1:1" x14ac:dyDescent="0.25">
      <c r="A131" s="88" t="s">
        <v>267</v>
      </c>
    </row>
    <row r="132" spans="1:1" x14ac:dyDescent="0.25">
      <c r="A132" s="88" t="s">
        <v>268</v>
      </c>
    </row>
    <row r="133" spans="1:1" x14ac:dyDescent="0.25">
      <c r="A133" s="88" t="s">
        <v>269</v>
      </c>
    </row>
    <row r="134" spans="1:1" x14ac:dyDescent="0.25">
      <c r="A134" s="88" t="s">
        <v>270</v>
      </c>
    </row>
  </sheetData>
  <sortState xmlns:xlrd2="http://schemas.microsoft.com/office/spreadsheetml/2017/richdata2" ref="A2:A15">
    <sortCondition ref="A2:A15"/>
  </sortState>
  <pageMargins left="0.7" right="0.7" top="0.75" bottom="0.75" header="0.3" footer="0.3"/>
  <pageSetup orientation="portrait" r:id="rId1"/>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65045CD-FD1E-473C-9863-8EC2F29519C1}">
  <sheetPr codeName="Sheet4"/>
  <dimension ref="A1"/>
  <sheetViews>
    <sheetView showGridLines="0" zoomScale="30" zoomScaleNormal="30" workbookViewId="0">
      <selection activeCell="DJ60" sqref="DJ60"/>
    </sheetView>
  </sheetViews>
  <sheetFormatPr defaultRowHeight="15" x14ac:dyDescent="0.25"/>
  <sheetData/>
  <pageMargins left="0.7" right="0.7" top="0.75" bottom="0.75" header="0.3" footer="0.3"/>
  <drawing r:id="rId1"/>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9C9F6A9-7D68-422E-8619-C6717730AF53}">
  <sheetPr codeName="Sheet13"/>
  <dimension ref="A1:S211"/>
  <sheetViews>
    <sheetView zoomScaleNormal="100" workbookViewId="0">
      <pane xSplit="1" ySplit="4" topLeftCell="B197" activePane="bottomRight" state="frozen"/>
      <selection pane="topRight" activeCell="B1" sqref="B1"/>
      <selection pane="bottomLeft" activeCell="A5" sqref="A5"/>
      <selection pane="bottomRight" activeCell="J208" sqref="J208"/>
    </sheetView>
  </sheetViews>
  <sheetFormatPr defaultRowHeight="15" x14ac:dyDescent="0.25"/>
  <cols>
    <col min="1" max="2" width="21.85546875" style="7" customWidth="1"/>
    <col min="3" max="3" width="17" style="64" customWidth="1"/>
    <col min="4" max="4" width="19.140625" style="12" customWidth="1"/>
    <col min="5" max="5" width="16.28515625" style="7" customWidth="1"/>
    <col min="6" max="6" width="16" style="7" customWidth="1"/>
    <col min="7" max="7" width="20.5703125" style="7" customWidth="1"/>
    <col min="8" max="8" width="21.140625" style="7" customWidth="1"/>
    <col min="9" max="9" width="19" style="7" customWidth="1"/>
    <col min="10" max="10" width="17.140625" style="7" customWidth="1"/>
    <col min="11" max="11" width="16.28515625" customWidth="1"/>
    <col min="12" max="12" width="13.5703125" customWidth="1"/>
    <col min="13" max="13" width="13.7109375" customWidth="1"/>
    <col min="14" max="14" width="15.42578125" customWidth="1"/>
    <col min="15" max="15" width="14.85546875" customWidth="1"/>
    <col min="16" max="16" width="20.140625" style="29" customWidth="1"/>
    <col min="17" max="17" width="21.85546875" customWidth="1"/>
    <col min="18" max="18" width="12.7109375" customWidth="1"/>
    <col min="19" max="19" width="40.5703125" customWidth="1"/>
  </cols>
  <sheetData>
    <row r="1" spans="1:19" ht="60" customHeight="1" x14ac:dyDescent="0.25">
      <c r="A1" s="85" t="s">
        <v>271</v>
      </c>
      <c r="B1" s="78" t="s">
        <v>272</v>
      </c>
      <c r="C1" s="102" t="s">
        <v>273</v>
      </c>
      <c r="D1" s="102" t="s">
        <v>274</v>
      </c>
      <c r="E1" s="102" t="s">
        <v>275</v>
      </c>
      <c r="F1" s="102" t="s">
        <v>276</v>
      </c>
      <c r="G1" s="102" t="s">
        <v>277</v>
      </c>
      <c r="H1" s="102" t="s">
        <v>278</v>
      </c>
      <c r="J1" s="99" t="s">
        <v>279</v>
      </c>
      <c r="K1" s="441" t="s">
        <v>280</v>
      </c>
      <c r="L1" s="441"/>
      <c r="M1" s="102" t="s">
        <v>281</v>
      </c>
      <c r="N1" s="103" t="s">
        <v>282</v>
      </c>
      <c r="O1" s="29" t="s">
        <v>283</v>
      </c>
      <c r="P1"/>
      <c r="S1">
        <f>1344/20</f>
        <v>67.2</v>
      </c>
    </row>
    <row r="2" spans="1:19" x14ac:dyDescent="0.25">
      <c r="A2" s="78" t="str">
        <f>'Total income package'!B3</f>
        <v>Pittsylvania</v>
      </c>
      <c r="B2" s="77">
        <f>'Total income package'!B32</f>
        <v>2</v>
      </c>
      <c r="C2" s="77">
        <f>COUNTIF('Total income package'!$B$48:$B$54,"Infant")</f>
        <v>0</v>
      </c>
      <c r="D2" s="77">
        <f>COUNTIF('Total income package'!$B$48:$B$54,"Toddler")</f>
        <v>0</v>
      </c>
      <c r="E2" s="77">
        <f>COUNTIF('Total income package'!$B$48:$B$54,"Two year old")</f>
        <v>0</v>
      </c>
      <c r="F2" s="77">
        <f>COUNTIF('Total income package'!$B$48:$B$54,"Preschool")</f>
        <v>0</v>
      </c>
      <c r="G2" s="77">
        <f>COUNTIF('Total income package'!$B$48:$B$54,"School age")</f>
        <v>0</v>
      </c>
      <c r="H2" s="77">
        <f>COUNTIF('Total income package'!$B$48:$B$54,"13-18 years old")</f>
        <v>0</v>
      </c>
      <c r="J2" s="100">
        <f>VLOOKUP(B2,'Program specific data'!A5:C13,2)</f>
        <v>21640</v>
      </c>
      <c r="K2" s="442">
        <f>VLOOKUP(B2,'Program specific data'!A5:C13,3)</f>
        <v>1803.3333333333333</v>
      </c>
      <c r="L2" s="442"/>
      <c r="M2" s="78">
        <f>IF(A3=1,VLOOKUP(B2,'Program specific data'!A20:F27,3,FALSE),IF(A3=2,VLOOKUP(B2,'Program specific data'!A20:F27,4,FALSE),IF(A3=3,VLOOKUP(B2,'Program specific data'!A20:F27,5),IF(A3=4,VLOOKUP(B2,'Program specific data'!A20:F27,6,FALSE)))))</f>
        <v>2705</v>
      </c>
      <c r="N2" s="311">
        <f>VLOOKUP(B2,'Program specific data'!A20:B27,2)</f>
        <v>6455</v>
      </c>
      <c r="O2" s="29"/>
      <c r="P2"/>
      <c r="Q2" s="7"/>
    </row>
    <row r="3" spans="1:19" x14ac:dyDescent="0.25">
      <c r="A3" s="79">
        <f>VLOOKUP('Total income package'!B3,'Location specific data'!A3:AM135,39,FALSE)</f>
        <v>1</v>
      </c>
      <c r="F3" s="440" t="s">
        <v>284</v>
      </c>
      <c r="G3" s="440"/>
      <c r="H3" s="440"/>
      <c r="I3" s="440"/>
      <c r="J3" s="440"/>
      <c r="L3" s="7"/>
    </row>
    <row r="4" spans="1:19" s="104" customFormat="1" ht="99" customHeight="1" x14ac:dyDescent="0.25">
      <c r="A4" s="121" t="s">
        <v>104</v>
      </c>
      <c r="B4" s="121" t="s">
        <v>105</v>
      </c>
      <c r="C4" s="121" t="s">
        <v>285</v>
      </c>
      <c r="D4" s="121" t="s">
        <v>286</v>
      </c>
      <c r="E4" s="122" t="s">
        <v>287</v>
      </c>
      <c r="F4" s="122" t="s">
        <v>288</v>
      </c>
      <c r="G4" s="122" t="s">
        <v>289</v>
      </c>
      <c r="H4" s="123" t="s">
        <v>290</v>
      </c>
      <c r="I4" s="121" t="s">
        <v>291</v>
      </c>
      <c r="J4" s="121" t="s">
        <v>292</v>
      </c>
      <c r="K4" s="121" t="s">
        <v>293</v>
      </c>
      <c r="L4" s="121" t="s">
        <v>294</v>
      </c>
      <c r="M4" s="121" t="s">
        <v>295</v>
      </c>
      <c r="N4" s="121" t="s">
        <v>296</v>
      </c>
      <c r="O4" s="121" t="s">
        <v>297</v>
      </c>
      <c r="P4" s="123" t="s">
        <v>298</v>
      </c>
      <c r="Q4" s="123" t="s">
        <v>299</v>
      </c>
      <c r="R4" s="123" t="s">
        <v>300</v>
      </c>
      <c r="S4" s="187" t="s">
        <v>301</v>
      </c>
    </row>
    <row r="5" spans="1:19" s="14" customFormat="1" x14ac:dyDescent="0.25">
      <c r="A5" s="63">
        <v>0</v>
      </c>
      <c r="B5" s="7">
        <f>A5/12</f>
        <v>0</v>
      </c>
      <c r="C5" s="7">
        <f>'Total income package'!$D$80</f>
        <v>0</v>
      </c>
      <c r="D5" s="7">
        <f>B5+C5</f>
        <v>0</v>
      </c>
      <c r="E5" s="65">
        <f>D5/$K$2</f>
        <v>0</v>
      </c>
      <c r="F5" s="65" t="str">
        <f t="shared" ref="F5:F68" si="0">IF(AND(B5&lt;$N$2,SUM($C$2:$F$2)&gt;0),"Yes","No")</f>
        <v>No</v>
      </c>
      <c r="G5" s="65" t="str">
        <f t="shared" ref="G5:G68" si="1">IF(B5&lt;$M$2,"Yes","No")</f>
        <v>Yes</v>
      </c>
      <c r="H5" s="301" t="str">
        <f>IF(OR('TANF-VIEW'!L9&gt;0,'TANF-VIEW'!T9&gt;0),"Yes","No")</f>
        <v>Yes</v>
      </c>
      <c r="I5" s="63">
        <f>IF(B5&gt;=$N$2,0,IF(E5&gt;3.5,375*SUM($C$2:$H$2),IF(E5&gt;3,325*SUM($C$2:$H$2),IF(E5&gt;2.5,275*SUM($C$2:$H$2),IF(E5&gt;2,225*SUM($C$2:$H$2),IF(E5&gt;1.5,175*SUM($C$2:$H$2),IF(E5&gt;1,125*SUM($C$2:$H$2),IF(E5&gt;0,5*SUM($C$2:$H$2),0))))))))</f>
        <v>0</v>
      </c>
      <c r="J5" s="6">
        <f>(IF(B5&gt;$N$2,0,VLOOKUP('Total income package'!$B$3,'Location specific data'!$A$3:$AO$135,33,FALSE))*$C$2)*20</f>
        <v>0</v>
      </c>
      <c r="K5" s="6">
        <f>IF(B5&gt;$N$2,0,VLOOKUP('Total income package'!$B$3,'Location specific data'!$A$3:$AO$135,34,FALSE))*$D$2*20</f>
        <v>0</v>
      </c>
      <c r="L5" s="6">
        <f>IF(B5&gt;$N$2,0,VLOOKUP('Total income package'!$B$3,'Location specific data'!$A$3:$AO$135,35,FALSE))*$E$2*20</f>
        <v>0</v>
      </c>
      <c r="M5" s="6">
        <f>IF(B5&gt;$N$2,0,VLOOKUP('Total income package'!$B$3,'Location specific data'!$A$3:$AO$135,36,FALSE))*$F$2*20</f>
        <v>0</v>
      </c>
      <c r="N5" s="6">
        <f>IF(B5&gt;$N$2,0,VLOOKUP('Total income package'!$B$3,'Location specific data'!$A$3:$AO$135,37,FALSE))*($G$2+$H$2)*20</f>
        <v>0</v>
      </c>
      <c r="O5" s="6">
        <f t="shared" ref="O5:O68" si="2">I5*SUM($C$2:$H$2)</f>
        <v>0</v>
      </c>
      <c r="P5" s="312">
        <f t="shared" ref="P5:P36" si="3">B5*0.05</f>
        <v>0</v>
      </c>
      <c r="Q5" s="312">
        <f t="shared" ref="Q5:Q68" si="4">I5*3</f>
        <v>0</v>
      </c>
      <c r="R5" s="312">
        <f>IF(MIN(O5,P5)&lt;Q5,MIN(O5,P5),Q5)</f>
        <v>0</v>
      </c>
      <c r="S5" s="160">
        <f>IF(AND('Total income package'!$A$8=TRUE,OR(F5="Yes",G5="Yes",H5="Yes")),SUM(J5:N5)-R5,0)</f>
        <v>0</v>
      </c>
    </row>
    <row r="6" spans="1:19" s="14" customFormat="1" x14ac:dyDescent="0.25">
      <c r="A6" s="63">
        <v>500</v>
      </c>
      <c r="B6" s="7">
        <f t="shared" ref="B6:B69" si="5">A6/12</f>
        <v>41.666666666666664</v>
      </c>
      <c r="C6" s="7">
        <f>'Total income package'!$D$80</f>
        <v>0</v>
      </c>
      <c r="D6" s="7">
        <f t="shared" ref="D6:D69" si="6">B6+C6</f>
        <v>41.666666666666664</v>
      </c>
      <c r="E6" s="65">
        <f t="shared" ref="E6:E69" si="7">D6/$K$2</f>
        <v>2.3105360443622922E-2</v>
      </c>
      <c r="F6" s="65" t="str">
        <f t="shared" si="0"/>
        <v>No</v>
      </c>
      <c r="G6" s="65" t="str">
        <f t="shared" si="1"/>
        <v>Yes</v>
      </c>
      <c r="H6" s="301" t="str">
        <f>IF(OR('TANF-VIEW'!L10&gt;0,'TANF-VIEW'!T10&gt;0),"Yes","No")</f>
        <v>Yes</v>
      </c>
      <c r="I6" s="63">
        <f t="shared" ref="I6:I68" si="8">IF(B6&gt;=$N$2,0,IF(E6&gt;3.5,375*SUM($C$2:$H$2),IF(E6&gt;3,325*SUM($C$2:$H$2),IF(E6&gt;2.5,275*SUM($C$2:$H$2),IF(E6&gt;2,225*SUM($C$2:$H$2),IF(E6&gt;1.5,175*SUM($C$2:$H$2),IF(E6&gt;1,125*SUM($C$2:$H$2),IF(E6&gt;0,5*SUM($C$2:$H$2),0))))))))</f>
        <v>0</v>
      </c>
      <c r="J6" s="6">
        <f>(IF(B6&gt;$N$2,0,VLOOKUP('Total income package'!$B$3,'Location specific data'!$A$3:$AO$135,33,FALSE))*$C$2)*20</f>
        <v>0</v>
      </c>
      <c r="K6" s="6">
        <f>IF(B6&gt;$N$2,0,VLOOKUP('Total income package'!$B$3,'Location specific data'!$A$3:$AO$135,34,FALSE))*$D$2*20</f>
        <v>0</v>
      </c>
      <c r="L6" s="6">
        <f>IF(B6&gt;$N$2,0,VLOOKUP('Total income package'!$B$3,'Location specific data'!$A$3:$AO$135,35,FALSE))*$E$2*20</f>
        <v>0</v>
      </c>
      <c r="M6" s="6">
        <f>IF(B6&gt;$N$2,0,VLOOKUP('Total income package'!$B$3,'Location specific data'!$A$3:$AO$135,36,FALSE))*$F$2*20</f>
        <v>0</v>
      </c>
      <c r="N6" s="6">
        <f>IF(B6&gt;$N$2,0,VLOOKUP('Total income package'!$B$3,'Location specific data'!$A$3:$AO$135,37,FALSE))*($G$2+$H$2)*20</f>
        <v>0</v>
      </c>
      <c r="O6" s="6">
        <f t="shared" si="2"/>
        <v>0</v>
      </c>
      <c r="P6" s="312">
        <f t="shared" si="3"/>
        <v>2.0833333333333335</v>
      </c>
      <c r="Q6" s="312">
        <f t="shared" si="4"/>
        <v>0</v>
      </c>
      <c r="R6" s="312">
        <f t="shared" ref="R6:R69" si="9">IF(MIN(O6,P6)&lt;Q6,MIN(O6,P6),Q6)</f>
        <v>0</v>
      </c>
      <c r="S6" s="160">
        <f>IF(AND('Total income package'!$A$8=TRUE,OR(F6="Yes",G6="Yes",H6="Yes")),SUM(J6:N6)-R6,0)</f>
        <v>0</v>
      </c>
    </row>
    <row r="7" spans="1:19" s="5" customFormat="1" x14ac:dyDescent="0.25">
      <c r="A7" s="6">
        <v>1000</v>
      </c>
      <c r="B7" s="7">
        <f t="shared" si="5"/>
        <v>83.333333333333329</v>
      </c>
      <c r="C7" s="7">
        <f>'Total income package'!$D$80</f>
        <v>0</v>
      </c>
      <c r="D7" s="7">
        <f t="shared" si="6"/>
        <v>83.333333333333329</v>
      </c>
      <c r="E7" s="65">
        <f t="shared" si="7"/>
        <v>4.6210720887245843E-2</v>
      </c>
      <c r="F7" s="65" t="str">
        <f t="shared" si="0"/>
        <v>No</v>
      </c>
      <c r="G7" s="65" t="str">
        <f t="shared" si="1"/>
        <v>Yes</v>
      </c>
      <c r="H7" s="301" t="str">
        <f>IF(OR('TANF-VIEW'!L11&gt;0,'TANF-VIEW'!T11&gt;0),"Yes","No")</f>
        <v>Yes</v>
      </c>
      <c r="I7" s="63">
        <f t="shared" si="8"/>
        <v>0</v>
      </c>
      <c r="J7" s="6">
        <f>(IF(B7&gt;$N$2,0,VLOOKUP('Total income package'!$B$3,'Location specific data'!$A$3:$AO$135,33,FALSE))*$C$2)*20</f>
        <v>0</v>
      </c>
      <c r="K7" s="6">
        <f>IF(B7&gt;$N$2,0,VLOOKUP('Total income package'!$B$3,'Location specific data'!$A$3:$AO$135,34,FALSE))*$D$2*20</f>
        <v>0</v>
      </c>
      <c r="L7" s="6">
        <f>IF(B7&gt;$N$2,0,VLOOKUP('Total income package'!$B$3,'Location specific data'!$A$3:$AO$135,35,FALSE))*$E$2*20</f>
        <v>0</v>
      </c>
      <c r="M7" s="6">
        <f>IF(B7&gt;$N$2,0,VLOOKUP('Total income package'!$B$3,'Location specific data'!$A$3:$AO$135,36,FALSE))*$F$2*20</f>
        <v>0</v>
      </c>
      <c r="N7" s="6">
        <f>IF(B7&gt;$N$2,0,VLOOKUP('Total income package'!$B$3,'Location specific data'!$A$3:$AO$135,37,FALSE))*($G$2+$H$2)*20</f>
        <v>0</v>
      </c>
      <c r="O7" s="6">
        <f t="shared" si="2"/>
        <v>0</v>
      </c>
      <c r="P7" s="312">
        <f t="shared" si="3"/>
        <v>4.166666666666667</v>
      </c>
      <c r="Q7" s="312">
        <f t="shared" si="4"/>
        <v>0</v>
      </c>
      <c r="R7" s="312">
        <f t="shared" si="9"/>
        <v>0</v>
      </c>
      <c r="S7" s="160">
        <f>IF(AND('Total income package'!$A$8=TRUE,OR(F7="Yes",G7="Yes",H7="Yes")),SUM(J7:N7)-R7,0)</f>
        <v>0</v>
      </c>
    </row>
    <row r="8" spans="1:19" s="5" customFormat="1" x14ac:dyDescent="0.25">
      <c r="A8" s="6">
        <v>1500</v>
      </c>
      <c r="B8" s="7">
        <f t="shared" si="5"/>
        <v>125</v>
      </c>
      <c r="C8" s="7">
        <f>'Total income package'!$D$80</f>
        <v>0</v>
      </c>
      <c r="D8" s="7">
        <f t="shared" si="6"/>
        <v>125</v>
      </c>
      <c r="E8" s="65">
        <f t="shared" si="7"/>
        <v>6.9316081330868765E-2</v>
      </c>
      <c r="F8" s="65" t="str">
        <f t="shared" si="0"/>
        <v>No</v>
      </c>
      <c r="G8" s="65" t="str">
        <f t="shared" si="1"/>
        <v>Yes</v>
      </c>
      <c r="H8" s="301" t="str">
        <f>IF(OR('TANF-VIEW'!L12&gt;0,'TANF-VIEW'!T12&gt;0),"Yes","No")</f>
        <v>Yes</v>
      </c>
      <c r="I8" s="63">
        <f t="shared" si="8"/>
        <v>0</v>
      </c>
      <c r="J8" s="6">
        <f>(IF(B8&gt;$N$2,0,VLOOKUP('Total income package'!$B$3,'Location specific data'!$A$3:$AO$135,33,FALSE))*$C$2)*20</f>
        <v>0</v>
      </c>
      <c r="K8" s="6">
        <f>IF(B8&gt;$N$2,0,VLOOKUP('Total income package'!$B$3,'Location specific data'!$A$3:$AO$135,34,FALSE))*$D$2*20</f>
        <v>0</v>
      </c>
      <c r="L8" s="6">
        <f>IF(B8&gt;$N$2,0,VLOOKUP('Total income package'!$B$3,'Location specific data'!$A$3:$AO$135,35,FALSE))*$E$2*20</f>
        <v>0</v>
      </c>
      <c r="M8" s="6">
        <f>IF(B8&gt;$N$2,0,VLOOKUP('Total income package'!$B$3,'Location specific data'!$A$3:$AO$135,36,FALSE))*$F$2*20</f>
        <v>0</v>
      </c>
      <c r="N8" s="6">
        <f>IF(B8&gt;$N$2,0,VLOOKUP('Total income package'!$B$3,'Location specific data'!$A$3:$AO$135,37,FALSE))*($G$2+$H$2)*20</f>
        <v>0</v>
      </c>
      <c r="O8" s="6">
        <f t="shared" si="2"/>
        <v>0</v>
      </c>
      <c r="P8" s="312">
        <f t="shared" si="3"/>
        <v>6.25</v>
      </c>
      <c r="Q8" s="312">
        <f t="shared" si="4"/>
        <v>0</v>
      </c>
      <c r="R8" s="312">
        <f t="shared" si="9"/>
        <v>0</v>
      </c>
      <c r="S8" s="160">
        <f>IF(AND('Total income package'!$A$8=TRUE,OR(F8="Yes",G8="Yes",H8="Yes")),SUM(J8:N8)-R8,0)</f>
        <v>0</v>
      </c>
    </row>
    <row r="9" spans="1:19" s="5" customFormat="1" x14ac:dyDescent="0.25">
      <c r="A9" s="6">
        <v>2000</v>
      </c>
      <c r="B9" s="7">
        <f t="shared" si="5"/>
        <v>166.66666666666666</v>
      </c>
      <c r="C9" s="7">
        <f>'Total income package'!$D$80</f>
        <v>0</v>
      </c>
      <c r="D9" s="7">
        <f t="shared" si="6"/>
        <v>166.66666666666666</v>
      </c>
      <c r="E9" s="65">
        <f t="shared" si="7"/>
        <v>9.2421441774491686E-2</v>
      </c>
      <c r="F9" s="65" t="str">
        <f t="shared" si="0"/>
        <v>No</v>
      </c>
      <c r="G9" s="65" t="str">
        <f t="shared" si="1"/>
        <v>Yes</v>
      </c>
      <c r="H9" s="301" t="str">
        <f>IF(OR('TANF-VIEW'!L13&gt;0,'TANF-VIEW'!T13&gt;0),"Yes","No")</f>
        <v>Yes</v>
      </c>
      <c r="I9" s="63">
        <f t="shared" si="8"/>
        <v>0</v>
      </c>
      <c r="J9" s="6">
        <f>(IF(B9&gt;$N$2,0,VLOOKUP('Total income package'!$B$3,'Location specific data'!$A$3:$AO$135,33,FALSE))*$C$2)*20</f>
        <v>0</v>
      </c>
      <c r="K9" s="6">
        <f>IF(B9&gt;$N$2,0,VLOOKUP('Total income package'!$B$3,'Location specific data'!$A$3:$AO$135,34,FALSE))*$D$2*20</f>
        <v>0</v>
      </c>
      <c r="L9" s="6">
        <f>IF(B9&gt;$N$2,0,VLOOKUP('Total income package'!$B$3,'Location specific data'!$A$3:$AO$135,35,FALSE))*$E$2*20</f>
        <v>0</v>
      </c>
      <c r="M9" s="6">
        <f>IF(B9&gt;$N$2,0,VLOOKUP('Total income package'!$B$3,'Location specific data'!$A$3:$AO$135,36,FALSE))*$F$2*20</f>
        <v>0</v>
      </c>
      <c r="N9" s="6">
        <f>IF(B9&gt;$N$2,0,VLOOKUP('Total income package'!$B$3,'Location specific data'!$A$3:$AO$135,37,FALSE))*($G$2+$H$2)*20</f>
        <v>0</v>
      </c>
      <c r="O9" s="6">
        <f t="shared" si="2"/>
        <v>0</v>
      </c>
      <c r="P9" s="312">
        <f t="shared" si="3"/>
        <v>8.3333333333333339</v>
      </c>
      <c r="Q9" s="312">
        <f t="shared" si="4"/>
        <v>0</v>
      </c>
      <c r="R9" s="312">
        <f t="shared" si="9"/>
        <v>0</v>
      </c>
      <c r="S9" s="160">
        <f>IF(AND('Total income package'!$A$8=TRUE,OR(F9="Yes",G9="Yes",H9="Yes")),SUM(J9:N9)-R9,0)</f>
        <v>0</v>
      </c>
    </row>
    <row r="10" spans="1:19" s="5" customFormat="1" x14ac:dyDescent="0.25">
      <c r="A10" s="6">
        <v>2500</v>
      </c>
      <c r="B10" s="7">
        <f t="shared" si="5"/>
        <v>208.33333333333334</v>
      </c>
      <c r="C10" s="7">
        <f>'Total income package'!$D$80</f>
        <v>0</v>
      </c>
      <c r="D10" s="7">
        <f t="shared" si="6"/>
        <v>208.33333333333334</v>
      </c>
      <c r="E10" s="65">
        <f t="shared" si="7"/>
        <v>0.11552680221811461</v>
      </c>
      <c r="F10" s="65" t="str">
        <f t="shared" si="0"/>
        <v>No</v>
      </c>
      <c r="G10" s="65" t="str">
        <f t="shared" si="1"/>
        <v>Yes</v>
      </c>
      <c r="H10" s="301" t="str">
        <f>IF(OR('TANF-VIEW'!L14&gt;0,'TANF-VIEW'!T14&gt;0),"Yes","No")</f>
        <v>Yes</v>
      </c>
      <c r="I10" s="63">
        <f t="shared" si="8"/>
        <v>0</v>
      </c>
      <c r="J10" s="6">
        <f>(IF(B10&gt;$N$2,0,VLOOKUP('Total income package'!$B$3,'Location specific data'!$A$3:$AO$135,33,FALSE))*$C$2)*20</f>
        <v>0</v>
      </c>
      <c r="K10" s="6">
        <f>IF(B10&gt;$N$2,0,VLOOKUP('Total income package'!$B$3,'Location specific data'!$A$3:$AO$135,34,FALSE))*$D$2*20</f>
        <v>0</v>
      </c>
      <c r="L10" s="6">
        <f>IF(B10&gt;$N$2,0,VLOOKUP('Total income package'!$B$3,'Location specific data'!$A$3:$AO$135,35,FALSE))*$E$2*20</f>
        <v>0</v>
      </c>
      <c r="M10" s="6">
        <f>IF(B10&gt;$N$2,0,VLOOKUP('Total income package'!$B$3,'Location specific data'!$A$3:$AO$135,36,FALSE))*$F$2*20</f>
        <v>0</v>
      </c>
      <c r="N10" s="6">
        <f>IF(B10&gt;$N$2,0,VLOOKUP('Total income package'!$B$3,'Location specific data'!$A$3:$AO$135,37,FALSE))*($G$2+$H$2)*20</f>
        <v>0</v>
      </c>
      <c r="O10" s="6">
        <f t="shared" si="2"/>
        <v>0</v>
      </c>
      <c r="P10" s="312">
        <f t="shared" si="3"/>
        <v>10.416666666666668</v>
      </c>
      <c r="Q10" s="312">
        <f t="shared" si="4"/>
        <v>0</v>
      </c>
      <c r="R10" s="312">
        <f t="shared" si="9"/>
        <v>0</v>
      </c>
      <c r="S10" s="160">
        <f>IF(AND('Total income package'!$A$8=TRUE,OR(F10="Yes",G10="Yes",H10="Yes")),SUM(J10:N10)-R10,0)</f>
        <v>0</v>
      </c>
    </row>
    <row r="11" spans="1:19" s="5" customFormat="1" x14ac:dyDescent="0.25">
      <c r="A11" s="6">
        <v>3000</v>
      </c>
      <c r="B11" s="7">
        <f t="shared" si="5"/>
        <v>250</v>
      </c>
      <c r="C11" s="7">
        <f>'Total income package'!$D$80</f>
        <v>0</v>
      </c>
      <c r="D11" s="7">
        <f t="shared" si="6"/>
        <v>250</v>
      </c>
      <c r="E11" s="65">
        <f t="shared" si="7"/>
        <v>0.13863216266173753</v>
      </c>
      <c r="F11" s="65" t="str">
        <f t="shared" si="0"/>
        <v>No</v>
      </c>
      <c r="G11" s="65" t="str">
        <f t="shared" si="1"/>
        <v>Yes</v>
      </c>
      <c r="H11" s="301" t="str">
        <f>IF(OR('TANF-VIEW'!L15&gt;0,'TANF-VIEW'!T15&gt;0),"Yes","No")</f>
        <v>Yes</v>
      </c>
      <c r="I11" s="63">
        <f t="shared" si="8"/>
        <v>0</v>
      </c>
      <c r="J11" s="6">
        <f>(IF(B11&gt;$N$2,0,VLOOKUP('Total income package'!$B$3,'Location specific data'!$A$3:$AO$135,33,FALSE))*$C$2)*20</f>
        <v>0</v>
      </c>
      <c r="K11" s="6">
        <f>IF(B11&gt;$N$2,0,VLOOKUP('Total income package'!$B$3,'Location specific data'!$A$3:$AO$135,34,FALSE))*$D$2*20</f>
        <v>0</v>
      </c>
      <c r="L11" s="6">
        <f>IF(B11&gt;$N$2,0,VLOOKUP('Total income package'!$B$3,'Location specific data'!$A$3:$AO$135,35,FALSE))*$E$2*20</f>
        <v>0</v>
      </c>
      <c r="M11" s="6">
        <f>IF(B11&gt;$N$2,0,VLOOKUP('Total income package'!$B$3,'Location specific data'!$A$3:$AO$135,36,FALSE))*$F$2*20</f>
        <v>0</v>
      </c>
      <c r="N11" s="6">
        <f>IF(B11&gt;$N$2,0,VLOOKUP('Total income package'!$B$3,'Location specific data'!$A$3:$AO$135,37,FALSE))*($G$2+$H$2)*20</f>
        <v>0</v>
      </c>
      <c r="O11" s="6">
        <f t="shared" si="2"/>
        <v>0</v>
      </c>
      <c r="P11" s="312">
        <f t="shared" si="3"/>
        <v>12.5</v>
      </c>
      <c r="Q11" s="312">
        <f t="shared" si="4"/>
        <v>0</v>
      </c>
      <c r="R11" s="312">
        <f t="shared" si="9"/>
        <v>0</v>
      </c>
      <c r="S11" s="160">
        <f>IF(AND('Total income package'!$A$8=TRUE,OR(F11="Yes",G11="Yes",H11="Yes")),SUM(J11:N11)-R11,0)</f>
        <v>0</v>
      </c>
    </row>
    <row r="12" spans="1:19" s="5" customFormat="1" x14ac:dyDescent="0.25">
      <c r="A12" s="6">
        <v>3500</v>
      </c>
      <c r="B12" s="7">
        <f t="shared" si="5"/>
        <v>291.66666666666669</v>
      </c>
      <c r="C12" s="7">
        <f>'Total income package'!$D$80</f>
        <v>0</v>
      </c>
      <c r="D12" s="7">
        <f t="shared" si="6"/>
        <v>291.66666666666669</v>
      </c>
      <c r="E12" s="65">
        <f t="shared" si="7"/>
        <v>0.16173752310536046</v>
      </c>
      <c r="F12" s="65" t="str">
        <f t="shared" si="0"/>
        <v>No</v>
      </c>
      <c r="G12" s="65" t="str">
        <f t="shared" si="1"/>
        <v>Yes</v>
      </c>
      <c r="H12" s="301" t="str">
        <f>IF(OR('TANF-VIEW'!L16&gt;0,'TANF-VIEW'!T16&gt;0),"Yes","No")</f>
        <v>Yes</v>
      </c>
      <c r="I12" s="63">
        <f t="shared" si="8"/>
        <v>0</v>
      </c>
      <c r="J12" s="6">
        <f>(IF(B12&gt;$N$2,0,VLOOKUP('Total income package'!$B$3,'Location specific data'!$A$3:$AO$135,33,FALSE))*$C$2)*20</f>
        <v>0</v>
      </c>
      <c r="K12" s="6">
        <f>IF(B12&gt;$N$2,0,VLOOKUP('Total income package'!$B$3,'Location specific data'!$A$3:$AO$135,34,FALSE))*$D$2*20</f>
        <v>0</v>
      </c>
      <c r="L12" s="6">
        <f>IF(B12&gt;$N$2,0,VLOOKUP('Total income package'!$B$3,'Location specific data'!$A$3:$AO$135,35,FALSE))*$E$2*20</f>
        <v>0</v>
      </c>
      <c r="M12" s="6">
        <f>IF(B12&gt;$N$2,0,VLOOKUP('Total income package'!$B$3,'Location specific data'!$A$3:$AO$135,36,FALSE))*$F$2*20</f>
        <v>0</v>
      </c>
      <c r="N12" s="6">
        <f>IF(B12&gt;$N$2,0,VLOOKUP('Total income package'!$B$3,'Location specific data'!$A$3:$AO$135,37,FALSE))*($G$2+$H$2)*20</f>
        <v>0</v>
      </c>
      <c r="O12" s="6">
        <f t="shared" si="2"/>
        <v>0</v>
      </c>
      <c r="P12" s="312">
        <f t="shared" si="3"/>
        <v>14.583333333333336</v>
      </c>
      <c r="Q12" s="312">
        <f t="shared" si="4"/>
        <v>0</v>
      </c>
      <c r="R12" s="312">
        <f t="shared" si="9"/>
        <v>0</v>
      </c>
      <c r="S12" s="160">
        <f>IF(AND('Total income package'!$A$8=TRUE,OR(F12="Yes",G12="Yes",H12="Yes")),SUM(J12:N12)-R12,0)</f>
        <v>0</v>
      </c>
    </row>
    <row r="13" spans="1:19" s="5" customFormat="1" x14ac:dyDescent="0.25">
      <c r="A13" s="6">
        <v>4000</v>
      </c>
      <c r="B13" s="7">
        <f t="shared" si="5"/>
        <v>333.33333333333331</v>
      </c>
      <c r="C13" s="7">
        <f>'Total income package'!$D$80</f>
        <v>0</v>
      </c>
      <c r="D13" s="7">
        <f t="shared" si="6"/>
        <v>333.33333333333331</v>
      </c>
      <c r="E13" s="65">
        <f t="shared" si="7"/>
        <v>0.18484288354898337</v>
      </c>
      <c r="F13" s="65" t="str">
        <f t="shared" si="0"/>
        <v>No</v>
      </c>
      <c r="G13" s="65" t="str">
        <f t="shared" si="1"/>
        <v>Yes</v>
      </c>
      <c r="H13" s="301" t="str">
        <f>IF(OR('TANF-VIEW'!L17&gt;0,'TANF-VIEW'!T17&gt;0),"Yes","No")</f>
        <v>Yes</v>
      </c>
      <c r="I13" s="63">
        <f t="shared" si="8"/>
        <v>0</v>
      </c>
      <c r="J13" s="6">
        <f>(IF(B13&gt;$N$2,0,VLOOKUP('Total income package'!$B$3,'Location specific data'!$A$3:$AO$135,33,FALSE))*$C$2)*20</f>
        <v>0</v>
      </c>
      <c r="K13" s="6">
        <f>IF(B13&gt;$N$2,0,VLOOKUP('Total income package'!$B$3,'Location specific data'!$A$3:$AO$135,34,FALSE))*$D$2*20</f>
        <v>0</v>
      </c>
      <c r="L13" s="6">
        <f>IF(B13&gt;$N$2,0,VLOOKUP('Total income package'!$B$3,'Location specific data'!$A$3:$AO$135,35,FALSE))*$E$2*20</f>
        <v>0</v>
      </c>
      <c r="M13" s="6">
        <f>IF(B13&gt;$N$2,0,VLOOKUP('Total income package'!$B$3,'Location specific data'!$A$3:$AO$135,36,FALSE))*$F$2*20</f>
        <v>0</v>
      </c>
      <c r="N13" s="6">
        <f>IF(B13&gt;$N$2,0,VLOOKUP('Total income package'!$B$3,'Location specific data'!$A$3:$AO$135,37,FALSE))*($G$2+$H$2)*20</f>
        <v>0</v>
      </c>
      <c r="O13" s="6">
        <f t="shared" si="2"/>
        <v>0</v>
      </c>
      <c r="P13" s="312">
        <f t="shared" si="3"/>
        <v>16.666666666666668</v>
      </c>
      <c r="Q13" s="312">
        <f t="shared" si="4"/>
        <v>0</v>
      </c>
      <c r="R13" s="312">
        <f t="shared" si="9"/>
        <v>0</v>
      </c>
      <c r="S13" s="160">
        <f>IF(AND('Total income package'!$A$8=TRUE,OR(F13="Yes",G13="Yes",H13="Yes")),SUM(J13:N13)-R13,0)</f>
        <v>0</v>
      </c>
    </row>
    <row r="14" spans="1:19" s="5" customFormat="1" x14ac:dyDescent="0.25">
      <c r="A14" s="6">
        <v>4500</v>
      </c>
      <c r="B14" s="7">
        <f t="shared" si="5"/>
        <v>375</v>
      </c>
      <c r="C14" s="7">
        <f>'Total income package'!$D$80</f>
        <v>0</v>
      </c>
      <c r="D14" s="7">
        <f t="shared" si="6"/>
        <v>375</v>
      </c>
      <c r="E14" s="65">
        <f t="shared" si="7"/>
        <v>0.20794824399260628</v>
      </c>
      <c r="F14" s="65" t="str">
        <f t="shared" si="0"/>
        <v>No</v>
      </c>
      <c r="G14" s="65" t="str">
        <f t="shared" si="1"/>
        <v>Yes</v>
      </c>
      <c r="H14" s="301" t="str">
        <f>IF(OR('TANF-VIEW'!L18&gt;0,'TANF-VIEW'!T18&gt;0),"Yes","No")</f>
        <v>Yes</v>
      </c>
      <c r="I14" s="63">
        <f t="shared" si="8"/>
        <v>0</v>
      </c>
      <c r="J14" s="6">
        <f>(IF(B14&gt;$N$2,0,VLOOKUP('Total income package'!$B$3,'Location specific data'!$A$3:$AO$135,33,FALSE))*$C$2)*20</f>
        <v>0</v>
      </c>
      <c r="K14" s="6">
        <f>IF(B14&gt;$N$2,0,VLOOKUP('Total income package'!$B$3,'Location specific data'!$A$3:$AO$135,34,FALSE))*$D$2*20</f>
        <v>0</v>
      </c>
      <c r="L14" s="6">
        <f>IF(B14&gt;$N$2,0,VLOOKUP('Total income package'!$B$3,'Location specific data'!$A$3:$AO$135,35,FALSE))*$E$2*20</f>
        <v>0</v>
      </c>
      <c r="M14" s="6">
        <f>IF(B14&gt;$N$2,0,VLOOKUP('Total income package'!$B$3,'Location specific data'!$A$3:$AO$135,36,FALSE))*$F$2*20</f>
        <v>0</v>
      </c>
      <c r="N14" s="6">
        <f>IF(B14&gt;$N$2,0,VLOOKUP('Total income package'!$B$3,'Location specific data'!$A$3:$AO$135,37,FALSE))*($G$2+$H$2)*20</f>
        <v>0</v>
      </c>
      <c r="O14" s="6">
        <f t="shared" si="2"/>
        <v>0</v>
      </c>
      <c r="P14" s="312">
        <f t="shared" si="3"/>
        <v>18.75</v>
      </c>
      <c r="Q14" s="312">
        <f t="shared" si="4"/>
        <v>0</v>
      </c>
      <c r="R14" s="312">
        <f t="shared" si="9"/>
        <v>0</v>
      </c>
      <c r="S14" s="160">
        <f>IF(AND('Total income package'!$A$8=TRUE,OR(F14="Yes",G14="Yes",H14="Yes")),SUM(J14:N14)-R14,0)</f>
        <v>0</v>
      </c>
    </row>
    <row r="15" spans="1:19" s="5" customFormat="1" x14ac:dyDescent="0.25">
      <c r="A15" s="6">
        <v>5000</v>
      </c>
      <c r="B15" s="7">
        <f t="shared" si="5"/>
        <v>416.66666666666669</v>
      </c>
      <c r="C15" s="7">
        <f>'Total income package'!$D$80</f>
        <v>0</v>
      </c>
      <c r="D15" s="7">
        <f t="shared" si="6"/>
        <v>416.66666666666669</v>
      </c>
      <c r="E15" s="65">
        <f t="shared" si="7"/>
        <v>0.23105360443622922</v>
      </c>
      <c r="F15" s="65" t="str">
        <f t="shared" si="0"/>
        <v>No</v>
      </c>
      <c r="G15" s="65" t="str">
        <f t="shared" si="1"/>
        <v>Yes</v>
      </c>
      <c r="H15" s="301" t="str">
        <f>IF(OR('TANF-VIEW'!L19&gt;0,'TANF-VIEW'!T19&gt;0),"Yes","No")</f>
        <v>Yes</v>
      </c>
      <c r="I15" s="63">
        <f t="shared" si="8"/>
        <v>0</v>
      </c>
      <c r="J15" s="6">
        <f>(IF(B15&gt;$N$2,0,VLOOKUP('Total income package'!$B$3,'Location specific data'!$A$3:$AO$135,33,FALSE))*$C$2)*20</f>
        <v>0</v>
      </c>
      <c r="K15" s="6">
        <f>IF(B15&gt;$N$2,0,VLOOKUP('Total income package'!$B$3,'Location specific data'!$A$3:$AO$135,34,FALSE))*$D$2*20</f>
        <v>0</v>
      </c>
      <c r="L15" s="6">
        <f>IF(B15&gt;$N$2,0,VLOOKUP('Total income package'!$B$3,'Location specific data'!$A$3:$AO$135,35,FALSE))*$E$2*20</f>
        <v>0</v>
      </c>
      <c r="M15" s="6">
        <f>IF(B15&gt;$N$2,0,VLOOKUP('Total income package'!$B$3,'Location specific data'!$A$3:$AO$135,36,FALSE))*$F$2*20</f>
        <v>0</v>
      </c>
      <c r="N15" s="6">
        <f>IF(B15&gt;$N$2,0,VLOOKUP('Total income package'!$B$3,'Location specific data'!$A$3:$AO$135,37,FALSE))*($G$2+$H$2)*20</f>
        <v>0</v>
      </c>
      <c r="O15" s="6">
        <f t="shared" si="2"/>
        <v>0</v>
      </c>
      <c r="P15" s="312">
        <f t="shared" si="3"/>
        <v>20.833333333333336</v>
      </c>
      <c r="Q15" s="312">
        <f t="shared" si="4"/>
        <v>0</v>
      </c>
      <c r="R15" s="312">
        <f t="shared" si="9"/>
        <v>0</v>
      </c>
      <c r="S15" s="160">
        <f>IF(AND('Total income package'!$A$8=TRUE,OR(F15="Yes",G15="Yes",H15="Yes")),SUM(J15:N15)-R15,0)</f>
        <v>0</v>
      </c>
    </row>
    <row r="16" spans="1:19" s="5" customFormat="1" x14ac:dyDescent="0.25">
      <c r="A16" s="6">
        <v>5500</v>
      </c>
      <c r="B16" s="7">
        <f t="shared" si="5"/>
        <v>458.33333333333331</v>
      </c>
      <c r="C16" s="7">
        <f>'Total income package'!$D$80</f>
        <v>0</v>
      </c>
      <c r="D16" s="7">
        <f t="shared" si="6"/>
        <v>458.33333333333331</v>
      </c>
      <c r="E16" s="65">
        <f t="shared" si="7"/>
        <v>0.25415896487985212</v>
      </c>
      <c r="F16" s="65" t="str">
        <f t="shared" si="0"/>
        <v>No</v>
      </c>
      <c r="G16" s="65" t="str">
        <f t="shared" si="1"/>
        <v>Yes</v>
      </c>
      <c r="H16" s="301" t="str">
        <f>IF(OR('TANF-VIEW'!L20&gt;0,'TANF-VIEW'!T20&gt;0),"Yes","No")</f>
        <v>Yes</v>
      </c>
      <c r="I16" s="63">
        <f t="shared" si="8"/>
        <v>0</v>
      </c>
      <c r="J16" s="6">
        <f>(IF(B16&gt;$N$2,0,VLOOKUP('Total income package'!$B$3,'Location specific data'!$A$3:$AO$135,33,FALSE))*$C$2)*20</f>
        <v>0</v>
      </c>
      <c r="K16" s="6">
        <f>IF(B16&gt;$N$2,0,VLOOKUP('Total income package'!$B$3,'Location specific data'!$A$3:$AO$135,34,FALSE))*$D$2*20</f>
        <v>0</v>
      </c>
      <c r="L16" s="6">
        <f>IF(B16&gt;$N$2,0,VLOOKUP('Total income package'!$B$3,'Location specific data'!$A$3:$AO$135,35,FALSE))*$E$2*20</f>
        <v>0</v>
      </c>
      <c r="M16" s="6">
        <f>IF(B16&gt;$N$2,0,VLOOKUP('Total income package'!$B$3,'Location specific data'!$A$3:$AO$135,36,FALSE))*$F$2*20</f>
        <v>0</v>
      </c>
      <c r="N16" s="6">
        <f>IF(B16&gt;$N$2,0,VLOOKUP('Total income package'!$B$3,'Location specific data'!$A$3:$AO$135,37,FALSE))*($G$2+$H$2)*20</f>
        <v>0</v>
      </c>
      <c r="O16" s="6">
        <f t="shared" si="2"/>
        <v>0</v>
      </c>
      <c r="P16" s="312">
        <f t="shared" si="3"/>
        <v>22.916666666666668</v>
      </c>
      <c r="Q16" s="312">
        <f t="shared" si="4"/>
        <v>0</v>
      </c>
      <c r="R16" s="312">
        <f t="shared" si="9"/>
        <v>0</v>
      </c>
      <c r="S16" s="160">
        <f>IF(AND('Total income package'!$A$8=TRUE,OR(F16="Yes",G16="Yes",H16="Yes")),SUM(J16:N16)-R16,0)</f>
        <v>0</v>
      </c>
    </row>
    <row r="17" spans="1:19" s="5" customFormat="1" x14ac:dyDescent="0.25">
      <c r="A17" s="6">
        <v>6000</v>
      </c>
      <c r="B17" s="7">
        <f t="shared" si="5"/>
        <v>500</v>
      </c>
      <c r="C17" s="7">
        <f>'Total income package'!$D$80</f>
        <v>0</v>
      </c>
      <c r="D17" s="7">
        <f t="shared" si="6"/>
        <v>500</v>
      </c>
      <c r="E17" s="65">
        <f t="shared" si="7"/>
        <v>0.27726432532347506</v>
      </c>
      <c r="F17" s="65" t="str">
        <f t="shared" si="0"/>
        <v>No</v>
      </c>
      <c r="G17" s="65" t="str">
        <f t="shared" si="1"/>
        <v>Yes</v>
      </c>
      <c r="H17" s="301" t="str">
        <f>IF(OR('TANF-VIEW'!L21&gt;0,'TANF-VIEW'!T21&gt;0),"Yes","No")</f>
        <v>Yes</v>
      </c>
      <c r="I17" s="63">
        <f t="shared" si="8"/>
        <v>0</v>
      </c>
      <c r="J17" s="6">
        <f>(IF(B17&gt;$N$2,0,VLOOKUP('Total income package'!$B$3,'Location specific data'!$A$3:$AO$135,33,FALSE))*$C$2)*20</f>
        <v>0</v>
      </c>
      <c r="K17" s="6">
        <f>IF(B17&gt;$N$2,0,VLOOKUP('Total income package'!$B$3,'Location specific data'!$A$3:$AO$135,34,FALSE))*$D$2*20</f>
        <v>0</v>
      </c>
      <c r="L17" s="6">
        <f>IF(B17&gt;$N$2,0,VLOOKUP('Total income package'!$B$3,'Location specific data'!$A$3:$AO$135,35,FALSE))*$E$2*20</f>
        <v>0</v>
      </c>
      <c r="M17" s="6">
        <f>IF(B17&gt;$N$2,0,VLOOKUP('Total income package'!$B$3,'Location specific data'!$A$3:$AO$135,36,FALSE))*$F$2*20</f>
        <v>0</v>
      </c>
      <c r="N17" s="6">
        <f>IF(B17&gt;$N$2,0,VLOOKUP('Total income package'!$B$3,'Location specific data'!$A$3:$AO$135,37,FALSE))*($G$2+$H$2)*20</f>
        <v>0</v>
      </c>
      <c r="O17" s="6">
        <f t="shared" si="2"/>
        <v>0</v>
      </c>
      <c r="P17" s="312">
        <f t="shared" si="3"/>
        <v>25</v>
      </c>
      <c r="Q17" s="312">
        <f t="shared" si="4"/>
        <v>0</v>
      </c>
      <c r="R17" s="312">
        <f t="shared" si="9"/>
        <v>0</v>
      </c>
      <c r="S17" s="160">
        <f>IF(AND('Total income package'!$A$8=TRUE,OR(F17="Yes",G17="Yes",H17="Yes")),SUM(J17:N17)-R17,0)</f>
        <v>0</v>
      </c>
    </row>
    <row r="18" spans="1:19" s="5" customFormat="1" x14ac:dyDescent="0.25">
      <c r="A18" s="6">
        <v>6500</v>
      </c>
      <c r="B18" s="7">
        <f t="shared" si="5"/>
        <v>541.66666666666663</v>
      </c>
      <c r="C18" s="7">
        <f>'Total income package'!$D$80</f>
        <v>0</v>
      </c>
      <c r="D18" s="7">
        <f t="shared" si="6"/>
        <v>541.66666666666663</v>
      </c>
      <c r="E18" s="65">
        <f t="shared" si="7"/>
        <v>0.30036968576709794</v>
      </c>
      <c r="F18" s="65" t="str">
        <f t="shared" si="0"/>
        <v>No</v>
      </c>
      <c r="G18" s="65" t="str">
        <f t="shared" si="1"/>
        <v>Yes</v>
      </c>
      <c r="H18" s="301" t="str">
        <f>IF(OR('TANF-VIEW'!L22&gt;0,'TANF-VIEW'!T22&gt;0),"Yes","No")</f>
        <v>Yes</v>
      </c>
      <c r="I18" s="63">
        <f t="shared" si="8"/>
        <v>0</v>
      </c>
      <c r="J18" s="6">
        <f>(IF(B18&gt;$N$2,0,VLOOKUP('Total income package'!$B$3,'Location specific data'!$A$3:$AO$135,33,FALSE))*$C$2)*20</f>
        <v>0</v>
      </c>
      <c r="K18" s="6">
        <f>IF(B18&gt;$N$2,0,VLOOKUP('Total income package'!$B$3,'Location specific data'!$A$3:$AO$135,34,FALSE))*$D$2*20</f>
        <v>0</v>
      </c>
      <c r="L18" s="6">
        <f>IF(B18&gt;$N$2,0,VLOOKUP('Total income package'!$B$3,'Location specific data'!$A$3:$AO$135,35,FALSE))*$E$2*20</f>
        <v>0</v>
      </c>
      <c r="M18" s="6">
        <f>IF(B18&gt;$N$2,0,VLOOKUP('Total income package'!$B$3,'Location specific data'!$A$3:$AO$135,36,FALSE))*$F$2*20</f>
        <v>0</v>
      </c>
      <c r="N18" s="6">
        <f>IF(B18&gt;$N$2,0,VLOOKUP('Total income package'!$B$3,'Location specific data'!$A$3:$AO$135,37,FALSE))*($G$2+$H$2)*20</f>
        <v>0</v>
      </c>
      <c r="O18" s="6">
        <f t="shared" si="2"/>
        <v>0</v>
      </c>
      <c r="P18" s="312">
        <f t="shared" si="3"/>
        <v>27.083333333333332</v>
      </c>
      <c r="Q18" s="312">
        <f t="shared" si="4"/>
        <v>0</v>
      </c>
      <c r="R18" s="312">
        <f t="shared" si="9"/>
        <v>0</v>
      </c>
      <c r="S18" s="160">
        <f>IF(AND('Total income package'!$A$8=TRUE,OR(F18="Yes",G18="Yes",H18="Yes")),SUM(J18:N18)-R18,0)</f>
        <v>0</v>
      </c>
    </row>
    <row r="19" spans="1:19" s="5" customFormat="1" x14ac:dyDescent="0.25">
      <c r="A19" s="6">
        <v>7000</v>
      </c>
      <c r="B19" s="7">
        <f t="shared" si="5"/>
        <v>583.33333333333337</v>
      </c>
      <c r="C19" s="7">
        <f>'Total income package'!$D$80</f>
        <v>0</v>
      </c>
      <c r="D19" s="7">
        <f t="shared" si="6"/>
        <v>583.33333333333337</v>
      </c>
      <c r="E19" s="65">
        <f t="shared" si="7"/>
        <v>0.32347504621072093</v>
      </c>
      <c r="F19" s="65" t="str">
        <f t="shared" si="0"/>
        <v>No</v>
      </c>
      <c r="G19" s="65" t="str">
        <f t="shared" si="1"/>
        <v>Yes</v>
      </c>
      <c r="H19" s="301" t="str">
        <f>IF(OR('TANF-VIEW'!L23&gt;0,'TANF-VIEW'!T23&gt;0),"Yes","No")</f>
        <v>Yes</v>
      </c>
      <c r="I19" s="63">
        <f t="shared" si="8"/>
        <v>0</v>
      </c>
      <c r="J19" s="6">
        <f>(IF(B19&gt;$N$2,0,VLOOKUP('Total income package'!$B$3,'Location specific data'!$A$3:$AO$135,33,FALSE))*$C$2)*20</f>
        <v>0</v>
      </c>
      <c r="K19" s="6">
        <f>IF(B19&gt;$N$2,0,VLOOKUP('Total income package'!$B$3,'Location specific data'!$A$3:$AO$135,34,FALSE))*$D$2*20</f>
        <v>0</v>
      </c>
      <c r="L19" s="6">
        <f>IF(B19&gt;$N$2,0,VLOOKUP('Total income package'!$B$3,'Location specific data'!$A$3:$AO$135,35,FALSE))*$E$2*20</f>
        <v>0</v>
      </c>
      <c r="M19" s="6">
        <f>IF(B19&gt;$N$2,0,VLOOKUP('Total income package'!$B$3,'Location specific data'!$A$3:$AO$135,36,FALSE))*$F$2*20</f>
        <v>0</v>
      </c>
      <c r="N19" s="6">
        <f>IF(B19&gt;$N$2,0,VLOOKUP('Total income package'!$B$3,'Location specific data'!$A$3:$AO$135,37,FALSE))*($G$2+$H$2)*20</f>
        <v>0</v>
      </c>
      <c r="O19" s="6">
        <f t="shared" si="2"/>
        <v>0</v>
      </c>
      <c r="P19" s="312">
        <f t="shared" si="3"/>
        <v>29.166666666666671</v>
      </c>
      <c r="Q19" s="312">
        <f t="shared" si="4"/>
        <v>0</v>
      </c>
      <c r="R19" s="312">
        <f t="shared" si="9"/>
        <v>0</v>
      </c>
      <c r="S19" s="160">
        <f>IF(AND('Total income package'!$A$8=TRUE,OR(F19="Yes",G19="Yes",H19="Yes")),SUM(J19:N19)-R19,0)</f>
        <v>0</v>
      </c>
    </row>
    <row r="20" spans="1:19" s="5" customFormat="1" x14ac:dyDescent="0.25">
      <c r="A20" s="6">
        <v>7500</v>
      </c>
      <c r="B20" s="7">
        <f>A20/12</f>
        <v>625</v>
      </c>
      <c r="C20" s="7">
        <f>'Total income package'!$D$80</f>
        <v>0</v>
      </c>
      <c r="D20" s="7">
        <f t="shared" si="6"/>
        <v>625</v>
      </c>
      <c r="E20" s="65">
        <f t="shared" si="7"/>
        <v>0.34658040665434381</v>
      </c>
      <c r="F20" s="65" t="str">
        <f t="shared" si="0"/>
        <v>No</v>
      </c>
      <c r="G20" s="65" t="str">
        <f t="shared" si="1"/>
        <v>Yes</v>
      </c>
      <c r="H20" s="301" t="str">
        <f>IF(OR('TANF-VIEW'!L24&gt;0,'TANF-VIEW'!T24&gt;0),"Yes","No")</f>
        <v>Yes</v>
      </c>
      <c r="I20" s="63">
        <f t="shared" si="8"/>
        <v>0</v>
      </c>
      <c r="J20" s="6">
        <f>(IF(B20&gt;$N$2,0,VLOOKUP('Total income package'!$B$3,'Location specific data'!$A$3:$AO$135,33,FALSE))*$C$2)*20</f>
        <v>0</v>
      </c>
      <c r="K20" s="6">
        <f>IF(B20&gt;$N$2,0,VLOOKUP('Total income package'!$B$3,'Location specific data'!$A$3:$AO$135,34,FALSE))*$D$2*20</f>
        <v>0</v>
      </c>
      <c r="L20" s="6">
        <f>IF(B20&gt;$N$2,0,VLOOKUP('Total income package'!$B$3,'Location specific data'!$A$3:$AO$135,35,FALSE))*$E$2*20</f>
        <v>0</v>
      </c>
      <c r="M20" s="6">
        <f>IF(B20&gt;$N$2,0,VLOOKUP('Total income package'!$B$3,'Location specific data'!$A$3:$AO$135,36,FALSE))*$F$2*20</f>
        <v>0</v>
      </c>
      <c r="N20" s="6">
        <f>IF(B20&gt;$N$2,0,VLOOKUP('Total income package'!$B$3,'Location specific data'!$A$3:$AO$135,37,FALSE))*($G$2+$H$2)*20</f>
        <v>0</v>
      </c>
      <c r="O20" s="6">
        <f t="shared" si="2"/>
        <v>0</v>
      </c>
      <c r="P20" s="312">
        <f t="shared" si="3"/>
        <v>31.25</v>
      </c>
      <c r="Q20" s="312">
        <f t="shared" si="4"/>
        <v>0</v>
      </c>
      <c r="R20" s="312">
        <f t="shared" si="9"/>
        <v>0</v>
      </c>
      <c r="S20" s="160">
        <f>IF(AND('Total income package'!$A$8=TRUE,OR(F20="Yes",G20="Yes",H20="Yes")),SUM(J20:N20)-R20,0)</f>
        <v>0</v>
      </c>
    </row>
    <row r="21" spans="1:19" s="5" customFormat="1" x14ac:dyDescent="0.25">
      <c r="A21" s="6">
        <v>8000</v>
      </c>
      <c r="B21" s="7">
        <f t="shared" si="5"/>
        <v>666.66666666666663</v>
      </c>
      <c r="C21" s="7">
        <f>'Total income package'!$D$80</f>
        <v>0</v>
      </c>
      <c r="D21" s="7">
        <f t="shared" si="6"/>
        <v>666.66666666666663</v>
      </c>
      <c r="E21" s="65">
        <f t="shared" si="7"/>
        <v>0.36968576709796674</v>
      </c>
      <c r="F21" s="65" t="str">
        <f t="shared" si="0"/>
        <v>No</v>
      </c>
      <c r="G21" s="65" t="str">
        <f t="shared" si="1"/>
        <v>Yes</v>
      </c>
      <c r="H21" s="301" t="str">
        <f>IF(OR('TANF-VIEW'!L25&gt;0,'TANF-VIEW'!T25&gt;0),"Yes","No")</f>
        <v>Yes</v>
      </c>
      <c r="I21" s="63">
        <f t="shared" si="8"/>
        <v>0</v>
      </c>
      <c r="J21" s="6">
        <f>(IF(B21&gt;$N$2,0,VLOOKUP('Total income package'!$B$3,'Location specific data'!$A$3:$AO$135,33,FALSE))*$C$2)*20</f>
        <v>0</v>
      </c>
      <c r="K21" s="6">
        <f>IF(B21&gt;$N$2,0,VLOOKUP('Total income package'!$B$3,'Location specific data'!$A$3:$AO$135,34,FALSE))*$D$2*20</f>
        <v>0</v>
      </c>
      <c r="L21" s="6">
        <f>IF(B21&gt;$N$2,0,VLOOKUP('Total income package'!$B$3,'Location specific data'!$A$3:$AO$135,35,FALSE))*$E$2*20</f>
        <v>0</v>
      </c>
      <c r="M21" s="6">
        <f>IF(B21&gt;$N$2,0,VLOOKUP('Total income package'!$B$3,'Location specific data'!$A$3:$AO$135,36,FALSE))*$F$2*20</f>
        <v>0</v>
      </c>
      <c r="N21" s="6">
        <f>IF(B21&gt;$N$2,0,VLOOKUP('Total income package'!$B$3,'Location specific data'!$A$3:$AO$135,37,FALSE))*($G$2+$H$2)*20</f>
        <v>0</v>
      </c>
      <c r="O21" s="6">
        <f t="shared" si="2"/>
        <v>0</v>
      </c>
      <c r="P21" s="312">
        <f t="shared" si="3"/>
        <v>33.333333333333336</v>
      </c>
      <c r="Q21" s="312">
        <f t="shared" si="4"/>
        <v>0</v>
      </c>
      <c r="R21" s="312">
        <f t="shared" si="9"/>
        <v>0</v>
      </c>
      <c r="S21" s="160">
        <f>IF(AND('Total income package'!$A$8=TRUE,OR(F21="Yes",G21="Yes",H21="Yes")),SUM(J21:N21)-R21,0)</f>
        <v>0</v>
      </c>
    </row>
    <row r="22" spans="1:19" s="5" customFormat="1" x14ac:dyDescent="0.25">
      <c r="A22" s="6">
        <v>8500</v>
      </c>
      <c r="B22" s="7">
        <f t="shared" si="5"/>
        <v>708.33333333333337</v>
      </c>
      <c r="C22" s="7">
        <f>'Total income package'!$D$80</f>
        <v>0</v>
      </c>
      <c r="D22" s="7">
        <f t="shared" si="6"/>
        <v>708.33333333333337</v>
      </c>
      <c r="E22" s="65">
        <f t="shared" si="7"/>
        <v>0.39279112754158968</v>
      </c>
      <c r="F22" s="65" t="str">
        <f t="shared" si="0"/>
        <v>No</v>
      </c>
      <c r="G22" s="65" t="str">
        <f t="shared" si="1"/>
        <v>Yes</v>
      </c>
      <c r="H22" s="301" t="str">
        <f>IF(OR('TANF-VIEW'!L26&gt;0,'TANF-VIEW'!T26&gt;0),"Yes","No")</f>
        <v>No</v>
      </c>
      <c r="I22" s="63">
        <f t="shared" si="8"/>
        <v>0</v>
      </c>
      <c r="J22" s="6">
        <f>(IF(B22&gt;$N$2,0,VLOOKUP('Total income package'!$B$3,'Location specific data'!$A$3:$AO$135,33,FALSE))*$C$2)*20</f>
        <v>0</v>
      </c>
      <c r="K22" s="6">
        <f>IF(B22&gt;$N$2,0,VLOOKUP('Total income package'!$B$3,'Location specific data'!$A$3:$AO$135,34,FALSE))*$D$2*20</f>
        <v>0</v>
      </c>
      <c r="L22" s="6">
        <f>IF(B22&gt;$N$2,0,VLOOKUP('Total income package'!$B$3,'Location specific data'!$A$3:$AO$135,35,FALSE))*$E$2*20</f>
        <v>0</v>
      </c>
      <c r="M22" s="6">
        <f>IF(B22&gt;$N$2,0,VLOOKUP('Total income package'!$B$3,'Location specific data'!$A$3:$AO$135,36,FALSE))*$F$2*20</f>
        <v>0</v>
      </c>
      <c r="N22" s="6">
        <f>IF(B22&gt;$N$2,0,VLOOKUP('Total income package'!$B$3,'Location specific data'!$A$3:$AO$135,37,FALSE))*($G$2+$H$2)*20</f>
        <v>0</v>
      </c>
      <c r="O22" s="6">
        <f t="shared" si="2"/>
        <v>0</v>
      </c>
      <c r="P22" s="312">
        <f t="shared" si="3"/>
        <v>35.416666666666671</v>
      </c>
      <c r="Q22" s="312">
        <f t="shared" si="4"/>
        <v>0</v>
      </c>
      <c r="R22" s="312">
        <f t="shared" si="9"/>
        <v>0</v>
      </c>
      <c r="S22" s="160">
        <f>IF(AND('Total income package'!$A$8=TRUE,OR(F22="Yes",G22="Yes",H22="Yes")),SUM(J22:N22)-R22,0)</f>
        <v>0</v>
      </c>
    </row>
    <row r="23" spans="1:19" s="5" customFormat="1" x14ac:dyDescent="0.25">
      <c r="A23" s="6">
        <v>9000</v>
      </c>
      <c r="B23" s="7">
        <f t="shared" si="5"/>
        <v>750</v>
      </c>
      <c r="C23" s="7">
        <f>'Total income package'!$D$80</f>
        <v>0</v>
      </c>
      <c r="D23" s="7">
        <f t="shared" si="6"/>
        <v>750</v>
      </c>
      <c r="E23" s="65">
        <f t="shared" si="7"/>
        <v>0.41589648798521256</v>
      </c>
      <c r="F23" s="65" t="str">
        <f t="shared" si="0"/>
        <v>No</v>
      </c>
      <c r="G23" s="65" t="str">
        <f t="shared" si="1"/>
        <v>Yes</v>
      </c>
      <c r="H23" s="301" t="str">
        <f>IF(OR('TANF-VIEW'!L27&gt;0,'TANF-VIEW'!T27&gt;0),"Yes","No")</f>
        <v>No</v>
      </c>
      <c r="I23" s="63">
        <f t="shared" si="8"/>
        <v>0</v>
      </c>
      <c r="J23" s="6">
        <f>(IF(B23&gt;$N$2,0,VLOOKUP('Total income package'!$B$3,'Location specific data'!$A$3:$AO$135,33,FALSE))*$C$2)*20</f>
        <v>0</v>
      </c>
      <c r="K23" s="6">
        <f>IF(B23&gt;$N$2,0,VLOOKUP('Total income package'!$B$3,'Location specific data'!$A$3:$AO$135,34,FALSE))*$D$2*20</f>
        <v>0</v>
      </c>
      <c r="L23" s="6">
        <f>IF(B23&gt;$N$2,0,VLOOKUP('Total income package'!$B$3,'Location specific data'!$A$3:$AO$135,35,FALSE))*$E$2*20</f>
        <v>0</v>
      </c>
      <c r="M23" s="6">
        <f>IF(B23&gt;$N$2,0,VLOOKUP('Total income package'!$B$3,'Location specific data'!$A$3:$AO$135,36,FALSE))*$F$2*20</f>
        <v>0</v>
      </c>
      <c r="N23" s="6">
        <f>IF(B23&gt;$N$2,0,VLOOKUP('Total income package'!$B$3,'Location specific data'!$A$3:$AO$135,37,FALSE))*($G$2+$H$2)*20</f>
        <v>0</v>
      </c>
      <c r="O23" s="6">
        <f t="shared" si="2"/>
        <v>0</v>
      </c>
      <c r="P23" s="312">
        <f t="shared" si="3"/>
        <v>37.5</v>
      </c>
      <c r="Q23" s="312">
        <f t="shared" si="4"/>
        <v>0</v>
      </c>
      <c r="R23" s="312">
        <f t="shared" si="9"/>
        <v>0</v>
      </c>
      <c r="S23" s="160">
        <f>IF(AND('Total income package'!$A$8=TRUE,OR(F23="Yes",G23="Yes",H23="Yes")),SUM(J23:N23)-R23,0)</f>
        <v>0</v>
      </c>
    </row>
    <row r="24" spans="1:19" s="5" customFormat="1" x14ac:dyDescent="0.25">
      <c r="A24" s="6">
        <v>9500</v>
      </c>
      <c r="B24" s="7">
        <f t="shared" si="5"/>
        <v>791.66666666666663</v>
      </c>
      <c r="C24" s="7">
        <f>'Total income package'!$D$80</f>
        <v>0</v>
      </c>
      <c r="D24" s="7">
        <f t="shared" si="6"/>
        <v>791.66666666666663</v>
      </c>
      <c r="E24" s="65">
        <f t="shared" si="7"/>
        <v>0.43900184842883549</v>
      </c>
      <c r="F24" s="65" t="str">
        <f t="shared" si="0"/>
        <v>No</v>
      </c>
      <c r="G24" s="65" t="str">
        <f t="shared" si="1"/>
        <v>Yes</v>
      </c>
      <c r="H24" s="301" t="str">
        <f>IF(OR('TANF-VIEW'!L28&gt;0,'TANF-VIEW'!T28&gt;0),"Yes","No")</f>
        <v>No</v>
      </c>
      <c r="I24" s="63">
        <f t="shared" si="8"/>
        <v>0</v>
      </c>
      <c r="J24" s="6">
        <f>(IF(B24&gt;$N$2,0,VLOOKUP('Total income package'!$B$3,'Location specific data'!$A$3:$AO$135,33,FALSE))*$C$2)*20</f>
        <v>0</v>
      </c>
      <c r="K24" s="6">
        <f>IF(B24&gt;$N$2,0,VLOOKUP('Total income package'!$B$3,'Location specific data'!$A$3:$AO$135,34,FALSE))*$D$2*20</f>
        <v>0</v>
      </c>
      <c r="L24" s="6">
        <f>IF(B24&gt;$N$2,0,VLOOKUP('Total income package'!$B$3,'Location specific data'!$A$3:$AO$135,35,FALSE))*$E$2*20</f>
        <v>0</v>
      </c>
      <c r="M24" s="6">
        <f>IF(B24&gt;$N$2,0,VLOOKUP('Total income package'!$B$3,'Location specific data'!$A$3:$AO$135,36,FALSE))*$F$2*20</f>
        <v>0</v>
      </c>
      <c r="N24" s="6">
        <f>IF(B24&gt;$N$2,0,VLOOKUP('Total income package'!$B$3,'Location specific data'!$A$3:$AO$135,37,FALSE))*($G$2+$H$2)*20</f>
        <v>0</v>
      </c>
      <c r="O24" s="6">
        <f t="shared" si="2"/>
        <v>0</v>
      </c>
      <c r="P24" s="312">
        <f t="shared" si="3"/>
        <v>39.583333333333336</v>
      </c>
      <c r="Q24" s="312">
        <f t="shared" si="4"/>
        <v>0</v>
      </c>
      <c r="R24" s="312">
        <f t="shared" si="9"/>
        <v>0</v>
      </c>
      <c r="S24" s="160">
        <f>IF(AND('Total income package'!$A$8=TRUE,OR(F24="Yes",G24="Yes",H24="Yes")),SUM(J24:N24)-R24,0)</f>
        <v>0</v>
      </c>
    </row>
    <row r="25" spans="1:19" s="5" customFormat="1" x14ac:dyDescent="0.25">
      <c r="A25" s="6">
        <v>10000</v>
      </c>
      <c r="B25" s="7">
        <f t="shared" si="5"/>
        <v>833.33333333333337</v>
      </c>
      <c r="C25" s="7">
        <f>'Total income package'!$D$80</f>
        <v>0</v>
      </c>
      <c r="D25" s="7">
        <f t="shared" si="6"/>
        <v>833.33333333333337</v>
      </c>
      <c r="E25" s="65">
        <f t="shared" si="7"/>
        <v>0.46210720887245843</v>
      </c>
      <c r="F25" s="65" t="str">
        <f t="shared" si="0"/>
        <v>No</v>
      </c>
      <c r="G25" s="65" t="str">
        <f t="shared" si="1"/>
        <v>Yes</v>
      </c>
      <c r="H25" s="301" t="str">
        <f>IF(OR('TANF-VIEW'!L29&gt;0,'TANF-VIEW'!T29&gt;0),"Yes","No")</f>
        <v>No</v>
      </c>
      <c r="I25" s="63">
        <f t="shared" si="8"/>
        <v>0</v>
      </c>
      <c r="J25" s="6">
        <f>(IF(B25&gt;$N$2,0,VLOOKUP('Total income package'!$B$3,'Location specific data'!$A$3:$AO$135,33,FALSE))*$C$2)*20</f>
        <v>0</v>
      </c>
      <c r="K25" s="6">
        <f>IF(B25&gt;$N$2,0,VLOOKUP('Total income package'!$B$3,'Location specific data'!$A$3:$AO$135,34,FALSE))*$D$2*20</f>
        <v>0</v>
      </c>
      <c r="L25" s="6">
        <f>IF(B25&gt;$N$2,0,VLOOKUP('Total income package'!$B$3,'Location specific data'!$A$3:$AO$135,35,FALSE))*$E$2*20</f>
        <v>0</v>
      </c>
      <c r="M25" s="6">
        <f>IF(B25&gt;$N$2,0,VLOOKUP('Total income package'!$B$3,'Location specific data'!$A$3:$AO$135,36,FALSE))*$F$2*20</f>
        <v>0</v>
      </c>
      <c r="N25" s="6">
        <f>IF(B25&gt;$N$2,0,VLOOKUP('Total income package'!$B$3,'Location specific data'!$A$3:$AO$135,37,FALSE))*($G$2+$H$2)*20</f>
        <v>0</v>
      </c>
      <c r="O25" s="6">
        <f t="shared" si="2"/>
        <v>0</v>
      </c>
      <c r="P25" s="312">
        <f t="shared" si="3"/>
        <v>41.666666666666671</v>
      </c>
      <c r="Q25" s="312">
        <f t="shared" si="4"/>
        <v>0</v>
      </c>
      <c r="R25" s="312">
        <f t="shared" si="9"/>
        <v>0</v>
      </c>
      <c r="S25" s="160">
        <f>IF(AND('Total income package'!$A$8=TRUE,OR(F25="Yes",G25="Yes",H25="Yes")),SUM(J25:N25)-R25,0)</f>
        <v>0</v>
      </c>
    </row>
    <row r="26" spans="1:19" s="5" customFormat="1" x14ac:dyDescent="0.25">
      <c r="A26" s="6">
        <v>10500</v>
      </c>
      <c r="B26" s="7">
        <f t="shared" si="5"/>
        <v>875</v>
      </c>
      <c r="C26" s="7">
        <f>'Total income package'!$D$80</f>
        <v>0</v>
      </c>
      <c r="D26" s="7">
        <f t="shared" si="6"/>
        <v>875</v>
      </c>
      <c r="E26" s="65">
        <f t="shared" si="7"/>
        <v>0.48521256931608137</v>
      </c>
      <c r="F26" s="65" t="str">
        <f t="shared" si="0"/>
        <v>No</v>
      </c>
      <c r="G26" s="65" t="str">
        <f t="shared" si="1"/>
        <v>Yes</v>
      </c>
      <c r="H26" s="301" t="str">
        <f>IF(OR('TANF-VIEW'!L30&gt;0,'TANF-VIEW'!T30&gt;0),"Yes","No")</f>
        <v>No</v>
      </c>
      <c r="I26" s="63">
        <f t="shared" si="8"/>
        <v>0</v>
      </c>
      <c r="J26" s="6">
        <f>(IF(B26&gt;$N$2,0,VLOOKUP('Total income package'!$B$3,'Location specific data'!$A$3:$AO$135,33,FALSE))*$C$2)*20</f>
        <v>0</v>
      </c>
      <c r="K26" s="6">
        <f>IF(B26&gt;$N$2,0,VLOOKUP('Total income package'!$B$3,'Location specific data'!$A$3:$AO$135,34,FALSE))*$D$2*20</f>
        <v>0</v>
      </c>
      <c r="L26" s="6">
        <f>IF(B26&gt;$N$2,0,VLOOKUP('Total income package'!$B$3,'Location specific data'!$A$3:$AO$135,35,FALSE))*$E$2*20</f>
        <v>0</v>
      </c>
      <c r="M26" s="6">
        <f>IF(B26&gt;$N$2,0,VLOOKUP('Total income package'!$B$3,'Location specific data'!$A$3:$AO$135,36,FALSE))*$F$2*20</f>
        <v>0</v>
      </c>
      <c r="N26" s="6">
        <f>IF(B26&gt;$N$2,0,VLOOKUP('Total income package'!$B$3,'Location specific data'!$A$3:$AO$135,37,FALSE))*($G$2+$H$2)*20</f>
        <v>0</v>
      </c>
      <c r="O26" s="6">
        <f t="shared" si="2"/>
        <v>0</v>
      </c>
      <c r="P26" s="312">
        <f t="shared" si="3"/>
        <v>43.75</v>
      </c>
      <c r="Q26" s="312">
        <f t="shared" si="4"/>
        <v>0</v>
      </c>
      <c r="R26" s="312">
        <f t="shared" si="9"/>
        <v>0</v>
      </c>
      <c r="S26" s="160">
        <f>IF(AND('Total income package'!$A$8=TRUE,OR(F26="Yes",G26="Yes",H26="Yes")),SUM(J26:N26)-R26,0)</f>
        <v>0</v>
      </c>
    </row>
    <row r="27" spans="1:19" s="5" customFormat="1" x14ac:dyDescent="0.25">
      <c r="A27" s="6">
        <v>11000</v>
      </c>
      <c r="B27" s="7">
        <f t="shared" si="5"/>
        <v>916.66666666666663</v>
      </c>
      <c r="C27" s="7">
        <f>'Total income package'!$D$80</f>
        <v>0</v>
      </c>
      <c r="D27" s="7">
        <f t="shared" si="6"/>
        <v>916.66666666666663</v>
      </c>
      <c r="E27" s="65">
        <f t="shared" si="7"/>
        <v>0.50831792975970425</v>
      </c>
      <c r="F27" s="65" t="str">
        <f t="shared" si="0"/>
        <v>No</v>
      </c>
      <c r="G27" s="65" t="str">
        <f t="shared" si="1"/>
        <v>Yes</v>
      </c>
      <c r="H27" s="301" t="str">
        <f>IF(OR('TANF-VIEW'!L31&gt;0,'TANF-VIEW'!T31&gt;0),"Yes","No")</f>
        <v>No</v>
      </c>
      <c r="I27" s="63">
        <f t="shared" si="8"/>
        <v>0</v>
      </c>
      <c r="J27" s="6">
        <f>(IF(B27&gt;$N$2,0,VLOOKUP('Total income package'!$B$3,'Location specific data'!$A$3:$AO$135,33,FALSE))*$C$2)*20</f>
        <v>0</v>
      </c>
      <c r="K27" s="6">
        <f>IF(B27&gt;$N$2,0,VLOOKUP('Total income package'!$B$3,'Location specific data'!$A$3:$AO$135,34,FALSE))*$D$2*20</f>
        <v>0</v>
      </c>
      <c r="L27" s="6">
        <f>IF(B27&gt;$N$2,0,VLOOKUP('Total income package'!$B$3,'Location specific data'!$A$3:$AO$135,35,FALSE))*$E$2*20</f>
        <v>0</v>
      </c>
      <c r="M27" s="6">
        <f>IF(B27&gt;$N$2,0,VLOOKUP('Total income package'!$B$3,'Location specific data'!$A$3:$AO$135,36,FALSE))*$F$2*20</f>
        <v>0</v>
      </c>
      <c r="N27" s="6">
        <f>IF(B27&gt;$N$2,0,VLOOKUP('Total income package'!$B$3,'Location specific data'!$A$3:$AO$135,37,FALSE))*($G$2+$H$2)*20</f>
        <v>0</v>
      </c>
      <c r="O27" s="6">
        <f t="shared" si="2"/>
        <v>0</v>
      </c>
      <c r="P27" s="312">
        <f t="shared" si="3"/>
        <v>45.833333333333336</v>
      </c>
      <c r="Q27" s="312">
        <f t="shared" si="4"/>
        <v>0</v>
      </c>
      <c r="R27" s="312">
        <f t="shared" si="9"/>
        <v>0</v>
      </c>
      <c r="S27" s="160">
        <f>IF(AND('Total income package'!$A$8=TRUE,OR(F27="Yes",G27="Yes",H27="Yes")),SUM(J27:N27)-R27,0)</f>
        <v>0</v>
      </c>
    </row>
    <row r="28" spans="1:19" s="5" customFormat="1" x14ac:dyDescent="0.25">
      <c r="A28" s="6">
        <v>11500</v>
      </c>
      <c r="B28" s="7">
        <f t="shared" si="5"/>
        <v>958.33333333333337</v>
      </c>
      <c r="C28" s="7">
        <f>'Total income package'!$D$80</f>
        <v>0</v>
      </c>
      <c r="D28" s="7">
        <f t="shared" si="6"/>
        <v>958.33333333333337</v>
      </c>
      <c r="E28" s="65">
        <f t="shared" si="7"/>
        <v>0.53142329020332724</v>
      </c>
      <c r="F28" s="65" t="str">
        <f t="shared" si="0"/>
        <v>No</v>
      </c>
      <c r="G28" s="65" t="str">
        <f t="shared" si="1"/>
        <v>Yes</v>
      </c>
      <c r="H28" s="301" t="str">
        <f>IF(OR('TANF-VIEW'!L32&gt;0,'TANF-VIEW'!T32&gt;0),"Yes","No")</f>
        <v>No</v>
      </c>
      <c r="I28" s="63">
        <f t="shared" si="8"/>
        <v>0</v>
      </c>
      <c r="J28" s="6">
        <f>(IF(B28&gt;$N$2,0,VLOOKUP('Total income package'!$B$3,'Location specific data'!$A$3:$AO$135,33,FALSE))*$C$2)*20</f>
        <v>0</v>
      </c>
      <c r="K28" s="6">
        <f>IF(B28&gt;$N$2,0,VLOOKUP('Total income package'!$B$3,'Location specific data'!$A$3:$AO$135,34,FALSE))*$D$2*20</f>
        <v>0</v>
      </c>
      <c r="L28" s="6">
        <f>IF(B28&gt;$N$2,0,VLOOKUP('Total income package'!$B$3,'Location specific data'!$A$3:$AO$135,35,FALSE))*$E$2*20</f>
        <v>0</v>
      </c>
      <c r="M28" s="6">
        <f>IF(B28&gt;$N$2,0,VLOOKUP('Total income package'!$B$3,'Location specific data'!$A$3:$AO$135,36,FALSE))*$F$2*20</f>
        <v>0</v>
      </c>
      <c r="N28" s="6">
        <f>IF(B28&gt;$N$2,0,VLOOKUP('Total income package'!$B$3,'Location specific data'!$A$3:$AO$135,37,FALSE))*($G$2+$H$2)*20</f>
        <v>0</v>
      </c>
      <c r="O28" s="6">
        <f t="shared" si="2"/>
        <v>0</v>
      </c>
      <c r="P28" s="312">
        <f t="shared" si="3"/>
        <v>47.916666666666671</v>
      </c>
      <c r="Q28" s="312">
        <f t="shared" si="4"/>
        <v>0</v>
      </c>
      <c r="R28" s="312">
        <f t="shared" si="9"/>
        <v>0</v>
      </c>
      <c r="S28" s="160">
        <f>IF(AND('Total income package'!$A$8=TRUE,OR(F28="Yes",G28="Yes",H28="Yes")),SUM(J28:N28)-R28,0)</f>
        <v>0</v>
      </c>
    </row>
    <row r="29" spans="1:19" s="5" customFormat="1" x14ac:dyDescent="0.25">
      <c r="A29" s="6">
        <v>12000</v>
      </c>
      <c r="B29" s="7">
        <f t="shared" si="5"/>
        <v>1000</v>
      </c>
      <c r="C29" s="7">
        <f>'Total income package'!$D$80</f>
        <v>0</v>
      </c>
      <c r="D29" s="7">
        <f t="shared" si="6"/>
        <v>1000</v>
      </c>
      <c r="E29" s="65">
        <f>D29/$K$2</f>
        <v>0.55452865064695012</v>
      </c>
      <c r="F29" s="65" t="str">
        <f t="shared" si="0"/>
        <v>No</v>
      </c>
      <c r="G29" s="65" t="str">
        <f t="shared" si="1"/>
        <v>Yes</v>
      </c>
      <c r="H29" s="301" t="str">
        <f>IF(OR('TANF-VIEW'!L33&gt;0,'TANF-VIEW'!T33&gt;0),"Yes","No")</f>
        <v>No</v>
      </c>
      <c r="I29" s="63">
        <f t="shared" si="8"/>
        <v>0</v>
      </c>
      <c r="J29" s="6">
        <f>(IF(B29&gt;$N$2,0,VLOOKUP('Total income package'!$B$3,'Location specific data'!$A$3:$AO$135,33,FALSE))*$C$2)*20</f>
        <v>0</v>
      </c>
      <c r="K29" s="6">
        <f>IF(B29&gt;$N$2,0,VLOOKUP('Total income package'!$B$3,'Location specific data'!$A$3:$AO$135,34,FALSE))*$D$2*20</f>
        <v>0</v>
      </c>
      <c r="L29" s="6">
        <f>IF(B29&gt;$N$2,0,VLOOKUP('Total income package'!$B$3,'Location specific data'!$A$3:$AO$135,35,FALSE))*$E$2*20</f>
        <v>0</v>
      </c>
      <c r="M29" s="6">
        <f>IF(B29&gt;$N$2,0,VLOOKUP('Total income package'!$B$3,'Location specific data'!$A$3:$AO$135,36,FALSE))*$F$2*20</f>
        <v>0</v>
      </c>
      <c r="N29" s="6">
        <f>IF(B29&gt;$N$2,0,VLOOKUP('Total income package'!$B$3,'Location specific data'!$A$3:$AO$135,37,FALSE))*($G$2+$H$2)*20</f>
        <v>0</v>
      </c>
      <c r="O29" s="6">
        <f t="shared" si="2"/>
        <v>0</v>
      </c>
      <c r="P29" s="312">
        <f t="shared" si="3"/>
        <v>50</v>
      </c>
      <c r="Q29" s="312">
        <f t="shared" si="4"/>
        <v>0</v>
      </c>
      <c r="R29" s="312">
        <f t="shared" si="9"/>
        <v>0</v>
      </c>
      <c r="S29" s="160">
        <f>IF(AND('Total income package'!$A$8=TRUE,OR(F29="Yes",G29="Yes",H29="Yes")),SUM(J29:N29)-R29,0)</f>
        <v>0</v>
      </c>
    </row>
    <row r="30" spans="1:19" s="5" customFormat="1" x14ac:dyDescent="0.25">
      <c r="A30" s="6">
        <v>12500</v>
      </c>
      <c r="B30" s="7">
        <f t="shared" si="5"/>
        <v>1041.6666666666667</v>
      </c>
      <c r="C30" s="7">
        <f>'Total income package'!$D$80</f>
        <v>0</v>
      </c>
      <c r="D30" s="7">
        <f t="shared" si="6"/>
        <v>1041.6666666666667</v>
      </c>
      <c r="E30" s="65">
        <f t="shared" si="7"/>
        <v>0.57763401109057311</v>
      </c>
      <c r="F30" s="65" t="str">
        <f t="shared" si="0"/>
        <v>No</v>
      </c>
      <c r="G30" s="65" t="str">
        <f t="shared" si="1"/>
        <v>Yes</v>
      </c>
      <c r="H30" s="301" t="str">
        <f>IF(OR('TANF-VIEW'!L34&gt;0,'TANF-VIEW'!T34&gt;0),"Yes","No")</f>
        <v>No</v>
      </c>
      <c r="I30" s="63">
        <f t="shared" si="8"/>
        <v>0</v>
      </c>
      <c r="J30" s="6">
        <f>(IF(B30&gt;$N$2,0,VLOOKUP('Total income package'!$B$3,'Location specific data'!$A$3:$AO$135,33,FALSE))*$C$2)*20</f>
        <v>0</v>
      </c>
      <c r="K30" s="6">
        <f>IF(B30&gt;$N$2,0,VLOOKUP('Total income package'!$B$3,'Location specific data'!$A$3:$AO$135,34,FALSE))*$D$2*20</f>
        <v>0</v>
      </c>
      <c r="L30" s="6">
        <f>IF(B30&gt;$N$2,0,VLOOKUP('Total income package'!$B$3,'Location specific data'!$A$3:$AO$135,35,FALSE))*$E$2*20</f>
        <v>0</v>
      </c>
      <c r="M30" s="6">
        <f>IF(B30&gt;$N$2,0,VLOOKUP('Total income package'!$B$3,'Location specific data'!$A$3:$AO$135,36,FALSE))*$F$2*20</f>
        <v>0</v>
      </c>
      <c r="N30" s="6">
        <f>IF(B30&gt;$N$2,0,VLOOKUP('Total income package'!$B$3,'Location specific data'!$A$3:$AO$135,37,FALSE))*($G$2+$H$2)*20</f>
        <v>0</v>
      </c>
      <c r="O30" s="6">
        <f t="shared" si="2"/>
        <v>0</v>
      </c>
      <c r="P30" s="312">
        <f t="shared" si="3"/>
        <v>52.083333333333343</v>
      </c>
      <c r="Q30" s="312">
        <f t="shared" si="4"/>
        <v>0</v>
      </c>
      <c r="R30" s="312">
        <f t="shared" si="9"/>
        <v>0</v>
      </c>
      <c r="S30" s="160">
        <f>IF(AND('Total income package'!$A$8=TRUE,OR(F30="Yes",G30="Yes",H30="Yes")),SUM(J30:N30)-R30,0)</f>
        <v>0</v>
      </c>
    </row>
    <row r="31" spans="1:19" s="5" customFormat="1" x14ac:dyDescent="0.25">
      <c r="A31" s="6">
        <v>13000</v>
      </c>
      <c r="B31" s="7">
        <f t="shared" si="5"/>
        <v>1083.3333333333333</v>
      </c>
      <c r="C31" s="7">
        <f>'Total income package'!$D$80</f>
        <v>0</v>
      </c>
      <c r="D31" s="7">
        <f t="shared" si="6"/>
        <v>1083.3333333333333</v>
      </c>
      <c r="E31" s="65">
        <f t="shared" si="7"/>
        <v>0.60073937153419588</v>
      </c>
      <c r="F31" s="65" t="str">
        <f t="shared" si="0"/>
        <v>No</v>
      </c>
      <c r="G31" s="65" t="str">
        <f t="shared" si="1"/>
        <v>Yes</v>
      </c>
      <c r="H31" s="301" t="str">
        <f>IF(OR('TANF-VIEW'!L35&gt;0,'TANF-VIEW'!T35&gt;0),"Yes","No")</f>
        <v>No</v>
      </c>
      <c r="I31" s="63">
        <f t="shared" si="8"/>
        <v>0</v>
      </c>
      <c r="J31" s="6">
        <f>(IF(B31&gt;$N$2,0,VLOOKUP('Total income package'!$B$3,'Location specific data'!$A$3:$AO$135,33,FALSE))*$C$2)*20</f>
        <v>0</v>
      </c>
      <c r="K31" s="6">
        <f>IF(B31&gt;$N$2,0,VLOOKUP('Total income package'!$B$3,'Location specific data'!$A$3:$AO$135,34,FALSE))*$D$2*20</f>
        <v>0</v>
      </c>
      <c r="L31" s="6">
        <f>IF(B31&gt;$N$2,0,VLOOKUP('Total income package'!$B$3,'Location specific data'!$A$3:$AO$135,35,FALSE))*$E$2*20</f>
        <v>0</v>
      </c>
      <c r="M31" s="6">
        <f>IF(B31&gt;$N$2,0,VLOOKUP('Total income package'!$B$3,'Location specific data'!$A$3:$AO$135,36,FALSE))*$F$2*20</f>
        <v>0</v>
      </c>
      <c r="N31" s="6">
        <f>IF(B31&gt;$N$2,0,VLOOKUP('Total income package'!$B$3,'Location specific data'!$A$3:$AO$135,37,FALSE))*($G$2+$H$2)*20</f>
        <v>0</v>
      </c>
      <c r="O31" s="6">
        <f t="shared" si="2"/>
        <v>0</v>
      </c>
      <c r="P31" s="312">
        <f t="shared" si="3"/>
        <v>54.166666666666664</v>
      </c>
      <c r="Q31" s="312">
        <f t="shared" si="4"/>
        <v>0</v>
      </c>
      <c r="R31" s="312">
        <f t="shared" si="9"/>
        <v>0</v>
      </c>
      <c r="S31" s="160">
        <f>IF(AND('Total income package'!$A$8=TRUE,OR(F31="Yes",G31="Yes",H31="Yes")),SUM(J31:N31)-R31,0)</f>
        <v>0</v>
      </c>
    </row>
    <row r="32" spans="1:19" s="5" customFormat="1" x14ac:dyDescent="0.25">
      <c r="A32" s="6">
        <v>13500</v>
      </c>
      <c r="B32" s="7">
        <f t="shared" si="5"/>
        <v>1125</v>
      </c>
      <c r="C32" s="7">
        <f>'Total income package'!$D$80</f>
        <v>0</v>
      </c>
      <c r="D32" s="7">
        <f t="shared" si="6"/>
        <v>1125</v>
      </c>
      <c r="E32" s="65">
        <f t="shared" si="7"/>
        <v>0.62384473197781887</v>
      </c>
      <c r="F32" s="65" t="str">
        <f t="shared" si="0"/>
        <v>No</v>
      </c>
      <c r="G32" s="65" t="str">
        <f t="shared" si="1"/>
        <v>Yes</v>
      </c>
      <c r="H32" s="301" t="str">
        <f>IF(OR('TANF-VIEW'!L36&gt;0,'TANF-VIEW'!T36&gt;0),"Yes","No")</f>
        <v>No</v>
      </c>
      <c r="I32" s="63">
        <f t="shared" si="8"/>
        <v>0</v>
      </c>
      <c r="J32" s="6">
        <f>(IF(B32&gt;$N$2,0,VLOOKUP('Total income package'!$B$3,'Location specific data'!$A$3:$AO$135,33,FALSE))*$C$2)*20</f>
        <v>0</v>
      </c>
      <c r="K32" s="6">
        <f>IF(B32&gt;$N$2,0,VLOOKUP('Total income package'!$B$3,'Location specific data'!$A$3:$AO$135,34,FALSE))*$D$2*20</f>
        <v>0</v>
      </c>
      <c r="L32" s="6">
        <f>IF(B32&gt;$N$2,0,VLOOKUP('Total income package'!$B$3,'Location specific data'!$A$3:$AO$135,35,FALSE))*$E$2*20</f>
        <v>0</v>
      </c>
      <c r="M32" s="6">
        <f>IF(B32&gt;$N$2,0,VLOOKUP('Total income package'!$B$3,'Location specific data'!$A$3:$AO$135,36,FALSE))*$F$2*20</f>
        <v>0</v>
      </c>
      <c r="N32" s="6">
        <f>IF(B32&gt;$N$2,0,VLOOKUP('Total income package'!$B$3,'Location specific data'!$A$3:$AO$135,37,FALSE))*($G$2+$H$2)*20</f>
        <v>0</v>
      </c>
      <c r="O32" s="6">
        <f t="shared" si="2"/>
        <v>0</v>
      </c>
      <c r="P32" s="312">
        <f t="shared" si="3"/>
        <v>56.25</v>
      </c>
      <c r="Q32" s="312">
        <f t="shared" si="4"/>
        <v>0</v>
      </c>
      <c r="R32" s="312">
        <f t="shared" si="9"/>
        <v>0</v>
      </c>
      <c r="S32" s="160">
        <f>IF(AND('Total income package'!$A$8=TRUE,OR(F32="Yes",G32="Yes",H32="Yes")),SUM(J32:N32)-R32,0)</f>
        <v>0</v>
      </c>
    </row>
    <row r="33" spans="1:19" s="5" customFormat="1" x14ac:dyDescent="0.25">
      <c r="A33" s="6">
        <v>14000</v>
      </c>
      <c r="B33" s="7">
        <f t="shared" si="5"/>
        <v>1166.6666666666667</v>
      </c>
      <c r="C33" s="7">
        <f>'Total income package'!$D$80</f>
        <v>0</v>
      </c>
      <c r="D33" s="7">
        <f t="shared" si="6"/>
        <v>1166.6666666666667</v>
      </c>
      <c r="E33" s="65">
        <f t="shared" si="7"/>
        <v>0.64695009242144186</v>
      </c>
      <c r="F33" s="65" t="str">
        <f t="shared" si="0"/>
        <v>No</v>
      </c>
      <c r="G33" s="65" t="str">
        <f t="shared" si="1"/>
        <v>Yes</v>
      </c>
      <c r="H33" s="301" t="str">
        <f>IF(OR('TANF-VIEW'!L37&gt;0,'TANF-VIEW'!T37&gt;0),"Yes","No")</f>
        <v>No</v>
      </c>
      <c r="I33" s="63">
        <f t="shared" si="8"/>
        <v>0</v>
      </c>
      <c r="J33" s="6">
        <f>(IF(B33&gt;$N$2,0,VLOOKUP('Total income package'!$B$3,'Location specific data'!$A$3:$AO$135,33,FALSE))*$C$2)*20</f>
        <v>0</v>
      </c>
      <c r="K33" s="6">
        <f>IF(B33&gt;$N$2,0,VLOOKUP('Total income package'!$B$3,'Location specific data'!$A$3:$AO$135,34,FALSE))*$D$2*20</f>
        <v>0</v>
      </c>
      <c r="L33" s="6">
        <f>IF(B33&gt;$N$2,0,VLOOKUP('Total income package'!$B$3,'Location specific data'!$A$3:$AO$135,35,FALSE))*$E$2*20</f>
        <v>0</v>
      </c>
      <c r="M33" s="6">
        <f>IF(B33&gt;$N$2,0,VLOOKUP('Total income package'!$B$3,'Location specific data'!$A$3:$AO$135,36,FALSE))*$F$2*20</f>
        <v>0</v>
      </c>
      <c r="N33" s="6">
        <f>IF(B33&gt;$N$2,0,VLOOKUP('Total income package'!$B$3,'Location specific data'!$A$3:$AO$135,37,FALSE))*($G$2+$H$2)*20</f>
        <v>0</v>
      </c>
      <c r="O33" s="6">
        <f t="shared" si="2"/>
        <v>0</v>
      </c>
      <c r="P33" s="312">
        <f t="shared" si="3"/>
        <v>58.333333333333343</v>
      </c>
      <c r="Q33" s="312">
        <f t="shared" si="4"/>
        <v>0</v>
      </c>
      <c r="R33" s="312">
        <f t="shared" si="9"/>
        <v>0</v>
      </c>
      <c r="S33" s="160">
        <f>IF(AND('Total income package'!$A$8=TRUE,OR(F33="Yes",G33="Yes",H33="Yes")),SUM(J33:N33)-R33,0)</f>
        <v>0</v>
      </c>
    </row>
    <row r="34" spans="1:19" s="5" customFormat="1" x14ac:dyDescent="0.25">
      <c r="A34" s="6">
        <v>14500</v>
      </c>
      <c r="B34" s="7">
        <f t="shared" si="5"/>
        <v>1208.3333333333333</v>
      </c>
      <c r="C34" s="7">
        <f>'Total income package'!$D$80</f>
        <v>0</v>
      </c>
      <c r="D34" s="7">
        <f t="shared" si="6"/>
        <v>1208.3333333333333</v>
      </c>
      <c r="E34" s="65">
        <f t="shared" si="7"/>
        <v>0.67005545286506463</v>
      </c>
      <c r="F34" s="65" t="str">
        <f t="shared" si="0"/>
        <v>No</v>
      </c>
      <c r="G34" s="65" t="str">
        <f t="shared" si="1"/>
        <v>Yes</v>
      </c>
      <c r="H34" s="301" t="str">
        <f>IF(OR('TANF-VIEW'!L38&gt;0,'TANF-VIEW'!T38&gt;0),"Yes","No")</f>
        <v>No</v>
      </c>
      <c r="I34" s="63">
        <f t="shared" si="8"/>
        <v>0</v>
      </c>
      <c r="J34" s="6">
        <f>(IF(B34&gt;$N$2,0,VLOOKUP('Total income package'!$B$3,'Location specific data'!$A$3:$AO$135,33,FALSE))*$C$2)*20</f>
        <v>0</v>
      </c>
      <c r="K34" s="6">
        <f>IF(B34&gt;$N$2,0,VLOOKUP('Total income package'!$B$3,'Location specific data'!$A$3:$AO$135,34,FALSE))*$D$2*20</f>
        <v>0</v>
      </c>
      <c r="L34" s="6">
        <f>IF(B34&gt;$N$2,0,VLOOKUP('Total income package'!$B$3,'Location specific data'!$A$3:$AO$135,35,FALSE))*$E$2*20</f>
        <v>0</v>
      </c>
      <c r="M34" s="6">
        <f>IF(B34&gt;$N$2,0,VLOOKUP('Total income package'!$B$3,'Location specific data'!$A$3:$AO$135,36,FALSE))*$F$2*20</f>
        <v>0</v>
      </c>
      <c r="N34" s="6">
        <f>IF(B34&gt;$N$2,0,VLOOKUP('Total income package'!$B$3,'Location specific data'!$A$3:$AO$135,37,FALSE))*($G$2+$H$2)*20</f>
        <v>0</v>
      </c>
      <c r="O34" s="6">
        <f t="shared" si="2"/>
        <v>0</v>
      </c>
      <c r="P34" s="312">
        <f t="shared" si="3"/>
        <v>60.416666666666664</v>
      </c>
      <c r="Q34" s="312">
        <f t="shared" si="4"/>
        <v>0</v>
      </c>
      <c r="R34" s="312">
        <f t="shared" si="9"/>
        <v>0</v>
      </c>
      <c r="S34" s="160">
        <f>IF(AND('Total income package'!$A$8=TRUE,OR(F34="Yes",G34="Yes",H34="Yes")),SUM(J34:N34)-R34,0)</f>
        <v>0</v>
      </c>
    </row>
    <row r="35" spans="1:19" s="5" customFormat="1" x14ac:dyDescent="0.25">
      <c r="A35" s="6">
        <v>15000</v>
      </c>
      <c r="B35" s="7">
        <f t="shared" si="5"/>
        <v>1250</v>
      </c>
      <c r="C35" s="7">
        <f>'Total income package'!$D$80</f>
        <v>0</v>
      </c>
      <c r="D35" s="7">
        <f t="shared" si="6"/>
        <v>1250</v>
      </c>
      <c r="E35" s="65">
        <f t="shared" si="7"/>
        <v>0.69316081330868762</v>
      </c>
      <c r="F35" s="65" t="str">
        <f t="shared" si="0"/>
        <v>No</v>
      </c>
      <c r="G35" s="65" t="str">
        <f t="shared" si="1"/>
        <v>Yes</v>
      </c>
      <c r="H35" s="301" t="str">
        <f>IF(OR('TANF-VIEW'!L39&gt;0,'TANF-VIEW'!T39&gt;0),"Yes","No")</f>
        <v>No</v>
      </c>
      <c r="I35" s="63">
        <f t="shared" si="8"/>
        <v>0</v>
      </c>
      <c r="J35" s="6">
        <f>(IF(B35&gt;$N$2,0,VLOOKUP('Total income package'!$B$3,'Location specific data'!$A$3:$AO$135,33,FALSE))*$C$2)*20</f>
        <v>0</v>
      </c>
      <c r="K35" s="6">
        <f>IF(B35&gt;$N$2,0,VLOOKUP('Total income package'!$B$3,'Location specific data'!$A$3:$AO$135,34,FALSE))*$D$2*20</f>
        <v>0</v>
      </c>
      <c r="L35" s="6">
        <f>IF(B35&gt;$N$2,0,VLOOKUP('Total income package'!$B$3,'Location specific data'!$A$3:$AO$135,35,FALSE))*$E$2*20</f>
        <v>0</v>
      </c>
      <c r="M35" s="6">
        <f>IF(B35&gt;$N$2,0,VLOOKUP('Total income package'!$B$3,'Location specific data'!$A$3:$AO$135,36,FALSE))*$F$2*20</f>
        <v>0</v>
      </c>
      <c r="N35" s="6">
        <f>IF(B35&gt;$N$2,0,VLOOKUP('Total income package'!$B$3,'Location specific data'!$A$3:$AO$135,37,FALSE))*($G$2+$H$2)*20</f>
        <v>0</v>
      </c>
      <c r="O35" s="6">
        <f t="shared" si="2"/>
        <v>0</v>
      </c>
      <c r="P35" s="312">
        <f t="shared" si="3"/>
        <v>62.5</v>
      </c>
      <c r="Q35" s="312">
        <f t="shared" si="4"/>
        <v>0</v>
      </c>
      <c r="R35" s="312">
        <f t="shared" si="9"/>
        <v>0</v>
      </c>
      <c r="S35" s="160">
        <f>IF(AND('Total income package'!$A$8=TRUE,OR(F35="Yes",G35="Yes",H35="Yes")),SUM(J35:N35)-R35,0)</f>
        <v>0</v>
      </c>
    </row>
    <row r="36" spans="1:19" s="5" customFormat="1" x14ac:dyDescent="0.25">
      <c r="A36" s="6">
        <v>15500</v>
      </c>
      <c r="B36" s="7">
        <f t="shared" si="5"/>
        <v>1291.6666666666667</v>
      </c>
      <c r="C36" s="7">
        <f>'Total income package'!$D$80</f>
        <v>0</v>
      </c>
      <c r="D36" s="7">
        <f t="shared" si="6"/>
        <v>1291.6666666666667</v>
      </c>
      <c r="E36" s="65">
        <f t="shared" si="7"/>
        <v>0.71626617375231061</v>
      </c>
      <c r="F36" s="65" t="str">
        <f t="shared" si="0"/>
        <v>No</v>
      </c>
      <c r="G36" s="65" t="str">
        <f t="shared" si="1"/>
        <v>Yes</v>
      </c>
      <c r="H36" s="301" t="str">
        <f>IF(OR('TANF-VIEW'!L40&gt;0,'TANF-VIEW'!T40&gt;0),"Yes","No")</f>
        <v>No</v>
      </c>
      <c r="I36" s="63">
        <f t="shared" si="8"/>
        <v>0</v>
      </c>
      <c r="J36" s="6">
        <f>(IF(B36&gt;$N$2,0,VLOOKUP('Total income package'!$B$3,'Location specific data'!$A$3:$AO$135,33,FALSE))*$C$2)*20</f>
        <v>0</v>
      </c>
      <c r="K36" s="6">
        <f>IF(B36&gt;$N$2,0,VLOOKUP('Total income package'!$B$3,'Location specific data'!$A$3:$AO$135,34,FALSE))*$D$2*20</f>
        <v>0</v>
      </c>
      <c r="L36" s="6">
        <f>IF(B36&gt;$N$2,0,VLOOKUP('Total income package'!$B$3,'Location specific data'!$A$3:$AO$135,35,FALSE))*$E$2*20</f>
        <v>0</v>
      </c>
      <c r="M36" s="6">
        <f>IF(B36&gt;$N$2,0,VLOOKUP('Total income package'!$B$3,'Location specific data'!$A$3:$AO$135,36,FALSE))*$F$2*20</f>
        <v>0</v>
      </c>
      <c r="N36" s="6">
        <f>IF(B36&gt;$N$2,0,VLOOKUP('Total income package'!$B$3,'Location specific data'!$A$3:$AO$135,37,FALSE))*($G$2+$H$2)*20</f>
        <v>0</v>
      </c>
      <c r="O36" s="6">
        <f t="shared" si="2"/>
        <v>0</v>
      </c>
      <c r="P36" s="312">
        <f t="shared" si="3"/>
        <v>64.583333333333343</v>
      </c>
      <c r="Q36" s="312">
        <f t="shared" si="4"/>
        <v>0</v>
      </c>
      <c r="R36" s="312">
        <f t="shared" si="9"/>
        <v>0</v>
      </c>
      <c r="S36" s="160">
        <f>IF(AND('Total income package'!$A$8=TRUE,OR(F36="Yes",G36="Yes",H36="Yes")),SUM(J36:N36)-R36,0)</f>
        <v>0</v>
      </c>
    </row>
    <row r="37" spans="1:19" s="5" customFormat="1" x14ac:dyDescent="0.25">
      <c r="A37" s="6">
        <v>16000</v>
      </c>
      <c r="B37" s="7">
        <f t="shared" si="5"/>
        <v>1333.3333333333333</v>
      </c>
      <c r="C37" s="7">
        <f>'Total income package'!$D$80</f>
        <v>0</v>
      </c>
      <c r="D37" s="7">
        <f t="shared" si="6"/>
        <v>1333.3333333333333</v>
      </c>
      <c r="E37" s="65">
        <f t="shared" si="7"/>
        <v>0.73937153419593349</v>
      </c>
      <c r="F37" s="65" t="str">
        <f t="shared" si="0"/>
        <v>No</v>
      </c>
      <c r="G37" s="65" t="str">
        <f t="shared" si="1"/>
        <v>Yes</v>
      </c>
      <c r="H37" s="301" t="str">
        <f>IF(OR('TANF-VIEW'!L41&gt;0,'TANF-VIEW'!T41&gt;0),"Yes","No")</f>
        <v>No</v>
      </c>
      <c r="I37" s="63">
        <f t="shared" si="8"/>
        <v>0</v>
      </c>
      <c r="J37" s="6">
        <f>(IF(B37&gt;$N$2,0,VLOOKUP('Total income package'!$B$3,'Location specific data'!$A$3:$AO$135,33,FALSE))*$C$2)*20</f>
        <v>0</v>
      </c>
      <c r="K37" s="6">
        <f>IF(B37&gt;$N$2,0,VLOOKUP('Total income package'!$B$3,'Location specific data'!$A$3:$AO$135,34,FALSE))*$D$2*20</f>
        <v>0</v>
      </c>
      <c r="L37" s="6">
        <f>IF(B37&gt;$N$2,0,VLOOKUP('Total income package'!$B$3,'Location specific data'!$A$3:$AO$135,35,FALSE))*$E$2*20</f>
        <v>0</v>
      </c>
      <c r="M37" s="6">
        <f>IF(B37&gt;$N$2,0,VLOOKUP('Total income package'!$B$3,'Location specific data'!$A$3:$AO$135,36,FALSE))*$F$2*20</f>
        <v>0</v>
      </c>
      <c r="N37" s="6">
        <f>IF(B37&gt;$N$2,0,VLOOKUP('Total income package'!$B$3,'Location specific data'!$A$3:$AO$135,37,FALSE))*($G$2+$H$2)*20</f>
        <v>0</v>
      </c>
      <c r="O37" s="6">
        <f t="shared" si="2"/>
        <v>0</v>
      </c>
      <c r="P37" s="312">
        <f t="shared" ref="P37:P68" si="10">B37*0.05</f>
        <v>66.666666666666671</v>
      </c>
      <c r="Q37" s="312">
        <f t="shared" si="4"/>
        <v>0</v>
      </c>
      <c r="R37" s="312">
        <f t="shared" si="9"/>
        <v>0</v>
      </c>
      <c r="S37" s="160">
        <f>IF(AND('Total income package'!$A$8=TRUE,OR(F37="Yes",G37="Yes",H37="Yes")),SUM(J37:N37)-R37,0)</f>
        <v>0</v>
      </c>
    </row>
    <row r="38" spans="1:19" s="5" customFormat="1" x14ac:dyDescent="0.25">
      <c r="A38" s="6">
        <v>16500</v>
      </c>
      <c r="B38" s="7">
        <f t="shared" si="5"/>
        <v>1375</v>
      </c>
      <c r="C38" s="7">
        <f>'Total income package'!$D$80</f>
        <v>0</v>
      </c>
      <c r="D38" s="7">
        <f t="shared" si="6"/>
        <v>1375</v>
      </c>
      <c r="E38" s="65">
        <f t="shared" si="7"/>
        <v>0.76247689463955637</v>
      </c>
      <c r="F38" s="65" t="str">
        <f t="shared" si="0"/>
        <v>No</v>
      </c>
      <c r="G38" s="65" t="str">
        <f t="shared" si="1"/>
        <v>Yes</v>
      </c>
      <c r="H38" s="301" t="str">
        <f>IF(OR('TANF-VIEW'!L42&gt;0,'TANF-VIEW'!T42&gt;0),"Yes","No")</f>
        <v>No</v>
      </c>
      <c r="I38" s="63">
        <f t="shared" si="8"/>
        <v>0</v>
      </c>
      <c r="J38" s="6">
        <f>(IF(B38&gt;$N$2,0,VLOOKUP('Total income package'!$B$3,'Location specific data'!$A$3:$AO$135,33,FALSE))*$C$2)*20</f>
        <v>0</v>
      </c>
      <c r="K38" s="6">
        <f>IF(B38&gt;$N$2,0,VLOOKUP('Total income package'!$B$3,'Location specific data'!$A$3:$AO$135,34,FALSE))*$D$2*20</f>
        <v>0</v>
      </c>
      <c r="L38" s="6">
        <f>IF(B38&gt;$N$2,0,VLOOKUP('Total income package'!$B$3,'Location specific data'!$A$3:$AO$135,35,FALSE))*$E$2*20</f>
        <v>0</v>
      </c>
      <c r="M38" s="6">
        <f>IF(B38&gt;$N$2,0,VLOOKUP('Total income package'!$B$3,'Location specific data'!$A$3:$AO$135,36,FALSE))*$F$2*20</f>
        <v>0</v>
      </c>
      <c r="N38" s="6">
        <f>IF(B38&gt;$N$2,0,VLOOKUP('Total income package'!$B$3,'Location specific data'!$A$3:$AO$135,37,FALSE))*($G$2+$H$2)*20</f>
        <v>0</v>
      </c>
      <c r="O38" s="6">
        <f t="shared" si="2"/>
        <v>0</v>
      </c>
      <c r="P38" s="312">
        <f t="shared" si="10"/>
        <v>68.75</v>
      </c>
      <c r="Q38" s="312">
        <f t="shared" si="4"/>
        <v>0</v>
      </c>
      <c r="R38" s="312">
        <f t="shared" si="9"/>
        <v>0</v>
      </c>
      <c r="S38" s="160">
        <f>IF(AND('Total income package'!$A$8=TRUE,OR(F38="Yes",G38="Yes",H38="Yes")),SUM(J38:N38)-R38,0)</f>
        <v>0</v>
      </c>
    </row>
    <row r="39" spans="1:19" s="5" customFormat="1" x14ac:dyDescent="0.25">
      <c r="A39" s="6">
        <v>17000</v>
      </c>
      <c r="B39" s="7">
        <f t="shared" si="5"/>
        <v>1416.6666666666667</v>
      </c>
      <c r="C39" s="7">
        <f>'Total income package'!$D$80</f>
        <v>0</v>
      </c>
      <c r="D39" s="7">
        <f t="shared" si="6"/>
        <v>1416.6666666666667</v>
      </c>
      <c r="E39" s="65">
        <f t="shared" si="7"/>
        <v>0.78558225508317936</v>
      </c>
      <c r="F39" s="65" t="str">
        <f t="shared" si="0"/>
        <v>No</v>
      </c>
      <c r="G39" s="65" t="str">
        <f t="shared" si="1"/>
        <v>Yes</v>
      </c>
      <c r="H39" s="301" t="str">
        <f>IF(OR('TANF-VIEW'!L43&gt;0,'TANF-VIEW'!T43&gt;0),"Yes","No")</f>
        <v>No</v>
      </c>
      <c r="I39" s="63">
        <f t="shared" si="8"/>
        <v>0</v>
      </c>
      <c r="J39" s="6">
        <f>(IF(B39&gt;$N$2,0,VLOOKUP('Total income package'!$B$3,'Location specific data'!$A$3:$AO$135,33,FALSE))*$C$2)*20</f>
        <v>0</v>
      </c>
      <c r="K39" s="6">
        <f>IF(B39&gt;$N$2,0,VLOOKUP('Total income package'!$B$3,'Location specific data'!$A$3:$AO$135,34,FALSE))*$D$2*20</f>
        <v>0</v>
      </c>
      <c r="L39" s="6">
        <f>IF(B39&gt;$N$2,0,VLOOKUP('Total income package'!$B$3,'Location specific data'!$A$3:$AO$135,35,FALSE))*$E$2*20</f>
        <v>0</v>
      </c>
      <c r="M39" s="6">
        <f>IF(B39&gt;$N$2,0,VLOOKUP('Total income package'!$B$3,'Location specific data'!$A$3:$AO$135,36,FALSE))*$F$2*20</f>
        <v>0</v>
      </c>
      <c r="N39" s="6">
        <f>IF(B39&gt;$N$2,0,VLOOKUP('Total income package'!$B$3,'Location specific data'!$A$3:$AO$135,37,FALSE))*($G$2+$H$2)*20</f>
        <v>0</v>
      </c>
      <c r="O39" s="6">
        <f t="shared" si="2"/>
        <v>0</v>
      </c>
      <c r="P39" s="312">
        <f t="shared" si="10"/>
        <v>70.833333333333343</v>
      </c>
      <c r="Q39" s="312">
        <f t="shared" si="4"/>
        <v>0</v>
      </c>
      <c r="R39" s="312">
        <f t="shared" si="9"/>
        <v>0</v>
      </c>
      <c r="S39" s="160">
        <f>IF(AND('Total income package'!$A$8=TRUE,OR(F39="Yes",G39="Yes",H39="Yes")),SUM(J39:N39)-R39,0)</f>
        <v>0</v>
      </c>
    </row>
    <row r="40" spans="1:19" s="5" customFormat="1" x14ac:dyDescent="0.25">
      <c r="A40" s="6">
        <v>17500</v>
      </c>
      <c r="B40" s="7">
        <f t="shared" si="5"/>
        <v>1458.3333333333333</v>
      </c>
      <c r="C40" s="7">
        <f>'Total income package'!$D$80</f>
        <v>0</v>
      </c>
      <c r="D40" s="7">
        <f t="shared" si="6"/>
        <v>1458.3333333333333</v>
      </c>
      <c r="E40" s="65">
        <f t="shared" si="7"/>
        <v>0.80868761552680224</v>
      </c>
      <c r="F40" s="65" t="str">
        <f t="shared" si="0"/>
        <v>No</v>
      </c>
      <c r="G40" s="65" t="str">
        <f t="shared" si="1"/>
        <v>Yes</v>
      </c>
      <c r="H40" s="301" t="str">
        <f>IF(OR('TANF-VIEW'!L44&gt;0,'TANF-VIEW'!T44&gt;0),"Yes","No")</f>
        <v>No</v>
      </c>
      <c r="I40" s="63">
        <f t="shared" si="8"/>
        <v>0</v>
      </c>
      <c r="J40" s="6">
        <f>(IF(B40&gt;$N$2,0,VLOOKUP('Total income package'!$B$3,'Location specific data'!$A$3:$AO$135,33,FALSE))*$C$2)*20</f>
        <v>0</v>
      </c>
      <c r="K40" s="6">
        <f>IF(B40&gt;$N$2,0,VLOOKUP('Total income package'!$B$3,'Location specific data'!$A$3:$AO$135,34,FALSE))*$D$2*20</f>
        <v>0</v>
      </c>
      <c r="L40" s="6">
        <f>IF(B40&gt;$N$2,0,VLOOKUP('Total income package'!$B$3,'Location specific data'!$A$3:$AO$135,35,FALSE))*$E$2*20</f>
        <v>0</v>
      </c>
      <c r="M40" s="6">
        <f>IF(B40&gt;$N$2,0,VLOOKUP('Total income package'!$B$3,'Location specific data'!$A$3:$AO$135,36,FALSE))*$F$2*20</f>
        <v>0</v>
      </c>
      <c r="N40" s="6">
        <f>IF(B40&gt;$N$2,0,VLOOKUP('Total income package'!$B$3,'Location specific data'!$A$3:$AO$135,37,FALSE))*($G$2+$H$2)*20</f>
        <v>0</v>
      </c>
      <c r="O40" s="6">
        <f t="shared" si="2"/>
        <v>0</v>
      </c>
      <c r="P40" s="312">
        <f t="shared" si="10"/>
        <v>72.916666666666671</v>
      </c>
      <c r="Q40" s="312">
        <f t="shared" si="4"/>
        <v>0</v>
      </c>
      <c r="R40" s="312">
        <f t="shared" si="9"/>
        <v>0</v>
      </c>
      <c r="S40" s="160">
        <f>IF(AND('Total income package'!$A$8=TRUE,OR(F40="Yes",G40="Yes",H40="Yes")),SUM(J40:N40)-R40,0)</f>
        <v>0</v>
      </c>
    </row>
    <row r="41" spans="1:19" s="5" customFormat="1" x14ac:dyDescent="0.25">
      <c r="A41" s="6">
        <v>18000</v>
      </c>
      <c r="B41" s="7">
        <f t="shared" si="5"/>
        <v>1500</v>
      </c>
      <c r="C41" s="7">
        <f>'Total income package'!$D$80</f>
        <v>0</v>
      </c>
      <c r="D41" s="7">
        <f t="shared" si="6"/>
        <v>1500</v>
      </c>
      <c r="E41" s="65">
        <f t="shared" si="7"/>
        <v>0.83179297597042512</v>
      </c>
      <c r="F41" s="65" t="str">
        <f t="shared" si="0"/>
        <v>No</v>
      </c>
      <c r="G41" s="65" t="str">
        <f t="shared" si="1"/>
        <v>Yes</v>
      </c>
      <c r="H41" s="301" t="str">
        <f>IF(OR('TANF-VIEW'!L45&gt;0,'TANF-VIEW'!T45&gt;0),"Yes","No")</f>
        <v>No</v>
      </c>
      <c r="I41" s="63">
        <f t="shared" si="8"/>
        <v>0</v>
      </c>
      <c r="J41" s="6">
        <f>(IF(B41&gt;$N$2,0,VLOOKUP('Total income package'!$B$3,'Location specific data'!$A$3:$AO$135,33,FALSE))*$C$2)*20</f>
        <v>0</v>
      </c>
      <c r="K41" s="6">
        <f>IF(B41&gt;$N$2,0,VLOOKUP('Total income package'!$B$3,'Location specific data'!$A$3:$AO$135,34,FALSE))*$D$2*20</f>
        <v>0</v>
      </c>
      <c r="L41" s="6">
        <f>IF(B41&gt;$N$2,0,VLOOKUP('Total income package'!$B$3,'Location specific data'!$A$3:$AO$135,35,FALSE))*$E$2*20</f>
        <v>0</v>
      </c>
      <c r="M41" s="6">
        <f>IF(B41&gt;$N$2,0,VLOOKUP('Total income package'!$B$3,'Location specific data'!$A$3:$AO$135,36,FALSE))*$F$2*20</f>
        <v>0</v>
      </c>
      <c r="N41" s="6">
        <f>IF(B41&gt;$N$2,0,VLOOKUP('Total income package'!$B$3,'Location specific data'!$A$3:$AO$135,37,FALSE))*($G$2+$H$2)*20</f>
        <v>0</v>
      </c>
      <c r="O41" s="6">
        <f t="shared" si="2"/>
        <v>0</v>
      </c>
      <c r="P41" s="312">
        <f t="shared" si="10"/>
        <v>75</v>
      </c>
      <c r="Q41" s="312">
        <f t="shared" si="4"/>
        <v>0</v>
      </c>
      <c r="R41" s="312">
        <f t="shared" si="9"/>
        <v>0</v>
      </c>
      <c r="S41" s="160">
        <f>IF(AND('Total income package'!$A$8=TRUE,OR(F41="Yes",G41="Yes",H41="Yes")),SUM(J41:N41)-R41,0)</f>
        <v>0</v>
      </c>
    </row>
    <row r="42" spans="1:19" s="5" customFormat="1" x14ac:dyDescent="0.25">
      <c r="A42" s="6">
        <v>18500</v>
      </c>
      <c r="B42" s="7">
        <f t="shared" si="5"/>
        <v>1541.6666666666667</v>
      </c>
      <c r="C42" s="7">
        <f>'Total income package'!$D$80</f>
        <v>0</v>
      </c>
      <c r="D42" s="7">
        <f t="shared" si="6"/>
        <v>1541.6666666666667</v>
      </c>
      <c r="E42" s="65">
        <f t="shared" si="7"/>
        <v>0.85489833641404811</v>
      </c>
      <c r="F42" s="65" t="str">
        <f t="shared" si="0"/>
        <v>No</v>
      </c>
      <c r="G42" s="65" t="str">
        <f t="shared" si="1"/>
        <v>Yes</v>
      </c>
      <c r="H42" s="301" t="str">
        <f>IF(OR('TANF-VIEW'!L46&gt;0,'TANF-VIEW'!T46&gt;0),"Yes","No")</f>
        <v>No</v>
      </c>
      <c r="I42" s="63">
        <f t="shared" si="8"/>
        <v>0</v>
      </c>
      <c r="J42" s="6">
        <f>(IF(B42&gt;$N$2,0,VLOOKUP('Total income package'!$B$3,'Location specific data'!$A$3:$AO$135,33,FALSE))*$C$2)*20</f>
        <v>0</v>
      </c>
      <c r="K42" s="6">
        <f>IF(B42&gt;$N$2,0,VLOOKUP('Total income package'!$B$3,'Location specific data'!$A$3:$AO$135,34,FALSE))*$D$2*20</f>
        <v>0</v>
      </c>
      <c r="L42" s="6">
        <f>IF(B42&gt;$N$2,0,VLOOKUP('Total income package'!$B$3,'Location specific data'!$A$3:$AO$135,35,FALSE))*$E$2*20</f>
        <v>0</v>
      </c>
      <c r="M42" s="6">
        <f>IF(B42&gt;$N$2,0,VLOOKUP('Total income package'!$B$3,'Location specific data'!$A$3:$AO$135,36,FALSE))*$F$2*20</f>
        <v>0</v>
      </c>
      <c r="N42" s="6">
        <f>IF(B42&gt;$N$2,0,VLOOKUP('Total income package'!$B$3,'Location specific data'!$A$3:$AO$135,37,FALSE))*($G$2+$H$2)*20</f>
        <v>0</v>
      </c>
      <c r="O42" s="6">
        <f t="shared" si="2"/>
        <v>0</v>
      </c>
      <c r="P42" s="312">
        <f t="shared" si="10"/>
        <v>77.083333333333343</v>
      </c>
      <c r="Q42" s="312">
        <f t="shared" si="4"/>
        <v>0</v>
      </c>
      <c r="R42" s="312">
        <f t="shared" si="9"/>
        <v>0</v>
      </c>
      <c r="S42" s="160">
        <f>IF(AND('Total income package'!$A$8=TRUE,OR(F42="Yes",G42="Yes",H42="Yes")),SUM(J42:N42)-R42,0)</f>
        <v>0</v>
      </c>
    </row>
    <row r="43" spans="1:19" s="5" customFormat="1" x14ac:dyDescent="0.25">
      <c r="A43" s="6">
        <v>19000</v>
      </c>
      <c r="B43" s="7">
        <f t="shared" si="5"/>
        <v>1583.3333333333333</v>
      </c>
      <c r="C43" s="7">
        <f>'Total income package'!$D$80</f>
        <v>0</v>
      </c>
      <c r="D43" s="7">
        <f t="shared" si="6"/>
        <v>1583.3333333333333</v>
      </c>
      <c r="E43" s="65">
        <f t="shared" si="7"/>
        <v>0.87800369685767099</v>
      </c>
      <c r="F43" s="65" t="str">
        <f t="shared" si="0"/>
        <v>No</v>
      </c>
      <c r="G43" s="65" t="str">
        <f t="shared" si="1"/>
        <v>Yes</v>
      </c>
      <c r="H43" s="301" t="str">
        <f>IF(OR('TANF-VIEW'!L47&gt;0,'TANF-VIEW'!T47&gt;0),"Yes","No")</f>
        <v>No</v>
      </c>
      <c r="I43" s="63">
        <f t="shared" si="8"/>
        <v>0</v>
      </c>
      <c r="J43" s="6">
        <f>(IF(B43&gt;$N$2,0,VLOOKUP('Total income package'!$B$3,'Location specific data'!$A$3:$AO$135,33,FALSE))*$C$2)*20</f>
        <v>0</v>
      </c>
      <c r="K43" s="6">
        <f>IF(B43&gt;$N$2,0,VLOOKUP('Total income package'!$B$3,'Location specific data'!$A$3:$AO$135,34,FALSE))*$D$2*20</f>
        <v>0</v>
      </c>
      <c r="L43" s="6">
        <f>IF(B43&gt;$N$2,0,VLOOKUP('Total income package'!$B$3,'Location specific data'!$A$3:$AO$135,35,FALSE))*$E$2*20</f>
        <v>0</v>
      </c>
      <c r="M43" s="6">
        <f>IF(B43&gt;$N$2,0,VLOOKUP('Total income package'!$B$3,'Location specific data'!$A$3:$AO$135,36,FALSE))*$F$2*20</f>
        <v>0</v>
      </c>
      <c r="N43" s="6">
        <f>IF(B43&gt;$N$2,0,VLOOKUP('Total income package'!$B$3,'Location specific data'!$A$3:$AO$135,37,FALSE))*($G$2+$H$2)*20</f>
        <v>0</v>
      </c>
      <c r="O43" s="6">
        <f t="shared" si="2"/>
        <v>0</v>
      </c>
      <c r="P43" s="312">
        <f t="shared" si="10"/>
        <v>79.166666666666671</v>
      </c>
      <c r="Q43" s="312">
        <f t="shared" si="4"/>
        <v>0</v>
      </c>
      <c r="R43" s="312">
        <f t="shared" si="9"/>
        <v>0</v>
      </c>
      <c r="S43" s="160">
        <f>IF(AND('Total income package'!$A$8=TRUE,OR(F43="Yes",G43="Yes",H43="Yes")),SUM(J43:N43)-R43,0)</f>
        <v>0</v>
      </c>
    </row>
    <row r="44" spans="1:19" s="5" customFormat="1" x14ac:dyDescent="0.25">
      <c r="A44" s="6">
        <v>19500</v>
      </c>
      <c r="B44" s="7">
        <f t="shared" si="5"/>
        <v>1625</v>
      </c>
      <c r="C44" s="7">
        <f>'Total income package'!$D$80</f>
        <v>0</v>
      </c>
      <c r="D44" s="7">
        <f t="shared" si="6"/>
        <v>1625</v>
      </c>
      <c r="E44" s="65">
        <f t="shared" si="7"/>
        <v>0.90110905730129398</v>
      </c>
      <c r="F44" s="65" t="str">
        <f t="shared" si="0"/>
        <v>No</v>
      </c>
      <c r="G44" s="65" t="str">
        <f t="shared" si="1"/>
        <v>Yes</v>
      </c>
      <c r="H44" s="301" t="str">
        <f>IF(OR('TANF-VIEW'!L48&gt;0,'TANF-VIEW'!T48&gt;0),"Yes","No")</f>
        <v>No</v>
      </c>
      <c r="I44" s="63">
        <f t="shared" si="8"/>
        <v>0</v>
      </c>
      <c r="J44" s="6">
        <f>(IF(B44&gt;$N$2,0,VLOOKUP('Total income package'!$B$3,'Location specific data'!$A$3:$AO$135,33,FALSE))*$C$2)*20</f>
        <v>0</v>
      </c>
      <c r="K44" s="6">
        <f>IF(B44&gt;$N$2,0,VLOOKUP('Total income package'!$B$3,'Location specific data'!$A$3:$AO$135,34,FALSE))*$D$2*20</f>
        <v>0</v>
      </c>
      <c r="L44" s="6">
        <f>IF(B44&gt;$N$2,0,VLOOKUP('Total income package'!$B$3,'Location specific data'!$A$3:$AO$135,35,FALSE))*$E$2*20</f>
        <v>0</v>
      </c>
      <c r="M44" s="6">
        <f>IF(B44&gt;$N$2,0,VLOOKUP('Total income package'!$B$3,'Location specific data'!$A$3:$AO$135,36,FALSE))*$F$2*20</f>
        <v>0</v>
      </c>
      <c r="N44" s="6">
        <f>IF(B44&gt;$N$2,0,VLOOKUP('Total income package'!$B$3,'Location specific data'!$A$3:$AO$135,37,FALSE))*($G$2+$H$2)*20</f>
        <v>0</v>
      </c>
      <c r="O44" s="6">
        <f t="shared" si="2"/>
        <v>0</v>
      </c>
      <c r="P44" s="312">
        <f t="shared" si="10"/>
        <v>81.25</v>
      </c>
      <c r="Q44" s="312">
        <f t="shared" si="4"/>
        <v>0</v>
      </c>
      <c r="R44" s="312">
        <f t="shared" si="9"/>
        <v>0</v>
      </c>
      <c r="S44" s="160">
        <f>IF(AND('Total income package'!$A$8=TRUE,OR(F44="Yes",G44="Yes",H44="Yes")),SUM(J44:N44)-R44,0)</f>
        <v>0</v>
      </c>
    </row>
    <row r="45" spans="1:19" s="5" customFormat="1" x14ac:dyDescent="0.25">
      <c r="A45" s="6">
        <v>20000</v>
      </c>
      <c r="B45" s="7">
        <f t="shared" si="5"/>
        <v>1666.6666666666667</v>
      </c>
      <c r="C45" s="7">
        <f>'Total income package'!$D$80</f>
        <v>0</v>
      </c>
      <c r="D45" s="7">
        <f t="shared" si="6"/>
        <v>1666.6666666666667</v>
      </c>
      <c r="E45" s="65">
        <f t="shared" si="7"/>
        <v>0.92421441774491686</v>
      </c>
      <c r="F45" s="65" t="str">
        <f t="shared" si="0"/>
        <v>No</v>
      </c>
      <c r="G45" s="65" t="str">
        <f t="shared" si="1"/>
        <v>Yes</v>
      </c>
      <c r="H45" s="301" t="str">
        <f>IF(OR('TANF-VIEW'!L49&gt;0,'TANF-VIEW'!T49&gt;0),"Yes","No")</f>
        <v>No</v>
      </c>
      <c r="I45" s="63">
        <f t="shared" si="8"/>
        <v>0</v>
      </c>
      <c r="J45" s="6">
        <f>(IF(B45&gt;$N$2,0,VLOOKUP('Total income package'!$B$3,'Location specific data'!$A$3:$AO$135,33,FALSE))*$C$2)*20</f>
        <v>0</v>
      </c>
      <c r="K45" s="6">
        <f>IF(B45&gt;$N$2,0,VLOOKUP('Total income package'!$B$3,'Location specific data'!$A$3:$AO$135,34,FALSE))*$D$2*20</f>
        <v>0</v>
      </c>
      <c r="L45" s="6">
        <f>IF(B45&gt;$N$2,0,VLOOKUP('Total income package'!$B$3,'Location specific data'!$A$3:$AO$135,35,FALSE))*$E$2*20</f>
        <v>0</v>
      </c>
      <c r="M45" s="6">
        <f>IF(B45&gt;$N$2,0,VLOOKUP('Total income package'!$B$3,'Location specific data'!$A$3:$AO$135,36,FALSE))*$F$2*20</f>
        <v>0</v>
      </c>
      <c r="N45" s="6">
        <f>IF(B45&gt;$N$2,0,VLOOKUP('Total income package'!$B$3,'Location specific data'!$A$3:$AO$135,37,FALSE))*($G$2+$H$2)*20</f>
        <v>0</v>
      </c>
      <c r="O45" s="6">
        <f t="shared" si="2"/>
        <v>0</v>
      </c>
      <c r="P45" s="312">
        <f t="shared" si="10"/>
        <v>83.333333333333343</v>
      </c>
      <c r="Q45" s="312">
        <f t="shared" si="4"/>
        <v>0</v>
      </c>
      <c r="R45" s="312">
        <f t="shared" si="9"/>
        <v>0</v>
      </c>
      <c r="S45" s="160">
        <f>IF(AND('Total income package'!$A$8=TRUE,OR(F45="Yes",G45="Yes",H45="Yes")),SUM(J45:N45)-R45,0)</f>
        <v>0</v>
      </c>
    </row>
    <row r="46" spans="1:19" s="5" customFormat="1" x14ac:dyDescent="0.25">
      <c r="A46" s="6">
        <v>20500</v>
      </c>
      <c r="B46" s="7">
        <f t="shared" si="5"/>
        <v>1708.3333333333333</v>
      </c>
      <c r="C46" s="7">
        <f>'Total income package'!$D$80</f>
        <v>0</v>
      </c>
      <c r="D46" s="7">
        <f t="shared" si="6"/>
        <v>1708.3333333333333</v>
      </c>
      <c r="E46" s="65">
        <f t="shared" si="7"/>
        <v>0.94731977818853974</v>
      </c>
      <c r="F46" s="65" t="str">
        <f t="shared" si="0"/>
        <v>No</v>
      </c>
      <c r="G46" s="65" t="str">
        <f t="shared" si="1"/>
        <v>Yes</v>
      </c>
      <c r="H46" s="301" t="str">
        <f>IF(OR('TANF-VIEW'!L50&gt;0,'TANF-VIEW'!T50&gt;0),"Yes","No")</f>
        <v>No</v>
      </c>
      <c r="I46" s="63">
        <f t="shared" si="8"/>
        <v>0</v>
      </c>
      <c r="J46" s="6">
        <f>(IF(B46&gt;$N$2,0,VLOOKUP('Total income package'!$B$3,'Location specific data'!$A$3:$AO$135,33,FALSE))*$C$2)*20</f>
        <v>0</v>
      </c>
      <c r="K46" s="6">
        <f>IF(B46&gt;$N$2,0,VLOOKUP('Total income package'!$B$3,'Location specific data'!$A$3:$AO$135,34,FALSE))*$D$2*20</f>
        <v>0</v>
      </c>
      <c r="L46" s="6">
        <f>IF(B46&gt;$N$2,0,VLOOKUP('Total income package'!$B$3,'Location specific data'!$A$3:$AO$135,35,FALSE))*$E$2*20</f>
        <v>0</v>
      </c>
      <c r="M46" s="6">
        <f>IF(B46&gt;$N$2,0,VLOOKUP('Total income package'!$B$3,'Location specific data'!$A$3:$AO$135,36,FALSE))*$F$2*20</f>
        <v>0</v>
      </c>
      <c r="N46" s="6">
        <f>IF(B46&gt;$N$2,0,VLOOKUP('Total income package'!$B$3,'Location specific data'!$A$3:$AO$135,37,FALSE))*($G$2+$H$2)*20</f>
        <v>0</v>
      </c>
      <c r="O46" s="6">
        <f t="shared" si="2"/>
        <v>0</v>
      </c>
      <c r="P46" s="312">
        <f t="shared" si="10"/>
        <v>85.416666666666671</v>
      </c>
      <c r="Q46" s="312">
        <f t="shared" si="4"/>
        <v>0</v>
      </c>
      <c r="R46" s="312">
        <f t="shared" si="9"/>
        <v>0</v>
      </c>
      <c r="S46" s="160">
        <f>IF(AND('Total income package'!$A$8=TRUE,OR(F46="Yes",G46="Yes",H46="Yes")),SUM(J46:N46)-R46,0)</f>
        <v>0</v>
      </c>
    </row>
    <row r="47" spans="1:19" s="5" customFormat="1" x14ac:dyDescent="0.25">
      <c r="A47" s="6">
        <v>21000</v>
      </c>
      <c r="B47" s="7">
        <f t="shared" si="5"/>
        <v>1750</v>
      </c>
      <c r="C47" s="7">
        <f>'Total income package'!$D$80</f>
        <v>0</v>
      </c>
      <c r="D47" s="7">
        <f t="shared" si="6"/>
        <v>1750</v>
      </c>
      <c r="E47" s="65">
        <f t="shared" si="7"/>
        <v>0.97042513863216273</v>
      </c>
      <c r="F47" s="65" t="str">
        <f t="shared" si="0"/>
        <v>No</v>
      </c>
      <c r="G47" s="65" t="str">
        <f t="shared" si="1"/>
        <v>Yes</v>
      </c>
      <c r="H47" s="301" t="str">
        <f>IF(OR('TANF-VIEW'!L51&gt;0,'TANF-VIEW'!T51&gt;0),"Yes","No")</f>
        <v>No</v>
      </c>
      <c r="I47" s="63">
        <f t="shared" si="8"/>
        <v>0</v>
      </c>
      <c r="J47" s="6">
        <f>(IF(B47&gt;$N$2,0,VLOOKUP('Total income package'!$B$3,'Location specific data'!$A$3:$AO$135,33,FALSE))*$C$2)*20</f>
        <v>0</v>
      </c>
      <c r="K47" s="6">
        <f>IF(B47&gt;$N$2,0,VLOOKUP('Total income package'!$B$3,'Location specific data'!$A$3:$AO$135,34,FALSE))*$D$2*20</f>
        <v>0</v>
      </c>
      <c r="L47" s="6">
        <f>IF(B47&gt;$N$2,0,VLOOKUP('Total income package'!$B$3,'Location specific data'!$A$3:$AO$135,35,FALSE))*$E$2*20</f>
        <v>0</v>
      </c>
      <c r="M47" s="6">
        <f>IF(B47&gt;$N$2,0,VLOOKUP('Total income package'!$B$3,'Location specific data'!$A$3:$AO$135,36,FALSE))*$F$2*20</f>
        <v>0</v>
      </c>
      <c r="N47" s="6">
        <f>IF(B47&gt;$N$2,0,VLOOKUP('Total income package'!$B$3,'Location specific data'!$A$3:$AO$135,37,FALSE))*($G$2+$H$2)*20</f>
        <v>0</v>
      </c>
      <c r="O47" s="6">
        <f t="shared" si="2"/>
        <v>0</v>
      </c>
      <c r="P47" s="312">
        <f t="shared" si="10"/>
        <v>87.5</v>
      </c>
      <c r="Q47" s="312">
        <f t="shared" si="4"/>
        <v>0</v>
      </c>
      <c r="R47" s="312">
        <f t="shared" si="9"/>
        <v>0</v>
      </c>
      <c r="S47" s="160">
        <f>IF(AND('Total income package'!$A$8=TRUE,OR(F47="Yes",G47="Yes",H47="Yes")),SUM(J47:N47)-R47,0)</f>
        <v>0</v>
      </c>
    </row>
    <row r="48" spans="1:19" s="5" customFormat="1" x14ac:dyDescent="0.25">
      <c r="A48" s="6">
        <v>21500</v>
      </c>
      <c r="B48" s="7">
        <f t="shared" si="5"/>
        <v>1791.6666666666667</v>
      </c>
      <c r="C48" s="7">
        <f>'Total income package'!$D$80</f>
        <v>0</v>
      </c>
      <c r="D48" s="7">
        <f t="shared" si="6"/>
        <v>1791.6666666666667</v>
      </c>
      <c r="E48" s="65">
        <f t="shared" si="7"/>
        <v>0.99353049907578561</v>
      </c>
      <c r="F48" s="65" t="str">
        <f t="shared" si="0"/>
        <v>No</v>
      </c>
      <c r="G48" s="65" t="str">
        <f t="shared" si="1"/>
        <v>Yes</v>
      </c>
      <c r="H48" s="301" t="str">
        <f>IF(OR('TANF-VIEW'!L52&gt;0,'TANF-VIEW'!T52&gt;0),"Yes","No")</f>
        <v>No</v>
      </c>
      <c r="I48" s="63">
        <f t="shared" si="8"/>
        <v>0</v>
      </c>
      <c r="J48" s="6">
        <f>(IF(B48&gt;$N$2,0,VLOOKUP('Total income package'!$B$3,'Location specific data'!$A$3:$AO$135,33,FALSE))*$C$2)*20</f>
        <v>0</v>
      </c>
      <c r="K48" s="6">
        <f>IF(B48&gt;$N$2,0,VLOOKUP('Total income package'!$B$3,'Location specific data'!$A$3:$AO$135,34,FALSE))*$D$2*20</f>
        <v>0</v>
      </c>
      <c r="L48" s="6">
        <f>IF(B48&gt;$N$2,0,VLOOKUP('Total income package'!$B$3,'Location specific data'!$A$3:$AO$135,35,FALSE))*$E$2*20</f>
        <v>0</v>
      </c>
      <c r="M48" s="6">
        <f>IF(B48&gt;$N$2,0,VLOOKUP('Total income package'!$B$3,'Location specific data'!$A$3:$AO$135,36,FALSE))*$F$2*20</f>
        <v>0</v>
      </c>
      <c r="N48" s="6">
        <f>IF(B48&gt;$N$2,0,VLOOKUP('Total income package'!$B$3,'Location specific data'!$A$3:$AO$135,37,FALSE))*($G$2+$H$2)*20</f>
        <v>0</v>
      </c>
      <c r="O48" s="6">
        <f t="shared" si="2"/>
        <v>0</v>
      </c>
      <c r="P48" s="312">
        <f t="shared" si="10"/>
        <v>89.583333333333343</v>
      </c>
      <c r="Q48" s="312">
        <f t="shared" si="4"/>
        <v>0</v>
      </c>
      <c r="R48" s="312">
        <f t="shared" si="9"/>
        <v>0</v>
      </c>
      <c r="S48" s="160">
        <f>IF(AND('Total income package'!$A$8=TRUE,OR(F48="Yes",G48="Yes",H48="Yes")),SUM(J48:N48)-R48,0)</f>
        <v>0</v>
      </c>
    </row>
    <row r="49" spans="1:19" s="5" customFormat="1" x14ac:dyDescent="0.25">
      <c r="A49" s="6">
        <v>22000</v>
      </c>
      <c r="B49" s="7">
        <f t="shared" si="5"/>
        <v>1833.3333333333333</v>
      </c>
      <c r="C49" s="7">
        <f>'Total income package'!$D$80</f>
        <v>0</v>
      </c>
      <c r="D49" s="7">
        <f t="shared" si="6"/>
        <v>1833.3333333333333</v>
      </c>
      <c r="E49" s="65">
        <f t="shared" si="7"/>
        <v>1.0166358595194085</v>
      </c>
      <c r="F49" s="65" t="str">
        <f t="shared" si="0"/>
        <v>No</v>
      </c>
      <c r="G49" s="65" t="str">
        <f t="shared" si="1"/>
        <v>Yes</v>
      </c>
      <c r="H49" s="301" t="str">
        <f>IF(OR('TANF-VIEW'!L53&gt;0,'TANF-VIEW'!T53&gt;0),"Yes","No")</f>
        <v>No</v>
      </c>
      <c r="I49" s="63">
        <f t="shared" si="8"/>
        <v>0</v>
      </c>
      <c r="J49" s="6">
        <f>(IF(B49&gt;$N$2,0,VLOOKUP('Total income package'!$B$3,'Location specific data'!$A$3:$AO$135,33,FALSE))*$C$2)*20</f>
        <v>0</v>
      </c>
      <c r="K49" s="6">
        <f>IF(B49&gt;$N$2,0,VLOOKUP('Total income package'!$B$3,'Location specific data'!$A$3:$AO$135,34,FALSE))*$D$2*20</f>
        <v>0</v>
      </c>
      <c r="L49" s="6">
        <f>IF(B49&gt;$N$2,0,VLOOKUP('Total income package'!$B$3,'Location specific data'!$A$3:$AO$135,35,FALSE))*$E$2*20</f>
        <v>0</v>
      </c>
      <c r="M49" s="6">
        <f>IF(B49&gt;$N$2,0,VLOOKUP('Total income package'!$B$3,'Location specific data'!$A$3:$AO$135,36,FALSE))*$F$2*20</f>
        <v>0</v>
      </c>
      <c r="N49" s="6">
        <f>IF(B49&gt;$N$2,0,VLOOKUP('Total income package'!$B$3,'Location specific data'!$A$3:$AO$135,37,FALSE))*($G$2+$H$2)*20</f>
        <v>0</v>
      </c>
      <c r="O49" s="6">
        <f t="shared" si="2"/>
        <v>0</v>
      </c>
      <c r="P49" s="312">
        <f t="shared" si="10"/>
        <v>91.666666666666671</v>
      </c>
      <c r="Q49" s="312">
        <f t="shared" si="4"/>
        <v>0</v>
      </c>
      <c r="R49" s="312">
        <f t="shared" si="9"/>
        <v>0</v>
      </c>
      <c r="S49" s="160">
        <f>IF(AND('Total income package'!$A$8=TRUE,OR(F49="Yes",G49="Yes",H49="Yes")),SUM(J49:N49)-R49,0)</f>
        <v>0</v>
      </c>
    </row>
    <row r="50" spans="1:19" s="5" customFormat="1" x14ac:dyDescent="0.25">
      <c r="A50" s="6">
        <v>22500</v>
      </c>
      <c r="B50" s="7">
        <f t="shared" si="5"/>
        <v>1875</v>
      </c>
      <c r="C50" s="7">
        <f>'Total income package'!$D$80</f>
        <v>0</v>
      </c>
      <c r="D50" s="7">
        <f t="shared" si="6"/>
        <v>1875</v>
      </c>
      <c r="E50" s="65">
        <f t="shared" si="7"/>
        <v>1.0397412199630314</v>
      </c>
      <c r="F50" s="65" t="str">
        <f t="shared" si="0"/>
        <v>No</v>
      </c>
      <c r="G50" s="65" t="str">
        <f t="shared" si="1"/>
        <v>Yes</v>
      </c>
      <c r="H50" s="301" t="str">
        <f>IF(OR('TANF-VIEW'!L54&gt;0,'TANF-VIEW'!T54&gt;0),"Yes","No")</f>
        <v>No</v>
      </c>
      <c r="I50" s="63">
        <f t="shared" si="8"/>
        <v>0</v>
      </c>
      <c r="J50" s="6">
        <f>(IF(B50&gt;$N$2,0,VLOOKUP('Total income package'!$B$3,'Location specific data'!$A$3:$AO$135,33,FALSE))*$C$2)*20</f>
        <v>0</v>
      </c>
      <c r="K50" s="6">
        <f>IF(B50&gt;$N$2,0,VLOOKUP('Total income package'!$B$3,'Location specific data'!$A$3:$AO$135,34,FALSE))*$D$2*20</f>
        <v>0</v>
      </c>
      <c r="L50" s="6">
        <f>IF(B50&gt;$N$2,0,VLOOKUP('Total income package'!$B$3,'Location specific data'!$A$3:$AO$135,35,FALSE))*$E$2*20</f>
        <v>0</v>
      </c>
      <c r="M50" s="6">
        <f>IF(B50&gt;$N$2,0,VLOOKUP('Total income package'!$B$3,'Location specific data'!$A$3:$AO$135,36,FALSE))*$F$2*20</f>
        <v>0</v>
      </c>
      <c r="N50" s="6">
        <f>IF(B50&gt;$N$2,0,VLOOKUP('Total income package'!$B$3,'Location specific data'!$A$3:$AO$135,37,FALSE))*($G$2+$H$2)*20</f>
        <v>0</v>
      </c>
      <c r="O50" s="6">
        <f t="shared" si="2"/>
        <v>0</v>
      </c>
      <c r="P50" s="312">
        <f t="shared" si="10"/>
        <v>93.75</v>
      </c>
      <c r="Q50" s="312">
        <f t="shared" si="4"/>
        <v>0</v>
      </c>
      <c r="R50" s="312">
        <f t="shared" si="9"/>
        <v>0</v>
      </c>
      <c r="S50" s="160">
        <f>IF(AND('Total income package'!$A$8=TRUE,OR(F50="Yes",G50="Yes",H50="Yes")),SUM(J50:N50)-R50,0)</f>
        <v>0</v>
      </c>
    </row>
    <row r="51" spans="1:19" s="5" customFormat="1" x14ac:dyDescent="0.25">
      <c r="A51" s="6">
        <v>23000</v>
      </c>
      <c r="B51" s="7">
        <f t="shared" si="5"/>
        <v>1916.6666666666667</v>
      </c>
      <c r="C51" s="7">
        <f>'Total income package'!$D$80</f>
        <v>0</v>
      </c>
      <c r="D51" s="7">
        <f t="shared" si="6"/>
        <v>1916.6666666666667</v>
      </c>
      <c r="E51" s="65">
        <f t="shared" si="7"/>
        <v>1.0628465804066545</v>
      </c>
      <c r="F51" s="65" t="str">
        <f t="shared" si="0"/>
        <v>No</v>
      </c>
      <c r="G51" s="65" t="str">
        <f t="shared" si="1"/>
        <v>Yes</v>
      </c>
      <c r="H51" s="301" t="str">
        <f>IF(OR('TANF-VIEW'!L55&gt;0,'TANF-VIEW'!T55&gt;0),"Yes","No")</f>
        <v>No</v>
      </c>
      <c r="I51" s="63">
        <f t="shared" si="8"/>
        <v>0</v>
      </c>
      <c r="J51" s="6">
        <f>(IF(B51&gt;$N$2,0,VLOOKUP('Total income package'!$B$3,'Location specific data'!$A$3:$AO$135,33,FALSE))*$C$2)*20</f>
        <v>0</v>
      </c>
      <c r="K51" s="6">
        <f>IF(B51&gt;$N$2,0,VLOOKUP('Total income package'!$B$3,'Location specific data'!$A$3:$AO$135,34,FALSE))*$D$2*20</f>
        <v>0</v>
      </c>
      <c r="L51" s="6">
        <f>IF(B51&gt;$N$2,0,VLOOKUP('Total income package'!$B$3,'Location specific data'!$A$3:$AO$135,35,FALSE))*$E$2*20</f>
        <v>0</v>
      </c>
      <c r="M51" s="6">
        <f>IF(B51&gt;$N$2,0,VLOOKUP('Total income package'!$B$3,'Location specific data'!$A$3:$AO$135,36,FALSE))*$F$2*20</f>
        <v>0</v>
      </c>
      <c r="N51" s="6">
        <f>IF(B51&gt;$N$2,0,VLOOKUP('Total income package'!$B$3,'Location specific data'!$A$3:$AO$135,37,FALSE))*($G$2+$H$2)*20</f>
        <v>0</v>
      </c>
      <c r="O51" s="6">
        <f t="shared" si="2"/>
        <v>0</v>
      </c>
      <c r="P51" s="312">
        <f t="shared" si="10"/>
        <v>95.833333333333343</v>
      </c>
      <c r="Q51" s="312">
        <f t="shared" si="4"/>
        <v>0</v>
      </c>
      <c r="R51" s="312">
        <f t="shared" si="9"/>
        <v>0</v>
      </c>
      <c r="S51" s="160">
        <f>IF(AND('Total income package'!$A$8=TRUE,OR(F51="Yes",G51="Yes",H51="Yes")),SUM(J51:N51)-R51,0)</f>
        <v>0</v>
      </c>
    </row>
    <row r="52" spans="1:19" s="5" customFormat="1" x14ac:dyDescent="0.25">
      <c r="A52" s="6">
        <v>23500</v>
      </c>
      <c r="B52" s="7">
        <f t="shared" si="5"/>
        <v>1958.3333333333333</v>
      </c>
      <c r="C52" s="7">
        <f>'Total income package'!$D$80</f>
        <v>0</v>
      </c>
      <c r="D52" s="7">
        <f t="shared" si="6"/>
        <v>1958.3333333333333</v>
      </c>
      <c r="E52" s="65">
        <f t="shared" si="7"/>
        <v>1.0859519408502774</v>
      </c>
      <c r="F52" s="65" t="str">
        <f t="shared" si="0"/>
        <v>No</v>
      </c>
      <c r="G52" s="65" t="str">
        <f t="shared" si="1"/>
        <v>Yes</v>
      </c>
      <c r="H52" s="301" t="str">
        <f>IF(OR('TANF-VIEW'!L56&gt;0,'TANF-VIEW'!T56&gt;0),"Yes","No")</f>
        <v>No</v>
      </c>
      <c r="I52" s="63">
        <f t="shared" si="8"/>
        <v>0</v>
      </c>
      <c r="J52" s="6">
        <f>(IF(B52&gt;$N$2,0,VLOOKUP('Total income package'!$B$3,'Location specific data'!$A$3:$AO$135,33,FALSE))*$C$2)*20</f>
        <v>0</v>
      </c>
      <c r="K52" s="6">
        <f>IF(B52&gt;$N$2,0,VLOOKUP('Total income package'!$B$3,'Location specific data'!$A$3:$AO$135,34,FALSE))*$D$2*20</f>
        <v>0</v>
      </c>
      <c r="L52" s="6">
        <f>IF(B52&gt;$N$2,0,VLOOKUP('Total income package'!$B$3,'Location specific data'!$A$3:$AO$135,35,FALSE))*$E$2*20</f>
        <v>0</v>
      </c>
      <c r="M52" s="6">
        <f>IF(B52&gt;$N$2,0,VLOOKUP('Total income package'!$B$3,'Location specific data'!$A$3:$AO$135,36,FALSE))*$F$2*20</f>
        <v>0</v>
      </c>
      <c r="N52" s="6">
        <f>IF(B52&gt;$N$2,0,VLOOKUP('Total income package'!$B$3,'Location specific data'!$A$3:$AO$135,37,FALSE))*($G$2+$H$2)*20</f>
        <v>0</v>
      </c>
      <c r="O52" s="6">
        <f t="shared" si="2"/>
        <v>0</v>
      </c>
      <c r="P52" s="312">
        <f t="shared" si="10"/>
        <v>97.916666666666671</v>
      </c>
      <c r="Q52" s="312">
        <f t="shared" si="4"/>
        <v>0</v>
      </c>
      <c r="R52" s="312">
        <f t="shared" si="9"/>
        <v>0</v>
      </c>
      <c r="S52" s="160">
        <f>IF(AND('Total income package'!$A$8=TRUE,OR(F52="Yes",G52="Yes",H52="Yes")),SUM(J52:N52)-R52,0)</f>
        <v>0</v>
      </c>
    </row>
    <row r="53" spans="1:19" s="5" customFormat="1" x14ac:dyDescent="0.25">
      <c r="A53" s="6">
        <v>24000</v>
      </c>
      <c r="B53" s="7">
        <f t="shared" si="5"/>
        <v>2000</v>
      </c>
      <c r="C53" s="7">
        <f>'Total income package'!$D$80</f>
        <v>0</v>
      </c>
      <c r="D53" s="7">
        <f t="shared" si="6"/>
        <v>2000</v>
      </c>
      <c r="E53" s="65">
        <f t="shared" si="7"/>
        <v>1.1090573012939002</v>
      </c>
      <c r="F53" s="65" t="str">
        <f t="shared" si="0"/>
        <v>No</v>
      </c>
      <c r="G53" s="65" t="str">
        <f t="shared" si="1"/>
        <v>Yes</v>
      </c>
      <c r="H53" s="301" t="str">
        <f>IF(OR('TANF-VIEW'!L57&gt;0,'TANF-VIEW'!T57&gt;0),"Yes","No")</f>
        <v>No</v>
      </c>
      <c r="I53" s="63">
        <f t="shared" si="8"/>
        <v>0</v>
      </c>
      <c r="J53" s="6">
        <f>(IF(B53&gt;$N$2,0,VLOOKUP('Total income package'!$B$3,'Location specific data'!$A$3:$AO$135,33,FALSE))*$C$2)*20</f>
        <v>0</v>
      </c>
      <c r="K53" s="6">
        <f>IF(B53&gt;$N$2,0,VLOOKUP('Total income package'!$B$3,'Location specific data'!$A$3:$AO$135,34,FALSE))*$D$2*20</f>
        <v>0</v>
      </c>
      <c r="L53" s="6">
        <f>IF(B53&gt;$N$2,0,VLOOKUP('Total income package'!$B$3,'Location specific data'!$A$3:$AO$135,35,FALSE))*$E$2*20</f>
        <v>0</v>
      </c>
      <c r="M53" s="6">
        <f>IF(B53&gt;$N$2,0,VLOOKUP('Total income package'!$B$3,'Location specific data'!$A$3:$AO$135,36,FALSE))*$F$2*20</f>
        <v>0</v>
      </c>
      <c r="N53" s="6">
        <f>IF(B53&gt;$N$2,0,VLOOKUP('Total income package'!$B$3,'Location specific data'!$A$3:$AO$135,37,FALSE))*($G$2+$H$2)*20</f>
        <v>0</v>
      </c>
      <c r="O53" s="6">
        <f t="shared" si="2"/>
        <v>0</v>
      </c>
      <c r="P53" s="312">
        <f t="shared" si="10"/>
        <v>100</v>
      </c>
      <c r="Q53" s="312">
        <f t="shared" si="4"/>
        <v>0</v>
      </c>
      <c r="R53" s="312">
        <f t="shared" si="9"/>
        <v>0</v>
      </c>
      <c r="S53" s="160">
        <f>IF(AND('Total income package'!$A$8=TRUE,OR(F53="Yes",G53="Yes",H53="Yes")),SUM(J53:N53)-R53,0)</f>
        <v>0</v>
      </c>
    </row>
    <row r="54" spans="1:19" s="5" customFormat="1" x14ac:dyDescent="0.25">
      <c r="A54" s="6">
        <v>24500</v>
      </c>
      <c r="B54" s="7">
        <f t="shared" si="5"/>
        <v>2041.6666666666667</v>
      </c>
      <c r="C54" s="7">
        <f>'Total income package'!$D$80</f>
        <v>0</v>
      </c>
      <c r="D54" s="7">
        <f t="shared" si="6"/>
        <v>2041.6666666666667</v>
      </c>
      <c r="E54" s="65">
        <f t="shared" si="7"/>
        <v>1.1321626617375231</v>
      </c>
      <c r="F54" s="65" t="str">
        <f t="shared" si="0"/>
        <v>No</v>
      </c>
      <c r="G54" s="65" t="str">
        <f t="shared" si="1"/>
        <v>Yes</v>
      </c>
      <c r="H54" s="301" t="str">
        <f>IF(OR('TANF-VIEW'!L58&gt;0,'TANF-VIEW'!T58&gt;0),"Yes","No")</f>
        <v>No</v>
      </c>
      <c r="I54" s="63">
        <f t="shared" si="8"/>
        <v>0</v>
      </c>
      <c r="J54" s="6">
        <f>(IF(B54&gt;$N$2,0,VLOOKUP('Total income package'!$B$3,'Location specific data'!$A$3:$AO$135,33,FALSE))*$C$2)*20</f>
        <v>0</v>
      </c>
      <c r="K54" s="6">
        <f>IF(B54&gt;$N$2,0,VLOOKUP('Total income package'!$B$3,'Location specific data'!$A$3:$AO$135,34,FALSE))*$D$2*20</f>
        <v>0</v>
      </c>
      <c r="L54" s="6">
        <f>IF(B54&gt;$N$2,0,VLOOKUP('Total income package'!$B$3,'Location specific data'!$A$3:$AO$135,35,FALSE))*$E$2*20</f>
        <v>0</v>
      </c>
      <c r="M54" s="6">
        <f>IF(B54&gt;$N$2,0,VLOOKUP('Total income package'!$B$3,'Location specific data'!$A$3:$AO$135,36,FALSE))*$F$2*20</f>
        <v>0</v>
      </c>
      <c r="N54" s="6">
        <f>IF(B54&gt;$N$2,0,VLOOKUP('Total income package'!$B$3,'Location specific data'!$A$3:$AO$135,37,FALSE))*($G$2+$H$2)*20</f>
        <v>0</v>
      </c>
      <c r="O54" s="6">
        <f t="shared" si="2"/>
        <v>0</v>
      </c>
      <c r="P54" s="312">
        <f t="shared" si="10"/>
        <v>102.08333333333334</v>
      </c>
      <c r="Q54" s="312">
        <f t="shared" si="4"/>
        <v>0</v>
      </c>
      <c r="R54" s="312">
        <f t="shared" si="9"/>
        <v>0</v>
      </c>
      <c r="S54" s="160">
        <f>IF(AND('Total income package'!$A$8=TRUE,OR(F54="Yes",G54="Yes",H54="Yes")),SUM(J54:N54)-R54,0)</f>
        <v>0</v>
      </c>
    </row>
    <row r="55" spans="1:19" s="5" customFormat="1" x14ac:dyDescent="0.25">
      <c r="A55" s="6">
        <v>25000</v>
      </c>
      <c r="B55" s="7">
        <f t="shared" si="5"/>
        <v>2083.3333333333335</v>
      </c>
      <c r="C55" s="7">
        <f>'Total income package'!$D$80</f>
        <v>0</v>
      </c>
      <c r="D55" s="7">
        <f t="shared" si="6"/>
        <v>2083.3333333333335</v>
      </c>
      <c r="E55" s="65">
        <f t="shared" si="7"/>
        <v>1.1552680221811462</v>
      </c>
      <c r="F55" s="65" t="str">
        <f t="shared" si="0"/>
        <v>No</v>
      </c>
      <c r="G55" s="65" t="str">
        <f t="shared" si="1"/>
        <v>Yes</v>
      </c>
      <c r="H55" s="301" t="str">
        <f>IF(OR('TANF-VIEW'!L59&gt;0,'TANF-VIEW'!T59&gt;0),"Yes","No")</f>
        <v>No</v>
      </c>
      <c r="I55" s="63">
        <f t="shared" si="8"/>
        <v>0</v>
      </c>
      <c r="J55" s="6">
        <f>(IF(B55&gt;$N$2,0,VLOOKUP('Total income package'!$B$3,'Location specific data'!$A$3:$AO$135,33,FALSE))*$C$2)*20</f>
        <v>0</v>
      </c>
      <c r="K55" s="6">
        <f>IF(B55&gt;$N$2,0,VLOOKUP('Total income package'!$B$3,'Location specific data'!$A$3:$AO$135,34,FALSE))*$D$2*20</f>
        <v>0</v>
      </c>
      <c r="L55" s="6">
        <f>IF(B55&gt;$N$2,0,VLOOKUP('Total income package'!$B$3,'Location specific data'!$A$3:$AO$135,35,FALSE))*$E$2*20</f>
        <v>0</v>
      </c>
      <c r="M55" s="6">
        <f>IF(B55&gt;$N$2,0,VLOOKUP('Total income package'!$B$3,'Location specific data'!$A$3:$AO$135,36,FALSE))*$F$2*20</f>
        <v>0</v>
      </c>
      <c r="N55" s="6">
        <f>IF(B55&gt;$N$2,0,VLOOKUP('Total income package'!$B$3,'Location specific data'!$A$3:$AO$135,37,FALSE))*($G$2+$H$2)*20</f>
        <v>0</v>
      </c>
      <c r="O55" s="6">
        <f t="shared" si="2"/>
        <v>0</v>
      </c>
      <c r="P55" s="312">
        <f t="shared" si="10"/>
        <v>104.16666666666669</v>
      </c>
      <c r="Q55" s="312">
        <f t="shared" si="4"/>
        <v>0</v>
      </c>
      <c r="R55" s="312">
        <f t="shared" si="9"/>
        <v>0</v>
      </c>
      <c r="S55" s="160">
        <f>IF(AND('Total income package'!$A$8=TRUE,OR(F55="Yes",G55="Yes",H55="Yes")),SUM(J55:N55)-R55,0)</f>
        <v>0</v>
      </c>
    </row>
    <row r="56" spans="1:19" s="5" customFormat="1" x14ac:dyDescent="0.25">
      <c r="A56" s="6">
        <v>25500</v>
      </c>
      <c r="B56" s="7">
        <f t="shared" si="5"/>
        <v>2125</v>
      </c>
      <c r="C56" s="7">
        <f>'Total income package'!$D$80</f>
        <v>0</v>
      </c>
      <c r="D56" s="7">
        <f t="shared" si="6"/>
        <v>2125</v>
      </c>
      <c r="E56" s="65">
        <f t="shared" si="7"/>
        <v>1.1783733826247691</v>
      </c>
      <c r="F56" s="65" t="str">
        <f t="shared" si="0"/>
        <v>No</v>
      </c>
      <c r="G56" s="65" t="str">
        <f t="shared" si="1"/>
        <v>Yes</v>
      </c>
      <c r="H56" s="301" t="str">
        <f>IF(OR('TANF-VIEW'!L60&gt;0,'TANF-VIEW'!T60&gt;0),"Yes","No")</f>
        <v>No</v>
      </c>
      <c r="I56" s="63">
        <f t="shared" si="8"/>
        <v>0</v>
      </c>
      <c r="J56" s="6">
        <f>(IF(B56&gt;$N$2,0,VLOOKUP('Total income package'!$B$3,'Location specific data'!$A$3:$AO$135,33,FALSE))*$C$2)*20</f>
        <v>0</v>
      </c>
      <c r="K56" s="6">
        <f>IF(B56&gt;$N$2,0,VLOOKUP('Total income package'!$B$3,'Location specific data'!$A$3:$AO$135,34,FALSE))*$D$2*20</f>
        <v>0</v>
      </c>
      <c r="L56" s="6">
        <f>IF(B56&gt;$N$2,0,VLOOKUP('Total income package'!$B$3,'Location specific data'!$A$3:$AO$135,35,FALSE))*$E$2*20</f>
        <v>0</v>
      </c>
      <c r="M56" s="6">
        <f>IF(B56&gt;$N$2,0,VLOOKUP('Total income package'!$B$3,'Location specific data'!$A$3:$AO$135,36,FALSE))*$F$2*20</f>
        <v>0</v>
      </c>
      <c r="N56" s="6">
        <f>IF(B56&gt;$N$2,0,VLOOKUP('Total income package'!$B$3,'Location specific data'!$A$3:$AO$135,37,FALSE))*($G$2+$H$2)*20</f>
        <v>0</v>
      </c>
      <c r="O56" s="6">
        <f t="shared" si="2"/>
        <v>0</v>
      </c>
      <c r="P56" s="312">
        <f t="shared" si="10"/>
        <v>106.25</v>
      </c>
      <c r="Q56" s="312">
        <f t="shared" si="4"/>
        <v>0</v>
      </c>
      <c r="R56" s="312">
        <f t="shared" si="9"/>
        <v>0</v>
      </c>
      <c r="S56" s="160">
        <f>IF(AND('Total income package'!$A$8=TRUE,OR(F56="Yes",G56="Yes",H56="Yes")),SUM(J56:N56)-R56,0)</f>
        <v>0</v>
      </c>
    </row>
    <row r="57" spans="1:19" s="5" customFormat="1" x14ac:dyDescent="0.25">
      <c r="A57" s="6">
        <v>26000</v>
      </c>
      <c r="B57" s="7">
        <f t="shared" si="5"/>
        <v>2166.6666666666665</v>
      </c>
      <c r="C57" s="7">
        <f>'Total income package'!$D$80</f>
        <v>0</v>
      </c>
      <c r="D57" s="7">
        <f t="shared" si="6"/>
        <v>2166.6666666666665</v>
      </c>
      <c r="E57" s="65">
        <f t="shared" si="7"/>
        <v>1.2014787430683918</v>
      </c>
      <c r="F57" s="65" t="str">
        <f t="shared" si="0"/>
        <v>No</v>
      </c>
      <c r="G57" s="65" t="str">
        <f t="shared" si="1"/>
        <v>Yes</v>
      </c>
      <c r="H57" s="301" t="str">
        <f>IF(OR('TANF-VIEW'!L61&gt;0,'TANF-VIEW'!T61&gt;0),"Yes","No")</f>
        <v>No</v>
      </c>
      <c r="I57" s="63">
        <f t="shared" si="8"/>
        <v>0</v>
      </c>
      <c r="J57" s="6">
        <f>(IF(B57&gt;$N$2,0,VLOOKUP('Total income package'!$B$3,'Location specific data'!$A$3:$AO$135,33,FALSE))*$C$2)*20</f>
        <v>0</v>
      </c>
      <c r="K57" s="6">
        <f>IF(B57&gt;$N$2,0,VLOOKUP('Total income package'!$B$3,'Location specific data'!$A$3:$AO$135,34,FALSE))*$D$2*20</f>
        <v>0</v>
      </c>
      <c r="L57" s="6">
        <f>IF(B57&gt;$N$2,0,VLOOKUP('Total income package'!$B$3,'Location specific data'!$A$3:$AO$135,35,FALSE))*$E$2*20</f>
        <v>0</v>
      </c>
      <c r="M57" s="6">
        <f>IF(B57&gt;$N$2,0,VLOOKUP('Total income package'!$B$3,'Location specific data'!$A$3:$AO$135,36,FALSE))*$F$2*20</f>
        <v>0</v>
      </c>
      <c r="N57" s="6">
        <f>IF(B57&gt;$N$2,0,VLOOKUP('Total income package'!$B$3,'Location specific data'!$A$3:$AO$135,37,FALSE))*($G$2+$H$2)*20</f>
        <v>0</v>
      </c>
      <c r="O57" s="6">
        <f t="shared" si="2"/>
        <v>0</v>
      </c>
      <c r="P57" s="312">
        <f t="shared" si="10"/>
        <v>108.33333333333333</v>
      </c>
      <c r="Q57" s="312">
        <f t="shared" si="4"/>
        <v>0</v>
      </c>
      <c r="R57" s="312">
        <f t="shared" si="9"/>
        <v>0</v>
      </c>
      <c r="S57" s="160">
        <f>IF(AND('Total income package'!$A$8=TRUE,OR(F57="Yes",G57="Yes",H57="Yes")),SUM(J57:N57)-R57,0)</f>
        <v>0</v>
      </c>
    </row>
    <row r="58" spans="1:19" s="5" customFormat="1" x14ac:dyDescent="0.25">
      <c r="A58" s="6">
        <v>26500</v>
      </c>
      <c r="B58" s="7">
        <f t="shared" si="5"/>
        <v>2208.3333333333335</v>
      </c>
      <c r="C58" s="7">
        <f>'Total income package'!$D$80</f>
        <v>0</v>
      </c>
      <c r="D58" s="7">
        <f t="shared" si="6"/>
        <v>2208.3333333333335</v>
      </c>
      <c r="E58" s="65">
        <f t="shared" si="7"/>
        <v>1.2245841035120149</v>
      </c>
      <c r="F58" s="65" t="str">
        <f t="shared" si="0"/>
        <v>No</v>
      </c>
      <c r="G58" s="65" t="str">
        <f t="shared" si="1"/>
        <v>Yes</v>
      </c>
      <c r="H58" s="301" t="str">
        <f>IF(OR('TANF-VIEW'!L62&gt;0,'TANF-VIEW'!T62&gt;0),"Yes","No")</f>
        <v>No</v>
      </c>
      <c r="I58" s="63">
        <f t="shared" si="8"/>
        <v>0</v>
      </c>
      <c r="J58" s="6">
        <f>(IF(B58&gt;$N$2,0,VLOOKUP('Total income package'!$B$3,'Location specific data'!$A$3:$AO$135,33,FALSE))*$C$2)*20</f>
        <v>0</v>
      </c>
      <c r="K58" s="6">
        <f>IF(B58&gt;$N$2,0,VLOOKUP('Total income package'!$B$3,'Location specific data'!$A$3:$AO$135,34,FALSE))*$D$2*20</f>
        <v>0</v>
      </c>
      <c r="L58" s="6">
        <f>IF(B58&gt;$N$2,0,VLOOKUP('Total income package'!$B$3,'Location specific data'!$A$3:$AO$135,35,FALSE))*$E$2*20</f>
        <v>0</v>
      </c>
      <c r="M58" s="6">
        <f>IF(B58&gt;$N$2,0,VLOOKUP('Total income package'!$B$3,'Location specific data'!$A$3:$AO$135,36,FALSE))*$F$2*20</f>
        <v>0</v>
      </c>
      <c r="N58" s="6">
        <f>IF(B58&gt;$N$2,0,VLOOKUP('Total income package'!$B$3,'Location specific data'!$A$3:$AO$135,37,FALSE))*($G$2+$H$2)*20</f>
        <v>0</v>
      </c>
      <c r="O58" s="6">
        <f t="shared" si="2"/>
        <v>0</v>
      </c>
      <c r="P58" s="312">
        <f t="shared" si="10"/>
        <v>110.41666666666669</v>
      </c>
      <c r="Q58" s="312">
        <f t="shared" si="4"/>
        <v>0</v>
      </c>
      <c r="R58" s="312">
        <f t="shared" si="9"/>
        <v>0</v>
      </c>
      <c r="S58" s="160">
        <f>IF(AND('Total income package'!$A$8=TRUE,OR(F58="Yes",G58="Yes",H58="Yes")),SUM(J58:N58)-R58,0)</f>
        <v>0</v>
      </c>
    </row>
    <row r="59" spans="1:19" s="5" customFormat="1" x14ac:dyDescent="0.25">
      <c r="A59" s="6">
        <v>27000</v>
      </c>
      <c r="B59" s="7">
        <f t="shared" si="5"/>
        <v>2250</v>
      </c>
      <c r="C59" s="7">
        <f>'Total income package'!$D$80</f>
        <v>0</v>
      </c>
      <c r="D59" s="7">
        <f t="shared" si="6"/>
        <v>2250</v>
      </c>
      <c r="E59" s="65">
        <f t="shared" si="7"/>
        <v>1.2476894639556377</v>
      </c>
      <c r="F59" s="65" t="str">
        <f t="shared" si="0"/>
        <v>No</v>
      </c>
      <c r="G59" s="65" t="str">
        <f t="shared" si="1"/>
        <v>Yes</v>
      </c>
      <c r="H59" s="301" t="str">
        <f>IF(OR('TANF-VIEW'!L63&gt;0,'TANF-VIEW'!T63&gt;0),"Yes","No")</f>
        <v>No</v>
      </c>
      <c r="I59" s="63">
        <f t="shared" si="8"/>
        <v>0</v>
      </c>
      <c r="J59" s="6">
        <f>(IF(B59&gt;$N$2,0,VLOOKUP('Total income package'!$B$3,'Location specific data'!$A$3:$AO$135,33,FALSE))*$C$2)*20</f>
        <v>0</v>
      </c>
      <c r="K59" s="6">
        <f>IF(B59&gt;$N$2,0,VLOOKUP('Total income package'!$B$3,'Location specific data'!$A$3:$AO$135,34,FALSE))*$D$2*20</f>
        <v>0</v>
      </c>
      <c r="L59" s="6">
        <f>IF(B59&gt;$N$2,0,VLOOKUP('Total income package'!$B$3,'Location specific data'!$A$3:$AO$135,35,FALSE))*$E$2*20</f>
        <v>0</v>
      </c>
      <c r="M59" s="6">
        <f>IF(B59&gt;$N$2,0,VLOOKUP('Total income package'!$B$3,'Location specific data'!$A$3:$AO$135,36,FALSE))*$F$2*20</f>
        <v>0</v>
      </c>
      <c r="N59" s="6">
        <f>IF(B59&gt;$N$2,0,VLOOKUP('Total income package'!$B$3,'Location specific data'!$A$3:$AO$135,37,FALSE))*($G$2+$H$2)*20</f>
        <v>0</v>
      </c>
      <c r="O59" s="6">
        <f t="shared" si="2"/>
        <v>0</v>
      </c>
      <c r="P59" s="312">
        <f t="shared" si="10"/>
        <v>112.5</v>
      </c>
      <c r="Q59" s="312">
        <f t="shared" si="4"/>
        <v>0</v>
      </c>
      <c r="R59" s="312">
        <f t="shared" si="9"/>
        <v>0</v>
      </c>
      <c r="S59" s="160">
        <f>IF(AND('Total income package'!$A$8=TRUE,OR(F59="Yes",G59="Yes",H59="Yes")),SUM(J59:N59)-R59,0)</f>
        <v>0</v>
      </c>
    </row>
    <row r="60" spans="1:19" s="5" customFormat="1" x14ac:dyDescent="0.25">
      <c r="A60" s="6">
        <v>27500</v>
      </c>
      <c r="B60" s="7">
        <f t="shared" si="5"/>
        <v>2291.6666666666665</v>
      </c>
      <c r="C60" s="7">
        <f>'Total income package'!$D$80</f>
        <v>0</v>
      </c>
      <c r="D60" s="7">
        <f t="shared" si="6"/>
        <v>2291.6666666666665</v>
      </c>
      <c r="E60" s="65">
        <f t="shared" si="7"/>
        <v>1.2707948243992606</v>
      </c>
      <c r="F60" s="65" t="str">
        <f t="shared" si="0"/>
        <v>No</v>
      </c>
      <c r="G60" s="65" t="str">
        <f t="shared" si="1"/>
        <v>Yes</v>
      </c>
      <c r="H60" s="301" t="str">
        <f>IF(OR('TANF-VIEW'!L64&gt;0,'TANF-VIEW'!T64&gt;0),"Yes","No")</f>
        <v>No</v>
      </c>
      <c r="I60" s="63">
        <f t="shared" si="8"/>
        <v>0</v>
      </c>
      <c r="J60" s="6">
        <f>(IF(B60&gt;$N$2,0,VLOOKUP('Total income package'!$B$3,'Location specific data'!$A$3:$AO$135,33,FALSE))*$C$2)*20</f>
        <v>0</v>
      </c>
      <c r="K60" s="6">
        <f>IF(B60&gt;$N$2,0,VLOOKUP('Total income package'!$B$3,'Location specific data'!$A$3:$AO$135,34,FALSE))*$D$2*20</f>
        <v>0</v>
      </c>
      <c r="L60" s="6">
        <f>IF(B60&gt;$N$2,0,VLOOKUP('Total income package'!$B$3,'Location specific data'!$A$3:$AO$135,35,FALSE))*$E$2*20</f>
        <v>0</v>
      </c>
      <c r="M60" s="6">
        <f>IF(B60&gt;$N$2,0,VLOOKUP('Total income package'!$B$3,'Location specific data'!$A$3:$AO$135,36,FALSE))*$F$2*20</f>
        <v>0</v>
      </c>
      <c r="N60" s="6">
        <f>IF(B60&gt;$N$2,0,VLOOKUP('Total income package'!$B$3,'Location specific data'!$A$3:$AO$135,37,FALSE))*($G$2+$H$2)*20</f>
        <v>0</v>
      </c>
      <c r="O60" s="6">
        <f t="shared" si="2"/>
        <v>0</v>
      </c>
      <c r="P60" s="312">
        <f t="shared" si="10"/>
        <v>114.58333333333333</v>
      </c>
      <c r="Q60" s="312">
        <f t="shared" si="4"/>
        <v>0</v>
      </c>
      <c r="R60" s="312">
        <f t="shared" si="9"/>
        <v>0</v>
      </c>
      <c r="S60" s="160">
        <f>IF(AND('Total income package'!$A$8=TRUE,OR(F60="Yes",G60="Yes",H60="Yes")),SUM(J60:N60)-R60,0)</f>
        <v>0</v>
      </c>
    </row>
    <row r="61" spans="1:19" s="5" customFormat="1" x14ac:dyDescent="0.25">
      <c r="A61" s="6">
        <v>28000</v>
      </c>
      <c r="B61" s="7">
        <f t="shared" si="5"/>
        <v>2333.3333333333335</v>
      </c>
      <c r="C61" s="7">
        <f>'Total income package'!$D$80</f>
        <v>0</v>
      </c>
      <c r="D61" s="7">
        <f t="shared" si="6"/>
        <v>2333.3333333333335</v>
      </c>
      <c r="E61" s="65">
        <f t="shared" si="7"/>
        <v>1.2939001848428837</v>
      </c>
      <c r="F61" s="65" t="str">
        <f t="shared" si="0"/>
        <v>No</v>
      </c>
      <c r="G61" s="65" t="str">
        <f t="shared" si="1"/>
        <v>Yes</v>
      </c>
      <c r="H61" s="301" t="str">
        <f>IF(OR('TANF-VIEW'!L65&gt;0,'TANF-VIEW'!T65&gt;0),"Yes","No")</f>
        <v>No</v>
      </c>
      <c r="I61" s="63">
        <f t="shared" si="8"/>
        <v>0</v>
      </c>
      <c r="J61" s="6">
        <f>(IF(B61&gt;$N$2,0,VLOOKUP('Total income package'!$B$3,'Location specific data'!$A$3:$AO$135,33,FALSE))*$C$2)*20</f>
        <v>0</v>
      </c>
      <c r="K61" s="6">
        <f>IF(B61&gt;$N$2,0,VLOOKUP('Total income package'!$B$3,'Location specific data'!$A$3:$AO$135,34,FALSE))*$D$2*20</f>
        <v>0</v>
      </c>
      <c r="L61" s="6">
        <f>IF(B61&gt;$N$2,0,VLOOKUP('Total income package'!$B$3,'Location specific data'!$A$3:$AO$135,35,FALSE))*$E$2*20</f>
        <v>0</v>
      </c>
      <c r="M61" s="6">
        <f>IF(B61&gt;$N$2,0,VLOOKUP('Total income package'!$B$3,'Location specific data'!$A$3:$AO$135,36,FALSE))*$F$2*20</f>
        <v>0</v>
      </c>
      <c r="N61" s="6">
        <f>IF(B61&gt;$N$2,0,VLOOKUP('Total income package'!$B$3,'Location specific data'!$A$3:$AO$135,37,FALSE))*($G$2+$H$2)*20</f>
        <v>0</v>
      </c>
      <c r="O61" s="6">
        <f t="shared" si="2"/>
        <v>0</v>
      </c>
      <c r="P61" s="312">
        <f t="shared" si="10"/>
        <v>116.66666666666669</v>
      </c>
      <c r="Q61" s="312">
        <f t="shared" si="4"/>
        <v>0</v>
      </c>
      <c r="R61" s="312">
        <f t="shared" si="9"/>
        <v>0</v>
      </c>
      <c r="S61" s="160">
        <f>IF(AND('Total income package'!$A$8=TRUE,OR(F61="Yes",G61="Yes",H61="Yes")),SUM(J61:N61)-R61,0)</f>
        <v>0</v>
      </c>
    </row>
    <row r="62" spans="1:19" s="5" customFormat="1" x14ac:dyDescent="0.25">
      <c r="A62" s="6">
        <v>28500</v>
      </c>
      <c r="B62" s="7">
        <f t="shared" si="5"/>
        <v>2375</v>
      </c>
      <c r="C62" s="7">
        <f>'Total income package'!$D$80</f>
        <v>0</v>
      </c>
      <c r="D62" s="7">
        <f t="shared" si="6"/>
        <v>2375</v>
      </c>
      <c r="E62" s="65">
        <f t="shared" si="7"/>
        <v>1.3170055452865066</v>
      </c>
      <c r="F62" s="65" t="str">
        <f t="shared" si="0"/>
        <v>No</v>
      </c>
      <c r="G62" s="65" t="str">
        <f t="shared" si="1"/>
        <v>Yes</v>
      </c>
      <c r="H62" s="301" t="str">
        <f>IF(OR('TANF-VIEW'!L66&gt;0,'TANF-VIEW'!T66&gt;0),"Yes","No")</f>
        <v>No</v>
      </c>
      <c r="I62" s="63">
        <f t="shared" si="8"/>
        <v>0</v>
      </c>
      <c r="J62" s="6">
        <f>(IF(B62&gt;$N$2,0,VLOOKUP('Total income package'!$B$3,'Location specific data'!$A$3:$AO$135,33,FALSE))*$C$2)*20</f>
        <v>0</v>
      </c>
      <c r="K62" s="6">
        <f>IF(B62&gt;$N$2,0,VLOOKUP('Total income package'!$B$3,'Location specific data'!$A$3:$AO$135,34,FALSE))*$D$2*20</f>
        <v>0</v>
      </c>
      <c r="L62" s="6">
        <f>IF(B62&gt;$N$2,0,VLOOKUP('Total income package'!$B$3,'Location specific data'!$A$3:$AO$135,35,FALSE))*$E$2*20</f>
        <v>0</v>
      </c>
      <c r="M62" s="6">
        <f>IF(B62&gt;$N$2,0,VLOOKUP('Total income package'!$B$3,'Location specific data'!$A$3:$AO$135,36,FALSE))*$F$2*20</f>
        <v>0</v>
      </c>
      <c r="N62" s="6">
        <f>IF(B62&gt;$N$2,0,VLOOKUP('Total income package'!$B$3,'Location specific data'!$A$3:$AO$135,37,FALSE))*($G$2+$H$2)*20</f>
        <v>0</v>
      </c>
      <c r="O62" s="6">
        <f t="shared" si="2"/>
        <v>0</v>
      </c>
      <c r="P62" s="312">
        <f t="shared" si="10"/>
        <v>118.75</v>
      </c>
      <c r="Q62" s="312">
        <f t="shared" si="4"/>
        <v>0</v>
      </c>
      <c r="R62" s="312">
        <f t="shared" si="9"/>
        <v>0</v>
      </c>
      <c r="S62" s="160">
        <f>IF(AND('Total income package'!$A$8=TRUE,OR(F62="Yes",G62="Yes",H62="Yes")),SUM(J62:N62)-R62,0)</f>
        <v>0</v>
      </c>
    </row>
    <row r="63" spans="1:19" s="5" customFormat="1" x14ac:dyDescent="0.25">
      <c r="A63" s="6">
        <v>29000</v>
      </c>
      <c r="B63" s="7">
        <f t="shared" si="5"/>
        <v>2416.6666666666665</v>
      </c>
      <c r="C63" s="7">
        <f>'Total income package'!$D$80</f>
        <v>0</v>
      </c>
      <c r="D63" s="7">
        <f t="shared" si="6"/>
        <v>2416.6666666666665</v>
      </c>
      <c r="E63" s="65">
        <f t="shared" si="7"/>
        <v>1.3401109057301293</v>
      </c>
      <c r="F63" s="65" t="str">
        <f t="shared" si="0"/>
        <v>No</v>
      </c>
      <c r="G63" s="65" t="str">
        <f t="shared" si="1"/>
        <v>Yes</v>
      </c>
      <c r="H63" s="301" t="str">
        <f>IF(OR('TANF-VIEW'!L67&gt;0,'TANF-VIEW'!T67&gt;0),"Yes","No")</f>
        <v>No</v>
      </c>
      <c r="I63" s="63">
        <f t="shared" si="8"/>
        <v>0</v>
      </c>
      <c r="J63" s="6">
        <f>(IF(B63&gt;$N$2,0,VLOOKUP('Total income package'!$B$3,'Location specific data'!$A$3:$AO$135,33,FALSE))*$C$2)*20</f>
        <v>0</v>
      </c>
      <c r="K63" s="6">
        <f>IF(B63&gt;$N$2,0,VLOOKUP('Total income package'!$B$3,'Location specific data'!$A$3:$AO$135,34,FALSE))*$D$2*20</f>
        <v>0</v>
      </c>
      <c r="L63" s="6">
        <f>IF(B63&gt;$N$2,0,VLOOKUP('Total income package'!$B$3,'Location specific data'!$A$3:$AO$135,35,FALSE))*$E$2*20</f>
        <v>0</v>
      </c>
      <c r="M63" s="6">
        <f>IF(B63&gt;$N$2,0,VLOOKUP('Total income package'!$B$3,'Location specific data'!$A$3:$AO$135,36,FALSE))*$F$2*20</f>
        <v>0</v>
      </c>
      <c r="N63" s="6">
        <f>IF(B63&gt;$N$2,0,VLOOKUP('Total income package'!$B$3,'Location specific data'!$A$3:$AO$135,37,FALSE))*($G$2+$H$2)*20</f>
        <v>0</v>
      </c>
      <c r="O63" s="6">
        <f t="shared" si="2"/>
        <v>0</v>
      </c>
      <c r="P63" s="312">
        <f t="shared" si="10"/>
        <v>120.83333333333333</v>
      </c>
      <c r="Q63" s="312">
        <f t="shared" si="4"/>
        <v>0</v>
      </c>
      <c r="R63" s="312">
        <f t="shared" si="9"/>
        <v>0</v>
      </c>
      <c r="S63" s="160">
        <f>IF(AND('Total income package'!$A$8=TRUE,OR(F63="Yes",G63="Yes",H63="Yes")),SUM(J63:N63)-R63,0)</f>
        <v>0</v>
      </c>
    </row>
    <row r="64" spans="1:19" s="5" customFormat="1" x14ac:dyDescent="0.25">
      <c r="A64" s="6">
        <v>29500</v>
      </c>
      <c r="B64" s="7">
        <f t="shared" si="5"/>
        <v>2458.3333333333335</v>
      </c>
      <c r="C64" s="7">
        <f>'Total income package'!$D$80</f>
        <v>0</v>
      </c>
      <c r="D64" s="7">
        <f t="shared" si="6"/>
        <v>2458.3333333333335</v>
      </c>
      <c r="E64" s="65">
        <f t="shared" si="7"/>
        <v>1.3632162661737524</v>
      </c>
      <c r="F64" s="65" t="str">
        <f t="shared" si="0"/>
        <v>No</v>
      </c>
      <c r="G64" s="65" t="str">
        <f t="shared" si="1"/>
        <v>Yes</v>
      </c>
      <c r="H64" s="301" t="str">
        <f>IF(OR('TANF-VIEW'!L68&gt;0,'TANF-VIEW'!T68&gt;0),"Yes","No")</f>
        <v>No</v>
      </c>
      <c r="I64" s="63">
        <f t="shared" si="8"/>
        <v>0</v>
      </c>
      <c r="J64" s="6">
        <f>(IF(B64&gt;$N$2,0,VLOOKUP('Total income package'!$B$3,'Location specific data'!$A$3:$AO$135,33,FALSE))*$C$2)*20</f>
        <v>0</v>
      </c>
      <c r="K64" s="6">
        <f>IF(B64&gt;$N$2,0,VLOOKUP('Total income package'!$B$3,'Location specific data'!$A$3:$AO$135,34,FALSE))*$D$2*20</f>
        <v>0</v>
      </c>
      <c r="L64" s="6">
        <f>IF(B64&gt;$N$2,0,VLOOKUP('Total income package'!$B$3,'Location specific data'!$A$3:$AO$135,35,FALSE))*$E$2*20</f>
        <v>0</v>
      </c>
      <c r="M64" s="6">
        <f>IF(B64&gt;$N$2,0,VLOOKUP('Total income package'!$B$3,'Location specific data'!$A$3:$AO$135,36,FALSE))*$F$2*20</f>
        <v>0</v>
      </c>
      <c r="N64" s="6">
        <f>IF(B64&gt;$N$2,0,VLOOKUP('Total income package'!$B$3,'Location specific data'!$A$3:$AO$135,37,FALSE))*($G$2+$H$2)*20</f>
        <v>0</v>
      </c>
      <c r="O64" s="6">
        <f t="shared" si="2"/>
        <v>0</v>
      </c>
      <c r="P64" s="312">
        <f t="shared" si="10"/>
        <v>122.91666666666669</v>
      </c>
      <c r="Q64" s="312">
        <f t="shared" si="4"/>
        <v>0</v>
      </c>
      <c r="R64" s="312">
        <f t="shared" si="9"/>
        <v>0</v>
      </c>
      <c r="S64" s="160">
        <f>IF(AND('Total income package'!$A$8=TRUE,OR(F64="Yes",G64="Yes",H64="Yes")),SUM(J64:N64)-R64,0)</f>
        <v>0</v>
      </c>
    </row>
    <row r="65" spans="1:19" s="5" customFormat="1" x14ac:dyDescent="0.25">
      <c r="A65" s="6">
        <v>30000</v>
      </c>
      <c r="B65" s="7">
        <f t="shared" si="5"/>
        <v>2500</v>
      </c>
      <c r="C65" s="7">
        <f>'Total income package'!$D$80</f>
        <v>0</v>
      </c>
      <c r="D65" s="7">
        <f t="shared" si="6"/>
        <v>2500</v>
      </c>
      <c r="E65" s="65">
        <f t="shared" si="7"/>
        <v>1.3863216266173752</v>
      </c>
      <c r="F65" s="65" t="str">
        <f t="shared" si="0"/>
        <v>No</v>
      </c>
      <c r="G65" s="65" t="str">
        <f t="shared" si="1"/>
        <v>Yes</v>
      </c>
      <c r="H65" s="301" t="str">
        <f>IF(OR('TANF-VIEW'!L69&gt;0,'TANF-VIEW'!T69&gt;0),"Yes","No")</f>
        <v>No</v>
      </c>
      <c r="I65" s="63">
        <f t="shared" si="8"/>
        <v>0</v>
      </c>
      <c r="J65" s="6">
        <f>(IF(B65&gt;$N$2,0,VLOOKUP('Total income package'!$B$3,'Location specific data'!$A$3:$AO$135,33,FALSE))*$C$2)*20</f>
        <v>0</v>
      </c>
      <c r="K65" s="6">
        <f>IF(B65&gt;$N$2,0,VLOOKUP('Total income package'!$B$3,'Location specific data'!$A$3:$AO$135,34,FALSE))*$D$2*20</f>
        <v>0</v>
      </c>
      <c r="L65" s="6">
        <f>IF(B65&gt;$N$2,0,VLOOKUP('Total income package'!$B$3,'Location specific data'!$A$3:$AO$135,35,FALSE))*$E$2*20</f>
        <v>0</v>
      </c>
      <c r="M65" s="6">
        <f>IF(B65&gt;$N$2,0,VLOOKUP('Total income package'!$B$3,'Location specific data'!$A$3:$AO$135,36,FALSE))*$F$2*20</f>
        <v>0</v>
      </c>
      <c r="N65" s="6">
        <f>IF(B65&gt;$N$2,0,VLOOKUP('Total income package'!$B$3,'Location specific data'!$A$3:$AO$135,37,FALSE))*($G$2+$H$2)*20</f>
        <v>0</v>
      </c>
      <c r="O65" s="6">
        <f t="shared" si="2"/>
        <v>0</v>
      </c>
      <c r="P65" s="312">
        <f t="shared" si="10"/>
        <v>125</v>
      </c>
      <c r="Q65" s="312">
        <f t="shared" si="4"/>
        <v>0</v>
      </c>
      <c r="R65" s="312">
        <f t="shared" si="9"/>
        <v>0</v>
      </c>
      <c r="S65" s="160">
        <f>IF(AND('Total income package'!$A$8=TRUE,OR(F65="Yes",G65="Yes",H65="Yes")),SUM(J65:N65)-R65,0)</f>
        <v>0</v>
      </c>
    </row>
    <row r="66" spans="1:19" s="5" customFormat="1" x14ac:dyDescent="0.25">
      <c r="A66" s="6">
        <v>30500</v>
      </c>
      <c r="B66" s="7">
        <f t="shared" si="5"/>
        <v>2541.6666666666665</v>
      </c>
      <c r="C66" s="7">
        <f>'Total income package'!$D$80</f>
        <v>0</v>
      </c>
      <c r="D66" s="7">
        <f t="shared" si="6"/>
        <v>2541.6666666666665</v>
      </c>
      <c r="E66" s="65">
        <f t="shared" si="7"/>
        <v>1.4094269870609981</v>
      </c>
      <c r="F66" s="65" t="str">
        <f t="shared" si="0"/>
        <v>No</v>
      </c>
      <c r="G66" s="65" t="str">
        <f t="shared" si="1"/>
        <v>Yes</v>
      </c>
      <c r="H66" s="301" t="str">
        <f>IF(OR('TANF-VIEW'!L70&gt;0,'TANF-VIEW'!T70&gt;0),"Yes","No")</f>
        <v>No</v>
      </c>
      <c r="I66" s="63">
        <f t="shared" si="8"/>
        <v>0</v>
      </c>
      <c r="J66" s="6">
        <f>(IF(B66&gt;$N$2,0,VLOOKUP('Total income package'!$B$3,'Location specific data'!$A$3:$AO$135,33,FALSE))*$C$2)*20</f>
        <v>0</v>
      </c>
      <c r="K66" s="6">
        <f>IF(B66&gt;$N$2,0,VLOOKUP('Total income package'!$B$3,'Location specific data'!$A$3:$AO$135,34,FALSE))*$D$2*20</f>
        <v>0</v>
      </c>
      <c r="L66" s="6">
        <f>IF(B66&gt;$N$2,0,VLOOKUP('Total income package'!$B$3,'Location specific data'!$A$3:$AO$135,35,FALSE))*$E$2*20</f>
        <v>0</v>
      </c>
      <c r="M66" s="6">
        <f>IF(B66&gt;$N$2,0,VLOOKUP('Total income package'!$B$3,'Location specific data'!$A$3:$AO$135,36,FALSE))*$F$2*20</f>
        <v>0</v>
      </c>
      <c r="N66" s="6">
        <f>IF(B66&gt;$N$2,0,VLOOKUP('Total income package'!$B$3,'Location specific data'!$A$3:$AO$135,37,FALSE))*($G$2+$H$2)*20</f>
        <v>0</v>
      </c>
      <c r="O66" s="6">
        <f t="shared" si="2"/>
        <v>0</v>
      </c>
      <c r="P66" s="312">
        <f t="shared" si="10"/>
        <v>127.08333333333333</v>
      </c>
      <c r="Q66" s="312">
        <f t="shared" si="4"/>
        <v>0</v>
      </c>
      <c r="R66" s="312">
        <f t="shared" si="9"/>
        <v>0</v>
      </c>
      <c r="S66" s="160">
        <f>IF(AND('Total income package'!$A$8=TRUE,OR(F66="Yes",G66="Yes",H66="Yes")),SUM(J66:N66)-R66,0)</f>
        <v>0</v>
      </c>
    </row>
    <row r="67" spans="1:19" s="5" customFormat="1" x14ac:dyDescent="0.25">
      <c r="A67" s="6">
        <v>31000</v>
      </c>
      <c r="B67" s="7">
        <f t="shared" si="5"/>
        <v>2583.3333333333335</v>
      </c>
      <c r="C67" s="7">
        <f>'Total income package'!$D$80</f>
        <v>0</v>
      </c>
      <c r="D67" s="7">
        <f t="shared" si="6"/>
        <v>2583.3333333333335</v>
      </c>
      <c r="E67" s="65">
        <f t="shared" si="7"/>
        <v>1.4325323475046212</v>
      </c>
      <c r="F67" s="65" t="str">
        <f t="shared" si="0"/>
        <v>No</v>
      </c>
      <c r="G67" s="65" t="str">
        <f t="shared" si="1"/>
        <v>Yes</v>
      </c>
      <c r="H67" s="301" t="str">
        <f>IF(OR('TANF-VIEW'!L71&gt;0,'TANF-VIEW'!T71&gt;0),"Yes","No")</f>
        <v>No</v>
      </c>
      <c r="I67" s="63">
        <f t="shared" si="8"/>
        <v>0</v>
      </c>
      <c r="J67" s="6">
        <f>(IF(B67&gt;$N$2,0,VLOOKUP('Total income package'!$B$3,'Location specific data'!$A$3:$AO$135,33,FALSE))*$C$2)*20</f>
        <v>0</v>
      </c>
      <c r="K67" s="6">
        <f>IF(B67&gt;$N$2,0,VLOOKUP('Total income package'!$B$3,'Location specific data'!$A$3:$AO$135,34,FALSE))*$D$2*20</f>
        <v>0</v>
      </c>
      <c r="L67" s="6">
        <f>IF(B67&gt;$N$2,0,VLOOKUP('Total income package'!$B$3,'Location specific data'!$A$3:$AO$135,35,FALSE))*$E$2*20</f>
        <v>0</v>
      </c>
      <c r="M67" s="6">
        <f>IF(B67&gt;$N$2,0,VLOOKUP('Total income package'!$B$3,'Location specific data'!$A$3:$AO$135,36,FALSE))*$F$2*20</f>
        <v>0</v>
      </c>
      <c r="N67" s="6">
        <f>IF(B67&gt;$N$2,0,VLOOKUP('Total income package'!$B$3,'Location specific data'!$A$3:$AO$135,37,FALSE))*($G$2+$H$2)*20</f>
        <v>0</v>
      </c>
      <c r="O67" s="6">
        <f t="shared" si="2"/>
        <v>0</v>
      </c>
      <c r="P67" s="312">
        <f t="shared" si="10"/>
        <v>129.16666666666669</v>
      </c>
      <c r="Q67" s="312">
        <f t="shared" si="4"/>
        <v>0</v>
      </c>
      <c r="R67" s="312">
        <f t="shared" si="9"/>
        <v>0</v>
      </c>
      <c r="S67" s="160">
        <f>IF(AND('Total income package'!$A$8=TRUE,OR(F67="Yes",G67="Yes",H67="Yes")),SUM(J67:N67)-R67,0)</f>
        <v>0</v>
      </c>
    </row>
    <row r="68" spans="1:19" s="5" customFormat="1" x14ac:dyDescent="0.25">
      <c r="A68" s="6">
        <v>31500</v>
      </c>
      <c r="B68" s="7">
        <f t="shared" si="5"/>
        <v>2625</v>
      </c>
      <c r="C68" s="7">
        <f>'Total income package'!$D$80</f>
        <v>0</v>
      </c>
      <c r="D68" s="7">
        <f t="shared" si="6"/>
        <v>2625</v>
      </c>
      <c r="E68" s="65">
        <f t="shared" si="7"/>
        <v>1.4556377079482441</v>
      </c>
      <c r="F68" s="65" t="str">
        <f t="shared" si="0"/>
        <v>No</v>
      </c>
      <c r="G68" s="65" t="str">
        <f t="shared" si="1"/>
        <v>Yes</v>
      </c>
      <c r="H68" s="301" t="str">
        <f>IF(OR('TANF-VIEW'!L72&gt;0,'TANF-VIEW'!T72&gt;0),"Yes","No")</f>
        <v>No</v>
      </c>
      <c r="I68" s="63">
        <f t="shared" si="8"/>
        <v>0</v>
      </c>
      <c r="J68" s="6">
        <f>(IF(B68&gt;$N$2,0,VLOOKUP('Total income package'!$B$3,'Location specific data'!$A$3:$AO$135,33,FALSE))*$C$2)*20</f>
        <v>0</v>
      </c>
      <c r="K68" s="6">
        <f>IF(B68&gt;$N$2,0,VLOOKUP('Total income package'!$B$3,'Location specific data'!$A$3:$AO$135,34,FALSE))*$D$2*20</f>
        <v>0</v>
      </c>
      <c r="L68" s="6">
        <f>IF(B68&gt;$N$2,0,VLOOKUP('Total income package'!$B$3,'Location specific data'!$A$3:$AO$135,35,FALSE))*$E$2*20</f>
        <v>0</v>
      </c>
      <c r="M68" s="6">
        <f>IF(B68&gt;$N$2,0,VLOOKUP('Total income package'!$B$3,'Location specific data'!$A$3:$AO$135,36,FALSE))*$F$2*20</f>
        <v>0</v>
      </c>
      <c r="N68" s="6">
        <f>IF(B68&gt;$N$2,0,VLOOKUP('Total income package'!$B$3,'Location specific data'!$A$3:$AO$135,37,FALSE))*($G$2+$H$2)*20</f>
        <v>0</v>
      </c>
      <c r="O68" s="6">
        <f t="shared" si="2"/>
        <v>0</v>
      </c>
      <c r="P68" s="312">
        <f t="shared" si="10"/>
        <v>131.25</v>
      </c>
      <c r="Q68" s="312">
        <f t="shared" si="4"/>
        <v>0</v>
      </c>
      <c r="R68" s="312">
        <f t="shared" si="9"/>
        <v>0</v>
      </c>
      <c r="S68" s="160">
        <f>IF(AND('Total income package'!$A$8=TRUE,OR(F68="Yes",G68="Yes",H68="Yes")),SUM(J68:N68)-R68,0)</f>
        <v>0</v>
      </c>
    </row>
    <row r="69" spans="1:19" s="5" customFormat="1" x14ac:dyDescent="0.25">
      <c r="A69" s="6">
        <v>32000</v>
      </c>
      <c r="B69" s="7">
        <f t="shared" si="5"/>
        <v>2666.6666666666665</v>
      </c>
      <c r="C69" s="7">
        <f>'Total income package'!$D$80</f>
        <v>0</v>
      </c>
      <c r="D69" s="7">
        <f t="shared" si="6"/>
        <v>2666.6666666666665</v>
      </c>
      <c r="E69" s="65">
        <f t="shared" si="7"/>
        <v>1.478743068391867</v>
      </c>
      <c r="F69" s="65" t="str">
        <f t="shared" ref="F69:F132" si="11">IF(AND(B69&lt;$N$2,SUM($C$2:$F$2)&gt;0),"Yes","No")</f>
        <v>No</v>
      </c>
      <c r="G69" s="65" t="str">
        <f t="shared" ref="G69:G132" si="12">IF(B69&lt;$M$2,"Yes","No")</f>
        <v>Yes</v>
      </c>
      <c r="H69" s="301" t="str">
        <f>IF(OR('TANF-VIEW'!L73&gt;0,'TANF-VIEW'!T73&gt;0),"Yes","No")</f>
        <v>No</v>
      </c>
      <c r="I69" s="63">
        <f t="shared" ref="I69:I132" si="13">IF(B69&gt;=$N$2,0,IF(E69&gt;3.5,375*SUM($C$2:$H$2),IF(E69&gt;3,325*SUM($C$2:$H$2),IF(E69&gt;2.5,275*SUM($C$2:$H$2),IF(E69&gt;2,225*SUM($C$2:$H$2),IF(E69&gt;1.5,175*SUM($C$2:$H$2),IF(E69&gt;1,125*SUM($C$2:$H$2),IF(E69&gt;0,5*SUM($C$2:$H$2),0))))))))</f>
        <v>0</v>
      </c>
      <c r="J69" s="6">
        <f>(IF(B69&gt;$N$2,0,VLOOKUP('Total income package'!$B$3,'Location specific data'!$A$3:$AO$135,33,FALSE))*$C$2)*20</f>
        <v>0</v>
      </c>
      <c r="K69" s="6">
        <f>IF(B69&gt;$N$2,0,VLOOKUP('Total income package'!$B$3,'Location specific data'!$A$3:$AO$135,34,FALSE))*$D$2*20</f>
        <v>0</v>
      </c>
      <c r="L69" s="6">
        <f>IF(B69&gt;$N$2,0,VLOOKUP('Total income package'!$B$3,'Location specific data'!$A$3:$AO$135,35,FALSE))*$E$2*20</f>
        <v>0</v>
      </c>
      <c r="M69" s="6">
        <f>IF(B69&gt;$N$2,0,VLOOKUP('Total income package'!$B$3,'Location specific data'!$A$3:$AO$135,36,FALSE))*$F$2*20</f>
        <v>0</v>
      </c>
      <c r="N69" s="6">
        <f>IF(B69&gt;$N$2,0,VLOOKUP('Total income package'!$B$3,'Location specific data'!$A$3:$AO$135,37,FALSE))*($G$2+$H$2)*20</f>
        <v>0</v>
      </c>
      <c r="O69" s="6">
        <f t="shared" ref="O69:O132" si="14">I69*SUM($C$2:$H$2)</f>
        <v>0</v>
      </c>
      <c r="P69" s="312">
        <f t="shared" ref="P69:P100" si="15">B69*0.05</f>
        <v>133.33333333333334</v>
      </c>
      <c r="Q69" s="312">
        <f t="shared" ref="Q69:Q132" si="16">I69*3</f>
        <v>0</v>
      </c>
      <c r="R69" s="312">
        <f t="shared" si="9"/>
        <v>0</v>
      </c>
      <c r="S69" s="160">
        <f>IF(AND('Total income package'!$A$8=TRUE,OR(F69="Yes",G69="Yes",H69="Yes")),SUM(J69:N69)-R69,0)</f>
        <v>0</v>
      </c>
    </row>
    <row r="70" spans="1:19" s="5" customFormat="1" x14ac:dyDescent="0.25">
      <c r="A70" s="6">
        <v>32500</v>
      </c>
      <c r="B70" s="7">
        <f t="shared" ref="B70:B107" si="17">A70/12</f>
        <v>2708.3333333333335</v>
      </c>
      <c r="C70" s="7">
        <f>'Total income package'!$D$80</f>
        <v>0</v>
      </c>
      <c r="D70" s="7">
        <f t="shared" ref="D70:D133" si="18">B70+C70</f>
        <v>2708.3333333333335</v>
      </c>
      <c r="E70" s="65">
        <f t="shared" ref="E70:E133" si="19">D70/$K$2</f>
        <v>1.5018484288354901</v>
      </c>
      <c r="F70" s="65" t="str">
        <f t="shared" si="11"/>
        <v>No</v>
      </c>
      <c r="G70" s="65" t="str">
        <f t="shared" si="12"/>
        <v>No</v>
      </c>
      <c r="H70" s="301" t="str">
        <f>IF(OR('TANF-VIEW'!L74&gt;0,'TANF-VIEW'!T74&gt;0),"Yes","No")</f>
        <v>No</v>
      </c>
      <c r="I70" s="63">
        <f t="shared" si="13"/>
        <v>0</v>
      </c>
      <c r="J70" s="6">
        <f>(IF(B70&gt;$N$2,0,VLOOKUP('Total income package'!$B$3,'Location specific data'!$A$3:$AO$135,33,FALSE))*$C$2)*20</f>
        <v>0</v>
      </c>
      <c r="K70" s="6">
        <f>IF(B70&gt;$N$2,0,VLOOKUP('Total income package'!$B$3,'Location specific data'!$A$3:$AO$135,34,FALSE))*$D$2*20</f>
        <v>0</v>
      </c>
      <c r="L70" s="6">
        <f>IF(B70&gt;$N$2,0,VLOOKUP('Total income package'!$B$3,'Location specific data'!$A$3:$AO$135,35,FALSE))*$E$2*20</f>
        <v>0</v>
      </c>
      <c r="M70" s="6">
        <f>IF(B70&gt;$N$2,0,VLOOKUP('Total income package'!$B$3,'Location specific data'!$A$3:$AO$135,36,FALSE))*$F$2*20</f>
        <v>0</v>
      </c>
      <c r="N70" s="6">
        <f>IF(B70&gt;$N$2,0,VLOOKUP('Total income package'!$B$3,'Location specific data'!$A$3:$AO$135,37,FALSE))*($G$2+$H$2)*20</f>
        <v>0</v>
      </c>
      <c r="O70" s="6">
        <f t="shared" si="14"/>
        <v>0</v>
      </c>
      <c r="P70" s="312">
        <f t="shared" si="15"/>
        <v>135.41666666666669</v>
      </c>
      <c r="Q70" s="312">
        <f t="shared" si="16"/>
        <v>0</v>
      </c>
      <c r="R70" s="312">
        <f t="shared" ref="R70:R133" si="20">IF(MIN(O70,P70)&lt;Q70,MIN(O70,P70),Q70)</f>
        <v>0</v>
      </c>
      <c r="S70" s="160">
        <f>IF(AND('Total income package'!$A$8=TRUE,OR(F70="Yes",G70="Yes",H70="Yes")),SUM(J70:N70)-R70,0)</f>
        <v>0</v>
      </c>
    </row>
    <row r="71" spans="1:19" s="5" customFormat="1" x14ac:dyDescent="0.25">
      <c r="A71" s="6">
        <v>33000</v>
      </c>
      <c r="B71" s="7">
        <f t="shared" si="17"/>
        <v>2750</v>
      </c>
      <c r="C71" s="7">
        <f>'Total income package'!$D$80</f>
        <v>0</v>
      </c>
      <c r="D71" s="7">
        <f t="shared" si="18"/>
        <v>2750</v>
      </c>
      <c r="E71" s="65">
        <f t="shared" si="19"/>
        <v>1.5249537892791127</v>
      </c>
      <c r="F71" s="65" t="str">
        <f t="shared" si="11"/>
        <v>No</v>
      </c>
      <c r="G71" s="65" t="str">
        <f t="shared" si="12"/>
        <v>No</v>
      </c>
      <c r="H71" s="301" t="str">
        <f>IF(OR('TANF-VIEW'!L75&gt;0,'TANF-VIEW'!T75&gt;0),"Yes","No")</f>
        <v>No</v>
      </c>
      <c r="I71" s="63">
        <f t="shared" si="13"/>
        <v>0</v>
      </c>
      <c r="J71" s="6">
        <f>(IF(B71&gt;$N$2,0,VLOOKUP('Total income package'!$B$3,'Location specific data'!$A$3:$AO$135,33,FALSE))*$C$2)*20</f>
        <v>0</v>
      </c>
      <c r="K71" s="6">
        <f>IF(B71&gt;$N$2,0,VLOOKUP('Total income package'!$B$3,'Location specific data'!$A$3:$AO$135,34,FALSE))*$D$2*20</f>
        <v>0</v>
      </c>
      <c r="L71" s="6">
        <f>IF(B71&gt;$N$2,0,VLOOKUP('Total income package'!$B$3,'Location specific data'!$A$3:$AO$135,35,FALSE))*$E$2*20</f>
        <v>0</v>
      </c>
      <c r="M71" s="6">
        <f>IF(B71&gt;$N$2,0,VLOOKUP('Total income package'!$B$3,'Location specific data'!$A$3:$AO$135,36,FALSE))*$F$2*20</f>
        <v>0</v>
      </c>
      <c r="N71" s="6">
        <f>IF(B71&gt;$N$2,0,VLOOKUP('Total income package'!$B$3,'Location specific data'!$A$3:$AO$135,37,FALSE))*($G$2+$H$2)*20</f>
        <v>0</v>
      </c>
      <c r="O71" s="6">
        <f t="shared" si="14"/>
        <v>0</v>
      </c>
      <c r="P71" s="312">
        <f t="shared" si="15"/>
        <v>137.5</v>
      </c>
      <c r="Q71" s="312">
        <f t="shared" si="16"/>
        <v>0</v>
      </c>
      <c r="R71" s="312">
        <f t="shared" si="20"/>
        <v>0</v>
      </c>
      <c r="S71" s="160">
        <f>IF(AND('Total income package'!$A$8=TRUE,OR(F71="Yes",G71="Yes",H71="Yes")),SUM(J71:N71)-R71,0)</f>
        <v>0</v>
      </c>
    </row>
    <row r="72" spans="1:19" s="5" customFormat="1" x14ac:dyDescent="0.25">
      <c r="A72" s="6">
        <v>33500</v>
      </c>
      <c r="B72" s="7">
        <f t="shared" si="17"/>
        <v>2791.6666666666665</v>
      </c>
      <c r="C72" s="7">
        <f>'Total income package'!$D$80</f>
        <v>0</v>
      </c>
      <c r="D72" s="7">
        <f t="shared" si="18"/>
        <v>2791.6666666666665</v>
      </c>
      <c r="E72" s="65">
        <f t="shared" si="19"/>
        <v>1.5480591497227356</v>
      </c>
      <c r="F72" s="65" t="str">
        <f t="shared" si="11"/>
        <v>No</v>
      </c>
      <c r="G72" s="65" t="str">
        <f t="shared" si="12"/>
        <v>No</v>
      </c>
      <c r="H72" s="301" t="str">
        <f>IF(OR('TANF-VIEW'!L76&gt;0,'TANF-VIEW'!T76&gt;0),"Yes","No")</f>
        <v>No</v>
      </c>
      <c r="I72" s="63">
        <f t="shared" si="13"/>
        <v>0</v>
      </c>
      <c r="J72" s="6">
        <f>(IF(B72&gt;$N$2,0,VLOOKUP('Total income package'!$B$3,'Location specific data'!$A$3:$AO$135,33,FALSE))*$C$2)*20</f>
        <v>0</v>
      </c>
      <c r="K72" s="6">
        <f>IF(B72&gt;$N$2,0,VLOOKUP('Total income package'!$B$3,'Location specific data'!$A$3:$AO$135,34,FALSE))*$D$2*20</f>
        <v>0</v>
      </c>
      <c r="L72" s="6">
        <f>IF(B72&gt;$N$2,0,VLOOKUP('Total income package'!$B$3,'Location specific data'!$A$3:$AO$135,35,FALSE))*$E$2*20</f>
        <v>0</v>
      </c>
      <c r="M72" s="6">
        <f>IF(B72&gt;$N$2,0,VLOOKUP('Total income package'!$B$3,'Location specific data'!$A$3:$AO$135,36,FALSE))*$F$2*20</f>
        <v>0</v>
      </c>
      <c r="N72" s="6">
        <f>IF(B72&gt;$N$2,0,VLOOKUP('Total income package'!$B$3,'Location specific data'!$A$3:$AO$135,37,FALSE))*($G$2+$H$2)*20</f>
        <v>0</v>
      </c>
      <c r="O72" s="6">
        <f t="shared" si="14"/>
        <v>0</v>
      </c>
      <c r="P72" s="312">
        <f t="shared" si="15"/>
        <v>139.58333333333334</v>
      </c>
      <c r="Q72" s="312">
        <f t="shared" si="16"/>
        <v>0</v>
      </c>
      <c r="R72" s="312">
        <f t="shared" si="20"/>
        <v>0</v>
      </c>
      <c r="S72" s="160">
        <f>IF(AND('Total income package'!$A$8=TRUE,OR(F72="Yes",G72="Yes",H72="Yes")),SUM(J72:N72)-R72,0)</f>
        <v>0</v>
      </c>
    </row>
    <row r="73" spans="1:19" s="5" customFormat="1" x14ac:dyDescent="0.25">
      <c r="A73" s="6">
        <v>34000</v>
      </c>
      <c r="B73" s="7">
        <f t="shared" si="17"/>
        <v>2833.3333333333335</v>
      </c>
      <c r="C73" s="7">
        <f>'Total income package'!$D$80</f>
        <v>0</v>
      </c>
      <c r="D73" s="7">
        <f t="shared" si="18"/>
        <v>2833.3333333333335</v>
      </c>
      <c r="E73" s="65">
        <f t="shared" si="19"/>
        <v>1.5711645101663587</v>
      </c>
      <c r="F73" s="65" t="str">
        <f t="shared" si="11"/>
        <v>No</v>
      </c>
      <c r="G73" s="65" t="str">
        <f t="shared" si="12"/>
        <v>No</v>
      </c>
      <c r="H73" s="301" t="str">
        <f>IF(OR('TANF-VIEW'!L77&gt;0,'TANF-VIEW'!T77&gt;0),"Yes","No")</f>
        <v>No</v>
      </c>
      <c r="I73" s="63">
        <f t="shared" si="13"/>
        <v>0</v>
      </c>
      <c r="J73" s="6">
        <f>(IF(B73&gt;$N$2,0,VLOOKUP('Total income package'!$B$3,'Location specific data'!$A$3:$AO$135,33,FALSE))*$C$2)*20</f>
        <v>0</v>
      </c>
      <c r="K73" s="6">
        <f>IF(B73&gt;$N$2,0,VLOOKUP('Total income package'!$B$3,'Location specific data'!$A$3:$AO$135,34,FALSE))*$D$2*20</f>
        <v>0</v>
      </c>
      <c r="L73" s="6">
        <f>IF(B73&gt;$N$2,0,VLOOKUP('Total income package'!$B$3,'Location specific data'!$A$3:$AO$135,35,FALSE))*$E$2*20</f>
        <v>0</v>
      </c>
      <c r="M73" s="6">
        <f>IF(B73&gt;$N$2,0,VLOOKUP('Total income package'!$B$3,'Location specific data'!$A$3:$AO$135,36,FALSE))*$F$2*20</f>
        <v>0</v>
      </c>
      <c r="N73" s="6">
        <f>IF(B73&gt;$N$2,0,VLOOKUP('Total income package'!$B$3,'Location specific data'!$A$3:$AO$135,37,FALSE))*($G$2+$H$2)*20</f>
        <v>0</v>
      </c>
      <c r="O73" s="6">
        <f t="shared" si="14"/>
        <v>0</v>
      </c>
      <c r="P73" s="312">
        <f t="shared" si="15"/>
        <v>141.66666666666669</v>
      </c>
      <c r="Q73" s="312">
        <f t="shared" si="16"/>
        <v>0</v>
      </c>
      <c r="R73" s="312">
        <f t="shared" si="20"/>
        <v>0</v>
      </c>
      <c r="S73" s="160">
        <f>IF(AND('Total income package'!$A$8=TRUE,OR(F73="Yes",G73="Yes",H73="Yes")),SUM(J73:N73)-R73,0)</f>
        <v>0</v>
      </c>
    </row>
    <row r="74" spans="1:19" s="5" customFormat="1" x14ac:dyDescent="0.25">
      <c r="A74" s="6">
        <v>34500</v>
      </c>
      <c r="B74" s="7">
        <f t="shared" si="17"/>
        <v>2875</v>
      </c>
      <c r="C74" s="7">
        <f>'Total income package'!$D$80</f>
        <v>0</v>
      </c>
      <c r="D74" s="7">
        <f t="shared" si="18"/>
        <v>2875</v>
      </c>
      <c r="E74" s="65">
        <f t="shared" si="19"/>
        <v>1.5942698706099816</v>
      </c>
      <c r="F74" s="65" t="str">
        <f t="shared" si="11"/>
        <v>No</v>
      </c>
      <c r="G74" s="65" t="str">
        <f t="shared" si="12"/>
        <v>No</v>
      </c>
      <c r="H74" s="301" t="str">
        <f>IF(OR('TANF-VIEW'!L78&gt;0,'TANF-VIEW'!T78&gt;0),"Yes","No")</f>
        <v>No</v>
      </c>
      <c r="I74" s="63">
        <f t="shared" si="13"/>
        <v>0</v>
      </c>
      <c r="J74" s="6">
        <f>(IF(B74&gt;$N$2,0,VLOOKUP('Total income package'!$B$3,'Location specific data'!$A$3:$AO$135,33,FALSE))*$C$2)*20</f>
        <v>0</v>
      </c>
      <c r="K74" s="6">
        <f>IF(B74&gt;$N$2,0,VLOOKUP('Total income package'!$B$3,'Location specific data'!$A$3:$AO$135,34,FALSE))*$D$2*20</f>
        <v>0</v>
      </c>
      <c r="L74" s="6">
        <f>IF(B74&gt;$N$2,0,VLOOKUP('Total income package'!$B$3,'Location specific data'!$A$3:$AO$135,35,FALSE))*$E$2*20</f>
        <v>0</v>
      </c>
      <c r="M74" s="6">
        <f>IF(B74&gt;$N$2,0,VLOOKUP('Total income package'!$B$3,'Location specific data'!$A$3:$AO$135,36,FALSE))*$F$2*20</f>
        <v>0</v>
      </c>
      <c r="N74" s="6">
        <f>IF(B74&gt;$N$2,0,VLOOKUP('Total income package'!$B$3,'Location specific data'!$A$3:$AO$135,37,FALSE))*($G$2+$H$2)*20</f>
        <v>0</v>
      </c>
      <c r="O74" s="6">
        <f t="shared" si="14"/>
        <v>0</v>
      </c>
      <c r="P74" s="312">
        <f t="shared" si="15"/>
        <v>143.75</v>
      </c>
      <c r="Q74" s="312">
        <f t="shared" si="16"/>
        <v>0</v>
      </c>
      <c r="R74" s="312">
        <f t="shared" si="20"/>
        <v>0</v>
      </c>
      <c r="S74" s="160">
        <f>IF(AND('Total income package'!$A$8=TRUE,OR(F74="Yes",G74="Yes",H74="Yes")),SUM(J74:N74)-R74,0)</f>
        <v>0</v>
      </c>
    </row>
    <row r="75" spans="1:19" s="5" customFormat="1" x14ac:dyDescent="0.25">
      <c r="A75" s="6">
        <v>35000</v>
      </c>
      <c r="B75" s="7">
        <f t="shared" si="17"/>
        <v>2916.6666666666665</v>
      </c>
      <c r="C75" s="7">
        <f>'Total income package'!$D$80</f>
        <v>0</v>
      </c>
      <c r="D75" s="7">
        <f t="shared" si="18"/>
        <v>2916.6666666666665</v>
      </c>
      <c r="E75" s="65">
        <f t="shared" si="19"/>
        <v>1.6173752310536045</v>
      </c>
      <c r="F75" s="65" t="str">
        <f t="shared" si="11"/>
        <v>No</v>
      </c>
      <c r="G75" s="65" t="str">
        <f t="shared" si="12"/>
        <v>No</v>
      </c>
      <c r="H75" s="301" t="str">
        <f>IF(OR('TANF-VIEW'!L79&gt;0,'TANF-VIEW'!T79&gt;0),"Yes","No")</f>
        <v>No</v>
      </c>
      <c r="I75" s="63">
        <f t="shared" si="13"/>
        <v>0</v>
      </c>
      <c r="J75" s="6">
        <f>(IF(B75&gt;$N$2,0,VLOOKUP('Total income package'!$B$3,'Location specific data'!$A$3:$AO$135,33,FALSE))*$C$2)*20</f>
        <v>0</v>
      </c>
      <c r="K75" s="6">
        <f>IF(B75&gt;$N$2,0,VLOOKUP('Total income package'!$B$3,'Location specific data'!$A$3:$AO$135,34,FALSE))*$D$2*20</f>
        <v>0</v>
      </c>
      <c r="L75" s="6">
        <f>IF(B75&gt;$N$2,0,VLOOKUP('Total income package'!$B$3,'Location specific data'!$A$3:$AO$135,35,FALSE))*$E$2*20</f>
        <v>0</v>
      </c>
      <c r="M75" s="6">
        <f>IF(B75&gt;$N$2,0,VLOOKUP('Total income package'!$B$3,'Location specific data'!$A$3:$AO$135,36,FALSE))*$F$2*20</f>
        <v>0</v>
      </c>
      <c r="N75" s="6">
        <f>IF(B75&gt;$N$2,0,VLOOKUP('Total income package'!$B$3,'Location specific data'!$A$3:$AO$135,37,FALSE))*($G$2+$H$2)*20</f>
        <v>0</v>
      </c>
      <c r="O75" s="6">
        <f t="shared" si="14"/>
        <v>0</v>
      </c>
      <c r="P75" s="312">
        <f t="shared" si="15"/>
        <v>145.83333333333334</v>
      </c>
      <c r="Q75" s="312">
        <f t="shared" si="16"/>
        <v>0</v>
      </c>
      <c r="R75" s="312">
        <f t="shared" si="20"/>
        <v>0</v>
      </c>
      <c r="S75" s="160">
        <f>IF(AND('Total income package'!$A$8=TRUE,OR(F75="Yes",G75="Yes",H75="Yes")),SUM(J75:N75)-R75,0)</f>
        <v>0</v>
      </c>
    </row>
    <row r="76" spans="1:19" s="5" customFormat="1" x14ac:dyDescent="0.25">
      <c r="A76" s="6">
        <v>35500</v>
      </c>
      <c r="B76" s="7">
        <f t="shared" si="17"/>
        <v>2958.3333333333335</v>
      </c>
      <c r="C76" s="7">
        <f>'Total income package'!$D$80</f>
        <v>0</v>
      </c>
      <c r="D76" s="7">
        <f t="shared" si="18"/>
        <v>2958.3333333333335</v>
      </c>
      <c r="E76" s="65">
        <f t="shared" si="19"/>
        <v>1.6404805914972276</v>
      </c>
      <c r="F76" s="65" t="str">
        <f t="shared" si="11"/>
        <v>No</v>
      </c>
      <c r="G76" s="65" t="str">
        <f t="shared" si="12"/>
        <v>No</v>
      </c>
      <c r="H76" s="301" t="str">
        <f>IF(OR('TANF-VIEW'!L80&gt;0,'TANF-VIEW'!T80&gt;0),"Yes","No")</f>
        <v>No</v>
      </c>
      <c r="I76" s="63">
        <f t="shared" si="13"/>
        <v>0</v>
      </c>
      <c r="J76" s="6">
        <f>(IF(B76&gt;$N$2,0,VLOOKUP('Total income package'!$B$3,'Location specific data'!$A$3:$AO$135,33,FALSE))*$C$2)*20</f>
        <v>0</v>
      </c>
      <c r="K76" s="6">
        <f>IF(B76&gt;$N$2,0,VLOOKUP('Total income package'!$B$3,'Location specific data'!$A$3:$AO$135,34,FALSE))*$D$2*20</f>
        <v>0</v>
      </c>
      <c r="L76" s="6">
        <f>IF(B76&gt;$N$2,0,VLOOKUP('Total income package'!$B$3,'Location specific data'!$A$3:$AO$135,35,FALSE))*$E$2*20</f>
        <v>0</v>
      </c>
      <c r="M76" s="6">
        <f>IF(B76&gt;$N$2,0,VLOOKUP('Total income package'!$B$3,'Location specific data'!$A$3:$AO$135,36,FALSE))*$F$2*20</f>
        <v>0</v>
      </c>
      <c r="N76" s="6">
        <f>IF(B76&gt;$N$2,0,VLOOKUP('Total income package'!$B$3,'Location specific data'!$A$3:$AO$135,37,FALSE))*($G$2+$H$2)*20</f>
        <v>0</v>
      </c>
      <c r="O76" s="6">
        <f t="shared" si="14"/>
        <v>0</v>
      </c>
      <c r="P76" s="312">
        <f t="shared" si="15"/>
        <v>147.91666666666669</v>
      </c>
      <c r="Q76" s="312">
        <f t="shared" si="16"/>
        <v>0</v>
      </c>
      <c r="R76" s="312">
        <f t="shared" si="20"/>
        <v>0</v>
      </c>
      <c r="S76" s="160">
        <f>IF(AND('Total income package'!$A$8=TRUE,OR(F76="Yes",G76="Yes",H76="Yes")),SUM(J76:N76)-R76,0)</f>
        <v>0</v>
      </c>
    </row>
    <row r="77" spans="1:19" s="5" customFormat="1" x14ac:dyDescent="0.25">
      <c r="A77" s="6">
        <v>36000</v>
      </c>
      <c r="B77" s="7">
        <f t="shared" si="17"/>
        <v>3000</v>
      </c>
      <c r="C77" s="7">
        <f>'Total income package'!$D$80</f>
        <v>0</v>
      </c>
      <c r="D77" s="7">
        <f t="shared" si="18"/>
        <v>3000</v>
      </c>
      <c r="E77" s="65">
        <f t="shared" si="19"/>
        <v>1.6635859519408502</v>
      </c>
      <c r="F77" s="65" t="str">
        <f t="shared" si="11"/>
        <v>No</v>
      </c>
      <c r="G77" s="65" t="str">
        <f t="shared" si="12"/>
        <v>No</v>
      </c>
      <c r="H77" s="301" t="str">
        <f>IF(OR('TANF-VIEW'!L81&gt;0,'TANF-VIEW'!T81&gt;0),"Yes","No")</f>
        <v>No</v>
      </c>
      <c r="I77" s="63">
        <f t="shared" si="13"/>
        <v>0</v>
      </c>
      <c r="J77" s="6">
        <f>(IF(B77&gt;$N$2,0,VLOOKUP('Total income package'!$B$3,'Location specific data'!$A$3:$AO$135,33,FALSE))*$C$2)*20</f>
        <v>0</v>
      </c>
      <c r="K77" s="6">
        <f>IF(B77&gt;$N$2,0,VLOOKUP('Total income package'!$B$3,'Location specific data'!$A$3:$AO$135,34,FALSE))*$D$2*20</f>
        <v>0</v>
      </c>
      <c r="L77" s="6">
        <f>IF(B77&gt;$N$2,0,VLOOKUP('Total income package'!$B$3,'Location specific data'!$A$3:$AO$135,35,FALSE))*$E$2*20</f>
        <v>0</v>
      </c>
      <c r="M77" s="6">
        <f>IF(B77&gt;$N$2,0,VLOOKUP('Total income package'!$B$3,'Location specific data'!$A$3:$AO$135,36,FALSE))*$F$2*20</f>
        <v>0</v>
      </c>
      <c r="N77" s="6">
        <f>IF(B77&gt;$N$2,0,VLOOKUP('Total income package'!$B$3,'Location specific data'!$A$3:$AO$135,37,FALSE))*($G$2+$H$2)*20</f>
        <v>0</v>
      </c>
      <c r="O77" s="6">
        <f t="shared" si="14"/>
        <v>0</v>
      </c>
      <c r="P77" s="312">
        <f t="shared" si="15"/>
        <v>150</v>
      </c>
      <c r="Q77" s="312">
        <f t="shared" si="16"/>
        <v>0</v>
      </c>
      <c r="R77" s="312">
        <f t="shared" si="20"/>
        <v>0</v>
      </c>
      <c r="S77" s="160">
        <f>IF(AND('Total income package'!$A$8=TRUE,OR(F77="Yes",G77="Yes",H77="Yes")),SUM(J77:N77)-R77,0)</f>
        <v>0</v>
      </c>
    </row>
    <row r="78" spans="1:19" s="5" customFormat="1" x14ac:dyDescent="0.25">
      <c r="A78" s="6">
        <v>36500</v>
      </c>
      <c r="B78" s="7">
        <f t="shared" si="17"/>
        <v>3041.6666666666665</v>
      </c>
      <c r="C78" s="7">
        <f>'Total income package'!$D$80</f>
        <v>0</v>
      </c>
      <c r="D78" s="7">
        <f t="shared" si="18"/>
        <v>3041.6666666666665</v>
      </c>
      <c r="E78" s="65">
        <f t="shared" si="19"/>
        <v>1.6866913123844731</v>
      </c>
      <c r="F78" s="65" t="str">
        <f t="shared" si="11"/>
        <v>No</v>
      </c>
      <c r="G78" s="65" t="str">
        <f t="shared" si="12"/>
        <v>No</v>
      </c>
      <c r="H78" s="301" t="str">
        <f>IF(OR('TANF-VIEW'!L82&gt;0,'TANF-VIEW'!T82&gt;0),"Yes","No")</f>
        <v>No</v>
      </c>
      <c r="I78" s="63">
        <f t="shared" si="13"/>
        <v>0</v>
      </c>
      <c r="J78" s="6">
        <f>(IF(B78&gt;$N$2,0,VLOOKUP('Total income package'!$B$3,'Location specific data'!$A$3:$AO$135,33,FALSE))*$C$2)*20</f>
        <v>0</v>
      </c>
      <c r="K78" s="6">
        <f>IF(B78&gt;$N$2,0,VLOOKUP('Total income package'!$B$3,'Location specific data'!$A$3:$AO$135,34,FALSE))*$D$2*20</f>
        <v>0</v>
      </c>
      <c r="L78" s="6">
        <f>IF(B78&gt;$N$2,0,VLOOKUP('Total income package'!$B$3,'Location specific data'!$A$3:$AO$135,35,FALSE))*$E$2*20</f>
        <v>0</v>
      </c>
      <c r="M78" s="6">
        <f>IF(B78&gt;$N$2,0,VLOOKUP('Total income package'!$B$3,'Location specific data'!$A$3:$AO$135,36,FALSE))*$F$2*20</f>
        <v>0</v>
      </c>
      <c r="N78" s="6">
        <f>IF(B78&gt;$N$2,0,VLOOKUP('Total income package'!$B$3,'Location specific data'!$A$3:$AO$135,37,FALSE))*($G$2+$H$2)*20</f>
        <v>0</v>
      </c>
      <c r="O78" s="6">
        <f t="shared" si="14"/>
        <v>0</v>
      </c>
      <c r="P78" s="312">
        <f t="shared" si="15"/>
        <v>152.08333333333334</v>
      </c>
      <c r="Q78" s="312">
        <f t="shared" si="16"/>
        <v>0</v>
      </c>
      <c r="R78" s="312">
        <f t="shared" si="20"/>
        <v>0</v>
      </c>
      <c r="S78" s="160">
        <f>IF(AND('Total income package'!$A$8=TRUE,OR(F78="Yes",G78="Yes",H78="Yes")),SUM(J78:N78)-R78,0)</f>
        <v>0</v>
      </c>
    </row>
    <row r="79" spans="1:19" s="5" customFormat="1" x14ac:dyDescent="0.25">
      <c r="A79" s="6">
        <v>37000</v>
      </c>
      <c r="B79" s="7">
        <f t="shared" si="17"/>
        <v>3083.3333333333335</v>
      </c>
      <c r="C79" s="7">
        <f>'Total income package'!$D$80</f>
        <v>0</v>
      </c>
      <c r="D79" s="7">
        <f t="shared" si="18"/>
        <v>3083.3333333333335</v>
      </c>
      <c r="E79" s="65">
        <f t="shared" si="19"/>
        <v>1.7097966728280962</v>
      </c>
      <c r="F79" s="65" t="str">
        <f t="shared" si="11"/>
        <v>No</v>
      </c>
      <c r="G79" s="65" t="str">
        <f t="shared" si="12"/>
        <v>No</v>
      </c>
      <c r="H79" s="301" t="str">
        <f>IF(OR('TANF-VIEW'!L83&gt;0,'TANF-VIEW'!T83&gt;0),"Yes","No")</f>
        <v>No</v>
      </c>
      <c r="I79" s="63">
        <f t="shared" si="13"/>
        <v>0</v>
      </c>
      <c r="J79" s="6">
        <f>(IF(B79&gt;$N$2,0,VLOOKUP('Total income package'!$B$3,'Location specific data'!$A$3:$AO$135,33,FALSE))*$C$2)*20</f>
        <v>0</v>
      </c>
      <c r="K79" s="6">
        <f>IF(B79&gt;$N$2,0,VLOOKUP('Total income package'!$B$3,'Location specific data'!$A$3:$AO$135,34,FALSE))*$D$2*20</f>
        <v>0</v>
      </c>
      <c r="L79" s="6">
        <f>IF(B79&gt;$N$2,0,VLOOKUP('Total income package'!$B$3,'Location specific data'!$A$3:$AO$135,35,FALSE))*$E$2*20</f>
        <v>0</v>
      </c>
      <c r="M79" s="6">
        <f>IF(B79&gt;$N$2,0,VLOOKUP('Total income package'!$B$3,'Location specific data'!$A$3:$AO$135,36,FALSE))*$F$2*20</f>
        <v>0</v>
      </c>
      <c r="N79" s="6">
        <f>IF(B79&gt;$N$2,0,VLOOKUP('Total income package'!$B$3,'Location specific data'!$A$3:$AO$135,37,FALSE))*($G$2+$H$2)*20</f>
        <v>0</v>
      </c>
      <c r="O79" s="6">
        <f t="shared" si="14"/>
        <v>0</v>
      </c>
      <c r="P79" s="312">
        <f t="shared" si="15"/>
        <v>154.16666666666669</v>
      </c>
      <c r="Q79" s="312">
        <f t="shared" si="16"/>
        <v>0</v>
      </c>
      <c r="R79" s="312">
        <f t="shared" si="20"/>
        <v>0</v>
      </c>
      <c r="S79" s="160">
        <f>IF(AND('Total income package'!$A$8=TRUE,OR(F79="Yes",G79="Yes",H79="Yes")),SUM(J79:N79)-R79,0)</f>
        <v>0</v>
      </c>
    </row>
    <row r="80" spans="1:19" s="5" customFormat="1" x14ac:dyDescent="0.25">
      <c r="A80" s="6">
        <v>37500</v>
      </c>
      <c r="B80" s="7">
        <f t="shared" si="17"/>
        <v>3125</v>
      </c>
      <c r="C80" s="7">
        <f>'Total income package'!$D$80</f>
        <v>0</v>
      </c>
      <c r="D80" s="7">
        <f t="shared" si="18"/>
        <v>3125</v>
      </c>
      <c r="E80" s="65">
        <f t="shared" si="19"/>
        <v>1.7329020332717191</v>
      </c>
      <c r="F80" s="65" t="str">
        <f t="shared" si="11"/>
        <v>No</v>
      </c>
      <c r="G80" s="65" t="str">
        <f t="shared" si="12"/>
        <v>No</v>
      </c>
      <c r="H80" s="301" t="str">
        <f>IF(OR('TANF-VIEW'!L84&gt;0,'TANF-VIEW'!T84&gt;0),"Yes","No")</f>
        <v>No</v>
      </c>
      <c r="I80" s="63">
        <f t="shared" si="13"/>
        <v>0</v>
      </c>
      <c r="J80" s="6">
        <f>(IF(B80&gt;$N$2,0,VLOOKUP('Total income package'!$B$3,'Location specific data'!$A$3:$AO$135,33,FALSE))*$C$2)*20</f>
        <v>0</v>
      </c>
      <c r="K80" s="6">
        <f>IF(B80&gt;$N$2,0,VLOOKUP('Total income package'!$B$3,'Location specific data'!$A$3:$AO$135,34,FALSE))*$D$2*20</f>
        <v>0</v>
      </c>
      <c r="L80" s="6">
        <f>IF(B80&gt;$N$2,0,VLOOKUP('Total income package'!$B$3,'Location specific data'!$A$3:$AO$135,35,FALSE))*$E$2*20</f>
        <v>0</v>
      </c>
      <c r="M80" s="6">
        <f>IF(B80&gt;$N$2,0,VLOOKUP('Total income package'!$B$3,'Location specific data'!$A$3:$AO$135,36,FALSE))*$F$2*20</f>
        <v>0</v>
      </c>
      <c r="N80" s="6">
        <f>IF(B80&gt;$N$2,0,VLOOKUP('Total income package'!$B$3,'Location specific data'!$A$3:$AO$135,37,FALSE))*($G$2+$H$2)*20</f>
        <v>0</v>
      </c>
      <c r="O80" s="6">
        <f t="shared" si="14"/>
        <v>0</v>
      </c>
      <c r="P80" s="312">
        <f t="shared" si="15"/>
        <v>156.25</v>
      </c>
      <c r="Q80" s="312">
        <f t="shared" si="16"/>
        <v>0</v>
      </c>
      <c r="R80" s="312">
        <f t="shared" si="20"/>
        <v>0</v>
      </c>
      <c r="S80" s="160">
        <f>IF(AND('Total income package'!$A$8=TRUE,OR(F80="Yes",G80="Yes",H80="Yes")),SUM(J80:N80)-R80,0)</f>
        <v>0</v>
      </c>
    </row>
    <row r="81" spans="1:19" s="5" customFormat="1" x14ac:dyDescent="0.25">
      <c r="A81" s="6">
        <v>38000</v>
      </c>
      <c r="B81" s="7">
        <f t="shared" si="17"/>
        <v>3166.6666666666665</v>
      </c>
      <c r="C81" s="7">
        <f>'Total income package'!$D$80</f>
        <v>0</v>
      </c>
      <c r="D81" s="7">
        <f t="shared" si="18"/>
        <v>3166.6666666666665</v>
      </c>
      <c r="E81" s="65">
        <f t="shared" si="19"/>
        <v>1.756007393715342</v>
      </c>
      <c r="F81" s="65" t="str">
        <f t="shared" si="11"/>
        <v>No</v>
      </c>
      <c r="G81" s="65" t="str">
        <f t="shared" si="12"/>
        <v>No</v>
      </c>
      <c r="H81" s="301" t="str">
        <f>IF(OR('TANF-VIEW'!L85&gt;0,'TANF-VIEW'!T85&gt;0),"Yes","No")</f>
        <v>No</v>
      </c>
      <c r="I81" s="63">
        <f t="shared" si="13"/>
        <v>0</v>
      </c>
      <c r="J81" s="6">
        <f>(IF(B81&gt;$N$2,0,VLOOKUP('Total income package'!$B$3,'Location specific data'!$A$3:$AO$135,33,FALSE))*$C$2)*20</f>
        <v>0</v>
      </c>
      <c r="K81" s="6">
        <f>IF(B81&gt;$N$2,0,VLOOKUP('Total income package'!$B$3,'Location specific data'!$A$3:$AO$135,34,FALSE))*$D$2*20</f>
        <v>0</v>
      </c>
      <c r="L81" s="6">
        <f>IF(B81&gt;$N$2,0,VLOOKUP('Total income package'!$B$3,'Location specific data'!$A$3:$AO$135,35,FALSE))*$E$2*20</f>
        <v>0</v>
      </c>
      <c r="M81" s="6">
        <f>IF(B81&gt;$N$2,0,VLOOKUP('Total income package'!$B$3,'Location specific data'!$A$3:$AO$135,36,FALSE))*$F$2*20</f>
        <v>0</v>
      </c>
      <c r="N81" s="6">
        <f>IF(B81&gt;$N$2,0,VLOOKUP('Total income package'!$B$3,'Location specific data'!$A$3:$AO$135,37,FALSE))*($G$2+$H$2)*20</f>
        <v>0</v>
      </c>
      <c r="O81" s="6">
        <f t="shared" si="14"/>
        <v>0</v>
      </c>
      <c r="P81" s="312">
        <f t="shared" si="15"/>
        <v>158.33333333333334</v>
      </c>
      <c r="Q81" s="312">
        <f t="shared" si="16"/>
        <v>0</v>
      </c>
      <c r="R81" s="312">
        <f t="shared" si="20"/>
        <v>0</v>
      </c>
      <c r="S81" s="160">
        <f>IF(AND('Total income package'!$A$8=TRUE,OR(F81="Yes",G81="Yes",H81="Yes")),SUM(J81:N81)-R81,0)</f>
        <v>0</v>
      </c>
    </row>
    <row r="82" spans="1:19" s="5" customFormat="1" x14ac:dyDescent="0.25">
      <c r="A82" s="6">
        <v>38500</v>
      </c>
      <c r="B82" s="7">
        <f t="shared" si="17"/>
        <v>3208.3333333333335</v>
      </c>
      <c r="C82" s="7">
        <f>'Total income package'!$D$80</f>
        <v>0</v>
      </c>
      <c r="D82" s="7">
        <f t="shared" si="18"/>
        <v>3208.3333333333335</v>
      </c>
      <c r="E82" s="65">
        <f t="shared" si="19"/>
        <v>1.7791127541589651</v>
      </c>
      <c r="F82" s="65" t="str">
        <f t="shared" si="11"/>
        <v>No</v>
      </c>
      <c r="G82" s="65" t="str">
        <f t="shared" si="12"/>
        <v>No</v>
      </c>
      <c r="H82" s="301" t="str">
        <f>IF(OR('TANF-VIEW'!L86&gt;0,'TANF-VIEW'!T86&gt;0),"Yes","No")</f>
        <v>No</v>
      </c>
      <c r="I82" s="63">
        <f t="shared" si="13"/>
        <v>0</v>
      </c>
      <c r="J82" s="6">
        <f>(IF(B82&gt;$N$2,0,VLOOKUP('Total income package'!$B$3,'Location specific data'!$A$3:$AO$135,33,FALSE))*$C$2)*20</f>
        <v>0</v>
      </c>
      <c r="K82" s="6">
        <f>IF(B82&gt;$N$2,0,VLOOKUP('Total income package'!$B$3,'Location specific data'!$A$3:$AO$135,34,FALSE))*$D$2*20</f>
        <v>0</v>
      </c>
      <c r="L82" s="6">
        <f>IF(B82&gt;$N$2,0,VLOOKUP('Total income package'!$B$3,'Location specific data'!$A$3:$AO$135,35,FALSE))*$E$2*20</f>
        <v>0</v>
      </c>
      <c r="M82" s="6">
        <f>IF(B82&gt;$N$2,0,VLOOKUP('Total income package'!$B$3,'Location specific data'!$A$3:$AO$135,36,FALSE))*$F$2*20</f>
        <v>0</v>
      </c>
      <c r="N82" s="6">
        <f>IF(B82&gt;$N$2,0,VLOOKUP('Total income package'!$B$3,'Location specific data'!$A$3:$AO$135,37,FALSE))*($G$2+$H$2)*20</f>
        <v>0</v>
      </c>
      <c r="O82" s="6">
        <f t="shared" si="14"/>
        <v>0</v>
      </c>
      <c r="P82" s="312">
        <f t="shared" si="15"/>
        <v>160.41666666666669</v>
      </c>
      <c r="Q82" s="312">
        <f t="shared" si="16"/>
        <v>0</v>
      </c>
      <c r="R82" s="312">
        <f t="shared" si="20"/>
        <v>0</v>
      </c>
      <c r="S82" s="160">
        <f>IF(AND('Total income package'!$A$8=TRUE,OR(F82="Yes",G82="Yes",H82="Yes")),SUM(J82:N82)-R82,0)</f>
        <v>0</v>
      </c>
    </row>
    <row r="83" spans="1:19" s="5" customFormat="1" x14ac:dyDescent="0.25">
      <c r="A83" s="6">
        <v>39000</v>
      </c>
      <c r="B83" s="7">
        <f t="shared" si="17"/>
        <v>3250</v>
      </c>
      <c r="C83" s="7">
        <f>'Total income package'!$D$80</f>
        <v>0</v>
      </c>
      <c r="D83" s="7">
        <f t="shared" si="18"/>
        <v>3250</v>
      </c>
      <c r="E83" s="65">
        <f t="shared" si="19"/>
        <v>1.802218114602588</v>
      </c>
      <c r="F83" s="65" t="str">
        <f t="shared" si="11"/>
        <v>No</v>
      </c>
      <c r="G83" s="65" t="str">
        <f t="shared" si="12"/>
        <v>No</v>
      </c>
      <c r="H83" s="301" t="str">
        <f>IF(OR('TANF-VIEW'!L87&gt;0,'TANF-VIEW'!T87&gt;0),"Yes","No")</f>
        <v>No</v>
      </c>
      <c r="I83" s="63">
        <f t="shared" si="13"/>
        <v>0</v>
      </c>
      <c r="J83" s="6">
        <f>(IF(B83&gt;$N$2,0,VLOOKUP('Total income package'!$B$3,'Location specific data'!$A$3:$AO$135,33,FALSE))*$C$2)*20</f>
        <v>0</v>
      </c>
      <c r="K83" s="6">
        <f>IF(B83&gt;$N$2,0,VLOOKUP('Total income package'!$B$3,'Location specific data'!$A$3:$AO$135,34,FALSE))*$D$2*20</f>
        <v>0</v>
      </c>
      <c r="L83" s="6">
        <f>IF(B83&gt;$N$2,0,VLOOKUP('Total income package'!$B$3,'Location specific data'!$A$3:$AO$135,35,FALSE))*$E$2*20</f>
        <v>0</v>
      </c>
      <c r="M83" s="6">
        <f>IF(B83&gt;$N$2,0,VLOOKUP('Total income package'!$B$3,'Location specific data'!$A$3:$AO$135,36,FALSE))*$F$2*20</f>
        <v>0</v>
      </c>
      <c r="N83" s="6">
        <f>IF(B83&gt;$N$2,0,VLOOKUP('Total income package'!$B$3,'Location specific data'!$A$3:$AO$135,37,FALSE))*($G$2+$H$2)*20</f>
        <v>0</v>
      </c>
      <c r="O83" s="6">
        <f t="shared" si="14"/>
        <v>0</v>
      </c>
      <c r="P83" s="312">
        <f t="shared" si="15"/>
        <v>162.5</v>
      </c>
      <c r="Q83" s="312">
        <f t="shared" si="16"/>
        <v>0</v>
      </c>
      <c r="R83" s="312">
        <f t="shared" si="20"/>
        <v>0</v>
      </c>
      <c r="S83" s="160">
        <f>IF(AND('Total income package'!$A$8=TRUE,OR(F83="Yes",G83="Yes",H83="Yes")),SUM(J83:N83)-R83,0)</f>
        <v>0</v>
      </c>
    </row>
    <row r="84" spans="1:19" s="5" customFormat="1" x14ac:dyDescent="0.25">
      <c r="A84" s="6">
        <v>39500</v>
      </c>
      <c r="B84" s="7">
        <f t="shared" si="17"/>
        <v>3291.6666666666665</v>
      </c>
      <c r="C84" s="7">
        <f>'Total income package'!$D$80</f>
        <v>0</v>
      </c>
      <c r="D84" s="7">
        <f t="shared" si="18"/>
        <v>3291.6666666666665</v>
      </c>
      <c r="E84" s="65">
        <f t="shared" si="19"/>
        <v>1.8253234750462106</v>
      </c>
      <c r="F84" s="65" t="str">
        <f t="shared" si="11"/>
        <v>No</v>
      </c>
      <c r="G84" s="65" t="str">
        <f t="shared" si="12"/>
        <v>No</v>
      </c>
      <c r="H84" s="301" t="str">
        <f>IF(OR('TANF-VIEW'!L88&gt;0,'TANF-VIEW'!T88&gt;0),"Yes","No")</f>
        <v>No</v>
      </c>
      <c r="I84" s="63">
        <f t="shared" si="13"/>
        <v>0</v>
      </c>
      <c r="J84" s="6">
        <f>(IF(B84&gt;$N$2,0,VLOOKUP('Total income package'!$B$3,'Location specific data'!$A$3:$AO$135,33,FALSE))*$C$2)*20</f>
        <v>0</v>
      </c>
      <c r="K84" s="6">
        <f>IF(B84&gt;$N$2,0,VLOOKUP('Total income package'!$B$3,'Location specific data'!$A$3:$AO$135,34,FALSE))*$D$2*20</f>
        <v>0</v>
      </c>
      <c r="L84" s="6">
        <f>IF(B84&gt;$N$2,0,VLOOKUP('Total income package'!$B$3,'Location specific data'!$A$3:$AO$135,35,FALSE))*$E$2*20</f>
        <v>0</v>
      </c>
      <c r="M84" s="6">
        <f>IF(B84&gt;$N$2,0,VLOOKUP('Total income package'!$B$3,'Location specific data'!$A$3:$AO$135,36,FALSE))*$F$2*20</f>
        <v>0</v>
      </c>
      <c r="N84" s="6">
        <f>IF(B84&gt;$N$2,0,VLOOKUP('Total income package'!$B$3,'Location specific data'!$A$3:$AO$135,37,FALSE))*($G$2+$H$2)*20</f>
        <v>0</v>
      </c>
      <c r="O84" s="6">
        <f t="shared" si="14"/>
        <v>0</v>
      </c>
      <c r="P84" s="312">
        <f t="shared" si="15"/>
        <v>164.58333333333334</v>
      </c>
      <c r="Q84" s="312">
        <f t="shared" si="16"/>
        <v>0</v>
      </c>
      <c r="R84" s="312">
        <f t="shared" si="20"/>
        <v>0</v>
      </c>
      <c r="S84" s="160">
        <f>IF(AND('Total income package'!$A$8=TRUE,OR(F84="Yes",G84="Yes",H84="Yes")),SUM(J84:N84)-R84,0)</f>
        <v>0</v>
      </c>
    </row>
    <row r="85" spans="1:19" s="5" customFormat="1" x14ac:dyDescent="0.25">
      <c r="A85" s="6">
        <v>40000</v>
      </c>
      <c r="B85" s="7">
        <f>A85/12</f>
        <v>3333.3333333333335</v>
      </c>
      <c r="C85" s="7">
        <f>'Total income package'!$D$80</f>
        <v>0</v>
      </c>
      <c r="D85" s="7">
        <f t="shared" si="18"/>
        <v>3333.3333333333335</v>
      </c>
      <c r="E85" s="65">
        <f t="shared" si="19"/>
        <v>1.8484288354898337</v>
      </c>
      <c r="F85" s="65" t="str">
        <f t="shared" si="11"/>
        <v>No</v>
      </c>
      <c r="G85" s="65" t="str">
        <f t="shared" si="12"/>
        <v>No</v>
      </c>
      <c r="H85" s="301" t="str">
        <f>IF(OR('TANF-VIEW'!L89&gt;0,'TANF-VIEW'!T89&gt;0),"Yes","No")</f>
        <v>No</v>
      </c>
      <c r="I85" s="63">
        <f t="shared" si="13"/>
        <v>0</v>
      </c>
      <c r="J85" s="6">
        <f>(IF(B85&gt;$N$2,0,VLOOKUP('Total income package'!$B$3,'Location specific data'!$A$3:$AO$135,33,FALSE))*$C$2)*20</f>
        <v>0</v>
      </c>
      <c r="K85" s="6">
        <f>IF(B85&gt;$N$2,0,VLOOKUP('Total income package'!$B$3,'Location specific data'!$A$3:$AO$135,34,FALSE))*$D$2*20</f>
        <v>0</v>
      </c>
      <c r="L85" s="6">
        <f>IF(B85&gt;$N$2,0,VLOOKUP('Total income package'!$B$3,'Location specific data'!$A$3:$AO$135,35,FALSE))*$E$2*20</f>
        <v>0</v>
      </c>
      <c r="M85" s="6">
        <f>IF(B85&gt;$N$2,0,VLOOKUP('Total income package'!$B$3,'Location specific data'!$A$3:$AO$135,36,FALSE))*$F$2*20</f>
        <v>0</v>
      </c>
      <c r="N85" s="6">
        <f>IF(B85&gt;$N$2,0,VLOOKUP('Total income package'!$B$3,'Location specific data'!$A$3:$AO$135,37,FALSE))*($G$2+$H$2)*20</f>
        <v>0</v>
      </c>
      <c r="O85" s="6">
        <f t="shared" si="14"/>
        <v>0</v>
      </c>
      <c r="P85" s="312">
        <f t="shared" si="15"/>
        <v>166.66666666666669</v>
      </c>
      <c r="Q85" s="312">
        <f t="shared" si="16"/>
        <v>0</v>
      </c>
      <c r="R85" s="312">
        <f t="shared" si="20"/>
        <v>0</v>
      </c>
      <c r="S85" s="160">
        <f>IF(AND('Total income package'!$A$8=TRUE,OR(F85="Yes",G85="Yes",H85="Yes")),SUM(J85:N85)-R85,0)</f>
        <v>0</v>
      </c>
    </row>
    <row r="86" spans="1:19" s="5" customFormat="1" x14ac:dyDescent="0.25">
      <c r="A86" s="6">
        <v>40500</v>
      </c>
      <c r="B86" s="7">
        <f t="shared" si="17"/>
        <v>3375</v>
      </c>
      <c r="C86" s="7">
        <f>'Total income package'!$D$80</f>
        <v>0</v>
      </c>
      <c r="D86" s="7">
        <f t="shared" si="18"/>
        <v>3375</v>
      </c>
      <c r="E86" s="65">
        <f t="shared" si="19"/>
        <v>1.8715341959334566</v>
      </c>
      <c r="F86" s="65" t="str">
        <f t="shared" si="11"/>
        <v>No</v>
      </c>
      <c r="G86" s="65" t="str">
        <f t="shared" si="12"/>
        <v>No</v>
      </c>
      <c r="H86" s="301" t="str">
        <f>IF(OR('TANF-VIEW'!L90&gt;0,'TANF-VIEW'!T90&gt;0),"Yes","No")</f>
        <v>No</v>
      </c>
      <c r="I86" s="63">
        <f t="shared" si="13"/>
        <v>0</v>
      </c>
      <c r="J86" s="6">
        <f>(IF(B86&gt;$N$2,0,VLOOKUP('Total income package'!$B$3,'Location specific data'!$A$3:$AO$135,33,FALSE))*$C$2)*20</f>
        <v>0</v>
      </c>
      <c r="K86" s="6">
        <f>IF(B86&gt;$N$2,0,VLOOKUP('Total income package'!$B$3,'Location specific data'!$A$3:$AO$135,34,FALSE))*$D$2*20</f>
        <v>0</v>
      </c>
      <c r="L86" s="6">
        <f>IF(B86&gt;$N$2,0,VLOOKUP('Total income package'!$B$3,'Location specific data'!$A$3:$AO$135,35,FALSE))*$E$2*20</f>
        <v>0</v>
      </c>
      <c r="M86" s="6">
        <f>IF(B86&gt;$N$2,0,VLOOKUP('Total income package'!$B$3,'Location specific data'!$A$3:$AO$135,36,FALSE))*$F$2*20</f>
        <v>0</v>
      </c>
      <c r="N86" s="6">
        <f>IF(B86&gt;$N$2,0,VLOOKUP('Total income package'!$B$3,'Location specific data'!$A$3:$AO$135,37,FALSE))*($G$2+$H$2)*20</f>
        <v>0</v>
      </c>
      <c r="O86" s="6">
        <f t="shared" si="14"/>
        <v>0</v>
      </c>
      <c r="P86" s="312">
        <f t="shared" si="15"/>
        <v>168.75</v>
      </c>
      <c r="Q86" s="312">
        <f t="shared" si="16"/>
        <v>0</v>
      </c>
      <c r="R86" s="312">
        <f t="shared" si="20"/>
        <v>0</v>
      </c>
      <c r="S86" s="160">
        <f>IF(AND('Total income package'!$A$8=TRUE,OR(F86="Yes",G86="Yes",H86="Yes")),SUM(J86:N86)-R86,0)</f>
        <v>0</v>
      </c>
    </row>
    <row r="87" spans="1:19" s="5" customFormat="1" x14ac:dyDescent="0.25">
      <c r="A87" s="6">
        <v>41000</v>
      </c>
      <c r="B87" s="7">
        <f t="shared" si="17"/>
        <v>3416.6666666666665</v>
      </c>
      <c r="C87" s="7">
        <f>'Total income package'!$D$80</f>
        <v>0</v>
      </c>
      <c r="D87" s="7">
        <f t="shared" si="18"/>
        <v>3416.6666666666665</v>
      </c>
      <c r="E87" s="65">
        <f t="shared" si="19"/>
        <v>1.8946395563770795</v>
      </c>
      <c r="F87" s="65" t="str">
        <f t="shared" si="11"/>
        <v>No</v>
      </c>
      <c r="G87" s="65" t="str">
        <f t="shared" si="12"/>
        <v>No</v>
      </c>
      <c r="H87" s="301" t="str">
        <f>IF(OR('TANF-VIEW'!L91&gt;0,'TANF-VIEW'!T91&gt;0),"Yes","No")</f>
        <v>No</v>
      </c>
      <c r="I87" s="63">
        <f t="shared" si="13"/>
        <v>0</v>
      </c>
      <c r="J87" s="6">
        <f>(IF(B87&gt;$N$2,0,VLOOKUP('Total income package'!$B$3,'Location specific data'!$A$3:$AO$135,33,FALSE))*$C$2)*20</f>
        <v>0</v>
      </c>
      <c r="K87" s="6">
        <f>IF(B87&gt;$N$2,0,VLOOKUP('Total income package'!$B$3,'Location specific data'!$A$3:$AO$135,34,FALSE))*$D$2*20</f>
        <v>0</v>
      </c>
      <c r="L87" s="6">
        <f>IF(B87&gt;$N$2,0,VLOOKUP('Total income package'!$B$3,'Location specific data'!$A$3:$AO$135,35,FALSE))*$E$2*20</f>
        <v>0</v>
      </c>
      <c r="M87" s="6">
        <f>IF(B87&gt;$N$2,0,VLOOKUP('Total income package'!$B$3,'Location specific data'!$A$3:$AO$135,36,FALSE))*$F$2*20</f>
        <v>0</v>
      </c>
      <c r="N87" s="6">
        <f>IF(B87&gt;$N$2,0,VLOOKUP('Total income package'!$B$3,'Location specific data'!$A$3:$AO$135,37,FALSE))*($G$2+$H$2)*20</f>
        <v>0</v>
      </c>
      <c r="O87" s="6">
        <f t="shared" si="14"/>
        <v>0</v>
      </c>
      <c r="P87" s="312">
        <f t="shared" si="15"/>
        <v>170.83333333333334</v>
      </c>
      <c r="Q87" s="312">
        <f t="shared" si="16"/>
        <v>0</v>
      </c>
      <c r="R87" s="312">
        <f t="shared" si="20"/>
        <v>0</v>
      </c>
      <c r="S87" s="160">
        <f>IF(AND('Total income package'!$A$8=TRUE,OR(F87="Yes",G87="Yes",H87="Yes")),SUM(J87:N87)-R87,0)</f>
        <v>0</v>
      </c>
    </row>
    <row r="88" spans="1:19" s="5" customFormat="1" x14ac:dyDescent="0.25">
      <c r="A88" s="6">
        <v>41500</v>
      </c>
      <c r="B88" s="7">
        <f t="shared" si="17"/>
        <v>3458.3333333333335</v>
      </c>
      <c r="C88" s="7">
        <f>'Total income package'!$D$80</f>
        <v>0</v>
      </c>
      <c r="D88" s="7">
        <f t="shared" si="18"/>
        <v>3458.3333333333335</v>
      </c>
      <c r="E88" s="65">
        <f t="shared" si="19"/>
        <v>1.9177449168207026</v>
      </c>
      <c r="F88" s="65" t="str">
        <f t="shared" si="11"/>
        <v>No</v>
      </c>
      <c r="G88" s="65" t="str">
        <f t="shared" si="12"/>
        <v>No</v>
      </c>
      <c r="H88" s="301" t="str">
        <f>IF(OR('TANF-VIEW'!L92&gt;0,'TANF-VIEW'!T92&gt;0),"Yes","No")</f>
        <v>No</v>
      </c>
      <c r="I88" s="63">
        <f t="shared" si="13"/>
        <v>0</v>
      </c>
      <c r="J88" s="6">
        <f>(IF(B88&gt;$N$2,0,VLOOKUP('Total income package'!$B$3,'Location specific data'!$A$3:$AO$135,33,FALSE))*$C$2)*20</f>
        <v>0</v>
      </c>
      <c r="K88" s="6">
        <f>IF(B88&gt;$N$2,0,VLOOKUP('Total income package'!$B$3,'Location specific data'!$A$3:$AO$135,34,FALSE))*$D$2*20</f>
        <v>0</v>
      </c>
      <c r="L88" s="6">
        <f>IF(B88&gt;$N$2,0,VLOOKUP('Total income package'!$B$3,'Location specific data'!$A$3:$AO$135,35,FALSE))*$E$2*20</f>
        <v>0</v>
      </c>
      <c r="M88" s="6">
        <f>IF(B88&gt;$N$2,0,VLOOKUP('Total income package'!$B$3,'Location specific data'!$A$3:$AO$135,36,FALSE))*$F$2*20</f>
        <v>0</v>
      </c>
      <c r="N88" s="6">
        <f>IF(B88&gt;$N$2,0,VLOOKUP('Total income package'!$B$3,'Location specific data'!$A$3:$AO$135,37,FALSE))*($G$2+$H$2)*20</f>
        <v>0</v>
      </c>
      <c r="O88" s="6">
        <f t="shared" si="14"/>
        <v>0</v>
      </c>
      <c r="P88" s="312">
        <f t="shared" si="15"/>
        <v>172.91666666666669</v>
      </c>
      <c r="Q88" s="312">
        <f t="shared" si="16"/>
        <v>0</v>
      </c>
      <c r="R88" s="312">
        <f t="shared" si="20"/>
        <v>0</v>
      </c>
      <c r="S88" s="160">
        <f>IF(AND('Total income package'!$A$8=TRUE,OR(F88="Yes",G88="Yes",H88="Yes")),SUM(J88:N88)-R88,0)</f>
        <v>0</v>
      </c>
    </row>
    <row r="89" spans="1:19" s="5" customFormat="1" x14ac:dyDescent="0.25">
      <c r="A89" s="6">
        <v>42000</v>
      </c>
      <c r="B89" s="7">
        <f t="shared" si="17"/>
        <v>3500</v>
      </c>
      <c r="C89" s="7">
        <f>'Total income package'!$D$80</f>
        <v>0</v>
      </c>
      <c r="D89" s="7">
        <f t="shared" si="18"/>
        <v>3500</v>
      </c>
      <c r="E89" s="65">
        <f t="shared" si="19"/>
        <v>1.9408502772643255</v>
      </c>
      <c r="F89" s="65" t="str">
        <f t="shared" si="11"/>
        <v>No</v>
      </c>
      <c r="G89" s="65" t="str">
        <f t="shared" si="12"/>
        <v>No</v>
      </c>
      <c r="H89" s="301" t="str">
        <f>IF(OR('TANF-VIEW'!L93&gt;0,'TANF-VIEW'!T93&gt;0),"Yes","No")</f>
        <v>No</v>
      </c>
      <c r="I89" s="63">
        <f t="shared" si="13"/>
        <v>0</v>
      </c>
      <c r="J89" s="6">
        <f>(IF(B89&gt;$N$2,0,VLOOKUP('Total income package'!$B$3,'Location specific data'!$A$3:$AO$135,33,FALSE))*$C$2)*20</f>
        <v>0</v>
      </c>
      <c r="K89" s="6">
        <f>IF(B89&gt;$N$2,0,VLOOKUP('Total income package'!$B$3,'Location specific data'!$A$3:$AO$135,34,FALSE))*$D$2*20</f>
        <v>0</v>
      </c>
      <c r="L89" s="6">
        <f>IF(B89&gt;$N$2,0,VLOOKUP('Total income package'!$B$3,'Location specific data'!$A$3:$AO$135,35,FALSE))*$E$2*20</f>
        <v>0</v>
      </c>
      <c r="M89" s="6">
        <f>IF(B89&gt;$N$2,0,VLOOKUP('Total income package'!$B$3,'Location specific data'!$A$3:$AO$135,36,FALSE))*$F$2*20</f>
        <v>0</v>
      </c>
      <c r="N89" s="6">
        <f>IF(B89&gt;$N$2,0,VLOOKUP('Total income package'!$B$3,'Location specific data'!$A$3:$AO$135,37,FALSE))*($G$2+$H$2)*20</f>
        <v>0</v>
      </c>
      <c r="O89" s="6">
        <f t="shared" si="14"/>
        <v>0</v>
      </c>
      <c r="P89" s="312">
        <f t="shared" si="15"/>
        <v>175</v>
      </c>
      <c r="Q89" s="312">
        <f t="shared" si="16"/>
        <v>0</v>
      </c>
      <c r="R89" s="312">
        <f t="shared" si="20"/>
        <v>0</v>
      </c>
      <c r="S89" s="160">
        <f>IF(AND('Total income package'!$A$8=TRUE,OR(F89="Yes",G89="Yes",H89="Yes")),SUM(J89:N89)-R89,0)</f>
        <v>0</v>
      </c>
    </row>
    <row r="90" spans="1:19" s="5" customFormat="1" x14ac:dyDescent="0.25">
      <c r="A90" s="6">
        <v>42500</v>
      </c>
      <c r="B90" s="7">
        <f t="shared" si="17"/>
        <v>3541.6666666666665</v>
      </c>
      <c r="C90" s="7">
        <f>'Total income package'!$D$80</f>
        <v>0</v>
      </c>
      <c r="D90" s="7">
        <f t="shared" si="18"/>
        <v>3541.6666666666665</v>
      </c>
      <c r="E90" s="65">
        <f t="shared" si="19"/>
        <v>1.9639556377079483</v>
      </c>
      <c r="F90" s="65" t="str">
        <f t="shared" si="11"/>
        <v>No</v>
      </c>
      <c r="G90" s="65" t="str">
        <f t="shared" si="12"/>
        <v>No</v>
      </c>
      <c r="H90" s="301" t="str">
        <f>IF(OR('TANF-VIEW'!L94&gt;0,'TANF-VIEW'!T94&gt;0),"Yes","No")</f>
        <v>No</v>
      </c>
      <c r="I90" s="63">
        <f t="shared" si="13"/>
        <v>0</v>
      </c>
      <c r="J90" s="6">
        <f>(IF(B90&gt;$N$2,0,VLOOKUP('Total income package'!$B$3,'Location specific data'!$A$3:$AO$135,33,FALSE))*$C$2)*20</f>
        <v>0</v>
      </c>
      <c r="K90" s="6">
        <f>IF(B90&gt;$N$2,0,VLOOKUP('Total income package'!$B$3,'Location specific data'!$A$3:$AO$135,34,FALSE))*$D$2*20</f>
        <v>0</v>
      </c>
      <c r="L90" s="6">
        <f>IF(B90&gt;$N$2,0,VLOOKUP('Total income package'!$B$3,'Location specific data'!$A$3:$AO$135,35,FALSE))*$E$2*20</f>
        <v>0</v>
      </c>
      <c r="M90" s="6">
        <f>IF(B90&gt;$N$2,0,VLOOKUP('Total income package'!$B$3,'Location specific data'!$A$3:$AO$135,36,FALSE))*$F$2*20</f>
        <v>0</v>
      </c>
      <c r="N90" s="6">
        <f>IF(B90&gt;$N$2,0,VLOOKUP('Total income package'!$B$3,'Location specific data'!$A$3:$AO$135,37,FALSE))*($G$2+$H$2)*20</f>
        <v>0</v>
      </c>
      <c r="O90" s="6">
        <f t="shared" si="14"/>
        <v>0</v>
      </c>
      <c r="P90" s="312">
        <f t="shared" si="15"/>
        <v>177.08333333333334</v>
      </c>
      <c r="Q90" s="312">
        <f t="shared" si="16"/>
        <v>0</v>
      </c>
      <c r="R90" s="312">
        <f t="shared" si="20"/>
        <v>0</v>
      </c>
      <c r="S90" s="160">
        <f>IF(AND('Total income package'!$A$8=TRUE,OR(F90="Yes",G90="Yes",H90="Yes")),SUM(J90:N90)-R90,0)</f>
        <v>0</v>
      </c>
    </row>
    <row r="91" spans="1:19" s="5" customFormat="1" x14ac:dyDescent="0.25">
      <c r="A91" s="6">
        <v>43000</v>
      </c>
      <c r="B91" s="7">
        <f t="shared" si="17"/>
        <v>3583.3333333333335</v>
      </c>
      <c r="C91" s="7">
        <f>'Total income package'!$D$80</f>
        <v>0</v>
      </c>
      <c r="D91" s="7">
        <f t="shared" si="18"/>
        <v>3583.3333333333335</v>
      </c>
      <c r="E91" s="65">
        <f t="shared" si="19"/>
        <v>1.9870609981515712</v>
      </c>
      <c r="F91" s="65" t="str">
        <f t="shared" si="11"/>
        <v>No</v>
      </c>
      <c r="G91" s="65" t="str">
        <f t="shared" si="12"/>
        <v>No</v>
      </c>
      <c r="H91" s="301" t="str">
        <f>IF(OR('TANF-VIEW'!L95&gt;0,'TANF-VIEW'!T95&gt;0),"Yes","No")</f>
        <v>No</v>
      </c>
      <c r="I91" s="63">
        <f t="shared" si="13"/>
        <v>0</v>
      </c>
      <c r="J91" s="6">
        <f>(IF(B91&gt;$N$2,0,VLOOKUP('Total income package'!$B$3,'Location specific data'!$A$3:$AO$135,33,FALSE))*$C$2)*20</f>
        <v>0</v>
      </c>
      <c r="K91" s="6">
        <f>IF(B91&gt;$N$2,0,VLOOKUP('Total income package'!$B$3,'Location specific data'!$A$3:$AO$135,34,FALSE))*$D$2*20</f>
        <v>0</v>
      </c>
      <c r="L91" s="6">
        <f>IF(B91&gt;$N$2,0,VLOOKUP('Total income package'!$B$3,'Location specific data'!$A$3:$AO$135,35,FALSE))*$E$2*20</f>
        <v>0</v>
      </c>
      <c r="M91" s="6">
        <f>IF(B91&gt;$N$2,0,VLOOKUP('Total income package'!$B$3,'Location specific data'!$A$3:$AO$135,36,FALSE))*$F$2*20</f>
        <v>0</v>
      </c>
      <c r="N91" s="6">
        <f>IF(B91&gt;$N$2,0,VLOOKUP('Total income package'!$B$3,'Location specific data'!$A$3:$AO$135,37,FALSE))*($G$2+$H$2)*20</f>
        <v>0</v>
      </c>
      <c r="O91" s="6">
        <f t="shared" si="14"/>
        <v>0</v>
      </c>
      <c r="P91" s="312">
        <f t="shared" si="15"/>
        <v>179.16666666666669</v>
      </c>
      <c r="Q91" s="312">
        <f t="shared" si="16"/>
        <v>0</v>
      </c>
      <c r="R91" s="312">
        <f t="shared" si="20"/>
        <v>0</v>
      </c>
      <c r="S91" s="160">
        <f>IF(AND('Total income package'!$A$8=TRUE,OR(F91="Yes",G91="Yes",H91="Yes")),SUM(J91:N91)-R91,0)</f>
        <v>0</v>
      </c>
    </row>
    <row r="92" spans="1:19" s="5" customFormat="1" x14ac:dyDescent="0.25">
      <c r="A92" s="6">
        <v>43500</v>
      </c>
      <c r="B92" s="7">
        <f t="shared" si="17"/>
        <v>3625</v>
      </c>
      <c r="C92" s="7">
        <f>'Total income package'!$D$80</f>
        <v>0</v>
      </c>
      <c r="D92" s="7">
        <f t="shared" si="18"/>
        <v>3625</v>
      </c>
      <c r="E92" s="65">
        <f t="shared" si="19"/>
        <v>2.0101663585951943</v>
      </c>
      <c r="F92" s="65" t="str">
        <f t="shared" si="11"/>
        <v>No</v>
      </c>
      <c r="G92" s="65" t="str">
        <f t="shared" si="12"/>
        <v>No</v>
      </c>
      <c r="H92" s="301" t="str">
        <f>IF(OR('TANF-VIEW'!L96&gt;0,'TANF-VIEW'!T96&gt;0),"Yes","No")</f>
        <v>No</v>
      </c>
      <c r="I92" s="63">
        <f t="shared" si="13"/>
        <v>0</v>
      </c>
      <c r="J92" s="6">
        <f>(IF(B92&gt;$N$2,0,VLOOKUP('Total income package'!$B$3,'Location specific data'!$A$3:$AO$135,33,FALSE))*$C$2)*20</f>
        <v>0</v>
      </c>
      <c r="K92" s="6">
        <f>IF(B92&gt;$N$2,0,VLOOKUP('Total income package'!$B$3,'Location specific data'!$A$3:$AO$135,34,FALSE))*$D$2*20</f>
        <v>0</v>
      </c>
      <c r="L92" s="6">
        <f>IF(B92&gt;$N$2,0,VLOOKUP('Total income package'!$B$3,'Location specific data'!$A$3:$AO$135,35,FALSE))*$E$2*20</f>
        <v>0</v>
      </c>
      <c r="M92" s="6">
        <f>IF(B92&gt;$N$2,0,VLOOKUP('Total income package'!$B$3,'Location specific data'!$A$3:$AO$135,36,FALSE))*$F$2*20</f>
        <v>0</v>
      </c>
      <c r="N92" s="6">
        <f>IF(B92&gt;$N$2,0,VLOOKUP('Total income package'!$B$3,'Location specific data'!$A$3:$AO$135,37,FALSE))*($G$2+$H$2)*20</f>
        <v>0</v>
      </c>
      <c r="O92" s="6">
        <f t="shared" si="14"/>
        <v>0</v>
      </c>
      <c r="P92" s="312">
        <f t="shared" si="15"/>
        <v>181.25</v>
      </c>
      <c r="Q92" s="312">
        <f t="shared" si="16"/>
        <v>0</v>
      </c>
      <c r="R92" s="312">
        <f t="shared" si="20"/>
        <v>0</v>
      </c>
      <c r="S92" s="160">
        <f>IF(AND('Total income package'!$A$8=TRUE,OR(F92="Yes",G92="Yes",H92="Yes")),SUM(J92:N92)-R92,0)</f>
        <v>0</v>
      </c>
    </row>
    <row r="93" spans="1:19" s="5" customFormat="1" x14ac:dyDescent="0.25">
      <c r="A93" s="6">
        <v>44000</v>
      </c>
      <c r="B93" s="7">
        <f t="shared" si="17"/>
        <v>3666.6666666666665</v>
      </c>
      <c r="C93" s="7">
        <f>'Total income package'!$D$80</f>
        <v>0</v>
      </c>
      <c r="D93" s="7">
        <f t="shared" si="18"/>
        <v>3666.6666666666665</v>
      </c>
      <c r="E93" s="65">
        <f t="shared" si="19"/>
        <v>2.033271719038817</v>
      </c>
      <c r="F93" s="65" t="str">
        <f t="shared" si="11"/>
        <v>No</v>
      </c>
      <c r="G93" s="65" t="str">
        <f t="shared" si="12"/>
        <v>No</v>
      </c>
      <c r="H93" s="301" t="str">
        <f>IF(OR('TANF-VIEW'!L97&gt;0,'TANF-VIEW'!T97&gt;0),"Yes","No")</f>
        <v>No</v>
      </c>
      <c r="I93" s="63">
        <f t="shared" si="13"/>
        <v>0</v>
      </c>
      <c r="J93" s="6">
        <f>(IF(B93&gt;$N$2,0,VLOOKUP('Total income package'!$B$3,'Location specific data'!$A$3:$AO$135,33,FALSE))*$C$2)*20</f>
        <v>0</v>
      </c>
      <c r="K93" s="6">
        <f>IF(B93&gt;$N$2,0,VLOOKUP('Total income package'!$B$3,'Location specific data'!$A$3:$AO$135,34,FALSE))*$D$2*20</f>
        <v>0</v>
      </c>
      <c r="L93" s="6">
        <f>IF(B93&gt;$N$2,0,VLOOKUP('Total income package'!$B$3,'Location specific data'!$A$3:$AO$135,35,FALSE))*$E$2*20</f>
        <v>0</v>
      </c>
      <c r="M93" s="6">
        <f>IF(B93&gt;$N$2,0,VLOOKUP('Total income package'!$B$3,'Location specific data'!$A$3:$AO$135,36,FALSE))*$F$2*20</f>
        <v>0</v>
      </c>
      <c r="N93" s="6">
        <f>IF(B93&gt;$N$2,0,VLOOKUP('Total income package'!$B$3,'Location specific data'!$A$3:$AO$135,37,FALSE))*($G$2+$H$2)*20</f>
        <v>0</v>
      </c>
      <c r="O93" s="6">
        <f t="shared" si="14"/>
        <v>0</v>
      </c>
      <c r="P93" s="312">
        <f t="shared" si="15"/>
        <v>183.33333333333334</v>
      </c>
      <c r="Q93" s="312">
        <f t="shared" si="16"/>
        <v>0</v>
      </c>
      <c r="R93" s="312">
        <f t="shared" si="20"/>
        <v>0</v>
      </c>
      <c r="S93" s="160">
        <f>IF(AND('Total income package'!$A$8=TRUE,OR(F93="Yes",G93="Yes",H93="Yes")),SUM(J93:N93)-R93,0)</f>
        <v>0</v>
      </c>
    </row>
    <row r="94" spans="1:19" s="5" customFormat="1" x14ac:dyDescent="0.25">
      <c r="A94" s="6">
        <v>44500</v>
      </c>
      <c r="B94" s="7">
        <f t="shared" si="17"/>
        <v>3708.3333333333335</v>
      </c>
      <c r="C94" s="7">
        <f>'Total income package'!$D$80</f>
        <v>0</v>
      </c>
      <c r="D94" s="7">
        <f t="shared" si="18"/>
        <v>3708.3333333333335</v>
      </c>
      <c r="E94" s="65">
        <f t="shared" si="19"/>
        <v>2.0563770794824401</v>
      </c>
      <c r="F94" s="65" t="str">
        <f t="shared" si="11"/>
        <v>No</v>
      </c>
      <c r="G94" s="65" t="str">
        <f t="shared" si="12"/>
        <v>No</v>
      </c>
      <c r="H94" s="301" t="str">
        <f>IF(OR('TANF-VIEW'!L98&gt;0,'TANF-VIEW'!T98&gt;0),"Yes","No")</f>
        <v>No</v>
      </c>
      <c r="I94" s="63">
        <f t="shared" si="13"/>
        <v>0</v>
      </c>
      <c r="J94" s="6">
        <f>(IF(B94&gt;$N$2,0,VLOOKUP('Total income package'!$B$3,'Location specific data'!$A$3:$AO$135,33,FALSE))*$C$2)*20</f>
        <v>0</v>
      </c>
      <c r="K94" s="6">
        <f>IF(B94&gt;$N$2,0,VLOOKUP('Total income package'!$B$3,'Location specific data'!$A$3:$AO$135,34,FALSE))*$D$2*20</f>
        <v>0</v>
      </c>
      <c r="L94" s="6">
        <f>IF(B94&gt;$N$2,0,VLOOKUP('Total income package'!$B$3,'Location specific data'!$A$3:$AO$135,35,FALSE))*$E$2*20</f>
        <v>0</v>
      </c>
      <c r="M94" s="6">
        <f>IF(B94&gt;$N$2,0,VLOOKUP('Total income package'!$B$3,'Location specific data'!$A$3:$AO$135,36,FALSE))*$F$2*20</f>
        <v>0</v>
      </c>
      <c r="N94" s="6">
        <f>IF(B94&gt;$N$2,0,VLOOKUP('Total income package'!$B$3,'Location specific data'!$A$3:$AO$135,37,FALSE))*($G$2+$H$2)*20</f>
        <v>0</v>
      </c>
      <c r="O94" s="6">
        <f t="shared" si="14"/>
        <v>0</v>
      </c>
      <c r="P94" s="312">
        <f t="shared" si="15"/>
        <v>185.41666666666669</v>
      </c>
      <c r="Q94" s="312">
        <f t="shared" si="16"/>
        <v>0</v>
      </c>
      <c r="R94" s="312">
        <f t="shared" si="20"/>
        <v>0</v>
      </c>
      <c r="S94" s="160">
        <f>IF(AND('Total income package'!$A$8=TRUE,OR(F94="Yes",G94="Yes",H94="Yes")),SUM(J94:N94)-R94,0)</f>
        <v>0</v>
      </c>
    </row>
    <row r="95" spans="1:19" s="5" customFormat="1" x14ac:dyDescent="0.25">
      <c r="A95" s="6">
        <v>45000</v>
      </c>
      <c r="B95" s="7">
        <f t="shared" si="17"/>
        <v>3750</v>
      </c>
      <c r="C95" s="7">
        <f>'Total income package'!$D$80</f>
        <v>0</v>
      </c>
      <c r="D95" s="7">
        <f t="shared" si="18"/>
        <v>3750</v>
      </c>
      <c r="E95" s="65">
        <f t="shared" si="19"/>
        <v>2.0794824399260627</v>
      </c>
      <c r="F95" s="65" t="str">
        <f t="shared" si="11"/>
        <v>No</v>
      </c>
      <c r="G95" s="65" t="str">
        <f t="shared" si="12"/>
        <v>No</v>
      </c>
      <c r="H95" s="301" t="str">
        <f>IF(OR('TANF-VIEW'!L99&gt;0,'TANF-VIEW'!T99&gt;0),"Yes","No")</f>
        <v>No</v>
      </c>
      <c r="I95" s="63">
        <f t="shared" si="13"/>
        <v>0</v>
      </c>
      <c r="J95" s="6">
        <f>(IF(B95&gt;$N$2,0,VLOOKUP('Total income package'!$B$3,'Location specific data'!$A$3:$AO$135,33,FALSE))*$C$2)*20</f>
        <v>0</v>
      </c>
      <c r="K95" s="6">
        <f>IF(B95&gt;$N$2,0,VLOOKUP('Total income package'!$B$3,'Location specific data'!$A$3:$AO$135,34,FALSE))*$D$2*20</f>
        <v>0</v>
      </c>
      <c r="L95" s="6">
        <f>IF(B95&gt;$N$2,0,VLOOKUP('Total income package'!$B$3,'Location specific data'!$A$3:$AO$135,35,FALSE))*$E$2*20</f>
        <v>0</v>
      </c>
      <c r="M95" s="6">
        <f>IF(B95&gt;$N$2,0,VLOOKUP('Total income package'!$B$3,'Location specific data'!$A$3:$AO$135,36,FALSE))*$F$2*20</f>
        <v>0</v>
      </c>
      <c r="N95" s="6">
        <f>IF(B95&gt;$N$2,0,VLOOKUP('Total income package'!$B$3,'Location specific data'!$A$3:$AO$135,37,FALSE))*($G$2+$H$2)*20</f>
        <v>0</v>
      </c>
      <c r="O95" s="6">
        <f t="shared" si="14"/>
        <v>0</v>
      </c>
      <c r="P95" s="312">
        <f t="shared" si="15"/>
        <v>187.5</v>
      </c>
      <c r="Q95" s="312">
        <f t="shared" si="16"/>
        <v>0</v>
      </c>
      <c r="R95" s="312">
        <f t="shared" si="20"/>
        <v>0</v>
      </c>
      <c r="S95" s="160">
        <f>IF(AND('Total income package'!$A$8=TRUE,OR(F95="Yes",G95="Yes",H95="Yes")),SUM(J95:N95)-R95,0)</f>
        <v>0</v>
      </c>
    </row>
    <row r="96" spans="1:19" s="5" customFormat="1" x14ac:dyDescent="0.25">
      <c r="A96" s="6">
        <v>45500</v>
      </c>
      <c r="B96" s="7">
        <f t="shared" si="17"/>
        <v>3791.6666666666665</v>
      </c>
      <c r="C96" s="7">
        <f>'Total income package'!$D$80</f>
        <v>0</v>
      </c>
      <c r="D96" s="7">
        <f t="shared" si="18"/>
        <v>3791.6666666666665</v>
      </c>
      <c r="E96" s="65">
        <f t="shared" si="19"/>
        <v>2.1025878003696858</v>
      </c>
      <c r="F96" s="65" t="str">
        <f t="shared" si="11"/>
        <v>No</v>
      </c>
      <c r="G96" s="65" t="str">
        <f t="shared" si="12"/>
        <v>No</v>
      </c>
      <c r="H96" s="301" t="str">
        <f>IF(OR('TANF-VIEW'!L100&gt;0,'TANF-VIEW'!T100&gt;0),"Yes","No")</f>
        <v>No</v>
      </c>
      <c r="I96" s="63">
        <f t="shared" si="13"/>
        <v>0</v>
      </c>
      <c r="J96" s="6">
        <f>(IF(B96&gt;$N$2,0,VLOOKUP('Total income package'!$B$3,'Location specific data'!$A$3:$AO$135,33,FALSE))*$C$2)*20</f>
        <v>0</v>
      </c>
      <c r="K96" s="6">
        <f>IF(B96&gt;$N$2,0,VLOOKUP('Total income package'!$B$3,'Location specific data'!$A$3:$AO$135,34,FALSE))*$D$2*20</f>
        <v>0</v>
      </c>
      <c r="L96" s="6">
        <f>IF(B96&gt;$N$2,0,VLOOKUP('Total income package'!$B$3,'Location specific data'!$A$3:$AO$135,35,FALSE))*$E$2*20</f>
        <v>0</v>
      </c>
      <c r="M96" s="6">
        <f>IF(B96&gt;$N$2,0,VLOOKUP('Total income package'!$B$3,'Location specific data'!$A$3:$AO$135,36,FALSE))*$F$2*20</f>
        <v>0</v>
      </c>
      <c r="N96" s="6">
        <f>IF(B96&gt;$N$2,0,VLOOKUP('Total income package'!$B$3,'Location specific data'!$A$3:$AO$135,37,FALSE))*($G$2+$H$2)*20</f>
        <v>0</v>
      </c>
      <c r="O96" s="6">
        <f t="shared" si="14"/>
        <v>0</v>
      </c>
      <c r="P96" s="312">
        <f t="shared" si="15"/>
        <v>189.58333333333334</v>
      </c>
      <c r="Q96" s="312">
        <f t="shared" si="16"/>
        <v>0</v>
      </c>
      <c r="R96" s="312">
        <f t="shared" si="20"/>
        <v>0</v>
      </c>
      <c r="S96" s="160">
        <f>IF(AND('Total income package'!$A$8=TRUE,OR(F96="Yes",G96="Yes",H96="Yes")),SUM(J96:N96)-R96,0)</f>
        <v>0</v>
      </c>
    </row>
    <row r="97" spans="1:19" s="5" customFormat="1" x14ac:dyDescent="0.25">
      <c r="A97" s="6">
        <v>46000</v>
      </c>
      <c r="B97" s="7">
        <f t="shared" si="17"/>
        <v>3833.3333333333335</v>
      </c>
      <c r="C97" s="7">
        <f>'Total income package'!$D$80</f>
        <v>0</v>
      </c>
      <c r="D97" s="7">
        <f t="shared" si="18"/>
        <v>3833.3333333333335</v>
      </c>
      <c r="E97" s="65">
        <f t="shared" si="19"/>
        <v>2.1256931608133089</v>
      </c>
      <c r="F97" s="65" t="str">
        <f t="shared" si="11"/>
        <v>No</v>
      </c>
      <c r="G97" s="65" t="str">
        <f t="shared" si="12"/>
        <v>No</v>
      </c>
      <c r="H97" s="301" t="str">
        <f>IF(OR('TANF-VIEW'!L101&gt;0,'TANF-VIEW'!T101&gt;0),"Yes","No")</f>
        <v>No</v>
      </c>
      <c r="I97" s="63">
        <f t="shared" si="13"/>
        <v>0</v>
      </c>
      <c r="J97" s="6">
        <f>(IF(B97&gt;$N$2,0,VLOOKUP('Total income package'!$B$3,'Location specific data'!$A$3:$AO$135,33,FALSE))*$C$2)*20</f>
        <v>0</v>
      </c>
      <c r="K97" s="6">
        <f>IF(B97&gt;$N$2,0,VLOOKUP('Total income package'!$B$3,'Location specific data'!$A$3:$AO$135,34,FALSE))*$D$2*20</f>
        <v>0</v>
      </c>
      <c r="L97" s="6">
        <f>IF(B97&gt;$N$2,0,VLOOKUP('Total income package'!$B$3,'Location specific data'!$A$3:$AO$135,35,FALSE))*$E$2*20</f>
        <v>0</v>
      </c>
      <c r="M97" s="6">
        <f>IF(B97&gt;$N$2,0,VLOOKUP('Total income package'!$B$3,'Location specific data'!$A$3:$AO$135,36,FALSE))*$F$2*20</f>
        <v>0</v>
      </c>
      <c r="N97" s="6">
        <f>IF(B97&gt;$N$2,0,VLOOKUP('Total income package'!$B$3,'Location specific data'!$A$3:$AO$135,37,FALSE))*($G$2+$H$2)*20</f>
        <v>0</v>
      </c>
      <c r="O97" s="6">
        <f t="shared" si="14"/>
        <v>0</v>
      </c>
      <c r="P97" s="312">
        <f t="shared" si="15"/>
        <v>191.66666666666669</v>
      </c>
      <c r="Q97" s="312">
        <f t="shared" si="16"/>
        <v>0</v>
      </c>
      <c r="R97" s="312">
        <f t="shared" si="20"/>
        <v>0</v>
      </c>
      <c r="S97" s="160">
        <f>IF(AND('Total income package'!$A$8=TRUE,OR(F97="Yes",G97="Yes",H97="Yes")),SUM(J97:N97)-R97,0)</f>
        <v>0</v>
      </c>
    </row>
    <row r="98" spans="1:19" s="5" customFormat="1" x14ac:dyDescent="0.25">
      <c r="A98" s="6">
        <v>46500</v>
      </c>
      <c r="B98" s="7">
        <f t="shared" si="17"/>
        <v>3875</v>
      </c>
      <c r="C98" s="7">
        <f>'Total income package'!$D$80</f>
        <v>0</v>
      </c>
      <c r="D98" s="7">
        <f t="shared" si="18"/>
        <v>3875</v>
      </c>
      <c r="E98" s="65">
        <f t="shared" si="19"/>
        <v>2.1487985212569316</v>
      </c>
      <c r="F98" s="65" t="str">
        <f t="shared" si="11"/>
        <v>No</v>
      </c>
      <c r="G98" s="65" t="str">
        <f t="shared" si="12"/>
        <v>No</v>
      </c>
      <c r="H98" s="301" t="str">
        <f>IF(OR('TANF-VIEW'!L102&gt;0,'TANF-VIEW'!T102&gt;0),"Yes","No")</f>
        <v>No</v>
      </c>
      <c r="I98" s="63">
        <f t="shared" si="13"/>
        <v>0</v>
      </c>
      <c r="J98" s="6">
        <f>(IF(B98&gt;$N$2,0,VLOOKUP('Total income package'!$B$3,'Location specific data'!$A$3:$AO$135,33,FALSE))*$C$2)*20</f>
        <v>0</v>
      </c>
      <c r="K98" s="6">
        <f>IF(B98&gt;$N$2,0,VLOOKUP('Total income package'!$B$3,'Location specific data'!$A$3:$AO$135,34,FALSE))*$D$2*20</f>
        <v>0</v>
      </c>
      <c r="L98" s="6">
        <f>IF(B98&gt;$N$2,0,VLOOKUP('Total income package'!$B$3,'Location specific data'!$A$3:$AO$135,35,FALSE))*$E$2*20</f>
        <v>0</v>
      </c>
      <c r="M98" s="6">
        <f>IF(B98&gt;$N$2,0,VLOOKUP('Total income package'!$B$3,'Location specific data'!$A$3:$AO$135,36,FALSE))*$F$2*20</f>
        <v>0</v>
      </c>
      <c r="N98" s="6">
        <f>IF(B98&gt;$N$2,0,VLOOKUP('Total income package'!$B$3,'Location specific data'!$A$3:$AO$135,37,FALSE))*($G$2+$H$2)*20</f>
        <v>0</v>
      </c>
      <c r="O98" s="6">
        <f t="shared" si="14"/>
        <v>0</v>
      </c>
      <c r="P98" s="312">
        <f t="shared" si="15"/>
        <v>193.75</v>
      </c>
      <c r="Q98" s="312">
        <f t="shared" si="16"/>
        <v>0</v>
      </c>
      <c r="R98" s="312">
        <f t="shared" si="20"/>
        <v>0</v>
      </c>
      <c r="S98" s="160">
        <f>IF(AND('Total income package'!$A$8=TRUE,OR(F98="Yes",G98="Yes",H98="Yes")),SUM(J98:N98)-R98,0)</f>
        <v>0</v>
      </c>
    </row>
    <row r="99" spans="1:19" s="5" customFormat="1" x14ac:dyDescent="0.25">
      <c r="A99" s="6">
        <v>47000</v>
      </c>
      <c r="B99" s="7">
        <f t="shared" si="17"/>
        <v>3916.6666666666665</v>
      </c>
      <c r="C99" s="7">
        <f>'Total income package'!$D$80</f>
        <v>0</v>
      </c>
      <c r="D99" s="7">
        <f t="shared" si="18"/>
        <v>3916.6666666666665</v>
      </c>
      <c r="E99" s="65">
        <f t="shared" si="19"/>
        <v>2.1719038817005547</v>
      </c>
      <c r="F99" s="65" t="str">
        <f t="shared" si="11"/>
        <v>No</v>
      </c>
      <c r="G99" s="65" t="str">
        <f t="shared" si="12"/>
        <v>No</v>
      </c>
      <c r="H99" s="301" t="str">
        <f>IF(OR('TANF-VIEW'!L103&gt;0,'TANF-VIEW'!T103&gt;0),"Yes","No")</f>
        <v>No</v>
      </c>
      <c r="I99" s="63">
        <f t="shared" si="13"/>
        <v>0</v>
      </c>
      <c r="J99" s="6">
        <f>(IF(B99&gt;$N$2,0,VLOOKUP('Total income package'!$B$3,'Location specific data'!$A$3:$AO$135,33,FALSE))*$C$2)*20</f>
        <v>0</v>
      </c>
      <c r="K99" s="6">
        <f>IF(B99&gt;$N$2,0,VLOOKUP('Total income package'!$B$3,'Location specific data'!$A$3:$AO$135,34,FALSE))*$D$2*20</f>
        <v>0</v>
      </c>
      <c r="L99" s="6">
        <f>IF(B99&gt;$N$2,0,VLOOKUP('Total income package'!$B$3,'Location specific data'!$A$3:$AO$135,35,FALSE))*$E$2*20</f>
        <v>0</v>
      </c>
      <c r="M99" s="6">
        <f>IF(B99&gt;$N$2,0,VLOOKUP('Total income package'!$B$3,'Location specific data'!$A$3:$AO$135,36,FALSE))*$F$2*20</f>
        <v>0</v>
      </c>
      <c r="N99" s="6">
        <f>IF(B99&gt;$N$2,0,VLOOKUP('Total income package'!$B$3,'Location specific data'!$A$3:$AO$135,37,FALSE))*($G$2+$H$2)*20</f>
        <v>0</v>
      </c>
      <c r="O99" s="6">
        <f t="shared" si="14"/>
        <v>0</v>
      </c>
      <c r="P99" s="312">
        <f t="shared" si="15"/>
        <v>195.83333333333334</v>
      </c>
      <c r="Q99" s="312">
        <f t="shared" si="16"/>
        <v>0</v>
      </c>
      <c r="R99" s="312">
        <f t="shared" si="20"/>
        <v>0</v>
      </c>
      <c r="S99" s="160">
        <f>IF(AND('Total income package'!$A$8=TRUE,OR(F99="Yes",G99="Yes",H99="Yes")),SUM(J99:N99)-R99,0)</f>
        <v>0</v>
      </c>
    </row>
    <row r="100" spans="1:19" s="5" customFormat="1" x14ac:dyDescent="0.25">
      <c r="A100" s="6">
        <v>47500</v>
      </c>
      <c r="B100" s="7">
        <f t="shared" si="17"/>
        <v>3958.3333333333335</v>
      </c>
      <c r="C100" s="7">
        <f>'Total income package'!$D$80</f>
        <v>0</v>
      </c>
      <c r="D100" s="7">
        <f t="shared" si="18"/>
        <v>3958.3333333333335</v>
      </c>
      <c r="E100" s="65">
        <f t="shared" si="19"/>
        <v>2.1950092421441778</v>
      </c>
      <c r="F100" s="65" t="str">
        <f t="shared" si="11"/>
        <v>No</v>
      </c>
      <c r="G100" s="65" t="str">
        <f t="shared" si="12"/>
        <v>No</v>
      </c>
      <c r="H100" s="301" t="str">
        <f>IF(OR('TANF-VIEW'!L104&gt;0,'TANF-VIEW'!T104&gt;0),"Yes","No")</f>
        <v>No</v>
      </c>
      <c r="I100" s="63">
        <f t="shared" si="13"/>
        <v>0</v>
      </c>
      <c r="J100" s="6">
        <f>(IF(B100&gt;$N$2,0,VLOOKUP('Total income package'!$B$3,'Location specific data'!$A$3:$AO$135,33,FALSE))*$C$2)*20</f>
        <v>0</v>
      </c>
      <c r="K100" s="6">
        <f>IF(B100&gt;$N$2,0,VLOOKUP('Total income package'!$B$3,'Location specific data'!$A$3:$AO$135,34,FALSE))*$D$2*20</f>
        <v>0</v>
      </c>
      <c r="L100" s="6">
        <f>IF(B100&gt;$N$2,0,VLOOKUP('Total income package'!$B$3,'Location specific data'!$A$3:$AO$135,35,FALSE))*$E$2*20</f>
        <v>0</v>
      </c>
      <c r="M100" s="6">
        <f>IF(B100&gt;$N$2,0,VLOOKUP('Total income package'!$B$3,'Location specific data'!$A$3:$AO$135,36,FALSE))*$F$2*20</f>
        <v>0</v>
      </c>
      <c r="N100" s="6">
        <f>IF(B100&gt;$N$2,0,VLOOKUP('Total income package'!$B$3,'Location specific data'!$A$3:$AO$135,37,FALSE))*($G$2+$H$2)*20</f>
        <v>0</v>
      </c>
      <c r="O100" s="6">
        <f t="shared" si="14"/>
        <v>0</v>
      </c>
      <c r="P100" s="312">
        <f t="shared" si="15"/>
        <v>197.91666666666669</v>
      </c>
      <c r="Q100" s="312">
        <f t="shared" si="16"/>
        <v>0</v>
      </c>
      <c r="R100" s="312">
        <f t="shared" si="20"/>
        <v>0</v>
      </c>
      <c r="S100" s="160">
        <f>IF(AND('Total income package'!$A$8=TRUE,OR(F100="Yes",G100="Yes",H100="Yes")),SUM(J100:N100)-R100,0)</f>
        <v>0</v>
      </c>
    </row>
    <row r="101" spans="1:19" s="5" customFormat="1" x14ac:dyDescent="0.25">
      <c r="A101" s="6">
        <v>48000</v>
      </c>
      <c r="B101" s="7">
        <f t="shared" si="17"/>
        <v>4000</v>
      </c>
      <c r="C101" s="7">
        <f>'Total income package'!$D$80</f>
        <v>0</v>
      </c>
      <c r="D101" s="7">
        <f t="shared" si="18"/>
        <v>4000</v>
      </c>
      <c r="E101" s="65">
        <f t="shared" si="19"/>
        <v>2.2181146025878005</v>
      </c>
      <c r="F101" s="65" t="str">
        <f t="shared" si="11"/>
        <v>No</v>
      </c>
      <c r="G101" s="65" t="str">
        <f t="shared" si="12"/>
        <v>No</v>
      </c>
      <c r="H101" s="301" t="str">
        <f>IF(OR('TANF-VIEW'!L105&gt;0,'TANF-VIEW'!T105&gt;0),"Yes","No")</f>
        <v>No</v>
      </c>
      <c r="I101" s="63">
        <f t="shared" si="13"/>
        <v>0</v>
      </c>
      <c r="J101" s="6">
        <f>(IF(B101&gt;$N$2,0,VLOOKUP('Total income package'!$B$3,'Location specific data'!$A$3:$AO$135,33,FALSE))*$C$2)*20</f>
        <v>0</v>
      </c>
      <c r="K101" s="6">
        <f>IF(B101&gt;$N$2,0,VLOOKUP('Total income package'!$B$3,'Location specific data'!$A$3:$AO$135,34,FALSE))*$D$2*20</f>
        <v>0</v>
      </c>
      <c r="L101" s="6">
        <f>IF(B101&gt;$N$2,0,VLOOKUP('Total income package'!$B$3,'Location specific data'!$A$3:$AO$135,35,FALSE))*$E$2*20</f>
        <v>0</v>
      </c>
      <c r="M101" s="6">
        <f>IF(B101&gt;$N$2,0,VLOOKUP('Total income package'!$B$3,'Location specific data'!$A$3:$AO$135,36,FALSE))*$F$2*20</f>
        <v>0</v>
      </c>
      <c r="N101" s="6">
        <f>IF(B101&gt;$N$2,0,VLOOKUP('Total income package'!$B$3,'Location specific data'!$A$3:$AO$135,37,FALSE))*($G$2+$H$2)*20</f>
        <v>0</v>
      </c>
      <c r="O101" s="6">
        <f t="shared" si="14"/>
        <v>0</v>
      </c>
      <c r="P101" s="312">
        <f t="shared" ref="P101:P132" si="21">B101*0.05</f>
        <v>200</v>
      </c>
      <c r="Q101" s="312">
        <f t="shared" si="16"/>
        <v>0</v>
      </c>
      <c r="R101" s="312">
        <f t="shared" si="20"/>
        <v>0</v>
      </c>
      <c r="S101" s="160">
        <f>IF(AND('Total income package'!$A$8=TRUE,OR(F101="Yes",G101="Yes",H101="Yes")),SUM(J101:N101)-R101,0)</f>
        <v>0</v>
      </c>
    </row>
    <row r="102" spans="1:19" s="5" customFormat="1" x14ac:dyDescent="0.25">
      <c r="A102" s="6">
        <v>48500</v>
      </c>
      <c r="B102" s="7">
        <f t="shared" si="17"/>
        <v>4041.6666666666665</v>
      </c>
      <c r="C102" s="7">
        <f>'Total income package'!$D$80</f>
        <v>0</v>
      </c>
      <c r="D102" s="7">
        <f t="shared" si="18"/>
        <v>4041.6666666666665</v>
      </c>
      <c r="E102" s="65">
        <f t="shared" si="19"/>
        <v>2.2412199630314231</v>
      </c>
      <c r="F102" s="65" t="str">
        <f t="shared" si="11"/>
        <v>No</v>
      </c>
      <c r="G102" s="65" t="str">
        <f t="shared" si="12"/>
        <v>No</v>
      </c>
      <c r="H102" s="301" t="str">
        <f>IF(OR('TANF-VIEW'!L106&gt;0,'TANF-VIEW'!T106&gt;0),"Yes","No")</f>
        <v>No</v>
      </c>
      <c r="I102" s="63">
        <f t="shared" si="13"/>
        <v>0</v>
      </c>
      <c r="J102" s="6">
        <f>(IF(B102&gt;$N$2,0,VLOOKUP('Total income package'!$B$3,'Location specific data'!$A$3:$AO$135,33,FALSE))*$C$2)*20</f>
        <v>0</v>
      </c>
      <c r="K102" s="6">
        <f>IF(B102&gt;$N$2,0,VLOOKUP('Total income package'!$B$3,'Location specific data'!$A$3:$AO$135,34,FALSE))*$D$2*20</f>
        <v>0</v>
      </c>
      <c r="L102" s="6">
        <f>IF(B102&gt;$N$2,0,VLOOKUP('Total income package'!$B$3,'Location specific data'!$A$3:$AO$135,35,FALSE))*$E$2*20</f>
        <v>0</v>
      </c>
      <c r="M102" s="6">
        <f>IF(B102&gt;$N$2,0,VLOOKUP('Total income package'!$B$3,'Location specific data'!$A$3:$AO$135,36,FALSE))*$F$2*20</f>
        <v>0</v>
      </c>
      <c r="N102" s="6">
        <f>IF(B102&gt;$N$2,0,VLOOKUP('Total income package'!$B$3,'Location specific data'!$A$3:$AO$135,37,FALSE))*($G$2+$H$2)*20</f>
        <v>0</v>
      </c>
      <c r="O102" s="6">
        <f t="shared" si="14"/>
        <v>0</v>
      </c>
      <c r="P102" s="312">
        <f t="shared" si="21"/>
        <v>202.08333333333334</v>
      </c>
      <c r="Q102" s="312">
        <f t="shared" si="16"/>
        <v>0</v>
      </c>
      <c r="R102" s="312">
        <f t="shared" si="20"/>
        <v>0</v>
      </c>
      <c r="S102" s="160">
        <f>IF(AND('Total income package'!$A$8=TRUE,OR(F102="Yes",G102="Yes",H102="Yes")),SUM(J102:N102)-R102,0)</f>
        <v>0</v>
      </c>
    </row>
    <row r="103" spans="1:19" s="5" customFormat="1" x14ac:dyDescent="0.25">
      <c r="A103" s="6">
        <v>49000</v>
      </c>
      <c r="B103" s="7">
        <f t="shared" si="17"/>
        <v>4083.3333333333335</v>
      </c>
      <c r="C103" s="7">
        <f>'Total income package'!$D$80</f>
        <v>0</v>
      </c>
      <c r="D103" s="7">
        <f t="shared" si="18"/>
        <v>4083.3333333333335</v>
      </c>
      <c r="E103" s="65">
        <f t="shared" si="19"/>
        <v>2.2643253234750462</v>
      </c>
      <c r="F103" s="65" t="str">
        <f t="shared" si="11"/>
        <v>No</v>
      </c>
      <c r="G103" s="65" t="str">
        <f t="shared" si="12"/>
        <v>No</v>
      </c>
      <c r="H103" s="301" t="str">
        <f>IF(OR('TANF-VIEW'!L107&gt;0,'TANF-VIEW'!T107&gt;0),"Yes","No")</f>
        <v>No</v>
      </c>
      <c r="I103" s="63">
        <f t="shared" si="13"/>
        <v>0</v>
      </c>
      <c r="J103" s="6">
        <f>(IF(B103&gt;$N$2,0,VLOOKUP('Total income package'!$B$3,'Location specific data'!$A$3:$AO$135,33,FALSE))*$C$2)*20</f>
        <v>0</v>
      </c>
      <c r="K103" s="6">
        <f>IF(B103&gt;$N$2,0,VLOOKUP('Total income package'!$B$3,'Location specific data'!$A$3:$AO$135,34,FALSE))*$D$2*20</f>
        <v>0</v>
      </c>
      <c r="L103" s="6">
        <f>IF(B103&gt;$N$2,0,VLOOKUP('Total income package'!$B$3,'Location specific data'!$A$3:$AO$135,35,FALSE))*$E$2*20</f>
        <v>0</v>
      </c>
      <c r="M103" s="6">
        <f>IF(B103&gt;$N$2,0,VLOOKUP('Total income package'!$B$3,'Location specific data'!$A$3:$AO$135,36,FALSE))*$F$2*20</f>
        <v>0</v>
      </c>
      <c r="N103" s="6">
        <f>IF(B103&gt;$N$2,0,VLOOKUP('Total income package'!$B$3,'Location specific data'!$A$3:$AO$135,37,FALSE))*($G$2+$H$2)*20</f>
        <v>0</v>
      </c>
      <c r="O103" s="6">
        <f t="shared" si="14"/>
        <v>0</v>
      </c>
      <c r="P103" s="312">
        <f t="shared" si="21"/>
        <v>204.16666666666669</v>
      </c>
      <c r="Q103" s="312">
        <f t="shared" si="16"/>
        <v>0</v>
      </c>
      <c r="R103" s="312">
        <f t="shared" si="20"/>
        <v>0</v>
      </c>
      <c r="S103" s="160">
        <f>IF(AND('Total income package'!$A$8=TRUE,OR(F103="Yes",G103="Yes",H103="Yes")),SUM(J103:N103)-R103,0)</f>
        <v>0</v>
      </c>
    </row>
    <row r="104" spans="1:19" s="5" customFormat="1" x14ac:dyDescent="0.25">
      <c r="A104" s="6">
        <v>49500</v>
      </c>
      <c r="B104" s="7">
        <f t="shared" si="17"/>
        <v>4125</v>
      </c>
      <c r="C104" s="7">
        <f>'Total income package'!$D$80</f>
        <v>0</v>
      </c>
      <c r="D104" s="7">
        <f t="shared" si="18"/>
        <v>4125</v>
      </c>
      <c r="E104" s="65">
        <f t="shared" si="19"/>
        <v>2.2874306839186693</v>
      </c>
      <c r="F104" s="65" t="str">
        <f t="shared" si="11"/>
        <v>No</v>
      </c>
      <c r="G104" s="65" t="str">
        <f t="shared" si="12"/>
        <v>No</v>
      </c>
      <c r="H104" s="301" t="str">
        <f>IF(OR('TANF-VIEW'!L108&gt;0,'TANF-VIEW'!T108&gt;0),"Yes","No")</f>
        <v>No</v>
      </c>
      <c r="I104" s="63">
        <f t="shared" si="13"/>
        <v>0</v>
      </c>
      <c r="J104" s="6">
        <f>(IF(B104&gt;$N$2,0,VLOOKUP('Total income package'!$B$3,'Location specific data'!$A$3:$AO$135,33,FALSE))*$C$2)*20</f>
        <v>0</v>
      </c>
      <c r="K104" s="6">
        <f>IF(B104&gt;$N$2,0,VLOOKUP('Total income package'!$B$3,'Location specific data'!$A$3:$AO$135,34,FALSE))*$D$2*20</f>
        <v>0</v>
      </c>
      <c r="L104" s="6">
        <f>IF(B104&gt;$N$2,0,VLOOKUP('Total income package'!$B$3,'Location specific data'!$A$3:$AO$135,35,FALSE))*$E$2*20</f>
        <v>0</v>
      </c>
      <c r="M104" s="6">
        <f>IF(B104&gt;$N$2,0,VLOOKUP('Total income package'!$B$3,'Location specific data'!$A$3:$AO$135,36,FALSE))*$F$2*20</f>
        <v>0</v>
      </c>
      <c r="N104" s="6">
        <f>IF(B104&gt;$N$2,0,VLOOKUP('Total income package'!$B$3,'Location specific data'!$A$3:$AO$135,37,FALSE))*($G$2+$H$2)*20</f>
        <v>0</v>
      </c>
      <c r="O104" s="6">
        <f t="shared" si="14"/>
        <v>0</v>
      </c>
      <c r="P104" s="312">
        <f t="shared" si="21"/>
        <v>206.25</v>
      </c>
      <c r="Q104" s="312">
        <f t="shared" si="16"/>
        <v>0</v>
      </c>
      <c r="R104" s="312">
        <f t="shared" si="20"/>
        <v>0</v>
      </c>
      <c r="S104" s="160">
        <f>IF(AND('Total income package'!$A$8=TRUE,OR(F104="Yes",G104="Yes",H104="Yes")),SUM(J104:N104)-R104,0)</f>
        <v>0</v>
      </c>
    </row>
    <row r="105" spans="1:19" s="5" customFormat="1" x14ac:dyDescent="0.25">
      <c r="A105" s="6">
        <v>50000</v>
      </c>
      <c r="B105" s="7">
        <f t="shared" si="17"/>
        <v>4166.666666666667</v>
      </c>
      <c r="C105" s="7">
        <f>'Total income package'!$D$80</f>
        <v>0</v>
      </c>
      <c r="D105" s="7">
        <f t="shared" si="18"/>
        <v>4166.666666666667</v>
      </c>
      <c r="E105" s="65">
        <f t="shared" si="19"/>
        <v>2.3105360443622924</v>
      </c>
      <c r="F105" s="65" t="str">
        <f t="shared" si="11"/>
        <v>No</v>
      </c>
      <c r="G105" s="65" t="str">
        <f t="shared" si="12"/>
        <v>No</v>
      </c>
      <c r="H105" s="301" t="str">
        <f>IF(OR('TANF-VIEW'!L109&gt;0,'TANF-VIEW'!T109&gt;0),"Yes","No")</f>
        <v>No</v>
      </c>
      <c r="I105" s="63">
        <f t="shared" si="13"/>
        <v>0</v>
      </c>
      <c r="J105" s="6">
        <f>(IF(B105&gt;$N$2,0,VLOOKUP('Total income package'!$B$3,'Location specific data'!$A$3:$AO$135,33,FALSE))*$C$2)*20</f>
        <v>0</v>
      </c>
      <c r="K105" s="6">
        <f>IF(B105&gt;$N$2,0,VLOOKUP('Total income package'!$B$3,'Location specific data'!$A$3:$AO$135,34,FALSE))*$D$2*20</f>
        <v>0</v>
      </c>
      <c r="L105" s="6">
        <f>IF(B105&gt;$N$2,0,VLOOKUP('Total income package'!$B$3,'Location specific data'!$A$3:$AO$135,35,FALSE))*$E$2*20</f>
        <v>0</v>
      </c>
      <c r="M105" s="6">
        <f>IF(B105&gt;$N$2,0,VLOOKUP('Total income package'!$B$3,'Location specific data'!$A$3:$AO$135,36,FALSE))*$F$2*20</f>
        <v>0</v>
      </c>
      <c r="N105" s="6">
        <f>IF(B105&gt;$N$2,0,VLOOKUP('Total income package'!$B$3,'Location specific data'!$A$3:$AO$135,37,FALSE))*($G$2+$H$2)*20</f>
        <v>0</v>
      </c>
      <c r="O105" s="6">
        <f t="shared" si="14"/>
        <v>0</v>
      </c>
      <c r="P105" s="312">
        <f t="shared" si="21"/>
        <v>208.33333333333337</v>
      </c>
      <c r="Q105" s="312">
        <f t="shared" si="16"/>
        <v>0</v>
      </c>
      <c r="R105" s="312">
        <f t="shared" si="20"/>
        <v>0</v>
      </c>
      <c r="S105" s="160">
        <f>IF(AND('Total income package'!$A$8=TRUE,OR(F105="Yes",G105="Yes",H105="Yes")),SUM(J105:N105)-R105,0)</f>
        <v>0</v>
      </c>
    </row>
    <row r="106" spans="1:19" s="5" customFormat="1" x14ac:dyDescent="0.25">
      <c r="A106" s="6">
        <v>50500</v>
      </c>
      <c r="B106" s="7">
        <f t="shared" si="17"/>
        <v>4208.333333333333</v>
      </c>
      <c r="C106" s="7">
        <f>'Total income package'!$D$80</f>
        <v>0</v>
      </c>
      <c r="D106" s="7">
        <f t="shared" si="18"/>
        <v>4208.333333333333</v>
      </c>
      <c r="E106" s="65">
        <f t="shared" si="19"/>
        <v>2.3336414048059151</v>
      </c>
      <c r="F106" s="65" t="str">
        <f t="shared" si="11"/>
        <v>No</v>
      </c>
      <c r="G106" s="65" t="str">
        <f t="shared" si="12"/>
        <v>No</v>
      </c>
      <c r="H106" s="301" t="str">
        <f>IF(OR('TANF-VIEW'!L110&gt;0,'TANF-VIEW'!T110&gt;0),"Yes","No")</f>
        <v>No</v>
      </c>
      <c r="I106" s="63">
        <f t="shared" si="13"/>
        <v>0</v>
      </c>
      <c r="J106" s="6">
        <f>(IF(B106&gt;$N$2,0,VLOOKUP('Total income package'!$B$3,'Location specific data'!$A$3:$AO$135,33,FALSE))*$C$2)*20</f>
        <v>0</v>
      </c>
      <c r="K106" s="6">
        <f>IF(B106&gt;$N$2,0,VLOOKUP('Total income package'!$B$3,'Location specific data'!$A$3:$AO$135,34,FALSE))*$D$2*20</f>
        <v>0</v>
      </c>
      <c r="L106" s="6">
        <f>IF(B106&gt;$N$2,0,VLOOKUP('Total income package'!$B$3,'Location specific data'!$A$3:$AO$135,35,FALSE))*$E$2*20</f>
        <v>0</v>
      </c>
      <c r="M106" s="6">
        <f>IF(B106&gt;$N$2,0,VLOOKUP('Total income package'!$B$3,'Location specific data'!$A$3:$AO$135,36,FALSE))*$F$2*20</f>
        <v>0</v>
      </c>
      <c r="N106" s="6">
        <f>IF(B106&gt;$N$2,0,VLOOKUP('Total income package'!$B$3,'Location specific data'!$A$3:$AO$135,37,FALSE))*($G$2+$H$2)*20</f>
        <v>0</v>
      </c>
      <c r="O106" s="6">
        <f t="shared" si="14"/>
        <v>0</v>
      </c>
      <c r="P106" s="312">
        <f t="shared" si="21"/>
        <v>210.41666666666666</v>
      </c>
      <c r="Q106" s="312">
        <f t="shared" si="16"/>
        <v>0</v>
      </c>
      <c r="R106" s="312">
        <f t="shared" si="20"/>
        <v>0</v>
      </c>
      <c r="S106" s="160">
        <f>IF(AND('Total income package'!$A$8=TRUE,OR(F106="Yes",G106="Yes",H106="Yes")),SUM(J106:N106)-R106,0)</f>
        <v>0</v>
      </c>
    </row>
    <row r="107" spans="1:19" s="5" customFormat="1" x14ac:dyDescent="0.25">
      <c r="A107" s="6">
        <v>51000</v>
      </c>
      <c r="B107" s="7">
        <f t="shared" si="17"/>
        <v>4250</v>
      </c>
      <c r="C107" s="7">
        <f>'Total income package'!$D$80</f>
        <v>0</v>
      </c>
      <c r="D107" s="7">
        <f t="shared" si="18"/>
        <v>4250</v>
      </c>
      <c r="E107" s="65">
        <f t="shared" si="19"/>
        <v>2.3567467652495382</v>
      </c>
      <c r="F107" s="65" t="str">
        <f t="shared" si="11"/>
        <v>No</v>
      </c>
      <c r="G107" s="65" t="str">
        <f t="shared" si="12"/>
        <v>No</v>
      </c>
      <c r="H107" s="301" t="str">
        <f>IF(OR('TANF-VIEW'!L111&gt;0,'TANF-VIEW'!T111&gt;0),"Yes","No")</f>
        <v>No</v>
      </c>
      <c r="I107" s="63">
        <f t="shared" si="13"/>
        <v>0</v>
      </c>
      <c r="J107" s="6">
        <f>(IF(B107&gt;$N$2,0,VLOOKUP('Total income package'!$B$3,'Location specific data'!$A$3:$AO$135,33,FALSE))*$C$2)*20</f>
        <v>0</v>
      </c>
      <c r="K107" s="6">
        <f>IF(B107&gt;$N$2,0,VLOOKUP('Total income package'!$B$3,'Location specific data'!$A$3:$AO$135,34,FALSE))*$D$2*20</f>
        <v>0</v>
      </c>
      <c r="L107" s="6">
        <f>IF(B107&gt;$N$2,0,VLOOKUP('Total income package'!$B$3,'Location specific data'!$A$3:$AO$135,35,FALSE))*$E$2*20</f>
        <v>0</v>
      </c>
      <c r="M107" s="6">
        <f>IF(B107&gt;$N$2,0,VLOOKUP('Total income package'!$B$3,'Location specific data'!$A$3:$AO$135,36,FALSE))*$F$2*20</f>
        <v>0</v>
      </c>
      <c r="N107" s="6">
        <f>IF(B107&gt;$N$2,0,VLOOKUP('Total income package'!$B$3,'Location specific data'!$A$3:$AO$135,37,FALSE))*($G$2+$H$2)*20</f>
        <v>0</v>
      </c>
      <c r="O107" s="6">
        <f t="shared" si="14"/>
        <v>0</v>
      </c>
      <c r="P107" s="312">
        <f t="shared" si="21"/>
        <v>212.5</v>
      </c>
      <c r="Q107" s="312">
        <f t="shared" si="16"/>
        <v>0</v>
      </c>
      <c r="R107" s="312">
        <f t="shared" si="20"/>
        <v>0</v>
      </c>
      <c r="S107" s="160">
        <f>IF(AND('Total income package'!$A$8=TRUE,OR(F107="Yes",G107="Yes",H107="Yes")),SUM(J107:N107)-R107,0)</f>
        <v>0</v>
      </c>
    </row>
    <row r="108" spans="1:19" s="5" customFormat="1" x14ac:dyDescent="0.25">
      <c r="A108" s="6">
        <v>51500</v>
      </c>
      <c r="B108" s="7">
        <f>A108/12</f>
        <v>4291.666666666667</v>
      </c>
      <c r="C108" s="7">
        <f>'Total income package'!$D$80</f>
        <v>0</v>
      </c>
      <c r="D108" s="7">
        <f t="shared" si="18"/>
        <v>4291.666666666667</v>
      </c>
      <c r="E108" s="65">
        <f t="shared" si="19"/>
        <v>2.3798521256931613</v>
      </c>
      <c r="F108" s="65" t="str">
        <f t="shared" si="11"/>
        <v>No</v>
      </c>
      <c r="G108" s="65" t="str">
        <f t="shared" si="12"/>
        <v>No</v>
      </c>
      <c r="H108" s="301" t="str">
        <f>IF(OR('TANF-VIEW'!L112&gt;0,'TANF-VIEW'!T112&gt;0),"Yes","No")</f>
        <v>No</v>
      </c>
      <c r="I108" s="63">
        <f t="shared" si="13"/>
        <v>0</v>
      </c>
      <c r="J108" s="6">
        <f>(IF(B108&gt;$N$2,0,VLOOKUP('Total income package'!$B$3,'Location specific data'!$A$3:$AO$135,33,FALSE))*$C$2)*20</f>
        <v>0</v>
      </c>
      <c r="K108" s="6">
        <f>IF(B108&gt;$N$2,0,VLOOKUP('Total income package'!$B$3,'Location specific data'!$A$3:$AO$135,34,FALSE))*$D$2*20</f>
        <v>0</v>
      </c>
      <c r="L108" s="6">
        <f>IF(B108&gt;$N$2,0,VLOOKUP('Total income package'!$B$3,'Location specific data'!$A$3:$AO$135,35,FALSE))*$E$2*20</f>
        <v>0</v>
      </c>
      <c r="M108" s="6">
        <f>IF(B108&gt;$N$2,0,VLOOKUP('Total income package'!$B$3,'Location specific data'!$A$3:$AO$135,36,FALSE))*$F$2*20</f>
        <v>0</v>
      </c>
      <c r="N108" s="6">
        <f>IF(B108&gt;$N$2,0,VLOOKUP('Total income package'!$B$3,'Location specific data'!$A$3:$AO$135,37,FALSE))*($G$2+$H$2)*20</f>
        <v>0</v>
      </c>
      <c r="O108" s="6">
        <f t="shared" si="14"/>
        <v>0</v>
      </c>
      <c r="P108" s="312">
        <f t="shared" si="21"/>
        <v>214.58333333333337</v>
      </c>
      <c r="Q108" s="312">
        <f t="shared" si="16"/>
        <v>0</v>
      </c>
      <c r="R108" s="312">
        <f t="shared" si="20"/>
        <v>0</v>
      </c>
      <c r="S108" s="160">
        <f>IF(AND('Total income package'!$A$8=TRUE,OR(F108="Yes",G108="Yes",H108="Yes")),SUM(J108:N108)-R108,0)</f>
        <v>0</v>
      </c>
    </row>
    <row r="109" spans="1:19" x14ac:dyDescent="0.25">
      <c r="A109" s="6">
        <v>52000</v>
      </c>
      <c r="B109" s="7">
        <f t="shared" ref="B109:B172" si="22">A109/12</f>
        <v>4333.333333333333</v>
      </c>
      <c r="C109" s="7">
        <f>'Total income package'!$D$80</f>
        <v>0</v>
      </c>
      <c r="D109" s="7">
        <f t="shared" si="18"/>
        <v>4333.333333333333</v>
      </c>
      <c r="E109" s="65">
        <f t="shared" si="19"/>
        <v>2.4029574861367835</v>
      </c>
      <c r="F109" s="65" t="str">
        <f t="shared" si="11"/>
        <v>No</v>
      </c>
      <c r="G109" s="65" t="str">
        <f t="shared" si="12"/>
        <v>No</v>
      </c>
      <c r="H109" s="301" t="str">
        <f>IF(OR('TANF-VIEW'!L113&gt;0,'TANF-VIEW'!T113&gt;0),"Yes","No")</f>
        <v>No</v>
      </c>
      <c r="I109" s="63">
        <f t="shared" si="13"/>
        <v>0</v>
      </c>
      <c r="J109" s="6">
        <f>(IF(B109&gt;$N$2,0,VLOOKUP('Total income package'!$B$3,'Location specific data'!$A$3:$AO$135,33,FALSE))*$C$2)*20</f>
        <v>0</v>
      </c>
      <c r="K109" s="6">
        <f>IF(B109&gt;$N$2,0,VLOOKUP('Total income package'!$B$3,'Location specific data'!$A$3:$AO$135,34,FALSE))*$D$2*20</f>
        <v>0</v>
      </c>
      <c r="L109" s="6">
        <f>IF(B109&gt;$N$2,0,VLOOKUP('Total income package'!$B$3,'Location specific data'!$A$3:$AO$135,35,FALSE))*$E$2*20</f>
        <v>0</v>
      </c>
      <c r="M109" s="6">
        <f>IF(B109&gt;$N$2,0,VLOOKUP('Total income package'!$B$3,'Location specific data'!$A$3:$AO$135,36,FALSE))*$F$2*20</f>
        <v>0</v>
      </c>
      <c r="N109" s="6">
        <f>IF(B109&gt;$N$2,0,VLOOKUP('Total income package'!$B$3,'Location specific data'!$A$3:$AO$135,37,FALSE))*($G$2+$H$2)*20</f>
        <v>0</v>
      </c>
      <c r="O109" s="6">
        <f t="shared" si="14"/>
        <v>0</v>
      </c>
      <c r="P109" s="312">
        <f t="shared" si="21"/>
        <v>216.66666666666666</v>
      </c>
      <c r="Q109" s="312">
        <f t="shared" si="16"/>
        <v>0</v>
      </c>
      <c r="R109" s="312">
        <f t="shared" si="20"/>
        <v>0</v>
      </c>
      <c r="S109" s="160">
        <f>IF(AND('Total income package'!$A$8=TRUE,OR(F109="Yes",G109="Yes",H109="Yes")),SUM(J109:N109)-R109,0)</f>
        <v>0</v>
      </c>
    </row>
    <row r="110" spans="1:19" x14ac:dyDescent="0.25">
      <c r="A110" s="6">
        <v>52500</v>
      </c>
      <c r="B110" s="7">
        <f t="shared" si="22"/>
        <v>4375</v>
      </c>
      <c r="C110" s="7">
        <f>'Total income package'!$D$80</f>
        <v>0</v>
      </c>
      <c r="D110" s="7">
        <f t="shared" si="18"/>
        <v>4375</v>
      </c>
      <c r="E110" s="65">
        <f t="shared" si="19"/>
        <v>2.4260628465804066</v>
      </c>
      <c r="F110" s="65" t="str">
        <f t="shared" si="11"/>
        <v>No</v>
      </c>
      <c r="G110" s="65" t="str">
        <f t="shared" si="12"/>
        <v>No</v>
      </c>
      <c r="H110" s="301" t="str">
        <f>IF(OR('TANF-VIEW'!L114&gt;0,'TANF-VIEW'!T114&gt;0),"Yes","No")</f>
        <v>No</v>
      </c>
      <c r="I110" s="63">
        <f t="shared" si="13"/>
        <v>0</v>
      </c>
      <c r="J110" s="6">
        <f>(IF(B110&gt;$N$2,0,VLOOKUP('Total income package'!$B$3,'Location specific data'!$A$3:$AO$135,33,FALSE))*$C$2)*20</f>
        <v>0</v>
      </c>
      <c r="K110" s="6">
        <f>IF(B110&gt;$N$2,0,VLOOKUP('Total income package'!$B$3,'Location specific data'!$A$3:$AO$135,34,FALSE))*$D$2*20</f>
        <v>0</v>
      </c>
      <c r="L110" s="6">
        <f>IF(B110&gt;$N$2,0,VLOOKUP('Total income package'!$B$3,'Location specific data'!$A$3:$AO$135,35,FALSE))*$E$2*20</f>
        <v>0</v>
      </c>
      <c r="M110" s="6">
        <f>IF(B110&gt;$N$2,0,VLOOKUP('Total income package'!$B$3,'Location specific data'!$A$3:$AO$135,36,FALSE))*$F$2*20</f>
        <v>0</v>
      </c>
      <c r="N110" s="6">
        <f>IF(B110&gt;$N$2,0,VLOOKUP('Total income package'!$B$3,'Location specific data'!$A$3:$AO$135,37,FALSE))*($G$2+$H$2)*20</f>
        <v>0</v>
      </c>
      <c r="O110" s="6">
        <f t="shared" si="14"/>
        <v>0</v>
      </c>
      <c r="P110" s="312">
        <f t="shared" si="21"/>
        <v>218.75</v>
      </c>
      <c r="Q110" s="312">
        <f t="shared" si="16"/>
        <v>0</v>
      </c>
      <c r="R110" s="312">
        <f t="shared" si="20"/>
        <v>0</v>
      </c>
      <c r="S110" s="160">
        <f>IF(AND('Total income package'!$A$8=TRUE,OR(F110="Yes",G110="Yes",H110="Yes")),SUM(J110:N110)-R110,0)</f>
        <v>0</v>
      </c>
    </row>
    <row r="111" spans="1:19" x14ac:dyDescent="0.25">
      <c r="A111" s="6">
        <v>53000</v>
      </c>
      <c r="B111" s="7">
        <f t="shared" si="22"/>
        <v>4416.666666666667</v>
      </c>
      <c r="C111" s="7">
        <f>'Total income package'!$D$80</f>
        <v>0</v>
      </c>
      <c r="D111" s="7">
        <f t="shared" si="18"/>
        <v>4416.666666666667</v>
      </c>
      <c r="E111" s="65">
        <f t="shared" si="19"/>
        <v>2.4491682070240297</v>
      </c>
      <c r="F111" s="65" t="str">
        <f t="shared" si="11"/>
        <v>No</v>
      </c>
      <c r="G111" s="65" t="str">
        <f t="shared" si="12"/>
        <v>No</v>
      </c>
      <c r="H111" s="301" t="str">
        <f>IF(OR('TANF-VIEW'!L115&gt;0,'TANF-VIEW'!T115&gt;0),"Yes","No")</f>
        <v>No</v>
      </c>
      <c r="I111" s="63">
        <f t="shared" si="13"/>
        <v>0</v>
      </c>
      <c r="J111" s="6">
        <f>(IF(B111&gt;$N$2,0,VLOOKUP('Total income package'!$B$3,'Location specific data'!$A$3:$AO$135,33,FALSE))*$C$2)*20</f>
        <v>0</v>
      </c>
      <c r="K111" s="6">
        <f>IF(B111&gt;$N$2,0,VLOOKUP('Total income package'!$B$3,'Location specific data'!$A$3:$AO$135,34,FALSE))*$D$2*20</f>
        <v>0</v>
      </c>
      <c r="L111" s="6">
        <f>IF(B111&gt;$N$2,0,VLOOKUP('Total income package'!$B$3,'Location specific data'!$A$3:$AO$135,35,FALSE))*$E$2*20</f>
        <v>0</v>
      </c>
      <c r="M111" s="6">
        <f>IF(B111&gt;$N$2,0,VLOOKUP('Total income package'!$B$3,'Location specific data'!$A$3:$AO$135,36,FALSE))*$F$2*20</f>
        <v>0</v>
      </c>
      <c r="N111" s="6">
        <f>IF(B111&gt;$N$2,0,VLOOKUP('Total income package'!$B$3,'Location specific data'!$A$3:$AO$135,37,FALSE))*($G$2+$H$2)*20</f>
        <v>0</v>
      </c>
      <c r="O111" s="6">
        <f t="shared" si="14"/>
        <v>0</v>
      </c>
      <c r="P111" s="312">
        <f t="shared" si="21"/>
        <v>220.83333333333337</v>
      </c>
      <c r="Q111" s="312">
        <f t="shared" si="16"/>
        <v>0</v>
      </c>
      <c r="R111" s="312">
        <f t="shared" si="20"/>
        <v>0</v>
      </c>
      <c r="S111" s="160">
        <f>IF(AND('Total income package'!$A$8=TRUE,OR(F111="Yes",G111="Yes",H111="Yes")),SUM(J111:N111)-R111,0)</f>
        <v>0</v>
      </c>
    </row>
    <row r="112" spans="1:19" x14ac:dyDescent="0.25">
      <c r="A112" s="6">
        <v>53500</v>
      </c>
      <c r="B112" s="7">
        <f t="shared" si="22"/>
        <v>4458.333333333333</v>
      </c>
      <c r="C112" s="7">
        <f>'Total income package'!$D$80</f>
        <v>0</v>
      </c>
      <c r="D112" s="7">
        <f t="shared" si="18"/>
        <v>4458.333333333333</v>
      </c>
      <c r="E112" s="65">
        <f t="shared" si="19"/>
        <v>2.4722735674676524</v>
      </c>
      <c r="F112" s="65" t="str">
        <f t="shared" si="11"/>
        <v>No</v>
      </c>
      <c r="G112" s="65" t="str">
        <f t="shared" si="12"/>
        <v>No</v>
      </c>
      <c r="H112" s="301" t="str">
        <f>IF(OR('TANF-VIEW'!L116&gt;0,'TANF-VIEW'!T116&gt;0),"Yes","No")</f>
        <v>No</v>
      </c>
      <c r="I112" s="63">
        <f t="shared" si="13"/>
        <v>0</v>
      </c>
      <c r="J112" s="6">
        <f>(IF(B112&gt;$N$2,0,VLOOKUP('Total income package'!$B$3,'Location specific data'!$A$3:$AO$135,33,FALSE))*$C$2)*20</f>
        <v>0</v>
      </c>
      <c r="K112" s="6">
        <f>IF(B112&gt;$N$2,0,VLOOKUP('Total income package'!$B$3,'Location specific data'!$A$3:$AO$135,34,FALSE))*$D$2*20</f>
        <v>0</v>
      </c>
      <c r="L112" s="6">
        <f>IF(B112&gt;$N$2,0,VLOOKUP('Total income package'!$B$3,'Location specific data'!$A$3:$AO$135,35,FALSE))*$E$2*20</f>
        <v>0</v>
      </c>
      <c r="M112" s="6">
        <f>IF(B112&gt;$N$2,0,VLOOKUP('Total income package'!$B$3,'Location specific data'!$A$3:$AO$135,36,FALSE))*$F$2*20</f>
        <v>0</v>
      </c>
      <c r="N112" s="6">
        <f>IF(B112&gt;$N$2,0,VLOOKUP('Total income package'!$B$3,'Location specific data'!$A$3:$AO$135,37,FALSE))*($G$2+$H$2)*20</f>
        <v>0</v>
      </c>
      <c r="O112" s="6">
        <f t="shared" si="14"/>
        <v>0</v>
      </c>
      <c r="P112" s="312">
        <f t="shared" si="21"/>
        <v>222.91666666666666</v>
      </c>
      <c r="Q112" s="312">
        <f t="shared" si="16"/>
        <v>0</v>
      </c>
      <c r="R112" s="312">
        <f t="shared" si="20"/>
        <v>0</v>
      </c>
      <c r="S112" s="160">
        <f>IF(AND('Total income package'!$A$8=TRUE,OR(F112="Yes",G112="Yes",H112="Yes")),SUM(J112:N112)-R112,0)</f>
        <v>0</v>
      </c>
    </row>
    <row r="113" spans="1:19" x14ac:dyDescent="0.25">
      <c r="A113" s="6">
        <v>54000</v>
      </c>
      <c r="B113" s="7">
        <f t="shared" si="22"/>
        <v>4500</v>
      </c>
      <c r="C113" s="7">
        <f>'Total income package'!$D$80</f>
        <v>0</v>
      </c>
      <c r="D113" s="7">
        <f t="shared" si="18"/>
        <v>4500</v>
      </c>
      <c r="E113" s="65">
        <f t="shared" si="19"/>
        <v>2.4953789279112755</v>
      </c>
      <c r="F113" s="65" t="str">
        <f t="shared" si="11"/>
        <v>No</v>
      </c>
      <c r="G113" s="65" t="str">
        <f t="shared" si="12"/>
        <v>No</v>
      </c>
      <c r="H113" s="301" t="str">
        <f>IF(OR('TANF-VIEW'!L117&gt;0,'TANF-VIEW'!T117&gt;0),"Yes","No")</f>
        <v>No</v>
      </c>
      <c r="I113" s="63">
        <f t="shared" si="13"/>
        <v>0</v>
      </c>
      <c r="J113" s="6">
        <f>(IF(B113&gt;$N$2,0,VLOOKUP('Total income package'!$B$3,'Location specific data'!$A$3:$AO$135,33,FALSE))*$C$2)*20</f>
        <v>0</v>
      </c>
      <c r="K113" s="6">
        <f>IF(B113&gt;$N$2,0,VLOOKUP('Total income package'!$B$3,'Location specific data'!$A$3:$AO$135,34,FALSE))*$D$2*20</f>
        <v>0</v>
      </c>
      <c r="L113" s="6">
        <f>IF(B113&gt;$N$2,0,VLOOKUP('Total income package'!$B$3,'Location specific data'!$A$3:$AO$135,35,FALSE))*$E$2*20</f>
        <v>0</v>
      </c>
      <c r="M113" s="6">
        <f>IF(B113&gt;$N$2,0,VLOOKUP('Total income package'!$B$3,'Location specific data'!$A$3:$AO$135,36,FALSE))*$F$2*20</f>
        <v>0</v>
      </c>
      <c r="N113" s="6">
        <f>IF(B113&gt;$N$2,0,VLOOKUP('Total income package'!$B$3,'Location specific data'!$A$3:$AO$135,37,FALSE))*($G$2+$H$2)*20</f>
        <v>0</v>
      </c>
      <c r="O113" s="6">
        <f t="shared" si="14"/>
        <v>0</v>
      </c>
      <c r="P113" s="312">
        <f t="shared" si="21"/>
        <v>225</v>
      </c>
      <c r="Q113" s="312">
        <f t="shared" si="16"/>
        <v>0</v>
      </c>
      <c r="R113" s="312">
        <f t="shared" si="20"/>
        <v>0</v>
      </c>
      <c r="S113" s="160">
        <f>IF(AND('Total income package'!$A$8=TRUE,OR(F113="Yes",G113="Yes",H113="Yes")),SUM(J113:N113)-R113,0)</f>
        <v>0</v>
      </c>
    </row>
    <row r="114" spans="1:19" x14ac:dyDescent="0.25">
      <c r="A114" s="6">
        <v>54500</v>
      </c>
      <c r="B114" s="7">
        <f t="shared" si="22"/>
        <v>4541.666666666667</v>
      </c>
      <c r="C114" s="7">
        <f>'Total income package'!$D$80</f>
        <v>0</v>
      </c>
      <c r="D114" s="7">
        <f t="shared" si="18"/>
        <v>4541.666666666667</v>
      </c>
      <c r="E114" s="65">
        <f t="shared" si="19"/>
        <v>2.5184842883548986</v>
      </c>
      <c r="F114" s="65" t="str">
        <f t="shared" si="11"/>
        <v>No</v>
      </c>
      <c r="G114" s="65" t="str">
        <f t="shared" si="12"/>
        <v>No</v>
      </c>
      <c r="H114" s="301" t="str">
        <f>IF(OR('TANF-VIEW'!L118&gt;0,'TANF-VIEW'!T118&gt;0),"Yes","No")</f>
        <v>No</v>
      </c>
      <c r="I114" s="63">
        <f t="shared" si="13"/>
        <v>0</v>
      </c>
      <c r="J114" s="6">
        <f>(IF(B114&gt;$N$2,0,VLOOKUP('Total income package'!$B$3,'Location specific data'!$A$3:$AO$135,33,FALSE))*$C$2)*20</f>
        <v>0</v>
      </c>
      <c r="K114" s="6">
        <f>IF(B114&gt;$N$2,0,VLOOKUP('Total income package'!$B$3,'Location specific data'!$A$3:$AO$135,34,FALSE))*$D$2*20</f>
        <v>0</v>
      </c>
      <c r="L114" s="6">
        <f>IF(B114&gt;$N$2,0,VLOOKUP('Total income package'!$B$3,'Location specific data'!$A$3:$AO$135,35,FALSE))*$E$2*20</f>
        <v>0</v>
      </c>
      <c r="M114" s="6">
        <f>IF(B114&gt;$N$2,0,VLOOKUP('Total income package'!$B$3,'Location specific data'!$A$3:$AO$135,36,FALSE))*$F$2*20</f>
        <v>0</v>
      </c>
      <c r="N114" s="6">
        <f>IF(B114&gt;$N$2,0,VLOOKUP('Total income package'!$B$3,'Location specific data'!$A$3:$AO$135,37,FALSE))*($G$2+$H$2)*20</f>
        <v>0</v>
      </c>
      <c r="O114" s="6">
        <f t="shared" si="14"/>
        <v>0</v>
      </c>
      <c r="P114" s="312">
        <f t="shared" si="21"/>
        <v>227.08333333333337</v>
      </c>
      <c r="Q114" s="312">
        <f t="shared" si="16"/>
        <v>0</v>
      </c>
      <c r="R114" s="312">
        <f t="shared" si="20"/>
        <v>0</v>
      </c>
      <c r="S114" s="160">
        <f>IF(AND('Total income package'!$A$8=TRUE,OR(F114="Yes",G114="Yes",H114="Yes")),SUM(J114:N114)-R114,0)</f>
        <v>0</v>
      </c>
    </row>
    <row r="115" spans="1:19" x14ac:dyDescent="0.25">
      <c r="A115" s="6">
        <v>55000</v>
      </c>
      <c r="B115" s="7">
        <f t="shared" si="22"/>
        <v>4583.333333333333</v>
      </c>
      <c r="C115" s="7">
        <f>'Total income package'!$D$80</f>
        <v>0</v>
      </c>
      <c r="D115" s="7">
        <f t="shared" si="18"/>
        <v>4583.333333333333</v>
      </c>
      <c r="E115" s="65">
        <f t="shared" si="19"/>
        <v>2.5415896487985212</v>
      </c>
      <c r="F115" s="65" t="str">
        <f t="shared" si="11"/>
        <v>No</v>
      </c>
      <c r="G115" s="65" t="str">
        <f t="shared" si="12"/>
        <v>No</v>
      </c>
      <c r="H115" s="301" t="str">
        <f>IF(OR('TANF-VIEW'!L119&gt;0,'TANF-VIEW'!T119&gt;0),"Yes","No")</f>
        <v>No</v>
      </c>
      <c r="I115" s="63">
        <f t="shared" si="13"/>
        <v>0</v>
      </c>
      <c r="J115" s="6">
        <f>(IF(B115&gt;$N$2,0,VLOOKUP('Total income package'!$B$3,'Location specific data'!$A$3:$AO$135,33,FALSE))*$C$2)*20</f>
        <v>0</v>
      </c>
      <c r="K115" s="6">
        <f>IF(B115&gt;$N$2,0,VLOOKUP('Total income package'!$B$3,'Location specific data'!$A$3:$AO$135,34,FALSE))*$D$2*20</f>
        <v>0</v>
      </c>
      <c r="L115" s="6">
        <f>IF(B115&gt;$N$2,0,VLOOKUP('Total income package'!$B$3,'Location specific data'!$A$3:$AO$135,35,FALSE))*$E$2*20</f>
        <v>0</v>
      </c>
      <c r="M115" s="6">
        <f>IF(B115&gt;$N$2,0,VLOOKUP('Total income package'!$B$3,'Location specific data'!$A$3:$AO$135,36,FALSE))*$F$2*20</f>
        <v>0</v>
      </c>
      <c r="N115" s="6">
        <f>IF(B115&gt;$N$2,0,VLOOKUP('Total income package'!$B$3,'Location specific data'!$A$3:$AO$135,37,FALSE))*($G$2+$H$2)*20</f>
        <v>0</v>
      </c>
      <c r="O115" s="6">
        <f t="shared" si="14"/>
        <v>0</v>
      </c>
      <c r="P115" s="312">
        <f t="shared" si="21"/>
        <v>229.16666666666666</v>
      </c>
      <c r="Q115" s="312">
        <f t="shared" si="16"/>
        <v>0</v>
      </c>
      <c r="R115" s="312">
        <f t="shared" si="20"/>
        <v>0</v>
      </c>
      <c r="S115" s="160">
        <f>IF(AND('Total income package'!$A$8=TRUE,OR(F115="Yes",G115="Yes",H115="Yes")),SUM(J115:N115)-R115,0)</f>
        <v>0</v>
      </c>
    </row>
    <row r="116" spans="1:19" x14ac:dyDescent="0.25">
      <c r="A116" s="6">
        <v>55500</v>
      </c>
      <c r="B116" s="7">
        <f t="shared" si="22"/>
        <v>4625</v>
      </c>
      <c r="C116" s="7">
        <f>'Total income package'!$D$80</f>
        <v>0</v>
      </c>
      <c r="D116" s="7">
        <f t="shared" si="18"/>
        <v>4625</v>
      </c>
      <c r="E116" s="65">
        <f t="shared" si="19"/>
        <v>2.5646950092421443</v>
      </c>
      <c r="F116" s="65" t="str">
        <f t="shared" si="11"/>
        <v>No</v>
      </c>
      <c r="G116" s="65" t="str">
        <f t="shared" si="12"/>
        <v>No</v>
      </c>
      <c r="H116" s="301" t="str">
        <f>IF(OR('TANF-VIEW'!L120&gt;0,'TANF-VIEW'!T120&gt;0),"Yes","No")</f>
        <v>No</v>
      </c>
      <c r="I116" s="63">
        <f t="shared" si="13"/>
        <v>0</v>
      </c>
      <c r="J116" s="6">
        <f>(IF(B116&gt;$N$2,0,VLOOKUP('Total income package'!$B$3,'Location specific data'!$A$3:$AO$135,33,FALSE))*$C$2)*20</f>
        <v>0</v>
      </c>
      <c r="K116" s="6">
        <f>IF(B116&gt;$N$2,0,VLOOKUP('Total income package'!$B$3,'Location specific data'!$A$3:$AO$135,34,FALSE))*$D$2*20</f>
        <v>0</v>
      </c>
      <c r="L116" s="6">
        <f>IF(B116&gt;$N$2,0,VLOOKUP('Total income package'!$B$3,'Location specific data'!$A$3:$AO$135,35,FALSE))*$E$2*20</f>
        <v>0</v>
      </c>
      <c r="M116" s="6">
        <f>IF(B116&gt;$N$2,0,VLOOKUP('Total income package'!$B$3,'Location specific data'!$A$3:$AO$135,36,FALSE))*$F$2*20</f>
        <v>0</v>
      </c>
      <c r="N116" s="6">
        <f>IF(B116&gt;$N$2,0,VLOOKUP('Total income package'!$B$3,'Location specific data'!$A$3:$AO$135,37,FALSE))*($G$2+$H$2)*20</f>
        <v>0</v>
      </c>
      <c r="O116" s="6">
        <f t="shared" si="14"/>
        <v>0</v>
      </c>
      <c r="P116" s="312">
        <f t="shared" si="21"/>
        <v>231.25</v>
      </c>
      <c r="Q116" s="312">
        <f t="shared" si="16"/>
        <v>0</v>
      </c>
      <c r="R116" s="312">
        <f t="shared" si="20"/>
        <v>0</v>
      </c>
      <c r="S116" s="160">
        <f>IF(AND('Total income package'!$A$8=TRUE,OR(F116="Yes",G116="Yes",H116="Yes")),SUM(J116:N116)-R116,0)</f>
        <v>0</v>
      </c>
    </row>
    <row r="117" spans="1:19" x14ac:dyDescent="0.25">
      <c r="A117" s="6">
        <v>56000</v>
      </c>
      <c r="B117" s="7">
        <f t="shared" si="22"/>
        <v>4666.666666666667</v>
      </c>
      <c r="C117" s="7">
        <f>'Total income package'!$D$80</f>
        <v>0</v>
      </c>
      <c r="D117" s="7">
        <f t="shared" si="18"/>
        <v>4666.666666666667</v>
      </c>
      <c r="E117" s="65">
        <f t="shared" si="19"/>
        <v>2.5878003696857674</v>
      </c>
      <c r="F117" s="65" t="str">
        <f t="shared" si="11"/>
        <v>No</v>
      </c>
      <c r="G117" s="65" t="str">
        <f t="shared" si="12"/>
        <v>No</v>
      </c>
      <c r="H117" s="301" t="str">
        <f>IF(OR('TANF-VIEW'!L121&gt;0,'TANF-VIEW'!T121&gt;0),"Yes","No")</f>
        <v>No</v>
      </c>
      <c r="I117" s="63">
        <f t="shared" si="13"/>
        <v>0</v>
      </c>
      <c r="J117" s="6">
        <f>(IF(B117&gt;$N$2,0,VLOOKUP('Total income package'!$B$3,'Location specific data'!$A$3:$AO$135,33,FALSE))*$C$2)*20</f>
        <v>0</v>
      </c>
      <c r="K117" s="6">
        <f>IF(B117&gt;$N$2,0,VLOOKUP('Total income package'!$B$3,'Location specific data'!$A$3:$AO$135,34,FALSE))*$D$2*20</f>
        <v>0</v>
      </c>
      <c r="L117" s="6">
        <f>IF(B117&gt;$N$2,0,VLOOKUP('Total income package'!$B$3,'Location specific data'!$A$3:$AO$135,35,FALSE))*$E$2*20</f>
        <v>0</v>
      </c>
      <c r="M117" s="6">
        <f>IF(B117&gt;$N$2,0,VLOOKUP('Total income package'!$B$3,'Location specific data'!$A$3:$AO$135,36,FALSE))*$F$2*20</f>
        <v>0</v>
      </c>
      <c r="N117" s="6">
        <f>IF(B117&gt;$N$2,0,VLOOKUP('Total income package'!$B$3,'Location specific data'!$A$3:$AO$135,37,FALSE))*($G$2+$H$2)*20</f>
        <v>0</v>
      </c>
      <c r="O117" s="6">
        <f t="shared" si="14"/>
        <v>0</v>
      </c>
      <c r="P117" s="312">
        <f t="shared" si="21"/>
        <v>233.33333333333337</v>
      </c>
      <c r="Q117" s="312">
        <f t="shared" si="16"/>
        <v>0</v>
      </c>
      <c r="R117" s="312">
        <f t="shared" si="20"/>
        <v>0</v>
      </c>
      <c r="S117" s="160">
        <f>IF(AND('Total income package'!$A$8=TRUE,OR(F117="Yes",G117="Yes",H117="Yes")),SUM(J117:N117)-R117,0)</f>
        <v>0</v>
      </c>
    </row>
    <row r="118" spans="1:19" x14ac:dyDescent="0.25">
      <c r="A118" s="6">
        <v>56500</v>
      </c>
      <c r="B118" s="7">
        <f t="shared" si="22"/>
        <v>4708.333333333333</v>
      </c>
      <c r="C118" s="7">
        <f>'Total income package'!$D$80</f>
        <v>0</v>
      </c>
      <c r="D118" s="7">
        <f t="shared" si="18"/>
        <v>4708.333333333333</v>
      </c>
      <c r="E118" s="65">
        <f t="shared" si="19"/>
        <v>2.6109057301293901</v>
      </c>
      <c r="F118" s="65" t="str">
        <f t="shared" si="11"/>
        <v>No</v>
      </c>
      <c r="G118" s="65" t="str">
        <f t="shared" si="12"/>
        <v>No</v>
      </c>
      <c r="H118" s="301" t="str">
        <f>IF(OR('TANF-VIEW'!L122&gt;0,'TANF-VIEW'!T122&gt;0),"Yes","No")</f>
        <v>No</v>
      </c>
      <c r="I118" s="63">
        <f t="shared" si="13"/>
        <v>0</v>
      </c>
      <c r="J118" s="6">
        <f>(IF(B118&gt;$N$2,0,VLOOKUP('Total income package'!$B$3,'Location specific data'!$A$3:$AO$135,33,FALSE))*$C$2)*20</f>
        <v>0</v>
      </c>
      <c r="K118" s="6">
        <f>IF(B118&gt;$N$2,0,VLOOKUP('Total income package'!$B$3,'Location specific data'!$A$3:$AO$135,34,FALSE))*$D$2*20</f>
        <v>0</v>
      </c>
      <c r="L118" s="6">
        <f>IF(B118&gt;$N$2,0,VLOOKUP('Total income package'!$B$3,'Location specific data'!$A$3:$AO$135,35,FALSE))*$E$2*20</f>
        <v>0</v>
      </c>
      <c r="M118" s="6">
        <f>IF(B118&gt;$N$2,0,VLOOKUP('Total income package'!$B$3,'Location specific data'!$A$3:$AO$135,36,FALSE))*$F$2*20</f>
        <v>0</v>
      </c>
      <c r="N118" s="6">
        <f>IF(B118&gt;$N$2,0,VLOOKUP('Total income package'!$B$3,'Location specific data'!$A$3:$AO$135,37,FALSE))*($G$2+$H$2)*20</f>
        <v>0</v>
      </c>
      <c r="O118" s="6">
        <f t="shared" si="14"/>
        <v>0</v>
      </c>
      <c r="P118" s="312">
        <f t="shared" si="21"/>
        <v>235.41666666666666</v>
      </c>
      <c r="Q118" s="312">
        <f t="shared" si="16"/>
        <v>0</v>
      </c>
      <c r="R118" s="312">
        <f t="shared" si="20"/>
        <v>0</v>
      </c>
      <c r="S118" s="160">
        <f>IF(AND('Total income package'!$A$8=TRUE,OR(F118="Yes",G118="Yes",H118="Yes")),SUM(J118:N118)-R118,0)</f>
        <v>0</v>
      </c>
    </row>
    <row r="119" spans="1:19" x14ac:dyDescent="0.25">
      <c r="A119" s="6">
        <v>57000</v>
      </c>
      <c r="B119" s="7">
        <f t="shared" si="22"/>
        <v>4750</v>
      </c>
      <c r="C119" s="7">
        <f>'Total income package'!$D$80</f>
        <v>0</v>
      </c>
      <c r="D119" s="7">
        <f t="shared" si="18"/>
        <v>4750</v>
      </c>
      <c r="E119" s="65">
        <f t="shared" si="19"/>
        <v>2.6340110905730132</v>
      </c>
      <c r="F119" s="65" t="str">
        <f t="shared" si="11"/>
        <v>No</v>
      </c>
      <c r="G119" s="65" t="str">
        <f t="shared" si="12"/>
        <v>No</v>
      </c>
      <c r="H119" s="301" t="str">
        <f>IF(OR('TANF-VIEW'!L123&gt;0,'TANF-VIEW'!T123&gt;0),"Yes","No")</f>
        <v>No</v>
      </c>
      <c r="I119" s="63">
        <f t="shared" si="13"/>
        <v>0</v>
      </c>
      <c r="J119" s="6">
        <f>(IF(B119&gt;$N$2,0,VLOOKUP('Total income package'!$B$3,'Location specific data'!$A$3:$AO$135,33,FALSE))*$C$2)*20</f>
        <v>0</v>
      </c>
      <c r="K119" s="6">
        <f>IF(B119&gt;$N$2,0,VLOOKUP('Total income package'!$B$3,'Location specific data'!$A$3:$AO$135,34,FALSE))*$D$2*20</f>
        <v>0</v>
      </c>
      <c r="L119" s="6">
        <f>IF(B119&gt;$N$2,0,VLOOKUP('Total income package'!$B$3,'Location specific data'!$A$3:$AO$135,35,FALSE))*$E$2*20</f>
        <v>0</v>
      </c>
      <c r="M119" s="6">
        <f>IF(B119&gt;$N$2,0,VLOOKUP('Total income package'!$B$3,'Location specific data'!$A$3:$AO$135,36,FALSE))*$F$2*20</f>
        <v>0</v>
      </c>
      <c r="N119" s="6">
        <f>IF(B119&gt;$N$2,0,VLOOKUP('Total income package'!$B$3,'Location specific data'!$A$3:$AO$135,37,FALSE))*($G$2+$H$2)*20</f>
        <v>0</v>
      </c>
      <c r="O119" s="6">
        <f t="shared" si="14"/>
        <v>0</v>
      </c>
      <c r="P119" s="312">
        <f t="shared" si="21"/>
        <v>237.5</v>
      </c>
      <c r="Q119" s="312">
        <f t="shared" si="16"/>
        <v>0</v>
      </c>
      <c r="R119" s="312">
        <f t="shared" si="20"/>
        <v>0</v>
      </c>
      <c r="S119" s="160">
        <f>IF(AND('Total income package'!$A$8=TRUE,OR(F119="Yes",G119="Yes",H119="Yes")),SUM(J119:N119)-R119,0)</f>
        <v>0</v>
      </c>
    </row>
    <row r="120" spans="1:19" x14ac:dyDescent="0.25">
      <c r="A120" s="6">
        <v>57500</v>
      </c>
      <c r="B120" s="7">
        <f t="shared" si="22"/>
        <v>4791.666666666667</v>
      </c>
      <c r="C120" s="7">
        <f>'Total income package'!$D$80</f>
        <v>0</v>
      </c>
      <c r="D120" s="7">
        <f t="shared" si="18"/>
        <v>4791.666666666667</v>
      </c>
      <c r="E120" s="65">
        <f t="shared" si="19"/>
        <v>2.6571164510166363</v>
      </c>
      <c r="F120" s="65" t="str">
        <f t="shared" si="11"/>
        <v>No</v>
      </c>
      <c r="G120" s="65" t="str">
        <f t="shared" si="12"/>
        <v>No</v>
      </c>
      <c r="H120" s="301" t="str">
        <f>IF(OR('TANF-VIEW'!L124&gt;0,'TANF-VIEW'!T124&gt;0),"Yes","No")</f>
        <v>No</v>
      </c>
      <c r="I120" s="63">
        <f t="shared" si="13"/>
        <v>0</v>
      </c>
      <c r="J120" s="6">
        <f>(IF(B120&gt;$N$2,0,VLOOKUP('Total income package'!$B$3,'Location specific data'!$A$3:$AO$135,33,FALSE))*$C$2)*20</f>
        <v>0</v>
      </c>
      <c r="K120" s="6">
        <f>IF(B120&gt;$N$2,0,VLOOKUP('Total income package'!$B$3,'Location specific data'!$A$3:$AO$135,34,FALSE))*$D$2*20</f>
        <v>0</v>
      </c>
      <c r="L120" s="6">
        <f>IF(B120&gt;$N$2,0,VLOOKUP('Total income package'!$B$3,'Location specific data'!$A$3:$AO$135,35,FALSE))*$E$2*20</f>
        <v>0</v>
      </c>
      <c r="M120" s="6">
        <f>IF(B120&gt;$N$2,0,VLOOKUP('Total income package'!$B$3,'Location specific data'!$A$3:$AO$135,36,FALSE))*$F$2*20</f>
        <v>0</v>
      </c>
      <c r="N120" s="6">
        <f>IF(B120&gt;$N$2,0,VLOOKUP('Total income package'!$B$3,'Location specific data'!$A$3:$AO$135,37,FALSE))*($G$2+$H$2)*20</f>
        <v>0</v>
      </c>
      <c r="O120" s="6">
        <f t="shared" si="14"/>
        <v>0</v>
      </c>
      <c r="P120" s="312">
        <f t="shared" si="21"/>
        <v>239.58333333333337</v>
      </c>
      <c r="Q120" s="312">
        <f t="shared" si="16"/>
        <v>0</v>
      </c>
      <c r="R120" s="312">
        <f t="shared" si="20"/>
        <v>0</v>
      </c>
      <c r="S120" s="160">
        <f>IF(AND('Total income package'!$A$8=TRUE,OR(F120="Yes",G120="Yes",H120="Yes")),SUM(J120:N120)-R120,0)</f>
        <v>0</v>
      </c>
    </row>
    <row r="121" spans="1:19" x14ac:dyDescent="0.25">
      <c r="A121" s="6">
        <v>58000</v>
      </c>
      <c r="B121" s="7">
        <f t="shared" si="22"/>
        <v>4833.333333333333</v>
      </c>
      <c r="C121" s="7">
        <f>'Total income package'!$D$80</f>
        <v>0</v>
      </c>
      <c r="D121" s="7">
        <f t="shared" si="18"/>
        <v>4833.333333333333</v>
      </c>
      <c r="E121" s="65">
        <f t="shared" si="19"/>
        <v>2.6802218114602585</v>
      </c>
      <c r="F121" s="65" t="str">
        <f t="shared" si="11"/>
        <v>No</v>
      </c>
      <c r="G121" s="65" t="str">
        <f t="shared" si="12"/>
        <v>No</v>
      </c>
      <c r="H121" s="301" t="str">
        <f>IF(OR('TANF-VIEW'!L125&gt;0,'TANF-VIEW'!T125&gt;0),"Yes","No")</f>
        <v>No</v>
      </c>
      <c r="I121" s="63">
        <f t="shared" si="13"/>
        <v>0</v>
      </c>
      <c r="J121" s="6">
        <f>(IF(B121&gt;$N$2,0,VLOOKUP('Total income package'!$B$3,'Location specific data'!$A$3:$AO$135,33,FALSE))*$C$2)*20</f>
        <v>0</v>
      </c>
      <c r="K121" s="6">
        <f>IF(B121&gt;$N$2,0,VLOOKUP('Total income package'!$B$3,'Location specific data'!$A$3:$AO$135,34,FALSE))*$D$2*20</f>
        <v>0</v>
      </c>
      <c r="L121" s="6">
        <f>IF(B121&gt;$N$2,0,VLOOKUP('Total income package'!$B$3,'Location specific data'!$A$3:$AO$135,35,FALSE))*$E$2*20</f>
        <v>0</v>
      </c>
      <c r="M121" s="6">
        <f>IF(B121&gt;$N$2,0,VLOOKUP('Total income package'!$B$3,'Location specific data'!$A$3:$AO$135,36,FALSE))*$F$2*20</f>
        <v>0</v>
      </c>
      <c r="N121" s="6">
        <f>IF(B121&gt;$N$2,0,VLOOKUP('Total income package'!$B$3,'Location specific data'!$A$3:$AO$135,37,FALSE))*($G$2+$H$2)*20</f>
        <v>0</v>
      </c>
      <c r="O121" s="6">
        <f t="shared" si="14"/>
        <v>0</v>
      </c>
      <c r="P121" s="312">
        <f t="shared" si="21"/>
        <v>241.66666666666666</v>
      </c>
      <c r="Q121" s="312">
        <f t="shared" si="16"/>
        <v>0</v>
      </c>
      <c r="R121" s="312">
        <f t="shared" si="20"/>
        <v>0</v>
      </c>
      <c r="S121" s="160">
        <f>IF(AND('Total income package'!$A$8=TRUE,OR(F121="Yes",G121="Yes",H121="Yes")),SUM(J121:N121)-R121,0)</f>
        <v>0</v>
      </c>
    </row>
    <row r="122" spans="1:19" x14ac:dyDescent="0.25">
      <c r="A122" s="6">
        <v>58500</v>
      </c>
      <c r="B122" s="7">
        <f t="shared" si="22"/>
        <v>4875</v>
      </c>
      <c r="C122" s="7">
        <f>'Total income package'!$D$80</f>
        <v>0</v>
      </c>
      <c r="D122" s="7">
        <f t="shared" si="18"/>
        <v>4875</v>
      </c>
      <c r="E122" s="65">
        <f t="shared" si="19"/>
        <v>2.7033271719038816</v>
      </c>
      <c r="F122" s="65" t="str">
        <f t="shared" si="11"/>
        <v>No</v>
      </c>
      <c r="G122" s="65" t="str">
        <f t="shared" si="12"/>
        <v>No</v>
      </c>
      <c r="H122" s="301" t="str">
        <f>IF(OR('TANF-VIEW'!L126&gt;0,'TANF-VIEW'!T126&gt;0),"Yes","No")</f>
        <v>No</v>
      </c>
      <c r="I122" s="63">
        <f t="shared" si="13"/>
        <v>0</v>
      </c>
      <c r="J122" s="6">
        <f>(IF(B122&gt;$N$2,0,VLOOKUP('Total income package'!$B$3,'Location specific data'!$A$3:$AO$135,33,FALSE))*$C$2)*20</f>
        <v>0</v>
      </c>
      <c r="K122" s="6">
        <f>IF(B122&gt;$N$2,0,VLOOKUP('Total income package'!$B$3,'Location specific data'!$A$3:$AO$135,34,FALSE))*$D$2*20</f>
        <v>0</v>
      </c>
      <c r="L122" s="6">
        <f>IF(B122&gt;$N$2,0,VLOOKUP('Total income package'!$B$3,'Location specific data'!$A$3:$AO$135,35,FALSE))*$E$2*20</f>
        <v>0</v>
      </c>
      <c r="M122" s="6">
        <f>IF(B122&gt;$N$2,0,VLOOKUP('Total income package'!$B$3,'Location specific data'!$A$3:$AO$135,36,FALSE))*$F$2*20</f>
        <v>0</v>
      </c>
      <c r="N122" s="6">
        <f>IF(B122&gt;$N$2,0,VLOOKUP('Total income package'!$B$3,'Location specific data'!$A$3:$AO$135,37,FALSE))*($G$2+$H$2)*20</f>
        <v>0</v>
      </c>
      <c r="O122" s="6">
        <f t="shared" si="14"/>
        <v>0</v>
      </c>
      <c r="P122" s="312">
        <f t="shared" si="21"/>
        <v>243.75</v>
      </c>
      <c r="Q122" s="312">
        <f t="shared" si="16"/>
        <v>0</v>
      </c>
      <c r="R122" s="312">
        <f t="shared" si="20"/>
        <v>0</v>
      </c>
      <c r="S122" s="160">
        <f>IF(AND('Total income package'!$A$8=TRUE,OR(F122="Yes",G122="Yes",H122="Yes")),SUM(J122:N122)-R122,0)</f>
        <v>0</v>
      </c>
    </row>
    <row r="123" spans="1:19" x14ac:dyDescent="0.25">
      <c r="A123" s="6">
        <v>59000</v>
      </c>
      <c r="B123" s="7">
        <f t="shared" si="22"/>
        <v>4916.666666666667</v>
      </c>
      <c r="C123" s="7">
        <f>'Total income package'!$D$80</f>
        <v>0</v>
      </c>
      <c r="D123" s="7">
        <f t="shared" si="18"/>
        <v>4916.666666666667</v>
      </c>
      <c r="E123" s="65">
        <f t="shared" si="19"/>
        <v>2.7264325323475047</v>
      </c>
      <c r="F123" s="65" t="str">
        <f t="shared" si="11"/>
        <v>No</v>
      </c>
      <c r="G123" s="65" t="str">
        <f t="shared" si="12"/>
        <v>No</v>
      </c>
      <c r="H123" s="301" t="str">
        <f>IF(OR('TANF-VIEW'!L127&gt;0,'TANF-VIEW'!T127&gt;0),"Yes","No")</f>
        <v>No</v>
      </c>
      <c r="I123" s="63">
        <f t="shared" si="13"/>
        <v>0</v>
      </c>
      <c r="J123" s="6">
        <f>(IF(B123&gt;$N$2,0,VLOOKUP('Total income package'!$B$3,'Location specific data'!$A$3:$AO$135,33,FALSE))*$C$2)*20</f>
        <v>0</v>
      </c>
      <c r="K123" s="6">
        <f>IF(B123&gt;$N$2,0,VLOOKUP('Total income package'!$B$3,'Location specific data'!$A$3:$AO$135,34,FALSE))*$D$2*20</f>
        <v>0</v>
      </c>
      <c r="L123" s="6">
        <f>IF(B123&gt;$N$2,0,VLOOKUP('Total income package'!$B$3,'Location specific data'!$A$3:$AO$135,35,FALSE))*$E$2*20</f>
        <v>0</v>
      </c>
      <c r="M123" s="6">
        <f>IF(B123&gt;$N$2,0,VLOOKUP('Total income package'!$B$3,'Location specific data'!$A$3:$AO$135,36,FALSE))*$F$2*20</f>
        <v>0</v>
      </c>
      <c r="N123" s="6">
        <f>IF(B123&gt;$N$2,0,VLOOKUP('Total income package'!$B$3,'Location specific data'!$A$3:$AO$135,37,FALSE))*($G$2+$H$2)*20</f>
        <v>0</v>
      </c>
      <c r="O123" s="6">
        <f t="shared" si="14"/>
        <v>0</v>
      </c>
      <c r="P123" s="312">
        <f t="shared" si="21"/>
        <v>245.83333333333337</v>
      </c>
      <c r="Q123" s="312">
        <f t="shared" si="16"/>
        <v>0</v>
      </c>
      <c r="R123" s="312">
        <f t="shared" si="20"/>
        <v>0</v>
      </c>
      <c r="S123" s="160">
        <f>IF(AND('Total income package'!$A$8=TRUE,OR(F123="Yes",G123="Yes",H123="Yes")),SUM(J123:N123)-R123,0)</f>
        <v>0</v>
      </c>
    </row>
    <row r="124" spans="1:19" x14ac:dyDescent="0.25">
      <c r="A124" s="6">
        <v>59500</v>
      </c>
      <c r="B124" s="7">
        <f t="shared" si="22"/>
        <v>4958.333333333333</v>
      </c>
      <c r="C124" s="7">
        <f>'Total income package'!$D$80</f>
        <v>0</v>
      </c>
      <c r="D124" s="7">
        <f t="shared" si="18"/>
        <v>4958.333333333333</v>
      </c>
      <c r="E124" s="65">
        <f t="shared" si="19"/>
        <v>2.7495378927911274</v>
      </c>
      <c r="F124" s="65" t="str">
        <f t="shared" si="11"/>
        <v>No</v>
      </c>
      <c r="G124" s="65" t="str">
        <f t="shared" si="12"/>
        <v>No</v>
      </c>
      <c r="H124" s="301" t="str">
        <f>IF(OR('TANF-VIEW'!L128&gt;0,'TANF-VIEW'!T128&gt;0),"Yes","No")</f>
        <v>No</v>
      </c>
      <c r="I124" s="63">
        <f t="shared" si="13"/>
        <v>0</v>
      </c>
      <c r="J124" s="6">
        <f>(IF(B124&gt;$N$2,0,VLOOKUP('Total income package'!$B$3,'Location specific data'!$A$3:$AO$135,33,FALSE))*$C$2)*20</f>
        <v>0</v>
      </c>
      <c r="K124" s="6">
        <f>IF(B124&gt;$N$2,0,VLOOKUP('Total income package'!$B$3,'Location specific data'!$A$3:$AO$135,34,FALSE))*$D$2*20</f>
        <v>0</v>
      </c>
      <c r="L124" s="6">
        <f>IF(B124&gt;$N$2,0,VLOOKUP('Total income package'!$B$3,'Location specific data'!$A$3:$AO$135,35,FALSE))*$E$2*20</f>
        <v>0</v>
      </c>
      <c r="M124" s="6">
        <f>IF(B124&gt;$N$2,0,VLOOKUP('Total income package'!$B$3,'Location specific data'!$A$3:$AO$135,36,FALSE))*$F$2*20</f>
        <v>0</v>
      </c>
      <c r="N124" s="6">
        <f>IF(B124&gt;$N$2,0,VLOOKUP('Total income package'!$B$3,'Location specific data'!$A$3:$AO$135,37,FALSE))*($G$2+$H$2)*20</f>
        <v>0</v>
      </c>
      <c r="O124" s="6">
        <f t="shared" si="14"/>
        <v>0</v>
      </c>
      <c r="P124" s="312">
        <f t="shared" si="21"/>
        <v>247.91666666666666</v>
      </c>
      <c r="Q124" s="312">
        <f t="shared" si="16"/>
        <v>0</v>
      </c>
      <c r="R124" s="312">
        <f t="shared" si="20"/>
        <v>0</v>
      </c>
      <c r="S124" s="160">
        <f>IF(AND('Total income package'!$A$8=TRUE,OR(F124="Yes",G124="Yes",H124="Yes")),SUM(J124:N124)-R124,0)</f>
        <v>0</v>
      </c>
    </row>
    <row r="125" spans="1:19" x14ac:dyDescent="0.25">
      <c r="A125" s="6">
        <v>60000</v>
      </c>
      <c r="B125" s="7">
        <f t="shared" si="22"/>
        <v>5000</v>
      </c>
      <c r="C125" s="7">
        <f>'Total income package'!$D$80</f>
        <v>0</v>
      </c>
      <c r="D125" s="7">
        <f t="shared" si="18"/>
        <v>5000</v>
      </c>
      <c r="E125" s="65">
        <f t="shared" si="19"/>
        <v>2.7726432532347505</v>
      </c>
      <c r="F125" s="65" t="str">
        <f t="shared" si="11"/>
        <v>No</v>
      </c>
      <c r="G125" s="65" t="str">
        <f t="shared" si="12"/>
        <v>No</v>
      </c>
      <c r="H125" s="301" t="str">
        <f>IF(OR('TANF-VIEW'!L129&gt;0,'TANF-VIEW'!T129&gt;0),"Yes","No")</f>
        <v>No</v>
      </c>
      <c r="I125" s="63">
        <f t="shared" si="13"/>
        <v>0</v>
      </c>
      <c r="J125" s="6">
        <f>(IF(B125&gt;$N$2,0,VLOOKUP('Total income package'!$B$3,'Location specific data'!$A$3:$AO$135,33,FALSE))*$C$2)*20</f>
        <v>0</v>
      </c>
      <c r="K125" s="6">
        <f>IF(B125&gt;$N$2,0,VLOOKUP('Total income package'!$B$3,'Location specific data'!$A$3:$AO$135,34,FALSE))*$D$2*20</f>
        <v>0</v>
      </c>
      <c r="L125" s="6">
        <f>IF(B125&gt;$N$2,0,VLOOKUP('Total income package'!$B$3,'Location specific data'!$A$3:$AO$135,35,FALSE))*$E$2*20</f>
        <v>0</v>
      </c>
      <c r="M125" s="6">
        <f>IF(B125&gt;$N$2,0,VLOOKUP('Total income package'!$B$3,'Location specific data'!$A$3:$AO$135,36,FALSE))*$F$2*20</f>
        <v>0</v>
      </c>
      <c r="N125" s="6">
        <f>IF(B125&gt;$N$2,0,VLOOKUP('Total income package'!$B$3,'Location specific data'!$A$3:$AO$135,37,FALSE))*($G$2+$H$2)*20</f>
        <v>0</v>
      </c>
      <c r="O125" s="6">
        <f t="shared" si="14"/>
        <v>0</v>
      </c>
      <c r="P125" s="312">
        <f t="shared" si="21"/>
        <v>250</v>
      </c>
      <c r="Q125" s="312">
        <f t="shared" si="16"/>
        <v>0</v>
      </c>
      <c r="R125" s="312">
        <f t="shared" si="20"/>
        <v>0</v>
      </c>
      <c r="S125" s="160">
        <f>IF(AND('Total income package'!$A$8=TRUE,OR(F125="Yes",G125="Yes",H125="Yes")),SUM(J125:N125)-R125,0)</f>
        <v>0</v>
      </c>
    </row>
    <row r="126" spans="1:19" x14ac:dyDescent="0.25">
      <c r="A126" s="6">
        <v>60500</v>
      </c>
      <c r="B126" s="7">
        <f t="shared" si="22"/>
        <v>5041.666666666667</v>
      </c>
      <c r="C126" s="7">
        <f>'Total income package'!$D$80</f>
        <v>0</v>
      </c>
      <c r="D126" s="7">
        <f t="shared" si="18"/>
        <v>5041.666666666667</v>
      </c>
      <c r="E126" s="65">
        <f t="shared" si="19"/>
        <v>2.7957486136783736</v>
      </c>
      <c r="F126" s="65" t="str">
        <f t="shared" si="11"/>
        <v>No</v>
      </c>
      <c r="G126" s="65" t="str">
        <f t="shared" si="12"/>
        <v>No</v>
      </c>
      <c r="H126" s="301" t="str">
        <f>IF(OR('TANF-VIEW'!L130&gt;0,'TANF-VIEW'!T130&gt;0),"Yes","No")</f>
        <v>No</v>
      </c>
      <c r="I126" s="63">
        <f t="shared" si="13"/>
        <v>0</v>
      </c>
      <c r="J126" s="6">
        <f>(IF(B126&gt;$N$2,0,VLOOKUP('Total income package'!$B$3,'Location specific data'!$A$3:$AO$135,33,FALSE))*$C$2)*20</f>
        <v>0</v>
      </c>
      <c r="K126" s="6">
        <f>IF(B126&gt;$N$2,0,VLOOKUP('Total income package'!$B$3,'Location specific data'!$A$3:$AO$135,34,FALSE))*$D$2*20</f>
        <v>0</v>
      </c>
      <c r="L126" s="6">
        <f>IF(B126&gt;$N$2,0,VLOOKUP('Total income package'!$B$3,'Location specific data'!$A$3:$AO$135,35,FALSE))*$E$2*20</f>
        <v>0</v>
      </c>
      <c r="M126" s="6">
        <f>IF(B126&gt;$N$2,0,VLOOKUP('Total income package'!$B$3,'Location specific data'!$A$3:$AO$135,36,FALSE))*$F$2*20</f>
        <v>0</v>
      </c>
      <c r="N126" s="6">
        <f>IF(B126&gt;$N$2,0,VLOOKUP('Total income package'!$B$3,'Location specific data'!$A$3:$AO$135,37,FALSE))*($G$2+$H$2)*20</f>
        <v>0</v>
      </c>
      <c r="O126" s="6">
        <f t="shared" si="14"/>
        <v>0</v>
      </c>
      <c r="P126" s="312">
        <f t="shared" si="21"/>
        <v>252.08333333333337</v>
      </c>
      <c r="Q126" s="312">
        <f t="shared" si="16"/>
        <v>0</v>
      </c>
      <c r="R126" s="312">
        <f t="shared" si="20"/>
        <v>0</v>
      </c>
      <c r="S126" s="160">
        <f>IF(AND('Total income package'!$A$8=TRUE,OR(F126="Yes",G126="Yes",H126="Yes")),SUM(J126:N126)-R126,0)</f>
        <v>0</v>
      </c>
    </row>
    <row r="127" spans="1:19" x14ac:dyDescent="0.25">
      <c r="A127" s="6">
        <v>61000</v>
      </c>
      <c r="B127" s="7">
        <f t="shared" si="22"/>
        <v>5083.333333333333</v>
      </c>
      <c r="C127" s="7">
        <f>'Total income package'!$D$80</f>
        <v>0</v>
      </c>
      <c r="D127" s="7">
        <f t="shared" si="18"/>
        <v>5083.333333333333</v>
      </c>
      <c r="E127" s="65">
        <f t="shared" si="19"/>
        <v>2.8188539741219962</v>
      </c>
      <c r="F127" s="65" t="str">
        <f t="shared" si="11"/>
        <v>No</v>
      </c>
      <c r="G127" s="65" t="str">
        <f t="shared" si="12"/>
        <v>No</v>
      </c>
      <c r="H127" s="301" t="str">
        <f>IF(OR('TANF-VIEW'!L131&gt;0,'TANF-VIEW'!T131&gt;0),"Yes","No")</f>
        <v>No</v>
      </c>
      <c r="I127" s="63">
        <f t="shared" si="13"/>
        <v>0</v>
      </c>
      <c r="J127" s="6">
        <f>(IF(B127&gt;$N$2,0,VLOOKUP('Total income package'!$B$3,'Location specific data'!$A$3:$AO$135,33,FALSE))*$C$2)*20</f>
        <v>0</v>
      </c>
      <c r="K127" s="6">
        <f>IF(B127&gt;$N$2,0,VLOOKUP('Total income package'!$B$3,'Location specific data'!$A$3:$AO$135,34,FALSE))*$D$2*20</f>
        <v>0</v>
      </c>
      <c r="L127" s="6">
        <f>IF(B127&gt;$N$2,0,VLOOKUP('Total income package'!$B$3,'Location specific data'!$A$3:$AO$135,35,FALSE))*$E$2*20</f>
        <v>0</v>
      </c>
      <c r="M127" s="6">
        <f>IF(B127&gt;$N$2,0,VLOOKUP('Total income package'!$B$3,'Location specific data'!$A$3:$AO$135,36,FALSE))*$F$2*20</f>
        <v>0</v>
      </c>
      <c r="N127" s="6">
        <f>IF(B127&gt;$N$2,0,VLOOKUP('Total income package'!$B$3,'Location specific data'!$A$3:$AO$135,37,FALSE))*($G$2+$H$2)*20</f>
        <v>0</v>
      </c>
      <c r="O127" s="6">
        <f t="shared" si="14"/>
        <v>0</v>
      </c>
      <c r="P127" s="312">
        <f t="shared" si="21"/>
        <v>254.16666666666666</v>
      </c>
      <c r="Q127" s="312">
        <f t="shared" si="16"/>
        <v>0</v>
      </c>
      <c r="R127" s="312">
        <f t="shared" si="20"/>
        <v>0</v>
      </c>
      <c r="S127" s="160">
        <f>IF(AND('Total income package'!$A$8=TRUE,OR(F127="Yes",G127="Yes",H127="Yes")),SUM(J127:N127)-R127,0)</f>
        <v>0</v>
      </c>
    </row>
    <row r="128" spans="1:19" x14ac:dyDescent="0.25">
      <c r="A128" s="6">
        <v>61500</v>
      </c>
      <c r="B128" s="7">
        <f t="shared" si="22"/>
        <v>5125</v>
      </c>
      <c r="C128" s="7">
        <f>'Total income package'!$D$80</f>
        <v>0</v>
      </c>
      <c r="D128" s="7">
        <f t="shared" si="18"/>
        <v>5125</v>
      </c>
      <c r="E128" s="65">
        <f t="shared" si="19"/>
        <v>2.8419593345656193</v>
      </c>
      <c r="F128" s="65" t="str">
        <f t="shared" si="11"/>
        <v>No</v>
      </c>
      <c r="G128" s="65" t="str">
        <f t="shared" si="12"/>
        <v>No</v>
      </c>
      <c r="H128" s="301" t="str">
        <f>IF(OR('TANF-VIEW'!L132&gt;0,'TANF-VIEW'!T132&gt;0),"Yes","No")</f>
        <v>No</v>
      </c>
      <c r="I128" s="63">
        <f t="shared" si="13"/>
        <v>0</v>
      </c>
      <c r="J128" s="6">
        <f>(IF(B128&gt;$N$2,0,VLOOKUP('Total income package'!$B$3,'Location specific data'!$A$3:$AO$135,33,FALSE))*$C$2)*20</f>
        <v>0</v>
      </c>
      <c r="K128" s="6">
        <f>IF(B128&gt;$N$2,0,VLOOKUP('Total income package'!$B$3,'Location specific data'!$A$3:$AO$135,34,FALSE))*$D$2*20</f>
        <v>0</v>
      </c>
      <c r="L128" s="6">
        <f>IF(B128&gt;$N$2,0,VLOOKUP('Total income package'!$B$3,'Location specific data'!$A$3:$AO$135,35,FALSE))*$E$2*20</f>
        <v>0</v>
      </c>
      <c r="M128" s="6">
        <f>IF(B128&gt;$N$2,0,VLOOKUP('Total income package'!$B$3,'Location specific data'!$A$3:$AO$135,36,FALSE))*$F$2*20</f>
        <v>0</v>
      </c>
      <c r="N128" s="6">
        <f>IF(B128&gt;$N$2,0,VLOOKUP('Total income package'!$B$3,'Location specific data'!$A$3:$AO$135,37,FALSE))*($G$2+$H$2)*20</f>
        <v>0</v>
      </c>
      <c r="O128" s="6">
        <f t="shared" si="14"/>
        <v>0</v>
      </c>
      <c r="P128" s="312">
        <f t="shared" si="21"/>
        <v>256.25</v>
      </c>
      <c r="Q128" s="312">
        <f t="shared" si="16"/>
        <v>0</v>
      </c>
      <c r="R128" s="312">
        <f t="shared" si="20"/>
        <v>0</v>
      </c>
      <c r="S128" s="160">
        <f>IF(AND('Total income package'!$A$8=TRUE,OR(F128="Yes",G128="Yes",H128="Yes")),SUM(J128:N128)-R128,0)</f>
        <v>0</v>
      </c>
    </row>
    <row r="129" spans="1:19" x14ac:dyDescent="0.25">
      <c r="A129" s="6">
        <v>62000</v>
      </c>
      <c r="B129" s="7">
        <f t="shared" si="22"/>
        <v>5166.666666666667</v>
      </c>
      <c r="C129" s="7">
        <f>'Total income package'!$D$80</f>
        <v>0</v>
      </c>
      <c r="D129" s="7">
        <f t="shared" si="18"/>
        <v>5166.666666666667</v>
      </c>
      <c r="E129" s="65">
        <f t="shared" si="19"/>
        <v>2.8650646950092424</v>
      </c>
      <c r="F129" s="65" t="str">
        <f t="shared" si="11"/>
        <v>No</v>
      </c>
      <c r="G129" s="65" t="str">
        <f t="shared" si="12"/>
        <v>No</v>
      </c>
      <c r="H129" s="301" t="str">
        <f>IF(OR('TANF-VIEW'!L133&gt;0,'TANF-VIEW'!T133&gt;0),"Yes","No")</f>
        <v>No</v>
      </c>
      <c r="I129" s="63">
        <f t="shared" si="13"/>
        <v>0</v>
      </c>
      <c r="J129" s="6">
        <f>(IF(B129&gt;$N$2,0,VLOOKUP('Total income package'!$B$3,'Location specific data'!$A$3:$AO$135,33,FALSE))*$C$2)*20</f>
        <v>0</v>
      </c>
      <c r="K129" s="6">
        <f>IF(B129&gt;$N$2,0,VLOOKUP('Total income package'!$B$3,'Location specific data'!$A$3:$AO$135,34,FALSE))*$D$2*20</f>
        <v>0</v>
      </c>
      <c r="L129" s="6">
        <f>IF(B129&gt;$N$2,0,VLOOKUP('Total income package'!$B$3,'Location specific data'!$A$3:$AO$135,35,FALSE))*$E$2*20</f>
        <v>0</v>
      </c>
      <c r="M129" s="6">
        <f>IF(B129&gt;$N$2,0,VLOOKUP('Total income package'!$B$3,'Location specific data'!$A$3:$AO$135,36,FALSE))*$F$2*20</f>
        <v>0</v>
      </c>
      <c r="N129" s="6">
        <f>IF(B129&gt;$N$2,0,VLOOKUP('Total income package'!$B$3,'Location specific data'!$A$3:$AO$135,37,FALSE))*($G$2+$H$2)*20</f>
        <v>0</v>
      </c>
      <c r="O129" s="6">
        <f t="shared" si="14"/>
        <v>0</v>
      </c>
      <c r="P129" s="312">
        <f t="shared" si="21"/>
        <v>258.33333333333337</v>
      </c>
      <c r="Q129" s="312">
        <f t="shared" si="16"/>
        <v>0</v>
      </c>
      <c r="R129" s="312">
        <f t="shared" si="20"/>
        <v>0</v>
      </c>
      <c r="S129" s="160">
        <f>IF(AND('Total income package'!$A$8=TRUE,OR(F129="Yes",G129="Yes",H129="Yes")),SUM(J129:N129)-R129,0)</f>
        <v>0</v>
      </c>
    </row>
    <row r="130" spans="1:19" x14ac:dyDescent="0.25">
      <c r="A130" s="6">
        <v>62500</v>
      </c>
      <c r="B130" s="7">
        <f t="shared" si="22"/>
        <v>5208.333333333333</v>
      </c>
      <c r="C130" s="7">
        <f>'Total income package'!$D$80</f>
        <v>0</v>
      </c>
      <c r="D130" s="7">
        <f t="shared" si="18"/>
        <v>5208.333333333333</v>
      </c>
      <c r="E130" s="65">
        <f t="shared" si="19"/>
        <v>2.8881700554528651</v>
      </c>
      <c r="F130" s="65" t="str">
        <f t="shared" si="11"/>
        <v>No</v>
      </c>
      <c r="G130" s="65" t="str">
        <f t="shared" si="12"/>
        <v>No</v>
      </c>
      <c r="H130" s="301" t="str">
        <f>IF(OR('TANF-VIEW'!L134&gt;0,'TANF-VIEW'!T134&gt;0),"Yes","No")</f>
        <v>No</v>
      </c>
      <c r="I130" s="63">
        <f t="shared" si="13"/>
        <v>0</v>
      </c>
      <c r="J130" s="6">
        <f>(IF(B130&gt;$N$2,0,VLOOKUP('Total income package'!$B$3,'Location specific data'!$A$3:$AO$135,33,FALSE))*$C$2)*20</f>
        <v>0</v>
      </c>
      <c r="K130" s="6">
        <f>IF(B130&gt;$N$2,0,VLOOKUP('Total income package'!$B$3,'Location specific data'!$A$3:$AO$135,34,FALSE))*$D$2*20</f>
        <v>0</v>
      </c>
      <c r="L130" s="6">
        <f>IF(B130&gt;$N$2,0,VLOOKUP('Total income package'!$B$3,'Location specific data'!$A$3:$AO$135,35,FALSE))*$E$2*20</f>
        <v>0</v>
      </c>
      <c r="M130" s="6">
        <f>IF(B130&gt;$N$2,0,VLOOKUP('Total income package'!$B$3,'Location specific data'!$A$3:$AO$135,36,FALSE))*$F$2*20</f>
        <v>0</v>
      </c>
      <c r="N130" s="6">
        <f>IF(B130&gt;$N$2,0,VLOOKUP('Total income package'!$B$3,'Location specific data'!$A$3:$AO$135,37,FALSE))*($G$2+$H$2)*20</f>
        <v>0</v>
      </c>
      <c r="O130" s="6">
        <f t="shared" si="14"/>
        <v>0</v>
      </c>
      <c r="P130" s="312">
        <f t="shared" si="21"/>
        <v>260.41666666666669</v>
      </c>
      <c r="Q130" s="312">
        <f t="shared" si="16"/>
        <v>0</v>
      </c>
      <c r="R130" s="312">
        <f t="shared" si="20"/>
        <v>0</v>
      </c>
      <c r="S130" s="160">
        <f>IF(AND('Total income package'!$A$8=TRUE,OR(F130="Yes",G130="Yes",H130="Yes")),SUM(J130:N130)-R130,0)</f>
        <v>0</v>
      </c>
    </row>
    <row r="131" spans="1:19" x14ac:dyDescent="0.25">
      <c r="A131" s="6">
        <v>63000</v>
      </c>
      <c r="B131" s="7">
        <f t="shared" si="22"/>
        <v>5250</v>
      </c>
      <c r="C131" s="7">
        <f>'Total income package'!$D$80</f>
        <v>0</v>
      </c>
      <c r="D131" s="7">
        <f t="shared" si="18"/>
        <v>5250</v>
      </c>
      <c r="E131" s="65">
        <f t="shared" si="19"/>
        <v>2.9112754158964882</v>
      </c>
      <c r="F131" s="65" t="str">
        <f t="shared" si="11"/>
        <v>No</v>
      </c>
      <c r="G131" s="65" t="str">
        <f t="shared" si="12"/>
        <v>No</v>
      </c>
      <c r="H131" s="301" t="str">
        <f>IF(OR('TANF-VIEW'!L135&gt;0,'TANF-VIEW'!T135&gt;0),"Yes","No")</f>
        <v>No</v>
      </c>
      <c r="I131" s="63">
        <f t="shared" si="13"/>
        <v>0</v>
      </c>
      <c r="J131" s="6">
        <f>(IF(B131&gt;$N$2,0,VLOOKUP('Total income package'!$B$3,'Location specific data'!$A$3:$AO$135,33,FALSE))*$C$2)*20</f>
        <v>0</v>
      </c>
      <c r="K131" s="6">
        <f>IF(B131&gt;$N$2,0,VLOOKUP('Total income package'!$B$3,'Location specific data'!$A$3:$AO$135,34,FALSE))*$D$2*20</f>
        <v>0</v>
      </c>
      <c r="L131" s="6">
        <f>IF(B131&gt;$N$2,0,VLOOKUP('Total income package'!$B$3,'Location specific data'!$A$3:$AO$135,35,FALSE))*$E$2*20</f>
        <v>0</v>
      </c>
      <c r="M131" s="6">
        <f>IF(B131&gt;$N$2,0,VLOOKUP('Total income package'!$B$3,'Location specific data'!$A$3:$AO$135,36,FALSE))*$F$2*20</f>
        <v>0</v>
      </c>
      <c r="N131" s="6">
        <f>IF(B131&gt;$N$2,0,VLOOKUP('Total income package'!$B$3,'Location specific data'!$A$3:$AO$135,37,FALSE))*($G$2+$H$2)*20</f>
        <v>0</v>
      </c>
      <c r="O131" s="6">
        <f t="shared" si="14"/>
        <v>0</v>
      </c>
      <c r="P131" s="312">
        <f t="shared" si="21"/>
        <v>262.5</v>
      </c>
      <c r="Q131" s="312">
        <f t="shared" si="16"/>
        <v>0</v>
      </c>
      <c r="R131" s="312">
        <f t="shared" si="20"/>
        <v>0</v>
      </c>
      <c r="S131" s="160">
        <f>IF(AND('Total income package'!$A$8=TRUE,OR(F131="Yes",G131="Yes",H131="Yes")),SUM(J131:N131)-R131,0)</f>
        <v>0</v>
      </c>
    </row>
    <row r="132" spans="1:19" x14ac:dyDescent="0.25">
      <c r="A132" s="6">
        <v>63500</v>
      </c>
      <c r="B132" s="7">
        <f t="shared" si="22"/>
        <v>5291.666666666667</v>
      </c>
      <c r="C132" s="7">
        <f>'Total income package'!$D$80</f>
        <v>0</v>
      </c>
      <c r="D132" s="7">
        <f t="shared" si="18"/>
        <v>5291.666666666667</v>
      </c>
      <c r="E132" s="65">
        <f t="shared" si="19"/>
        <v>2.9343807763401113</v>
      </c>
      <c r="F132" s="65" t="str">
        <f t="shared" si="11"/>
        <v>No</v>
      </c>
      <c r="G132" s="65" t="str">
        <f t="shared" si="12"/>
        <v>No</v>
      </c>
      <c r="H132" s="301" t="str">
        <f>IF(OR('TANF-VIEW'!L136&gt;0,'TANF-VIEW'!T136&gt;0),"Yes","No")</f>
        <v>No</v>
      </c>
      <c r="I132" s="63">
        <f t="shared" si="13"/>
        <v>0</v>
      </c>
      <c r="J132" s="6">
        <f>(IF(B132&gt;$N$2,0,VLOOKUP('Total income package'!$B$3,'Location specific data'!$A$3:$AO$135,33,FALSE))*$C$2)*20</f>
        <v>0</v>
      </c>
      <c r="K132" s="6">
        <f>IF(B132&gt;$N$2,0,VLOOKUP('Total income package'!$B$3,'Location specific data'!$A$3:$AO$135,34,FALSE))*$D$2*20</f>
        <v>0</v>
      </c>
      <c r="L132" s="6">
        <f>IF(B132&gt;$N$2,0,VLOOKUP('Total income package'!$B$3,'Location specific data'!$A$3:$AO$135,35,FALSE))*$E$2*20</f>
        <v>0</v>
      </c>
      <c r="M132" s="6">
        <f>IF(B132&gt;$N$2,0,VLOOKUP('Total income package'!$B$3,'Location specific data'!$A$3:$AO$135,36,FALSE))*$F$2*20</f>
        <v>0</v>
      </c>
      <c r="N132" s="6">
        <f>IF(B132&gt;$N$2,0,VLOOKUP('Total income package'!$B$3,'Location specific data'!$A$3:$AO$135,37,FALSE))*($G$2+$H$2)*20</f>
        <v>0</v>
      </c>
      <c r="O132" s="6">
        <f t="shared" si="14"/>
        <v>0</v>
      </c>
      <c r="P132" s="312">
        <f t="shared" si="21"/>
        <v>264.58333333333337</v>
      </c>
      <c r="Q132" s="312">
        <f t="shared" si="16"/>
        <v>0</v>
      </c>
      <c r="R132" s="312">
        <f t="shared" si="20"/>
        <v>0</v>
      </c>
      <c r="S132" s="160">
        <f>IF(AND('Total income package'!$A$8=TRUE,OR(F132="Yes",G132="Yes",H132="Yes")),SUM(J132:N132)-R132,0)</f>
        <v>0</v>
      </c>
    </row>
    <row r="133" spans="1:19" x14ac:dyDescent="0.25">
      <c r="A133" s="6">
        <v>64000</v>
      </c>
      <c r="B133" s="7">
        <f t="shared" si="22"/>
        <v>5333.333333333333</v>
      </c>
      <c r="C133" s="7">
        <f>'Total income package'!$D$80</f>
        <v>0</v>
      </c>
      <c r="D133" s="7">
        <f t="shared" si="18"/>
        <v>5333.333333333333</v>
      </c>
      <c r="E133" s="65">
        <f t="shared" si="19"/>
        <v>2.957486136783734</v>
      </c>
      <c r="F133" s="65" t="str">
        <f t="shared" ref="F133:F196" si="23">IF(AND(B133&lt;$N$2,SUM($C$2:$F$2)&gt;0),"Yes","No")</f>
        <v>No</v>
      </c>
      <c r="G133" s="65" t="str">
        <f t="shared" ref="G133:G196" si="24">IF(B133&lt;$M$2,"Yes","No")</f>
        <v>No</v>
      </c>
      <c r="H133" s="301" t="str">
        <f>IF(OR('TANF-VIEW'!L137&gt;0,'TANF-VIEW'!T137&gt;0),"Yes","No")</f>
        <v>No</v>
      </c>
      <c r="I133" s="63">
        <f t="shared" ref="I133:I196" si="25">IF(B133&gt;=$N$2,0,IF(E133&gt;3.5,375*SUM($C$2:$H$2),IF(E133&gt;3,325*SUM($C$2:$H$2),IF(E133&gt;2.5,275*SUM($C$2:$H$2),IF(E133&gt;2,225*SUM($C$2:$H$2),IF(E133&gt;1.5,175*SUM($C$2:$H$2),IF(E133&gt;1,125*SUM($C$2:$H$2),IF(E133&gt;0,5*SUM($C$2:$H$2),0))))))))</f>
        <v>0</v>
      </c>
      <c r="J133" s="6">
        <f>(IF(B133&gt;$N$2,0,VLOOKUP('Total income package'!$B$3,'Location specific data'!$A$3:$AO$135,33,FALSE))*$C$2)*20</f>
        <v>0</v>
      </c>
      <c r="K133" s="6">
        <f>IF(B133&gt;$N$2,0,VLOOKUP('Total income package'!$B$3,'Location specific data'!$A$3:$AO$135,34,FALSE))*$D$2*20</f>
        <v>0</v>
      </c>
      <c r="L133" s="6">
        <f>IF(B133&gt;$N$2,0,VLOOKUP('Total income package'!$B$3,'Location specific data'!$A$3:$AO$135,35,FALSE))*$E$2*20</f>
        <v>0</v>
      </c>
      <c r="M133" s="6">
        <f>IF(B133&gt;$N$2,0,VLOOKUP('Total income package'!$B$3,'Location specific data'!$A$3:$AO$135,36,FALSE))*$F$2*20</f>
        <v>0</v>
      </c>
      <c r="N133" s="6">
        <f>IF(B133&gt;$N$2,0,VLOOKUP('Total income package'!$B$3,'Location specific data'!$A$3:$AO$135,37,FALSE))*($G$2+$H$2)*20</f>
        <v>0</v>
      </c>
      <c r="O133" s="6">
        <f t="shared" ref="O133:O196" si="26">I133*SUM($C$2:$H$2)</f>
        <v>0</v>
      </c>
      <c r="P133" s="312">
        <f t="shared" ref="P133:P164" si="27">B133*0.05</f>
        <v>266.66666666666669</v>
      </c>
      <c r="Q133" s="312">
        <f t="shared" ref="Q133:Q196" si="28">I133*3</f>
        <v>0</v>
      </c>
      <c r="R133" s="312">
        <f t="shared" si="20"/>
        <v>0</v>
      </c>
      <c r="S133" s="160">
        <f>IF(AND('Total income package'!$A$8=TRUE,OR(F133="Yes",G133="Yes",H133="Yes")),SUM(J133:N133)-R133,0)</f>
        <v>0</v>
      </c>
    </row>
    <row r="134" spans="1:19" x14ac:dyDescent="0.25">
      <c r="A134" s="6">
        <v>64500</v>
      </c>
      <c r="B134" s="7">
        <f t="shared" si="22"/>
        <v>5375</v>
      </c>
      <c r="C134" s="7">
        <f>'Total income package'!$D$80</f>
        <v>0</v>
      </c>
      <c r="D134" s="7">
        <f t="shared" ref="D134:D197" si="29">B134+C134</f>
        <v>5375</v>
      </c>
      <c r="E134" s="65">
        <f t="shared" ref="E134:E197" si="30">D134/$K$2</f>
        <v>2.9805914972273571</v>
      </c>
      <c r="F134" s="65" t="str">
        <f t="shared" si="23"/>
        <v>No</v>
      </c>
      <c r="G134" s="65" t="str">
        <f t="shared" si="24"/>
        <v>No</v>
      </c>
      <c r="H134" s="301" t="str">
        <f>IF(OR('TANF-VIEW'!L138&gt;0,'TANF-VIEW'!T138&gt;0),"Yes","No")</f>
        <v>No</v>
      </c>
      <c r="I134" s="63">
        <f t="shared" si="25"/>
        <v>0</v>
      </c>
      <c r="J134" s="6">
        <f>(IF(B134&gt;$N$2,0,VLOOKUP('Total income package'!$B$3,'Location specific data'!$A$3:$AO$135,33,FALSE))*$C$2)*20</f>
        <v>0</v>
      </c>
      <c r="K134" s="6">
        <f>IF(B134&gt;$N$2,0,VLOOKUP('Total income package'!$B$3,'Location specific data'!$A$3:$AO$135,34,FALSE))*$D$2*20</f>
        <v>0</v>
      </c>
      <c r="L134" s="6">
        <f>IF(B134&gt;$N$2,0,VLOOKUP('Total income package'!$B$3,'Location specific data'!$A$3:$AO$135,35,FALSE))*$E$2*20</f>
        <v>0</v>
      </c>
      <c r="M134" s="6">
        <f>IF(B134&gt;$N$2,0,VLOOKUP('Total income package'!$B$3,'Location specific data'!$A$3:$AO$135,36,FALSE))*$F$2*20</f>
        <v>0</v>
      </c>
      <c r="N134" s="6">
        <f>IF(B134&gt;$N$2,0,VLOOKUP('Total income package'!$B$3,'Location specific data'!$A$3:$AO$135,37,FALSE))*($G$2+$H$2)*20</f>
        <v>0</v>
      </c>
      <c r="O134" s="6">
        <f t="shared" si="26"/>
        <v>0</v>
      </c>
      <c r="P134" s="312">
        <f t="shared" si="27"/>
        <v>268.75</v>
      </c>
      <c r="Q134" s="312">
        <f t="shared" si="28"/>
        <v>0</v>
      </c>
      <c r="R134" s="312">
        <f t="shared" ref="R134:R197" si="31">IF(MIN(O134,P134)&lt;Q134,MIN(O134,P134),Q134)</f>
        <v>0</v>
      </c>
      <c r="S134" s="160">
        <f>IF(AND('Total income package'!$A$8=TRUE,OR(F134="Yes",G134="Yes",H134="Yes")),SUM(J134:N134)-R134,0)</f>
        <v>0</v>
      </c>
    </row>
    <row r="135" spans="1:19" x14ac:dyDescent="0.25">
      <c r="A135" s="6">
        <v>65000</v>
      </c>
      <c r="B135" s="7">
        <f t="shared" si="22"/>
        <v>5416.666666666667</v>
      </c>
      <c r="C135" s="7">
        <f>'Total income package'!$D$80</f>
        <v>0</v>
      </c>
      <c r="D135" s="7">
        <f t="shared" si="29"/>
        <v>5416.666666666667</v>
      </c>
      <c r="E135" s="65">
        <f t="shared" si="30"/>
        <v>3.0036968576709802</v>
      </c>
      <c r="F135" s="65" t="str">
        <f t="shared" si="23"/>
        <v>No</v>
      </c>
      <c r="G135" s="65" t="str">
        <f t="shared" si="24"/>
        <v>No</v>
      </c>
      <c r="H135" s="301" t="str">
        <f>IF(OR('TANF-VIEW'!L139&gt;0,'TANF-VIEW'!T139&gt;0),"Yes","No")</f>
        <v>No</v>
      </c>
      <c r="I135" s="63">
        <f t="shared" si="25"/>
        <v>0</v>
      </c>
      <c r="J135" s="6">
        <f>(IF(B135&gt;$N$2,0,VLOOKUP('Total income package'!$B$3,'Location specific data'!$A$3:$AO$135,33,FALSE))*$C$2)*20</f>
        <v>0</v>
      </c>
      <c r="K135" s="6">
        <f>IF(B135&gt;$N$2,0,VLOOKUP('Total income package'!$B$3,'Location specific data'!$A$3:$AO$135,34,FALSE))*$D$2*20</f>
        <v>0</v>
      </c>
      <c r="L135" s="6">
        <f>IF(B135&gt;$N$2,0,VLOOKUP('Total income package'!$B$3,'Location specific data'!$A$3:$AO$135,35,FALSE))*$E$2*20</f>
        <v>0</v>
      </c>
      <c r="M135" s="6">
        <f>IF(B135&gt;$N$2,0,VLOOKUP('Total income package'!$B$3,'Location specific data'!$A$3:$AO$135,36,FALSE))*$F$2*20</f>
        <v>0</v>
      </c>
      <c r="N135" s="6">
        <f>IF(B135&gt;$N$2,0,VLOOKUP('Total income package'!$B$3,'Location specific data'!$A$3:$AO$135,37,FALSE))*($G$2+$H$2)*20</f>
        <v>0</v>
      </c>
      <c r="O135" s="6">
        <f t="shared" si="26"/>
        <v>0</v>
      </c>
      <c r="P135" s="312">
        <f t="shared" si="27"/>
        <v>270.83333333333337</v>
      </c>
      <c r="Q135" s="312">
        <f t="shared" si="28"/>
        <v>0</v>
      </c>
      <c r="R135" s="312">
        <f t="shared" si="31"/>
        <v>0</v>
      </c>
      <c r="S135" s="160">
        <f>IF(AND('Total income package'!$A$8=TRUE,OR(F135="Yes",G135="Yes",H135="Yes")),SUM(J135:N135)-R135,0)</f>
        <v>0</v>
      </c>
    </row>
    <row r="136" spans="1:19" x14ac:dyDescent="0.25">
      <c r="A136" s="6">
        <v>65500</v>
      </c>
      <c r="B136" s="7">
        <f t="shared" si="22"/>
        <v>5458.333333333333</v>
      </c>
      <c r="C136" s="7">
        <f>'Total income package'!$D$80</f>
        <v>0</v>
      </c>
      <c r="D136" s="7">
        <f t="shared" si="29"/>
        <v>5458.333333333333</v>
      </c>
      <c r="E136" s="65">
        <f t="shared" si="30"/>
        <v>3.0268022181146024</v>
      </c>
      <c r="F136" s="65" t="str">
        <f t="shared" si="23"/>
        <v>No</v>
      </c>
      <c r="G136" s="65" t="str">
        <f t="shared" si="24"/>
        <v>No</v>
      </c>
      <c r="H136" s="301" t="str">
        <f>IF(OR('TANF-VIEW'!L140&gt;0,'TANF-VIEW'!T140&gt;0),"Yes","No")</f>
        <v>No</v>
      </c>
      <c r="I136" s="63">
        <f t="shared" si="25"/>
        <v>0</v>
      </c>
      <c r="J136" s="6">
        <f>(IF(B136&gt;$N$2,0,VLOOKUP('Total income package'!$B$3,'Location specific data'!$A$3:$AO$135,33,FALSE))*$C$2)*20</f>
        <v>0</v>
      </c>
      <c r="K136" s="6">
        <f>IF(B136&gt;$N$2,0,VLOOKUP('Total income package'!$B$3,'Location specific data'!$A$3:$AO$135,34,FALSE))*$D$2*20</f>
        <v>0</v>
      </c>
      <c r="L136" s="6">
        <f>IF(B136&gt;$N$2,0,VLOOKUP('Total income package'!$B$3,'Location specific data'!$A$3:$AO$135,35,FALSE))*$E$2*20</f>
        <v>0</v>
      </c>
      <c r="M136" s="6">
        <f>IF(B136&gt;$N$2,0,VLOOKUP('Total income package'!$B$3,'Location specific data'!$A$3:$AO$135,36,FALSE))*$F$2*20</f>
        <v>0</v>
      </c>
      <c r="N136" s="6">
        <f>IF(B136&gt;$N$2,0,VLOOKUP('Total income package'!$B$3,'Location specific data'!$A$3:$AO$135,37,FALSE))*($G$2+$H$2)*20</f>
        <v>0</v>
      </c>
      <c r="O136" s="6">
        <f t="shared" si="26"/>
        <v>0</v>
      </c>
      <c r="P136" s="312">
        <f t="shared" si="27"/>
        <v>272.91666666666669</v>
      </c>
      <c r="Q136" s="312">
        <f t="shared" si="28"/>
        <v>0</v>
      </c>
      <c r="R136" s="312">
        <f t="shared" si="31"/>
        <v>0</v>
      </c>
      <c r="S136" s="160">
        <f>IF(AND('Total income package'!$A$8=TRUE,OR(F136="Yes",G136="Yes",H136="Yes")),SUM(J136:N136)-R136,0)</f>
        <v>0</v>
      </c>
    </row>
    <row r="137" spans="1:19" x14ac:dyDescent="0.25">
      <c r="A137" s="6">
        <v>66000</v>
      </c>
      <c r="B137" s="7">
        <f t="shared" si="22"/>
        <v>5500</v>
      </c>
      <c r="C137" s="7">
        <f>'Total income package'!$D$80</f>
        <v>0</v>
      </c>
      <c r="D137" s="7">
        <f t="shared" si="29"/>
        <v>5500</v>
      </c>
      <c r="E137" s="65">
        <f t="shared" si="30"/>
        <v>3.0499075785582255</v>
      </c>
      <c r="F137" s="65" t="str">
        <f t="shared" si="23"/>
        <v>No</v>
      </c>
      <c r="G137" s="65" t="str">
        <f t="shared" si="24"/>
        <v>No</v>
      </c>
      <c r="H137" s="301" t="str">
        <f>IF(OR('TANF-VIEW'!L141&gt;0,'TANF-VIEW'!T141&gt;0),"Yes","No")</f>
        <v>No</v>
      </c>
      <c r="I137" s="63">
        <f t="shared" si="25"/>
        <v>0</v>
      </c>
      <c r="J137" s="6">
        <f>(IF(B137&gt;$N$2,0,VLOOKUP('Total income package'!$B$3,'Location specific data'!$A$3:$AO$135,33,FALSE))*$C$2)*20</f>
        <v>0</v>
      </c>
      <c r="K137" s="6">
        <f>IF(B137&gt;$N$2,0,VLOOKUP('Total income package'!$B$3,'Location specific data'!$A$3:$AO$135,34,FALSE))*$D$2*20</f>
        <v>0</v>
      </c>
      <c r="L137" s="6">
        <f>IF(B137&gt;$N$2,0,VLOOKUP('Total income package'!$B$3,'Location specific data'!$A$3:$AO$135,35,FALSE))*$E$2*20</f>
        <v>0</v>
      </c>
      <c r="M137" s="6">
        <f>IF(B137&gt;$N$2,0,VLOOKUP('Total income package'!$B$3,'Location specific data'!$A$3:$AO$135,36,FALSE))*$F$2*20</f>
        <v>0</v>
      </c>
      <c r="N137" s="6">
        <f>IF(B137&gt;$N$2,0,VLOOKUP('Total income package'!$B$3,'Location specific data'!$A$3:$AO$135,37,FALSE))*($G$2+$H$2)*20</f>
        <v>0</v>
      </c>
      <c r="O137" s="6">
        <f t="shared" si="26"/>
        <v>0</v>
      </c>
      <c r="P137" s="312">
        <f t="shared" si="27"/>
        <v>275</v>
      </c>
      <c r="Q137" s="312">
        <f t="shared" si="28"/>
        <v>0</v>
      </c>
      <c r="R137" s="312">
        <f t="shared" si="31"/>
        <v>0</v>
      </c>
      <c r="S137" s="160">
        <f>IF(AND('Total income package'!$A$8=TRUE,OR(F137="Yes",G137="Yes",H137="Yes")),SUM(J137:N137)-R137,0)</f>
        <v>0</v>
      </c>
    </row>
    <row r="138" spans="1:19" x14ac:dyDescent="0.25">
      <c r="A138" s="6">
        <v>66500</v>
      </c>
      <c r="B138" s="7">
        <f t="shared" si="22"/>
        <v>5541.666666666667</v>
      </c>
      <c r="C138" s="7">
        <f>'Total income package'!$D$80</f>
        <v>0</v>
      </c>
      <c r="D138" s="7">
        <f t="shared" si="29"/>
        <v>5541.666666666667</v>
      </c>
      <c r="E138" s="65">
        <f t="shared" si="30"/>
        <v>3.0730129390018486</v>
      </c>
      <c r="F138" s="65" t="str">
        <f t="shared" si="23"/>
        <v>No</v>
      </c>
      <c r="G138" s="65" t="str">
        <f t="shared" si="24"/>
        <v>No</v>
      </c>
      <c r="H138" s="301" t="str">
        <f>IF(OR('TANF-VIEW'!L142&gt;0,'TANF-VIEW'!T142&gt;0),"Yes","No")</f>
        <v>No</v>
      </c>
      <c r="I138" s="63">
        <f t="shared" si="25"/>
        <v>0</v>
      </c>
      <c r="J138" s="6">
        <f>(IF(B138&gt;$N$2,0,VLOOKUP('Total income package'!$B$3,'Location specific data'!$A$3:$AO$135,33,FALSE))*$C$2)*20</f>
        <v>0</v>
      </c>
      <c r="K138" s="6">
        <f>IF(B138&gt;$N$2,0,VLOOKUP('Total income package'!$B$3,'Location specific data'!$A$3:$AO$135,34,FALSE))*$D$2*20</f>
        <v>0</v>
      </c>
      <c r="L138" s="6">
        <f>IF(B138&gt;$N$2,0,VLOOKUP('Total income package'!$B$3,'Location specific data'!$A$3:$AO$135,35,FALSE))*$E$2*20</f>
        <v>0</v>
      </c>
      <c r="M138" s="6">
        <f>IF(B138&gt;$N$2,0,VLOOKUP('Total income package'!$B$3,'Location specific data'!$A$3:$AO$135,36,FALSE))*$F$2*20</f>
        <v>0</v>
      </c>
      <c r="N138" s="6">
        <f>IF(B138&gt;$N$2,0,VLOOKUP('Total income package'!$B$3,'Location specific data'!$A$3:$AO$135,37,FALSE))*($G$2+$H$2)*20</f>
        <v>0</v>
      </c>
      <c r="O138" s="6">
        <f t="shared" si="26"/>
        <v>0</v>
      </c>
      <c r="P138" s="312">
        <f t="shared" si="27"/>
        <v>277.08333333333337</v>
      </c>
      <c r="Q138" s="312">
        <f t="shared" si="28"/>
        <v>0</v>
      </c>
      <c r="R138" s="312">
        <f t="shared" si="31"/>
        <v>0</v>
      </c>
      <c r="S138" s="160">
        <f>IF(AND('Total income package'!$A$8=TRUE,OR(F138="Yes",G138="Yes",H138="Yes")),SUM(J138:N138)-R138,0)</f>
        <v>0</v>
      </c>
    </row>
    <row r="139" spans="1:19" x14ac:dyDescent="0.25">
      <c r="A139" s="6">
        <v>67000</v>
      </c>
      <c r="B139" s="7">
        <f t="shared" si="22"/>
        <v>5583.333333333333</v>
      </c>
      <c r="C139" s="7">
        <f>'Total income package'!$D$80</f>
        <v>0</v>
      </c>
      <c r="D139" s="7">
        <f t="shared" si="29"/>
        <v>5583.333333333333</v>
      </c>
      <c r="E139" s="65">
        <f t="shared" si="30"/>
        <v>3.0961182994454712</v>
      </c>
      <c r="F139" s="65" t="str">
        <f t="shared" si="23"/>
        <v>No</v>
      </c>
      <c r="G139" s="65" t="str">
        <f t="shared" si="24"/>
        <v>No</v>
      </c>
      <c r="H139" s="301" t="str">
        <f>IF(OR('TANF-VIEW'!L143&gt;0,'TANF-VIEW'!T143&gt;0),"Yes","No")</f>
        <v>No</v>
      </c>
      <c r="I139" s="63">
        <f t="shared" si="25"/>
        <v>0</v>
      </c>
      <c r="J139" s="6">
        <f>(IF(B139&gt;$N$2,0,VLOOKUP('Total income package'!$B$3,'Location specific data'!$A$3:$AO$135,33,FALSE))*$C$2)*20</f>
        <v>0</v>
      </c>
      <c r="K139" s="6">
        <f>IF(B139&gt;$N$2,0,VLOOKUP('Total income package'!$B$3,'Location specific data'!$A$3:$AO$135,34,FALSE))*$D$2*20</f>
        <v>0</v>
      </c>
      <c r="L139" s="6">
        <f>IF(B139&gt;$N$2,0,VLOOKUP('Total income package'!$B$3,'Location specific data'!$A$3:$AO$135,35,FALSE))*$E$2*20</f>
        <v>0</v>
      </c>
      <c r="M139" s="6">
        <f>IF(B139&gt;$N$2,0,VLOOKUP('Total income package'!$B$3,'Location specific data'!$A$3:$AO$135,36,FALSE))*$F$2*20</f>
        <v>0</v>
      </c>
      <c r="N139" s="6">
        <f>IF(B139&gt;$N$2,0,VLOOKUP('Total income package'!$B$3,'Location specific data'!$A$3:$AO$135,37,FALSE))*($G$2+$H$2)*20</f>
        <v>0</v>
      </c>
      <c r="O139" s="6">
        <f t="shared" si="26"/>
        <v>0</v>
      </c>
      <c r="P139" s="312">
        <f t="shared" si="27"/>
        <v>279.16666666666669</v>
      </c>
      <c r="Q139" s="312">
        <f t="shared" si="28"/>
        <v>0</v>
      </c>
      <c r="R139" s="312">
        <f t="shared" si="31"/>
        <v>0</v>
      </c>
      <c r="S139" s="160">
        <f>IF(AND('Total income package'!$A$8=TRUE,OR(F139="Yes",G139="Yes",H139="Yes")),SUM(J139:N139)-R139,0)</f>
        <v>0</v>
      </c>
    </row>
    <row r="140" spans="1:19" x14ac:dyDescent="0.25">
      <c r="A140" s="6">
        <v>67500</v>
      </c>
      <c r="B140" s="7">
        <f t="shared" si="22"/>
        <v>5625</v>
      </c>
      <c r="C140" s="7">
        <f>'Total income package'!$D$80</f>
        <v>0</v>
      </c>
      <c r="D140" s="7">
        <f t="shared" si="29"/>
        <v>5625</v>
      </c>
      <c r="E140" s="65">
        <f t="shared" si="30"/>
        <v>3.1192236598890943</v>
      </c>
      <c r="F140" s="65" t="str">
        <f t="shared" si="23"/>
        <v>No</v>
      </c>
      <c r="G140" s="65" t="str">
        <f t="shared" si="24"/>
        <v>No</v>
      </c>
      <c r="H140" s="301" t="str">
        <f>IF(OR('TANF-VIEW'!L144&gt;0,'TANF-VIEW'!T144&gt;0),"Yes","No")</f>
        <v>No</v>
      </c>
      <c r="I140" s="63">
        <f t="shared" si="25"/>
        <v>0</v>
      </c>
      <c r="J140" s="6">
        <f>(IF(B140&gt;$N$2,0,VLOOKUP('Total income package'!$B$3,'Location specific data'!$A$3:$AO$135,33,FALSE))*$C$2)*20</f>
        <v>0</v>
      </c>
      <c r="K140" s="6">
        <f>IF(B140&gt;$N$2,0,VLOOKUP('Total income package'!$B$3,'Location specific data'!$A$3:$AO$135,34,FALSE))*$D$2*20</f>
        <v>0</v>
      </c>
      <c r="L140" s="6">
        <f>IF(B140&gt;$N$2,0,VLOOKUP('Total income package'!$B$3,'Location specific data'!$A$3:$AO$135,35,FALSE))*$E$2*20</f>
        <v>0</v>
      </c>
      <c r="M140" s="6">
        <f>IF(B140&gt;$N$2,0,VLOOKUP('Total income package'!$B$3,'Location specific data'!$A$3:$AO$135,36,FALSE))*$F$2*20</f>
        <v>0</v>
      </c>
      <c r="N140" s="6">
        <f>IF(B140&gt;$N$2,0,VLOOKUP('Total income package'!$B$3,'Location specific data'!$A$3:$AO$135,37,FALSE))*($G$2+$H$2)*20</f>
        <v>0</v>
      </c>
      <c r="O140" s="6">
        <f t="shared" si="26"/>
        <v>0</v>
      </c>
      <c r="P140" s="312">
        <f t="shared" si="27"/>
        <v>281.25</v>
      </c>
      <c r="Q140" s="312">
        <f t="shared" si="28"/>
        <v>0</v>
      </c>
      <c r="R140" s="312">
        <f t="shared" si="31"/>
        <v>0</v>
      </c>
      <c r="S140" s="160">
        <f>IF(AND('Total income package'!$A$8=TRUE,OR(F140="Yes",G140="Yes",H140="Yes")),SUM(J140:N140)-R140,0)</f>
        <v>0</v>
      </c>
    </row>
    <row r="141" spans="1:19" x14ac:dyDescent="0.25">
      <c r="A141" s="6">
        <v>68000</v>
      </c>
      <c r="B141" s="7">
        <f t="shared" si="22"/>
        <v>5666.666666666667</v>
      </c>
      <c r="C141" s="7">
        <f>'Total income package'!$D$80</f>
        <v>0</v>
      </c>
      <c r="D141" s="7">
        <f t="shared" si="29"/>
        <v>5666.666666666667</v>
      </c>
      <c r="E141" s="65">
        <f t="shared" si="30"/>
        <v>3.1423290203327174</v>
      </c>
      <c r="F141" s="65" t="str">
        <f t="shared" si="23"/>
        <v>No</v>
      </c>
      <c r="G141" s="65" t="str">
        <f t="shared" si="24"/>
        <v>No</v>
      </c>
      <c r="H141" s="301" t="str">
        <f>IF(OR('TANF-VIEW'!L145&gt;0,'TANF-VIEW'!T145&gt;0),"Yes","No")</f>
        <v>No</v>
      </c>
      <c r="I141" s="63">
        <f t="shared" si="25"/>
        <v>0</v>
      </c>
      <c r="J141" s="6">
        <f>(IF(B141&gt;$N$2,0,VLOOKUP('Total income package'!$B$3,'Location specific data'!$A$3:$AO$135,33,FALSE))*$C$2)*20</f>
        <v>0</v>
      </c>
      <c r="K141" s="6">
        <f>IF(B141&gt;$N$2,0,VLOOKUP('Total income package'!$B$3,'Location specific data'!$A$3:$AO$135,34,FALSE))*$D$2*20</f>
        <v>0</v>
      </c>
      <c r="L141" s="6">
        <f>IF(B141&gt;$N$2,0,VLOOKUP('Total income package'!$B$3,'Location specific data'!$A$3:$AO$135,35,FALSE))*$E$2*20</f>
        <v>0</v>
      </c>
      <c r="M141" s="6">
        <f>IF(B141&gt;$N$2,0,VLOOKUP('Total income package'!$B$3,'Location specific data'!$A$3:$AO$135,36,FALSE))*$F$2*20</f>
        <v>0</v>
      </c>
      <c r="N141" s="6">
        <f>IF(B141&gt;$N$2,0,VLOOKUP('Total income package'!$B$3,'Location specific data'!$A$3:$AO$135,37,FALSE))*($G$2+$H$2)*20</f>
        <v>0</v>
      </c>
      <c r="O141" s="6">
        <f t="shared" si="26"/>
        <v>0</v>
      </c>
      <c r="P141" s="312">
        <f t="shared" si="27"/>
        <v>283.33333333333337</v>
      </c>
      <c r="Q141" s="312">
        <f t="shared" si="28"/>
        <v>0</v>
      </c>
      <c r="R141" s="312">
        <f t="shared" si="31"/>
        <v>0</v>
      </c>
      <c r="S141" s="160">
        <f>IF(AND('Total income package'!$A$8=TRUE,OR(F141="Yes",G141="Yes",H141="Yes")),SUM(J141:N141)-R141,0)</f>
        <v>0</v>
      </c>
    </row>
    <row r="142" spans="1:19" x14ac:dyDescent="0.25">
      <c r="A142" s="6">
        <v>68500</v>
      </c>
      <c r="B142" s="7">
        <f t="shared" si="22"/>
        <v>5708.333333333333</v>
      </c>
      <c r="C142" s="7">
        <f>'Total income package'!$D$80</f>
        <v>0</v>
      </c>
      <c r="D142" s="7">
        <f t="shared" si="29"/>
        <v>5708.333333333333</v>
      </c>
      <c r="E142" s="65">
        <f t="shared" si="30"/>
        <v>3.1654343807763401</v>
      </c>
      <c r="F142" s="65" t="str">
        <f t="shared" si="23"/>
        <v>No</v>
      </c>
      <c r="G142" s="65" t="str">
        <f t="shared" si="24"/>
        <v>No</v>
      </c>
      <c r="H142" s="301" t="str">
        <f>IF(OR('TANF-VIEW'!L146&gt;0,'TANF-VIEW'!T146&gt;0),"Yes","No")</f>
        <v>No</v>
      </c>
      <c r="I142" s="63">
        <f t="shared" si="25"/>
        <v>0</v>
      </c>
      <c r="J142" s="6">
        <f>(IF(B142&gt;$N$2,0,VLOOKUP('Total income package'!$B$3,'Location specific data'!$A$3:$AO$135,33,FALSE))*$C$2)*20</f>
        <v>0</v>
      </c>
      <c r="K142" s="6">
        <f>IF(B142&gt;$N$2,0,VLOOKUP('Total income package'!$B$3,'Location specific data'!$A$3:$AO$135,34,FALSE))*$D$2*20</f>
        <v>0</v>
      </c>
      <c r="L142" s="6">
        <f>IF(B142&gt;$N$2,0,VLOOKUP('Total income package'!$B$3,'Location specific data'!$A$3:$AO$135,35,FALSE))*$E$2*20</f>
        <v>0</v>
      </c>
      <c r="M142" s="6">
        <f>IF(B142&gt;$N$2,0,VLOOKUP('Total income package'!$B$3,'Location specific data'!$A$3:$AO$135,36,FALSE))*$F$2*20</f>
        <v>0</v>
      </c>
      <c r="N142" s="6">
        <f>IF(B142&gt;$N$2,0,VLOOKUP('Total income package'!$B$3,'Location specific data'!$A$3:$AO$135,37,FALSE))*($G$2+$H$2)*20</f>
        <v>0</v>
      </c>
      <c r="O142" s="6">
        <f t="shared" si="26"/>
        <v>0</v>
      </c>
      <c r="P142" s="312">
        <f t="shared" si="27"/>
        <v>285.41666666666669</v>
      </c>
      <c r="Q142" s="312">
        <f t="shared" si="28"/>
        <v>0</v>
      </c>
      <c r="R142" s="312">
        <f t="shared" si="31"/>
        <v>0</v>
      </c>
      <c r="S142" s="160">
        <f>IF(AND('Total income package'!$A$8=TRUE,OR(F142="Yes",G142="Yes",H142="Yes")),SUM(J142:N142)-R142,0)</f>
        <v>0</v>
      </c>
    </row>
    <row r="143" spans="1:19" x14ac:dyDescent="0.25">
      <c r="A143" s="6">
        <v>69000</v>
      </c>
      <c r="B143" s="7">
        <f t="shared" si="22"/>
        <v>5750</v>
      </c>
      <c r="C143" s="7">
        <f>'Total income package'!$D$80</f>
        <v>0</v>
      </c>
      <c r="D143" s="7">
        <f t="shared" si="29"/>
        <v>5750</v>
      </c>
      <c r="E143" s="65">
        <f t="shared" si="30"/>
        <v>3.1885397412199632</v>
      </c>
      <c r="F143" s="65" t="str">
        <f t="shared" si="23"/>
        <v>No</v>
      </c>
      <c r="G143" s="65" t="str">
        <f t="shared" si="24"/>
        <v>No</v>
      </c>
      <c r="H143" s="301" t="str">
        <f>IF(OR('TANF-VIEW'!L147&gt;0,'TANF-VIEW'!T147&gt;0),"Yes","No")</f>
        <v>No</v>
      </c>
      <c r="I143" s="63">
        <f t="shared" si="25"/>
        <v>0</v>
      </c>
      <c r="J143" s="6">
        <f>(IF(B143&gt;$N$2,0,VLOOKUP('Total income package'!$B$3,'Location specific data'!$A$3:$AO$135,33,FALSE))*$C$2)*20</f>
        <v>0</v>
      </c>
      <c r="K143" s="6">
        <f>IF(B143&gt;$N$2,0,VLOOKUP('Total income package'!$B$3,'Location specific data'!$A$3:$AO$135,34,FALSE))*$D$2*20</f>
        <v>0</v>
      </c>
      <c r="L143" s="6">
        <f>IF(B143&gt;$N$2,0,VLOOKUP('Total income package'!$B$3,'Location specific data'!$A$3:$AO$135,35,FALSE))*$E$2*20</f>
        <v>0</v>
      </c>
      <c r="M143" s="6">
        <f>IF(B143&gt;$N$2,0,VLOOKUP('Total income package'!$B$3,'Location specific data'!$A$3:$AO$135,36,FALSE))*$F$2*20</f>
        <v>0</v>
      </c>
      <c r="N143" s="6">
        <f>IF(B143&gt;$N$2,0,VLOOKUP('Total income package'!$B$3,'Location specific data'!$A$3:$AO$135,37,FALSE))*($G$2+$H$2)*20</f>
        <v>0</v>
      </c>
      <c r="O143" s="6">
        <f t="shared" si="26"/>
        <v>0</v>
      </c>
      <c r="P143" s="312">
        <f t="shared" si="27"/>
        <v>287.5</v>
      </c>
      <c r="Q143" s="312">
        <f t="shared" si="28"/>
        <v>0</v>
      </c>
      <c r="R143" s="312">
        <f t="shared" si="31"/>
        <v>0</v>
      </c>
      <c r="S143" s="160">
        <f>IF(AND('Total income package'!$A$8=TRUE,OR(F143="Yes",G143="Yes",H143="Yes")),SUM(J143:N143)-R143,0)</f>
        <v>0</v>
      </c>
    </row>
    <row r="144" spans="1:19" x14ac:dyDescent="0.25">
      <c r="A144" s="6">
        <v>69500</v>
      </c>
      <c r="B144" s="7">
        <f t="shared" si="22"/>
        <v>5791.666666666667</v>
      </c>
      <c r="C144" s="7">
        <f>'Total income package'!$D$80</f>
        <v>0</v>
      </c>
      <c r="D144" s="7">
        <f t="shared" si="29"/>
        <v>5791.666666666667</v>
      </c>
      <c r="E144" s="65">
        <f t="shared" si="30"/>
        <v>3.2116451016635863</v>
      </c>
      <c r="F144" s="65" t="str">
        <f t="shared" si="23"/>
        <v>No</v>
      </c>
      <c r="G144" s="65" t="str">
        <f t="shared" si="24"/>
        <v>No</v>
      </c>
      <c r="H144" s="301" t="str">
        <f>IF(OR('TANF-VIEW'!L148&gt;0,'TANF-VIEW'!T148&gt;0),"Yes","No")</f>
        <v>No</v>
      </c>
      <c r="I144" s="63">
        <f t="shared" si="25"/>
        <v>0</v>
      </c>
      <c r="J144" s="6">
        <f>(IF(B144&gt;$N$2,0,VLOOKUP('Total income package'!$B$3,'Location specific data'!$A$3:$AO$135,33,FALSE))*$C$2)*20</f>
        <v>0</v>
      </c>
      <c r="K144" s="6">
        <f>IF(B144&gt;$N$2,0,VLOOKUP('Total income package'!$B$3,'Location specific data'!$A$3:$AO$135,34,FALSE))*$D$2*20</f>
        <v>0</v>
      </c>
      <c r="L144" s="6">
        <f>IF(B144&gt;$N$2,0,VLOOKUP('Total income package'!$B$3,'Location specific data'!$A$3:$AO$135,35,FALSE))*$E$2*20</f>
        <v>0</v>
      </c>
      <c r="M144" s="6">
        <f>IF(B144&gt;$N$2,0,VLOOKUP('Total income package'!$B$3,'Location specific data'!$A$3:$AO$135,36,FALSE))*$F$2*20</f>
        <v>0</v>
      </c>
      <c r="N144" s="6">
        <f>IF(B144&gt;$N$2,0,VLOOKUP('Total income package'!$B$3,'Location specific data'!$A$3:$AO$135,37,FALSE))*($G$2+$H$2)*20</f>
        <v>0</v>
      </c>
      <c r="O144" s="6">
        <f t="shared" si="26"/>
        <v>0</v>
      </c>
      <c r="P144" s="312">
        <f t="shared" si="27"/>
        <v>289.58333333333337</v>
      </c>
      <c r="Q144" s="312">
        <f t="shared" si="28"/>
        <v>0</v>
      </c>
      <c r="R144" s="312">
        <f t="shared" si="31"/>
        <v>0</v>
      </c>
      <c r="S144" s="160">
        <f>IF(AND('Total income package'!$A$8=TRUE,OR(F144="Yes",G144="Yes",H144="Yes")),SUM(J144:N144)-R144,0)</f>
        <v>0</v>
      </c>
    </row>
    <row r="145" spans="1:19" x14ac:dyDescent="0.25">
      <c r="A145" s="6">
        <v>70000</v>
      </c>
      <c r="B145" s="7">
        <f t="shared" si="22"/>
        <v>5833.333333333333</v>
      </c>
      <c r="C145" s="7">
        <f>'Total income package'!$D$80</f>
        <v>0</v>
      </c>
      <c r="D145" s="7">
        <f t="shared" si="29"/>
        <v>5833.333333333333</v>
      </c>
      <c r="E145" s="65">
        <f t="shared" si="30"/>
        <v>3.234750462107209</v>
      </c>
      <c r="F145" s="65" t="str">
        <f t="shared" si="23"/>
        <v>No</v>
      </c>
      <c r="G145" s="65" t="str">
        <f t="shared" si="24"/>
        <v>No</v>
      </c>
      <c r="H145" s="301" t="str">
        <f>IF(OR('TANF-VIEW'!L149&gt;0,'TANF-VIEW'!T149&gt;0),"Yes","No")</f>
        <v>No</v>
      </c>
      <c r="I145" s="63">
        <f t="shared" si="25"/>
        <v>0</v>
      </c>
      <c r="J145" s="6">
        <f>(IF(B145&gt;$N$2,0,VLOOKUP('Total income package'!$B$3,'Location specific data'!$A$3:$AO$135,33,FALSE))*$C$2)*20</f>
        <v>0</v>
      </c>
      <c r="K145" s="6">
        <f>IF(B145&gt;$N$2,0,VLOOKUP('Total income package'!$B$3,'Location specific data'!$A$3:$AO$135,34,FALSE))*$D$2*20</f>
        <v>0</v>
      </c>
      <c r="L145" s="6">
        <f>IF(B145&gt;$N$2,0,VLOOKUP('Total income package'!$B$3,'Location specific data'!$A$3:$AO$135,35,FALSE))*$E$2*20</f>
        <v>0</v>
      </c>
      <c r="M145" s="6">
        <f>IF(B145&gt;$N$2,0,VLOOKUP('Total income package'!$B$3,'Location specific data'!$A$3:$AO$135,36,FALSE))*$F$2*20</f>
        <v>0</v>
      </c>
      <c r="N145" s="6">
        <f>IF(B145&gt;$N$2,0,VLOOKUP('Total income package'!$B$3,'Location specific data'!$A$3:$AO$135,37,FALSE))*($G$2+$H$2)*20</f>
        <v>0</v>
      </c>
      <c r="O145" s="6">
        <f t="shared" si="26"/>
        <v>0</v>
      </c>
      <c r="P145" s="312">
        <f t="shared" si="27"/>
        <v>291.66666666666669</v>
      </c>
      <c r="Q145" s="312">
        <f t="shared" si="28"/>
        <v>0</v>
      </c>
      <c r="R145" s="312">
        <f t="shared" si="31"/>
        <v>0</v>
      </c>
      <c r="S145" s="160">
        <f>IF(AND('Total income package'!$A$8=TRUE,OR(F145="Yes",G145="Yes",H145="Yes")),SUM(J145:N145)-R145,0)</f>
        <v>0</v>
      </c>
    </row>
    <row r="146" spans="1:19" x14ac:dyDescent="0.25">
      <c r="A146" s="6">
        <v>70500</v>
      </c>
      <c r="B146" s="7">
        <f t="shared" si="22"/>
        <v>5875</v>
      </c>
      <c r="C146" s="7">
        <f>'Total income package'!$D$80</f>
        <v>0</v>
      </c>
      <c r="D146" s="7">
        <f t="shared" si="29"/>
        <v>5875</v>
      </c>
      <c r="E146" s="65">
        <f t="shared" si="30"/>
        <v>3.2578558225508321</v>
      </c>
      <c r="F146" s="65" t="str">
        <f t="shared" si="23"/>
        <v>No</v>
      </c>
      <c r="G146" s="65" t="str">
        <f t="shared" si="24"/>
        <v>No</v>
      </c>
      <c r="H146" s="301" t="str">
        <f>IF(OR('TANF-VIEW'!L150&gt;0,'TANF-VIEW'!T150&gt;0),"Yes","No")</f>
        <v>No</v>
      </c>
      <c r="I146" s="63">
        <f t="shared" si="25"/>
        <v>0</v>
      </c>
      <c r="J146" s="6">
        <f>(IF(B146&gt;$N$2,0,VLOOKUP('Total income package'!$B$3,'Location specific data'!$A$3:$AO$135,33,FALSE))*$C$2)*20</f>
        <v>0</v>
      </c>
      <c r="K146" s="6">
        <f>IF(B146&gt;$N$2,0,VLOOKUP('Total income package'!$B$3,'Location specific data'!$A$3:$AO$135,34,FALSE))*$D$2*20</f>
        <v>0</v>
      </c>
      <c r="L146" s="6">
        <f>IF(B146&gt;$N$2,0,VLOOKUP('Total income package'!$B$3,'Location specific data'!$A$3:$AO$135,35,FALSE))*$E$2*20</f>
        <v>0</v>
      </c>
      <c r="M146" s="6">
        <f>IF(B146&gt;$N$2,0,VLOOKUP('Total income package'!$B$3,'Location specific data'!$A$3:$AO$135,36,FALSE))*$F$2*20</f>
        <v>0</v>
      </c>
      <c r="N146" s="6">
        <f>IF(B146&gt;$N$2,0,VLOOKUP('Total income package'!$B$3,'Location specific data'!$A$3:$AO$135,37,FALSE))*($G$2+$H$2)*20</f>
        <v>0</v>
      </c>
      <c r="O146" s="6">
        <f t="shared" si="26"/>
        <v>0</v>
      </c>
      <c r="P146" s="312">
        <f t="shared" si="27"/>
        <v>293.75</v>
      </c>
      <c r="Q146" s="312">
        <f t="shared" si="28"/>
        <v>0</v>
      </c>
      <c r="R146" s="312">
        <f t="shared" si="31"/>
        <v>0</v>
      </c>
      <c r="S146" s="160">
        <f>IF(AND('Total income package'!$A$8=TRUE,OR(F146="Yes",G146="Yes",H146="Yes")),SUM(J146:N146)-R146,0)</f>
        <v>0</v>
      </c>
    </row>
    <row r="147" spans="1:19" x14ac:dyDescent="0.25">
      <c r="A147" s="6">
        <v>71000</v>
      </c>
      <c r="B147" s="7">
        <f t="shared" si="22"/>
        <v>5916.666666666667</v>
      </c>
      <c r="C147" s="7">
        <f>'Total income package'!$D$80</f>
        <v>0</v>
      </c>
      <c r="D147" s="7">
        <f t="shared" si="29"/>
        <v>5916.666666666667</v>
      </c>
      <c r="E147" s="65">
        <f t="shared" si="30"/>
        <v>3.2809611829944552</v>
      </c>
      <c r="F147" s="65" t="str">
        <f t="shared" si="23"/>
        <v>No</v>
      </c>
      <c r="G147" s="65" t="str">
        <f t="shared" si="24"/>
        <v>No</v>
      </c>
      <c r="H147" s="301" t="str">
        <f>IF(OR('TANF-VIEW'!L151&gt;0,'TANF-VIEW'!T151&gt;0),"Yes","No")</f>
        <v>No</v>
      </c>
      <c r="I147" s="63">
        <f t="shared" si="25"/>
        <v>0</v>
      </c>
      <c r="J147" s="6">
        <f>(IF(B147&gt;$N$2,0,VLOOKUP('Total income package'!$B$3,'Location specific data'!$A$3:$AO$135,33,FALSE))*$C$2)*20</f>
        <v>0</v>
      </c>
      <c r="K147" s="6">
        <f>IF(B147&gt;$N$2,0,VLOOKUP('Total income package'!$B$3,'Location specific data'!$A$3:$AO$135,34,FALSE))*$D$2*20</f>
        <v>0</v>
      </c>
      <c r="L147" s="6">
        <f>IF(B147&gt;$N$2,0,VLOOKUP('Total income package'!$B$3,'Location specific data'!$A$3:$AO$135,35,FALSE))*$E$2*20</f>
        <v>0</v>
      </c>
      <c r="M147" s="6">
        <f>IF(B147&gt;$N$2,0,VLOOKUP('Total income package'!$B$3,'Location specific data'!$A$3:$AO$135,36,FALSE))*$F$2*20</f>
        <v>0</v>
      </c>
      <c r="N147" s="6">
        <f>IF(B147&gt;$N$2,0,VLOOKUP('Total income package'!$B$3,'Location specific data'!$A$3:$AO$135,37,FALSE))*($G$2+$H$2)*20</f>
        <v>0</v>
      </c>
      <c r="O147" s="6">
        <f t="shared" si="26"/>
        <v>0</v>
      </c>
      <c r="P147" s="312">
        <f t="shared" si="27"/>
        <v>295.83333333333337</v>
      </c>
      <c r="Q147" s="312">
        <f t="shared" si="28"/>
        <v>0</v>
      </c>
      <c r="R147" s="312">
        <f t="shared" si="31"/>
        <v>0</v>
      </c>
      <c r="S147" s="160">
        <f>IF(AND('Total income package'!$A$8=TRUE,OR(F147="Yes",G147="Yes",H147="Yes")),SUM(J147:N147)-R147,0)</f>
        <v>0</v>
      </c>
    </row>
    <row r="148" spans="1:19" x14ac:dyDescent="0.25">
      <c r="A148" s="6">
        <v>71500</v>
      </c>
      <c r="B148" s="7">
        <f t="shared" si="22"/>
        <v>5958.333333333333</v>
      </c>
      <c r="C148" s="7">
        <f>'Total income package'!$D$80</f>
        <v>0</v>
      </c>
      <c r="D148" s="7">
        <f t="shared" si="29"/>
        <v>5958.333333333333</v>
      </c>
      <c r="E148" s="65">
        <f t="shared" si="30"/>
        <v>3.3040665434380778</v>
      </c>
      <c r="F148" s="65" t="str">
        <f t="shared" si="23"/>
        <v>No</v>
      </c>
      <c r="G148" s="65" t="str">
        <f t="shared" si="24"/>
        <v>No</v>
      </c>
      <c r="H148" s="301" t="str">
        <f>IF(OR('TANF-VIEW'!L152&gt;0,'TANF-VIEW'!T152&gt;0),"Yes","No")</f>
        <v>No</v>
      </c>
      <c r="I148" s="63">
        <f t="shared" si="25"/>
        <v>0</v>
      </c>
      <c r="J148" s="6">
        <f>(IF(B148&gt;$N$2,0,VLOOKUP('Total income package'!$B$3,'Location specific data'!$A$3:$AO$135,33,FALSE))*$C$2)*20</f>
        <v>0</v>
      </c>
      <c r="K148" s="6">
        <f>IF(B148&gt;$N$2,0,VLOOKUP('Total income package'!$B$3,'Location specific data'!$A$3:$AO$135,34,FALSE))*$D$2*20</f>
        <v>0</v>
      </c>
      <c r="L148" s="6">
        <f>IF(B148&gt;$N$2,0,VLOOKUP('Total income package'!$B$3,'Location specific data'!$A$3:$AO$135,35,FALSE))*$E$2*20</f>
        <v>0</v>
      </c>
      <c r="M148" s="6">
        <f>IF(B148&gt;$N$2,0,VLOOKUP('Total income package'!$B$3,'Location specific data'!$A$3:$AO$135,36,FALSE))*$F$2*20</f>
        <v>0</v>
      </c>
      <c r="N148" s="6">
        <f>IF(B148&gt;$N$2,0,VLOOKUP('Total income package'!$B$3,'Location specific data'!$A$3:$AO$135,37,FALSE))*($G$2+$H$2)*20</f>
        <v>0</v>
      </c>
      <c r="O148" s="6">
        <f t="shared" si="26"/>
        <v>0</v>
      </c>
      <c r="P148" s="312">
        <f t="shared" si="27"/>
        <v>297.91666666666669</v>
      </c>
      <c r="Q148" s="312">
        <f t="shared" si="28"/>
        <v>0</v>
      </c>
      <c r="R148" s="312">
        <f t="shared" si="31"/>
        <v>0</v>
      </c>
      <c r="S148" s="160">
        <f>IF(AND('Total income package'!$A$8=TRUE,OR(F148="Yes",G148="Yes",H148="Yes")),SUM(J148:N148)-R148,0)</f>
        <v>0</v>
      </c>
    </row>
    <row r="149" spans="1:19" x14ac:dyDescent="0.25">
      <c r="A149" s="6">
        <v>72000</v>
      </c>
      <c r="B149" s="7">
        <f t="shared" si="22"/>
        <v>6000</v>
      </c>
      <c r="C149" s="7">
        <f>'Total income package'!$D$80</f>
        <v>0</v>
      </c>
      <c r="D149" s="7">
        <f t="shared" si="29"/>
        <v>6000</v>
      </c>
      <c r="E149" s="65">
        <f t="shared" si="30"/>
        <v>3.3271719038817005</v>
      </c>
      <c r="F149" s="65" t="str">
        <f t="shared" si="23"/>
        <v>No</v>
      </c>
      <c r="G149" s="65" t="str">
        <f t="shared" si="24"/>
        <v>No</v>
      </c>
      <c r="H149" s="301" t="str">
        <f>IF(OR('TANF-VIEW'!L153&gt;0,'TANF-VIEW'!T153&gt;0),"Yes","No")</f>
        <v>No</v>
      </c>
      <c r="I149" s="63">
        <f t="shared" si="25"/>
        <v>0</v>
      </c>
      <c r="J149" s="6">
        <f>(IF(B149&gt;$N$2,0,VLOOKUP('Total income package'!$B$3,'Location specific data'!$A$3:$AO$135,33,FALSE))*$C$2)*20</f>
        <v>0</v>
      </c>
      <c r="K149" s="6">
        <f>IF(B149&gt;$N$2,0,VLOOKUP('Total income package'!$B$3,'Location specific data'!$A$3:$AO$135,34,FALSE))*$D$2*20</f>
        <v>0</v>
      </c>
      <c r="L149" s="6">
        <f>IF(B149&gt;$N$2,0,VLOOKUP('Total income package'!$B$3,'Location specific data'!$A$3:$AO$135,35,FALSE))*$E$2*20</f>
        <v>0</v>
      </c>
      <c r="M149" s="6">
        <f>IF(B149&gt;$N$2,0,VLOOKUP('Total income package'!$B$3,'Location specific data'!$A$3:$AO$135,36,FALSE))*$F$2*20</f>
        <v>0</v>
      </c>
      <c r="N149" s="6">
        <f>IF(B149&gt;$N$2,0,VLOOKUP('Total income package'!$B$3,'Location specific data'!$A$3:$AO$135,37,FALSE))*($G$2+$H$2)*20</f>
        <v>0</v>
      </c>
      <c r="O149" s="6">
        <f t="shared" si="26"/>
        <v>0</v>
      </c>
      <c r="P149" s="312">
        <f t="shared" si="27"/>
        <v>300</v>
      </c>
      <c r="Q149" s="312">
        <f t="shared" si="28"/>
        <v>0</v>
      </c>
      <c r="R149" s="312">
        <f t="shared" si="31"/>
        <v>0</v>
      </c>
      <c r="S149" s="160">
        <f>IF(AND('Total income package'!$A$8=TRUE,OR(F149="Yes",G149="Yes",H149="Yes")),SUM(J149:N149)-R149,0)</f>
        <v>0</v>
      </c>
    </row>
    <row r="150" spans="1:19" x14ac:dyDescent="0.25">
      <c r="A150" s="6">
        <v>72500</v>
      </c>
      <c r="B150" s="7">
        <f t="shared" si="22"/>
        <v>6041.666666666667</v>
      </c>
      <c r="C150" s="7">
        <f>'Total income package'!$D$80</f>
        <v>0</v>
      </c>
      <c r="D150" s="7">
        <f t="shared" si="29"/>
        <v>6041.666666666667</v>
      </c>
      <c r="E150" s="65">
        <f t="shared" si="30"/>
        <v>3.3502772643253236</v>
      </c>
      <c r="F150" s="65" t="str">
        <f t="shared" si="23"/>
        <v>No</v>
      </c>
      <c r="G150" s="65" t="str">
        <f t="shared" si="24"/>
        <v>No</v>
      </c>
      <c r="H150" s="301" t="str">
        <f>IF(OR('TANF-VIEW'!L154&gt;0,'TANF-VIEW'!T154&gt;0),"Yes","No")</f>
        <v>No</v>
      </c>
      <c r="I150" s="63">
        <f t="shared" si="25"/>
        <v>0</v>
      </c>
      <c r="J150" s="6">
        <f>(IF(B150&gt;$N$2,0,VLOOKUP('Total income package'!$B$3,'Location specific data'!$A$3:$AO$135,33,FALSE))*$C$2)*20</f>
        <v>0</v>
      </c>
      <c r="K150" s="6">
        <f>IF(B150&gt;$N$2,0,VLOOKUP('Total income package'!$B$3,'Location specific data'!$A$3:$AO$135,34,FALSE))*$D$2*20</f>
        <v>0</v>
      </c>
      <c r="L150" s="6">
        <f>IF(B150&gt;$N$2,0,VLOOKUP('Total income package'!$B$3,'Location specific data'!$A$3:$AO$135,35,FALSE))*$E$2*20</f>
        <v>0</v>
      </c>
      <c r="M150" s="6">
        <f>IF(B150&gt;$N$2,0,VLOOKUP('Total income package'!$B$3,'Location specific data'!$A$3:$AO$135,36,FALSE))*$F$2*20</f>
        <v>0</v>
      </c>
      <c r="N150" s="6">
        <f>IF(B150&gt;$N$2,0,VLOOKUP('Total income package'!$B$3,'Location specific data'!$A$3:$AO$135,37,FALSE))*($G$2+$H$2)*20</f>
        <v>0</v>
      </c>
      <c r="O150" s="6">
        <f t="shared" si="26"/>
        <v>0</v>
      </c>
      <c r="P150" s="312">
        <f t="shared" si="27"/>
        <v>302.08333333333337</v>
      </c>
      <c r="Q150" s="312">
        <f t="shared" si="28"/>
        <v>0</v>
      </c>
      <c r="R150" s="312">
        <f t="shared" si="31"/>
        <v>0</v>
      </c>
      <c r="S150" s="160">
        <f>IF(AND('Total income package'!$A$8=TRUE,OR(F150="Yes",G150="Yes",H150="Yes")),SUM(J150:N150)-R150,0)</f>
        <v>0</v>
      </c>
    </row>
    <row r="151" spans="1:19" x14ac:dyDescent="0.25">
      <c r="A151" s="6">
        <v>73000</v>
      </c>
      <c r="B151" s="7">
        <f t="shared" si="22"/>
        <v>6083.333333333333</v>
      </c>
      <c r="C151" s="7">
        <f>'Total income package'!$D$80</f>
        <v>0</v>
      </c>
      <c r="D151" s="7">
        <f t="shared" si="29"/>
        <v>6083.333333333333</v>
      </c>
      <c r="E151" s="65">
        <f t="shared" si="30"/>
        <v>3.3733826247689462</v>
      </c>
      <c r="F151" s="65" t="str">
        <f t="shared" si="23"/>
        <v>No</v>
      </c>
      <c r="G151" s="65" t="str">
        <f t="shared" si="24"/>
        <v>No</v>
      </c>
      <c r="H151" s="301" t="str">
        <f>IF(OR('TANF-VIEW'!L155&gt;0,'TANF-VIEW'!T155&gt;0),"Yes","No")</f>
        <v>No</v>
      </c>
      <c r="I151" s="63">
        <f t="shared" si="25"/>
        <v>0</v>
      </c>
      <c r="J151" s="6">
        <f>(IF(B151&gt;$N$2,0,VLOOKUP('Total income package'!$B$3,'Location specific data'!$A$3:$AO$135,33,FALSE))*$C$2)*20</f>
        <v>0</v>
      </c>
      <c r="K151" s="6">
        <f>IF(B151&gt;$N$2,0,VLOOKUP('Total income package'!$B$3,'Location specific data'!$A$3:$AO$135,34,FALSE))*$D$2*20</f>
        <v>0</v>
      </c>
      <c r="L151" s="6">
        <f>IF(B151&gt;$N$2,0,VLOOKUP('Total income package'!$B$3,'Location specific data'!$A$3:$AO$135,35,FALSE))*$E$2*20</f>
        <v>0</v>
      </c>
      <c r="M151" s="6">
        <f>IF(B151&gt;$N$2,0,VLOOKUP('Total income package'!$B$3,'Location specific data'!$A$3:$AO$135,36,FALSE))*$F$2*20</f>
        <v>0</v>
      </c>
      <c r="N151" s="6">
        <f>IF(B151&gt;$N$2,0,VLOOKUP('Total income package'!$B$3,'Location specific data'!$A$3:$AO$135,37,FALSE))*($G$2+$H$2)*20</f>
        <v>0</v>
      </c>
      <c r="O151" s="6">
        <f t="shared" si="26"/>
        <v>0</v>
      </c>
      <c r="P151" s="312">
        <f t="shared" si="27"/>
        <v>304.16666666666669</v>
      </c>
      <c r="Q151" s="312">
        <f t="shared" si="28"/>
        <v>0</v>
      </c>
      <c r="R151" s="312">
        <f t="shared" si="31"/>
        <v>0</v>
      </c>
      <c r="S151" s="160">
        <f>IF(AND('Total income package'!$A$8=TRUE,OR(F151="Yes",G151="Yes",H151="Yes")),SUM(J151:N151)-R151,0)</f>
        <v>0</v>
      </c>
    </row>
    <row r="152" spans="1:19" x14ac:dyDescent="0.25">
      <c r="A152" s="6">
        <v>73500</v>
      </c>
      <c r="B152" s="7">
        <f t="shared" si="22"/>
        <v>6125</v>
      </c>
      <c r="C152" s="7">
        <f>'Total income package'!$D$80</f>
        <v>0</v>
      </c>
      <c r="D152" s="7">
        <f t="shared" si="29"/>
        <v>6125</v>
      </c>
      <c r="E152" s="65">
        <f t="shared" si="30"/>
        <v>3.3964879852125693</v>
      </c>
      <c r="F152" s="65" t="str">
        <f t="shared" si="23"/>
        <v>No</v>
      </c>
      <c r="G152" s="65" t="str">
        <f t="shared" si="24"/>
        <v>No</v>
      </c>
      <c r="H152" s="301" t="str">
        <f>IF(OR('TANF-VIEW'!L156&gt;0,'TANF-VIEW'!T156&gt;0),"Yes","No")</f>
        <v>No</v>
      </c>
      <c r="I152" s="63">
        <f t="shared" si="25"/>
        <v>0</v>
      </c>
      <c r="J152" s="6">
        <f>(IF(B152&gt;$N$2,0,VLOOKUP('Total income package'!$B$3,'Location specific data'!$A$3:$AO$135,33,FALSE))*$C$2)*20</f>
        <v>0</v>
      </c>
      <c r="K152" s="6">
        <f>IF(B152&gt;$N$2,0,VLOOKUP('Total income package'!$B$3,'Location specific data'!$A$3:$AO$135,34,FALSE))*$D$2*20</f>
        <v>0</v>
      </c>
      <c r="L152" s="6">
        <f>IF(B152&gt;$N$2,0,VLOOKUP('Total income package'!$B$3,'Location specific data'!$A$3:$AO$135,35,FALSE))*$E$2*20</f>
        <v>0</v>
      </c>
      <c r="M152" s="6">
        <f>IF(B152&gt;$N$2,0,VLOOKUP('Total income package'!$B$3,'Location specific data'!$A$3:$AO$135,36,FALSE))*$F$2*20</f>
        <v>0</v>
      </c>
      <c r="N152" s="6">
        <f>IF(B152&gt;$N$2,0,VLOOKUP('Total income package'!$B$3,'Location specific data'!$A$3:$AO$135,37,FALSE))*($G$2+$H$2)*20</f>
        <v>0</v>
      </c>
      <c r="O152" s="6">
        <f t="shared" si="26"/>
        <v>0</v>
      </c>
      <c r="P152" s="312">
        <f t="shared" si="27"/>
        <v>306.25</v>
      </c>
      <c r="Q152" s="312">
        <f t="shared" si="28"/>
        <v>0</v>
      </c>
      <c r="R152" s="312">
        <f t="shared" si="31"/>
        <v>0</v>
      </c>
      <c r="S152" s="160">
        <f>IF(AND('Total income package'!$A$8=TRUE,OR(F152="Yes",G152="Yes",H152="Yes")),SUM(J152:N152)-R152,0)</f>
        <v>0</v>
      </c>
    </row>
    <row r="153" spans="1:19" x14ac:dyDescent="0.25">
      <c r="A153" s="6">
        <v>74000</v>
      </c>
      <c r="B153" s="7">
        <f t="shared" si="22"/>
        <v>6166.666666666667</v>
      </c>
      <c r="C153" s="7">
        <f>'Total income package'!$D$80</f>
        <v>0</v>
      </c>
      <c r="D153" s="7">
        <f t="shared" si="29"/>
        <v>6166.666666666667</v>
      </c>
      <c r="E153" s="65">
        <f t="shared" si="30"/>
        <v>3.4195933456561924</v>
      </c>
      <c r="F153" s="65" t="str">
        <f t="shared" si="23"/>
        <v>No</v>
      </c>
      <c r="G153" s="65" t="str">
        <f t="shared" si="24"/>
        <v>No</v>
      </c>
      <c r="H153" s="301" t="str">
        <f>IF(OR('TANF-VIEW'!L157&gt;0,'TANF-VIEW'!T157&gt;0),"Yes","No")</f>
        <v>No</v>
      </c>
      <c r="I153" s="63">
        <f t="shared" si="25"/>
        <v>0</v>
      </c>
      <c r="J153" s="6">
        <f>(IF(B153&gt;$N$2,0,VLOOKUP('Total income package'!$B$3,'Location specific data'!$A$3:$AO$135,33,FALSE))*$C$2)*20</f>
        <v>0</v>
      </c>
      <c r="K153" s="6">
        <f>IF(B153&gt;$N$2,0,VLOOKUP('Total income package'!$B$3,'Location specific data'!$A$3:$AO$135,34,FALSE))*$D$2*20</f>
        <v>0</v>
      </c>
      <c r="L153" s="6">
        <f>IF(B153&gt;$N$2,0,VLOOKUP('Total income package'!$B$3,'Location specific data'!$A$3:$AO$135,35,FALSE))*$E$2*20</f>
        <v>0</v>
      </c>
      <c r="M153" s="6">
        <f>IF(B153&gt;$N$2,0,VLOOKUP('Total income package'!$B$3,'Location specific data'!$A$3:$AO$135,36,FALSE))*$F$2*20</f>
        <v>0</v>
      </c>
      <c r="N153" s="6">
        <f>IF(B153&gt;$N$2,0,VLOOKUP('Total income package'!$B$3,'Location specific data'!$A$3:$AO$135,37,FALSE))*($G$2+$H$2)*20</f>
        <v>0</v>
      </c>
      <c r="O153" s="6">
        <f t="shared" si="26"/>
        <v>0</v>
      </c>
      <c r="P153" s="312">
        <f t="shared" si="27"/>
        <v>308.33333333333337</v>
      </c>
      <c r="Q153" s="312">
        <f t="shared" si="28"/>
        <v>0</v>
      </c>
      <c r="R153" s="312">
        <f t="shared" si="31"/>
        <v>0</v>
      </c>
      <c r="S153" s="160">
        <f>IF(AND('Total income package'!$A$8=TRUE,OR(F153="Yes",G153="Yes",H153="Yes")),SUM(J153:N153)-R153,0)</f>
        <v>0</v>
      </c>
    </row>
    <row r="154" spans="1:19" x14ac:dyDescent="0.25">
      <c r="A154" s="6">
        <v>74500</v>
      </c>
      <c r="B154" s="7">
        <f t="shared" si="22"/>
        <v>6208.333333333333</v>
      </c>
      <c r="C154" s="7">
        <f>'Total income package'!$D$80</f>
        <v>0</v>
      </c>
      <c r="D154" s="7">
        <f t="shared" si="29"/>
        <v>6208.333333333333</v>
      </c>
      <c r="E154" s="65">
        <f t="shared" si="30"/>
        <v>3.4426987060998151</v>
      </c>
      <c r="F154" s="65" t="str">
        <f t="shared" si="23"/>
        <v>No</v>
      </c>
      <c r="G154" s="65" t="str">
        <f t="shared" si="24"/>
        <v>No</v>
      </c>
      <c r="H154" s="301" t="str">
        <f>IF(OR('TANF-VIEW'!L158&gt;0,'TANF-VIEW'!T158&gt;0),"Yes","No")</f>
        <v>No</v>
      </c>
      <c r="I154" s="63">
        <f t="shared" si="25"/>
        <v>0</v>
      </c>
      <c r="J154" s="6">
        <f>(IF(B154&gt;$N$2,0,VLOOKUP('Total income package'!$B$3,'Location specific data'!$A$3:$AO$135,33,FALSE))*$C$2)*20</f>
        <v>0</v>
      </c>
      <c r="K154" s="6">
        <f>IF(B154&gt;$N$2,0,VLOOKUP('Total income package'!$B$3,'Location specific data'!$A$3:$AO$135,34,FALSE))*$D$2*20</f>
        <v>0</v>
      </c>
      <c r="L154" s="6">
        <f>IF(B154&gt;$N$2,0,VLOOKUP('Total income package'!$B$3,'Location specific data'!$A$3:$AO$135,35,FALSE))*$E$2*20</f>
        <v>0</v>
      </c>
      <c r="M154" s="6">
        <f>IF(B154&gt;$N$2,0,VLOOKUP('Total income package'!$B$3,'Location specific data'!$A$3:$AO$135,36,FALSE))*$F$2*20</f>
        <v>0</v>
      </c>
      <c r="N154" s="6">
        <f>IF(B154&gt;$N$2,0,VLOOKUP('Total income package'!$B$3,'Location specific data'!$A$3:$AO$135,37,FALSE))*($G$2+$H$2)*20</f>
        <v>0</v>
      </c>
      <c r="O154" s="6">
        <f t="shared" si="26"/>
        <v>0</v>
      </c>
      <c r="P154" s="312">
        <f t="shared" si="27"/>
        <v>310.41666666666669</v>
      </c>
      <c r="Q154" s="312">
        <f t="shared" si="28"/>
        <v>0</v>
      </c>
      <c r="R154" s="312">
        <f t="shared" si="31"/>
        <v>0</v>
      </c>
      <c r="S154" s="160">
        <f>IF(AND('Total income package'!$A$8=TRUE,OR(F154="Yes",G154="Yes",H154="Yes")),SUM(J154:N154)-R154,0)</f>
        <v>0</v>
      </c>
    </row>
    <row r="155" spans="1:19" x14ac:dyDescent="0.25">
      <c r="A155" s="6">
        <v>75000</v>
      </c>
      <c r="B155" s="7">
        <f t="shared" si="22"/>
        <v>6250</v>
      </c>
      <c r="C155" s="7">
        <f>'Total income package'!$D$80</f>
        <v>0</v>
      </c>
      <c r="D155" s="7">
        <f t="shared" si="29"/>
        <v>6250</v>
      </c>
      <c r="E155" s="65">
        <f t="shared" si="30"/>
        <v>3.4658040665434382</v>
      </c>
      <c r="F155" s="65" t="str">
        <f t="shared" si="23"/>
        <v>No</v>
      </c>
      <c r="G155" s="65" t="str">
        <f t="shared" si="24"/>
        <v>No</v>
      </c>
      <c r="H155" s="301" t="str">
        <f>IF(OR('TANF-VIEW'!L159&gt;0,'TANF-VIEW'!T159&gt;0),"Yes","No")</f>
        <v>No</v>
      </c>
      <c r="I155" s="63">
        <f t="shared" si="25"/>
        <v>0</v>
      </c>
      <c r="J155" s="6">
        <f>(IF(B155&gt;$N$2,0,VLOOKUP('Total income package'!$B$3,'Location specific data'!$A$3:$AO$135,33,FALSE))*$C$2)*20</f>
        <v>0</v>
      </c>
      <c r="K155" s="6">
        <f>IF(B155&gt;$N$2,0,VLOOKUP('Total income package'!$B$3,'Location specific data'!$A$3:$AO$135,34,FALSE))*$D$2*20</f>
        <v>0</v>
      </c>
      <c r="L155" s="6">
        <f>IF(B155&gt;$N$2,0,VLOOKUP('Total income package'!$B$3,'Location specific data'!$A$3:$AO$135,35,FALSE))*$E$2*20</f>
        <v>0</v>
      </c>
      <c r="M155" s="6">
        <f>IF(B155&gt;$N$2,0,VLOOKUP('Total income package'!$B$3,'Location specific data'!$A$3:$AO$135,36,FALSE))*$F$2*20</f>
        <v>0</v>
      </c>
      <c r="N155" s="6">
        <f>IF(B155&gt;$N$2,0,VLOOKUP('Total income package'!$B$3,'Location specific data'!$A$3:$AO$135,37,FALSE))*($G$2+$H$2)*20</f>
        <v>0</v>
      </c>
      <c r="O155" s="6">
        <f t="shared" si="26"/>
        <v>0</v>
      </c>
      <c r="P155" s="312">
        <f t="shared" si="27"/>
        <v>312.5</v>
      </c>
      <c r="Q155" s="312">
        <f t="shared" si="28"/>
        <v>0</v>
      </c>
      <c r="R155" s="312">
        <f t="shared" si="31"/>
        <v>0</v>
      </c>
      <c r="S155" s="160">
        <f>IF(AND('Total income package'!$A$8=TRUE,OR(F155="Yes",G155="Yes",H155="Yes")),SUM(J155:N155)-R155,0)</f>
        <v>0</v>
      </c>
    </row>
    <row r="156" spans="1:19" x14ac:dyDescent="0.25">
      <c r="A156" s="6">
        <v>75500</v>
      </c>
      <c r="B156" s="7">
        <f t="shared" si="22"/>
        <v>6291.666666666667</v>
      </c>
      <c r="C156" s="7">
        <f>'Total income package'!$D$80</f>
        <v>0</v>
      </c>
      <c r="D156" s="7">
        <f t="shared" si="29"/>
        <v>6291.666666666667</v>
      </c>
      <c r="E156" s="65">
        <f t="shared" si="30"/>
        <v>3.4889094269870613</v>
      </c>
      <c r="F156" s="65" t="str">
        <f t="shared" si="23"/>
        <v>No</v>
      </c>
      <c r="G156" s="65" t="str">
        <f t="shared" si="24"/>
        <v>No</v>
      </c>
      <c r="H156" s="301" t="str">
        <f>IF(OR('TANF-VIEW'!L160&gt;0,'TANF-VIEW'!T160&gt;0),"Yes","No")</f>
        <v>No</v>
      </c>
      <c r="I156" s="63">
        <f t="shared" si="25"/>
        <v>0</v>
      </c>
      <c r="J156" s="6">
        <f>(IF(B156&gt;$N$2,0,VLOOKUP('Total income package'!$B$3,'Location specific data'!$A$3:$AO$135,33,FALSE))*$C$2)*20</f>
        <v>0</v>
      </c>
      <c r="K156" s="6">
        <f>IF(B156&gt;$N$2,0,VLOOKUP('Total income package'!$B$3,'Location specific data'!$A$3:$AO$135,34,FALSE))*$D$2*20</f>
        <v>0</v>
      </c>
      <c r="L156" s="6">
        <f>IF(B156&gt;$N$2,0,VLOOKUP('Total income package'!$B$3,'Location specific data'!$A$3:$AO$135,35,FALSE))*$E$2*20</f>
        <v>0</v>
      </c>
      <c r="M156" s="6">
        <f>IF(B156&gt;$N$2,0,VLOOKUP('Total income package'!$B$3,'Location specific data'!$A$3:$AO$135,36,FALSE))*$F$2*20</f>
        <v>0</v>
      </c>
      <c r="N156" s="6">
        <f>IF(B156&gt;$N$2,0,VLOOKUP('Total income package'!$B$3,'Location specific data'!$A$3:$AO$135,37,FALSE))*($G$2+$H$2)*20</f>
        <v>0</v>
      </c>
      <c r="O156" s="6">
        <f t="shared" si="26"/>
        <v>0</v>
      </c>
      <c r="P156" s="312">
        <f t="shared" si="27"/>
        <v>314.58333333333337</v>
      </c>
      <c r="Q156" s="312">
        <f t="shared" si="28"/>
        <v>0</v>
      </c>
      <c r="R156" s="312">
        <f t="shared" si="31"/>
        <v>0</v>
      </c>
      <c r="S156" s="160">
        <f>IF(AND('Total income package'!$A$8=TRUE,OR(F156="Yes",G156="Yes",H156="Yes")),SUM(J156:N156)-R156,0)</f>
        <v>0</v>
      </c>
    </row>
    <row r="157" spans="1:19" x14ac:dyDescent="0.25">
      <c r="A157" s="6">
        <v>76000</v>
      </c>
      <c r="B157" s="7">
        <f t="shared" si="22"/>
        <v>6333.333333333333</v>
      </c>
      <c r="C157" s="7">
        <f>'Total income package'!$D$80</f>
        <v>0</v>
      </c>
      <c r="D157" s="7">
        <f t="shared" si="29"/>
        <v>6333.333333333333</v>
      </c>
      <c r="E157" s="65">
        <f t="shared" si="30"/>
        <v>3.512014787430684</v>
      </c>
      <c r="F157" s="65" t="str">
        <f t="shared" si="23"/>
        <v>No</v>
      </c>
      <c r="G157" s="65" t="str">
        <f t="shared" si="24"/>
        <v>No</v>
      </c>
      <c r="H157" s="301" t="str">
        <f>IF(OR('TANF-VIEW'!L161&gt;0,'TANF-VIEW'!T161&gt;0),"Yes","No")</f>
        <v>No</v>
      </c>
      <c r="I157" s="63">
        <f t="shared" si="25"/>
        <v>0</v>
      </c>
      <c r="J157" s="6">
        <f>(IF(B157&gt;$N$2,0,VLOOKUP('Total income package'!$B$3,'Location specific data'!$A$3:$AO$135,33,FALSE))*$C$2)*20</f>
        <v>0</v>
      </c>
      <c r="K157" s="6">
        <f>IF(B157&gt;$N$2,0,VLOOKUP('Total income package'!$B$3,'Location specific data'!$A$3:$AO$135,34,FALSE))*$D$2*20</f>
        <v>0</v>
      </c>
      <c r="L157" s="6">
        <f>IF(B157&gt;$N$2,0,VLOOKUP('Total income package'!$B$3,'Location specific data'!$A$3:$AO$135,35,FALSE))*$E$2*20</f>
        <v>0</v>
      </c>
      <c r="M157" s="6">
        <f>IF(B157&gt;$N$2,0,VLOOKUP('Total income package'!$B$3,'Location specific data'!$A$3:$AO$135,36,FALSE))*$F$2*20</f>
        <v>0</v>
      </c>
      <c r="N157" s="6">
        <f>IF(B157&gt;$N$2,0,VLOOKUP('Total income package'!$B$3,'Location specific data'!$A$3:$AO$135,37,FALSE))*($G$2+$H$2)*20</f>
        <v>0</v>
      </c>
      <c r="O157" s="6">
        <f t="shared" si="26"/>
        <v>0</v>
      </c>
      <c r="P157" s="312">
        <f t="shared" si="27"/>
        <v>316.66666666666669</v>
      </c>
      <c r="Q157" s="312">
        <f t="shared" si="28"/>
        <v>0</v>
      </c>
      <c r="R157" s="312">
        <f t="shared" si="31"/>
        <v>0</v>
      </c>
      <c r="S157" s="160">
        <f>IF(AND('Total income package'!$A$8=TRUE,OR(F157="Yes",G157="Yes",H157="Yes")),SUM(J157:N157)-R157,0)</f>
        <v>0</v>
      </c>
    </row>
    <row r="158" spans="1:19" x14ac:dyDescent="0.25">
      <c r="A158" s="6">
        <v>76500</v>
      </c>
      <c r="B158" s="7">
        <f t="shared" si="22"/>
        <v>6375</v>
      </c>
      <c r="C158" s="7">
        <f>'Total income package'!$D$80</f>
        <v>0</v>
      </c>
      <c r="D158" s="7">
        <f t="shared" si="29"/>
        <v>6375</v>
      </c>
      <c r="E158" s="65">
        <f t="shared" si="30"/>
        <v>3.5351201478743071</v>
      </c>
      <c r="F158" s="65" t="str">
        <f t="shared" si="23"/>
        <v>No</v>
      </c>
      <c r="G158" s="65" t="str">
        <f t="shared" si="24"/>
        <v>No</v>
      </c>
      <c r="H158" s="301" t="str">
        <f>IF(OR('TANF-VIEW'!L162&gt;0,'TANF-VIEW'!T162&gt;0),"Yes","No")</f>
        <v>No</v>
      </c>
      <c r="I158" s="63">
        <f t="shared" si="25"/>
        <v>0</v>
      </c>
      <c r="J158" s="6">
        <f>(IF(B158&gt;$N$2,0,VLOOKUP('Total income package'!$B$3,'Location specific data'!$A$3:$AO$135,33,FALSE))*$C$2)*20</f>
        <v>0</v>
      </c>
      <c r="K158" s="6">
        <f>IF(B158&gt;$N$2,0,VLOOKUP('Total income package'!$B$3,'Location specific data'!$A$3:$AO$135,34,FALSE))*$D$2*20</f>
        <v>0</v>
      </c>
      <c r="L158" s="6">
        <f>IF(B158&gt;$N$2,0,VLOOKUP('Total income package'!$B$3,'Location specific data'!$A$3:$AO$135,35,FALSE))*$E$2*20</f>
        <v>0</v>
      </c>
      <c r="M158" s="6">
        <f>IF(B158&gt;$N$2,0,VLOOKUP('Total income package'!$B$3,'Location specific data'!$A$3:$AO$135,36,FALSE))*$F$2*20</f>
        <v>0</v>
      </c>
      <c r="N158" s="6">
        <f>IF(B158&gt;$N$2,0,VLOOKUP('Total income package'!$B$3,'Location specific data'!$A$3:$AO$135,37,FALSE))*($G$2+$H$2)*20</f>
        <v>0</v>
      </c>
      <c r="O158" s="6">
        <f t="shared" si="26"/>
        <v>0</v>
      </c>
      <c r="P158" s="312">
        <f t="shared" si="27"/>
        <v>318.75</v>
      </c>
      <c r="Q158" s="312">
        <f t="shared" si="28"/>
        <v>0</v>
      </c>
      <c r="R158" s="312">
        <f t="shared" si="31"/>
        <v>0</v>
      </c>
      <c r="S158" s="160">
        <f>IF(AND('Total income package'!$A$8=TRUE,OR(F158="Yes",G158="Yes",H158="Yes")),SUM(J158:N158)-R158,0)</f>
        <v>0</v>
      </c>
    </row>
    <row r="159" spans="1:19" x14ac:dyDescent="0.25">
      <c r="A159" s="6">
        <v>77000</v>
      </c>
      <c r="B159" s="7">
        <f t="shared" si="22"/>
        <v>6416.666666666667</v>
      </c>
      <c r="C159" s="7">
        <f>'Total income package'!$D$80</f>
        <v>0</v>
      </c>
      <c r="D159" s="7">
        <f t="shared" si="29"/>
        <v>6416.666666666667</v>
      </c>
      <c r="E159" s="65">
        <f t="shared" si="30"/>
        <v>3.5582255083179302</v>
      </c>
      <c r="F159" s="65" t="str">
        <f t="shared" si="23"/>
        <v>No</v>
      </c>
      <c r="G159" s="65" t="str">
        <f t="shared" si="24"/>
        <v>No</v>
      </c>
      <c r="H159" s="301" t="str">
        <f>IF(OR('TANF-VIEW'!L163&gt;0,'TANF-VIEW'!T163&gt;0),"Yes","No")</f>
        <v>No</v>
      </c>
      <c r="I159" s="63">
        <f t="shared" si="25"/>
        <v>0</v>
      </c>
      <c r="J159" s="6">
        <f>(IF(B159&gt;$N$2,0,VLOOKUP('Total income package'!$B$3,'Location specific data'!$A$3:$AO$135,33,FALSE))*$C$2)*20</f>
        <v>0</v>
      </c>
      <c r="K159" s="6">
        <f>IF(B159&gt;$N$2,0,VLOOKUP('Total income package'!$B$3,'Location specific data'!$A$3:$AO$135,34,FALSE))*$D$2*20</f>
        <v>0</v>
      </c>
      <c r="L159" s="6">
        <f>IF(B159&gt;$N$2,0,VLOOKUP('Total income package'!$B$3,'Location specific data'!$A$3:$AO$135,35,FALSE))*$E$2*20</f>
        <v>0</v>
      </c>
      <c r="M159" s="6">
        <f>IF(B159&gt;$N$2,0,VLOOKUP('Total income package'!$B$3,'Location specific data'!$A$3:$AO$135,36,FALSE))*$F$2*20</f>
        <v>0</v>
      </c>
      <c r="N159" s="6">
        <f>IF(B159&gt;$N$2,0,VLOOKUP('Total income package'!$B$3,'Location specific data'!$A$3:$AO$135,37,FALSE))*($G$2+$H$2)*20</f>
        <v>0</v>
      </c>
      <c r="O159" s="6">
        <f t="shared" si="26"/>
        <v>0</v>
      </c>
      <c r="P159" s="312">
        <f t="shared" si="27"/>
        <v>320.83333333333337</v>
      </c>
      <c r="Q159" s="312">
        <f t="shared" si="28"/>
        <v>0</v>
      </c>
      <c r="R159" s="312">
        <f t="shared" si="31"/>
        <v>0</v>
      </c>
      <c r="S159" s="160">
        <f>IF(AND('Total income package'!$A$8=TRUE,OR(F159="Yes",G159="Yes",H159="Yes")),SUM(J159:N159)-R159,0)</f>
        <v>0</v>
      </c>
    </row>
    <row r="160" spans="1:19" x14ac:dyDescent="0.25">
      <c r="A160" s="6">
        <v>77500</v>
      </c>
      <c r="B160" s="7">
        <f t="shared" si="22"/>
        <v>6458.333333333333</v>
      </c>
      <c r="C160" s="7">
        <f>'Total income package'!$D$80</f>
        <v>0</v>
      </c>
      <c r="D160" s="7">
        <f t="shared" si="29"/>
        <v>6458.333333333333</v>
      </c>
      <c r="E160" s="65">
        <f t="shared" si="30"/>
        <v>3.5813308687615528</v>
      </c>
      <c r="F160" s="65" t="str">
        <f t="shared" si="23"/>
        <v>No</v>
      </c>
      <c r="G160" s="65" t="str">
        <f t="shared" si="24"/>
        <v>No</v>
      </c>
      <c r="H160" s="301" t="str">
        <f>IF(OR('TANF-VIEW'!L164&gt;0,'TANF-VIEW'!T164&gt;0),"Yes","No")</f>
        <v>No</v>
      </c>
      <c r="I160" s="63">
        <f t="shared" si="25"/>
        <v>0</v>
      </c>
      <c r="J160" s="6">
        <f>(IF(B160&gt;$N$2,0,VLOOKUP('Total income package'!$B$3,'Location specific data'!$A$3:$AO$135,33,FALSE))*$C$2)*20</f>
        <v>0</v>
      </c>
      <c r="K160" s="6">
        <f>IF(B160&gt;$N$2,0,VLOOKUP('Total income package'!$B$3,'Location specific data'!$A$3:$AO$135,34,FALSE))*$D$2*20</f>
        <v>0</v>
      </c>
      <c r="L160" s="6">
        <f>IF(B160&gt;$N$2,0,VLOOKUP('Total income package'!$B$3,'Location specific data'!$A$3:$AO$135,35,FALSE))*$E$2*20</f>
        <v>0</v>
      </c>
      <c r="M160" s="6">
        <f>IF(B160&gt;$N$2,0,VLOOKUP('Total income package'!$B$3,'Location specific data'!$A$3:$AO$135,36,FALSE))*$F$2*20</f>
        <v>0</v>
      </c>
      <c r="N160" s="6">
        <f>IF(B160&gt;$N$2,0,VLOOKUP('Total income package'!$B$3,'Location specific data'!$A$3:$AO$135,37,FALSE))*($G$2+$H$2)*20</f>
        <v>0</v>
      </c>
      <c r="O160" s="6">
        <f t="shared" si="26"/>
        <v>0</v>
      </c>
      <c r="P160" s="312">
        <f t="shared" si="27"/>
        <v>322.91666666666669</v>
      </c>
      <c r="Q160" s="312">
        <f t="shared" si="28"/>
        <v>0</v>
      </c>
      <c r="R160" s="312">
        <f t="shared" si="31"/>
        <v>0</v>
      </c>
      <c r="S160" s="160">
        <f>IF(AND('Total income package'!$A$8=TRUE,OR(F160="Yes",G160="Yes",H160="Yes")),SUM(J160:N160)-R160,0)</f>
        <v>0</v>
      </c>
    </row>
    <row r="161" spans="1:19" x14ac:dyDescent="0.25">
      <c r="A161" s="6">
        <v>78000</v>
      </c>
      <c r="B161" s="7">
        <f t="shared" si="22"/>
        <v>6500</v>
      </c>
      <c r="C161" s="7">
        <f>'Total income package'!$D$80</f>
        <v>0</v>
      </c>
      <c r="D161" s="7">
        <f t="shared" si="29"/>
        <v>6500</v>
      </c>
      <c r="E161" s="65">
        <f t="shared" si="30"/>
        <v>3.6044362292051759</v>
      </c>
      <c r="F161" s="65" t="str">
        <f t="shared" si="23"/>
        <v>No</v>
      </c>
      <c r="G161" s="65" t="str">
        <f t="shared" si="24"/>
        <v>No</v>
      </c>
      <c r="H161" s="301" t="str">
        <f>IF(OR('TANF-VIEW'!L165&gt;0,'TANF-VIEW'!T165&gt;0),"Yes","No")</f>
        <v>No</v>
      </c>
      <c r="I161" s="63">
        <f t="shared" si="25"/>
        <v>0</v>
      </c>
      <c r="J161" s="6">
        <f>(IF(B161&gt;$N$2,0,VLOOKUP('Total income package'!$B$3,'Location specific data'!$A$3:$AO$135,33,FALSE))*$C$2)*20</f>
        <v>0</v>
      </c>
      <c r="K161" s="6">
        <f>IF(B161&gt;$N$2,0,VLOOKUP('Total income package'!$B$3,'Location specific data'!$A$3:$AO$135,34,FALSE))*$D$2*20</f>
        <v>0</v>
      </c>
      <c r="L161" s="6">
        <f>IF(B161&gt;$N$2,0,VLOOKUP('Total income package'!$B$3,'Location specific data'!$A$3:$AO$135,35,FALSE))*$E$2*20</f>
        <v>0</v>
      </c>
      <c r="M161" s="6">
        <f>IF(B161&gt;$N$2,0,VLOOKUP('Total income package'!$B$3,'Location specific data'!$A$3:$AO$135,36,FALSE))*$F$2*20</f>
        <v>0</v>
      </c>
      <c r="N161" s="6">
        <f>IF(B161&gt;$N$2,0,VLOOKUP('Total income package'!$B$3,'Location specific data'!$A$3:$AO$135,37,FALSE))*($G$2+$H$2)*20</f>
        <v>0</v>
      </c>
      <c r="O161" s="6">
        <f t="shared" si="26"/>
        <v>0</v>
      </c>
      <c r="P161" s="312">
        <f t="shared" si="27"/>
        <v>325</v>
      </c>
      <c r="Q161" s="312">
        <f t="shared" si="28"/>
        <v>0</v>
      </c>
      <c r="R161" s="312">
        <f t="shared" si="31"/>
        <v>0</v>
      </c>
      <c r="S161" s="160">
        <f>IF(AND('Total income package'!$A$8=TRUE,OR(F161="Yes",G161="Yes",H161="Yes")),SUM(J161:N161)-R161,0)</f>
        <v>0</v>
      </c>
    </row>
    <row r="162" spans="1:19" x14ac:dyDescent="0.25">
      <c r="A162" s="6">
        <v>78500</v>
      </c>
      <c r="B162" s="7">
        <f t="shared" si="22"/>
        <v>6541.666666666667</v>
      </c>
      <c r="C162" s="7">
        <f>'Total income package'!$D$80</f>
        <v>0</v>
      </c>
      <c r="D162" s="7">
        <f t="shared" si="29"/>
        <v>6541.666666666667</v>
      </c>
      <c r="E162" s="65">
        <f t="shared" si="30"/>
        <v>3.627541589648799</v>
      </c>
      <c r="F162" s="65" t="str">
        <f t="shared" si="23"/>
        <v>No</v>
      </c>
      <c r="G162" s="65" t="str">
        <f t="shared" si="24"/>
        <v>No</v>
      </c>
      <c r="H162" s="301" t="str">
        <f>IF(OR('TANF-VIEW'!L166&gt;0,'TANF-VIEW'!T166&gt;0),"Yes","No")</f>
        <v>No</v>
      </c>
      <c r="I162" s="63">
        <f t="shared" si="25"/>
        <v>0</v>
      </c>
      <c r="J162" s="6">
        <f>(IF(B162&gt;$N$2,0,VLOOKUP('Total income package'!$B$3,'Location specific data'!$A$3:$AO$135,33,FALSE))*$C$2)*20</f>
        <v>0</v>
      </c>
      <c r="K162" s="6">
        <f>IF(B162&gt;$N$2,0,VLOOKUP('Total income package'!$B$3,'Location specific data'!$A$3:$AO$135,34,FALSE))*$D$2*20</f>
        <v>0</v>
      </c>
      <c r="L162" s="6">
        <f>IF(B162&gt;$N$2,0,VLOOKUP('Total income package'!$B$3,'Location specific data'!$A$3:$AO$135,35,FALSE))*$E$2*20</f>
        <v>0</v>
      </c>
      <c r="M162" s="6">
        <f>IF(B162&gt;$N$2,0,VLOOKUP('Total income package'!$B$3,'Location specific data'!$A$3:$AO$135,36,FALSE))*$F$2*20</f>
        <v>0</v>
      </c>
      <c r="N162" s="6">
        <f>IF(B162&gt;$N$2,0,VLOOKUP('Total income package'!$B$3,'Location specific data'!$A$3:$AO$135,37,FALSE))*($G$2+$H$2)*20</f>
        <v>0</v>
      </c>
      <c r="O162" s="6">
        <f t="shared" si="26"/>
        <v>0</v>
      </c>
      <c r="P162" s="312">
        <f t="shared" si="27"/>
        <v>327.08333333333337</v>
      </c>
      <c r="Q162" s="312">
        <f t="shared" si="28"/>
        <v>0</v>
      </c>
      <c r="R162" s="312">
        <f t="shared" si="31"/>
        <v>0</v>
      </c>
      <c r="S162" s="160">
        <f>IF(AND('Total income package'!$A$8=TRUE,OR(F162="Yes",G162="Yes",H162="Yes")),SUM(J162:N162)-R162,0)</f>
        <v>0</v>
      </c>
    </row>
    <row r="163" spans="1:19" x14ac:dyDescent="0.25">
      <c r="A163" s="6">
        <v>79000</v>
      </c>
      <c r="B163" s="7">
        <f t="shared" si="22"/>
        <v>6583.333333333333</v>
      </c>
      <c r="C163" s="7">
        <f>'Total income package'!$D$80</f>
        <v>0</v>
      </c>
      <c r="D163" s="7">
        <f t="shared" si="29"/>
        <v>6583.333333333333</v>
      </c>
      <c r="E163" s="65">
        <f t="shared" si="30"/>
        <v>3.6506469500924212</v>
      </c>
      <c r="F163" s="65" t="str">
        <f t="shared" si="23"/>
        <v>No</v>
      </c>
      <c r="G163" s="65" t="str">
        <f t="shared" si="24"/>
        <v>No</v>
      </c>
      <c r="H163" s="301" t="str">
        <f>IF(OR('TANF-VIEW'!L167&gt;0,'TANF-VIEW'!T167&gt;0),"Yes","No")</f>
        <v>No</v>
      </c>
      <c r="I163" s="63">
        <f t="shared" si="25"/>
        <v>0</v>
      </c>
      <c r="J163" s="6">
        <f>(IF(B163&gt;$N$2,0,VLOOKUP('Total income package'!$B$3,'Location specific data'!$A$3:$AO$135,33,FALSE))*$C$2)*20</f>
        <v>0</v>
      </c>
      <c r="K163" s="6">
        <f>IF(B163&gt;$N$2,0,VLOOKUP('Total income package'!$B$3,'Location specific data'!$A$3:$AO$135,34,FALSE))*$D$2*20</f>
        <v>0</v>
      </c>
      <c r="L163" s="6">
        <f>IF(B163&gt;$N$2,0,VLOOKUP('Total income package'!$B$3,'Location specific data'!$A$3:$AO$135,35,FALSE))*$E$2*20</f>
        <v>0</v>
      </c>
      <c r="M163" s="6">
        <f>IF(B163&gt;$N$2,0,VLOOKUP('Total income package'!$B$3,'Location specific data'!$A$3:$AO$135,36,FALSE))*$F$2*20</f>
        <v>0</v>
      </c>
      <c r="N163" s="6">
        <f>IF(B163&gt;$N$2,0,VLOOKUP('Total income package'!$B$3,'Location specific data'!$A$3:$AO$135,37,FALSE))*($G$2+$H$2)*20</f>
        <v>0</v>
      </c>
      <c r="O163" s="6">
        <f t="shared" si="26"/>
        <v>0</v>
      </c>
      <c r="P163" s="312">
        <f t="shared" si="27"/>
        <v>329.16666666666669</v>
      </c>
      <c r="Q163" s="312">
        <f t="shared" si="28"/>
        <v>0</v>
      </c>
      <c r="R163" s="312">
        <f t="shared" si="31"/>
        <v>0</v>
      </c>
      <c r="S163" s="160">
        <f>IF(AND('Total income package'!$A$8=TRUE,OR(F163="Yes",G163="Yes",H163="Yes")),SUM(J163:N163)-R163,0)</f>
        <v>0</v>
      </c>
    </row>
    <row r="164" spans="1:19" x14ac:dyDescent="0.25">
      <c r="A164" s="6">
        <v>79500</v>
      </c>
      <c r="B164" s="7">
        <f t="shared" si="22"/>
        <v>6625</v>
      </c>
      <c r="C164" s="7">
        <f>'Total income package'!$D$80</f>
        <v>0</v>
      </c>
      <c r="D164" s="7">
        <f t="shared" si="29"/>
        <v>6625</v>
      </c>
      <c r="E164" s="65">
        <f t="shared" si="30"/>
        <v>3.6737523105360443</v>
      </c>
      <c r="F164" s="65" t="str">
        <f t="shared" si="23"/>
        <v>No</v>
      </c>
      <c r="G164" s="65" t="str">
        <f t="shared" si="24"/>
        <v>No</v>
      </c>
      <c r="H164" s="301" t="str">
        <f>IF(OR('TANF-VIEW'!L168&gt;0,'TANF-VIEW'!T168&gt;0),"Yes","No")</f>
        <v>No</v>
      </c>
      <c r="I164" s="63">
        <f t="shared" si="25"/>
        <v>0</v>
      </c>
      <c r="J164" s="6">
        <f>(IF(B164&gt;$N$2,0,VLOOKUP('Total income package'!$B$3,'Location specific data'!$A$3:$AO$135,33,FALSE))*$C$2)*20</f>
        <v>0</v>
      </c>
      <c r="K164" s="6">
        <f>IF(B164&gt;$N$2,0,VLOOKUP('Total income package'!$B$3,'Location specific data'!$A$3:$AO$135,34,FALSE))*$D$2*20</f>
        <v>0</v>
      </c>
      <c r="L164" s="6">
        <f>IF(B164&gt;$N$2,0,VLOOKUP('Total income package'!$B$3,'Location specific data'!$A$3:$AO$135,35,FALSE))*$E$2*20</f>
        <v>0</v>
      </c>
      <c r="M164" s="6">
        <f>IF(B164&gt;$N$2,0,VLOOKUP('Total income package'!$B$3,'Location specific data'!$A$3:$AO$135,36,FALSE))*$F$2*20</f>
        <v>0</v>
      </c>
      <c r="N164" s="6">
        <f>IF(B164&gt;$N$2,0,VLOOKUP('Total income package'!$B$3,'Location specific data'!$A$3:$AO$135,37,FALSE))*($G$2+$H$2)*20</f>
        <v>0</v>
      </c>
      <c r="O164" s="6">
        <f t="shared" si="26"/>
        <v>0</v>
      </c>
      <c r="P164" s="312">
        <f t="shared" si="27"/>
        <v>331.25</v>
      </c>
      <c r="Q164" s="312">
        <f t="shared" si="28"/>
        <v>0</v>
      </c>
      <c r="R164" s="312">
        <f t="shared" si="31"/>
        <v>0</v>
      </c>
      <c r="S164" s="160">
        <f>IF(AND('Total income package'!$A$8=TRUE,OR(F164="Yes",G164="Yes",H164="Yes")),SUM(J164:N164)-R164,0)</f>
        <v>0</v>
      </c>
    </row>
    <row r="165" spans="1:19" x14ac:dyDescent="0.25">
      <c r="A165" s="6">
        <v>80000</v>
      </c>
      <c r="B165" s="7">
        <f t="shared" si="22"/>
        <v>6666.666666666667</v>
      </c>
      <c r="C165" s="7">
        <f>'Total income package'!$D$80</f>
        <v>0</v>
      </c>
      <c r="D165" s="7">
        <f t="shared" si="29"/>
        <v>6666.666666666667</v>
      </c>
      <c r="E165" s="65">
        <f t="shared" si="30"/>
        <v>3.6968576709796674</v>
      </c>
      <c r="F165" s="65" t="str">
        <f t="shared" si="23"/>
        <v>No</v>
      </c>
      <c r="G165" s="65" t="str">
        <f t="shared" si="24"/>
        <v>No</v>
      </c>
      <c r="H165" s="301" t="str">
        <f>IF(OR('TANF-VIEW'!L169&gt;0,'TANF-VIEW'!T169&gt;0),"Yes","No")</f>
        <v>No</v>
      </c>
      <c r="I165" s="63">
        <f t="shared" si="25"/>
        <v>0</v>
      </c>
      <c r="J165" s="6">
        <f>(IF(B165&gt;$N$2,0,VLOOKUP('Total income package'!$B$3,'Location specific data'!$A$3:$AO$135,33,FALSE))*$C$2)*20</f>
        <v>0</v>
      </c>
      <c r="K165" s="6">
        <f>IF(B165&gt;$N$2,0,VLOOKUP('Total income package'!$B$3,'Location specific data'!$A$3:$AO$135,34,FALSE))*$D$2*20</f>
        <v>0</v>
      </c>
      <c r="L165" s="6">
        <f>IF(B165&gt;$N$2,0,VLOOKUP('Total income package'!$B$3,'Location specific data'!$A$3:$AO$135,35,FALSE))*$E$2*20</f>
        <v>0</v>
      </c>
      <c r="M165" s="6">
        <f>IF(B165&gt;$N$2,0,VLOOKUP('Total income package'!$B$3,'Location specific data'!$A$3:$AO$135,36,FALSE))*$F$2*20</f>
        <v>0</v>
      </c>
      <c r="N165" s="6">
        <f>IF(B165&gt;$N$2,0,VLOOKUP('Total income package'!$B$3,'Location specific data'!$A$3:$AO$135,37,FALSE))*($G$2+$H$2)*20</f>
        <v>0</v>
      </c>
      <c r="O165" s="6">
        <f t="shared" si="26"/>
        <v>0</v>
      </c>
      <c r="P165" s="312">
        <f t="shared" ref="P165:P196" si="32">B165*0.05</f>
        <v>333.33333333333337</v>
      </c>
      <c r="Q165" s="312">
        <f t="shared" si="28"/>
        <v>0</v>
      </c>
      <c r="R165" s="312">
        <f t="shared" si="31"/>
        <v>0</v>
      </c>
      <c r="S165" s="160">
        <f>IF(AND('Total income package'!$A$8=TRUE,OR(F165="Yes",G165="Yes",H165="Yes")),SUM(J165:N165)-R165,0)</f>
        <v>0</v>
      </c>
    </row>
    <row r="166" spans="1:19" x14ac:dyDescent="0.25">
      <c r="A166" s="6">
        <v>80500</v>
      </c>
      <c r="B166" s="7">
        <f t="shared" si="22"/>
        <v>6708.333333333333</v>
      </c>
      <c r="C166" s="7">
        <f>'Total income package'!$D$80</f>
        <v>0</v>
      </c>
      <c r="D166" s="7">
        <f t="shared" si="29"/>
        <v>6708.333333333333</v>
      </c>
      <c r="E166" s="65">
        <f t="shared" si="30"/>
        <v>3.7199630314232901</v>
      </c>
      <c r="F166" s="65" t="str">
        <f t="shared" si="23"/>
        <v>No</v>
      </c>
      <c r="G166" s="65" t="str">
        <f t="shared" si="24"/>
        <v>No</v>
      </c>
      <c r="H166" s="301" t="str">
        <f>IF(OR('TANF-VIEW'!L170&gt;0,'TANF-VIEW'!T170&gt;0),"Yes","No")</f>
        <v>No</v>
      </c>
      <c r="I166" s="63">
        <f t="shared" si="25"/>
        <v>0</v>
      </c>
      <c r="J166" s="6">
        <f>(IF(B166&gt;$N$2,0,VLOOKUP('Total income package'!$B$3,'Location specific data'!$A$3:$AO$135,33,FALSE))*$C$2)*20</f>
        <v>0</v>
      </c>
      <c r="K166" s="6">
        <f>IF(B166&gt;$N$2,0,VLOOKUP('Total income package'!$B$3,'Location specific data'!$A$3:$AO$135,34,FALSE))*$D$2*20</f>
        <v>0</v>
      </c>
      <c r="L166" s="6">
        <f>IF(B166&gt;$N$2,0,VLOOKUP('Total income package'!$B$3,'Location specific data'!$A$3:$AO$135,35,FALSE))*$E$2*20</f>
        <v>0</v>
      </c>
      <c r="M166" s="6">
        <f>IF(B166&gt;$N$2,0,VLOOKUP('Total income package'!$B$3,'Location specific data'!$A$3:$AO$135,36,FALSE))*$F$2*20</f>
        <v>0</v>
      </c>
      <c r="N166" s="6">
        <f>IF(B166&gt;$N$2,0,VLOOKUP('Total income package'!$B$3,'Location specific data'!$A$3:$AO$135,37,FALSE))*($G$2+$H$2)*20</f>
        <v>0</v>
      </c>
      <c r="O166" s="6">
        <f t="shared" si="26"/>
        <v>0</v>
      </c>
      <c r="P166" s="312">
        <f t="shared" si="32"/>
        <v>335.41666666666669</v>
      </c>
      <c r="Q166" s="312">
        <f t="shared" si="28"/>
        <v>0</v>
      </c>
      <c r="R166" s="312">
        <f t="shared" si="31"/>
        <v>0</v>
      </c>
      <c r="S166" s="160">
        <f>IF(AND('Total income package'!$A$8=TRUE,OR(F166="Yes",G166="Yes",H166="Yes")),SUM(J166:N166)-R166,0)</f>
        <v>0</v>
      </c>
    </row>
    <row r="167" spans="1:19" x14ac:dyDescent="0.25">
      <c r="A167" s="6">
        <v>81000</v>
      </c>
      <c r="B167" s="7">
        <f t="shared" si="22"/>
        <v>6750</v>
      </c>
      <c r="C167" s="7">
        <f>'Total income package'!$D$80</f>
        <v>0</v>
      </c>
      <c r="D167" s="7">
        <f t="shared" si="29"/>
        <v>6750</v>
      </c>
      <c r="E167" s="65">
        <f t="shared" si="30"/>
        <v>3.7430683918669132</v>
      </c>
      <c r="F167" s="65" t="str">
        <f t="shared" si="23"/>
        <v>No</v>
      </c>
      <c r="G167" s="65" t="str">
        <f t="shared" si="24"/>
        <v>No</v>
      </c>
      <c r="H167" s="301" t="str">
        <f>IF(OR('TANF-VIEW'!L171&gt;0,'TANF-VIEW'!T171&gt;0),"Yes","No")</f>
        <v>No</v>
      </c>
      <c r="I167" s="63">
        <f t="shared" si="25"/>
        <v>0</v>
      </c>
      <c r="J167" s="6">
        <f>(IF(B167&gt;$N$2,0,VLOOKUP('Total income package'!$B$3,'Location specific data'!$A$3:$AO$135,33,FALSE))*$C$2)*20</f>
        <v>0</v>
      </c>
      <c r="K167" s="6">
        <f>IF(B167&gt;$N$2,0,VLOOKUP('Total income package'!$B$3,'Location specific data'!$A$3:$AO$135,34,FALSE))*$D$2*20</f>
        <v>0</v>
      </c>
      <c r="L167" s="6">
        <f>IF(B167&gt;$N$2,0,VLOOKUP('Total income package'!$B$3,'Location specific data'!$A$3:$AO$135,35,FALSE))*$E$2*20</f>
        <v>0</v>
      </c>
      <c r="M167" s="6">
        <f>IF(B167&gt;$N$2,0,VLOOKUP('Total income package'!$B$3,'Location specific data'!$A$3:$AO$135,36,FALSE))*$F$2*20</f>
        <v>0</v>
      </c>
      <c r="N167" s="6">
        <f>IF(B167&gt;$N$2,0,VLOOKUP('Total income package'!$B$3,'Location specific data'!$A$3:$AO$135,37,FALSE))*($G$2+$H$2)*20</f>
        <v>0</v>
      </c>
      <c r="O167" s="6">
        <f t="shared" si="26"/>
        <v>0</v>
      </c>
      <c r="P167" s="312">
        <f t="shared" si="32"/>
        <v>337.5</v>
      </c>
      <c r="Q167" s="312">
        <f t="shared" si="28"/>
        <v>0</v>
      </c>
      <c r="R167" s="312">
        <f t="shared" si="31"/>
        <v>0</v>
      </c>
      <c r="S167" s="160">
        <f>IF(AND('Total income package'!$A$8=TRUE,OR(F167="Yes",G167="Yes",H167="Yes")),SUM(J167:N167)-R167,0)</f>
        <v>0</v>
      </c>
    </row>
    <row r="168" spans="1:19" x14ac:dyDescent="0.25">
      <c r="A168" s="6">
        <v>81500</v>
      </c>
      <c r="B168" s="7">
        <f t="shared" si="22"/>
        <v>6791.666666666667</v>
      </c>
      <c r="C168" s="7">
        <f>'Total income package'!$D$80</f>
        <v>0</v>
      </c>
      <c r="D168" s="7">
        <f t="shared" si="29"/>
        <v>6791.666666666667</v>
      </c>
      <c r="E168" s="65">
        <f t="shared" si="30"/>
        <v>3.7661737523105363</v>
      </c>
      <c r="F168" s="65" t="str">
        <f t="shared" si="23"/>
        <v>No</v>
      </c>
      <c r="G168" s="65" t="str">
        <f t="shared" si="24"/>
        <v>No</v>
      </c>
      <c r="H168" s="301" t="str">
        <f>IF(OR('TANF-VIEW'!L172&gt;0,'TANF-VIEW'!T172&gt;0),"Yes","No")</f>
        <v>No</v>
      </c>
      <c r="I168" s="63">
        <f t="shared" si="25"/>
        <v>0</v>
      </c>
      <c r="J168" s="6">
        <f>(IF(B168&gt;$N$2,0,VLOOKUP('Total income package'!$B$3,'Location specific data'!$A$3:$AO$135,33,FALSE))*$C$2)*20</f>
        <v>0</v>
      </c>
      <c r="K168" s="6">
        <f>IF(B168&gt;$N$2,0,VLOOKUP('Total income package'!$B$3,'Location specific data'!$A$3:$AO$135,34,FALSE))*$D$2*20</f>
        <v>0</v>
      </c>
      <c r="L168" s="6">
        <f>IF(B168&gt;$N$2,0,VLOOKUP('Total income package'!$B$3,'Location specific data'!$A$3:$AO$135,35,FALSE))*$E$2*20</f>
        <v>0</v>
      </c>
      <c r="M168" s="6">
        <f>IF(B168&gt;$N$2,0,VLOOKUP('Total income package'!$B$3,'Location specific data'!$A$3:$AO$135,36,FALSE))*$F$2*20</f>
        <v>0</v>
      </c>
      <c r="N168" s="6">
        <f>IF(B168&gt;$N$2,0,VLOOKUP('Total income package'!$B$3,'Location specific data'!$A$3:$AO$135,37,FALSE))*($G$2+$H$2)*20</f>
        <v>0</v>
      </c>
      <c r="O168" s="6">
        <f t="shared" si="26"/>
        <v>0</v>
      </c>
      <c r="P168" s="312">
        <f t="shared" si="32"/>
        <v>339.58333333333337</v>
      </c>
      <c r="Q168" s="312">
        <f t="shared" si="28"/>
        <v>0</v>
      </c>
      <c r="R168" s="312">
        <f t="shared" si="31"/>
        <v>0</v>
      </c>
      <c r="S168" s="160">
        <f>IF(AND('Total income package'!$A$8=TRUE,OR(F168="Yes",G168="Yes",H168="Yes")),SUM(J168:N168)-R168,0)</f>
        <v>0</v>
      </c>
    </row>
    <row r="169" spans="1:19" x14ac:dyDescent="0.25">
      <c r="A169" s="6">
        <v>82000</v>
      </c>
      <c r="B169" s="7">
        <f t="shared" si="22"/>
        <v>6833.333333333333</v>
      </c>
      <c r="C169" s="7">
        <f>'Total income package'!$D$80</f>
        <v>0</v>
      </c>
      <c r="D169" s="7">
        <f t="shared" si="29"/>
        <v>6833.333333333333</v>
      </c>
      <c r="E169" s="65">
        <f t="shared" si="30"/>
        <v>3.789279112754159</v>
      </c>
      <c r="F169" s="65" t="str">
        <f t="shared" si="23"/>
        <v>No</v>
      </c>
      <c r="G169" s="65" t="str">
        <f t="shared" si="24"/>
        <v>No</v>
      </c>
      <c r="H169" s="301" t="str">
        <f>IF(OR('TANF-VIEW'!L173&gt;0,'TANF-VIEW'!T173&gt;0),"Yes","No")</f>
        <v>No</v>
      </c>
      <c r="I169" s="63">
        <f t="shared" si="25"/>
        <v>0</v>
      </c>
      <c r="J169" s="6">
        <f>(IF(B169&gt;$N$2,0,VLOOKUP('Total income package'!$B$3,'Location specific data'!$A$3:$AO$135,33,FALSE))*$C$2)*20</f>
        <v>0</v>
      </c>
      <c r="K169" s="6">
        <f>IF(B169&gt;$N$2,0,VLOOKUP('Total income package'!$B$3,'Location specific data'!$A$3:$AO$135,34,FALSE))*$D$2*20</f>
        <v>0</v>
      </c>
      <c r="L169" s="6">
        <f>IF(B169&gt;$N$2,0,VLOOKUP('Total income package'!$B$3,'Location specific data'!$A$3:$AO$135,35,FALSE))*$E$2*20</f>
        <v>0</v>
      </c>
      <c r="M169" s="6">
        <f>IF(B169&gt;$N$2,0,VLOOKUP('Total income package'!$B$3,'Location specific data'!$A$3:$AO$135,36,FALSE))*$F$2*20</f>
        <v>0</v>
      </c>
      <c r="N169" s="6">
        <f>IF(B169&gt;$N$2,0,VLOOKUP('Total income package'!$B$3,'Location specific data'!$A$3:$AO$135,37,FALSE))*($G$2+$H$2)*20</f>
        <v>0</v>
      </c>
      <c r="O169" s="6">
        <f t="shared" si="26"/>
        <v>0</v>
      </c>
      <c r="P169" s="312">
        <f t="shared" si="32"/>
        <v>341.66666666666669</v>
      </c>
      <c r="Q169" s="312">
        <f t="shared" si="28"/>
        <v>0</v>
      </c>
      <c r="R169" s="312">
        <f t="shared" si="31"/>
        <v>0</v>
      </c>
      <c r="S169" s="160">
        <f>IF(AND('Total income package'!$A$8=TRUE,OR(F169="Yes",G169="Yes",H169="Yes")),SUM(J169:N169)-R169,0)</f>
        <v>0</v>
      </c>
    </row>
    <row r="170" spans="1:19" x14ac:dyDescent="0.25">
      <c r="A170" s="6">
        <v>82500</v>
      </c>
      <c r="B170" s="7">
        <f t="shared" si="22"/>
        <v>6875</v>
      </c>
      <c r="C170" s="7">
        <f>'Total income package'!$D$80</f>
        <v>0</v>
      </c>
      <c r="D170" s="7">
        <f t="shared" si="29"/>
        <v>6875</v>
      </c>
      <c r="E170" s="65">
        <f t="shared" si="30"/>
        <v>3.8123844731977821</v>
      </c>
      <c r="F170" s="65" t="str">
        <f t="shared" si="23"/>
        <v>No</v>
      </c>
      <c r="G170" s="65" t="str">
        <f t="shared" si="24"/>
        <v>No</v>
      </c>
      <c r="H170" s="301" t="str">
        <f>IF(OR('TANF-VIEW'!L174&gt;0,'TANF-VIEW'!T174&gt;0),"Yes","No")</f>
        <v>No</v>
      </c>
      <c r="I170" s="63">
        <f t="shared" si="25"/>
        <v>0</v>
      </c>
      <c r="J170" s="6">
        <f>(IF(B170&gt;$N$2,0,VLOOKUP('Total income package'!$B$3,'Location specific data'!$A$3:$AO$135,33,FALSE))*$C$2)*20</f>
        <v>0</v>
      </c>
      <c r="K170" s="6">
        <f>IF(B170&gt;$N$2,0,VLOOKUP('Total income package'!$B$3,'Location specific data'!$A$3:$AO$135,34,FALSE))*$D$2*20</f>
        <v>0</v>
      </c>
      <c r="L170" s="6">
        <f>IF(B170&gt;$N$2,0,VLOOKUP('Total income package'!$B$3,'Location specific data'!$A$3:$AO$135,35,FALSE))*$E$2*20</f>
        <v>0</v>
      </c>
      <c r="M170" s="6">
        <f>IF(B170&gt;$N$2,0,VLOOKUP('Total income package'!$B$3,'Location specific data'!$A$3:$AO$135,36,FALSE))*$F$2*20</f>
        <v>0</v>
      </c>
      <c r="N170" s="6">
        <f>IF(B170&gt;$N$2,0,VLOOKUP('Total income package'!$B$3,'Location specific data'!$A$3:$AO$135,37,FALSE))*($G$2+$H$2)*20</f>
        <v>0</v>
      </c>
      <c r="O170" s="6">
        <f t="shared" si="26"/>
        <v>0</v>
      </c>
      <c r="P170" s="312">
        <f t="shared" si="32"/>
        <v>343.75</v>
      </c>
      <c r="Q170" s="312">
        <f t="shared" si="28"/>
        <v>0</v>
      </c>
      <c r="R170" s="312">
        <f t="shared" si="31"/>
        <v>0</v>
      </c>
      <c r="S170" s="160">
        <f>IF(AND('Total income package'!$A$8=TRUE,OR(F170="Yes",G170="Yes",H170="Yes")),SUM(J170:N170)-R170,0)</f>
        <v>0</v>
      </c>
    </row>
    <row r="171" spans="1:19" x14ac:dyDescent="0.25">
      <c r="A171" s="6">
        <v>83000</v>
      </c>
      <c r="B171" s="7">
        <f t="shared" si="22"/>
        <v>6916.666666666667</v>
      </c>
      <c r="C171" s="7">
        <f>'Total income package'!$D$80</f>
        <v>0</v>
      </c>
      <c r="D171" s="7">
        <f t="shared" si="29"/>
        <v>6916.666666666667</v>
      </c>
      <c r="E171" s="65">
        <f t="shared" si="30"/>
        <v>3.8354898336414052</v>
      </c>
      <c r="F171" s="65" t="str">
        <f t="shared" si="23"/>
        <v>No</v>
      </c>
      <c r="G171" s="65" t="str">
        <f t="shared" si="24"/>
        <v>No</v>
      </c>
      <c r="H171" s="301" t="str">
        <f>IF(OR('TANF-VIEW'!L175&gt;0,'TANF-VIEW'!T175&gt;0),"Yes","No")</f>
        <v>No</v>
      </c>
      <c r="I171" s="63">
        <f t="shared" si="25"/>
        <v>0</v>
      </c>
      <c r="J171" s="6">
        <f>(IF(B171&gt;$N$2,0,VLOOKUP('Total income package'!$B$3,'Location specific data'!$A$3:$AO$135,33,FALSE))*$C$2)*20</f>
        <v>0</v>
      </c>
      <c r="K171" s="6">
        <f>IF(B171&gt;$N$2,0,VLOOKUP('Total income package'!$B$3,'Location specific data'!$A$3:$AO$135,34,FALSE))*$D$2*20</f>
        <v>0</v>
      </c>
      <c r="L171" s="6">
        <f>IF(B171&gt;$N$2,0,VLOOKUP('Total income package'!$B$3,'Location specific data'!$A$3:$AO$135,35,FALSE))*$E$2*20</f>
        <v>0</v>
      </c>
      <c r="M171" s="6">
        <f>IF(B171&gt;$N$2,0,VLOOKUP('Total income package'!$B$3,'Location specific data'!$A$3:$AO$135,36,FALSE))*$F$2*20</f>
        <v>0</v>
      </c>
      <c r="N171" s="6">
        <f>IF(B171&gt;$N$2,0,VLOOKUP('Total income package'!$B$3,'Location specific data'!$A$3:$AO$135,37,FALSE))*($G$2+$H$2)*20</f>
        <v>0</v>
      </c>
      <c r="O171" s="6">
        <f t="shared" si="26"/>
        <v>0</v>
      </c>
      <c r="P171" s="312">
        <f t="shared" si="32"/>
        <v>345.83333333333337</v>
      </c>
      <c r="Q171" s="312">
        <f t="shared" si="28"/>
        <v>0</v>
      </c>
      <c r="R171" s="312">
        <f t="shared" si="31"/>
        <v>0</v>
      </c>
      <c r="S171" s="160">
        <f>IF(AND('Total income package'!$A$8=TRUE,OR(F171="Yes",G171="Yes",H171="Yes")),SUM(J171:N171)-R171,0)</f>
        <v>0</v>
      </c>
    </row>
    <row r="172" spans="1:19" x14ac:dyDescent="0.25">
      <c r="A172" s="6">
        <v>83500</v>
      </c>
      <c r="B172" s="7">
        <f t="shared" si="22"/>
        <v>6958.333333333333</v>
      </c>
      <c r="C172" s="7">
        <f>'Total income package'!$D$80</f>
        <v>0</v>
      </c>
      <c r="D172" s="7">
        <f t="shared" si="29"/>
        <v>6958.333333333333</v>
      </c>
      <c r="E172" s="65">
        <f t="shared" si="30"/>
        <v>3.8585951940850278</v>
      </c>
      <c r="F172" s="65" t="str">
        <f t="shared" si="23"/>
        <v>No</v>
      </c>
      <c r="G172" s="65" t="str">
        <f t="shared" si="24"/>
        <v>No</v>
      </c>
      <c r="H172" s="301" t="str">
        <f>IF(OR('TANF-VIEW'!L176&gt;0,'TANF-VIEW'!T176&gt;0),"Yes","No")</f>
        <v>No</v>
      </c>
      <c r="I172" s="63">
        <f t="shared" si="25"/>
        <v>0</v>
      </c>
      <c r="J172" s="6">
        <f>(IF(B172&gt;$N$2,0,VLOOKUP('Total income package'!$B$3,'Location specific data'!$A$3:$AO$135,33,FALSE))*$C$2)*20</f>
        <v>0</v>
      </c>
      <c r="K172" s="6">
        <f>IF(B172&gt;$N$2,0,VLOOKUP('Total income package'!$B$3,'Location specific data'!$A$3:$AO$135,34,FALSE))*$D$2*20</f>
        <v>0</v>
      </c>
      <c r="L172" s="6">
        <f>IF(B172&gt;$N$2,0,VLOOKUP('Total income package'!$B$3,'Location specific data'!$A$3:$AO$135,35,FALSE))*$E$2*20</f>
        <v>0</v>
      </c>
      <c r="M172" s="6">
        <f>IF(B172&gt;$N$2,0,VLOOKUP('Total income package'!$B$3,'Location specific data'!$A$3:$AO$135,36,FALSE))*$F$2*20</f>
        <v>0</v>
      </c>
      <c r="N172" s="6">
        <f>IF(B172&gt;$N$2,0,VLOOKUP('Total income package'!$B$3,'Location specific data'!$A$3:$AO$135,37,FALSE))*($G$2+$H$2)*20</f>
        <v>0</v>
      </c>
      <c r="O172" s="6">
        <f t="shared" si="26"/>
        <v>0</v>
      </c>
      <c r="P172" s="312">
        <f t="shared" si="32"/>
        <v>347.91666666666669</v>
      </c>
      <c r="Q172" s="312">
        <f t="shared" si="28"/>
        <v>0</v>
      </c>
      <c r="R172" s="312">
        <f t="shared" si="31"/>
        <v>0</v>
      </c>
      <c r="S172" s="160">
        <f>IF(AND('Total income package'!$A$8=TRUE,OR(F172="Yes",G172="Yes",H172="Yes")),SUM(J172:N172)-R172,0)</f>
        <v>0</v>
      </c>
    </row>
    <row r="173" spans="1:19" x14ac:dyDescent="0.25">
      <c r="A173" s="6">
        <v>84000</v>
      </c>
      <c r="B173" s="7">
        <f t="shared" ref="B173:B204" si="33">A173/12</f>
        <v>7000</v>
      </c>
      <c r="C173" s="7">
        <f>'Total income package'!$D$80</f>
        <v>0</v>
      </c>
      <c r="D173" s="7">
        <f t="shared" si="29"/>
        <v>7000</v>
      </c>
      <c r="E173" s="65">
        <f t="shared" si="30"/>
        <v>3.8817005545286509</v>
      </c>
      <c r="F173" s="65" t="str">
        <f t="shared" si="23"/>
        <v>No</v>
      </c>
      <c r="G173" s="65" t="str">
        <f t="shared" si="24"/>
        <v>No</v>
      </c>
      <c r="H173" s="301" t="str">
        <f>IF(OR('TANF-VIEW'!L177&gt;0,'TANF-VIEW'!T177&gt;0),"Yes","No")</f>
        <v>No</v>
      </c>
      <c r="I173" s="63">
        <f t="shared" si="25"/>
        <v>0</v>
      </c>
      <c r="J173" s="6">
        <f>(IF(B173&gt;$N$2,0,VLOOKUP('Total income package'!$B$3,'Location specific data'!$A$3:$AO$135,33,FALSE))*$C$2)*20</f>
        <v>0</v>
      </c>
      <c r="K173" s="6">
        <f>IF(B173&gt;$N$2,0,VLOOKUP('Total income package'!$B$3,'Location specific data'!$A$3:$AO$135,34,FALSE))*$D$2*20</f>
        <v>0</v>
      </c>
      <c r="L173" s="6">
        <f>IF(B173&gt;$N$2,0,VLOOKUP('Total income package'!$B$3,'Location specific data'!$A$3:$AO$135,35,FALSE))*$E$2*20</f>
        <v>0</v>
      </c>
      <c r="M173" s="6">
        <f>IF(B173&gt;$N$2,0,VLOOKUP('Total income package'!$B$3,'Location specific data'!$A$3:$AO$135,36,FALSE))*$F$2*20</f>
        <v>0</v>
      </c>
      <c r="N173" s="6">
        <f>IF(B173&gt;$N$2,0,VLOOKUP('Total income package'!$B$3,'Location specific data'!$A$3:$AO$135,37,FALSE))*($G$2+$H$2)*20</f>
        <v>0</v>
      </c>
      <c r="O173" s="6">
        <f t="shared" si="26"/>
        <v>0</v>
      </c>
      <c r="P173" s="312">
        <f t="shared" si="32"/>
        <v>350</v>
      </c>
      <c r="Q173" s="312">
        <f t="shared" si="28"/>
        <v>0</v>
      </c>
      <c r="R173" s="312">
        <f t="shared" si="31"/>
        <v>0</v>
      </c>
      <c r="S173" s="160">
        <f>IF(AND('Total income package'!$A$8=TRUE,OR(F173="Yes",G173="Yes",H173="Yes")),SUM(J173:N173)-R173,0)</f>
        <v>0</v>
      </c>
    </row>
    <row r="174" spans="1:19" x14ac:dyDescent="0.25">
      <c r="A174" s="6">
        <v>84500</v>
      </c>
      <c r="B174" s="7">
        <f t="shared" si="33"/>
        <v>7041.666666666667</v>
      </c>
      <c r="C174" s="7">
        <f>'Total income package'!$D$80</f>
        <v>0</v>
      </c>
      <c r="D174" s="7">
        <f t="shared" si="29"/>
        <v>7041.666666666667</v>
      </c>
      <c r="E174" s="65">
        <f t="shared" si="30"/>
        <v>3.904805914972274</v>
      </c>
      <c r="F174" s="65" t="str">
        <f t="shared" si="23"/>
        <v>No</v>
      </c>
      <c r="G174" s="65" t="str">
        <f t="shared" si="24"/>
        <v>No</v>
      </c>
      <c r="H174" s="301" t="str">
        <f>IF(OR('TANF-VIEW'!L178&gt;0,'TANF-VIEW'!T178&gt;0),"Yes","No")</f>
        <v>No</v>
      </c>
      <c r="I174" s="63">
        <f t="shared" si="25"/>
        <v>0</v>
      </c>
      <c r="J174" s="6">
        <f>(IF(B174&gt;$N$2,0,VLOOKUP('Total income package'!$B$3,'Location specific data'!$A$3:$AO$135,33,FALSE))*$C$2)*20</f>
        <v>0</v>
      </c>
      <c r="K174" s="6">
        <f>IF(B174&gt;$N$2,0,VLOOKUP('Total income package'!$B$3,'Location specific data'!$A$3:$AO$135,34,FALSE))*$D$2*20</f>
        <v>0</v>
      </c>
      <c r="L174" s="6">
        <f>IF(B174&gt;$N$2,0,VLOOKUP('Total income package'!$B$3,'Location specific data'!$A$3:$AO$135,35,FALSE))*$E$2*20</f>
        <v>0</v>
      </c>
      <c r="M174" s="6">
        <f>IF(B174&gt;$N$2,0,VLOOKUP('Total income package'!$B$3,'Location specific data'!$A$3:$AO$135,36,FALSE))*$F$2*20</f>
        <v>0</v>
      </c>
      <c r="N174" s="6">
        <f>IF(B174&gt;$N$2,0,VLOOKUP('Total income package'!$B$3,'Location specific data'!$A$3:$AO$135,37,FALSE))*($G$2+$H$2)*20</f>
        <v>0</v>
      </c>
      <c r="O174" s="6">
        <f t="shared" si="26"/>
        <v>0</v>
      </c>
      <c r="P174" s="312">
        <f t="shared" si="32"/>
        <v>352.08333333333337</v>
      </c>
      <c r="Q174" s="312">
        <f t="shared" si="28"/>
        <v>0</v>
      </c>
      <c r="R174" s="312">
        <f t="shared" si="31"/>
        <v>0</v>
      </c>
      <c r="S174" s="160">
        <f>IF(AND('Total income package'!$A$8=TRUE,OR(F174="Yes",G174="Yes",H174="Yes")),SUM(J174:N174)-R174,0)</f>
        <v>0</v>
      </c>
    </row>
    <row r="175" spans="1:19" x14ac:dyDescent="0.25">
      <c r="A175" s="6">
        <v>85000</v>
      </c>
      <c r="B175" s="7">
        <f t="shared" si="33"/>
        <v>7083.333333333333</v>
      </c>
      <c r="C175" s="7">
        <f>'Total income package'!$D$80</f>
        <v>0</v>
      </c>
      <c r="D175" s="7">
        <f t="shared" si="29"/>
        <v>7083.333333333333</v>
      </c>
      <c r="E175" s="65">
        <f t="shared" si="30"/>
        <v>3.9279112754158967</v>
      </c>
      <c r="F175" s="65" t="str">
        <f t="shared" si="23"/>
        <v>No</v>
      </c>
      <c r="G175" s="65" t="str">
        <f t="shared" si="24"/>
        <v>No</v>
      </c>
      <c r="H175" s="301" t="str">
        <f>IF(OR('TANF-VIEW'!L179&gt;0,'TANF-VIEW'!T179&gt;0),"Yes","No")</f>
        <v>No</v>
      </c>
      <c r="I175" s="63">
        <f t="shared" si="25"/>
        <v>0</v>
      </c>
      <c r="J175" s="6">
        <f>(IF(B175&gt;$N$2,0,VLOOKUP('Total income package'!$B$3,'Location specific data'!$A$3:$AO$135,33,FALSE))*$C$2)*20</f>
        <v>0</v>
      </c>
      <c r="K175" s="6">
        <f>IF(B175&gt;$N$2,0,VLOOKUP('Total income package'!$B$3,'Location specific data'!$A$3:$AO$135,34,FALSE))*$D$2*20</f>
        <v>0</v>
      </c>
      <c r="L175" s="6">
        <f>IF(B175&gt;$N$2,0,VLOOKUP('Total income package'!$B$3,'Location specific data'!$A$3:$AO$135,35,FALSE))*$E$2*20</f>
        <v>0</v>
      </c>
      <c r="M175" s="6">
        <f>IF(B175&gt;$N$2,0,VLOOKUP('Total income package'!$B$3,'Location specific data'!$A$3:$AO$135,36,FALSE))*$F$2*20</f>
        <v>0</v>
      </c>
      <c r="N175" s="6">
        <f>IF(B175&gt;$N$2,0,VLOOKUP('Total income package'!$B$3,'Location specific data'!$A$3:$AO$135,37,FALSE))*($G$2+$H$2)*20</f>
        <v>0</v>
      </c>
      <c r="O175" s="6">
        <f t="shared" si="26"/>
        <v>0</v>
      </c>
      <c r="P175" s="312">
        <f t="shared" si="32"/>
        <v>354.16666666666669</v>
      </c>
      <c r="Q175" s="312">
        <f t="shared" si="28"/>
        <v>0</v>
      </c>
      <c r="R175" s="312">
        <f t="shared" si="31"/>
        <v>0</v>
      </c>
      <c r="S175" s="160">
        <f>IF(AND('Total income package'!$A$8=TRUE,OR(F175="Yes",G175="Yes",H175="Yes")),SUM(J175:N175)-R175,0)</f>
        <v>0</v>
      </c>
    </row>
    <row r="176" spans="1:19" x14ac:dyDescent="0.25">
      <c r="A176" s="6">
        <v>85500</v>
      </c>
      <c r="B176" s="7">
        <f t="shared" si="33"/>
        <v>7125</v>
      </c>
      <c r="C176" s="7">
        <f>'Total income package'!$D$80</f>
        <v>0</v>
      </c>
      <c r="D176" s="7">
        <f t="shared" si="29"/>
        <v>7125</v>
      </c>
      <c r="E176" s="65">
        <f t="shared" si="30"/>
        <v>3.9510166358595198</v>
      </c>
      <c r="F176" s="65" t="str">
        <f t="shared" si="23"/>
        <v>No</v>
      </c>
      <c r="G176" s="65" t="str">
        <f t="shared" si="24"/>
        <v>No</v>
      </c>
      <c r="H176" s="301" t="str">
        <f>IF(OR('TANF-VIEW'!L180&gt;0,'TANF-VIEW'!T180&gt;0),"Yes","No")</f>
        <v>No</v>
      </c>
      <c r="I176" s="63">
        <f t="shared" si="25"/>
        <v>0</v>
      </c>
      <c r="J176" s="6">
        <f>(IF(B176&gt;$N$2,0,VLOOKUP('Total income package'!$B$3,'Location specific data'!$A$3:$AO$135,33,FALSE))*$C$2)*20</f>
        <v>0</v>
      </c>
      <c r="K176" s="6">
        <f>IF(B176&gt;$N$2,0,VLOOKUP('Total income package'!$B$3,'Location specific data'!$A$3:$AO$135,34,FALSE))*$D$2*20</f>
        <v>0</v>
      </c>
      <c r="L176" s="6">
        <f>IF(B176&gt;$N$2,0,VLOOKUP('Total income package'!$B$3,'Location specific data'!$A$3:$AO$135,35,FALSE))*$E$2*20</f>
        <v>0</v>
      </c>
      <c r="M176" s="6">
        <f>IF(B176&gt;$N$2,0,VLOOKUP('Total income package'!$B$3,'Location specific data'!$A$3:$AO$135,36,FALSE))*$F$2*20</f>
        <v>0</v>
      </c>
      <c r="N176" s="6">
        <f>IF(B176&gt;$N$2,0,VLOOKUP('Total income package'!$B$3,'Location specific data'!$A$3:$AO$135,37,FALSE))*($G$2+$H$2)*20</f>
        <v>0</v>
      </c>
      <c r="O176" s="6">
        <f t="shared" si="26"/>
        <v>0</v>
      </c>
      <c r="P176" s="312">
        <f t="shared" si="32"/>
        <v>356.25</v>
      </c>
      <c r="Q176" s="312">
        <f t="shared" si="28"/>
        <v>0</v>
      </c>
      <c r="R176" s="312">
        <f t="shared" si="31"/>
        <v>0</v>
      </c>
      <c r="S176" s="160">
        <f>IF(AND('Total income package'!$A$8=TRUE,OR(F176="Yes",G176="Yes",H176="Yes")),SUM(J176:N176)-R176,0)</f>
        <v>0</v>
      </c>
    </row>
    <row r="177" spans="1:19" x14ac:dyDescent="0.25">
      <c r="A177" s="6">
        <v>86000</v>
      </c>
      <c r="B177" s="7">
        <f t="shared" si="33"/>
        <v>7166.666666666667</v>
      </c>
      <c r="C177" s="7">
        <f>'Total income package'!$D$80</f>
        <v>0</v>
      </c>
      <c r="D177" s="7">
        <f t="shared" si="29"/>
        <v>7166.666666666667</v>
      </c>
      <c r="E177" s="65">
        <f t="shared" si="30"/>
        <v>3.9741219963031424</v>
      </c>
      <c r="F177" s="65" t="str">
        <f t="shared" si="23"/>
        <v>No</v>
      </c>
      <c r="G177" s="65" t="str">
        <f t="shared" si="24"/>
        <v>No</v>
      </c>
      <c r="H177" s="301" t="str">
        <f>IF(OR('TANF-VIEW'!L181&gt;0,'TANF-VIEW'!T181&gt;0),"Yes","No")</f>
        <v>No</v>
      </c>
      <c r="I177" s="63">
        <f t="shared" si="25"/>
        <v>0</v>
      </c>
      <c r="J177" s="6">
        <f>(IF(B177&gt;$N$2,0,VLOOKUP('Total income package'!$B$3,'Location specific data'!$A$3:$AO$135,33,FALSE))*$C$2)*20</f>
        <v>0</v>
      </c>
      <c r="K177" s="6">
        <f>IF(B177&gt;$N$2,0,VLOOKUP('Total income package'!$B$3,'Location specific data'!$A$3:$AO$135,34,FALSE))*$D$2*20</f>
        <v>0</v>
      </c>
      <c r="L177" s="6">
        <f>IF(B177&gt;$N$2,0,VLOOKUP('Total income package'!$B$3,'Location specific data'!$A$3:$AO$135,35,FALSE))*$E$2*20</f>
        <v>0</v>
      </c>
      <c r="M177" s="6">
        <f>IF(B177&gt;$N$2,0,VLOOKUP('Total income package'!$B$3,'Location specific data'!$A$3:$AO$135,36,FALSE))*$F$2*20</f>
        <v>0</v>
      </c>
      <c r="N177" s="6">
        <f>IF(B177&gt;$N$2,0,VLOOKUP('Total income package'!$B$3,'Location specific data'!$A$3:$AO$135,37,FALSE))*($G$2+$H$2)*20</f>
        <v>0</v>
      </c>
      <c r="O177" s="6">
        <f t="shared" si="26"/>
        <v>0</v>
      </c>
      <c r="P177" s="312">
        <f t="shared" si="32"/>
        <v>358.33333333333337</v>
      </c>
      <c r="Q177" s="312">
        <f t="shared" si="28"/>
        <v>0</v>
      </c>
      <c r="R177" s="312">
        <f t="shared" si="31"/>
        <v>0</v>
      </c>
      <c r="S177" s="160">
        <f>IF(AND('Total income package'!$A$8=TRUE,OR(F177="Yes",G177="Yes",H177="Yes")),SUM(J177:N177)-R177,0)</f>
        <v>0</v>
      </c>
    </row>
    <row r="178" spans="1:19" x14ac:dyDescent="0.25">
      <c r="A178" s="6">
        <v>86500</v>
      </c>
      <c r="B178" s="7">
        <f t="shared" si="33"/>
        <v>7208.333333333333</v>
      </c>
      <c r="C178" s="7">
        <f>'Total income package'!$D$80</f>
        <v>0</v>
      </c>
      <c r="D178" s="7">
        <f t="shared" si="29"/>
        <v>7208.333333333333</v>
      </c>
      <c r="E178" s="65">
        <f t="shared" si="30"/>
        <v>3.9972273567467651</v>
      </c>
      <c r="F178" s="65" t="str">
        <f t="shared" si="23"/>
        <v>No</v>
      </c>
      <c r="G178" s="65" t="str">
        <f t="shared" si="24"/>
        <v>No</v>
      </c>
      <c r="H178" s="301" t="str">
        <f>IF(OR('TANF-VIEW'!L182&gt;0,'TANF-VIEW'!T182&gt;0),"Yes","No")</f>
        <v>No</v>
      </c>
      <c r="I178" s="63">
        <f t="shared" si="25"/>
        <v>0</v>
      </c>
      <c r="J178" s="6">
        <f>(IF(B178&gt;$N$2,0,VLOOKUP('Total income package'!$B$3,'Location specific data'!$A$3:$AO$135,33,FALSE))*$C$2)*20</f>
        <v>0</v>
      </c>
      <c r="K178" s="6">
        <f>IF(B178&gt;$N$2,0,VLOOKUP('Total income package'!$B$3,'Location specific data'!$A$3:$AO$135,34,FALSE))*$D$2*20</f>
        <v>0</v>
      </c>
      <c r="L178" s="6">
        <f>IF(B178&gt;$N$2,0,VLOOKUP('Total income package'!$B$3,'Location specific data'!$A$3:$AO$135,35,FALSE))*$E$2*20</f>
        <v>0</v>
      </c>
      <c r="M178" s="6">
        <f>IF(B178&gt;$N$2,0,VLOOKUP('Total income package'!$B$3,'Location specific data'!$A$3:$AO$135,36,FALSE))*$F$2*20</f>
        <v>0</v>
      </c>
      <c r="N178" s="6">
        <f>IF(B178&gt;$N$2,0,VLOOKUP('Total income package'!$B$3,'Location specific data'!$A$3:$AO$135,37,FALSE))*($G$2+$H$2)*20</f>
        <v>0</v>
      </c>
      <c r="O178" s="6">
        <f t="shared" si="26"/>
        <v>0</v>
      </c>
      <c r="P178" s="312">
        <f t="shared" si="32"/>
        <v>360.41666666666669</v>
      </c>
      <c r="Q178" s="312">
        <f t="shared" si="28"/>
        <v>0</v>
      </c>
      <c r="R178" s="312">
        <f t="shared" si="31"/>
        <v>0</v>
      </c>
      <c r="S178" s="160">
        <f>IF(AND('Total income package'!$A$8=TRUE,OR(F178="Yes",G178="Yes",H178="Yes")),SUM(J178:N178)-R178,0)</f>
        <v>0</v>
      </c>
    </row>
    <row r="179" spans="1:19" x14ac:dyDescent="0.25">
      <c r="A179" s="6">
        <v>87000</v>
      </c>
      <c r="B179" s="7">
        <f t="shared" si="33"/>
        <v>7250</v>
      </c>
      <c r="C179" s="7">
        <f>'Total income package'!$D$80</f>
        <v>0</v>
      </c>
      <c r="D179" s="7">
        <f t="shared" si="29"/>
        <v>7250</v>
      </c>
      <c r="E179" s="65">
        <f t="shared" si="30"/>
        <v>4.0203327171903886</v>
      </c>
      <c r="F179" s="65" t="str">
        <f t="shared" si="23"/>
        <v>No</v>
      </c>
      <c r="G179" s="65" t="str">
        <f t="shared" si="24"/>
        <v>No</v>
      </c>
      <c r="H179" s="301" t="str">
        <f>IF(OR('TANF-VIEW'!L183&gt;0,'TANF-VIEW'!T183&gt;0),"Yes","No")</f>
        <v>No</v>
      </c>
      <c r="I179" s="63">
        <f t="shared" si="25"/>
        <v>0</v>
      </c>
      <c r="J179" s="6">
        <f>(IF(B179&gt;$N$2,0,VLOOKUP('Total income package'!$B$3,'Location specific data'!$A$3:$AO$135,33,FALSE))*$C$2)*20</f>
        <v>0</v>
      </c>
      <c r="K179" s="6">
        <f>IF(B179&gt;$N$2,0,VLOOKUP('Total income package'!$B$3,'Location specific data'!$A$3:$AO$135,34,FALSE))*$D$2*20</f>
        <v>0</v>
      </c>
      <c r="L179" s="6">
        <f>IF(B179&gt;$N$2,0,VLOOKUP('Total income package'!$B$3,'Location specific data'!$A$3:$AO$135,35,FALSE))*$E$2*20</f>
        <v>0</v>
      </c>
      <c r="M179" s="6">
        <f>IF(B179&gt;$N$2,0,VLOOKUP('Total income package'!$B$3,'Location specific data'!$A$3:$AO$135,36,FALSE))*$F$2*20</f>
        <v>0</v>
      </c>
      <c r="N179" s="6">
        <f>IF(B179&gt;$N$2,0,VLOOKUP('Total income package'!$B$3,'Location specific data'!$A$3:$AO$135,37,FALSE))*($G$2+$H$2)*20</f>
        <v>0</v>
      </c>
      <c r="O179" s="6">
        <f t="shared" si="26"/>
        <v>0</v>
      </c>
      <c r="P179" s="312">
        <f t="shared" si="32"/>
        <v>362.5</v>
      </c>
      <c r="Q179" s="312">
        <f t="shared" si="28"/>
        <v>0</v>
      </c>
      <c r="R179" s="312">
        <f t="shared" si="31"/>
        <v>0</v>
      </c>
      <c r="S179" s="160">
        <f>IF(AND('Total income package'!$A$8=TRUE,OR(F179="Yes",G179="Yes",H179="Yes")),SUM(J179:N179)-R179,0)</f>
        <v>0</v>
      </c>
    </row>
    <row r="180" spans="1:19" x14ac:dyDescent="0.25">
      <c r="A180" s="6">
        <v>87500</v>
      </c>
      <c r="B180" s="7">
        <f t="shared" si="33"/>
        <v>7291.666666666667</v>
      </c>
      <c r="C180" s="7">
        <f>'Total income package'!$D$80</f>
        <v>0</v>
      </c>
      <c r="D180" s="7">
        <f t="shared" si="29"/>
        <v>7291.666666666667</v>
      </c>
      <c r="E180" s="65">
        <f t="shared" si="30"/>
        <v>4.0434380776340113</v>
      </c>
      <c r="F180" s="65" t="str">
        <f t="shared" si="23"/>
        <v>No</v>
      </c>
      <c r="G180" s="65" t="str">
        <f t="shared" si="24"/>
        <v>No</v>
      </c>
      <c r="H180" s="301" t="str">
        <f>IF(OR('TANF-VIEW'!L184&gt;0,'TANF-VIEW'!T184&gt;0),"Yes","No")</f>
        <v>No</v>
      </c>
      <c r="I180" s="63">
        <f t="shared" si="25"/>
        <v>0</v>
      </c>
      <c r="J180" s="6">
        <f>(IF(B180&gt;$N$2,0,VLOOKUP('Total income package'!$B$3,'Location specific data'!$A$3:$AO$135,33,FALSE))*$C$2)*20</f>
        <v>0</v>
      </c>
      <c r="K180" s="6">
        <f>IF(B180&gt;$N$2,0,VLOOKUP('Total income package'!$B$3,'Location specific data'!$A$3:$AO$135,34,FALSE))*$D$2*20</f>
        <v>0</v>
      </c>
      <c r="L180" s="6">
        <f>IF(B180&gt;$N$2,0,VLOOKUP('Total income package'!$B$3,'Location specific data'!$A$3:$AO$135,35,FALSE))*$E$2*20</f>
        <v>0</v>
      </c>
      <c r="M180" s="6">
        <f>IF(B180&gt;$N$2,0,VLOOKUP('Total income package'!$B$3,'Location specific data'!$A$3:$AO$135,36,FALSE))*$F$2*20</f>
        <v>0</v>
      </c>
      <c r="N180" s="6">
        <f>IF(B180&gt;$N$2,0,VLOOKUP('Total income package'!$B$3,'Location specific data'!$A$3:$AO$135,37,FALSE))*($G$2+$H$2)*20</f>
        <v>0</v>
      </c>
      <c r="O180" s="6">
        <f t="shared" si="26"/>
        <v>0</v>
      </c>
      <c r="P180" s="312">
        <f t="shared" si="32"/>
        <v>364.58333333333337</v>
      </c>
      <c r="Q180" s="312">
        <f t="shared" si="28"/>
        <v>0</v>
      </c>
      <c r="R180" s="312">
        <f t="shared" si="31"/>
        <v>0</v>
      </c>
      <c r="S180" s="160">
        <f>IF(AND('Total income package'!$A$8=TRUE,OR(F180="Yes",G180="Yes",H180="Yes")),SUM(J180:N180)-R180,0)</f>
        <v>0</v>
      </c>
    </row>
    <row r="181" spans="1:19" x14ac:dyDescent="0.25">
      <c r="A181" s="6">
        <v>88000</v>
      </c>
      <c r="B181" s="7">
        <f t="shared" si="33"/>
        <v>7333.333333333333</v>
      </c>
      <c r="C181" s="7">
        <f>'Total income package'!$D$80</f>
        <v>0</v>
      </c>
      <c r="D181" s="7">
        <f t="shared" si="29"/>
        <v>7333.333333333333</v>
      </c>
      <c r="E181" s="65">
        <f t="shared" si="30"/>
        <v>4.066543438077634</v>
      </c>
      <c r="F181" s="65" t="str">
        <f t="shared" si="23"/>
        <v>No</v>
      </c>
      <c r="G181" s="65" t="str">
        <f t="shared" si="24"/>
        <v>No</v>
      </c>
      <c r="H181" s="301" t="str">
        <f>IF(OR('TANF-VIEW'!L185&gt;0,'TANF-VIEW'!T185&gt;0),"Yes","No")</f>
        <v>No</v>
      </c>
      <c r="I181" s="63">
        <f t="shared" si="25"/>
        <v>0</v>
      </c>
      <c r="J181" s="6">
        <f>(IF(B181&gt;$N$2,0,VLOOKUP('Total income package'!$B$3,'Location specific data'!$A$3:$AO$135,33,FALSE))*$C$2)*20</f>
        <v>0</v>
      </c>
      <c r="K181" s="6">
        <f>IF(B181&gt;$N$2,0,VLOOKUP('Total income package'!$B$3,'Location specific data'!$A$3:$AO$135,34,FALSE))*$D$2*20</f>
        <v>0</v>
      </c>
      <c r="L181" s="6">
        <f>IF(B181&gt;$N$2,0,VLOOKUP('Total income package'!$B$3,'Location specific data'!$A$3:$AO$135,35,FALSE))*$E$2*20</f>
        <v>0</v>
      </c>
      <c r="M181" s="6">
        <f>IF(B181&gt;$N$2,0,VLOOKUP('Total income package'!$B$3,'Location specific data'!$A$3:$AO$135,36,FALSE))*$F$2*20</f>
        <v>0</v>
      </c>
      <c r="N181" s="6">
        <f>IF(B181&gt;$N$2,0,VLOOKUP('Total income package'!$B$3,'Location specific data'!$A$3:$AO$135,37,FALSE))*($G$2+$H$2)*20</f>
        <v>0</v>
      </c>
      <c r="O181" s="6">
        <f t="shared" si="26"/>
        <v>0</v>
      </c>
      <c r="P181" s="312">
        <f t="shared" si="32"/>
        <v>366.66666666666669</v>
      </c>
      <c r="Q181" s="312">
        <f t="shared" si="28"/>
        <v>0</v>
      </c>
      <c r="R181" s="312">
        <f t="shared" si="31"/>
        <v>0</v>
      </c>
      <c r="S181" s="160">
        <f>IF(AND('Total income package'!$A$8=TRUE,OR(F181="Yes",G181="Yes",H181="Yes")),SUM(J181:N181)-R181,0)</f>
        <v>0</v>
      </c>
    </row>
    <row r="182" spans="1:19" x14ac:dyDescent="0.25">
      <c r="A182" s="6">
        <v>88500</v>
      </c>
      <c r="B182" s="7">
        <f t="shared" si="33"/>
        <v>7375</v>
      </c>
      <c r="C182" s="7">
        <f>'Total income package'!$D$80</f>
        <v>0</v>
      </c>
      <c r="D182" s="7">
        <f t="shared" si="29"/>
        <v>7375</v>
      </c>
      <c r="E182" s="65">
        <f t="shared" si="30"/>
        <v>4.0896487985212575</v>
      </c>
      <c r="F182" s="65" t="str">
        <f t="shared" si="23"/>
        <v>No</v>
      </c>
      <c r="G182" s="65" t="str">
        <f t="shared" si="24"/>
        <v>No</v>
      </c>
      <c r="H182" s="301" t="str">
        <f>IF(OR('TANF-VIEW'!L186&gt;0,'TANF-VIEW'!T186&gt;0),"Yes","No")</f>
        <v>No</v>
      </c>
      <c r="I182" s="63">
        <f t="shared" si="25"/>
        <v>0</v>
      </c>
      <c r="J182" s="6">
        <f>(IF(B182&gt;$N$2,0,VLOOKUP('Total income package'!$B$3,'Location specific data'!$A$3:$AO$135,33,FALSE))*$C$2)*20</f>
        <v>0</v>
      </c>
      <c r="K182" s="6">
        <f>IF(B182&gt;$N$2,0,VLOOKUP('Total income package'!$B$3,'Location specific data'!$A$3:$AO$135,34,FALSE))*$D$2*20</f>
        <v>0</v>
      </c>
      <c r="L182" s="6">
        <f>IF(B182&gt;$N$2,0,VLOOKUP('Total income package'!$B$3,'Location specific data'!$A$3:$AO$135,35,FALSE))*$E$2*20</f>
        <v>0</v>
      </c>
      <c r="M182" s="6">
        <f>IF(B182&gt;$N$2,0,VLOOKUP('Total income package'!$B$3,'Location specific data'!$A$3:$AO$135,36,FALSE))*$F$2*20</f>
        <v>0</v>
      </c>
      <c r="N182" s="6">
        <f>IF(B182&gt;$N$2,0,VLOOKUP('Total income package'!$B$3,'Location specific data'!$A$3:$AO$135,37,FALSE))*($G$2+$H$2)*20</f>
        <v>0</v>
      </c>
      <c r="O182" s="6">
        <f t="shared" si="26"/>
        <v>0</v>
      </c>
      <c r="P182" s="312">
        <f t="shared" si="32"/>
        <v>368.75</v>
      </c>
      <c r="Q182" s="312">
        <f t="shared" si="28"/>
        <v>0</v>
      </c>
      <c r="R182" s="312">
        <f t="shared" si="31"/>
        <v>0</v>
      </c>
      <c r="S182" s="160">
        <f>IF(AND('Total income package'!$A$8=TRUE,OR(F182="Yes",G182="Yes",H182="Yes")),SUM(J182:N182)-R182,0)</f>
        <v>0</v>
      </c>
    </row>
    <row r="183" spans="1:19" x14ac:dyDescent="0.25">
      <c r="A183" s="6">
        <v>89000</v>
      </c>
      <c r="B183" s="7">
        <f t="shared" si="33"/>
        <v>7416.666666666667</v>
      </c>
      <c r="C183" s="7">
        <f>'Total income package'!$D$80</f>
        <v>0</v>
      </c>
      <c r="D183" s="7">
        <f t="shared" si="29"/>
        <v>7416.666666666667</v>
      </c>
      <c r="E183" s="65">
        <f t="shared" si="30"/>
        <v>4.1127541589648802</v>
      </c>
      <c r="F183" s="65" t="str">
        <f t="shared" si="23"/>
        <v>No</v>
      </c>
      <c r="G183" s="65" t="str">
        <f t="shared" si="24"/>
        <v>No</v>
      </c>
      <c r="H183" s="301" t="str">
        <f>IF(OR('TANF-VIEW'!L187&gt;0,'TANF-VIEW'!T187&gt;0),"Yes","No")</f>
        <v>No</v>
      </c>
      <c r="I183" s="63">
        <f t="shared" si="25"/>
        <v>0</v>
      </c>
      <c r="J183" s="6">
        <f>(IF(B183&gt;$N$2,0,VLOOKUP('Total income package'!$B$3,'Location specific data'!$A$3:$AO$135,33,FALSE))*$C$2)*20</f>
        <v>0</v>
      </c>
      <c r="K183" s="6">
        <f>IF(B183&gt;$N$2,0,VLOOKUP('Total income package'!$B$3,'Location specific data'!$A$3:$AO$135,34,FALSE))*$D$2*20</f>
        <v>0</v>
      </c>
      <c r="L183" s="6">
        <f>IF(B183&gt;$N$2,0,VLOOKUP('Total income package'!$B$3,'Location specific data'!$A$3:$AO$135,35,FALSE))*$E$2*20</f>
        <v>0</v>
      </c>
      <c r="M183" s="6">
        <f>IF(B183&gt;$N$2,0,VLOOKUP('Total income package'!$B$3,'Location specific data'!$A$3:$AO$135,36,FALSE))*$F$2*20</f>
        <v>0</v>
      </c>
      <c r="N183" s="6">
        <f>IF(B183&gt;$N$2,0,VLOOKUP('Total income package'!$B$3,'Location specific data'!$A$3:$AO$135,37,FALSE))*($G$2+$H$2)*20</f>
        <v>0</v>
      </c>
      <c r="O183" s="6">
        <f t="shared" si="26"/>
        <v>0</v>
      </c>
      <c r="P183" s="312">
        <f t="shared" si="32"/>
        <v>370.83333333333337</v>
      </c>
      <c r="Q183" s="312">
        <f t="shared" si="28"/>
        <v>0</v>
      </c>
      <c r="R183" s="312">
        <f t="shared" si="31"/>
        <v>0</v>
      </c>
      <c r="S183" s="160">
        <f>IF(AND('Total income package'!$A$8=TRUE,OR(F183="Yes",G183="Yes",H183="Yes")),SUM(J183:N183)-R183,0)</f>
        <v>0</v>
      </c>
    </row>
    <row r="184" spans="1:19" x14ac:dyDescent="0.25">
      <c r="A184" s="6">
        <v>89500</v>
      </c>
      <c r="B184" s="7">
        <f t="shared" si="33"/>
        <v>7458.333333333333</v>
      </c>
      <c r="C184" s="7">
        <f>'Total income package'!$D$80</f>
        <v>0</v>
      </c>
      <c r="D184" s="7">
        <f t="shared" si="29"/>
        <v>7458.333333333333</v>
      </c>
      <c r="E184" s="65">
        <f t="shared" si="30"/>
        <v>4.1358595194085028</v>
      </c>
      <c r="F184" s="65" t="str">
        <f t="shared" si="23"/>
        <v>No</v>
      </c>
      <c r="G184" s="65" t="str">
        <f t="shared" si="24"/>
        <v>No</v>
      </c>
      <c r="H184" s="301" t="str">
        <f>IF(OR('TANF-VIEW'!L188&gt;0,'TANF-VIEW'!T188&gt;0),"Yes","No")</f>
        <v>No</v>
      </c>
      <c r="I184" s="63">
        <f t="shared" si="25"/>
        <v>0</v>
      </c>
      <c r="J184" s="6">
        <f>(IF(B184&gt;$N$2,0,VLOOKUP('Total income package'!$B$3,'Location specific data'!$A$3:$AO$135,33,FALSE))*$C$2)*20</f>
        <v>0</v>
      </c>
      <c r="K184" s="6">
        <f>IF(B184&gt;$N$2,0,VLOOKUP('Total income package'!$B$3,'Location specific data'!$A$3:$AO$135,34,FALSE))*$D$2*20</f>
        <v>0</v>
      </c>
      <c r="L184" s="6">
        <f>IF(B184&gt;$N$2,0,VLOOKUP('Total income package'!$B$3,'Location specific data'!$A$3:$AO$135,35,FALSE))*$E$2*20</f>
        <v>0</v>
      </c>
      <c r="M184" s="6">
        <f>IF(B184&gt;$N$2,0,VLOOKUP('Total income package'!$B$3,'Location specific data'!$A$3:$AO$135,36,FALSE))*$F$2*20</f>
        <v>0</v>
      </c>
      <c r="N184" s="6">
        <f>IF(B184&gt;$N$2,0,VLOOKUP('Total income package'!$B$3,'Location specific data'!$A$3:$AO$135,37,FALSE))*($G$2+$H$2)*20</f>
        <v>0</v>
      </c>
      <c r="O184" s="6">
        <f t="shared" si="26"/>
        <v>0</v>
      </c>
      <c r="P184" s="312">
        <f t="shared" si="32"/>
        <v>372.91666666666669</v>
      </c>
      <c r="Q184" s="312">
        <f t="shared" si="28"/>
        <v>0</v>
      </c>
      <c r="R184" s="312">
        <f t="shared" si="31"/>
        <v>0</v>
      </c>
      <c r="S184" s="160">
        <f>IF(AND('Total income package'!$A$8=TRUE,OR(F184="Yes",G184="Yes",H184="Yes")),SUM(J184:N184)-R184,0)</f>
        <v>0</v>
      </c>
    </row>
    <row r="185" spans="1:19" x14ac:dyDescent="0.25">
      <c r="A185" s="6">
        <v>90000</v>
      </c>
      <c r="B185" s="7">
        <f t="shared" si="33"/>
        <v>7500</v>
      </c>
      <c r="C185" s="7">
        <f>'Total income package'!$D$80</f>
        <v>0</v>
      </c>
      <c r="D185" s="7">
        <f t="shared" si="29"/>
        <v>7500</v>
      </c>
      <c r="E185" s="65">
        <f t="shared" si="30"/>
        <v>4.1589648798521255</v>
      </c>
      <c r="F185" s="65" t="str">
        <f t="shared" si="23"/>
        <v>No</v>
      </c>
      <c r="G185" s="65" t="str">
        <f t="shared" si="24"/>
        <v>No</v>
      </c>
      <c r="H185" s="301" t="str">
        <f>IF(OR('TANF-VIEW'!L189&gt;0,'TANF-VIEW'!T189&gt;0),"Yes","No")</f>
        <v>No</v>
      </c>
      <c r="I185" s="63">
        <f t="shared" si="25"/>
        <v>0</v>
      </c>
      <c r="J185" s="6">
        <f>(IF(B185&gt;$N$2,0,VLOOKUP('Total income package'!$B$3,'Location specific data'!$A$3:$AO$135,33,FALSE))*$C$2)*20</f>
        <v>0</v>
      </c>
      <c r="K185" s="6">
        <f>IF(B185&gt;$N$2,0,VLOOKUP('Total income package'!$B$3,'Location specific data'!$A$3:$AO$135,34,FALSE))*$D$2*20</f>
        <v>0</v>
      </c>
      <c r="L185" s="6">
        <f>IF(B185&gt;$N$2,0,VLOOKUP('Total income package'!$B$3,'Location specific data'!$A$3:$AO$135,35,FALSE))*$E$2*20</f>
        <v>0</v>
      </c>
      <c r="M185" s="6">
        <f>IF(B185&gt;$N$2,0,VLOOKUP('Total income package'!$B$3,'Location specific data'!$A$3:$AO$135,36,FALSE))*$F$2*20</f>
        <v>0</v>
      </c>
      <c r="N185" s="6">
        <f>IF(B185&gt;$N$2,0,VLOOKUP('Total income package'!$B$3,'Location specific data'!$A$3:$AO$135,37,FALSE))*($G$2+$H$2)*20</f>
        <v>0</v>
      </c>
      <c r="O185" s="6">
        <f t="shared" si="26"/>
        <v>0</v>
      </c>
      <c r="P185" s="312">
        <f t="shared" si="32"/>
        <v>375</v>
      </c>
      <c r="Q185" s="312">
        <f t="shared" si="28"/>
        <v>0</v>
      </c>
      <c r="R185" s="312">
        <f t="shared" si="31"/>
        <v>0</v>
      </c>
      <c r="S185" s="160">
        <f>IF(AND('Total income package'!$A$8=TRUE,OR(F185="Yes",G185="Yes",H185="Yes")),SUM(J185:N185)-R185,0)</f>
        <v>0</v>
      </c>
    </row>
    <row r="186" spans="1:19" x14ac:dyDescent="0.25">
      <c r="A186" s="6">
        <v>90500</v>
      </c>
      <c r="B186" s="7">
        <f t="shared" si="33"/>
        <v>7541.666666666667</v>
      </c>
      <c r="C186" s="7">
        <f>'Total income package'!$D$80</f>
        <v>0</v>
      </c>
      <c r="D186" s="7">
        <f t="shared" si="29"/>
        <v>7541.666666666667</v>
      </c>
      <c r="E186" s="65">
        <f t="shared" si="30"/>
        <v>4.182070240295749</v>
      </c>
      <c r="F186" s="65" t="str">
        <f t="shared" si="23"/>
        <v>No</v>
      </c>
      <c r="G186" s="65" t="str">
        <f t="shared" si="24"/>
        <v>No</v>
      </c>
      <c r="H186" s="301" t="str">
        <f>IF(OR('TANF-VIEW'!L190&gt;0,'TANF-VIEW'!T190&gt;0),"Yes","No")</f>
        <v>No</v>
      </c>
      <c r="I186" s="63">
        <f t="shared" si="25"/>
        <v>0</v>
      </c>
      <c r="J186" s="6">
        <f>(IF(B186&gt;$N$2,0,VLOOKUP('Total income package'!$B$3,'Location specific data'!$A$3:$AO$135,33,FALSE))*$C$2)*20</f>
        <v>0</v>
      </c>
      <c r="K186" s="6">
        <f>IF(B186&gt;$N$2,0,VLOOKUP('Total income package'!$B$3,'Location specific data'!$A$3:$AO$135,34,FALSE))*$D$2*20</f>
        <v>0</v>
      </c>
      <c r="L186" s="6">
        <f>IF(B186&gt;$N$2,0,VLOOKUP('Total income package'!$B$3,'Location specific data'!$A$3:$AO$135,35,FALSE))*$E$2*20</f>
        <v>0</v>
      </c>
      <c r="M186" s="6">
        <f>IF(B186&gt;$N$2,0,VLOOKUP('Total income package'!$B$3,'Location specific data'!$A$3:$AO$135,36,FALSE))*$F$2*20</f>
        <v>0</v>
      </c>
      <c r="N186" s="6">
        <f>IF(B186&gt;$N$2,0,VLOOKUP('Total income package'!$B$3,'Location specific data'!$A$3:$AO$135,37,FALSE))*($G$2+$H$2)*20</f>
        <v>0</v>
      </c>
      <c r="O186" s="6">
        <f t="shared" si="26"/>
        <v>0</v>
      </c>
      <c r="P186" s="312">
        <f t="shared" si="32"/>
        <v>377.08333333333337</v>
      </c>
      <c r="Q186" s="312">
        <f t="shared" si="28"/>
        <v>0</v>
      </c>
      <c r="R186" s="312">
        <f t="shared" si="31"/>
        <v>0</v>
      </c>
      <c r="S186" s="160">
        <f>IF(AND('Total income package'!$A$8=TRUE,OR(F186="Yes",G186="Yes",H186="Yes")),SUM(J186:N186)-R186,0)</f>
        <v>0</v>
      </c>
    </row>
    <row r="187" spans="1:19" x14ac:dyDescent="0.25">
      <c r="A187" s="6">
        <v>91000</v>
      </c>
      <c r="B187" s="7">
        <f t="shared" si="33"/>
        <v>7583.333333333333</v>
      </c>
      <c r="C187" s="7">
        <f>'Total income package'!$D$80</f>
        <v>0</v>
      </c>
      <c r="D187" s="7">
        <f t="shared" si="29"/>
        <v>7583.333333333333</v>
      </c>
      <c r="E187" s="65">
        <f t="shared" si="30"/>
        <v>4.2051756007393717</v>
      </c>
      <c r="F187" s="65" t="str">
        <f t="shared" si="23"/>
        <v>No</v>
      </c>
      <c r="G187" s="65" t="str">
        <f t="shared" si="24"/>
        <v>No</v>
      </c>
      <c r="H187" s="301" t="str">
        <f>IF(OR('TANF-VIEW'!L191&gt;0,'TANF-VIEW'!T191&gt;0),"Yes","No")</f>
        <v>No</v>
      </c>
      <c r="I187" s="63">
        <f t="shared" si="25"/>
        <v>0</v>
      </c>
      <c r="J187" s="6">
        <f>(IF(B187&gt;$N$2,0,VLOOKUP('Total income package'!$B$3,'Location specific data'!$A$3:$AO$135,33,FALSE))*$C$2)*20</f>
        <v>0</v>
      </c>
      <c r="K187" s="6">
        <f>IF(B187&gt;$N$2,0,VLOOKUP('Total income package'!$B$3,'Location specific data'!$A$3:$AO$135,34,FALSE))*$D$2*20</f>
        <v>0</v>
      </c>
      <c r="L187" s="6">
        <f>IF(B187&gt;$N$2,0,VLOOKUP('Total income package'!$B$3,'Location specific data'!$A$3:$AO$135,35,FALSE))*$E$2*20</f>
        <v>0</v>
      </c>
      <c r="M187" s="6">
        <f>IF(B187&gt;$N$2,0,VLOOKUP('Total income package'!$B$3,'Location specific data'!$A$3:$AO$135,36,FALSE))*$F$2*20</f>
        <v>0</v>
      </c>
      <c r="N187" s="6">
        <f>IF(B187&gt;$N$2,0,VLOOKUP('Total income package'!$B$3,'Location specific data'!$A$3:$AO$135,37,FALSE))*($G$2+$H$2)*20</f>
        <v>0</v>
      </c>
      <c r="O187" s="6">
        <f t="shared" si="26"/>
        <v>0</v>
      </c>
      <c r="P187" s="312">
        <f t="shared" si="32"/>
        <v>379.16666666666669</v>
      </c>
      <c r="Q187" s="312">
        <f t="shared" si="28"/>
        <v>0</v>
      </c>
      <c r="R187" s="312">
        <f t="shared" si="31"/>
        <v>0</v>
      </c>
      <c r="S187" s="160">
        <f>IF(AND('Total income package'!$A$8=TRUE,OR(F187="Yes",G187="Yes",H187="Yes")),SUM(J187:N187)-R187,0)</f>
        <v>0</v>
      </c>
    </row>
    <row r="188" spans="1:19" x14ac:dyDescent="0.25">
      <c r="A188" s="6">
        <v>91500</v>
      </c>
      <c r="B188" s="7">
        <f t="shared" si="33"/>
        <v>7625</v>
      </c>
      <c r="C188" s="7">
        <f>'Total income package'!$D$80</f>
        <v>0</v>
      </c>
      <c r="D188" s="7">
        <f t="shared" si="29"/>
        <v>7625</v>
      </c>
      <c r="E188" s="65">
        <f t="shared" si="30"/>
        <v>4.2282809611829943</v>
      </c>
      <c r="F188" s="65" t="str">
        <f t="shared" si="23"/>
        <v>No</v>
      </c>
      <c r="G188" s="65" t="str">
        <f t="shared" si="24"/>
        <v>No</v>
      </c>
      <c r="H188" s="301" t="str">
        <f>IF(OR('TANF-VIEW'!L192&gt;0,'TANF-VIEW'!T192&gt;0),"Yes","No")</f>
        <v>No</v>
      </c>
      <c r="I188" s="63">
        <f t="shared" si="25"/>
        <v>0</v>
      </c>
      <c r="J188" s="6">
        <f>(IF(B188&gt;$N$2,0,VLOOKUP('Total income package'!$B$3,'Location specific data'!$A$3:$AO$135,33,FALSE))*$C$2)*20</f>
        <v>0</v>
      </c>
      <c r="K188" s="6">
        <f>IF(B188&gt;$N$2,0,VLOOKUP('Total income package'!$B$3,'Location specific data'!$A$3:$AO$135,34,FALSE))*$D$2*20</f>
        <v>0</v>
      </c>
      <c r="L188" s="6">
        <f>IF(B188&gt;$N$2,0,VLOOKUP('Total income package'!$B$3,'Location specific data'!$A$3:$AO$135,35,FALSE))*$E$2*20</f>
        <v>0</v>
      </c>
      <c r="M188" s="6">
        <f>IF(B188&gt;$N$2,0,VLOOKUP('Total income package'!$B$3,'Location specific data'!$A$3:$AO$135,36,FALSE))*$F$2*20</f>
        <v>0</v>
      </c>
      <c r="N188" s="6">
        <f>IF(B188&gt;$N$2,0,VLOOKUP('Total income package'!$B$3,'Location specific data'!$A$3:$AO$135,37,FALSE))*($G$2+$H$2)*20</f>
        <v>0</v>
      </c>
      <c r="O188" s="6">
        <f t="shared" si="26"/>
        <v>0</v>
      </c>
      <c r="P188" s="312">
        <f t="shared" si="32"/>
        <v>381.25</v>
      </c>
      <c r="Q188" s="312">
        <f t="shared" si="28"/>
        <v>0</v>
      </c>
      <c r="R188" s="312">
        <f t="shared" si="31"/>
        <v>0</v>
      </c>
      <c r="S188" s="160">
        <f>IF(AND('Total income package'!$A$8=TRUE,OR(F188="Yes",G188="Yes",H188="Yes")),SUM(J188:N188)-R188,0)</f>
        <v>0</v>
      </c>
    </row>
    <row r="189" spans="1:19" x14ac:dyDescent="0.25">
      <c r="A189" s="6">
        <v>92000</v>
      </c>
      <c r="B189" s="7">
        <f t="shared" si="33"/>
        <v>7666.666666666667</v>
      </c>
      <c r="C189" s="7">
        <f>'Total income package'!$D$80</f>
        <v>0</v>
      </c>
      <c r="D189" s="7">
        <f t="shared" si="29"/>
        <v>7666.666666666667</v>
      </c>
      <c r="E189" s="65">
        <f t="shared" si="30"/>
        <v>4.2513863216266179</v>
      </c>
      <c r="F189" s="65" t="str">
        <f t="shared" si="23"/>
        <v>No</v>
      </c>
      <c r="G189" s="65" t="str">
        <f t="shared" si="24"/>
        <v>No</v>
      </c>
      <c r="H189" s="301" t="str">
        <f>IF(OR('TANF-VIEW'!L193&gt;0,'TANF-VIEW'!T193&gt;0),"Yes","No")</f>
        <v>No</v>
      </c>
      <c r="I189" s="63">
        <f t="shared" si="25"/>
        <v>0</v>
      </c>
      <c r="J189" s="6">
        <f>(IF(B189&gt;$N$2,0,VLOOKUP('Total income package'!$B$3,'Location specific data'!$A$3:$AO$135,33,FALSE))*$C$2)*20</f>
        <v>0</v>
      </c>
      <c r="K189" s="6">
        <f>IF(B189&gt;$N$2,0,VLOOKUP('Total income package'!$B$3,'Location specific data'!$A$3:$AO$135,34,FALSE))*$D$2*20</f>
        <v>0</v>
      </c>
      <c r="L189" s="6">
        <f>IF(B189&gt;$N$2,0,VLOOKUP('Total income package'!$B$3,'Location specific data'!$A$3:$AO$135,35,FALSE))*$E$2*20</f>
        <v>0</v>
      </c>
      <c r="M189" s="6">
        <f>IF(B189&gt;$N$2,0,VLOOKUP('Total income package'!$B$3,'Location specific data'!$A$3:$AO$135,36,FALSE))*$F$2*20</f>
        <v>0</v>
      </c>
      <c r="N189" s="6">
        <f>IF(B189&gt;$N$2,0,VLOOKUP('Total income package'!$B$3,'Location specific data'!$A$3:$AO$135,37,FALSE))*($G$2+$H$2)*20</f>
        <v>0</v>
      </c>
      <c r="O189" s="6">
        <f t="shared" si="26"/>
        <v>0</v>
      </c>
      <c r="P189" s="312">
        <f t="shared" si="32"/>
        <v>383.33333333333337</v>
      </c>
      <c r="Q189" s="312">
        <f t="shared" si="28"/>
        <v>0</v>
      </c>
      <c r="R189" s="312">
        <f t="shared" si="31"/>
        <v>0</v>
      </c>
      <c r="S189" s="160">
        <f>IF(AND('Total income package'!$A$8=TRUE,OR(F189="Yes",G189="Yes",H189="Yes")),SUM(J189:N189)-R189,0)</f>
        <v>0</v>
      </c>
    </row>
    <row r="190" spans="1:19" x14ac:dyDescent="0.25">
      <c r="A190" s="6">
        <v>92500</v>
      </c>
      <c r="B190" s="7">
        <f t="shared" si="33"/>
        <v>7708.333333333333</v>
      </c>
      <c r="C190" s="7">
        <f>'Total income package'!$D$80</f>
        <v>0</v>
      </c>
      <c r="D190" s="7">
        <f t="shared" si="29"/>
        <v>7708.333333333333</v>
      </c>
      <c r="E190" s="65">
        <f t="shared" si="30"/>
        <v>4.2744916820702406</v>
      </c>
      <c r="F190" s="65" t="str">
        <f t="shared" si="23"/>
        <v>No</v>
      </c>
      <c r="G190" s="65" t="str">
        <f t="shared" si="24"/>
        <v>No</v>
      </c>
      <c r="H190" s="301" t="str">
        <f>IF(OR('TANF-VIEW'!L194&gt;0,'TANF-VIEW'!T194&gt;0),"Yes","No")</f>
        <v>No</v>
      </c>
      <c r="I190" s="63">
        <f t="shared" si="25"/>
        <v>0</v>
      </c>
      <c r="J190" s="6">
        <f>(IF(B190&gt;$N$2,0,VLOOKUP('Total income package'!$B$3,'Location specific data'!$A$3:$AO$135,33,FALSE))*$C$2)*20</f>
        <v>0</v>
      </c>
      <c r="K190" s="6">
        <f>IF(B190&gt;$N$2,0,VLOOKUP('Total income package'!$B$3,'Location specific data'!$A$3:$AO$135,34,FALSE))*$D$2*20</f>
        <v>0</v>
      </c>
      <c r="L190" s="6">
        <f>IF(B190&gt;$N$2,0,VLOOKUP('Total income package'!$B$3,'Location specific data'!$A$3:$AO$135,35,FALSE))*$E$2*20</f>
        <v>0</v>
      </c>
      <c r="M190" s="6">
        <f>IF(B190&gt;$N$2,0,VLOOKUP('Total income package'!$B$3,'Location specific data'!$A$3:$AO$135,36,FALSE))*$F$2*20</f>
        <v>0</v>
      </c>
      <c r="N190" s="6">
        <f>IF(B190&gt;$N$2,0,VLOOKUP('Total income package'!$B$3,'Location specific data'!$A$3:$AO$135,37,FALSE))*($G$2+$H$2)*20</f>
        <v>0</v>
      </c>
      <c r="O190" s="6">
        <f t="shared" si="26"/>
        <v>0</v>
      </c>
      <c r="P190" s="312">
        <f t="shared" si="32"/>
        <v>385.41666666666669</v>
      </c>
      <c r="Q190" s="312">
        <f t="shared" si="28"/>
        <v>0</v>
      </c>
      <c r="R190" s="312">
        <f t="shared" si="31"/>
        <v>0</v>
      </c>
      <c r="S190" s="160">
        <f>IF(AND('Total income package'!$A$8=TRUE,OR(F190="Yes",G190="Yes",H190="Yes")),SUM(J190:N190)-R190,0)</f>
        <v>0</v>
      </c>
    </row>
    <row r="191" spans="1:19" x14ac:dyDescent="0.25">
      <c r="A191" s="6">
        <v>93000</v>
      </c>
      <c r="B191" s="7">
        <f t="shared" si="33"/>
        <v>7750</v>
      </c>
      <c r="C191" s="7">
        <f>'Total income package'!$D$80</f>
        <v>0</v>
      </c>
      <c r="D191" s="7">
        <f t="shared" si="29"/>
        <v>7750</v>
      </c>
      <c r="E191" s="65">
        <f t="shared" si="30"/>
        <v>4.2975970425138632</v>
      </c>
      <c r="F191" s="65" t="str">
        <f t="shared" si="23"/>
        <v>No</v>
      </c>
      <c r="G191" s="65" t="str">
        <f t="shared" si="24"/>
        <v>No</v>
      </c>
      <c r="H191" s="301" t="str">
        <f>IF(OR('TANF-VIEW'!L195&gt;0,'TANF-VIEW'!T195&gt;0),"Yes","No")</f>
        <v>No</v>
      </c>
      <c r="I191" s="63">
        <f t="shared" si="25"/>
        <v>0</v>
      </c>
      <c r="J191" s="6">
        <f>(IF(B191&gt;$N$2,0,VLOOKUP('Total income package'!$B$3,'Location specific data'!$A$3:$AO$135,33,FALSE))*$C$2)*20</f>
        <v>0</v>
      </c>
      <c r="K191" s="6">
        <f>IF(B191&gt;$N$2,0,VLOOKUP('Total income package'!$B$3,'Location specific data'!$A$3:$AO$135,34,FALSE))*$D$2*20</f>
        <v>0</v>
      </c>
      <c r="L191" s="6">
        <f>IF(B191&gt;$N$2,0,VLOOKUP('Total income package'!$B$3,'Location specific data'!$A$3:$AO$135,35,FALSE))*$E$2*20</f>
        <v>0</v>
      </c>
      <c r="M191" s="6">
        <f>IF(B191&gt;$N$2,0,VLOOKUP('Total income package'!$B$3,'Location specific data'!$A$3:$AO$135,36,FALSE))*$F$2*20</f>
        <v>0</v>
      </c>
      <c r="N191" s="6">
        <f>IF(B191&gt;$N$2,0,VLOOKUP('Total income package'!$B$3,'Location specific data'!$A$3:$AO$135,37,FALSE))*($G$2+$H$2)*20</f>
        <v>0</v>
      </c>
      <c r="O191" s="6">
        <f t="shared" si="26"/>
        <v>0</v>
      </c>
      <c r="P191" s="312">
        <f t="shared" si="32"/>
        <v>387.5</v>
      </c>
      <c r="Q191" s="312">
        <f t="shared" si="28"/>
        <v>0</v>
      </c>
      <c r="R191" s="312">
        <f t="shared" si="31"/>
        <v>0</v>
      </c>
      <c r="S191" s="160">
        <f>IF(AND('Total income package'!$A$8=TRUE,OR(F191="Yes",G191="Yes",H191="Yes")),SUM(J191:N191)-R191,0)</f>
        <v>0</v>
      </c>
    </row>
    <row r="192" spans="1:19" x14ac:dyDescent="0.25">
      <c r="A192" s="6">
        <v>93500</v>
      </c>
      <c r="B192" s="7">
        <f t="shared" si="33"/>
        <v>7791.666666666667</v>
      </c>
      <c r="C192" s="7">
        <f>'Total income package'!$D$80</f>
        <v>0</v>
      </c>
      <c r="D192" s="7">
        <f t="shared" si="29"/>
        <v>7791.666666666667</v>
      </c>
      <c r="E192" s="65">
        <f t="shared" si="30"/>
        <v>4.3207024029574868</v>
      </c>
      <c r="F192" s="65" t="str">
        <f t="shared" si="23"/>
        <v>No</v>
      </c>
      <c r="G192" s="65" t="str">
        <f t="shared" si="24"/>
        <v>No</v>
      </c>
      <c r="H192" s="301" t="str">
        <f>IF(OR('TANF-VIEW'!L196&gt;0,'TANF-VIEW'!T196&gt;0),"Yes","No")</f>
        <v>No</v>
      </c>
      <c r="I192" s="63">
        <f t="shared" si="25"/>
        <v>0</v>
      </c>
      <c r="J192" s="6">
        <f>(IF(B192&gt;$N$2,0,VLOOKUP('Total income package'!$B$3,'Location specific data'!$A$3:$AO$135,33,FALSE))*$C$2)*20</f>
        <v>0</v>
      </c>
      <c r="K192" s="6">
        <f>IF(B192&gt;$N$2,0,VLOOKUP('Total income package'!$B$3,'Location specific data'!$A$3:$AO$135,34,FALSE))*$D$2*20</f>
        <v>0</v>
      </c>
      <c r="L192" s="6">
        <f>IF(B192&gt;$N$2,0,VLOOKUP('Total income package'!$B$3,'Location specific data'!$A$3:$AO$135,35,FALSE))*$E$2*20</f>
        <v>0</v>
      </c>
      <c r="M192" s="6">
        <f>IF(B192&gt;$N$2,0,VLOOKUP('Total income package'!$B$3,'Location specific data'!$A$3:$AO$135,36,FALSE))*$F$2*20</f>
        <v>0</v>
      </c>
      <c r="N192" s="6">
        <f>IF(B192&gt;$N$2,0,VLOOKUP('Total income package'!$B$3,'Location specific data'!$A$3:$AO$135,37,FALSE))*($G$2+$H$2)*20</f>
        <v>0</v>
      </c>
      <c r="O192" s="6">
        <f t="shared" si="26"/>
        <v>0</v>
      </c>
      <c r="P192" s="312">
        <f t="shared" si="32"/>
        <v>389.58333333333337</v>
      </c>
      <c r="Q192" s="312">
        <f t="shared" si="28"/>
        <v>0</v>
      </c>
      <c r="R192" s="312">
        <f t="shared" si="31"/>
        <v>0</v>
      </c>
      <c r="S192" s="160">
        <f>IF(AND('Total income package'!$A$8=TRUE,OR(F192="Yes",G192="Yes",H192="Yes")),SUM(J192:N192)-R192,0)</f>
        <v>0</v>
      </c>
    </row>
    <row r="193" spans="1:19" x14ac:dyDescent="0.25">
      <c r="A193" s="6">
        <v>94000</v>
      </c>
      <c r="B193" s="7">
        <f t="shared" si="33"/>
        <v>7833.333333333333</v>
      </c>
      <c r="C193" s="7">
        <f>'Total income package'!$D$80</f>
        <v>0</v>
      </c>
      <c r="D193" s="7">
        <f t="shared" si="29"/>
        <v>7833.333333333333</v>
      </c>
      <c r="E193" s="65">
        <f t="shared" si="30"/>
        <v>4.3438077634011094</v>
      </c>
      <c r="F193" s="65" t="str">
        <f t="shared" si="23"/>
        <v>No</v>
      </c>
      <c r="G193" s="65" t="str">
        <f t="shared" si="24"/>
        <v>No</v>
      </c>
      <c r="H193" s="301" t="str">
        <f>IF(OR('TANF-VIEW'!L197&gt;0,'TANF-VIEW'!T197&gt;0),"Yes","No")</f>
        <v>No</v>
      </c>
      <c r="I193" s="63">
        <f t="shared" si="25"/>
        <v>0</v>
      </c>
      <c r="J193" s="6">
        <f>(IF(B193&gt;$N$2,0,VLOOKUP('Total income package'!$B$3,'Location specific data'!$A$3:$AO$135,33,FALSE))*$C$2)*20</f>
        <v>0</v>
      </c>
      <c r="K193" s="6">
        <f>IF(B193&gt;$N$2,0,VLOOKUP('Total income package'!$B$3,'Location specific data'!$A$3:$AO$135,34,FALSE))*$D$2*20</f>
        <v>0</v>
      </c>
      <c r="L193" s="6">
        <f>IF(B193&gt;$N$2,0,VLOOKUP('Total income package'!$B$3,'Location specific data'!$A$3:$AO$135,35,FALSE))*$E$2*20</f>
        <v>0</v>
      </c>
      <c r="M193" s="6">
        <f>IF(B193&gt;$N$2,0,VLOOKUP('Total income package'!$B$3,'Location specific data'!$A$3:$AO$135,36,FALSE))*$F$2*20</f>
        <v>0</v>
      </c>
      <c r="N193" s="6">
        <f>IF(B193&gt;$N$2,0,VLOOKUP('Total income package'!$B$3,'Location specific data'!$A$3:$AO$135,37,FALSE))*($G$2+$H$2)*20</f>
        <v>0</v>
      </c>
      <c r="O193" s="6">
        <f t="shared" si="26"/>
        <v>0</v>
      </c>
      <c r="P193" s="312">
        <f t="shared" si="32"/>
        <v>391.66666666666669</v>
      </c>
      <c r="Q193" s="312">
        <f t="shared" si="28"/>
        <v>0</v>
      </c>
      <c r="R193" s="312">
        <f t="shared" si="31"/>
        <v>0</v>
      </c>
      <c r="S193" s="160">
        <f>IF(AND('Total income package'!$A$8=TRUE,OR(F193="Yes",G193="Yes",H193="Yes")),SUM(J193:N193)-R193,0)</f>
        <v>0</v>
      </c>
    </row>
    <row r="194" spans="1:19" x14ac:dyDescent="0.25">
      <c r="A194" s="6">
        <v>94500</v>
      </c>
      <c r="B194" s="7">
        <f t="shared" si="33"/>
        <v>7875</v>
      </c>
      <c r="C194" s="7">
        <f>'Total income package'!$D$80</f>
        <v>0</v>
      </c>
      <c r="D194" s="7">
        <f t="shared" si="29"/>
        <v>7875</v>
      </c>
      <c r="E194" s="65">
        <f t="shared" si="30"/>
        <v>4.3669131238447321</v>
      </c>
      <c r="F194" s="65" t="str">
        <f t="shared" si="23"/>
        <v>No</v>
      </c>
      <c r="G194" s="65" t="str">
        <f t="shared" si="24"/>
        <v>No</v>
      </c>
      <c r="H194" s="301" t="str">
        <f>IF(OR('TANF-VIEW'!L198&gt;0,'TANF-VIEW'!T198&gt;0),"Yes","No")</f>
        <v>No</v>
      </c>
      <c r="I194" s="63">
        <f t="shared" si="25"/>
        <v>0</v>
      </c>
      <c r="J194" s="6">
        <f>(IF(B194&gt;$N$2,0,VLOOKUP('Total income package'!$B$3,'Location specific data'!$A$3:$AO$135,33,FALSE))*$C$2)*20</f>
        <v>0</v>
      </c>
      <c r="K194" s="6">
        <f>IF(B194&gt;$N$2,0,VLOOKUP('Total income package'!$B$3,'Location specific data'!$A$3:$AO$135,34,FALSE))*$D$2*20</f>
        <v>0</v>
      </c>
      <c r="L194" s="6">
        <f>IF(B194&gt;$N$2,0,VLOOKUP('Total income package'!$B$3,'Location specific data'!$A$3:$AO$135,35,FALSE))*$E$2*20</f>
        <v>0</v>
      </c>
      <c r="M194" s="6">
        <f>IF(B194&gt;$N$2,0,VLOOKUP('Total income package'!$B$3,'Location specific data'!$A$3:$AO$135,36,FALSE))*$F$2*20</f>
        <v>0</v>
      </c>
      <c r="N194" s="6">
        <f>IF(B194&gt;$N$2,0,VLOOKUP('Total income package'!$B$3,'Location specific data'!$A$3:$AO$135,37,FALSE))*($G$2+$H$2)*20</f>
        <v>0</v>
      </c>
      <c r="O194" s="6">
        <f t="shared" si="26"/>
        <v>0</v>
      </c>
      <c r="P194" s="312">
        <f t="shared" si="32"/>
        <v>393.75</v>
      </c>
      <c r="Q194" s="312">
        <f t="shared" si="28"/>
        <v>0</v>
      </c>
      <c r="R194" s="312">
        <f t="shared" si="31"/>
        <v>0</v>
      </c>
      <c r="S194" s="160">
        <f>IF(AND('Total income package'!$A$8=TRUE,OR(F194="Yes",G194="Yes",H194="Yes")),SUM(J194:N194)-R194,0)</f>
        <v>0</v>
      </c>
    </row>
    <row r="195" spans="1:19" x14ac:dyDescent="0.25">
      <c r="A195" s="6">
        <v>95000</v>
      </c>
      <c r="B195" s="7">
        <f t="shared" si="33"/>
        <v>7916.666666666667</v>
      </c>
      <c r="C195" s="7">
        <f>'Total income package'!$D$80</f>
        <v>0</v>
      </c>
      <c r="D195" s="7">
        <f t="shared" si="29"/>
        <v>7916.666666666667</v>
      </c>
      <c r="E195" s="65">
        <f t="shared" si="30"/>
        <v>4.3900184842883556</v>
      </c>
      <c r="F195" s="65" t="str">
        <f t="shared" si="23"/>
        <v>No</v>
      </c>
      <c r="G195" s="65" t="str">
        <f t="shared" si="24"/>
        <v>No</v>
      </c>
      <c r="H195" s="301" t="str">
        <f>IF(OR('TANF-VIEW'!L199&gt;0,'TANF-VIEW'!T199&gt;0),"Yes","No")</f>
        <v>No</v>
      </c>
      <c r="I195" s="63">
        <f t="shared" si="25"/>
        <v>0</v>
      </c>
      <c r="J195" s="6">
        <f>(IF(B195&gt;$N$2,0,VLOOKUP('Total income package'!$B$3,'Location specific data'!$A$3:$AO$135,33,FALSE))*$C$2)*20</f>
        <v>0</v>
      </c>
      <c r="K195" s="6">
        <f>IF(B195&gt;$N$2,0,VLOOKUP('Total income package'!$B$3,'Location specific data'!$A$3:$AO$135,34,FALSE))*$D$2*20</f>
        <v>0</v>
      </c>
      <c r="L195" s="6">
        <f>IF(B195&gt;$N$2,0,VLOOKUP('Total income package'!$B$3,'Location specific data'!$A$3:$AO$135,35,FALSE))*$E$2*20</f>
        <v>0</v>
      </c>
      <c r="M195" s="6">
        <f>IF(B195&gt;$N$2,0,VLOOKUP('Total income package'!$B$3,'Location specific data'!$A$3:$AO$135,36,FALSE))*$F$2*20</f>
        <v>0</v>
      </c>
      <c r="N195" s="6">
        <f>IF(B195&gt;$N$2,0,VLOOKUP('Total income package'!$B$3,'Location specific data'!$A$3:$AO$135,37,FALSE))*($G$2+$H$2)*20</f>
        <v>0</v>
      </c>
      <c r="O195" s="6">
        <f t="shared" si="26"/>
        <v>0</v>
      </c>
      <c r="P195" s="312">
        <f t="shared" si="32"/>
        <v>395.83333333333337</v>
      </c>
      <c r="Q195" s="312">
        <f t="shared" si="28"/>
        <v>0</v>
      </c>
      <c r="R195" s="312">
        <f t="shared" si="31"/>
        <v>0</v>
      </c>
      <c r="S195" s="160">
        <f>IF(AND('Total income package'!$A$8=TRUE,OR(F195="Yes",G195="Yes",H195="Yes")),SUM(J195:N195)-R195,0)</f>
        <v>0</v>
      </c>
    </row>
    <row r="196" spans="1:19" x14ac:dyDescent="0.25">
      <c r="A196" s="6">
        <v>95500</v>
      </c>
      <c r="B196" s="7">
        <f t="shared" si="33"/>
        <v>7958.333333333333</v>
      </c>
      <c r="C196" s="7">
        <f>'Total income package'!$D$80</f>
        <v>0</v>
      </c>
      <c r="D196" s="7">
        <f t="shared" si="29"/>
        <v>7958.333333333333</v>
      </c>
      <c r="E196" s="65">
        <f t="shared" si="30"/>
        <v>4.4131238447319783</v>
      </c>
      <c r="F196" s="65" t="str">
        <f t="shared" si="23"/>
        <v>No</v>
      </c>
      <c r="G196" s="65" t="str">
        <f t="shared" si="24"/>
        <v>No</v>
      </c>
      <c r="H196" s="301" t="str">
        <f>IF(OR('TANF-VIEW'!L200&gt;0,'TANF-VIEW'!T200&gt;0),"Yes","No")</f>
        <v>No</v>
      </c>
      <c r="I196" s="63">
        <f t="shared" si="25"/>
        <v>0</v>
      </c>
      <c r="J196" s="6">
        <f>(IF(B196&gt;$N$2,0,VLOOKUP('Total income package'!$B$3,'Location specific data'!$A$3:$AO$135,33,FALSE))*$C$2)*20</f>
        <v>0</v>
      </c>
      <c r="K196" s="6">
        <f>IF(B196&gt;$N$2,0,VLOOKUP('Total income package'!$B$3,'Location specific data'!$A$3:$AO$135,34,FALSE))*$D$2*20</f>
        <v>0</v>
      </c>
      <c r="L196" s="6">
        <f>IF(B196&gt;$N$2,0,VLOOKUP('Total income package'!$B$3,'Location specific data'!$A$3:$AO$135,35,FALSE))*$E$2*20</f>
        <v>0</v>
      </c>
      <c r="M196" s="6">
        <f>IF(B196&gt;$N$2,0,VLOOKUP('Total income package'!$B$3,'Location specific data'!$A$3:$AO$135,36,FALSE))*$F$2*20</f>
        <v>0</v>
      </c>
      <c r="N196" s="6">
        <f>IF(B196&gt;$N$2,0,VLOOKUP('Total income package'!$B$3,'Location specific data'!$A$3:$AO$135,37,FALSE))*($G$2+$H$2)*20</f>
        <v>0</v>
      </c>
      <c r="O196" s="6">
        <f t="shared" si="26"/>
        <v>0</v>
      </c>
      <c r="P196" s="312">
        <f t="shared" si="32"/>
        <v>397.91666666666669</v>
      </c>
      <c r="Q196" s="312">
        <f t="shared" si="28"/>
        <v>0</v>
      </c>
      <c r="R196" s="312">
        <f t="shared" si="31"/>
        <v>0</v>
      </c>
      <c r="S196" s="160">
        <f>IF(AND('Total income package'!$A$8=TRUE,OR(F196="Yes",G196="Yes",H196="Yes")),SUM(J196:N196)-R196,0)</f>
        <v>0</v>
      </c>
    </row>
    <row r="197" spans="1:19" x14ac:dyDescent="0.25">
      <c r="A197" s="6">
        <v>96000</v>
      </c>
      <c r="B197" s="7">
        <f t="shared" si="33"/>
        <v>8000</v>
      </c>
      <c r="C197" s="7">
        <f>'Total income package'!$D$80</f>
        <v>0</v>
      </c>
      <c r="D197" s="7">
        <f t="shared" si="29"/>
        <v>8000</v>
      </c>
      <c r="E197" s="65">
        <f t="shared" si="30"/>
        <v>4.4362292051756009</v>
      </c>
      <c r="F197" s="65" t="str">
        <f t="shared" ref="F197:F205" si="34">IF(AND(B197&lt;$N$2,SUM($C$2:$F$2)&gt;0),"Yes","No")</f>
        <v>No</v>
      </c>
      <c r="G197" s="65" t="str">
        <f t="shared" ref="G197:G205" si="35">IF(B197&lt;$M$2,"Yes","No")</f>
        <v>No</v>
      </c>
      <c r="H197" s="301" t="str">
        <f>IF(OR('TANF-VIEW'!L201&gt;0,'TANF-VIEW'!T201&gt;0),"Yes","No")</f>
        <v>No</v>
      </c>
      <c r="I197" s="63">
        <f t="shared" ref="I197:I205" si="36">IF(B197&gt;=$N$2,0,IF(E197&gt;3.5,375*SUM($C$2:$H$2),IF(E197&gt;3,325*SUM($C$2:$H$2),IF(E197&gt;2.5,275*SUM($C$2:$H$2),IF(E197&gt;2,225*SUM($C$2:$H$2),IF(E197&gt;1.5,175*SUM($C$2:$H$2),IF(E197&gt;1,125*SUM($C$2:$H$2),IF(E197&gt;0,5*SUM($C$2:$H$2),0))))))))</f>
        <v>0</v>
      </c>
      <c r="J197" s="6">
        <f>(IF(B197&gt;$N$2,0,VLOOKUP('Total income package'!$B$3,'Location specific data'!$A$3:$AO$135,33,FALSE))*$C$2)*20</f>
        <v>0</v>
      </c>
      <c r="K197" s="6">
        <f>IF(B197&gt;$N$2,0,VLOOKUP('Total income package'!$B$3,'Location specific data'!$A$3:$AO$135,34,FALSE))*$D$2*20</f>
        <v>0</v>
      </c>
      <c r="L197" s="6">
        <f>IF(B197&gt;$N$2,0,VLOOKUP('Total income package'!$B$3,'Location specific data'!$A$3:$AO$135,35,FALSE))*$E$2*20</f>
        <v>0</v>
      </c>
      <c r="M197" s="6">
        <f>IF(B197&gt;$N$2,0,VLOOKUP('Total income package'!$B$3,'Location specific data'!$A$3:$AO$135,36,FALSE))*$F$2*20</f>
        <v>0</v>
      </c>
      <c r="N197" s="6">
        <f>IF(B197&gt;$N$2,0,VLOOKUP('Total income package'!$B$3,'Location specific data'!$A$3:$AO$135,37,FALSE))*($G$2+$H$2)*20</f>
        <v>0</v>
      </c>
      <c r="O197" s="6">
        <f t="shared" ref="O197:O205" si="37">I197*SUM($C$2:$H$2)</f>
        <v>0</v>
      </c>
      <c r="P197" s="312">
        <f t="shared" ref="P197:P204" si="38">B197*0.05</f>
        <v>400</v>
      </c>
      <c r="Q197" s="312">
        <f t="shared" ref="Q197:Q205" si="39">I197*3</f>
        <v>0</v>
      </c>
      <c r="R197" s="312">
        <f t="shared" si="31"/>
        <v>0</v>
      </c>
      <c r="S197" s="160">
        <f>IF(AND('Total income package'!$A$8=TRUE,OR(F197="Yes",G197="Yes",H197="Yes")),SUM(J197:N197)-R197,0)</f>
        <v>0</v>
      </c>
    </row>
    <row r="198" spans="1:19" x14ac:dyDescent="0.25">
      <c r="A198" s="6">
        <v>96500</v>
      </c>
      <c r="B198" s="7">
        <f t="shared" si="33"/>
        <v>8041.666666666667</v>
      </c>
      <c r="C198" s="7">
        <f>'Total income package'!$D$80</f>
        <v>0</v>
      </c>
      <c r="D198" s="7">
        <f t="shared" ref="D198:D204" si="40">B198+C198</f>
        <v>8041.666666666667</v>
      </c>
      <c r="E198" s="65">
        <f t="shared" ref="E198:E204" si="41">D198/$K$2</f>
        <v>4.4593345656192236</v>
      </c>
      <c r="F198" s="65" t="str">
        <f t="shared" si="34"/>
        <v>No</v>
      </c>
      <c r="G198" s="65" t="str">
        <f t="shared" si="35"/>
        <v>No</v>
      </c>
      <c r="H198" s="301" t="str">
        <f>IF(OR('TANF-VIEW'!L202&gt;0,'TANF-VIEW'!T202&gt;0),"Yes","No")</f>
        <v>No</v>
      </c>
      <c r="I198" s="63">
        <f t="shared" si="36"/>
        <v>0</v>
      </c>
      <c r="J198" s="6">
        <f>(IF(B198&gt;$N$2,0,VLOOKUP('Total income package'!$B$3,'Location specific data'!$A$3:$AO$135,33,FALSE))*$C$2)*20</f>
        <v>0</v>
      </c>
      <c r="K198" s="6">
        <f>IF(B198&gt;$N$2,0,VLOOKUP('Total income package'!$B$3,'Location specific data'!$A$3:$AO$135,34,FALSE))*$D$2*20</f>
        <v>0</v>
      </c>
      <c r="L198" s="6">
        <f>IF(B198&gt;$N$2,0,VLOOKUP('Total income package'!$B$3,'Location specific data'!$A$3:$AO$135,35,FALSE))*$E$2*20</f>
        <v>0</v>
      </c>
      <c r="M198" s="6">
        <f>IF(B198&gt;$N$2,0,VLOOKUP('Total income package'!$B$3,'Location specific data'!$A$3:$AO$135,36,FALSE))*$F$2*20</f>
        <v>0</v>
      </c>
      <c r="N198" s="6">
        <f>IF(B198&gt;$N$2,0,VLOOKUP('Total income package'!$B$3,'Location specific data'!$A$3:$AO$135,37,FALSE))*($G$2+$H$2)*20</f>
        <v>0</v>
      </c>
      <c r="O198" s="6">
        <f t="shared" si="37"/>
        <v>0</v>
      </c>
      <c r="P198" s="312">
        <f t="shared" si="38"/>
        <v>402.08333333333337</v>
      </c>
      <c r="Q198" s="312">
        <f t="shared" si="39"/>
        <v>0</v>
      </c>
      <c r="R198" s="312">
        <f t="shared" ref="R198:R204" si="42">IF(MIN(O198,P198)&lt;Q198,MIN(O198,P198),Q198)</f>
        <v>0</v>
      </c>
      <c r="S198" s="160">
        <f>IF(AND('Total income package'!$A$8=TRUE,OR(F198="Yes",G198="Yes",H198="Yes")),SUM(J198:N198)-R198,0)</f>
        <v>0</v>
      </c>
    </row>
    <row r="199" spans="1:19" x14ac:dyDescent="0.25">
      <c r="A199" s="6">
        <v>97000</v>
      </c>
      <c r="B199" s="7">
        <f t="shared" si="33"/>
        <v>8083.333333333333</v>
      </c>
      <c r="C199" s="7">
        <f>'Total income package'!$D$80</f>
        <v>0</v>
      </c>
      <c r="D199" s="7">
        <f t="shared" si="40"/>
        <v>8083.333333333333</v>
      </c>
      <c r="E199" s="65">
        <f t="shared" si="41"/>
        <v>4.4824399260628462</v>
      </c>
      <c r="F199" s="65" t="str">
        <f t="shared" si="34"/>
        <v>No</v>
      </c>
      <c r="G199" s="65" t="str">
        <f t="shared" si="35"/>
        <v>No</v>
      </c>
      <c r="H199" s="301" t="str">
        <f>IF(OR('TANF-VIEW'!L203&gt;0,'TANF-VIEW'!T203&gt;0),"Yes","No")</f>
        <v>No</v>
      </c>
      <c r="I199" s="63">
        <f t="shared" si="36"/>
        <v>0</v>
      </c>
      <c r="J199" s="6">
        <f>(IF(B199&gt;$N$2,0,VLOOKUP('Total income package'!$B$3,'Location specific data'!$A$3:$AO$135,33,FALSE))*$C$2)*20</f>
        <v>0</v>
      </c>
      <c r="K199" s="6">
        <f>IF(B199&gt;$N$2,0,VLOOKUP('Total income package'!$B$3,'Location specific data'!$A$3:$AO$135,34,FALSE))*$D$2*20</f>
        <v>0</v>
      </c>
      <c r="L199" s="6">
        <f>IF(B199&gt;$N$2,0,VLOOKUP('Total income package'!$B$3,'Location specific data'!$A$3:$AO$135,35,FALSE))*$E$2*20</f>
        <v>0</v>
      </c>
      <c r="M199" s="6">
        <f>IF(B199&gt;$N$2,0,VLOOKUP('Total income package'!$B$3,'Location specific data'!$A$3:$AO$135,36,FALSE))*$F$2*20</f>
        <v>0</v>
      </c>
      <c r="N199" s="6">
        <f>IF(B199&gt;$N$2,0,VLOOKUP('Total income package'!$B$3,'Location specific data'!$A$3:$AO$135,37,FALSE))*($G$2+$H$2)*20</f>
        <v>0</v>
      </c>
      <c r="O199" s="6">
        <f t="shared" si="37"/>
        <v>0</v>
      </c>
      <c r="P199" s="312">
        <f t="shared" si="38"/>
        <v>404.16666666666669</v>
      </c>
      <c r="Q199" s="312">
        <f t="shared" si="39"/>
        <v>0</v>
      </c>
      <c r="R199" s="312">
        <f t="shared" si="42"/>
        <v>0</v>
      </c>
      <c r="S199" s="160">
        <f>IF(AND('Total income package'!$A$8=TRUE,OR(F199="Yes",G199="Yes",H199="Yes")),SUM(J199:N199)-R199,0)</f>
        <v>0</v>
      </c>
    </row>
    <row r="200" spans="1:19" x14ac:dyDescent="0.25">
      <c r="A200" s="6">
        <v>97500</v>
      </c>
      <c r="B200" s="7">
        <f t="shared" si="33"/>
        <v>8125</v>
      </c>
      <c r="C200" s="7">
        <f>'Total income package'!$D$80</f>
        <v>0</v>
      </c>
      <c r="D200" s="7">
        <f t="shared" si="40"/>
        <v>8125</v>
      </c>
      <c r="E200" s="65">
        <f t="shared" si="41"/>
        <v>4.5055452865064698</v>
      </c>
      <c r="F200" s="65" t="str">
        <f t="shared" si="34"/>
        <v>No</v>
      </c>
      <c r="G200" s="65" t="str">
        <f t="shared" si="35"/>
        <v>No</v>
      </c>
      <c r="H200" s="301" t="str">
        <f>IF(OR('TANF-VIEW'!L204&gt;0,'TANF-VIEW'!T204&gt;0),"Yes","No")</f>
        <v>No</v>
      </c>
      <c r="I200" s="63">
        <f t="shared" si="36"/>
        <v>0</v>
      </c>
      <c r="J200" s="6">
        <f>(IF(B200&gt;$N$2,0,VLOOKUP('Total income package'!$B$3,'Location specific data'!$A$3:$AO$135,33,FALSE))*$C$2)*20</f>
        <v>0</v>
      </c>
      <c r="K200" s="6">
        <f>IF(B200&gt;$N$2,0,VLOOKUP('Total income package'!$B$3,'Location specific data'!$A$3:$AO$135,34,FALSE))*$D$2*20</f>
        <v>0</v>
      </c>
      <c r="L200" s="6">
        <f>IF(B200&gt;$N$2,0,VLOOKUP('Total income package'!$B$3,'Location specific data'!$A$3:$AO$135,35,FALSE))*$E$2*20</f>
        <v>0</v>
      </c>
      <c r="M200" s="6">
        <f>IF(B200&gt;$N$2,0,VLOOKUP('Total income package'!$B$3,'Location specific data'!$A$3:$AO$135,36,FALSE))*$F$2*20</f>
        <v>0</v>
      </c>
      <c r="N200" s="6">
        <f>IF(B200&gt;$N$2,0,VLOOKUP('Total income package'!$B$3,'Location specific data'!$A$3:$AO$135,37,FALSE))*($G$2+$H$2)*20</f>
        <v>0</v>
      </c>
      <c r="O200" s="6">
        <f t="shared" si="37"/>
        <v>0</v>
      </c>
      <c r="P200" s="312">
        <f t="shared" si="38"/>
        <v>406.25</v>
      </c>
      <c r="Q200" s="312">
        <f t="shared" si="39"/>
        <v>0</v>
      </c>
      <c r="R200" s="312">
        <f t="shared" si="42"/>
        <v>0</v>
      </c>
      <c r="S200" s="160">
        <f>IF(AND('Total income package'!$A$8=TRUE,OR(F200="Yes",G200="Yes",H200="Yes")),SUM(J200:N200)-R200,0)</f>
        <v>0</v>
      </c>
    </row>
    <row r="201" spans="1:19" x14ac:dyDescent="0.25">
      <c r="A201" s="6">
        <v>98000</v>
      </c>
      <c r="B201" s="7">
        <f t="shared" si="33"/>
        <v>8166.666666666667</v>
      </c>
      <c r="C201" s="7">
        <f>'Total income package'!$D$80</f>
        <v>0</v>
      </c>
      <c r="D201" s="7">
        <f t="shared" si="40"/>
        <v>8166.666666666667</v>
      </c>
      <c r="E201" s="65">
        <f t="shared" si="41"/>
        <v>4.5286506469500925</v>
      </c>
      <c r="F201" s="65" t="str">
        <f t="shared" si="34"/>
        <v>No</v>
      </c>
      <c r="G201" s="65" t="str">
        <f t="shared" si="35"/>
        <v>No</v>
      </c>
      <c r="H201" s="301" t="str">
        <f>IF(OR('TANF-VIEW'!L205&gt;0,'TANF-VIEW'!T205&gt;0),"Yes","No")</f>
        <v>No</v>
      </c>
      <c r="I201" s="63">
        <f t="shared" si="36"/>
        <v>0</v>
      </c>
      <c r="J201" s="6">
        <f>(IF(B201&gt;$N$2,0,VLOOKUP('Total income package'!$B$3,'Location specific data'!$A$3:$AO$135,33,FALSE))*$C$2)*20</f>
        <v>0</v>
      </c>
      <c r="K201" s="6">
        <f>IF(B201&gt;$N$2,0,VLOOKUP('Total income package'!$B$3,'Location specific data'!$A$3:$AO$135,34,FALSE))*$D$2*20</f>
        <v>0</v>
      </c>
      <c r="L201" s="6">
        <f>IF(B201&gt;$N$2,0,VLOOKUP('Total income package'!$B$3,'Location specific data'!$A$3:$AO$135,35,FALSE))*$E$2*20</f>
        <v>0</v>
      </c>
      <c r="M201" s="6">
        <f>IF(B201&gt;$N$2,0,VLOOKUP('Total income package'!$B$3,'Location specific data'!$A$3:$AO$135,36,FALSE))*$F$2*20</f>
        <v>0</v>
      </c>
      <c r="N201" s="6">
        <f>IF(B201&gt;$N$2,0,VLOOKUP('Total income package'!$B$3,'Location specific data'!$A$3:$AO$135,37,FALSE))*($G$2+$H$2)*20</f>
        <v>0</v>
      </c>
      <c r="O201" s="6">
        <f t="shared" si="37"/>
        <v>0</v>
      </c>
      <c r="P201" s="312">
        <f t="shared" si="38"/>
        <v>408.33333333333337</v>
      </c>
      <c r="Q201" s="312">
        <f t="shared" si="39"/>
        <v>0</v>
      </c>
      <c r="R201" s="312">
        <f t="shared" si="42"/>
        <v>0</v>
      </c>
      <c r="S201" s="160">
        <f>IF(AND('Total income package'!$A$8=TRUE,OR(F201="Yes",G201="Yes",H201="Yes")),SUM(J201:N201)-R201,0)</f>
        <v>0</v>
      </c>
    </row>
    <row r="202" spans="1:19" x14ac:dyDescent="0.25">
      <c r="A202" s="6">
        <v>98500</v>
      </c>
      <c r="B202" s="7">
        <f t="shared" si="33"/>
        <v>8208.3333333333339</v>
      </c>
      <c r="C202" s="7">
        <f>'Total income package'!$D$80</f>
        <v>0</v>
      </c>
      <c r="D202" s="7">
        <f t="shared" si="40"/>
        <v>8208.3333333333339</v>
      </c>
      <c r="E202" s="65">
        <f t="shared" si="41"/>
        <v>4.551756007393716</v>
      </c>
      <c r="F202" s="65" t="str">
        <f t="shared" si="34"/>
        <v>No</v>
      </c>
      <c r="G202" s="65" t="str">
        <f t="shared" si="35"/>
        <v>No</v>
      </c>
      <c r="H202" s="301" t="str">
        <f>IF(OR('TANF-VIEW'!L206&gt;0,'TANF-VIEW'!T206&gt;0),"Yes","No")</f>
        <v>No</v>
      </c>
      <c r="I202" s="63">
        <f t="shared" si="36"/>
        <v>0</v>
      </c>
      <c r="J202" s="6">
        <f>(IF(B202&gt;$N$2,0,VLOOKUP('Total income package'!$B$3,'Location specific data'!$A$3:$AO$135,33,FALSE))*$C$2)*20</f>
        <v>0</v>
      </c>
      <c r="K202" s="6">
        <f>IF(B202&gt;$N$2,0,VLOOKUP('Total income package'!$B$3,'Location specific data'!$A$3:$AO$135,34,FALSE))*$D$2*20</f>
        <v>0</v>
      </c>
      <c r="L202" s="6">
        <f>IF(B202&gt;$N$2,0,VLOOKUP('Total income package'!$B$3,'Location specific data'!$A$3:$AO$135,35,FALSE))*$E$2*20</f>
        <v>0</v>
      </c>
      <c r="M202" s="6">
        <f>IF(B202&gt;$N$2,0,VLOOKUP('Total income package'!$B$3,'Location specific data'!$A$3:$AO$135,36,FALSE))*$F$2*20</f>
        <v>0</v>
      </c>
      <c r="N202" s="6">
        <f>IF(B202&gt;$N$2,0,VLOOKUP('Total income package'!$B$3,'Location specific data'!$A$3:$AO$135,37,FALSE))*($G$2+$H$2)*20</f>
        <v>0</v>
      </c>
      <c r="O202" s="6">
        <f t="shared" si="37"/>
        <v>0</v>
      </c>
      <c r="P202" s="312">
        <f t="shared" si="38"/>
        <v>410.41666666666674</v>
      </c>
      <c r="Q202" s="312">
        <f t="shared" si="39"/>
        <v>0</v>
      </c>
      <c r="R202" s="312">
        <f t="shared" si="42"/>
        <v>0</v>
      </c>
      <c r="S202" s="160">
        <f>IF(AND('Total income package'!$A$8=TRUE,OR(F202="Yes",G202="Yes",H202="Yes")),SUM(J202:N202)-R202,0)</f>
        <v>0</v>
      </c>
    </row>
    <row r="203" spans="1:19" x14ac:dyDescent="0.25">
      <c r="A203" s="6">
        <v>99000</v>
      </c>
      <c r="B203" s="7">
        <f t="shared" si="33"/>
        <v>8250</v>
      </c>
      <c r="C203" s="7">
        <f>'Total income package'!$D$80</f>
        <v>0</v>
      </c>
      <c r="D203" s="7">
        <f t="shared" si="40"/>
        <v>8250</v>
      </c>
      <c r="E203" s="65">
        <f t="shared" si="41"/>
        <v>4.5748613678373387</v>
      </c>
      <c r="F203" s="65" t="str">
        <f t="shared" si="34"/>
        <v>No</v>
      </c>
      <c r="G203" s="65" t="str">
        <f t="shared" si="35"/>
        <v>No</v>
      </c>
      <c r="H203" s="301" t="str">
        <f>IF(OR('TANF-VIEW'!L207&gt;0,'TANF-VIEW'!T207&gt;0),"Yes","No")</f>
        <v>No</v>
      </c>
      <c r="I203" s="63">
        <f t="shared" si="36"/>
        <v>0</v>
      </c>
      <c r="J203" s="6">
        <f>(IF(B203&gt;$N$2,0,VLOOKUP('Total income package'!$B$3,'Location specific data'!$A$3:$AO$135,33,FALSE))*$C$2)*20</f>
        <v>0</v>
      </c>
      <c r="K203" s="6">
        <f>IF(B203&gt;$N$2,0,VLOOKUP('Total income package'!$B$3,'Location specific data'!$A$3:$AO$135,34,FALSE))*$D$2*20</f>
        <v>0</v>
      </c>
      <c r="L203" s="6">
        <f>IF(B203&gt;$N$2,0,VLOOKUP('Total income package'!$B$3,'Location specific data'!$A$3:$AO$135,35,FALSE))*$E$2*20</f>
        <v>0</v>
      </c>
      <c r="M203" s="6">
        <f>IF(B203&gt;$N$2,0,VLOOKUP('Total income package'!$B$3,'Location specific data'!$A$3:$AO$135,36,FALSE))*$F$2*20</f>
        <v>0</v>
      </c>
      <c r="N203" s="6">
        <f>IF(B203&gt;$N$2,0,VLOOKUP('Total income package'!$B$3,'Location specific data'!$A$3:$AO$135,37,FALSE))*($G$2+$H$2)*20</f>
        <v>0</v>
      </c>
      <c r="O203" s="6">
        <f t="shared" si="37"/>
        <v>0</v>
      </c>
      <c r="P203" s="312">
        <f t="shared" si="38"/>
        <v>412.5</v>
      </c>
      <c r="Q203" s="312">
        <f t="shared" si="39"/>
        <v>0</v>
      </c>
      <c r="R203" s="312">
        <f t="shared" si="42"/>
        <v>0</v>
      </c>
      <c r="S203" s="160">
        <f>IF(AND('Total income package'!$A$8=TRUE,OR(F203="Yes",G203="Yes",H203="Yes")),SUM(J203:N203)-R203,0)</f>
        <v>0</v>
      </c>
    </row>
    <row r="204" spans="1:19" x14ac:dyDescent="0.25">
      <c r="A204" s="6">
        <v>99500</v>
      </c>
      <c r="B204" s="7">
        <f t="shared" si="33"/>
        <v>8291.6666666666661</v>
      </c>
      <c r="C204" s="7">
        <f>'Total income package'!$D$80</f>
        <v>0</v>
      </c>
      <c r="D204" s="7">
        <f t="shared" si="40"/>
        <v>8291.6666666666661</v>
      </c>
      <c r="E204" s="65">
        <f t="shared" si="41"/>
        <v>4.5979667282809613</v>
      </c>
      <c r="F204" s="65" t="str">
        <f t="shared" si="34"/>
        <v>No</v>
      </c>
      <c r="G204" s="65" t="str">
        <f t="shared" si="35"/>
        <v>No</v>
      </c>
      <c r="H204" s="301" t="str">
        <f>IF(OR('TANF-VIEW'!L208&gt;0,'TANF-VIEW'!T208&gt;0),"Yes","No")</f>
        <v>No</v>
      </c>
      <c r="I204" s="63">
        <f t="shared" si="36"/>
        <v>0</v>
      </c>
      <c r="J204" s="6">
        <f>(IF(B204&gt;$N$2,0,VLOOKUP('Total income package'!$B$3,'Location specific data'!$A$3:$AO$135,33,FALSE))*$C$2)*20</f>
        <v>0</v>
      </c>
      <c r="K204" s="6">
        <f>IF(B204&gt;$N$2,0,VLOOKUP('Total income package'!$B$3,'Location specific data'!$A$3:$AO$135,34,FALSE))*$D$2*20</f>
        <v>0</v>
      </c>
      <c r="L204" s="6">
        <f>IF(B204&gt;$N$2,0,VLOOKUP('Total income package'!$B$3,'Location specific data'!$A$3:$AO$135,35,FALSE))*$E$2*20</f>
        <v>0</v>
      </c>
      <c r="M204" s="6">
        <f>IF(B204&gt;$N$2,0,VLOOKUP('Total income package'!$B$3,'Location specific data'!$A$3:$AO$135,36,FALSE))*$F$2*20</f>
        <v>0</v>
      </c>
      <c r="N204" s="6">
        <f>IF(B204&gt;$N$2,0,VLOOKUP('Total income package'!$B$3,'Location specific data'!$A$3:$AO$135,37,FALSE))*($G$2+$H$2)*20</f>
        <v>0</v>
      </c>
      <c r="O204" s="6">
        <f t="shared" si="37"/>
        <v>0</v>
      </c>
      <c r="P204" s="312">
        <f t="shared" si="38"/>
        <v>414.58333333333331</v>
      </c>
      <c r="Q204" s="312">
        <f t="shared" si="39"/>
        <v>0</v>
      </c>
      <c r="R204" s="312">
        <f t="shared" si="42"/>
        <v>0</v>
      </c>
      <c r="S204" s="160">
        <f>IF(AND('Total income package'!$A$8=TRUE,OR(F204="Yes",G204="Yes",H204="Yes")),SUM(J204:N204)-R204,0)</f>
        <v>0</v>
      </c>
    </row>
    <row r="205" spans="1:19" x14ac:dyDescent="0.25">
      <c r="A205" s="6">
        <v>100000</v>
      </c>
      <c r="B205" s="7">
        <f>A205/12</f>
        <v>8333.3333333333339</v>
      </c>
      <c r="C205" s="7">
        <f>'Total income package'!$D$80</f>
        <v>0</v>
      </c>
      <c r="D205" s="7">
        <f>B205+C205</f>
        <v>8333.3333333333339</v>
      </c>
      <c r="E205" s="65">
        <f>D205/$K$2</f>
        <v>4.6210720887245849</v>
      </c>
      <c r="F205" s="65" t="str">
        <f t="shared" si="34"/>
        <v>No</v>
      </c>
      <c r="G205" s="65" t="str">
        <f t="shared" si="35"/>
        <v>No</v>
      </c>
      <c r="H205" s="301" t="str">
        <f>IF(OR('TANF-VIEW'!L209&gt;0,'TANF-VIEW'!T209&gt;0),"Yes","No")</f>
        <v>No</v>
      </c>
      <c r="I205" s="63">
        <f t="shared" si="36"/>
        <v>0</v>
      </c>
      <c r="J205" s="6">
        <f>(IF(B205&gt;$N$2,0,VLOOKUP('Total income package'!$B$3,'Location specific data'!$A$3:$AO$135,33,FALSE))*$C$2)*20</f>
        <v>0</v>
      </c>
      <c r="K205" s="6">
        <f>IF(B205&gt;$N$2,0,VLOOKUP('Total income package'!$B$3,'Location specific data'!$A$3:$AO$135,34,FALSE))*$D$2*20</f>
        <v>0</v>
      </c>
      <c r="L205" s="6">
        <f>IF(B205&gt;$N$2,0,VLOOKUP('Total income package'!$B$3,'Location specific data'!$A$3:$AO$135,35,FALSE))*$E$2*20</f>
        <v>0</v>
      </c>
      <c r="M205" s="6">
        <f>IF(B205&gt;$N$2,0,VLOOKUP('Total income package'!$B$3,'Location specific data'!$A$3:$AO$135,36,FALSE))*$F$2*20</f>
        <v>0</v>
      </c>
      <c r="N205" s="6">
        <f>IF(B205&gt;$N$2,0,VLOOKUP('Total income package'!$B$3,'Location specific data'!$A$3:$AO$135,37,FALSE))*($G$2+$H$2)*20</f>
        <v>0</v>
      </c>
      <c r="O205" s="6">
        <f t="shared" si="37"/>
        <v>0</v>
      </c>
      <c r="P205" s="312">
        <f>B205*0.07</f>
        <v>583.33333333333348</v>
      </c>
      <c r="Q205" s="312">
        <f t="shared" si="39"/>
        <v>0</v>
      </c>
      <c r="R205" s="312">
        <f>IF(MIN(O205,P205)&lt;Q205,MIN(O205,P205),Q205)</f>
        <v>0</v>
      </c>
      <c r="S205" s="160">
        <f>IF(AND('Total income package'!$A$8=TRUE,OR(F205="Yes",G205="Yes",H205="Yes")),SUM(J205:N205)-R205,0)</f>
        <v>0</v>
      </c>
    </row>
    <row r="206" spans="1:19" x14ac:dyDescent="0.25">
      <c r="C206" s="7"/>
      <c r="D206" s="7"/>
      <c r="E206" s="65"/>
      <c r="F206" s="65"/>
      <c r="G206" s="65"/>
      <c r="H206" s="301"/>
      <c r="I206" s="63"/>
      <c r="J206" s="6"/>
      <c r="K206" s="6"/>
      <c r="L206" s="6"/>
      <c r="M206" s="6"/>
      <c r="N206" s="6"/>
      <c r="P206"/>
      <c r="S206" s="160"/>
    </row>
    <row r="207" spans="1:19" x14ac:dyDescent="0.25">
      <c r="A207" s="116" t="s">
        <v>302</v>
      </c>
      <c r="C207" s="7"/>
      <c r="D207" s="7"/>
      <c r="E207" s="65"/>
      <c r="F207" s="65"/>
      <c r="G207" s="65"/>
      <c r="H207" s="301"/>
      <c r="I207" s="63"/>
      <c r="J207" s="6"/>
      <c r="K207" s="6"/>
      <c r="L207" s="6"/>
      <c r="M207" s="6"/>
      <c r="N207" s="6"/>
      <c r="P207"/>
      <c r="S207" s="160"/>
    </row>
    <row r="208" spans="1:19" x14ac:dyDescent="0.25">
      <c r="B208" s="7">
        <f>'Total income package'!$B$90</f>
        <v>1289</v>
      </c>
      <c r="C208" s="7">
        <f>'Total income package'!$D$80</f>
        <v>0</v>
      </c>
      <c r="D208" s="7">
        <f t="shared" ref="D208:D210" si="43">B208+C208</f>
        <v>1289</v>
      </c>
      <c r="E208" s="65">
        <f t="shared" ref="E208:E210" si="44">D208/$K$2</f>
        <v>0.7147874306839187</v>
      </c>
      <c r="F208" s="65" t="str">
        <f>IF(AND(B208&lt;$N$2,SUM($C$2:$F$2)&gt;0),"Yes","No")</f>
        <v>No</v>
      </c>
      <c r="G208" s="65" t="str">
        <f>IF(B208&lt;$M$2,"Yes","No")</f>
        <v>Yes</v>
      </c>
      <c r="H208" s="301" t="str">
        <f>IF(OR('TANF-VIEW'!L212&gt;0,'TANF-VIEW'!T212&gt;0),"Yes","No")</f>
        <v>No</v>
      </c>
      <c r="I208" s="63">
        <f>IF(B208&gt;=$N$2,0,IF(E208&gt;3.5,375*SUM($C$2:$H$2),IF(E208&gt;3,325*SUM($C$2:$H$2),IF(E208&gt;2.5,275*SUM($C$2:$H$2),IF(E208&gt;2,225*SUM($C$2:$H$2),IF(E208&gt;1.5,175*SUM($C$2:$H$2),IF(E208&gt;1,125*SUM($C$2:$H$2),IF(E208&gt;0,5*SUM($C$2:$H$2),0))))))))</f>
        <v>0</v>
      </c>
      <c r="J208" s="6">
        <f>(IF(B208&gt;$N$2,0,VLOOKUP('Total income package'!$B$3,'Location specific data'!$A$3:$AO$135,33,FALSE))*$C$2)*20</f>
        <v>0</v>
      </c>
      <c r="K208" s="6">
        <f>IF(B208&gt;$N$2,0,VLOOKUP('Total income package'!$B$3,'Location specific data'!$A$3:$AO$135,34,FALSE))*$D$2*20</f>
        <v>0</v>
      </c>
      <c r="L208" s="6">
        <f>IF(B208&gt;$N$2,0,VLOOKUP('Total income package'!$B$3,'Location specific data'!$A$3:$AO$135,35,FALSE))*$E$2*20</f>
        <v>0</v>
      </c>
      <c r="M208" s="6">
        <f>IF(B208&gt;$N$2,0,VLOOKUP('Total income package'!$B$3,'Location specific data'!$A$3:$AO$135,36,FALSE))*$F$2*20</f>
        <v>0</v>
      </c>
      <c r="N208" s="6">
        <f>IF(B208&gt;$N$2,0,VLOOKUP('Total income package'!$B$3,'Location specific data'!$A$3:$AO$135,37,FALSE))*($G$2+$H$2)*20</f>
        <v>0</v>
      </c>
      <c r="O208" s="6">
        <f>I208*SUM($C$2:$H$2)</f>
        <v>0</v>
      </c>
      <c r="P208" s="312">
        <f>B208*0.05</f>
        <v>64.45</v>
      </c>
      <c r="Q208" s="312">
        <f>I208*3</f>
        <v>0</v>
      </c>
      <c r="R208" s="312">
        <f>IF(MIN(O208,P208)&lt;Q208,MIN(O208,P208),Q208)</f>
        <v>0</v>
      </c>
      <c r="S208" s="160">
        <f>IF(AND('Total income package'!$A$8=TRUE,OR(F208="Yes",G208="Yes",H208="Yes")),SUM(J208:N208)-R208,0)</f>
        <v>0</v>
      </c>
    </row>
    <row r="209" spans="1:19" x14ac:dyDescent="0.25">
      <c r="A209" s="116" t="s">
        <v>303</v>
      </c>
      <c r="C209" s="7"/>
      <c r="D209" s="7"/>
      <c r="E209" s="65"/>
      <c r="F209" s="65"/>
      <c r="G209" s="65"/>
      <c r="H209" s="301"/>
      <c r="I209" s="63"/>
      <c r="J209" s="6"/>
      <c r="K209" s="6"/>
      <c r="L209" s="6"/>
      <c r="M209" s="6"/>
      <c r="N209" s="6"/>
      <c r="O209" s="6"/>
      <c r="P209" s="312"/>
      <c r="Q209" s="312"/>
      <c r="R209" s="312"/>
      <c r="S209" s="160"/>
    </row>
    <row r="210" spans="1:19" x14ac:dyDescent="0.25">
      <c r="B210" s="7">
        <f>'Total income package'!$B$91</f>
        <v>1289</v>
      </c>
      <c r="C210" s="7">
        <f>'Total income package'!$D$80</f>
        <v>0</v>
      </c>
      <c r="D210" s="7">
        <f t="shared" si="43"/>
        <v>1289</v>
      </c>
      <c r="E210" s="65">
        <f t="shared" si="44"/>
        <v>0.7147874306839187</v>
      </c>
      <c r="F210" s="65" t="str">
        <f>IF(AND(B210&lt;$N$2,SUM($C$2:$F$2)&gt;0),"Yes","No")</f>
        <v>No</v>
      </c>
      <c r="G210" s="65" t="str">
        <f>IF(B210&lt;$M$2,"Yes","No")</f>
        <v>Yes</v>
      </c>
      <c r="H210" s="301" t="str">
        <f>IF(OR('TANF-VIEW'!L214&gt;0,'TANF-VIEW'!T214&gt;0),"Yes","No")</f>
        <v>No</v>
      </c>
      <c r="I210" s="63">
        <f>IF(B210&gt;=$N$2,0,IF(E210&gt;3.5,375*SUM($C$2:$H$2),IF(E210&gt;3,325*SUM($C$2:$H$2),IF(E210&gt;2.5,275*SUM($C$2:$H$2),IF(E210&gt;2,225*SUM($C$2:$H$2),IF(E210&gt;1.5,175*SUM($C$2:$H$2),IF(E210&gt;1,125*SUM($C$2:$H$2),IF(E210&gt;0,5*SUM($C$2:$H$2),0))))))))</f>
        <v>0</v>
      </c>
      <c r="J210" s="6">
        <f>(IF(B210&gt;$N$2,0,VLOOKUP('Total income package'!$B$3,'Location specific data'!$A$3:$AO$135,33,FALSE))*$C$2)*20</f>
        <v>0</v>
      </c>
      <c r="K210" s="6">
        <f>IF(B210&gt;$N$2,0,VLOOKUP('Total income package'!$B$3,'Location specific data'!$A$3:$AO$135,34,FALSE))*$D$2*20</f>
        <v>0</v>
      </c>
      <c r="L210" s="6">
        <f>IF(B210&gt;$N$2,0,VLOOKUP('Total income package'!$B$3,'Location specific data'!$A$3:$AO$135,35,FALSE))*$E$2*20</f>
        <v>0</v>
      </c>
      <c r="M210" s="6">
        <f>IF(B210&gt;$N$2,0,VLOOKUP('Total income package'!$B$3,'Location specific data'!$A$3:$AO$135,36,FALSE))*$F$2*20</f>
        <v>0</v>
      </c>
      <c r="N210" s="6">
        <f>IF(B210&gt;$N$2,0,VLOOKUP('Total income package'!$B$3,'Location specific data'!$A$3:$AO$135,37,FALSE))*($G$2+$H$2)*20</f>
        <v>0</v>
      </c>
      <c r="O210" s="6">
        <f>I210*SUM($C$2:$H$2)</f>
        <v>0</v>
      </c>
      <c r="P210" s="312">
        <f>B210*0.05</f>
        <v>64.45</v>
      </c>
      <c r="Q210" s="312">
        <f>I210*3</f>
        <v>0</v>
      </c>
      <c r="R210" s="312">
        <f>IF(MIN(O210,P210)&lt;Q210,MIN(O210,P210),Q210)</f>
        <v>0</v>
      </c>
      <c r="S210" s="160">
        <f>IF(AND('Total income package'!$A$8=TRUE,OR(F210="Yes",G210="Yes",H210="Yes")),SUM(J210:N210)-R210,0)</f>
        <v>0</v>
      </c>
    </row>
    <row r="211" spans="1:19" x14ac:dyDescent="0.25">
      <c r="C211" s="65"/>
      <c r="D211" s="65"/>
      <c r="E211" s="14"/>
      <c r="F211" s="63"/>
      <c r="G211" s="6"/>
      <c r="H211" s="6"/>
      <c r="I211" s="6"/>
      <c r="J211" s="6"/>
      <c r="K211" s="6"/>
      <c r="O211" s="29"/>
      <c r="P211"/>
    </row>
  </sheetData>
  <mergeCells count="3">
    <mergeCell ref="F3:J3"/>
    <mergeCell ref="K1:L1"/>
    <mergeCell ref="K2:L2"/>
  </mergeCells>
  <pageMargins left="0.7" right="0.7" top="0.75" bottom="0.75" header="0.3" footer="0.3"/>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361A90B-821A-4143-8A5E-9918701CDCEA}">
  <sheetPr codeName="Sheet6"/>
  <dimension ref="A1:AB210"/>
  <sheetViews>
    <sheetView workbookViewId="0">
      <pane xSplit="1" ySplit="4" topLeftCell="B198" activePane="bottomRight" state="frozen"/>
      <selection pane="topRight" activeCell="B1" sqref="B1"/>
      <selection pane="bottomLeft" activeCell="A5" sqref="A5"/>
      <selection pane="bottomRight" activeCell="G206" sqref="G206"/>
    </sheetView>
  </sheetViews>
  <sheetFormatPr defaultRowHeight="15" x14ac:dyDescent="0.25"/>
  <cols>
    <col min="1" max="1" width="19.140625" customWidth="1"/>
    <col min="2" max="2" width="12.5703125" customWidth="1"/>
    <col min="3" max="3" width="22.140625" style="157" customWidth="1"/>
    <col min="4" max="4" width="16.5703125" style="157" customWidth="1"/>
    <col min="5" max="5" width="18.28515625" style="76" customWidth="1"/>
    <col min="6" max="6" width="12.7109375" style="7" customWidth="1"/>
    <col min="7" max="7" width="13.28515625" customWidth="1"/>
    <col min="8" max="8" width="9.5703125" customWidth="1"/>
    <col min="9" max="9" width="11.5703125" bestFit="1" customWidth="1"/>
    <col min="10" max="10" width="10.5703125" customWidth="1"/>
    <col min="11" max="11" width="12.140625" customWidth="1"/>
    <col min="12" max="12" width="14.28515625" customWidth="1"/>
    <col min="14" max="14" width="10.140625" bestFit="1" customWidth="1"/>
  </cols>
  <sheetData>
    <row r="1" spans="1:28" ht="33.75" customHeight="1" x14ac:dyDescent="0.25">
      <c r="A1" s="127" t="s">
        <v>271</v>
      </c>
      <c r="B1" s="313" t="s">
        <v>272</v>
      </c>
      <c r="C1" s="155" t="s">
        <v>390</v>
      </c>
      <c r="D1" s="155" t="s">
        <v>305</v>
      </c>
      <c r="E1" s="78" t="s">
        <v>118</v>
      </c>
      <c r="F1" s="129" t="s">
        <v>391</v>
      </c>
      <c r="G1" s="80" t="s">
        <v>392</v>
      </c>
      <c r="H1" s="80" t="s">
        <v>393</v>
      </c>
      <c r="I1" s="80" t="s">
        <v>394</v>
      </c>
      <c r="J1" s="80" t="s">
        <v>395</v>
      </c>
      <c r="K1" s="80" t="s">
        <v>396</v>
      </c>
      <c r="M1" s="77" t="s">
        <v>397</v>
      </c>
      <c r="S1" s="1"/>
      <c r="X1" s="75"/>
      <c r="Y1" s="35"/>
      <c r="Z1" s="1"/>
      <c r="AA1" s="1"/>
    </row>
    <row r="2" spans="1:28" x14ac:dyDescent="0.25">
      <c r="A2" s="127" t="str">
        <f>'Total income package'!B3</f>
        <v>Pittsylvania</v>
      </c>
      <c r="B2" s="148">
        <f>'Total income package'!B32</f>
        <v>2</v>
      </c>
      <c r="C2" s="148">
        <f>'Total income package'!B30</f>
        <v>1</v>
      </c>
      <c r="D2" s="148">
        <f>'Total income package'!B31</f>
        <v>1</v>
      </c>
      <c r="E2" s="77" t="str">
        <f>'Total income package'!B72</f>
        <v>Single, head of household, qualifying surviving spouse</v>
      </c>
      <c r="F2" s="78">
        <f>IF($E$2="Married filing jointly",VLOOKUP($D$2,'EITC Rates'!$A$17:$G$24,2,FALSE),VLOOKUP($D$2,'EITC Rates'!$A$6:$G$13,2,FALSE))</f>
        <v>50434</v>
      </c>
      <c r="G2" s="78">
        <f>IF($E$2="Married filing jointly",VLOOKUP($D$2,'EITC Rates'!$A$17:$G$24,3,FALSE),VLOOKUP($D$2,'EITC Rates'!$A$6:$G$13,3,FALSE))</f>
        <v>4427</v>
      </c>
      <c r="H2" s="152">
        <f>IF($E$2="Married filing jointly",VLOOKUP($D$2,'EITC Rates'!$A$17:$G$24,4,FALSE),VLOOKUP($D$2,'EITC Rates'!$A$6:$G$13,4,FALSE))</f>
        <v>0.34</v>
      </c>
      <c r="I2" s="153">
        <f>IF($E$2="Married filing jointly",VLOOKUP($D$2,'EITC Rates'!$A$17:$G$24,5,FALSE),VLOOKUP($D$2,'EITC Rates'!$A$6:$G$13,5,FALSE))</f>
        <v>0.1598</v>
      </c>
      <c r="J2" s="78">
        <f>IF($E$2="Married filing jointly",VLOOKUP($D$2,'EITC Rates'!$A$17:$G$24,6,FALSE),VLOOKUP($D$2,'EITC Rates'!$A$6:$G$13,6,FALSE))</f>
        <v>13020</v>
      </c>
      <c r="K2" s="78">
        <f>IF($E$2="Married filing jointly",VLOOKUP($D$2,'EITC Rates'!$A$17:$G$24,7,FALSE),VLOOKUP($D$2,'EITC Rates'!$A$6:$G$13,7,FALSE))</f>
        <v>23890</v>
      </c>
      <c r="T2" s="1"/>
      <c r="Y2" s="75"/>
      <c r="Z2" s="35"/>
      <c r="AB2" s="1"/>
    </row>
    <row r="3" spans="1:28" x14ac:dyDescent="0.25">
      <c r="E3" s="7"/>
      <c r="F3"/>
    </row>
    <row r="4" spans="1:28" s="74" customFormat="1" ht="80.25" customHeight="1" x14ac:dyDescent="0.25">
      <c r="A4" s="195" t="s">
        <v>104</v>
      </c>
      <c r="B4" s="2" t="s">
        <v>105</v>
      </c>
      <c r="C4" s="162" t="s">
        <v>705</v>
      </c>
      <c r="D4" s="163" t="s">
        <v>709</v>
      </c>
      <c r="E4" s="196" t="s">
        <v>398</v>
      </c>
      <c r="F4" s="194"/>
      <c r="G4" s="443" t="s">
        <v>708</v>
      </c>
      <c r="H4" s="443"/>
      <c r="I4" s="443"/>
      <c r="J4" s="73"/>
      <c r="K4" s="73"/>
      <c r="L4" s="73"/>
    </row>
    <row r="5" spans="1:28" s="74" customFormat="1" x14ac:dyDescent="0.25">
      <c r="A5" s="3">
        <v>0</v>
      </c>
      <c r="B5" s="4">
        <f>A5/12</f>
        <v>0</v>
      </c>
      <c r="C5" s="158">
        <v>0</v>
      </c>
      <c r="D5" s="158">
        <f>C5*0.2</f>
        <v>0</v>
      </c>
      <c r="E5" s="164">
        <f>IF('Total income package'!$A$10=TRUE,SUM(EITC!C5:D5),0)</f>
        <v>0</v>
      </c>
      <c r="F5" s="6"/>
      <c r="G5" s="6"/>
      <c r="J5" s="73"/>
      <c r="K5" s="73"/>
      <c r="L5" s="73"/>
    </row>
    <row r="6" spans="1:28" s="74" customFormat="1" x14ac:dyDescent="0.25">
      <c r="A6" s="3">
        <v>500</v>
      </c>
      <c r="B6" s="4">
        <f>A6/12</f>
        <v>41.666666666666664</v>
      </c>
      <c r="C6" s="157">
        <f>MAX(0,IF(A6&gt;$F$2,0,IF(AND(A6&lt;$F$2,A6&gt;=$K$2),$G$2-((A6-$K$2-1)*$I$2),IF(AND(A6&lt;$K$2,A6&gt;=$J$2),$G$2,IF(A6&lt;$J$2,A6*$H$2,0)))))</f>
        <v>170</v>
      </c>
      <c r="D6" s="158">
        <f t="shared" ref="D6:D69" si="0">C6*0.2</f>
        <v>34</v>
      </c>
      <c r="E6" s="164">
        <f>IF('Total income package'!$A$10=TRUE,SUM(EITC!C6:D6),0)</f>
        <v>204</v>
      </c>
      <c r="F6" s="6"/>
      <c r="G6" s="6"/>
      <c r="J6" s="73"/>
      <c r="K6" s="73"/>
      <c r="L6" s="73"/>
    </row>
    <row r="7" spans="1:28" x14ac:dyDescent="0.25">
      <c r="A7" s="3">
        <v>1000</v>
      </c>
      <c r="B7" s="4">
        <f>A7/12</f>
        <v>83.333333333333329</v>
      </c>
      <c r="C7" s="157">
        <f>MAX(0,IF(A7&gt;$F$2,0,IF(AND(A7&lt;$F$2,A7&gt;=$K$2),$G$2-((A7-$K$2-1)*$I$2),IF(AND(A7&lt;$K$2,A7&gt;=$J$2),$G$2,IF(A7&lt;$J$2,A7*$H$2,0)))))</f>
        <v>340</v>
      </c>
      <c r="D7" s="158">
        <f t="shared" si="0"/>
        <v>68</v>
      </c>
      <c r="E7" s="164">
        <f>IF('Total income package'!$A$10=TRUE,SUM(EITC!C7:D7),0)</f>
        <v>408</v>
      </c>
      <c r="F7" s="6"/>
      <c r="G7" s="6"/>
      <c r="H7" s="7"/>
      <c r="I7" s="47"/>
      <c r="M7" s="7"/>
    </row>
    <row r="8" spans="1:28" x14ac:dyDescent="0.25">
      <c r="A8" s="3">
        <v>1500</v>
      </c>
      <c r="B8" s="4">
        <f t="shared" ref="B8:B71" si="1">A8/12</f>
        <v>125</v>
      </c>
      <c r="C8" s="157">
        <f t="shared" ref="C8:C70" si="2">MAX(0,IF(A8&gt;$F$2,0,IF(AND(A8&lt;$F$2,A8&gt;=$K$2),$G$2-((A8-$K$2-1)*$I$2),IF(AND(A8&lt;$K$2,A8&gt;=$J$2),$G$2,IF(A8&lt;$J$2,A8*$H$2,0)))))</f>
        <v>510.00000000000006</v>
      </c>
      <c r="D8" s="158">
        <f t="shared" si="0"/>
        <v>102.00000000000001</v>
      </c>
      <c r="E8" s="164">
        <f>IF('Total income package'!$A$10=TRUE,SUM(EITC!C8:D8),0)</f>
        <v>612.00000000000011</v>
      </c>
      <c r="F8" s="6"/>
      <c r="G8" s="6"/>
      <c r="H8" s="7"/>
      <c r="I8" s="47"/>
      <c r="K8" s="7"/>
      <c r="M8" s="7"/>
      <c r="P8" s="41"/>
    </row>
    <row r="9" spans="1:28" x14ac:dyDescent="0.25">
      <c r="A9" s="3">
        <v>2000</v>
      </c>
      <c r="B9" s="4">
        <f t="shared" si="1"/>
        <v>166.66666666666666</v>
      </c>
      <c r="C9" s="157">
        <f>MAX(0,IF(A9&gt;$F$2,0,IF(AND(A9&lt;$F$2,A9&gt;=$K$2),$G$2-((A9-$K$2-1)*$I$2),IF(AND(A9&lt;$K$2,A9&gt;=$J$2),$G$2,IF(A9&lt;$J$2,A9*$H$2,0)))))</f>
        <v>680</v>
      </c>
      <c r="D9" s="158">
        <f t="shared" si="0"/>
        <v>136</v>
      </c>
      <c r="E9" s="164">
        <f>IF('Total income package'!$A$10=TRUE,SUM(EITC!C9:D9),0)</f>
        <v>816</v>
      </c>
      <c r="F9" s="6"/>
      <c r="G9" s="6"/>
      <c r="H9" s="7"/>
      <c r="I9" s="47"/>
      <c r="K9" s="7"/>
      <c r="M9" s="7"/>
    </row>
    <row r="10" spans="1:28" x14ac:dyDescent="0.25">
      <c r="A10" s="3">
        <v>2500</v>
      </c>
      <c r="B10" s="4">
        <f t="shared" si="1"/>
        <v>208.33333333333334</v>
      </c>
      <c r="C10" s="157">
        <f t="shared" si="2"/>
        <v>850.00000000000011</v>
      </c>
      <c r="D10" s="158">
        <f t="shared" si="0"/>
        <v>170.00000000000003</v>
      </c>
      <c r="E10" s="164">
        <f>IF('Total income package'!$A$10=TRUE,SUM(EITC!C10:D10),0)</f>
        <v>1020.0000000000001</v>
      </c>
      <c r="F10" s="6"/>
      <c r="G10" s="6"/>
      <c r="H10" s="7"/>
      <c r="I10" s="47"/>
      <c r="K10" s="7"/>
      <c r="M10" s="7"/>
    </row>
    <row r="11" spans="1:28" x14ac:dyDescent="0.25">
      <c r="A11" s="3">
        <v>3000</v>
      </c>
      <c r="B11" s="4">
        <f t="shared" si="1"/>
        <v>250</v>
      </c>
      <c r="C11" s="157">
        <f t="shared" si="2"/>
        <v>1020.0000000000001</v>
      </c>
      <c r="D11" s="158">
        <f t="shared" si="0"/>
        <v>204.00000000000003</v>
      </c>
      <c r="E11" s="164">
        <f>IF('Total income package'!$A$10=TRUE,SUM(EITC!C11:D11),0)</f>
        <v>1224.0000000000002</v>
      </c>
      <c r="F11" s="6"/>
      <c r="G11" s="6"/>
      <c r="H11" s="7"/>
      <c r="I11" s="47"/>
      <c r="K11" s="7"/>
      <c r="M11" s="7"/>
    </row>
    <row r="12" spans="1:28" x14ac:dyDescent="0.25">
      <c r="A12" s="3">
        <v>3500</v>
      </c>
      <c r="B12" s="4">
        <f t="shared" si="1"/>
        <v>291.66666666666669</v>
      </c>
      <c r="C12" s="157">
        <f t="shared" si="2"/>
        <v>1190</v>
      </c>
      <c r="D12" s="158">
        <f t="shared" si="0"/>
        <v>238</v>
      </c>
      <c r="E12" s="164">
        <f>IF('Total income package'!$A$10=TRUE,SUM(EITC!C12:D12),0)</f>
        <v>1428</v>
      </c>
      <c r="F12" s="6"/>
      <c r="G12" s="6"/>
      <c r="H12" s="7"/>
      <c r="I12" s="47"/>
      <c r="K12" s="7"/>
      <c r="M12" s="7"/>
    </row>
    <row r="13" spans="1:28" x14ac:dyDescent="0.25">
      <c r="A13" s="3">
        <v>4000</v>
      </c>
      <c r="B13" s="4">
        <f t="shared" si="1"/>
        <v>333.33333333333331</v>
      </c>
      <c r="C13" s="157">
        <f t="shared" si="2"/>
        <v>1360</v>
      </c>
      <c r="D13" s="158">
        <f t="shared" si="0"/>
        <v>272</v>
      </c>
      <c r="E13" s="164">
        <f>IF('Total income package'!$A$10=TRUE,SUM(EITC!C13:D13),0)</f>
        <v>1632</v>
      </c>
      <c r="F13" s="6"/>
      <c r="G13" s="6"/>
      <c r="H13" s="7"/>
      <c r="I13" s="47"/>
      <c r="K13" s="7"/>
      <c r="M13" s="7"/>
    </row>
    <row r="14" spans="1:28" x14ac:dyDescent="0.25">
      <c r="A14" s="3">
        <v>4500</v>
      </c>
      <c r="B14" s="4">
        <f t="shared" si="1"/>
        <v>375</v>
      </c>
      <c r="C14" s="157">
        <f t="shared" si="2"/>
        <v>1530</v>
      </c>
      <c r="D14" s="158">
        <f t="shared" si="0"/>
        <v>306</v>
      </c>
      <c r="E14" s="164">
        <f>IF('Total income package'!$A$10=TRUE,SUM(EITC!C14:D14),0)</f>
        <v>1836</v>
      </c>
      <c r="F14" s="156"/>
      <c r="G14" s="156"/>
      <c r="H14" s="7"/>
      <c r="I14" s="47"/>
      <c r="K14" s="7"/>
      <c r="M14" s="7"/>
    </row>
    <row r="15" spans="1:28" x14ac:dyDescent="0.25">
      <c r="A15" s="3">
        <v>5000</v>
      </c>
      <c r="B15" s="4">
        <f t="shared" si="1"/>
        <v>416.66666666666669</v>
      </c>
      <c r="C15" s="157">
        <f t="shared" si="2"/>
        <v>1700.0000000000002</v>
      </c>
      <c r="D15" s="158">
        <f t="shared" si="0"/>
        <v>340.00000000000006</v>
      </c>
      <c r="E15" s="164">
        <f>IF('Total income package'!$A$10=TRUE,SUM(EITC!C15:D15),0)</f>
        <v>2040.0000000000002</v>
      </c>
      <c r="F15" s="6"/>
      <c r="G15" s="6"/>
      <c r="H15" s="7"/>
      <c r="I15" s="47"/>
      <c r="K15" s="7"/>
      <c r="M15" s="7"/>
    </row>
    <row r="16" spans="1:28" x14ac:dyDescent="0.25">
      <c r="A16" s="3">
        <v>5500</v>
      </c>
      <c r="B16" s="4">
        <f t="shared" si="1"/>
        <v>458.33333333333331</v>
      </c>
      <c r="C16" s="157">
        <f t="shared" si="2"/>
        <v>1870.0000000000002</v>
      </c>
      <c r="D16" s="158">
        <f t="shared" si="0"/>
        <v>374.00000000000006</v>
      </c>
      <c r="E16" s="164">
        <f>IF('Total income package'!$A$10=TRUE,SUM(EITC!C16:D16),0)</f>
        <v>2244.0000000000005</v>
      </c>
      <c r="F16" s="6"/>
      <c r="G16" s="6"/>
      <c r="H16" s="7"/>
      <c r="I16" s="47"/>
      <c r="K16" s="7"/>
      <c r="M16" s="7"/>
    </row>
    <row r="17" spans="1:14" x14ac:dyDescent="0.25">
      <c r="A17" s="3">
        <v>6000</v>
      </c>
      <c r="B17" s="4">
        <f t="shared" si="1"/>
        <v>500</v>
      </c>
      <c r="C17" s="157">
        <f t="shared" si="2"/>
        <v>2040.0000000000002</v>
      </c>
      <c r="D17" s="158">
        <f t="shared" si="0"/>
        <v>408.00000000000006</v>
      </c>
      <c r="E17" s="164">
        <f>IF('Total income package'!$A$10=TRUE,SUM(EITC!C17:D17),0)</f>
        <v>2448.0000000000005</v>
      </c>
      <c r="F17" s="6"/>
      <c r="G17" s="6"/>
      <c r="H17" s="7"/>
      <c r="I17" s="47"/>
      <c r="K17" s="7"/>
      <c r="M17" s="7"/>
    </row>
    <row r="18" spans="1:14" x14ac:dyDescent="0.25">
      <c r="A18" s="3">
        <v>6500</v>
      </c>
      <c r="B18" s="4">
        <f t="shared" si="1"/>
        <v>541.66666666666663</v>
      </c>
      <c r="C18" s="157">
        <f t="shared" si="2"/>
        <v>2210</v>
      </c>
      <c r="D18" s="158">
        <f t="shared" si="0"/>
        <v>442</v>
      </c>
      <c r="E18" s="164">
        <f>IF('Total income package'!$A$10=TRUE,SUM(EITC!C18:D18),0)</f>
        <v>2652</v>
      </c>
      <c r="F18" s="6"/>
      <c r="G18" s="6"/>
      <c r="H18" s="7"/>
      <c r="I18" s="47"/>
      <c r="K18" s="7"/>
      <c r="M18" s="7"/>
    </row>
    <row r="19" spans="1:14" x14ac:dyDescent="0.25">
      <c r="A19" s="3">
        <v>7000</v>
      </c>
      <c r="B19" s="4">
        <f t="shared" si="1"/>
        <v>583.33333333333337</v>
      </c>
      <c r="C19" s="157">
        <f t="shared" si="2"/>
        <v>2380</v>
      </c>
      <c r="D19" s="158">
        <f t="shared" si="0"/>
        <v>476</v>
      </c>
      <c r="E19" s="164">
        <f>IF('Total income package'!$A$10=TRUE,SUM(EITC!C19:D19),0)</f>
        <v>2856</v>
      </c>
      <c r="F19" s="6"/>
      <c r="G19" s="6"/>
      <c r="H19" s="7"/>
      <c r="I19" s="47"/>
      <c r="K19" s="7"/>
      <c r="M19" s="7"/>
    </row>
    <row r="20" spans="1:14" x14ac:dyDescent="0.25">
      <c r="A20" s="3">
        <v>7500</v>
      </c>
      <c r="B20" s="4">
        <f t="shared" si="1"/>
        <v>625</v>
      </c>
      <c r="C20" s="157">
        <f t="shared" si="2"/>
        <v>2550</v>
      </c>
      <c r="D20" s="158">
        <f t="shared" si="0"/>
        <v>510</v>
      </c>
      <c r="E20" s="164">
        <f>IF('Total income package'!$A$10=TRUE,SUM(EITC!C20:D20),0)</f>
        <v>3060</v>
      </c>
      <c r="F20" s="6"/>
      <c r="G20" s="6"/>
      <c r="H20" s="7"/>
      <c r="I20" s="47"/>
      <c r="K20" s="7"/>
      <c r="M20" s="7"/>
    </row>
    <row r="21" spans="1:14" x14ac:dyDescent="0.25">
      <c r="A21" s="3">
        <v>8000</v>
      </c>
      <c r="B21" s="4">
        <f t="shared" si="1"/>
        <v>666.66666666666663</v>
      </c>
      <c r="C21" s="157">
        <f t="shared" si="2"/>
        <v>2720</v>
      </c>
      <c r="D21" s="158">
        <f t="shared" si="0"/>
        <v>544</v>
      </c>
      <c r="E21" s="164">
        <f>IF('Total income package'!$A$10=TRUE,SUM(EITC!C21:D21),0)</f>
        <v>3264</v>
      </c>
      <c r="F21" s="6"/>
      <c r="G21" s="6"/>
      <c r="H21" s="7"/>
      <c r="I21" s="47"/>
      <c r="K21" s="7"/>
      <c r="M21" s="7"/>
    </row>
    <row r="22" spans="1:14" x14ac:dyDescent="0.25">
      <c r="A22" s="3">
        <v>8500</v>
      </c>
      <c r="B22" s="4">
        <f t="shared" si="1"/>
        <v>708.33333333333337</v>
      </c>
      <c r="C22" s="157">
        <f t="shared" si="2"/>
        <v>2890</v>
      </c>
      <c r="D22" s="158">
        <f t="shared" si="0"/>
        <v>578</v>
      </c>
      <c r="E22" s="164">
        <f>IF('Total income package'!$A$10=TRUE,SUM(EITC!C22:D22),0)</f>
        <v>3468</v>
      </c>
      <c r="F22" s="6"/>
      <c r="G22" s="6"/>
      <c r="H22" s="7"/>
      <c r="I22" s="47"/>
      <c r="K22" s="7"/>
      <c r="M22" s="7"/>
    </row>
    <row r="23" spans="1:14" x14ac:dyDescent="0.25">
      <c r="A23" s="3">
        <v>9000</v>
      </c>
      <c r="B23" s="4">
        <f t="shared" si="1"/>
        <v>750</v>
      </c>
      <c r="C23" s="157">
        <f t="shared" si="2"/>
        <v>3060</v>
      </c>
      <c r="D23" s="158">
        <f t="shared" si="0"/>
        <v>612</v>
      </c>
      <c r="E23" s="164">
        <f>IF('Total income package'!$A$10=TRUE,SUM(EITC!C23:D23),0)</f>
        <v>3672</v>
      </c>
      <c r="F23" s="6"/>
      <c r="G23" s="6"/>
      <c r="H23" s="7"/>
      <c r="I23" s="47"/>
      <c r="K23" s="7"/>
      <c r="L23" s="4"/>
      <c r="M23" s="7"/>
      <c r="N23" s="7"/>
    </row>
    <row r="24" spans="1:14" x14ac:dyDescent="0.25">
      <c r="A24" s="3">
        <v>9500</v>
      </c>
      <c r="B24" s="4">
        <f t="shared" si="1"/>
        <v>791.66666666666663</v>
      </c>
      <c r="C24" s="157">
        <f t="shared" si="2"/>
        <v>3230.0000000000005</v>
      </c>
      <c r="D24" s="158">
        <f t="shared" si="0"/>
        <v>646.00000000000011</v>
      </c>
      <c r="E24" s="164">
        <f>IF('Total income package'!$A$10=TRUE,SUM(EITC!C24:D24),0)</f>
        <v>3876.0000000000005</v>
      </c>
      <c r="F24" s="6"/>
      <c r="G24" s="6"/>
      <c r="H24" s="7"/>
      <c r="I24" s="47"/>
      <c r="K24" s="7"/>
      <c r="L24" s="4"/>
      <c r="M24" s="7"/>
    </row>
    <row r="25" spans="1:14" x14ac:dyDescent="0.25">
      <c r="A25" s="3">
        <v>10000</v>
      </c>
      <c r="B25" s="4">
        <f t="shared" si="1"/>
        <v>833.33333333333337</v>
      </c>
      <c r="C25" s="157">
        <f t="shared" si="2"/>
        <v>3400.0000000000005</v>
      </c>
      <c r="D25" s="158">
        <f t="shared" si="0"/>
        <v>680.00000000000011</v>
      </c>
      <c r="E25" s="164">
        <f>IF('Total income package'!$A$10=TRUE,SUM(EITC!C25:D25),0)</f>
        <v>4080.0000000000005</v>
      </c>
      <c r="F25" s="6"/>
      <c r="G25" s="6"/>
      <c r="H25" s="7"/>
      <c r="I25" s="47"/>
      <c r="K25" s="7"/>
      <c r="M25" s="7"/>
    </row>
    <row r="26" spans="1:14" x14ac:dyDescent="0.25">
      <c r="A26" s="3">
        <v>10500</v>
      </c>
      <c r="B26" s="4">
        <f t="shared" si="1"/>
        <v>875</v>
      </c>
      <c r="C26" s="157">
        <f t="shared" si="2"/>
        <v>3570.0000000000005</v>
      </c>
      <c r="D26" s="158">
        <f t="shared" si="0"/>
        <v>714.00000000000011</v>
      </c>
      <c r="E26" s="164">
        <f>IF('Total income package'!$A$10=TRUE,SUM(EITC!C26:D26),0)</f>
        <v>4284.0000000000009</v>
      </c>
      <c r="F26" s="6"/>
      <c r="G26" s="6"/>
      <c r="H26" s="7"/>
      <c r="I26" s="47"/>
      <c r="K26" s="7"/>
      <c r="M26" s="7"/>
    </row>
    <row r="27" spans="1:14" x14ac:dyDescent="0.25">
      <c r="A27" s="3">
        <v>11000</v>
      </c>
      <c r="B27" s="4">
        <f t="shared" si="1"/>
        <v>916.66666666666663</v>
      </c>
      <c r="C27" s="157">
        <f t="shared" si="2"/>
        <v>3740.0000000000005</v>
      </c>
      <c r="D27" s="158">
        <f t="shared" si="0"/>
        <v>748.00000000000011</v>
      </c>
      <c r="E27" s="164">
        <f>IF('Total income package'!$A$10=TRUE,SUM(EITC!C27:D27),0)</f>
        <v>4488.0000000000009</v>
      </c>
      <c r="F27" s="6"/>
      <c r="G27" s="6"/>
      <c r="H27" s="7"/>
      <c r="I27" s="47"/>
      <c r="K27" s="7"/>
      <c r="M27" s="7"/>
    </row>
    <row r="28" spans="1:14" x14ac:dyDescent="0.25">
      <c r="A28" s="3">
        <v>11500</v>
      </c>
      <c r="B28" s="4">
        <f t="shared" si="1"/>
        <v>958.33333333333337</v>
      </c>
      <c r="C28" s="157">
        <f t="shared" si="2"/>
        <v>3910.0000000000005</v>
      </c>
      <c r="D28" s="158">
        <f t="shared" si="0"/>
        <v>782.00000000000011</v>
      </c>
      <c r="E28" s="164">
        <f>IF('Total income package'!$A$10=TRUE,SUM(EITC!C28:D28),0)</f>
        <v>4692.0000000000009</v>
      </c>
      <c r="F28" s="6"/>
      <c r="G28" s="6"/>
      <c r="H28" s="7"/>
      <c r="I28" s="47"/>
      <c r="J28" s="7"/>
      <c r="K28" s="7"/>
      <c r="M28" s="7"/>
    </row>
    <row r="29" spans="1:14" x14ac:dyDescent="0.25">
      <c r="A29" s="3">
        <v>12000</v>
      </c>
      <c r="B29" s="4">
        <f t="shared" si="1"/>
        <v>1000</v>
      </c>
      <c r="C29" s="157">
        <f t="shared" si="2"/>
        <v>4080.0000000000005</v>
      </c>
      <c r="D29" s="158">
        <f t="shared" si="0"/>
        <v>816.00000000000011</v>
      </c>
      <c r="E29" s="164">
        <f>IF('Total income package'!$A$10=TRUE,SUM(EITC!C29:D29),0)</f>
        <v>4896.0000000000009</v>
      </c>
      <c r="F29" s="6"/>
      <c r="G29" s="6"/>
      <c r="H29" s="7"/>
      <c r="I29" s="47"/>
      <c r="J29" s="3"/>
      <c r="K29" s="7"/>
      <c r="M29" s="7"/>
    </row>
    <row r="30" spans="1:14" x14ac:dyDescent="0.25">
      <c r="A30" s="3">
        <v>12500</v>
      </c>
      <c r="B30" s="4">
        <f t="shared" si="1"/>
        <v>1041.6666666666667</v>
      </c>
      <c r="C30" s="157">
        <f t="shared" si="2"/>
        <v>4250</v>
      </c>
      <c r="D30" s="158">
        <f t="shared" si="0"/>
        <v>850</v>
      </c>
      <c r="E30" s="164">
        <f>IF('Total income package'!$A$10=TRUE,SUM(EITC!C30:D30),0)</f>
        <v>5100</v>
      </c>
      <c r="F30" s="6"/>
      <c r="G30" s="6"/>
      <c r="H30" s="7"/>
      <c r="I30" s="47"/>
      <c r="J30" s="3"/>
      <c r="K30" s="7"/>
      <c r="M30" s="7"/>
    </row>
    <row r="31" spans="1:14" x14ac:dyDescent="0.25">
      <c r="A31" s="3">
        <v>13000</v>
      </c>
      <c r="B31" s="4">
        <f t="shared" si="1"/>
        <v>1083.3333333333333</v>
      </c>
      <c r="C31" s="157">
        <f t="shared" si="2"/>
        <v>4420</v>
      </c>
      <c r="D31" s="158">
        <f t="shared" si="0"/>
        <v>884</v>
      </c>
      <c r="E31" s="164">
        <f>IF('Total income package'!$A$10=TRUE,SUM(EITC!C31:D31),0)</f>
        <v>5304</v>
      </c>
      <c r="F31" s="6"/>
      <c r="G31" s="6"/>
      <c r="H31" s="7"/>
      <c r="I31" s="47"/>
      <c r="J31" s="3"/>
      <c r="K31" s="7"/>
      <c r="M31" s="7"/>
    </row>
    <row r="32" spans="1:14" x14ac:dyDescent="0.25">
      <c r="A32" s="3">
        <v>13500</v>
      </c>
      <c r="B32" s="4">
        <f t="shared" si="1"/>
        <v>1125</v>
      </c>
      <c r="C32" s="157">
        <f>MAX(0,IF(A32&gt;$F$2,0,IF(AND(A32&lt;$F$2,A32&gt;=$K$2),$G$2-((A32-$K$2-1)*$I$2),IF(AND(A32&lt;$K$2,A32&gt;=$J$2),$G$2,IF(A32&lt;$J$2,A32*$H$2,0)))))</f>
        <v>4427</v>
      </c>
      <c r="D32" s="158">
        <f t="shared" si="0"/>
        <v>885.40000000000009</v>
      </c>
      <c r="E32" s="164">
        <f>IF('Total income package'!$A$10=TRUE,SUM(EITC!C32:D32),0)</f>
        <v>5312.4</v>
      </c>
      <c r="F32" s="6"/>
      <c r="G32" s="6"/>
      <c r="H32" s="7"/>
      <c r="I32" s="47"/>
      <c r="J32" s="3"/>
      <c r="K32" s="7"/>
      <c r="M32" s="7"/>
    </row>
    <row r="33" spans="1:13" x14ac:dyDescent="0.25">
      <c r="A33" s="3">
        <v>14000</v>
      </c>
      <c r="B33" s="4">
        <f t="shared" si="1"/>
        <v>1166.6666666666667</v>
      </c>
      <c r="C33" s="157">
        <f t="shared" si="2"/>
        <v>4427</v>
      </c>
      <c r="D33" s="158">
        <f t="shared" si="0"/>
        <v>885.40000000000009</v>
      </c>
      <c r="E33" s="164">
        <f>IF('Total income package'!$A$10=TRUE,SUM(EITC!C33:D33),0)</f>
        <v>5312.4</v>
      </c>
      <c r="F33" s="6"/>
      <c r="G33" s="6"/>
      <c r="H33" s="7"/>
      <c r="I33" s="47"/>
      <c r="J33" s="3"/>
      <c r="K33" s="7"/>
      <c r="M33" s="7"/>
    </row>
    <row r="34" spans="1:13" x14ac:dyDescent="0.25">
      <c r="A34" s="3">
        <v>14500</v>
      </c>
      <c r="B34" s="4">
        <f t="shared" si="1"/>
        <v>1208.3333333333333</v>
      </c>
      <c r="C34" s="157">
        <f t="shared" si="2"/>
        <v>4427</v>
      </c>
      <c r="D34" s="158">
        <f t="shared" si="0"/>
        <v>885.40000000000009</v>
      </c>
      <c r="E34" s="164">
        <f>IF('Total income package'!$A$10=TRUE,SUM(EITC!C34:D34),0)</f>
        <v>5312.4</v>
      </c>
      <c r="F34" s="6"/>
      <c r="G34" s="6"/>
      <c r="H34" s="7"/>
      <c r="I34" s="47"/>
      <c r="J34" s="3"/>
      <c r="K34" s="7"/>
      <c r="M34" s="7"/>
    </row>
    <row r="35" spans="1:13" x14ac:dyDescent="0.25">
      <c r="A35" s="3">
        <v>15000</v>
      </c>
      <c r="B35" s="4">
        <f t="shared" si="1"/>
        <v>1250</v>
      </c>
      <c r="C35" s="157">
        <f t="shared" si="2"/>
        <v>4427</v>
      </c>
      <c r="D35" s="158">
        <f t="shared" si="0"/>
        <v>885.40000000000009</v>
      </c>
      <c r="E35" s="164">
        <f>IF('Total income package'!$A$10=TRUE,SUM(EITC!C35:D35),0)</f>
        <v>5312.4</v>
      </c>
      <c r="F35" s="6"/>
      <c r="G35" s="6"/>
      <c r="H35" s="7"/>
      <c r="I35" s="47"/>
      <c r="J35" s="3"/>
      <c r="K35" s="7"/>
      <c r="M35" s="7"/>
    </row>
    <row r="36" spans="1:13" x14ac:dyDescent="0.25">
      <c r="A36" s="3">
        <v>15500</v>
      </c>
      <c r="B36" s="4">
        <f t="shared" si="1"/>
        <v>1291.6666666666667</v>
      </c>
      <c r="C36" s="157">
        <f t="shared" si="2"/>
        <v>4427</v>
      </c>
      <c r="D36" s="158">
        <f t="shared" si="0"/>
        <v>885.40000000000009</v>
      </c>
      <c r="E36" s="164">
        <f>IF('Total income package'!$A$10=TRUE,SUM(EITC!C36:D36),0)</f>
        <v>5312.4</v>
      </c>
      <c r="F36" s="6"/>
      <c r="G36" s="6"/>
      <c r="H36" s="7"/>
      <c r="I36" s="47"/>
      <c r="J36" s="3"/>
      <c r="K36" s="7"/>
      <c r="M36" s="7"/>
    </row>
    <row r="37" spans="1:13" x14ac:dyDescent="0.25">
      <c r="A37" s="3">
        <v>16000</v>
      </c>
      <c r="B37" s="4">
        <f t="shared" si="1"/>
        <v>1333.3333333333333</v>
      </c>
      <c r="C37" s="157">
        <f t="shared" si="2"/>
        <v>4427</v>
      </c>
      <c r="D37" s="158">
        <f t="shared" si="0"/>
        <v>885.40000000000009</v>
      </c>
      <c r="E37" s="164">
        <f>IF('Total income package'!$A$10=TRUE,SUM(EITC!C37:D37),0)</f>
        <v>5312.4</v>
      </c>
      <c r="F37" s="6"/>
      <c r="G37" s="6"/>
      <c r="H37" s="7"/>
      <c r="I37" s="47"/>
      <c r="J37" s="3"/>
      <c r="K37" s="7"/>
      <c r="M37" s="7"/>
    </row>
    <row r="38" spans="1:13" x14ac:dyDescent="0.25">
      <c r="A38" s="3">
        <v>16500</v>
      </c>
      <c r="B38" s="4">
        <f t="shared" si="1"/>
        <v>1375</v>
      </c>
      <c r="C38" s="157">
        <f t="shared" si="2"/>
        <v>4427</v>
      </c>
      <c r="D38" s="158">
        <f t="shared" si="0"/>
        <v>885.40000000000009</v>
      </c>
      <c r="E38" s="164">
        <f>IF('Total income package'!$A$10=TRUE,SUM(EITC!C38:D38),0)</f>
        <v>5312.4</v>
      </c>
      <c r="F38" s="6"/>
      <c r="G38" s="6"/>
      <c r="H38" s="7"/>
      <c r="I38" s="47"/>
      <c r="J38" s="3"/>
      <c r="K38" s="7"/>
      <c r="M38" s="7"/>
    </row>
    <row r="39" spans="1:13" x14ac:dyDescent="0.25">
      <c r="A39" s="3">
        <v>17000</v>
      </c>
      <c r="B39" s="4">
        <f t="shared" si="1"/>
        <v>1416.6666666666667</v>
      </c>
      <c r="C39" s="157">
        <f t="shared" si="2"/>
        <v>4427</v>
      </c>
      <c r="D39" s="158">
        <f t="shared" si="0"/>
        <v>885.40000000000009</v>
      </c>
      <c r="E39" s="164">
        <f>IF('Total income package'!$A$10=TRUE,SUM(EITC!C39:D39),0)</f>
        <v>5312.4</v>
      </c>
      <c r="F39" s="6"/>
      <c r="G39" s="6"/>
      <c r="H39" s="7"/>
      <c r="I39" s="47"/>
      <c r="J39" s="3"/>
      <c r="K39" s="7"/>
      <c r="M39" s="7"/>
    </row>
    <row r="40" spans="1:13" x14ac:dyDescent="0.25">
      <c r="A40" s="3">
        <v>17500</v>
      </c>
      <c r="B40" s="4">
        <f t="shared" si="1"/>
        <v>1458.3333333333333</v>
      </c>
      <c r="C40" s="157">
        <f>MAX(0,IF(A40&gt;$F$2,0,IF(AND(A40&lt;$F$2,A40&gt;=$K$2),$G$2-((A40-$K$2-1)*$I$2),IF(AND(A40&lt;$K$2,A40&gt;=$J$2),$G$2,IF(A40&lt;$J$2,A40*$H$2,0)))))</f>
        <v>4427</v>
      </c>
      <c r="D40" s="158">
        <f t="shared" si="0"/>
        <v>885.40000000000009</v>
      </c>
      <c r="E40" s="164">
        <f>IF('Total income package'!$A$10=TRUE,SUM(EITC!C40:D40),0)</f>
        <v>5312.4</v>
      </c>
      <c r="F40" s="6"/>
      <c r="G40" s="6"/>
      <c r="H40" s="7"/>
      <c r="I40" s="47"/>
      <c r="J40" s="3"/>
      <c r="K40" s="7"/>
      <c r="M40" s="7"/>
    </row>
    <row r="41" spans="1:13" x14ac:dyDescent="0.25">
      <c r="A41" s="3">
        <v>18000</v>
      </c>
      <c r="B41" s="4">
        <f t="shared" si="1"/>
        <v>1500</v>
      </c>
      <c r="C41" s="157">
        <f t="shared" si="2"/>
        <v>4427</v>
      </c>
      <c r="D41" s="158">
        <f t="shared" si="0"/>
        <v>885.40000000000009</v>
      </c>
      <c r="E41" s="164">
        <f>IF('Total income package'!$A$10=TRUE,SUM(EITC!C41:D41),0)</f>
        <v>5312.4</v>
      </c>
      <c r="F41" s="6"/>
      <c r="G41" s="6"/>
      <c r="H41" s="7"/>
      <c r="I41" s="47"/>
      <c r="J41" s="3"/>
      <c r="K41" s="7"/>
      <c r="M41" s="7"/>
    </row>
    <row r="42" spans="1:13" x14ac:dyDescent="0.25">
      <c r="A42" s="3">
        <v>18500</v>
      </c>
      <c r="B42" s="4">
        <f t="shared" si="1"/>
        <v>1541.6666666666667</v>
      </c>
      <c r="C42" s="157">
        <f t="shared" si="2"/>
        <v>4427</v>
      </c>
      <c r="D42" s="158">
        <f t="shared" si="0"/>
        <v>885.40000000000009</v>
      </c>
      <c r="E42" s="164">
        <f>IF('Total income package'!$A$10=TRUE,SUM(EITC!C42:D42),0)</f>
        <v>5312.4</v>
      </c>
      <c r="F42" s="6"/>
      <c r="G42" s="6"/>
      <c r="H42" s="7"/>
      <c r="I42" s="47"/>
      <c r="J42" s="3"/>
      <c r="K42" s="7"/>
      <c r="M42" s="7"/>
    </row>
    <row r="43" spans="1:13" x14ac:dyDescent="0.25">
      <c r="A43" s="3">
        <v>19000</v>
      </c>
      <c r="B43" s="4">
        <f t="shared" si="1"/>
        <v>1583.3333333333333</v>
      </c>
      <c r="C43" s="157">
        <f>MAX(0,IF(A43&gt;$F$2,0,IF(AND(A43&lt;$F$2,A43&gt;=$K$2),$G$2-((A43-$K$2-1)*$I$2),IF(AND(A43&lt;$K$2,A43&gt;=$J$2),$G$2,IF(A43&lt;$J$2,A43*$H$2,0)))))</f>
        <v>4427</v>
      </c>
      <c r="D43" s="158">
        <f t="shared" si="0"/>
        <v>885.40000000000009</v>
      </c>
      <c r="E43" s="164">
        <f>IF('Total income package'!$A$10=TRUE,SUM(EITC!C43:D43),0)</f>
        <v>5312.4</v>
      </c>
      <c r="F43" s="6"/>
      <c r="G43" s="6"/>
      <c r="H43" s="7"/>
      <c r="I43" s="47"/>
      <c r="J43" s="3"/>
      <c r="K43" s="7"/>
      <c r="M43" s="7"/>
    </row>
    <row r="44" spans="1:13" x14ac:dyDescent="0.25">
      <c r="A44" s="3">
        <v>19500</v>
      </c>
      <c r="B44" s="4">
        <f t="shared" si="1"/>
        <v>1625</v>
      </c>
      <c r="C44" s="157">
        <f t="shared" si="2"/>
        <v>4427</v>
      </c>
      <c r="D44" s="158">
        <f t="shared" si="0"/>
        <v>885.40000000000009</v>
      </c>
      <c r="E44" s="164">
        <f>IF('Total income package'!$A$10=TRUE,SUM(EITC!C44:D44),0)</f>
        <v>5312.4</v>
      </c>
      <c r="F44" s="6"/>
      <c r="G44" s="6"/>
      <c r="H44" s="7"/>
      <c r="I44" s="47"/>
      <c r="J44" s="3"/>
      <c r="K44" s="7"/>
      <c r="M44" s="7"/>
    </row>
    <row r="45" spans="1:13" x14ac:dyDescent="0.25">
      <c r="A45" s="3">
        <v>20000</v>
      </c>
      <c r="B45" s="4">
        <f t="shared" si="1"/>
        <v>1666.6666666666667</v>
      </c>
      <c r="C45" s="157">
        <f t="shared" si="2"/>
        <v>4427</v>
      </c>
      <c r="D45" s="158">
        <f t="shared" si="0"/>
        <v>885.40000000000009</v>
      </c>
      <c r="E45" s="164">
        <f>IF('Total income package'!$A$10=TRUE,SUM(EITC!C45:D45),0)</f>
        <v>5312.4</v>
      </c>
      <c r="F45" s="6"/>
      <c r="G45" s="6"/>
      <c r="H45" s="7"/>
      <c r="I45" s="47"/>
      <c r="J45" s="3"/>
      <c r="M45" s="7"/>
    </row>
    <row r="46" spans="1:13" x14ac:dyDescent="0.25">
      <c r="A46" s="3">
        <v>20500</v>
      </c>
      <c r="B46" s="4">
        <f t="shared" si="1"/>
        <v>1708.3333333333333</v>
      </c>
      <c r="C46" s="157">
        <f t="shared" si="2"/>
        <v>4427</v>
      </c>
      <c r="D46" s="158">
        <f t="shared" si="0"/>
        <v>885.40000000000009</v>
      </c>
      <c r="E46" s="164">
        <f>IF('Total income package'!$A$10=TRUE,SUM(EITC!C46:D46),0)</f>
        <v>5312.4</v>
      </c>
      <c r="F46" s="6"/>
      <c r="G46" s="6"/>
      <c r="H46" s="7"/>
      <c r="I46" s="47"/>
      <c r="J46" s="3"/>
      <c r="M46" s="7"/>
    </row>
    <row r="47" spans="1:13" x14ac:dyDescent="0.25">
      <c r="A47" s="3">
        <v>21000</v>
      </c>
      <c r="B47" s="4">
        <f t="shared" si="1"/>
        <v>1750</v>
      </c>
      <c r="C47" s="157">
        <f t="shared" si="2"/>
        <v>4427</v>
      </c>
      <c r="D47" s="158">
        <f t="shared" si="0"/>
        <v>885.40000000000009</v>
      </c>
      <c r="E47" s="164">
        <f>IF('Total income package'!$A$10=TRUE,SUM(EITC!C47:D47),0)</f>
        <v>5312.4</v>
      </c>
      <c r="F47" s="6"/>
      <c r="G47" s="6"/>
      <c r="H47" s="7"/>
      <c r="I47" s="47"/>
      <c r="J47" s="3"/>
      <c r="M47" s="7"/>
    </row>
    <row r="48" spans="1:13" x14ac:dyDescent="0.25">
      <c r="A48" s="3">
        <v>21500</v>
      </c>
      <c r="B48" s="4">
        <f t="shared" si="1"/>
        <v>1791.6666666666667</v>
      </c>
      <c r="C48" s="157">
        <f t="shared" si="2"/>
        <v>4427</v>
      </c>
      <c r="D48" s="158">
        <f t="shared" si="0"/>
        <v>885.40000000000009</v>
      </c>
      <c r="E48" s="164">
        <f>IF('Total income package'!$A$10=TRUE,SUM(EITC!C48:D48),0)</f>
        <v>5312.4</v>
      </c>
      <c r="F48" s="6"/>
      <c r="G48" s="6"/>
      <c r="H48" s="7"/>
      <c r="I48" s="47"/>
      <c r="J48" s="3"/>
      <c r="M48" s="7"/>
    </row>
    <row r="49" spans="1:13" x14ac:dyDescent="0.25">
      <c r="A49" s="3">
        <v>22000</v>
      </c>
      <c r="B49" s="4">
        <f t="shared" si="1"/>
        <v>1833.3333333333333</v>
      </c>
      <c r="C49" s="157">
        <f t="shared" si="2"/>
        <v>4427</v>
      </c>
      <c r="D49" s="158">
        <f t="shared" si="0"/>
        <v>885.40000000000009</v>
      </c>
      <c r="E49" s="164">
        <f>IF('Total income package'!$A$10=TRUE,SUM(EITC!C49:D49),0)</f>
        <v>5312.4</v>
      </c>
      <c r="F49" s="6"/>
      <c r="G49" s="6"/>
      <c r="H49" s="7"/>
      <c r="I49" s="47"/>
      <c r="J49" s="3"/>
      <c r="M49" s="7"/>
    </row>
    <row r="50" spans="1:13" x14ac:dyDescent="0.25">
      <c r="A50" s="3">
        <v>22500</v>
      </c>
      <c r="B50" s="4">
        <f t="shared" si="1"/>
        <v>1875</v>
      </c>
      <c r="C50" s="157">
        <f t="shared" si="2"/>
        <v>4427</v>
      </c>
      <c r="D50" s="158">
        <f t="shared" si="0"/>
        <v>885.40000000000009</v>
      </c>
      <c r="E50" s="164">
        <f>IF('Total income package'!$A$10=TRUE,SUM(EITC!C50:D50),0)</f>
        <v>5312.4</v>
      </c>
      <c r="F50" s="6"/>
      <c r="G50" s="6"/>
      <c r="H50" s="7"/>
      <c r="I50" s="47"/>
      <c r="J50" s="3"/>
      <c r="M50" s="7"/>
    </row>
    <row r="51" spans="1:13" x14ac:dyDescent="0.25">
      <c r="A51" s="3">
        <v>23000</v>
      </c>
      <c r="B51" s="4">
        <f t="shared" si="1"/>
        <v>1916.6666666666667</v>
      </c>
      <c r="C51" s="157">
        <f t="shared" si="2"/>
        <v>4427</v>
      </c>
      <c r="D51" s="158">
        <f t="shared" si="0"/>
        <v>885.40000000000009</v>
      </c>
      <c r="E51" s="164">
        <f>IF('Total income package'!$A$10=TRUE,SUM(EITC!C51:D51),0)</f>
        <v>5312.4</v>
      </c>
      <c r="F51" s="6"/>
      <c r="G51" s="6"/>
      <c r="H51" s="7"/>
      <c r="I51" s="47"/>
      <c r="J51" s="3"/>
      <c r="M51" s="7"/>
    </row>
    <row r="52" spans="1:13" x14ac:dyDescent="0.25">
      <c r="A52" s="3">
        <v>23500</v>
      </c>
      <c r="B52" s="4">
        <f t="shared" si="1"/>
        <v>1958.3333333333333</v>
      </c>
      <c r="C52" s="157">
        <f t="shared" si="2"/>
        <v>4427</v>
      </c>
      <c r="D52" s="158">
        <f t="shared" si="0"/>
        <v>885.40000000000009</v>
      </c>
      <c r="E52" s="164">
        <f>IF('Total income package'!$A$10=TRUE,SUM(EITC!C52:D52),0)</f>
        <v>5312.4</v>
      </c>
      <c r="F52" s="6"/>
      <c r="G52" s="6"/>
      <c r="H52" s="7"/>
      <c r="I52" s="47"/>
      <c r="J52" s="3"/>
      <c r="M52" s="7"/>
    </row>
    <row r="53" spans="1:13" x14ac:dyDescent="0.25">
      <c r="A53" s="3">
        <v>24000</v>
      </c>
      <c r="B53" s="4">
        <f t="shared" si="1"/>
        <v>2000</v>
      </c>
      <c r="C53" s="157">
        <f t="shared" si="2"/>
        <v>4409.5817999999999</v>
      </c>
      <c r="D53" s="158">
        <f t="shared" si="0"/>
        <v>881.91636000000005</v>
      </c>
      <c r="E53" s="164">
        <f>IF('Total income package'!$A$10=TRUE,SUM(EITC!C53:D53),0)</f>
        <v>5291.4981600000001</v>
      </c>
      <c r="F53" s="6"/>
      <c r="G53" s="6"/>
      <c r="H53" s="7"/>
      <c r="I53" s="47"/>
      <c r="J53" s="3"/>
      <c r="M53" s="7"/>
    </row>
    <row r="54" spans="1:13" x14ac:dyDescent="0.25">
      <c r="A54" s="3">
        <v>24500</v>
      </c>
      <c r="B54" s="4">
        <f t="shared" si="1"/>
        <v>2041.6666666666667</v>
      </c>
      <c r="C54" s="157">
        <f t="shared" si="2"/>
        <v>4329.6818000000003</v>
      </c>
      <c r="D54" s="158">
        <f t="shared" si="0"/>
        <v>865.93636000000015</v>
      </c>
      <c r="E54" s="164">
        <f>IF('Total income package'!$A$10=TRUE,SUM(EITC!C54:D54),0)</f>
        <v>5195.61816</v>
      </c>
      <c r="F54" s="6"/>
      <c r="G54" s="6"/>
      <c r="H54" s="7"/>
      <c r="I54" s="47"/>
      <c r="J54" s="3"/>
      <c r="M54" s="7"/>
    </row>
    <row r="55" spans="1:13" x14ac:dyDescent="0.25">
      <c r="A55" s="3">
        <v>25000</v>
      </c>
      <c r="B55" s="4">
        <f t="shared" si="1"/>
        <v>2083.3333333333335</v>
      </c>
      <c r="C55" s="157">
        <f>MAX(0,IF(A55&gt;$F$2,0,IF(AND(A55&lt;$F$2,A55&gt;=$K$2),$G$2-((A55-$K$2-1)*$I$2),IF(AND(A55&lt;$K$2,A55&gt;=$J$2),$G$2,IF(A55&lt;$J$2,A55*$H$2,0)))))</f>
        <v>4249.7817999999997</v>
      </c>
      <c r="D55" s="158">
        <f t="shared" si="0"/>
        <v>849.95636000000002</v>
      </c>
      <c r="E55" s="164">
        <f>IF('Total income package'!$A$10=TRUE,SUM(EITC!C55:D55),0)</f>
        <v>5099.7381599999999</v>
      </c>
      <c r="F55" s="6"/>
      <c r="G55" s="6"/>
      <c r="H55" s="7"/>
      <c r="I55" s="47"/>
      <c r="J55" s="3"/>
      <c r="M55" s="7"/>
    </row>
    <row r="56" spans="1:13" x14ac:dyDescent="0.25">
      <c r="A56" s="3">
        <v>25500</v>
      </c>
      <c r="B56" s="4">
        <f t="shared" si="1"/>
        <v>2125</v>
      </c>
      <c r="C56" s="157">
        <f t="shared" si="2"/>
        <v>4169.8818000000001</v>
      </c>
      <c r="D56" s="158">
        <f t="shared" si="0"/>
        <v>833.97636000000011</v>
      </c>
      <c r="E56" s="164">
        <f>IF('Total income package'!$A$10=TRUE,SUM(EITC!C56:D56),0)</f>
        <v>5003.8581599999998</v>
      </c>
      <c r="F56" s="6"/>
      <c r="G56" s="6"/>
      <c r="H56" s="7"/>
      <c r="I56" s="47"/>
      <c r="J56" s="3"/>
      <c r="M56" s="7"/>
    </row>
    <row r="57" spans="1:13" x14ac:dyDescent="0.25">
      <c r="A57" s="3">
        <v>26000</v>
      </c>
      <c r="B57" s="4">
        <f t="shared" si="1"/>
        <v>2166.6666666666665</v>
      </c>
      <c r="C57" s="157">
        <f t="shared" si="2"/>
        <v>4089.9818</v>
      </c>
      <c r="D57" s="158">
        <f t="shared" si="0"/>
        <v>817.9963600000001</v>
      </c>
      <c r="E57" s="164">
        <f>IF('Total income package'!$A$10=TRUE,SUM(EITC!C57:D57),0)</f>
        <v>4907.9781600000006</v>
      </c>
      <c r="F57" s="6"/>
      <c r="G57" s="6"/>
      <c r="H57" s="7"/>
      <c r="I57" s="47"/>
      <c r="J57" s="3"/>
      <c r="M57" s="7"/>
    </row>
    <row r="58" spans="1:13" x14ac:dyDescent="0.25">
      <c r="A58" s="3">
        <v>26500</v>
      </c>
      <c r="B58" s="4">
        <f t="shared" si="1"/>
        <v>2208.3333333333335</v>
      </c>
      <c r="C58" s="157">
        <f t="shared" si="2"/>
        <v>4010.0817999999999</v>
      </c>
      <c r="D58" s="158">
        <f t="shared" si="0"/>
        <v>802.01636000000008</v>
      </c>
      <c r="E58" s="164">
        <f>IF('Total income package'!$A$10=TRUE,SUM(EITC!C58:D58),0)</f>
        <v>4812.0981599999996</v>
      </c>
      <c r="F58" s="6"/>
      <c r="G58" s="6"/>
      <c r="H58" s="7"/>
      <c r="I58" s="47"/>
      <c r="J58" s="3"/>
      <c r="M58" s="7"/>
    </row>
    <row r="59" spans="1:13" x14ac:dyDescent="0.25">
      <c r="A59" s="3">
        <v>27000</v>
      </c>
      <c r="B59" s="4">
        <f t="shared" si="1"/>
        <v>2250</v>
      </c>
      <c r="C59" s="157">
        <f t="shared" si="2"/>
        <v>3930.1817999999998</v>
      </c>
      <c r="D59" s="158">
        <f t="shared" si="0"/>
        <v>786.03636000000006</v>
      </c>
      <c r="E59" s="164">
        <f>IF('Total income package'!$A$10=TRUE,SUM(EITC!C59:D59),0)</f>
        <v>4716.2181600000004</v>
      </c>
      <c r="F59" s="6"/>
      <c r="G59" s="6"/>
      <c r="H59" s="7"/>
      <c r="I59" s="47"/>
      <c r="J59" s="3"/>
      <c r="M59" s="7"/>
    </row>
    <row r="60" spans="1:13" x14ac:dyDescent="0.25">
      <c r="A60" s="3">
        <v>27500</v>
      </c>
      <c r="B60" s="4">
        <f t="shared" si="1"/>
        <v>2291.6666666666665</v>
      </c>
      <c r="C60" s="157">
        <f t="shared" si="2"/>
        <v>3850.2817999999997</v>
      </c>
      <c r="D60" s="158">
        <f t="shared" si="0"/>
        <v>770.05636000000004</v>
      </c>
      <c r="E60" s="164">
        <f>IF('Total income package'!$A$10=TRUE,SUM(EITC!C60:D60),0)</f>
        <v>4620.3381599999993</v>
      </c>
      <c r="F60" s="6"/>
      <c r="G60" s="6"/>
      <c r="H60" s="7"/>
      <c r="I60" s="47"/>
      <c r="J60" s="3"/>
      <c r="M60" s="7"/>
    </row>
    <row r="61" spans="1:13" x14ac:dyDescent="0.25">
      <c r="A61" s="3">
        <v>28000</v>
      </c>
      <c r="B61" s="4">
        <f t="shared" si="1"/>
        <v>2333.3333333333335</v>
      </c>
      <c r="C61" s="157">
        <f t="shared" si="2"/>
        <v>3770.3818000000001</v>
      </c>
      <c r="D61" s="158">
        <f t="shared" si="0"/>
        <v>754.07636000000002</v>
      </c>
      <c r="E61" s="164">
        <f>IF('Total income package'!$A$10=TRUE,SUM(EITC!C61:D61),0)</f>
        <v>4524.4581600000001</v>
      </c>
      <c r="F61" s="6"/>
      <c r="G61" s="6"/>
      <c r="H61" s="7"/>
      <c r="I61" s="47"/>
      <c r="J61" s="3"/>
      <c r="M61" s="7"/>
    </row>
    <row r="62" spans="1:13" x14ac:dyDescent="0.25">
      <c r="A62" s="3">
        <v>28500</v>
      </c>
      <c r="B62" s="4">
        <f t="shared" si="1"/>
        <v>2375</v>
      </c>
      <c r="C62" s="157">
        <f t="shared" si="2"/>
        <v>3690.4818</v>
      </c>
      <c r="D62" s="158">
        <f t="shared" si="0"/>
        <v>738.09636</v>
      </c>
      <c r="E62" s="164">
        <f>IF('Total income package'!$A$10=TRUE,SUM(EITC!C62:D62),0)</f>
        <v>4428.57816</v>
      </c>
      <c r="F62" s="6"/>
      <c r="G62" s="6"/>
      <c r="H62" s="7"/>
      <c r="I62" s="47"/>
      <c r="J62" s="3"/>
      <c r="M62" s="7"/>
    </row>
    <row r="63" spans="1:13" x14ac:dyDescent="0.25">
      <c r="A63" s="3">
        <v>29000</v>
      </c>
      <c r="B63" s="4">
        <f t="shared" si="1"/>
        <v>2416.6666666666665</v>
      </c>
      <c r="C63" s="157">
        <f t="shared" si="2"/>
        <v>3610.5817999999999</v>
      </c>
      <c r="D63" s="158">
        <f t="shared" si="0"/>
        <v>722.11635999999999</v>
      </c>
      <c r="E63" s="164">
        <f>IF('Total income package'!$A$10=TRUE,SUM(EITC!C63:D63),0)</f>
        <v>4332.6981599999999</v>
      </c>
      <c r="F63" s="6"/>
      <c r="G63" s="6"/>
      <c r="H63" s="7"/>
      <c r="J63" s="3"/>
    </row>
    <row r="64" spans="1:13" x14ac:dyDescent="0.25">
      <c r="A64" s="3">
        <v>29500</v>
      </c>
      <c r="B64" s="4">
        <f t="shared" si="1"/>
        <v>2458.3333333333335</v>
      </c>
      <c r="C64" s="157">
        <f t="shared" si="2"/>
        <v>3530.6818000000003</v>
      </c>
      <c r="D64" s="158">
        <f t="shared" si="0"/>
        <v>706.13636000000008</v>
      </c>
      <c r="E64" s="164">
        <f>IF('Total income package'!$A$10=TRUE,SUM(EITC!C64:D64),0)</f>
        <v>4236.8181600000007</v>
      </c>
      <c r="F64" s="6"/>
      <c r="G64" s="6"/>
      <c r="H64" s="7"/>
      <c r="J64" s="3"/>
    </row>
    <row r="65" spans="1:10" x14ac:dyDescent="0.25">
      <c r="A65" s="3">
        <v>30000</v>
      </c>
      <c r="B65" s="4">
        <f t="shared" si="1"/>
        <v>2500</v>
      </c>
      <c r="C65" s="157">
        <f t="shared" si="2"/>
        <v>3450.7817999999997</v>
      </c>
      <c r="D65" s="158">
        <f t="shared" si="0"/>
        <v>690.15635999999995</v>
      </c>
      <c r="E65" s="164">
        <f>IF('Total income package'!$A$10=TRUE,SUM(EITC!C65:D65),0)</f>
        <v>4140.9381599999997</v>
      </c>
      <c r="F65" s="6"/>
      <c r="G65" s="6"/>
      <c r="H65" s="7"/>
      <c r="J65" s="3"/>
    </row>
    <row r="66" spans="1:10" x14ac:dyDescent="0.25">
      <c r="A66" s="3">
        <v>30500</v>
      </c>
      <c r="B66" s="4">
        <f t="shared" si="1"/>
        <v>2541.6666666666665</v>
      </c>
      <c r="C66" s="157">
        <f t="shared" si="2"/>
        <v>3370.8818000000001</v>
      </c>
      <c r="D66" s="158">
        <f t="shared" si="0"/>
        <v>674.17636000000005</v>
      </c>
      <c r="E66" s="164">
        <f>IF('Total income package'!$A$10=TRUE,SUM(EITC!C66:D66),0)</f>
        <v>4045.05816</v>
      </c>
      <c r="F66" s="6"/>
      <c r="G66" s="6"/>
      <c r="H66" s="7"/>
      <c r="J66" s="3"/>
    </row>
    <row r="67" spans="1:10" x14ac:dyDescent="0.25">
      <c r="A67" s="3">
        <v>31000</v>
      </c>
      <c r="B67" s="4">
        <f t="shared" si="1"/>
        <v>2583.3333333333335</v>
      </c>
      <c r="C67" s="157">
        <f t="shared" si="2"/>
        <v>3290.9818</v>
      </c>
      <c r="D67" s="158">
        <f t="shared" si="0"/>
        <v>658.19636000000003</v>
      </c>
      <c r="E67" s="164">
        <f>IF('Total income package'!$A$10=TRUE,SUM(EITC!C67:D67),0)</f>
        <v>3949.1781599999999</v>
      </c>
      <c r="F67" s="6"/>
      <c r="G67" s="6"/>
      <c r="H67" s="7"/>
      <c r="J67" s="3"/>
    </row>
    <row r="68" spans="1:10" x14ac:dyDescent="0.25">
      <c r="A68" s="3">
        <v>31500</v>
      </c>
      <c r="B68" s="4">
        <f t="shared" si="1"/>
        <v>2625</v>
      </c>
      <c r="C68" s="157">
        <f t="shared" si="2"/>
        <v>3211.0817999999999</v>
      </c>
      <c r="D68" s="158">
        <f t="shared" si="0"/>
        <v>642.21636000000001</v>
      </c>
      <c r="E68" s="164">
        <f>IF('Total income package'!$A$10=TRUE,SUM(EITC!C68:D68),0)</f>
        <v>3853.2981599999998</v>
      </c>
      <c r="F68" s="6"/>
      <c r="G68" s="6"/>
      <c r="H68" s="7"/>
      <c r="J68" s="3"/>
    </row>
    <row r="69" spans="1:10" x14ac:dyDescent="0.25">
      <c r="A69" s="3">
        <v>32000</v>
      </c>
      <c r="B69" s="4">
        <f t="shared" si="1"/>
        <v>2666.6666666666665</v>
      </c>
      <c r="C69" s="157">
        <f t="shared" si="2"/>
        <v>3131.1818000000003</v>
      </c>
      <c r="D69" s="158">
        <f t="shared" si="0"/>
        <v>626.2363600000001</v>
      </c>
      <c r="E69" s="164">
        <f>IF('Total income package'!$A$10=TRUE,SUM(EITC!C69:D69),0)</f>
        <v>3757.4181600000002</v>
      </c>
      <c r="F69" s="6"/>
      <c r="G69" s="6"/>
      <c r="H69" s="7"/>
      <c r="J69" s="3"/>
    </row>
    <row r="70" spans="1:10" x14ac:dyDescent="0.25">
      <c r="A70" s="3">
        <v>32500</v>
      </c>
      <c r="B70" s="4">
        <f t="shared" si="1"/>
        <v>2708.3333333333335</v>
      </c>
      <c r="C70" s="157">
        <f t="shared" si="2"/>
        <v>3051.2817999999997</v>
      </c>
      <c r="D70" s="158">
        <f t="shared" ref="D70:D133" si="3">C70*0.2</f>
        <v>610.25635999999997</v>
      </c>
      <c r="E70" s="164">
        <f>IF('Total income package'!$A$10=TRUE,SUM(EITC!C70:D70),0)</f>
        <v>3661.5381599999996</v>
      </c>
      <c r="F70" s="6"/>
      <c r="G70" s="6"/>
      <c r="H70" s="7"/>
      <c r="J70" s="3"/>
    </row>
    <row r="71" spans="1:10" x14ac:dyDescent="0.25">
      <c r="A71" s="3">
        <v>33000</v>
      </c>
      <c r="B71" s="4">
        <f t="shared" si="1"/>
        <v>2750</v>
      </c>
      <c r="C71" s="157">
        <f>MAX(0,IF(A71&gt;$F$2,0,IF(AND(A71&lt;$F$2,A71&gt;=$K$2),$G$2-((A71-$K$2-1)*$I$2),IF(AND(A71&lt;$K$2,A71&gt;=$J$2),$G$2,IF(A71&lt;$J$2,A71*$H$2,0)))))</f>
        <v>2971.3818000000001</v>
      </c>
      <c r="D71" s="158">
        <f t="shared" si="3"/>
        <v>594.27636000000007</v>
      </c>
      <c r="E71" s="164">
        <f>IF('Total income package'!$A$10=TRUE,SUM(EITC!C71:D71),0)</f>
        <v>3565.65816</v>
      </c>
      <c r="F71" s="6"/>
      <c r="G71" s="6"/>
      <c r="H71" s="7"/>
      <c r="J71" s="3"/>
    </row>
    <row r="72" spans="1:10" x14ac:dyDescent="0.25">
      <c r="A72" s="3">
        <v>33500</v>
      </c>
      <c r="B72" s="4">
        <f t="shared" ref="B72:B135" si="4">A72/12</f>
        <v>2791.6666666666665</v>
      </c>
      <c r="C72" s="157">
        <f>MAX(0,IF(A72&gt;$F$2,0,IF(AND(A72&lt;$F$2,A72&gt;=$K$2),$G$2-((A72-$K$2-1)*$I$2),IF(AND(A72&lt;$K$2,A72&gt;=$J$2),$G$2,IF(A72&lt;$J$2,A72*$H$2,0)))))</f>
        <v>2891.4818</v>
      </c>
      <c r="D72" s="158">
        <f t="shared" si="3"/>
        <v>578.29636000000005</v>
      </c>
      <c r="E72" s="164">
        <f>IF('Total income package'!$A$10=TRUE,SUM(EITC!C72:D72),0)</f>
        <v>3469.7781599999998</v>
      </c>
      <c r="F72" s="6"/>
      <c r="G72" s="6"/>
      <c r="H72" s="7"/>
      <c r="J72" s="3"/>
    </row>
    <row r="73" spans="1:10" x14ac:dyDescent="0.25">
      <c r="A73" s="3">
        <v>34000</v>
      </c>
      <c r="B73" s="4">
        <f t="shared" si="4"/>
        <v>2833.3333333333335</v>
      </c>
      <c r="C73" s="157">
        <f>MAX(0,IF(A73&gt;$F$2,0,IF(AND(A73&lt;$F$2,A73&gt;=$K$2),$G$2-((A73-$K$2-1)*$I$2),IF(AND(A73&lt;$K$2,A73&gt;=$J$2),$G$2,IF(A73&lt;$J$2,A73*$H$2,0)))))</f>
        <v>2811.5817999999999</v>
      </c>
      <c r="D73" s="158">
        <f t="shared" si="3"/>
        <v>562.31636000000003</v>
      </c>
      <c r="E73" s="164">
        <f>IF('Total income package'!$A$10=TRUE,SUM(EITC!C73:D73),0)</f>
        <v>3373.8981599999997</v>
      </c>
      <c r="F73" s="6"/>
      <c r="G73" s="6"/>
      <c r="H73" s="7"/>
      <c r="J73" s="3"/>
    </row>
    <row r="74" spans="1:10" x14ac:dyDescent="0.25">
      <c r="A74" s="3">
        <v>34500</v>
      </c>
      <c r="B74" s="4">
        <f t="shared" si="4"/>
        <v>2875</v>
      </c>
      <c r="C74" s="157">
        <f t="shared" ref="C74:C104" si="5">MAX(0,IF(A74&gt;$F$2,0,IF(AND(A74&lt;$F$2,A74&gt;=$K$2),$G$2-((A74-$K$2-1)*$I$2),IF(AND(A74&lt;$K$2,A74&gt;=$J$2),$G$2,IF(A74&lt;$J$2,A74*$H$2,0)))))</f>
        <v>2731.6818000000003</v>
      </c>
      <c r="D74" s="158">
        <f t="shared" si="3"/>
        <v>546.33636000000013</v>
      </c>
      <c r="E74" s="164">
        <f>IF('Total income package'!$A$10=TRUE,SUM(EITC!C74:D74),0)</f>
        <v>3278.0181600000005</v>
      </c>
      <c r="F74" s="6"/>
      <c r="G74" s="6"/>
      <c r="H74" s="7"/>
      <c r="J74" s="3"/>
    </row>
    <row r="75" spans="1:10" x14ac:dyDescent="0.25">
      <c r="A75" s="3">
        <v>35000</v>
      </c>
      <c r="B75" s="4">
        <f t="shared" si="4"/>
        <v>2916.6666666666665</v>
      </c>
      <c r="C75" s="157">
        <f t="shared" si="5"/>
        <v>2651.7817999999997</v>
      </c>
      <c r="D75" s="158">
        <f t="shared" si="3"/>
        <v>530.35636</v>
      </c>
      <c r="E75" s="164">
        <f>IF('Total income package'!$A$10=TRUE,SUM(EITC!C75:D75),0)</f>
        <v>3182.1381599999995</v>
      </c>
      <c r="F75" s="6"/>
      <c r="G75" s="6"/>
      <c r="H75" s="7"/>
      <c r="J75" s="3"/>
    </row>
    <row r="76" spans="1:10" x14ac:dyDescent="0.25">
      <c r="A76" s="3">
        <v>35500</v>
      </c>
      <c r="B76" s="4">
        <f t="shared" si="4"/>
        <v>2958.3333333333335</v>
      </c>
      <c r="C76" s="157">
        <f t="shared" si="5"/>
        <v>2571.8818000000001</v>
      </c>
      <c r="D76" s="158">
        <f t="shared" si="3"/>
        <v>514.37636000000009</v>
      </c>
      <c r="E76" s="164">
        <f>IF('Total income package'!$A$10=TRUE,SUM(EITC!C76:D76),0)</f>
        <v>3086.2581600000003</v>
      </c>
      <c r="F76" s="6"/>
      <c r="G76" s="6"/>
      <c r="H76" s="7"/>
      <c r="J76" s="3"/>
    </row>
    <row r="77" spans="1:10" x14ac:dyDescent="0.25">
      <c r="A77" s="3">
        <v>36000</v>
      </c>
      <c r="B77" s="4">
        <f t="shared" si="4"/>
        <v>3000</v>
      </c>
      <c r="C77" s="157">
        <f t="shared" si="5"/>
        <v>2491.9818</v>
      </c>
      <c r="D77" s="158">
        <f t="shared" si="3"/>
        <v>498.39636000000002</v>
      </c>
      <c r="E77" s="164">
        <f>IF('Total income package'!$A$10=TRUE,SUM(EITC!C77:D77),0)</f>
        <v>2990.3781600000002</v>
      </c>
      <c r="F77" s="6"/>
      <c r="G77" s="6"/>
      <c r="H77" s="7"/>
    </row>
    <row r="78" spans="1:10" x14ac:dyDescent="0.25">
      <c r="A78" s="3">
        <v>36500</v>
      </c>
      <c r="B78" s="4">
        <f t="shared" si="4"/>
        <v>3041.6666666666665</v>
      </c>
      <c r="C78" s="157">
        <f t="shared" si="5"/>
        <v>2412.0817999999999</v>
      </c>
      <c r="D78" s="158">
        <f t="shared" si="3"/>
        <v>482.41636</v>
      </c>
      <c r="E78" s="164">
        <f>IF('Total income package'!$A$10=TRUE,SUM(EITC!C78:D78),0)</f>
        <v>2894.4981600000001</v>
      </c>
      <c r="F78" s="6"/>
      <c r="G78" s="6"/>
      <c r="H78" s="7"/>
    </row>
    <row r="79" spans="1:10" x14ac:dyDescent="0.25">
      <c r="A79" s="3">
        <v>37000</v>
      </c>
      <c r="B79" s="4">
        <f t="shared" si="4"/>
        <v>3083.3333333333335</v>
      </c>
      <c r="C79" s="157">
        <f t="shared" si="5"/>
        <v>2332.1817999999998</v>
      </c>
      <c r="D79" s="158">
        <f t="shared" si="3"/>
        <v>466.43635999999998</v>
      </c>
      <c r="E79" s="164">
        <f>IF('Total income package'!$A$10=TRUE,SUM(EITC!C79:D79),0)</f>
        <v>2798.61816</v>
      </c>
      <c r="F79" s="6"/>
      <c r="G79" s="6"/>
      <c r="H79" s="7"/>
    </row>
    <row r="80" spans="1:10" x14ac:dyDescent="0.25">
      <c r="A80" s="3">
        <v>37500</v>
      </c>
      <c r="B80" s="4">
        <f t="shared" si="4"/>
        <v>3125</v>
      </c>
      <c r="C80" s="157">
        <f t="shared" si="5"/>
        <v>2252.2818000000002</v>
      </c>
      <c r="D80" s="158">
        <f t="shared" si="3"/>
        <v>450.45636000000007</v>
      </c>
      <c r="E80" s="164">
        <f>IF('Total income package'!$A$10=TRUE,SUM(EITC!C80:D80),0)</f>
        <v>2702.7381600000003</v>
      </c>
      <c r="F80" s="6"/>
      <c r="G80" s="6"/>
      <c r="H80" s="7"/>
    </row>
    <row r="81" spans="1:8" x14ac:dyDescent="0.25">
      <c r="A81" s="3">
        <v>38000</v>
      </c>
      <c r="B81" s="4">
        <f t="shared" si="4"/>
        <v>3166.6666666666665</v>
      </c>
      <c r="C81" s="157">
        <f t="shared" si="5"/>
        <v>2172.3818000000001</v>
      </c>
      <c r="D81" s="158">
        <f t="shared" si="3"/>
        <v>434.47636000000006</v>
      </c>
      <c r="E81" s="164">
        <f>IF('Total income package'!$A$10=TRUE,SUM(EITC!C81:D81),0)</f>
        <v>2606.8581600000002</v>
      </c>
      <c r="F81" s="6"/>
      <c r="G81" s="6"/>
      <c r="H81" s="7"/>
    </row>
    <row r="82" spans="1:8" x14ac:dyDescent="0.25">
      <c r="A82" s="3">
        <v>38500</v>
      </c>
      <c r="B82" s="4">
        <f t="shared" si="4"/>
        <v>3208.3333333333335</v>
      </c>
      <c r="C82" s="157">
        <f t="shared" si="5"/>
        <v>2092.4818</v>
      </c>
      <c r="D82" s="158">
        <f t="shared" si="3"/>
        <v>418.49636000000004</v>
      </c>
      <c r="E82" s="164">
        <f>IF('Total income package'!$A$10=TRUE,SUM(EITC!C82:D82),0)</f>
        <v>2510.9781600000001</v>
      </c>
      <c r="F82" s="6"/>
      <c r="G82" s="6"/>
      <c r="H82" s="7"/>
    </row>
    <row r="83" spans="1:8" x14ac:dyDescent="0.25">
      <c r="A83" s="3">
        <v>39000</v>
      </c>
      <c r="B83" s="4">
        <f t="shared" si="4"/>
        <v>3250</v>
      </c>
      <c r="C83" s="157">
        <f t="shared" si="5"/>
        <v>2012.5817999999999</v>
      </c>
      <c r="D83" s="158">
        <f t="shared" si="3"/>
        <v>402.51636000000002</v>
      </c>
      <c r="E83" s="164">
        <f>IF('Total income package'!$A$10=TRUE,SUM(EITC!C83:D83),0)</f>
        <v>2415.09816</v>
      </c>
      <c r="F83" s="6"/>
      <c r="G83" s="6"/>
      <c r="H83" s="7"/>
    </row>
    <row r="84" spans="1:8" x14ac:dyDescent="0.25">
      <c r="A84" s="3">
        <v>39500</v>
      </c>
      <c r="B84" s="4">
        <f t="shared" si="4"/>
        <v>3291.6666666666665</v>
      </c>
      <c r="C84" s="157">
        <f t="shared" si="5"/>
        <v>1932.6817999999998</v>
      </c>
      <c r="D84" s="158">
        <f t="shared" si="3"/>
        <v>386.53636</v>
      </c>
      <c r="E84" s="164">
        <f>IF('Total income package'!$A$10=TRUE,SUM(EITC!C84:D84),0)</f>
        <v>2319.2181599999999</v>
      </c>
      <c r="F84" s="6"/>
      <c r="G84" s="6"/>
      <c r="H84" s="7"/>
    </row>
    <row r="85" spans="1:8" x14ac:dyDescent="0.25">
      <c r="A85" s="3">
        <v>40000</v>
      </c>
      <c r="B85" s="4">
        <f t="shared" si="4"/>
        <v>3333.3333333333335</v>
      </c>
      <c r="C85" s="157">
        <f t="shared" si="5"/>
        <v>1852.7818000000002</v>
      </c>
      <c r="D85" s="158">
        <f t="shared" si="3"/>
        <v>370.55636000000004</v>
      </c>
      <c r="E85" s="164">
        <f>IF('Total income package'!$A$10=TRUE,SUM(EITC!C85:D85),0)</f>
        <v>2223.3381600000002</v>
      </c>
      <c r="F85" s="6"/>
      <c r="G85" s="6"/>
      <c r="H85" s="7"/>
    </row>
    <row r="86" spans="1:8" x14ac:dyDescent="0.25">
      <c r="A86" s="3">
        <v>40500</v>
      </c>
      <c r="B86" s="4">
        <f t="shared" si="4"/>
        <v>3375</v>
      </c>
      <c r="C86" s="157">
        <f t="shared" si="5"/>
        <v>1772.8818000000001</v>
      </c>
      <c r="D86" s="158">
        <f t="shared" si="3"/>
        <v>354.57636000000002</v>
      </c>
      <c r="E86" s="164">
        <f>IF('Total income package'!$A$10=TRUE,SUM(EITC!C86:D86),0)</f>
        <v>2127.4581600000001</v>
      </c>
      <c r="F86" s="6"/>
      <c r="G86" s="6"/>
      <c r="H86" s="7"/>
    </row>
    <row r="87" spans="1:8" x14ac:dyDescent="0.25">
      <c r="A87" s="3">
        <v>41000</v>
      </c>
      <c r="B87" s="4">
        <f t="shared" si="4"/>
        <v>3416.6666666666665</v>
      </c>
      <c r="C87" s="157">
        <f t="shared" si="5"/>
        <v>1692.9818</v>
      </c>
      <c r="D87" s="158">
        <f t="shared" si="3"/>
        <v>338.59636</v>
      </c>
      <c r="E87" s="164">
        <f>IF('Total income package'!$A$10=TRUE,SUM(EITC!C87:D87),0)</f>
        <v>2031.57816</v>
      </c>
      <c r="F87" s="6"/>
      <c r="G87" s="6"/>
      <c r="H87" s="7"/>
    </row>
    <row r="88" spans="1:8" x14ac:dyDescent="0.25">
      <c r="A88" s="3">
        <v>41500</v>
      </c>
      <c r="B88" s="4">
        <f t="shared" si="4"/>
        <v>3458.3333333333335</v>
      </c>
      <c r="C88" s="157">
        <f t="shared" si="5"/>
        <v>1613.0817999999999</v>
      </c>
      <c r="D88" s="158">
        <f t="shared" si="3"/>
        <v>322.61635999999999</v>
      </c>
      <c r="E88" s="164">
        <f>IF('Total income package'!$A$10=TRUE,SUM(EITC!C88:D88),0)</f>
        <v>1935.6981599999999</v>
      </c>
      <c r="F88" s="6"/>
      <c r="G88" s="6"/>
      <c r="H88" s="7"/>
    </row>
    <row r="89" spans="1:8" x14ac:dyDescent="0.25">
      <c r="A89" s="3">
        <v>42000</v>
      </c>
      <c r="B89" s="4">
        <f t="shared" si="4"/>
        <v>3500</v>
      </c>
      <c r="C89" s="157">
        <f t="shared" si="5"/>
        <v>1533.1817999999998</v>
      </c>
      <c r="D89" s="158">
        <f t="shared" si="3"/>
        <v>306.63635999999997</v>
      </c>
      <c r="E89" s="164">
        <f>IF('Total income package'!$A$10=TRUE,SUM(EITC!C89:D89),0)</f>
        <v>1839.8181599999998</v>
      </c>
      <c r="F89" s="6"/>
      <c r="G89" s="6"/>
      <c r="H89" s="7"/>
    </row>
    <row r="90" spans="1:8" x14ac:dyDescent="0.25">
      <c r="A90" s="3">
        <v>42500</v>
      </c>
      <c r="B90" s="4">
        <f t="shared" si="4"/>
        <v>3541.6666666666665</v>
      </c>
      <c r="C90" s="157">
        <f t="shared" si="5"/>
        <v>1453.2818000000002</v>
      </c>
      <c r="D90" s="158">
        <f t="shared" si="3"/>
        <v>290.65636000000006</v>
      </c>
      <c r="E90" s="164">
        <f>IF('Total income package'!$A$10=TRUE,SUM(EITC!C90:D90),0)</f>
        <v>1743.9381600000002</v>
      </c>
      <c r="F90" s="6"/>
      <c r="G90" s="6"/>
      <c r="H90" s="7"/>
    </row>
    <row r="91" spans="1:8" x14ac:dyDescent="0.25">
      <c r="A91" s="3">
        <v>43000</v>
      </c>
      <c r="B91" s="4">
        <f t="shared" si="4"/>
        <v>3583.3333333333335</v>
      </c>
      <c r="C91" s="157">
        <f t="shared" si="5"/>
        <v>1373.3818000000001</v>
      </c>
      <c r="D91" s="158">
        <f t="shared" si="3"/>
        <v>274.67636000000005</v>
      </c>
      <c r="E91" s="164">
        <f>IF('Total income package'!$A$10=TRUE,SUM(EITC!C91:D91),0)</f>
        <v>1648.05816</v>
      </c>
      <c r="F91" s="6"/>
      <c r="G91" s="6"/>
      <c r="H91" s="7"/>
    </row>
    <row r="92" spans="1:8" x14ac:dyDescent="0.25">
      <c r="A92" s="3">
        <v>43500</v>
      </c>
      <c r="B92" s="4">
        <f t="shared" si="4"/>
        <v>3625</v>
      </c>
      <c r="C92" s="157">
        <f t="shared" si="5"/>
        <v>1293.4818</v>
      </c>
      <c r="D92" s="158">
        <f t="shared" si="3"/>
        <v>258.69636000000003</v>
      </c>
      <c r="E92" s="164">
        <f>IF('Total income package'!$A$10=TRUE,SUM(EITC!C92:D92),0)</f>
        <v>1552.1781599999999</v>
      </c>
      <c r="F92" s="6"/>
      <c r="G92" s="6"/>
      <c r="H92" s="7"/>
    </row>
    <row r="93" spans="1:8" x14ac:dyDescent="0.25">
      <c r="A93" s="3">
        <v>44000</v>
      </c>
      <c r="B93" s="4">
        <f t="shared" si="4"/>
        <v>3666.6666666666665</v>
      </c>
      <c r="C93" s="157">
        <f t="shared" si="5"/>
        <v>1213.5817999999999</v>
      </c>
      <c r="D93" s="158">
        <f t="shared" si="3"/>
        <v>242.71636000000001</v>
      </c>
      <c r="E93" s="164">
        <f>IF('Total income package'!$A$10=TRUE,SUM(EITC!C93:D93),0)</f>
        <v>1456.2981599999998</v>
      </c>
      <c r="F93" s="6"/>
      <c r="G93" s="6"/>
      <c r="H93" s="7"/>
    </row>
    <row r="94" spans="1:8" x14ac:dyDescent="0.25">
      <c r="A94" s="3">
        <v>44500</v>
      </c>
      <c r="B94" s="4">
        <f t="shared" si="4"/>
        <v>3708.3333333333335</v>
      </c>
      <c r="C94" s="157">
        <f t="shared" si="5"/>
        <v>1133.6817999999998</v>
      </c>
      <c r="D94" s="158">
        <f t="shared" si="3"/>
        <v>226.73635999999999</v>
      </c>
      <c r="E94" s="164">
        <f>IF('Total income package'!$A$10=TRUE,SUM(EITC!C94:D94),0)</f>
        <v>1360.4181599999997</v>
      </c>
      <c r="F94" s="6"/>
      <c r="G94" s="6"/>
      <c r="H94" s="7"/>
    </row>
    <row r="95" spans="1:8" x14ac:dyDescent="0.25">
      <c r="A95" s="3">
        <v>45000</v>
      </c>
      <c r="B95" s="4">
        <f t="shared" si="4"/>
        <v>3750</v>
      </c>
      <c r="C95" s="157">
        <f t="shared" si="5"/>
        <v>1053.7818000000002</v>
      </c>
      <c r="D95" s="158">
        <f t="shared" si="3"/>
        <v>210.75636000000006</v>
      </c>
      <c r="E95" s="164">
        <f>IF('Total income package'!$A$10=TRUE,SUM(EITC!C95:D95),0)</f>
        <v>1264.5381600000003</v>
      </c>
      <c r="F95" s="6"/>
      <c r="G95" s="6"/>
      <c r="H95" s="7"/>
    </row>
    <row r="96" spans="1:8" x14ac:dyDescent="0.25">
      <c r="A96" s="3">
        <v>45500</v>
      </c>
      <c r="B96" s="4">
        <f t="shared" si="4"/>
        <v>3791.6666666666665</v>
      </c>
      <c r="C96" s="157">
        <f t="shared" si="5"/>
        <v>973.88180000000011</v>
      </c>
      <c r="D96" s="158">
        <f t="shared" si="3"/>
        <v>194.77636000000004</v>
      </c>
      <c r="E96" s="164">
        <f>IF('Total income package'!$A$10=TRUE,SUM(EITC!C96:D96),0)</f>
        <v>1168.6581600000002</v>
      </c>
      <c r="F96" s="6"/>
      <c r="G96" s="6"/>
      <c r="H96" s="7"/>
    </row>
    <row r="97" spans="1:8" x14ac:dyDescent="0.25">
      <c r="A97" s="3">
        <v>46000</v>
      </c>
      <c r="B97" s="4">
        <f t="shared" si="4"/>
        <v>3833.3333333333335</v>
      </c>
      <c r="C97" s="157">
        <f t="shared" si="5"/>
        <v>893.98180000000002</v>
      </c>
      <c r="D97" s="158">
        <f t="shared" si="3"/>
        <v>178.79636000000002</v>
      </c>
      <c r="E97" s="164">
        <f>IF('Total income package'!$A$10=TRUE,SUM(EITC!C97:D97),0)</f>
        <v>1072.7781600000001</v>
      </c>
      <c r="F97" s="6"/>
      <c r="G97" s="6"/>
      <c r="H97" s="7"/>
    </row>
    <row r="98" spans="1:8" x14ac:dyDescent="0.25">
      <c r="A98" s="3">
        <v>46500</v>
      </c>
      <c r="B98" s="4">
        <f t="shared" si="4"/>
        <v>3875</v>
      </c>
      <c r="C98" s="157">
        <f t="shared" si="5"/>
        <v>814.08179999999993</v>
      </c>
      <c r="D98" s="158">
        <f t="shared" si="3"/>
        <v>162.81636</v>
      </c>
      <c r="E98" s="164">
        <f>IF('Total income package'!$A$10=TRUE,SUM(EITC!C98:D98),0)</f>
        <v>976.89815999999996</v>
      </c>
      <c r="F98" s="6"/>
      <c r="G98" s="6"/>
      <c r="H98" s="7"/>
    </row>
    <row r="99" spans="1:8" x14ac:dyDescent="0.25">
      <c r="A99" s="3">
        <v>47000</v>
      </c>
      <c r="B99" s="4">
        <f t="shared" si="4"/>
        <v>3916.6666666666665</v>
      </c>
      <c r="C99" s="157">
        <f>MAX(0,IF(A99&gt;$F$2,0,IF(AND(A99&lt;$F$2,A99&gt;=$K$2),$G$2-((A99-$K$2-1)*$I$2),IF(AND(A99&lt;$K$2,A99&gt;=$J$2),$G$2,IF(A99&lt;$J$2,A99*$H$2,0)))))</f>
        <v>734.18179999999984</v>
      </c>
      <c r="D99" s="158">
        <f t="shared" si="3"/>
        <v>146.83635999999998</v>
      </c>
      <c r="E99" s="164">
        <f>IF('Total income package'!$A$10=TRUE,SUM(EITC!C99:D99),0)</f>
        <v>881.01815999999985</v>
      </c>
      <c r="F99" s="6"/>
      <c r="G99" s="6"/>
      <c r="H99" s="7"/>
    </row>
    <row r="100" spans="1:8" x14ac:dyDescent="0.25">
      <c r="A100" s="3">
        <v>47500</v>
      </c>
      <c r="B100" s="4">
        <f t="shared" si="4"/>
        <v>3958.3333333333335</v>
      </c>
      <c r="C100" s="157">
        <f t="shared" si="5"/>
        <v>654.2818000000002</v>
      </c>
      <c r="D100" s="158">
        <f t="shared" si="3"/>
        <v>130.85636000000005</v>
      </c>
      <c r="E100" s="164">
        <f>IF('Total income package'!$A$10=TRUE,SUM(EITC!C100:D100),0)</f>
        <v>785.1381600000002</v>
      </c>
      <c r="F100" s="6"/>
      <c r="G100" s="6"/>
      <c r="H100" s="7"/>
    </row>
    <row r="101" spans="1:8" x14ac:dyDescent="0.25">
      <c r="A101" s="3">
        <v>48000</v>
      </c>
      <c r="B101" s="4">
        <f t="shared" si="4"/>
        <v>4000</v>
      </c>
      <c r="C101" s="157">
        <f t="shared" si="5"/>
        <v>574.38180000000011</v>
      </c>
      <c r="D101" s="158">
        <f t="shared" si="3"/>
        <v>114.87636000000003</v>
      </c>
      <c r="E101" s="164">
        <f>IF('Total income package'!$A$10=TRUE,SUM(EITC!C101:D101),0)</f>
        <v>689.25816000000009</v>
      </c>
      <c r="F101" s="6"/>
      <c r="G101" s="6"/>
      <c r="H101" s="7"/>
    </row>
    <row r="102" spans="1:8" x14ac:dyDescent="0.25">
      <c r="A102" s="3">
        <v>48500</v>
      </c>
      <c r="B102" s="4">
        <f t="shared" si="4"/>
        <v>4041.6666666666665</v>
      </c>
      <c r="C102" s="157">
        <f t="shared" si="5"/>
        <v>494.48180000000002</v>
      </c>
      <c r="D102" s="158">
        <f t="shared" si="3"/>
        <v>98.896360000000016</v>
      </c>
      <c r="E102" s="164">
        <f>IF('Total income package'!$A$10=TRUE,SUM(EITC!C102:D102),0)</f>
        <v>593.37815999999998</v>
      </c>
      <c r="F102" s="6"/>
      <c r="G102" s="6"/>
      <c r="H102" s="7"/>
    </row>
    <row r="103" spans="1:8" x14ac:dyDescent="0.25">
      <c r="A103" s="3">
        <v>49000</v>
      </c>
      <c r="B103" s="4">
        <f t="shared" si="4"/>
        <v>4083.3333333333335</v>
      </c>
      <c r="C103" s="157">
        <f t="shared" si="5"/>
        <v>414.58179999999993</v>
      </c>
      <c r="D103" s="158">
        <f t="shared" si="3"/>
        <v>82.916359999999997</v>
      </c>
      <c r="E103" s="164">
        <f>IF('Total income package'!$A$10=TRUE,SUM(EITC!C103:D103),0)</f>
        <v>497.49815999999993</v>
      </c>
      <c r="F103" s="6"/>
      <c r="G103" s="6"/>
      <c r="H103" s="7"/>
    </row>
    <row r="104" spans="1:8" x14ac:dyDescent="0.25">
      <c r="A104" s="3">
        <v>49500</v>
      </c>
      <c r="B104" s="4">
        <f t="shared" si="4"/>
        <v>4125</v>
      </c>
      <c r="C104" s="157">
        <f t="shared" si="5"/>
        <v>334.68179999999984</v>
      </c>
      <c r="D104" s="158">
        <f t="shared" si="3"/>
        <v>66.936359999999965</v>
      </c>
      <c r="E104" s="164">
        <f>IF('Total income package'!$A$10=TRUE,SUM(EITC!C104:D104),0)</f>
        <v>401.61815999999982</v>
      </c>
      <c r="F104" s="6"/>
      <c r="G104" s="6"/>
      <c r="H104" s="7"/>
    </row>
    <row r="105" spans="1:8" x14ac:dyDescent="0.25">
      <c r="A105" s="3">
        <v>50000</v>
      </c>
      <c r="B105" s="4">
        <f t="shared" si="4"/>
        <v>4166.666666666667</v>
      </c>
      <c r="C105" s="157">
        <f>MAX(0,IF(A105&gt;$F$2,0,IF(AND(A105&lt;$F$2,A105&gt;=$K$2),$G$2-((A105-$K$2-1)*$I$2),IF(AND(A105&lt;$K$2,A105&gt;=$J$2),$G$2,IF(A105&lt;$J$2,A105*$H$2,0)))))</f>
        <v>254.78179999999975</v>
      </c>
      <c r="D105" s="158">
        <f t="shared" si="3"/>
        <v>50.956359999999954</v>
      </c>
      <c r="E105" s="164">
        <f>IF('Total income package'!$A$10=TRUE,SUM(EITC!C105:D105),0)</f>
        <v>305.73815999999971</v>
      </c>
      <c r="F105" s="6"/>
    </row>
    <row r="106" spans="1:8" x14ac:dyDescent="0.25">
      <c r="A106" s="3">
        <v>50500</v>
      </c>
      <c r="B106" s="4">
        <f t="shared" si="4"/>
        <v>4208.333333333333</v>
      </c>
      <c r="C106" s="157">
        <f t="shared" ref="C106:C134" si="6">MAX(0,IF(A106&gt;$F$2,0,IF(AND(A106&lt;$F$2,A106&gt;=$K$2),$G$2-((A106-$K$2-1)*$I$2),IF(AND(A106&lt;$K$2,A106&gt;=$J$2),$G$2,IF(A106&lt;$J$2,A106*$H$2,0)))))</f>
        <v>0</v>
      </c>
      <c r="D106" s="158">
        <f t="shared" si="3"/>
        <v>0</v>
      </c>
      <c r="E106" s="164">
        <f>IF('Total income package'!$A$10=TRUE,SUM(EITC!C106:D106),0)</f>
        <v>0</v>
      </c>
      <c r="F106" s="6"/>
    </row>
    <row r="107" spans="1:8" x14ac:dyDescent="0.25">
      <c r="A107" s="3">
        <v>51000</v>
      </c>
      <c r="B107" s="4">
        <f t="shared" si="4"/>
        <v>4250</v>
      </c>
      <c r="C107" s="157">
        <f t="shared" si="6"/>
        <v>0</v>
      </c>
      <c r="D107" s="158">
        <f t="shared" si="3"/>
        <v>0</v>
      </c>
      <c r="E107" s="164">
        <f>IF('Total income package'!$A$10=TRUE,SUM(EITC!C107:D107),0)</f>
        <v>0</v>
      </c>
    </row>
    <row r="108" spans="1:8" x14ac:dyDescent="0.25">
      <c r="A108" s="3">
        <v>51500</v>
      </c>
      <c r="B108" s="4">
        <f t="shared" si="4"/>
        <v>4291.666666666667</v>
      </c>
      <c r="C108" s="157">
        <f t="shared" si="6"/>
        <v>0</v>
      </c>
      <c r="D108" s="158">
        <f t="shared" si="3"/>
        <v>0</v>
      </c>
      <c r="E108" s="164">
        <f>IF('Total income package'!$A$10=TRUE,SUM(EITC!C108:D108),0)</f>
        <v>0</v>
      </c>
    </row>
    <row r="109" spans="1:8" x14ac:dyDescent="0.25">
      <c r="A109" s="3">
        <v>52000</v>
      </c>
      <c r="B109" s="4">
        <f t="shared" si="4"/>
        <v>4333.333333333333</v>
      </c>
      <c r="C109" s="157">
        <f t="shared" si="6"/>
        <v>0</v>
      </c>
      <c r="D109" s="158">
        <f t="shared" si="3"/>
        <v>0</v>
      </c>
      <c r="E109" s="164">
        <f>IF('Total income package'!$A$10=TRUE,SUM(EITC!C109:D109),0)</f>
        <v>0</v>
      </c>
    </row>
    <row r="110" spans="1:8" x14ac:dyDescent="0.25">
      <c r="A110" s="3">
        <v>52500</v>
      </c>
      <c r="B110" s="4">
        <f t="shared" si="4"/>
        <v>4375</v>
      </c>
      <c r="C110" s="157">
        <f t="shared" si="6"/>
        <v>0</v>
      </c>
      <c r="D110" s="158">
        <f t="shared" si="3"/>
        <v>0</v>
      </c>
      <c r="E110" s="164">
        <f>IF('Total income package'!$A$10=TRUE,SUM(EITC!C110:D110),0)</f>
        <v>0</v>
      </c>
    </row>
    <row r="111" spans="1:8" x14ac:dyDescent="0.25">
      <c r="A111" s="3">
        <v>53000</v>
      </c>
      <c r="B111" s="4">
        <f t="shared" si="4"/>
        <v>4416.666666666667</v>
      </c>
      <c r="C111" s="157">
        <f t="shared" si="6"/>
        <v>0</v>
      </c>
      <c r="D111" s="158">
        <f t="shared" si="3"/>
        <v>0</v>
      </c>
      <c r="E111" s="164">
        <f>IF('Total income package'!$A$10=TRUE,SUM(EITC!C111:D111),0)</f>
        <v>0</v>
      </c>
    </row>
    <row r="112" spans="1:8" x14ac:dyDescent="0.25">
      <c r="A112" s="3">
        <v>53500</v>
      </c>
      <c r="B112" s="4">
        <f t="shared" si="4"/>
        <v>4458.333333333333</v>
      </c>
      <c r="C112" s="157">
        <f t="shared" si="6"/>
        <v>0</v>
      </c>
      <c r="D112" s="158">
        <f t="shared" si="3"/>
        <v>0</v>
      </c>
      <c r="E112" s="164">
        <f>IF('Total income package'!$A$10=TRUE,SUM(EITC!C112:D112),0)</f>
        <v>0</v>
      </c>
    </row>
    <row r="113" spans="1:5" x14ac:dyDescent="0.25">
      <c r="A113" s="3">
        <v>54000</v>
      </c>
      <c r="B113" s="4">
        <f t="shared" si="4"/>
        <v>4500</v>
      </c>
      <c r="C113" s="157">
        <f t="shared" si="6"/>
        <v>0</v>
      </c>
      <c r="D113" s="158">
        <f t="shared" si="3"/>
        <v>0</v>
      </c>
      <c r="E113" s="164">
        <f>IF('Total income package'!$A$10=TRUE,SUM(EITC!C113:D113),0)</f>
        <v>0</v>
      </c>
    </row>
    <row r="114" spans="1:5" x14ac:dyDescent="0.25">
      <c r="A114" s="3">
        <v>54500</v>
      </c>
      <c r="B114" s="4">
        <f t="shared" si="4"/>
        <v>4541.666666666667</v>
      </c>
      <c r="C114" s="157">
        <f t="shared" si="6"/>
        <v>0</v>
      </c>
      <c r="D114" s="158">
        <f t="shared" si="3"/>
        <v>0</v>
      </c>
      <c r="E114" s="164">
        <f>IF('Total income package'!$A$10=TRUE,SUM(EITC!C114:D114),0)</f>
        <v>0</v>
      </c>
    </row>
    <row r="115" spans="1:5" x14ac:dyDescent="0.25">
      <c r="A115" s="3">
        <v>55000</v>
      </c>
      <c r="B115" s="4">
        <f t="shared" si="4"/>
        <v>4583.333333333333</v>
      </c>
      <c r="C115" s="157">
        <f t="shared" si="6"/>
        <v>0</v>
      </c>
      <c r="D115" s="158">
        <f t="shared" si="3"/>
        <v>0</v>
      </c>
      <c r="E115" s="164">
        <f>IF('Total income package'!$A$10=TRUE,SUM(EITC!C115:D115),0)</f>
        <v>0</v>
      </c>
    </row>
    <row r="116" spans="1:5" x14ac:dyDescent="0.25">
      <c r="A116" s="3">
        <v>55500</v>
      </c>
      <c r="B116" s="4">
        <f t="shared" si="4"/>
        <v>4625</v>
      </c>
      <c r="C116" s="157">
        <f t="shared" si="6"/>
        <v>0</v>
      </c>
      <c r="D116" s="158">
        <f t="shared" si="3"/>
        <v>0</v>
      </c>
      <c r="E116" s="164">
        <f>IF('Total income package'!$A$10=TRUE,SUM(EITC!C116:D116),0)</f>
        <v>0</v>
      </c>
    </row>
    <row r="117" spans="1:5" x14ac:dyDescent="0.25">
      <c r="A117" s="3">
        <v>56000</v>
      </c>
      <c r="B117" s="4">
        <f t="shared" si="4"/>
        <v>4666.666666666667</v>
      </c>
      <c r="C117" s="157">
        <f t="shared" si="6"/>
        <v>0</v>
      </c>
      <c r="D117" s="158">
        <f t="shared" si="3"/>
        <v>0</v>
      </c>
      <c r="E117" s="164">
        <f>IF('Total income package'!$A$10=TRUE,SUM(EITC!C117:D117),0)</f>
        <v>0</v>
      </c>
    </row>
    <row r="118" spans="1:5" x14ac:dyDescent="0.25">
      <c r="A118" s="3">
        <v>56500</v>
      </c>
      <c r="B118" s="4">
        <f t="shared" si="4"/>
        <v>4708.333333333333</v>
      </c>
      <c r="C118" s="157">
        <f t="shared" si="6"/>
        <v>0</v>
      </c>
      <c r="D118" s="158">
        <f t="shared" si="3"/>
        <v>0</v>
      </c>
      <c r="E118" s="164">
        <f>IF('Total income package'!$A$10=TRUE,SUM(EITC!C118:D118),0)</f>
        <v>0</v>
      </c>
    </row>
    <row r="119" spans="1:5" x14ac:dyDescent="0.25">
      <c r="A119" s="3">
        <v>57000</v>
      </c>
      <c r="B119" s="4">
        <f t="shared" si="4"/>
        <v>4750</v>
      </c>
      <c r="C119" s="157">
        <f t="shared" si="6"/>
        <v>0</v>
      </c>
      <c r="D119" s="158">
        <f t="shared" si="3"/>
        <v>0</v>
      </c>
      <c r="E119" s="164">
        <f>IF('Total income package'!$A$10=TRUE,SUM(EITC!C119:D119),0)</f>
        <v>0</v>
      </c>
    </row>
    <row r="120" spans="1:5" x14ac:dyDescent="0.25">
      <c r="A120" s="3">
        <v>57500</v>
      </c>
      <c r="B120" s="4">
        <f t="shared" si="4"/>
        <v>4791.666666666667</v>
      </c>
      <c r="C120" s="157">
        <f t="shared" si="6"/>
        <v>0</v>
      </c>
      <c r="D120" s="158">
        <f t="shared" si="3"/>
        <v>0</v>
      </c>
      <c r="E120" s="164">
        <f>IF('Total income package'!$A$10=TRUE,SUM(EITC!C120:D120),0)</f>
        <v>0</v>
      </c>
    </row>
    <row r="121" spans="1:5" x14ac:dyDescent="0.25">
      <c r="A121" s="3">
        <v>58000</v>
      </c>
      <c r="B121" s="4">
        <f t="shared" si="4"/>
        <v>4833.333333333333</v>
      </c>
      <c r="C121" s="157">
        <f t="shared" si="6"/>
        <v>0</v>
      </c>
      <c r="D121" s="158">
        <f t="shared" si="3"/>
        <v>0</v>
      </c>
      <c r="E121" s="164">
        <f>IF('Total income package'!$A$10=TRUE,SUM(EITC!C121:D121),0)</f>
        <v>0</v>
      </c>
    </row>
    <row r="122" spans="1:5" x14ac:dyDescent="0.25">
      <c r="A122" s="3">
        <v>58500</v>
      </c>
      <c r="B122" s="4">
        <f t="shared" si="4"/>
        <v>4875</v>
      </c>
      <c r="C122" s="157">
        <f t="shared" si="6"/>
        <v>0</v>
      </c>
      <c r="D122" s="158">
        <f t="shared" si="3"/>
        <v>0</v>
      </c>
      <c r="E122" s="164">
        <f>IF('Total income package'!$A$10=TRUE,SUM(EITC!C122:D122),0)</f>
        <v>0</v>
      </c>
    </row>
    <row r="123" spans="1:5" x14ac:dyDescent="0.25">
      <c r="A123" s="3">
        <v>59000</v>
      </c>
      <c r="B123" s="4">
        <f t="shared" si="4"/>
        <v>4916.666666666667</v>
      </c>
      <c r="C123" s="157">
        <f t="shared" si="6"/>
        <v>0</v>
      </c>
      <c r="D123" s="158">
        <f t="shared" si="3"/>
        <v>0</v>
      </c>
      <c r="E123" s="164">
        <f>IF('Total income package'!$A$10=TRUE,SUM(EITC!C123:D123),0)</f>
        <v>0</v>
      </c>
    </row>
    <row r="124" spans="1:5" x14ac:dyDescent="0.25">
      <c r="A124" s="3">
        <v>59500</v>
      </c>
      <c r="B124" s="4">
        <f t="shared" si="4"/>
        <v>4958.333333333333</v>
      </c>
      <c r="C124" s="157">
        <f t="shared" si="6"/>
        <v>0</v>
      </c>
      <c r="D124" s="158">
        <f t="shared" si="3"/>
        <v>0</v>
      </c>
      <c r="E124" s="164">
        <f>IF('Total income package'!$A$10=TRUE,SUM(EITC!C124:D124),0)</f>
        <v>0</v>
      </c>
    </row>
    <row r="125" spans="1:5" x14ac:dyDescent="0.25">
      <c r="A125" s="3">
        <v>60000</v>
      </c>
      <c r="B125" s="4">
        <f t="shared" si="4"/>
        <v>5000</v>
      </c>
      <c r="C125" s="157">
        <f t="shared" si="6"/>
        <v>0</v>
      </c>
      <c r="D125" s="158">
        <f t="shared" si="3"/>
        <v>0</v>
      </c>
      <c r="E125" s="164">
        <f>IF('Total income package'!$A$10=TRUE,SUM(EITC!C125:D125),0)</f>
        <v>0</v>
      </c>
    </row>
    <row r="126" spans="1:5" x14ac:dyDescent="0.25">
      <c r="A126" s="3">
        <v>60500</v>
      </c>
      <c r="B126" s="4">
        <f t="shared" si="4"/>
        <v>5041.666666666667</v>
      </c>
      <c r="C126" s="157">
        <f t="shared" si="6"/>
        <v>0</v>
      </c>
      <c r="D126" s="158">
        <f t="shared" si="3"/>
        <v>0</v>
      </c>
      <c r="E126" s="164">
        <f>IF('Total income package'!$A$10=TRUE,SUM(EITC!C126:D126),0)</f>
        <v>0</v>
      </c>
    </row>
    <row r="127" spans="1:5" x14ac:dyDescent="0.25">
      <c r="A127" s="3">
        <v>61000</v>
      </c>
      <c r="B127" s="4">
        <f t="shared" si="4"/>
        <v>5083.333333333333</v>
      </c>
      <c r="C127" s="157">
        <f t="shared" si="6"/>
        <v>0</v>
      </c>
      <c r="D127" s="158">
        <f t="shared" si="3"/>
        <v>0</v>
      </c>
      <c r="E127" s="164">
        <f>IF('Total income package'!$A$10=TRUE,SUM(EITC!C127:D127),0)</f>
        <v>0</v>
      </c>
    </row>
    <row r="128" spans="1:5" x14ac:dyDescent="0.25">
      <c r="A128" s="3">
        <v>61500</v>
      </c>
      <c r="B128" s="4">
        <f t="shared" si="4"/>
        <v>5125</v>
      </c>
      <c r="C128" s="157">
        <f t="shared" si="6"/>
        <v>0</v>
      </c>
      <c r="D128" s="158">
        <f t="shared" si="3"/>
        <v>0</v>
      </c>
      <c r="E128" s="164">
        <f>IF('Total income package'!$A$10=TRUE,SUM(EITC!C128:D128),0)</f>
        <v>0</v>
      </c>
    </row>
    <row r="129" spans="1:5" x14ac:dyDescent="0.25">
      <c r="A129" s="3">
        <v>62000</v>
      </c>
      <c r="B129" s="4">
        <f t="shared" si="4"/>
        <v>5166.666666666667</v>
      </c>
      <c r="C129" s="157">
        <f t="shared" si="6"/>
        <v>0</v>
      </c>
      <c r="D129" s="158">
        <f t="shared" si="3"/>
        <v>0</v>
      </c>
      <c r="E129" s="164">
        <f>IF('Total income package'!$A$10=TRUE,SUM(EITC!C129:D129),0)</f>
        <v>0</v>
      </c>
    </row>
    <row r="130" spans="1:5" x14ac:dyDescent="0.25">
      <c r="A130" s="3">
        <v>62500</v>
      </c>
      <c r="B130" s="4">
        <f t="shared" si="4"/>
        <v>5208.333333333333</v>
      </c>
      <c r="C130" s="157">
        <f t="shared" si="6"/>
        <v>0</v>
      </c>
      <c r="D130" s="158">
        <f t="shared" si="3"/>
        <v>0</v>
      </c>
      <c r="E130" s="164">
        <f>IF('Total income package'!$A$10=TRUE,SUM(EITC!C130:D130),0)</f>
        <v>0</v>
      </c>
    </row>
    <row r="131" spans="1:5" x14ac:dyDescent="0.25">
      <c r="A131" s="3">
        <v>63000</v>
      </c>
      <c r="B131" s="4">
        <f t="shared" si="4"/>
        <v>5250</v>
      </c>
      <c r="C131" s="157">
        <f>MAX(0,IF(A131&gt;$F$2,0,IF(AND(A131&lt;$F$2,A131&gt;=$K$2),$G$2-((A131-$K$2-1)*$I$2),IF(AND(A131&lt;$K$2,A131&gt;=$J$2),$G$2,IF(A131&lt;$J$2,A131*$H$2,0)))))</f>
        <v>0</v>
      </c>
      <c r="D131" s="158">
        <f t="shared" si="3"/>
        <v>0</v>
      </c>
      <c r="E131" s="164">
        <f>IF('Total income package'!$A$10=TRUE,SUM(EITC!C131:D131),0)</f>
        <v>0</v>
      </c>
    </row>
    <row r="132" spans="1:5" x14ac:dyDescent="0.25">
      <c r="A132" s="3">
        <v>63500</v>
      </c>
      <c r="B132" s="4">
        <f t="shared" si="4"/>
        <v>5291.666666666667</v>
      </c>
      <c r="C132" s="157">
        <f t="shared" si="6"/>
        <v>0</v>
      </c>
      <c r="D132" s="158">
        <f t="shared" si="3"/>
        <v>0</v>
      </c>
      <c r="E132" s="164">
        <f>IF('Total income package'!$A$10=TRUE,SUM(EITC!C132:D132),0)</f>
        <v>0</v>
      </c>
    </row>
    <row r="133" spans="1:5" x14ac:dyDescent="0.25">
      <c r="A133" s="3">
        <v>64000</v>
      </c>
      <c r="B133" s="4">
        <f t="shared" si="4"/>
        <v>5333.333333333333</v>
      </c>
      <c r="C133" s="157">
        <f t="shared" si="6"/>
        <v>0</v>
      </c>
      <c r="D133" s="158">
        <f t="shared" si="3"/>
        <v>0</v>
      </c>
      <c r="E133" s="164">
        <f>IF('Total income package'!$A$10=TRUE,SUM(EITC!C133:D133),0)</f>
        <v>0</v>
      </c>
    </row>
    <row r="134" spans="1:5" x14ac:dyDescent="0.25">
      <c r="A134" s="3">
        <v>64500</v>
      </c>
      <c r="B134" s="4">
        <f t="shared" si="4"/>
        <v>5375</v>
      </c>
      <c r="C134" s="157">
        <f t="shared" si="6"/>
        <v>0</v>
      </c>
      <c r="D134" s="158">
        <f t="shared" ref="D134:D197" si="7">C134*0.2</f>
        <v>0</v>
      </c>
      <c r="E134" s="164">
        <f>IF('Total income package'!$A$10=TRUE,SUM(EITC!C134:D134),0)</f>
        <v>0</v>
      </c>
    </row>
    <row r="135" spans="1:5" x14ac:dyDescent="0.25">
      <c r="A135" s="3">
        <v>65000</v>
      </c>
      <c r="B135" s="4">
        <f t="shared" si="4"/>
        <v>5416.666666666667</v>
      </c>
      <c r="C135" s="157">
        <f>MAX(0,IF(A135&gt;$F$2,0,IF(AND(A135&lt;$F$2,A135&gt;=$K$2),$G$2-((A135-$K$2-1)*$I$2),IF(AND(A135&lt;$K$2,A135&gt;=$J$2),$G$2,IF(A135&lt;$J$2,A135*$H$2,0)))))</f>
        <v>0</v>
      </c>
      <c r="D135" s="158">
        <f t="shared" si="7"/>
        <v>0</v>
      </c>
      <c r="E135" s="164">
        <f>IF('Total income package'!$A$10=TRUE,SUM(EITC!C135:D135),0)</f>
        <v>0</v>
      </c>
    </row>
    <row r="136" spans="1:5" x14ac:dyDescent="0.25">
      <c r="A136" s="3">
        <v>65500</v>
      </c>
      <c r="B136" s="4">
        <f t="shared" ref="B136:B199" si="8">A136/12</f>
        <v>5458.333333333333</v>
      </c>
      <c r="C136" s="157">
        <f>MAX(0,IF(A136&gt;$F$2,0,IF(AND(A136&lt;$F$2,A136&gt;=$K$2),$G$2-((A136-$K$2-1)*$I$2),IF(AND(A136&lt;$K$2,A136&gt;=$J$2),$G$2,IF(A136&lt;$J$2,A136*$H$2,0)))))</f>
        <v>0</v>
      </c>
      <c r="D136" s="158">
        <f t="shared" si="7"/>
        <v>0</v>
      </c>
      <c r="E136" s="164">
        <f>IF('Total income package'!$A$10=TRUE,SUM(EITC!C136:D136),0)</f>
        <v>0</v>
      </c>
    </row>
    <row r="137" spans="1:5" x14ac:dyDescent="0.25">
      <c r="A137" s="3">
        <v>66000</v>
      </c>
      <c r="B137" s="4">
        <f t="shared" si="8"/>
        <v>5500</v>
      </c>
      <c r="C137" s="157">
        <f>MAX(0,IF(A137&gt;$F$2,0,IF(AND(A137&lt;$F$2,A137&gt;=$K$2),$G$2-((A137-$K$2-1)*$I$2),IF(AND(A137&lt;$K$2,A137&gt;=$J$2),$G$2,IF(A137&lt;$J$2,A137*$H$2,0)))))</f>
        <v>0</v>
      </c>
      <c r="D137" s="158">
        <f t="shared" si="7"/>
        <v>0</v>
      </c>
      <c r="E137" s="164">
        <f>IF('Total income package'!$A$10=TRUE,SUM(EITC!C137:D137),0)</f>
        <v>0</v>
      </c>
    </row>
    <row r="138" spans="1:5" x14ac:dyDescent="0.25">
      <c r="A138" s="3">
        <v>66500</v>
      </c>
      <c r="B138" s="4">
        <f t="shared" si="8"/>
        <v>5541.666666666667</v>
      </c>
      <c r="C138" s="157">
        <f>MAX(0,IF(A138&gt;$F$2,0,IF(AND(A138&lt;$F$2,A138&gt;=$K$2),$G$2-((A138-$K$2-1)*$I$2),IF(AND(A138&lt;$K$2,A138&gt;=$J$2),$G$2,IF(A138&lt;$J$2,A138*$H$2,0)))))</f>
        <v>0</v>
      </c>
      <c r="D138" s="158">
        <f t="shared" si="7"/>
        <v>0</v>
      </c>
      <c r="E138" s="164">
        <f>IF('Total income package'!$A$10=TRUE,SUM(EITC!C138:D138),0)</f>
        <v>0</v>
      </c>
    </row>
    <row r="139" spans="1:5" x14ac:dyDescent="0.25">
      <c r="A139" s="3">
        <v>67000</v>
      </c>
      <c r="B139" s="4">
        <f t="shared" si="8"/>
        <v>5583.333333333333</v>
      </c>
      <c r="C139" s="157">
        <f>MAX(0,IF(A139&gt;$F$2,0,IF(AND(A139&lt;$F$2,A139&gt;=$K$2),$G$2-((A139-$K$2-1)*$I$2),IF(AND(A139&lt;$K$2,A139&gt;=$J$2),$G$2,IF(A139&lt;$J$2,A139*$H$2,0)))))</f>
        <v>0</v>
      </c>
      <c r="D139" s="158">
        <f t="shared" si="7"/>
        <v>0</v>
      </c>
      <c r="E139" s="164">
        <f>IF('Total income package'!$A$10=TRUE,SUM(EITC!C139:D139),0)</f>
        <v>0</v>
      </c>
    </row>
    <row r="140" spans="1:5" x14ac:dyDescent="0.25">
      <c r="A140" s="3">
        <v>67500</v>
      </c>
      <c r="B140" s="4">
        <f t="shared" si="8"/>
        <v>5625</v>
      </c>
      <c r="C140" s="157">
        <f t="shared" ref="C140:C203" si="9">MAX(0,IF(A140&gt;$F$2,0,IF(AND(A140&lt;$F$2,A140&gt;=$K$2),$G$2-((A140-$K$2-1)*$I$2),IF(AND(A140&lt;$K$2,A140&gt;=$J$2),$G$2,IF(A140&lt;$J$2,A140*$H$2,0)))))</f>
        <v>0</v>
      </c>
      <c r="D140" s="158">
        <f t="shared" si="7"/>
        <v>0</v>
      </c>
      <c r="E140" s="164">
        <f>IF('Total income package'!$A$10=TRUE,SUM(EITC!C140:D140),0)</f>
        <v>0</v>
      </c>
    </row>
    <row r="141" spans="1:5" x14ac:dyDescent="0.25">
      <c r="A141" s="3">
        <v>68000</v>
      </c>
      <c r="B141" s="4">
        <f t="shared" si="8"/>
        <v>5666.666666666667</v>
      </c>
      <c r="C141" s="157">
        <f t="shared" si="9"/>
        <v>0</v>
      </c>
      <c r="D141" s="158">
        <f t="shared" si="7"/>
        <v>0</v>
      </c>
      <c r="E141" s="164">
        <f>IF('Total income package'!$A$10=TRUE,SUM(EITC!C141:D141),0)</f>
        <v>0</v>
      </c>
    </row>
    <row r="142" spans="1:5" x14ac:dyDescent="0.25">
      <c r="A142" s="3">
        <v>68500</v>
      </c>
      <c r="B142" s="4">
        <f t="shared" si="8"/>
        <v>5708.333333333333</v>
      </c>
      <c r="C142" s="157">
        <f t="shared" si="9"/>
        <v>0</v>
      </c>
      <c r="D142" s="158">
        <f t="shared" si="7"/>
        <v>0</v>
      </c>
      <c r="E142" s="164">
        <f>IF('Total income package'!$A$10=TRUE,SUM(EITC!C142:D142),0)</f>
        <v>0</v>
      </c>
    </row>
    <row r="143" spans="1:5" x14ac:dyDescent="0.25">
      <c r="A143" s="3">
        <v>69000</v>
      </c>
      <c r="B143" s="4">
        <f t="shared" si="8"/>
        <v>5750</v>
      </c>
      <c r="C143" s="157">
        <f t="shared" si="9"/>
        <v>0</v>
      </c>
      <c r="D143" s="158">
        <f t="shared" si="7"/>
        <v>0</v>
      </c>
      <c r="E143" s="164">
        <f>IF('Total income package'!$A$10=TRUE,SUM(EITC!C143:D143),0)</f>
        <v>0</v>
      </c>
    </row>
    <row r="144" spans="1:5" x14ac:dyDescent="0.25">
      <c r="A144" s="3">
        <v>69500</v>
      </c>
      <c r="B144" s="4">
        <f t="shared" si="8"/>
        <v>5791.666666666667</v>
      </c>
      <c r="C144" s="157">
        <f t="shared" si="9"/>
        <v>0</v>
      </c>
      <c r="D144" s="158">
        <f t="shared" si="7"/>
        <v>0</v>
      </c>
      <c r="E144" s="164">
        <f>IF('Total income package'!$A$10=TRUE,SUM(EITC!C144:D144),0)</f>
        <v>0</v>
      </c>
    </row>
    <row r="145" spans="1:5" x14ac:dyDescent="0.25">
      <c r="A145" s="3">
        <v>70000</v>
      </c>
      <c r="B145" s="4">
        <f t="shared" si="8"/>
        <v>5833.333333333333</v>
      </c>
      <c r="C145" s="157">
        <f t="shared" si="9"/>
        <v>0</v>
      </c>
      <c r="D145" s="158">
        <f t="shared" si="7"/>
        <v>0</v>
      </c>
      <c r="E145" s="164">
        <f>IF('Total income package'!$A$10=TRUE,SUM(EITC!C145:D145),0)</f>
        <v>0</v>
      </c>
    </row>
    <row r="146" spans="1:5" x14ac:dyDescent="0.25">
      <c r="A146" s="3">
        <v>70500</v>
      </c>
      <c r="B146" s="4">
        <f t="shared" si="8"/>
        <v>5875</v>
      </c>
      <c r="C146" s="157">
        <f t="shared" si="9"/>
        <v>0</v>
      </c>
      <c r="D146" s="158">
        <f t="shared" si="7"/>
        <v>0</v>
      </c>
      <c r="E146" s="164">
        <f>IF('Total income package'!$A$10=TRUE,SUM(EITC!C146:D146),0)</f>
        <v>0</v>
      </c>
    </row>
    <row r="147" spans="1:5" x14ac:dyDescent="0.25">
      <c r="A147" s="3">
        <v>71000</v>
      </c>
      <c r="B147" s="4">
        <f t="shared" si="8"/>
        <v>5916.666666666667</v>
      </c>
      <c r="C147" s="157">
        <f t="shared" si="9"/>
        <v>0</v>
      </c>
      <c r="D147" s="158">
        <f t="shared" si="7"/>
        <v>0</v>
      </c>
      <c r="E147" s="164">
        <f>IF('Total income package'!$A$10=TRUE,SUM(EITC!C147:D147),0)</f>
        <v>0</v>
      </c>
    </row>
    <row r="148" spans="1:5" x14ac:dyDescent="0.25">
      <c r="A148" s="3">
        <v>71500</v>
      </c>
      <c r="B148" s="4">
        <f t="shared" si="8"/>
        <v>5958.333333333333</v>
      </c>
      <c r="C148" s="157">
        <f t="shared" si="9"/>
        <v>0</v>
      </c>
      <c r="D148" s="158">
        <f t="shared" si="7"/>
        <v>0</v>
      </c>
      <c r="E148" s="164">
        <f>IF('Total income package'!$A$10=TRUE,SUM(EITC!C148:D148),0)</f>
        <v>0</v>
      </c>
    </row>
    <row r="149" spans="1:5" x14ac:dyDescent="0.25">
      <c r="A149" s="3">
        <v>72000</v>
      </c>
      <c r="B149" s="4">
        <f t="shared" si="8"/>
        <v>6000</v>
      </c>
      <c r="C149" s="157">
        <f t="shared" si="9"/>
        <v>0</v>
      </c>
      <c r="D149" s="158">
        <f t="shared" si="7"/>
        <v>0</v>
      </c>
      <c r="E149" s="164">
        <f>IF('Total income package'!$A$10=TRUE,SUM(EITC!C149:D149),0)</f>
        <v>0</v>
      </c>
    </row>
    <row r="150" spans="1:5" x14ac:dyDescent="0.25">
      <c r="A150" s="3">
        <v>72500</v>
      </c>
      <c r="B150" s="4">
        <f t="shared" si="8"/>
        <v>6041.666666666667</v>
      </c>
      <c r="C150" s="157">
        <f t="shared" si="9"/>
        <v>0</v>
      </c>
      <c r="D150" s="158">
        <f t="shared" si="7"/>
        <v>0</v>
      </c>
      <c r="E150" s="164">
        <f>IF('Total income package'!$A$10=TRUE,SUM(EITC!C150:D150),0)</f>
        <v>0</v>
      </c>
    </row>
    <row r="151" spans="1:5" x14ac:dyDescent="0.25">
      <c r="A151" s="3">
        <v>73000</v>
      </c>
      <c r="B151" s="4">
        <f t="shared" si="8"/>
        <v>6083.333333333333</v>
      </c>
      <c r="C151" s="157">
        <f t="shared" si="9"/>
        <v>0</v>
      </c>
      <c r="D151" s="158">
        <f t="shared" si="7"/>
        <v>0</v>
      </c>
      <c r="E151" s="164">
        <f>IF('Total income package'!$A$10=TRUE,SUM(EITC!C151:D151),0)</f>
        <v>0</v>
      </c>
    </row>
    <row r="152" spans="1:5" x14ac:dyDescent="0.25">
      <c r="A152" s="3">
        <v>73500</v>
      </c>
      <c r="B152" s="4">
        <f t="shared" si="8"/>
        <v>6125</v>
      </c>
      <c r="C152" s="157">
        <f t="shared" si="9"/>
        <v>0</v>
      </c>
      <c r="D152" s="158">
        <f t="shared" si="7"/>
        <v>0</v>
      </c>
      <c r="E152" s="164">
        <f>IF('Total income package'!$A$10=TRUE,SUM(EITC!C152:D152),0)</f>
        <v>0</v>
      </c>
    </row>
    <row r="153" spans="1:5" x14ac:dyDescent="0.25">
      <c r="A153" s="3">
        <v>74000</v>
      </c>
      <c r="B153" s="4">
        <f t="shared" si="8"/>
        <v>6166.666666666667</v>
      </c>
      <c r="C153" s="157">
        <f t="shared" si="9"/>
        <v>0</v>
      </c>
      <c r="D153" s="158">
        <f t="shared" si="7"/>
        <v>0</v>
      </c>
      <c r="E153" s="164">
        <f>IF('Total income package'!$A$10=TRUE,SUM(EITC!C153:D153),0)</f>
        <v>0</v>
      </c>
    </row>
    <row r="154" spans="1:5" x14ac:dyDescent="0.25">
      <c r="A154" s="3">
        <v>74500</v>
      </c>
      <c r="B154" s="4">
        <f t="shared" si="8"/>
        <v>6208.333333333333</v>
      </c>
      <c r="C154" s="157">
        <f t="shared" si="9"/>
        <v>0</v>
      </c>
      <c r="D154" s="158">
        <f t="shared" si="7"/>
        <v>0</v>
      </c>
      <c r="E154" s="164">
        <f>IF('Total income package'!$A$10=TRUE,SUM(EITC!C154:D154),0)</f>
        <v>0</v>
      </c>
    </row>
    <row r="155" spans="1:5" x14ac:dyDescent="0.25">
      <c r="A155" s="3">
        <v>75000</v>
      </c>
      <c r="B155" s="4">
        <f t="shared" si="8"/>
        <v>6250</v>
      </c>
      <c r="C155" s="157">
        <f t="shared" si="9"/>
        <v>0</v>
      </c>
      <c r="D155" s="158">
        <f t="shared" si="7"/>
        <v>0</v>
      </c>
      <c r="E155" s="164">
        <f>IF('Total income package'!$A$10=TRUE,SUM(EITC!C155:D155),0)</f>
        <v>0</v>
      </c>
    </row>
    <row r="156" spans="1:5" x14ac:dyDescent="0.25">
      <c r="A156" s="3">
        <v>75500</v>
      </c>
      <c r="B156" s="4">
        <f t="shared" si="8"/>
        <v>6291.666666666667</v>
      </c>
      <c r="C156" s="157">
        <f t="shared" si="9"/>
        <v>0</v>
      </c>
      <c r="D156" s="158">
        <f t="shared" si="7"/>
        <v>0</v>
      </c>
      <c r="E156" s="164">
        <f>IF('Total income package'!$A$10=TRUE,SUM(EITC!C156:D156),0)</f>
        <v>0</v>
      </c>
    </row>
    <row r="157" spans="1:5" x14ac:dyDescent="0.25">
      <c r="A157" s="3">
        <v>76000</v>
      </c>
      <c r="B157" s="4">
        <f t="shared" si="8"/>
        <v>6333.333333333333</v>
      </c>
      <c r="C157" s="157">
        <f t="shared" si="9"/>
        <v>0</v>
      </c>
      <c r="D157" s="158">
        <f t="shared" si="7"/>
        <v>0</v>
      </c>
      <c r="E157" s="164">
        <f>IF('Total income package'!$A$10=TRUE,SUM(EITC!C157:D157),0)</f>
        <v>0</v>
      </c>
    </row>
    <row r="158" spans="1:5" x14ac:dyDescent="0.25">
      <c r="A158" s="3">
        <v>76500</v>
      </c>
      <c r="B158" s="4">
        <f t="shared" si="8"/>
        <v>6375</v>
      </c>
      <c r="C158" s="157">
        <f t="shared" si="9"/>
        <v>0</v>
      </c>
      <c r="D158" s="158">
        <f t="shared" si="7"/>
        <v>0</v>
      </c>
      <c r="E158" s="164">
        <f>IF('Total income package'!$A$10=TRUE,SUM(EITC!C158:D158),0)</f>
        <v>0</v>
      </c>
    </row>
    <row r="159" spans="1:5" x14ac:dyDescent="0.25">
      <c r="A159" s="3">
        <v>77000</v>
      </c>
      <c r="B159" s="4">
        <f t="shared" si="8"/>
        <v>6416.666666666667</v>
      </c>
      <c r="C159" s="157">
        <f t="shared" si="9"/>
        <v>0</v>
      </c>
      <c r="D159" s="158">
        <f t="shared" si="7"/>
        <v>0</v>
      </c>
      <c r="E159" s="164">
        <f>IF('Total income package'!$A$10=TRUE,SUM(EITC!C159:D159),0)</f>
        <v>0</v>
      </c>
    </row>
    <row r="160" spans="1:5" x14ac:dyDescent="0.25">
      <c r="A160" s="3">
        <v>77500</v>
      </c>
      <c r="B160" s="4">
        <f t="shared" si="8"/>
        <v>6458.333333333333</v>
      </c>
      <c r="C160" s="157">
        <f t="shared" si="9"/>
        <v>0</v>
      </c>
      <c r="D160" s="158">
        <f t="shared" si="7"/>
        <v>0</v>
      </c>
      <c r="E160" s="164">
        <f>IF('Total income package'!$A$10=TRUE,SUM(EITC!C160:D160),0)</f>
        <v>0</v>
      </c>
    </row>
    <row r="161" spans="1:5" x14ac:dyDescent="0.25">
      <c r="A161" s="3">
        <v>78000</v>
      </c>
      <c r="B161" s="4">
        <f t="shared" si="8"/>
        <v>6500</v>
      </c>
      <c r="C161" s="157">
        <f t="shared" si="9"/>
        <v>0</v>
      </c>
      <c r="D161" s="158">
        <f t="shared" si="7"/>
        <v>0</v>
      </c>
      <c r="E161" s="164">
        <f>IF('Total income package'!$A$10=TRUE,SUM(EITC!C161:D161),0)</f>
        <v>0</v>
      </c>
    </row>
    <row r="162" spans="1:5" x14ac:dyDescent="0.25">
      <c r="A162" s="3">
        <v>78500</v>
      </c>
      <c r="B162" s="4">
        <f t="shared" si="8"/>
        <v>6541.666666666667</v>
      </c>
      <c r="C162" s="157">
        <f t="shared" si="9"/>
        <v>0</v>
      </c>
      <c r="D162" s="158">
        <f t="shared" si="7"/>
        <v>0</v>
      </c>
      <c r="E162" s="164">
        <f>IF('Total income package'!$A$10=TRUE,SUM(EITC!C162:D162),0)</f>
        <v>0</v>
      </c>
    </row>
    <row r="163" spans="1:5" x14ac:dyDescent="0.25">
      <c r="A163" s="3">
        <v>79000</v>
      </c>
      <c r="B163" s="4">
        <f t="shared" si="8"/>
        <v>6583.333333333333</v>
      </c>
      <c r="C163" s="157">
        <f t="shared" si="9"/>
        <v>0</v>
      </c>
      <c r="D163" s="158">
        <f t="shared" si="7"/>
        <v>0</v>
      </c>
      <c r="E163" s="164">
        <f>IF('Total income package'!$A$10=TRUE,SUM(EITC!C163:D163),0)</f>
        <v>0</v>
      </c>
    </row>
    <row r="164" spans="1:5" x14ac:dyDescent="0.25">
      <c r="A164" s="3">
        <v>79500</v>
      </c>
      <c r="B164" s="4">
        <f t="shared" si="8"/>
        <v>6625</v>
      </c>
      <c r="C164" s="157">
        <f t="shared" si="9"/>
        <v>0</v>
      </c>
      <c r="D164" s="158">
        <f t="shared" si="7"/>
        <v>0</v>
      </c>
      <c r="E164" s="164">
        <f>IF('Total income package'!$A$10=TRUE,SUM(EITC!C164:D164),0)</f>
        <v>0</v>
      </c>
    </row>
    <row r="165" spans="1:5" x14ac:dyDescent="0.25">
      <c r="A165" s="3">
        <v>80000</v>
      </c>
      <c r="B165" s="4">
        <f t="shared" si="8"/>
        <v>6666.666666666667</v>
      </c>
      <c r="C165" s="157">
        <f>MAX(0,IF(A165&gt;$F$2,0,IF(AND(A165&lt;$F$2,A165&gt;=$K$2),$G$2-((A165-$K$2-1)*$I$2),IF(AND(A165&lt;$K$2,A165&gt;=$J$2),$G$2,IF(A165&lt;$J$2,A165*$H$2,0)))))</f>
        <v>0</v>
      </c>
      <c r="D165" s="158">
        <f t="shared" si="7"/>
        <v>0</v>
      </c>
      <c r="E165" s="164">
        <f>IF('Total income package'!$A$10=TRUE,SUM(EITC!C165:D165),0)</f>
        <v>0</v>
      </c>
    </row>
    <row r="166" spans="1:5" x14ac:dyDescent="0.25">
      <c r="A166" s="3">
        <v>80500</v>
      </c>
      <c r="B166" s="4">
        <f t="shared" si="8"/>
        <v>6708.333333333333</v>
      </c>
      <c r="C166" s="157">
        <f t="shared" si="9"/>
        <v>0</v>
      </c>
      <c r="D166" s="158">
        <f t="shared" si="7"/>
        <v>0</v>
      </c>
      <c r="E166" s="164">
        <f>IF('Total income package'!$A$10=TRUE,SUM(EITC!C166:D166),0)</f>
        <v>0</v>
      </c>
    </row>
    <row r="167" spans="1:5" x14ac:dyDescent="0.25">
      <c r="A167" s="3">
        <v>81000</v>
      </c>
      <c r="B167" s="4">
        <f t="shared" si="8"/>
        <v>6750</v>
      </c>
      <c r="C167" s="157">
        <f t="shared" si="9"/>
        <v>0</v>
      </c>
      <c r="D167" s="158">
        <f t="shared" si="7"/>
        <v>0</v>
      </c>
      <c r="E167" s="164">
        <f>IF('Total income package'!$A$10=TRUE,SUM(EITC!C167:D167),0)</f>
        <v>0</v>
      </c>
    </row>
    <row r="168" spans="1:5" x14ac:dyDescent="0.25">
      <c r="A168" s="3">
        <v>81500</v>
      </c>
      <c r="B168" s="4">
        <f t="shared" si="8"/>
        <v>6791.666666666667</v>
      </c>
      <c r="C168" s="157">
        <f t="shared" si="9"/>
        <v>0</v>
      </c>
      <c r="D168" s="158">
        <f t="shared" si="7"/>
        <v>0</v>
      </c>
      <c r="E168" s="164">
        <f>IF('Total income package'!$A$10=TRUE,SUM(EITC!C168:D168),0)</f>
        <v>0</v>
      </c>
    </row>
    <row r="169" spans="1:5" x14ac:dyDescent="0.25">
      <c r="A169" s="3">
        <v>82000</v>
      </c>
      <c r="B169" s="4">
        <f t="shared" si="8"/>
        <v>6833.333333333333</v>
      </c>
      <c r="C169" s="157">
        <f t="shared" si="9"/>
        <v>0</v>
      </c>
      <c r="D169" s="158">
        <f t="shared" si="7"/>
        <v>0</v>
      </c>
      <c r="E169" s="164">
        <f>IF('Total income package'!$A$10=TRUE,SUM(EITC!C169:D169),0)</f>
        <v>0</v>
      </c>
    </row>
    <row r="170" spans="1:5" x14ac:dyDescent="0.25">
      <c r="A170" s="3">
        <v>82500</v>
      </c>
      <c r="B170" s="4">
        <f t="shared" si="8"/>
        <v>6875</v>
      </c>
      <c r="C170" s="157">
        <f t="shared" si="9"/>
        <v>0</v>
      </c>
      <c r="D170" s="158">
        <f t="shared" si="7"/>
        <v>0</v>
      </c>
      <c r="E170" s="164">
        <f>IF('Total income package'!$A$10=TRUE,SUM(EITC!C170:D170),0)</f>
        <v>0</v>
      </c>
    </row>
    <row r="171" spans="1:5" x14ac:dyDescent="0.25">
      <c r="A171" s="3">
        <v>83000</v>
      </c>
      <c r="B171" s="4">
        <f t="shared" si="8"/>
        <v>6916.666666666667</v>
      </c>
      <c r="C171" s="157">
        <f t="shared" si="9"/>
        <v>0</v>
      </c>
      <c r="D171" s="158">
        <f t="shared" si="7"/>
        <v>0</v>
      </c>
      <c r="E171" s="164">
        <f>IF('Total income package'!$A$10=TRUE,SUM(EITC!C171:D171),0)</f>
        <v>0</v>
      </c>
    </row>
    <row r="172" spans="1:5" x14ac:dyDescent="0.25">
      <c r="A172" s="3">
        <v>83500</v>
      </c>
      <c r="B172" s="4">
        <f t="shared" si="8"/>
        <v>6958.333333333333</v>
      </c>
      <c r="C172" s="157">
        <f t="shared" si="9"/>
        <v>0</v>
      </c>
      <c r="D172" s="158">
        <f t="shared" si="7"/>
        <v>0</v>
      </c>
      <c r="E172" s="164">
        <f>IF('Total income package'!$A$10=TRUE,SUM(EITC!C172:D172),0)</f>
        <v>0</v>
      </c>
    </row>
    <row r="173" spans="1:5" x14ac:dyDescent="0.25">
      <c r="A173" s="3">
        <v>84000</v>
      </c>
      <c r="B173" s="4">
        <f t="shared" si="8"/>
        <v>7000</v>
      </c>
      <c r="C173" s="157">
        <f t="shared" si="9"/>
        <v>0</v>
      </c>
      <c r="D173" s="158">
        <f t="shared" si="7"/>
        <v>0</v>
      </c>
      <c r="E173" s="164">
        <f>IF('Total income package'!$A$10=TRUE,SUM(EITC!C173:D173),0)</f>
        <v>0</v>
      </c>
    </row>
    <row r="174" spans="1:5" x14ac:dyDescent="0.25">
      <c r="A174" s="3">
        <v>84500</v>
      </c>
      <c r="B174" s="4">
        <f t="shared" si="8"/>
        <v>7041.666666666667</v>
      </c>
      <c r="C174" s="157">
        <f t="shared" si="9"/>
        <v>0</v>
      </c>
      <c r="D174" s="158">
        <f t="shared" si="7"/>
        <v>0</v>
      </c>
      <c r="E174" s="164">
        <f>IF('Total income package'!$A$10=TRUE,SUM(EITC!C174:D174),0)</f>
        <v>0</v>
      </c>
    </row>
    <row r="175" spans="1:5" x14ac:dyDescent="0.25">
      <c r="A175" s="3">
        <v>85000</v>
      </c>
      <c r="B175" s="4">
        <f t="shared" si="8"/>
        <v>7083.333333333333</v>
      </c>
      <c r="C175" s="157">
        <f t="shared" si="9"/>
        <v>0</v>
      </c>
      <c r="D175" s="158">
        <f t="shared" si="7"/>
        <v>0</v>
      </c>
      <c r="E175" s="164">
        <f>IF('Total income package'!$A$10=TRUE,SUM(EITC!C175:D175),0)</f>
        <v>0</v>
      </c>
    </row>
    <row r="176" spans="1:5" x14ac:dyDescent="0.25">
      <c r="A176" s="3">
        <v>85500</v>
      </c>
      <c r="B176" s="4">
        <f t="shared" si="8"/>
        <v>7125</v>
      </c>
      <c r="C176" s="157">
        <f t="shared" si="9"/>
        <v>0</v>
      </c>
      <c r="D176" s="158">
        <f t="shared" si="7"/>
        <v>0</v>
      </c>
      <c r="E176" s="164">
        <f>IF('Total income package'!$A$10=TRUE,SUM(EITC!C176:D176),0)</f>
        <v>0</v>
      </c>
    </row>
    <row r="177" spans="1:5" x14ac:dyDescent="0.25">
      <c r="A177" s="3">
        <v>86000</v>
      </c>
      <c r="B177" s="4">
        <f t="shared" si="8"/>
        <v>7166.666666666667</v>
      </c>
      <c r="C177" s="157">
        <f t="shared" si="9"/>
        <v>0</v>
      </c>
      <c r="D177" s="158">
        <f t="shared" si="7"/>
        <v>0</v>
      </c>
      <c r="E177" s="164">
        <f>IF('Total income package'!$A$10=TRUE,SUM(EITC!C177:D177),0)</f>
        <v>0</v>
      </c>
    </row>
    <row r="178" spans="1:5" x14ac:dyDescent="0.25">
      <c r="A178" s="3">
        <v>86500</v>
      </c>
      <c r="B178" s="4">
        <f t="shared" si="8"/>
        <v>7208.333333333333</v>
      </c>
      <c r="C178" s="157">
        <f t="shared" si="9"/>
        <v>0</v>
      </c>
      <c r="D178" s="158">
        <f t="shared" si="7"/>
        <v>0</v>
      </c>
      <c r="E178" s="164">
        <f>IF('Total income package'!$A$10=TRUE,SUM(EITC!C178:D178),0)</f>
        <v>0</v>
      </c>
    </row>
    <row r="179" spans="1:5" x14ac:dyDescent="0.25">
      <c r="A179" s="3">
        <v>87000</v>
      </c>
      <c r="B179" s="4">
        <f t="shared" si="8"/>
        <v>7250</v>
      </c>
      <c r="C179" s="157">
        <f t="shared" si="9"/>
        <v>0</v>
      </c>
      <c r="D179" s="158">
        <f t="shared" si="7"/>
        <v>0</v>
      </c>
      <c r="E179" s="164">
        <f>IF('Total income package'!$A$10=TRUE,SUM(EITC!C179:D179),0)</f>
        <v>0</v>
      </c>
    </row>
    <row r="180" spans="1:5" x14ac:dyDescent="0.25">
      <c r="A180" s="3">
        <v>87500</v>
      </c>
      <c r="B180" s="4">
        <f t="shared" si="8"/>
        <v>7291.666666666667</v>
      </c>
      <c r="C180" s="157">
        <f t="shared" si="9"/>
        <v>0</v>
      </c>
      <c r="D180" s="158">
        <f t="shared" si="7"/>
        <v>0</v>
      </c>
      <c r="E180" s="164">
        <f>IF('Total income package'!$A$10=TRUE,SUM(EITC!C180:D180),0)</f>
        <v>0</v>
      </c>
    </row>
    <row r="181" spans="1:5" x14ac:dyDescent="0.25">
      <c r="A181" s="3">
        <v>88000</v>
      </c>
      <c r="B181" s="4">
        <f t="shared" si="8"/>
        <v>7333.333333333333</v>
      </c>
      <c r="C181" s="157">
        <f t="shared" si="9"/>
        <v>0</v>
      </c>
      <c r="D181" s="158">
        <f t="shared" si="7"/>
        <v>0</v>
      </c>
      <c r="E181" s="164">
        <f>IF('Total income package'!$A$10=TRUE,SUM(EITC!C181:D181),0)</f>
        <v>0</v>
      </c>
    </row>
    <row r="182" spans="1:5" x14ac:dyDescent="0.25">
      <c r="A182" s="3">
        <v>88500</v>
      </c>
      <c r="B182" s="4">
        <f t="shared" si="8"/>
        <v>7375</v>
      </c>
      <c r="C182" s="157">
        <f t="shared" si="9"/>
        <v>0</v>
      </c>
      <c r="D182" s="158">
        <f t="shared" si="7"/>
        <v>0</v>
      </c>
      <c r="E182" s="164">
        <f>IF('Total income package'!$A$10=TRUE,SUM(EITC!C182:D182),0)</f>
        <v>0</v>
      </c>
    </row>
    <row r="183" spans="1:5" x14ac:dyDescent="0.25">
      <c r="A183" s="3">
        <v>89000</v>
      </c>
      <c r="B183" s="4">
        <f t="shared" si="8"/>
        <v>7416.666666666667</v>
      </c>
      <c r="C183" s="157">
        <f t="shared" si="9"/>
        <v>0</v>
      </c>
      <c r="D183" s="158">
        <f t="shared" si="7"/>
        <v>0</v>
      </c>
      <c r="E183" s="164">
        <f>IF('Total income package'!$A$10=TRUE,SUM(EITC!C183:D183),0)</f>
        <v>0</v>
      </c>
    </row>
    <row r="184" spans="1:5" x14ac:dyDescent="0.25">
      <c r="A184" s="3">
        <v>89500</v>
      </c>
      <c r="B184" s="4">
        <f t="shared" si="8"/>
        <v>7458.333333333333</v>
      </c>
      <c r="C184" s="157">
        <f t="shared" si="9"/>
        <v>0</v>
      </c>
      <c r="D184" s="158">
        <f t="shared" si="7"/>
        <v>0</v>
      </c>
      <c r="E184" s="164">
        <f>IF('Total income package'!$A$10=TRUE,SUM(EITC!C184:D184),0)</f>
        <v>0</v>
      </c>
    </row>
    <row r="185" spans="1:5" x14ac:dyDescent="0.25">
      <c r="A185" s="3">
        <v>90000</v>
      </c>
      <c r="B185" s="4">
        <f t="shared" si="8"/>
        <v>7500</v>
      </c>
      <c r="C185" s="157">
        <f t="shared" si="9"/>
        <v>0</v>
      </c>
      <c r="D185" s="158">
        <f t="shared" si="7"/>
        <v>0</v>
      </c>
      <c r="E185" s="164">
        <f>IF('Total income package'!$A$10=TRUE,SUM(EITC!C185:D185),0)</f>
        <v>0</v>
      </c>
    </row>
    <row r="186" spans="1:5" x14ac:dyDescent="0.25">
      <c r="A186" s="3">
        <v>90500</v>
      </c>
      <c r="B186" s="4">
        <f t="shared" si="8"/>
        <v>7541.666666666667</v>
      </c>
      <c r="C186" s="157">
        <f t="shared" si="9"/>
        <v>0</v>
      </c>
      <c r="D186" s="158">
        <f t="shared" si="7"/>
        <v>0</v>
      </c>
      <c r="E186" s="164">
        <f>IF('Total income package'!$A$10=TRUE,SUM(EITC!C186:D186),0)</f>
        <v>0</v>
      </c>
    </row>
    <row r="187" spans="1:5" x14ac:dyDescent="0.25">
      <c r="A187" s="3">
        <v>91000</v>
      </c>
      <c r="B187" s="4">
        <f t="shared" si="8"/>
        <v>7583.333333333333</v>
      </c>
      <c r="C187" s="157">
        <f t="shared" si="9"/>
        <v>0</v>
      </c>
      <c r="D187" s="158">
        <f t="shared" si="7"/>
        <v>0</v>
      </c>
      <c r="E187" s="164">
        <f>IF('Total income package'!$A$10=TRUE,SUM(EITC!C187:D187),0)</f>
        <v>0</v>
      </c>
    </row>
    <row r="188" spans="1:5" x14ac:dyDescent="0.25">
      <c r="A188" s="3">
        <v>91500</v>
      </c>
      <c r="B188" s="4">
        <f t="shared" si="8"/>
        <v>7625</v>
      </c>
      <c r="C188" s="157">
        <f>MAX(0,IF(A188&gt;$F$2,0,IF(AND(A188&lt;$F$2,A188&gt;=$K$2),$G$2-((A188-$K$2-1)*$I$2),IF(AND(A188&lt;$K$2,A188&gt;=$J$2),$G$2,IF(A188&lt;$J$2,A188*$H$2,0)))))</f>
        <v>0</v>
      </c>
      <c r="D188" s="158">
        <f t="shared" si="7"/>
        <v>0</v>
      </c>
      <c r="E188" s="164">
        <f>IF('Total income package'!$A$10=TRUE,SUM(EITC!C188:D188),0)</f>
        <v>0</v>
      </c>
    </row>
    <row r="189" spans="1:5" x14ac:dyDescent="0.25">
      <c r="A189" s="3">
        <v>92000</v>
      </c>
      <c r="B189" s="4">
        <f t="shared" si="8"/>
        <v>7666.666666666667</v>
      </c>
      <c r="C189" s="157">
        <f t="shared" si="9"/>
        <v>0</v>
      </c>
      <c r="D189" s="158">
        <f t="shared" si="7"/>
        <v>0</v>
      </c>
      <c r="E189" s="164">
        <f>IF('Total income package'!$A$10=TRUE,SUM(EITC!C189:D189),0)</f>
        <v>0</v>
      </c>
    </row>
    <row r="190" spans="1:5" x14ac:dyDescent="0.25">
      <c r="A190" s="3">
        <v>92500</v>
      </c>
      <c r="B190" s="4">
        <f t="shared" si="8"/>
        <v>7708.333333333333</v>
      </c>
      <c r="C190" s="157">
        <f t="shared" si="9"/>
        <v>0</v>
      </c>
      <c r="D190" s="158">
        <f t="shared" si="7"/>
        <v>0</v>
      </c>
      <c r="E190" s="164">
        <f>IF('Total income package'!$A$10=TRUE,SUM(EITC!C190:D190),0)</f>
        <v>0</v>
      </c>
    </row>
    <row r="191" spans="1:5" x14ac:dyDescent="0.25">
      <c r="A191" s="3">
        <v>93000</v>
      </c>
      <c r="B191" s="4">
        <f t="shared" si="8"/>
        <v>7750</v>
      </c>
      <c r="C191" s="157">
        <f t="shared" si="9"/>
        <v>0</v>
      </c>
      <c r="D191" s="158">
        <f t="shared" si="7"/>
        <v>0</v>
      </c>
      <c r="E191" s="164">
        <f>IF('Total income package'!$A$10=TRUE,SUM(EITC!C191:D191),0)</f>
        <v>0</v>
      </c>
    </row>
    <row r="192" spans="1:5" x14ac:dyDescent="0.25">
      <c r="A192" s="3">
        <v>93500</v>
      </c>
      <c r="B192" s="4">
        <f t="shared" si="8"/>
        <v>7791.666666666667</v>
      </c>
      <c r="C192" s="157">
        <f t="shared" si="9"/>
        <v>0</v>
      </c>
      <c r="D192" s="158">
        <f t="shared" si="7"/>
        <v>0</v>
      </c>
      <c r="E192" s="164">
        <f>IF('Total income package'!$A$10=TRUE,SUM(EITC!C192:D192),0)</f>
        <v>0</v>
      </c>
    </row>
    <row r="193" spans="1:11" x14ac:dyDescent="0.25">
      <c r="A193" s="3">
        <v>94000</v>
      </c>
      <c r="B193" s="4">
        <f t="shared" si="8"/>
        <v>7833.333333333333</v>
      </c>
      <c r="C193" s="157">
        <f t="shared" si="9"/>
        <v>0</v>
      </c>
      <c r="D193" s="158">
        <f t="shared" si="7"/>
        <v>0</v>
      </c>
      <c r="E193" s="164">
        <f>IF('Total income package'!$A$10=TRUE,SUM(EITC!C193:D193),0)</f>
        <v>0</v>
      </c>
    </row>
    <row r="194" spans="1:11" x14ac:dyDescent="0.25">
      <c r="A194" s="3">
        <v>94500</v>
      </c>
      <c r="B194" s="4">
        <f t="shared" si="8"/>
        <v>7875</v>
      </c>
      <c r="C194" s="157">
        <f t="shared" si="9"/>
        <v>0</v>
      </c>
      <c r="D194" s="158">
        <f t="shared" si="7"/>
        <v>0</v>
      </c>
      <c r="E194" s="164">
        <f>IF('Total income package'!$A$10=TRUE,SUM(EITC!C194:D194),0)</f>
        <v>0</v>
      </c>
    </row>
    <row r="195" spans="1:11" x14ac:dyDescent="0.25">
      <c r="A195" s="3">
        <v>95000</v>
      </c>
      <c r="B195" s="4">
        <f t="shared" si="8"/>
        <v>7916.666666666667</v>
      </c>
      <c r="C195" s="157">
        <f t="shared" si="9"/>
        <v>0</v>
      </c>
      <c r="D195" s="158">
        <f t="shared" si="7"/>
        <v>0</v>
      </c>
      <c r="E195" s="164">
        <f>IF('Total income package'!$A$10=TRUE,SUM(EITC!C195:D195),0)</f>
        <v>0</v>
      </c>
    </row>
    <row r="196" spans="1:11" x14ac:dyDescent="0.25">
      <c r="A196" s="3">
        <v>95500</v>
      </c>
      <c r="B196" s="4">
        <f t="shared" si="8"/>
        <v>7958.333333333333</v>
      </c>
      <c r="C196" s="157">
        <f t="shared" si="9"/>
        <v>0</v>
      </c>
      <c r="D196" s="158">
        <f t="shared" si="7"/>
        <v>0</v>
      </c>
      <c r="E196" s="164">
        <f>IF('Total income package'!$A$10=TRUE,SUM(EITC!C196:D196),0)</f>
        <v>0</v>
      </c>
    </row>
    <row r="197" spans="1:11" x14ac:dyDescent="0.25">
      <c r="A197" s="3">
        <v>96000</v>
      </c>
      <c r="B197" s="4">
        <f t="shared" si="8"/>
        <v>8000</v>
      </c>
      <c r="C197" s="157">
        <f t="shared" si="9"/>
        <v>0</v>
      </c>
      <c r="D197" s="158">
        <f t="shared" si="7"/>
        <v>0</v>
      </c>
      <c r="E197" s="164">
        <f>IF('Total income package'!$A$10=TRUE,SUM(EITC!C197:D197),0)</f>
        <v>0</v>
      </c>
    </row>
    <row r="198" spans="1:11" x14ac:dyDescent="0.25">
      <c r="A198" s="3">
        <v>96500</v>
      </c>
      <c r="B198" s="4">
        <f t="shared" si="8"/>
        <v>8041.666666666667</v>
      </c>
      <c r="C198" s="157">
        <f t="shared" si="9"/>
        <v>0</v>
      </c>
      <c r="D198" s="158">
        <f t="shared" ref="D198:D205" si="10">C198*0.2</f>
        <v>0</v>
      </c>
      <c r="E198" s="164">
        <f>IF('Total income package'!$A$10=TRUE,SUM(EITC!C198:D198),0)</f>
        <v>0</v>
      </c>
    </row>
    <row r="199" spans="1:11" x14ac:dyDescent="0.25">
      <c r="A199" s="3">
        <v>97000</v>
      </c>
      <c r="B199" s="4">
        <f t="shared" si="8"/>
        <v>8083.333333333333</v>
      </c>
      <c r="C199" s="157">
        <f t="shared" si="9"/>
        <v>0</v>
      </c>
      <c r="D199" s="158">
        <f t="shared" si="10"/>
        <v>0</v>
      </c>
      <c r="E199" s="164">
        <f>IF('Total income package'!$A$10=TRUE,SUM(EITC!C199:D199),0)</f>
        <v>0</v>
      </c>
    </row>
    <row r="200" spans="1:11" x14ac:dyDescent="0.25">
      <c r="A200" s="3">
        <v>97500</v>
      </c>
      <c r="B200" s="4">
        <f t="shared" ref="B200:B205" si="11">A200/12</f>
        <v>8125</v>
      </c>
      <c r="C200" s="157">
        <f t="shared" si="9"/>
        <v>0</v>
      </c>
      <c r="D200" s="158">
        <f t="shared" si="10"/>
        <v>0</v>
      </c>
      <c r="E200" s="164">
        <f>IF('Total income package'!$A$10=TRUE,SUM(EITC!C200:D200),0)</f>
        <v>0</v>
      </c>
    </row>
    <row r="201" spans="1:11" x14ac:dyDescent="0.25">
      <c r="A201" s="3">
        <v>98000</v>
      </c>
      <c r="B201" s="4">
        <f t="shared" si="11"/>
        <v>8166.666666666667</v>
      </c>
      <c r="C201" s="157">
        <f t="shared" si="9"/>
        <v>0</v>
      </c>
      <c r="D201" s="158">
        <f t="shared" si="10"/>
        <v>0</v>
      </c>
      <c r="E201" s="164">
        <f>IF('Total income package'!$A$10=TRUE,SUM(EITC!C201:D201),0)</f>
        <v>0</v>
      </c>
    </row>
    <row r="202" spans="1:11" x14ac:dyDescent="0.25">
      <c r="A202" s="3">
        <v>98500</v>
      </c>
      <c r="B202" s="4">
        <f t="shared" si="11"/>
        <v>8208.3333333333339</v>
      </c>
      <c r="C202" s="157">
        <f t="shared" si="9"/>
        <v>0</v>
      </c>
      <c r="D202" s="158">
        <f t="shared" si="10"/>
        <v>0</v>
      </c>
      <c r="E202" s="164">
        <f>IF('Total income package'!$A$10=TRUE,SUM(EITC!C202:D202),0)</f>
        <v>0</v>
      </c>
    </row>
    <row r="203" spans="1:11" x14ac:dyDescent="0.25">
      <c r="A203" s="3">
        <v>99000</v>
      </c>
      <c r="B203" s="4">
        <f t="shared" si="11"/>
        <v>8250</v>
      </c>
      <c r="C203" s="157">
        <f t="shared" si="9"/>
        <v>0</v>
      </c>
      <c r="D203" s="158">
        <f t="shared" si="10"/>
        <v>0</v>
      </c>
      <c r="E203" s="164">
        <f>IF('Total income package'!$A$10=TRUE,SUM(EITC!C203:D203),0)</f>
        <v>0</v>
      </c>
    </row>
    <row r="204" spans="1:11" x14ac:dyDescent="0.25">
      <c r="A204" s="3">
        <v>99500</v>
      </c>
      <c r="B204" s="4">
        <f t="shared" si="11"/>
        <v>8291.6666666666661</v>
      </c>
      <c r="C204" s="157">
        <f>MAX(0,IF(A204&gt;$F$2,0,IF(AND(A204&lt;$F$2,A204&gt;=$K$2),$G$2-((A204-$K$2-1)*$I$2),IF(AND(A204&lt;$K$2,A204&gt;=$J$2),$G$2,IF(A204&lt;$J$2,A204*$H$2,0)))))</f>
        <v>0</v>
      </c>
      <c r="D204" s="158">
        <f t="shared" si="10"/>
        <v>0</v>
      </c>
      <c r="E204" s="164">
        <f>IF('Total income package'!$A$10=TRUE,SUM(EITC!C204:D204),0)</f>
        <v>0</v>
      </c>
    </row>
    <row r="205" spans="1:11" x14ac:dyDescent="0.25">
      <c r="A205" s="3">
        <v>100000</v>
      </c>
      <c r="B205" s="4">
        <f t="shared" si="11"/>
        <v>8333.3333333333339</v>
      </c>
      <c r="C205" s="157">
        <f>MAX(0,IF(A205&gt;$F$2,0,IF(AND(A205&lt;$F$2,A205&gt;=$K$2),$G$2-((A205-$K$2-1)*$I$2),IF(AND(A205&lt;$K$2,A205&gt;=$J$2),$G$2,IF(A205&lt;$J$2,A205*$H$2,0)))))</f>
        <v>0</v>
      </c>
      <c r="D205" s="158">
        <f t="shared" si="10"/>
        <v>0</v>
      </c>
      <c r="E205" s="164">
        <f>IF('Total income package'!$A$10=TRUE,SUM(EITC!C205:D205),0)</f>
        <v>0</v>
      </c>
    </row>
    <row r="207" spans="1:11" x14ac:dyDescent="0.25">
      <c r="A207" s="116" t="s">
        <v>302</v>
      </c>
      <c r="B207" s="7"/>
      <c r="E207" s="76" t="s">
        <v>399</v>
      </c>
      <c r="K207">
        <f>1770/12</f>
        <v>147.5</v>
      </c>
    </row>
    <row r="208" spans="1:11" x14ac:dyDescent="0.25">
      <c r="A208" s="29">
        <f>B208*12</f>
        <v>15468</v>
      </c>
      <c r="B208" s="29">
        <f>'Total income package'!$B$90</f>
        <v>1289</v>
      </c>
      <c r="C208" s="157">
        <f>MAX(0,IF(A208&gt;$F$2,0,IF(AND(A208&lt;$F$2,A208&gt;=$K$2),$G$2-((A208-$K$2-1)*$I$2),IF(AND(A208&lt;$K$2,A208&gt;=$J$2),$G$2,IF(A208&lt;$J$2,A208*$H$2,0)))))</f>
        <v>4427</v>
      </c>
      <c r="D208" s="158">
        <f>C208*0.15</f>
        <v>664.05</v>
      </c>
      <c r="E208" s="161">
        <f>IF('Total income package'!$A$10=TRUE,C208+D208,0)</f>
        <v>5091.05</v>
      </c>
      <c r="G208" s="7">
        <f>C208/12</f>
        <v>368.91666666666669</v>
      </c>
      <c r="H208" s="7">
        <f>E208/12</f>
        <v>424.25416666666666</v>
      </c>
    </row>
    <row r="209" spans="1:5" x14ac:dyDescent="0.25">
      <c r="A209" s="159" t="s">
        <v>303</v>
      </c>
      <c r="B209" s="29"/>
    </row>
    <row r="210" spans="1:5" x14ac:dyDescent="0.25">
      <c r="A210" s="29">
        <f>B210*12</f>
        <v>15468</v>
      </c>
      <c r="B210" s="29">
        <f>'Total income package'!$B$91</f>
        <v>1289</v>
      </c>
      <c r="C210" s="157">
        <f>MAX(0,IF(A210&gt;$F$2,0,IF(AND(A210&lt;$F$2,A210&gt;=$K$2),$G$2-((A210-$K$2-1)*$I$2),IF(AND(A210&lt;$K$2,A210&gt;=$J$2),$G$2,IF(A210&lt;$J$2,A210*$H$2,0)))))</f>
        <v>4427</v>
      </c>
      <c r="D210" s="158">
        <f>C210*0.15</f>
        <v>664.05</v>
      </c>
      <c r="E210" s="161">
        <f>IF('Total income package'!$A$10=TRUE,C210+D210,0)</f>
        <v>5091.05</v>
      </c>
    </row>
  </sheetData>
  <mergeCells count="1">
    <mergeCell ref="G4:I4"/>
  </mergeCells>
  <phoneticPr fontId="24" type="noConversion"/>
  <pageMargins left="0.7" right="0.7" top="0.75" bottom="0.75" header="0.3" footer="0.3"/>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2573042-D71A-4829-9E73-DB73F8E0BE74}">
  <sheetPr codeName="Sheet19"/>
  <dimension ref="A1:AA222"/>
  <sheetViews>
    <sheetView workbookViewId="0">
      <pane xSplit="2" ySplit="16" topLeftCell="C149" activePane="bottomRight" state="frozen"/>
      <selection pane="topRight" activeCell="C1" sqref="C1"/>
      <selection pane="bottomLeft" activeCell="A18" sqref="A18"/>
      <selection pane="bottomRight" activeCell="K2" sqref="K2"/>
    </sheetView>
  </sheetViews>
  <sheetFormatPr defaultRowHeight="15" customHeight="1" x14ac:dyDescent="0.25"/>
  <cols>
    <col min="1" max="1" width="25" customWidth="1"/>
    <col min="2" max="2" width="13.7109375" customWidth="1"/>
    <col min="3" max="3" width="15.5703125" customWidth="1"/>
    <col min="4" max="4" width="13.7109375" style="8" customWidth="1"/>
    <col min="5" max="6" width="13.7109375" style="38" customWidth="1"/>
    <col min="7" max="7" width="16.85546875" style="29" customWidth="1"/>
    <col min="8" max="9" width="13.7109375" style="29" customWidth="1"/>
    <col min="10" max="10" width="24.140625" style="7" customWidth="1"/>
    <col min="11" max="12" width="23.42578125" style="7" customWidth="1"/>
    <col min="13" max="13" width="18.140625" customWidth="1"/>
    <col min="14" max="14" width="14.85546875" customWidth="1"/>
    <col min="15" max="15" width="19.42578125" customWidth="1"/>
    <col min="16" max="16" width="9.7109375" bestFit="1" customWidth="1"/>
    <col min="18" max="18" width="11.28515625" customWidth="1"/>
    <col min="19" max="19" width="13.85546875" customWidth="1"/>
    <col min="21" max="21" width="10.7109375" bestFit="1" customWidth="1"/>
    <col min="23" max="23" width="9.7109375" bestFit="1" customWidth="1"/>
    <col min="24" max="24" width="11.7109375" bestFit="1" customWidth="1"/>
    <col min="26" max="26" width="9.140625" bestFit="1" customWidth="1"/>
  </cols>
  <sheetData>
    <row r="1" spans="1:27" ht="11.25" customHeight="1" x14ac:dyDescent="0.25">
      <c r="A1" s="118" t="s">
        <v>271</v>
      </c>
      <c r="B1" s="102" t="s">
        <v>272</v>
      </c>
      <c r="C1" s="77" t="s">
        <v>304</v>
      </c>
      <c r="D1" s="119" t="s">
        <v>305</v>
      </c>
      <c r="F1" s="53">
        <f>K2*1.38</f>
        <v>2488.6</v>
      </c>
      <c r="J1"/>
      <c r="K1"/>
      <c r="L1"/>
      <c r="M1" s="81" t="s">
        <v>306</v>
      </c>
      <c r="N1" s="81" t="s">
        <v>307</v>
      </c>
      <c r="O1" s="81" t="s">
        <v>308</v>
      </c>
      <c r="P1" s="81" t="s">
        <v>309</v>
      </c>
    </row>
    <row r="2" spans="1:27" ht="11.25" customHeight="1" x14ac:dyDescent="0.25">
      <c r="A2" s="78" t="str">
        <f>'Total income package'!B3</f>
        <v>Pittsylvania</v>
      </c>
      <c r="B2" s="77">
        <f>'Total income package'!B32</f>
        <v>2</v>
      </c>
      <c r="C2" s="77">
        <f>'Total income package'!B30</f>
        <v>1</v>
      </c>
      <c r="D2" s="77">
        <f>'Total income package'!B31</f>
        <v>1</v>
      </c>
      <c r="E2" s="39"/>
      <c r="F2" s="39"/>
      <c r="G2" s="40"/>
      <c r="H2" s="40"/>
      <c r="I2" s="40"/>
      <c r="J2" s="119" t="s">
        <v>310</v>
      </c>
      <c r="K2" s="137">
        <f>VLOOKUP(B2,'Program specific data'!A6:D13,3,FALSE)</f>
        <v>1803.3333333333333</v>
      </c>
      <c r="L2" s="27" t="s">
        <v>311</v>
      </c>
      <c r="M2" s="138">
        <v>0</v>
      </c>
      <c r="N2" s="139">
        <f>K2*1.49</f>
        <v>2686.9666666666667</v>
      </c>
      <c r="O2" s="145">
        <v>0</v>
      </c>
      <c r="P2" s="145">
        <v>0</v>
      </c>
    </row>
    <row r="3" spans="1:27" ht="11.25" customHeight="1" x14ac:dyDescent="0.25">
      <c r="A3" s="198" t="s">
        <v>661</v>
      </c>
      <c r="B3" s="62"/>
      <c r="C3" s="198" t="s">
        <v>662</v>
      </c>
      <c r="D3" s="67"/>
      <c r="E3" s="42" t="s">
        <v>312</v>
      </c>
      <c r="F3" s="42"/>
      <c r="G3" s="43"/>
      <c r="H3" s="43"/>
      <c r="I3" s="43"/>
      <c r="K3" s="11"/>
      <c r="L3" s="135" t="s">
        <v>313</v>
      </c>
      <c r="M3" s="140">
        <f>K2*1.5</f>
        <v>2705</v>
      </c>
      <c r="N3" s="141">
        <f>K2*1.99</f>
        <v>3588.6333333333332</v>
      </c>
      <c r="O3" s="145">
        <v>0</v>
      </c>
      <c r="P3" s="145">
        <v>0.02</v>
      </c>
    </row>
    <row r="4" spans="1:27" ht="11.25" customHeight="1" x14ac:dyDescent="0.25">
      <c r="A4" s="198" t="s">
        <v>40</v>
      </c>
      <c r="B4" s="198">
        <f>'Total income package'!B37</f>
        <v>45</v>
      </c>
      <c r="C4" s="350">
        <f>IFERROR(VLOOKUP($A$2,'SLCSP premiums'!$A$4:$AV$137,HLOOKUP(B4,'SLCSP premiums'!$B$2:$AV$3,2,FALSE),FALSE),0)</f>
        <v>558</v>
      </c>
      <c r="D4" s="67"/>
      <c r="E4" s="44" t="s">
        <v>314</v>
      </c>
      <c r="I4" s="45"/>
      <c r="J4" s="21"/>
      <c r="K4" s="21"/>
      <c r="L4" s="135" t="s">
        <v>315</v>
      </c>
      <c r="M4" s="136">
        <f>K2*2</f>
        <v>3606.6666666666665</v>
      </c>
      <c r="N4" s="141">
        <f>K2*2.49</f>
        <v>4490.3</v>
      </c>
      <c r="O4" s="145">
        <v>0.02</v>
      </c>
      <c r="P4" s="145">
        <v>0.04</v>
      </c>
    </row>
    <row r="5" spans="1:27" ht="11.25" customHeight="1" x14ac:dyDescent="0.25">
      <c r="A5" s="198" t="s">
        <v>41</v>
      </c>
      <c r="B5" s="198">
        <f>'Total income package'!B38</f>
        <v>0</v>
      </c>
      <c r="C5" s="350">
        <f>IFERROR(VLOOKUP($A$2,'SLCSP premiums'!$A$4:$AV$137,HLOOKUP(B5,'SLCSP premiums'!$B$2:$AV$3,2,FALSE),FALSE),0)</f>
        <v>0</v>
      </c>
      <c r="E5" s="46" t="s">
        <v>316</v>
      </c>
      <c r="F5" s="42"/>
      <c r="G5" s="43"/>
      <c r="I5" s="45"/>
      <c r="J5" s="21"/>
      <c r="K5" s="21"/>
      <c r="L5" s="135" t="s">
        <v>317</v>
      </c>
      <c r="M5" s="140">
        <f>K2*2.5</f>
        <v>4508.333333333333</v>
      </c>
      <c r="N5" s="142">
        <f>K2*2.99</f>
        <v>5391.9666666666672</v>
      </c>
      <c r="O5" s="145">
        <v>0.04</v>
      </c>
      <c r="P5" s="145">
        <v>0.06</v>
      </c>
    </row>
    <row r="6" spans="1:27" ht="11.25" customHeight="1" x14ac:dyDescent="0.25">
      <c r="A6" s="198" t="s">
        <v>42</v>
      </c>
      <c r="B6" s="198">
        <f>'Total income package'!B39</f>
        <v>0</v>
      </c>
      <c r="C6" s="350">
        <f>IFERROR(VLOOKUP($A$2,'SLCSP premiums'!$A$4:$AV$137,HLOOKUP(B6,'SLCSP premiums'!$B$2:$AV$3,2,FALSE),FALSE),0)</f>
        <v>0</v>
      </c>
      <c r="F6" s="42"/>
      <c r="G6" s="43"/>
      <c r="H6" s="45"/>
      <c r="I6" s="45"/>
      <c r="J6" s="21"/>
      <c r="K6" s="21"/>
      <c r="L6" s="135" t="s">
        <v>318</v>
      </c>
      <c r="M6" s="136">
        <f>K2*3</f>
        <v>5410</v>
      </c>
      <c r="N6" s="141">
        <f>K2*3.99</f>
        <v>7195.3</v>
      </c>
      <c r="O6" s="145">
        <v>0.06</v>
      </c>
      <c r="P6" s="145">
        <v>8.5000000000000006E-2</v>
      </c>
    </row>
    <row r="7" spans="1:27" ht="11.25" customHeight="1" x14ac:dyDescent="0.25">
      <c r="A7" s="198" t="s">
        <v>43</v>
      </c>
      <c r="B7" s="198">
        <f>'Total income package'!B40</f>
        <v>0</v>
      </c>
      <c r="C7" s="350">
        <f>IFERROR(VLOOKUP($A$2,'SLCSP premiums'!$A$4:$AV$137,HLOOKUP(B7,'SLCSP premiums'!$B$2:$AV$3,2,FALSE),FALSE),0)</f>
        <v>0</v>
      </c>
      <c r="L7" s="116" t="s">
        <v>320</v>
      </c>
      <c r="M7" s="143">
        <f>K2*4</f>
        <v>7213.333333333333</v>
      </c>
      <c r="N7" s="144">
        <f>500000/12</f>
        <v>41666.666666666664</v>
      </c>
      <c r="O7" s="146">
        <v>8.5000000000000006E-2</v>
      </c>
      <c r="P7" s="146">
        <v>8.5000000000000006E-2</v>
      </c>
      <c r="V7" s="21"/>
      <c r="W7" s="3"/>
      <c r="X7" s="3"/>
      <c r="Z7" s="41"/>
      <c r="AA7" s="41"/>
    </row>
    <row r="8" spans="1:27" ht="11.25" customHeight="1" x14ac:dyDescent="0.25">
      <c r="A8" s="198" t="s">
        <v>44</v>
      </c>
      <c r="B8" s="198">
        <f>'Total income package'!B41</f>
        <v>0</v>
      </c>
      <c r="C8" s="350">
        <f>IFERROR(VLOOKUP($A$2,'SLCSP premiums'!$A$4:$AV$137,HLOOKUP(B8,'SLCSP premiums'!$B$2:$AV$3,2,FALSE),FALSE),0)</f>
        <v>0</v>
      </c>
      <c r="L8" s="116"/>
      <c r="M8" s="143"/>
      <c r="N8" s="144"/>
      <c r="O8" s="146"/>
      <c r="P8" s="146"/>
      <c r="V8" s="21"/>
      <c r="W8" s="3"/>
      <c r="X8" s="3"/>
      <c r="Z8" s="41"/>
      <c r="AA8" s="41"/>
    </row>
    <row r="9" spans="1:27" ht="11.25" customHeight="1" x14ac:dyDescent="0.25">
      <c r="A9" s="198" t="s">
        <v>45</v>
      </c>
      <c r="B9" s="198">
        <f>'Total income package'!B42</f>
        <v>0</v>
      </c>
      <c r="C9" s="350">
        <f>IFERROR(VLOOKUP($A$2,'SLCSP premiums'!$A$4:$AV$137,HLOOKUP(B9,'SLCSP premiums'!$B$2:$AV$3,2,FALSE),FALSE),0)</f>
        <v>0</v>
      </c>
      <c r="L9" s="116"/>
      <c r="M9" s="143"/>
      <c r="N9" s="144"/>
      <c r="O9" s="146"/>
      <c r="P9" s="146"/>
      <c r="V9" s="21"/>
      <c r="W9" s="3"/>
      <c r="X9" s="3"/>
      <c r="Z9" s="41"/>
      <c r="AA9" s="41"/>
    </row>
    <row r="10" spans="1:27" ht="11.25" customHeight="1" x14ac:dyDescent="0.25">
      <c r="A10" s="198" t="s">
        <v>46</v>
      </c>
      <c r="B10" s="198">
        <f>'Total income package'!B43</f>
        <v>0</v>
      </c>
      <c r="C10" s="350">
        <f>IFERROR(VLOOKUP($A$2,'SLCSP premiums'!$A$4:$AV$137,HLOOKUP(B10,'SLCSP premiums'!$B$2:$AV$3,2,FALSE),FALSE),0)</f>
        <v>0</v>
      </c>
      <c r="L10" s="116"/>
      <c r="M10" s="143"/>
      <c r="N10" s="144"/>
      <c r="O10" s="146"/>
      <c r="P10" s="146"/>
      <c r="V10" s="21"/>
      <c r="W10" s="3"/>
      <c r="X10" s="3"/>
      <c r="Z10" s="41"/>
      <c r="AA10" s="41"/>
    </row>
    <row r="11" spans="1:27" ht="11.25" customHeight="1" x14ac:dyDescent="0.25">
      <c r="A11" s="198" t="s">
        <v>47</v>
      </c>
      <c r="B11" s="198">
        <f>'Total income package'!B44</f>
        <v>0</v>
      </c>
      <c r="C11" s="350">
        <f>IFERROR(VLOOKUP($A$2,'SLCSP premiums'!$A$4:$AV$137,HLOOKUP(B11,'SLCSP premiums'!$B$2:$AV$3,2,FALSE),FALSE),0)</f>
        <v>0</v>
      </c>
      <c r="L11" s="116"/>
      <c r="M11" s="143"/>
      <c r="N11" s="144"/>
      <c r="O11" s="146"/>
      <c r="P11" s="146"/>
      <c r="V11" s="21"/>
      <c r="W11" s="3"/>
      <c r="X11" s="3"/>
      <c r="Z11" s="41"/>
      <c r="AA11" s="41"/>
    </row>
    <row r="12" spans="1:27" ht="11.25" customHeight="1" x14ac:dyDescent="0.25">
      <c r="A12" s="198" t="s">
        <v>665</v>
      </c>
      <c r="B12" s="198"/>
      <c r="C12" s="78">
        <f>SUM(C4:C11)</f>
        <v>558</v>
      </c>
      <c r="L12" s="116"/>
      <c r="M12" s="143"/>
      <c r="N12" s="144"/>
      <c r="O12" s="146"/>
      <c r="P12" s="146"/>
      <c r="V12" s="21"/>
      <c r="W12" s="3"/>
      <c r="X12" s="3"/>
      <c r="Z12" s="41"/>
      <c r="AA12" s="41"/>
    </row>
    <row r="13" spans="1:27" ht="11.25" customHeight="1" x14ac:dyDescent="0.25">
      <c r="A13" s="349" t="s">
        <v>664</v>
      </c>
      <c r="B13" s="351">
        <f>D2</f>
        <v>1</v>
      </c>
      <c r="C13" s="350">
        <f>IFERROR(VLOOKUP($A$2,'SLCSP premiums'!A4:BE137,HLOOKUP(B13,'SLCSP premiums'!$B$2:$BE$3,2,FALSE),FALSE),0)</f>
        <v>375</v>
      </c>
      <c r="L13" s="116"/>
      <c r="M13" s="143"/>
      <c r="N13" s="144"/>
      <c r="O13" s="146"/>
      <c r="P13" s="146"/>
      <c r="V13" s="21"/>
      <c r="W13" s="3"/>
      <c r="X13" s="3"/>
      <c r="Z13" s="41"/>
      <c r="AA13" s="41"/>
    </row>
    <row r="14" spans="1:27" ht="15.75" customHeight="1" x14ac:dyDescent="0.25">
      <c r="A14" s="445" t="s">
        <v>319</v>
      </c>
      <c r="B14" s="445"/>
      <c r="C14" s="445"/>
      <c r="D14" s="445"/>
      <c r="E14" s="445"/>
      <c r="F14" s="445"/>
      <c r="G14" s="445"/>
      <c r="L14" s="116"/>
      <c r="M14" s="143"/>
      <c r="N14" s="144"/>
      <c r="O14" s="146"/>
      <c r="P14" s="146"/>
      <c r="V14" s="21"/>
      <c r="W14" s="3"/>
      <c r="X14" s="3"/>
      <c r="Z14" s="41"/>
      <c r="AA14" s="41"/>
    </row>
    <row r="15" spans="1:27" ht="18.600000000000001" customHeight="1" x14ac:dyDescent="0.25">
      <c r="D15" s="8" t="s">
        <v>321</v>
      </c>
      <c r="K15" s="444" t="s">
        <v>322</v>
      </c>
      <c r="L15" s="444"/>
      <c r="Z15" s="41"/>
      <c r="AA15" s="41"/>
    </row>
    <row r="16" spans="1:27" ht="33" customHeight="1" x14ac:dyDescent="0.25">
      <c r="A16" s="10" t="s">
        <v>104</v>
      </c>
      <c r="B16" s="48" t="s">
        <v>323</v>
      </c>
      <c r="C16" s="49">
        <v>8.3900000000000002E-2</v>
      </c>
      <c r="D16" s="68" t="s">
        <v>287</v>
      </c>
      <c r="E16" s="50" t="s">
        <v>324</v>
      </c>
      <c r="F16" s="50" t="s">
        <v>325</v>
      </c>
      <c r="G16" s="51" t="s">
        <v>326</v>
      </c>
      <c r="H16" s="51" t="s">
        <v>327</v>
      </c>
      <c r="I16" s="51" t="s">
        <v>328</v>
      </c>
      <c r="J16" s="52" t="s">
        <v>329</v>
      </c>
      <c r="K16" s="52" t="s">
        <v>330</v>
      </c>
      <c r="L16" s="52" t="s">
        <v>331</v>
      </c>
      <c r="M16" s="24" t="s">
        <v>332</v>
      </c>
      <c r="N16" s="52" t="s">
        <v>333</v>
      </c>
      <c r="O16" t="s">
        <v>334</v>
      </c>
      <c r="P16" t="s">
        <v>335</v>
      </c>
    </row>
    <row r="17" spans="1:16" ht="15" customHeight="1" x14ac:dyDescent="0.25">
      <c r="A17" s="3">
        <v>0</v>
      </c>
      <c r="B17" s="3">
        <f>A17/12</f>
        <v>0</v>
      </c>
      <c r="C17" s="3">
        <f>B17*0.0839</f>
        <v>0</v>
      </c>
      <c r="D17" s="64">
        <f t="shared" ref="D17:D48" si="0">B17/$K$2</f>
        <v>0</v>
      </c>
      <c r="E17" s="50">
        <f>IF($D$17&gt;3.99,0.085,IF($D$17&gt;2.99,0.06,IF($D$17&gt;1.99,0.02,IF($D$17&gt;1.49,0,0))))</f>
        <v>0</v>
      </c>
      <c r="F17" s="50">
        <f>IF(D17&gt;3.99,0.085,IF(D17&gt;2.99,0.085,IF(D17&gt;2.49,0.06,IF(D17&gt;1.99,0.04,IF(D17&gt;1.49,0.02,0)))))</f>
        <v>0</v>
      </c>
      <c r="G17" s="69">
        <f>IF(D17&gt;3.99,$M$7,IF(D17&gt;2.99,$M$6,IF(D17&gt;2.49,$M$5,IF(D17&gt;1.99,$M$4,IF(D17&gt;1.49,$M$3,0)))))</f>
        <v>0</v>
      </c>
      <c r="H17" s="70">
        <f>IF(D17&gt;3.99,$N$7,IF(D17&gt;2.99,$N$6,IF(D17&gt;2.49,$N$5,IF(D17&gt;1.99,$N$4,IF(D17&gt;1.49,$N$3,IF(D17&gt;=0,$N$2,0))))))</f>
        <v>2686.9666666666667</v>
      </c>
      <c r="I17" s="70">
        <f>IF(D17&gt;3.99,$N$6,IF(D17&gt;2.99,$N$5,IF(D17&gt;2.49,$N$4,IF(D17&gt;1.99,$N$3,IF(D17&gt;1.49,$N$2,IF(D17&gt;=0,0))))))</f>
        <v>0</v>
      </c>
      <c r="J17" s="53">
        <f>B17*(E17+(B17-I17)*(F17-E17)/(H17-I17))</f>
        <v>0</v>
      </c>
      <c r="K17" s="53">
        <f>SUM(IF(O17="Yes",0,$C$12),IF(P17="Yes",0,$C$13))</f>
        <v>0</v>
      </c>
      <c r="L17" s="289">
        <f>MAX(0,K17-J17)</f>
        <v>0</v>
      </c>
      <c r="M17" s="24"/>
      <c r="N17" s="7">
        <f>MAX(0,L17*12)</f>
        <v>0</v>
      </c>
      <c r="O17" t="str">
        <f>Medicaid!G9</f>
        <v>Yes</v>
      </c>
      <c r="P17" t="str">
        <f>Medicaid!K9</f>
        <v>Yes</v>
      </c>
    </row>
    <row r="18" spans="1:16" ht="15" customHeight="1" x14ac:dyDescent="0.25">
      <c r="A18" s="3">
        <v>500</v>
      </c>
      <c r="B18" s="3">
        <f>A18/12</f>
        <v>41.666666666666664</v>
      </c>
      <c r="C18" s="3">
        <f>B18*0.0839</f>
        <v>3.4958333333333331</v>
      </c>
      <c r="D18" s="64">
        <f t="shared" si="0"/>
        <v>2.3105360443622922E-2</v>
      </c>
      <c r="E18" s="50">
        <f>IF($D$17&gt;3.99,0.085,IF($D$17&gt;2.99,0.06,IF($D$17&gt;1.99,0.02,IF($D$17&gt;1.49,0,0))))</f>
        <v>0</v>
      </c>
      <c r="F18" s="50">
        <f>IF(D18&gt;3.99,0.085,IF(D18&gt;2.99,0.085,IF(D18&gt;2.49,0.06,IF(D18&gt;1.99,0.04,IF(D18&gt;1.49,0.02,0)))))</f>
        <v>0</v>
      </c>
      <c r="G18" s="69">
        <f>IF(D18&gt;3.99,$M$7,IF(D18&gt;2.99,$M$6,IF(D18&gt;2.49,$M$5,IF(D18&gt;1.99,$M$4,IF(D18&gt;1.49,$M$3,0)))))</f>
        <v>0</v>
      </c>
      <c r="H18" s="70">
        <f>IF(D18&gt;3.99,$N$7,IF(D18&gt;2.99,$N$6,IF(D18&gt;2.49,$N$5,IF(D18&gt;1.99,$N$4,IF(D18&gt;1.49,$N$3,IF(D18&gt;=0,$N$2,0))))))</f>
        <v>2686.9666666666667</v>
      </c>
      <c r="I18" s="70">
        <f>IF(D18&gt;3.99,$N$6,IF(D18&gt;2.99,$N$5,IF(D18&gt;2.49,$N$4,IF(D18&gt;1.99,$N$3,IF(D18&gt;1.49,$N$2,IF(D18&gt;=0,0))))))</f>
        <v>0</v>
      </c>
      <c r="J18" s="53">
        <f>B18*(E18+(B18-I18)*(F18-E18)/(H18-I18))</f>
        <v>0</v>
      </c>
      <c r="K18" s="53">
        <f t="shared" ref="K18:K81" si="1">SUM(IF(O18="Yes",0,$C$12),IF(P18="Yes",0,$C$13))</f>
        <v>0</v>
      </c>
      <c r="L18" s="289">
        <f t="shared" ref="L18:L81" si="2">MAX(0,K18-J18)</f>
        <v>0</v>
      </c>
      <c r="M18" s="24"/>
      <c r="N18" s="7">
        <f t="shared" ref="N18:N81" si="3">MAX(0,L18*12)</f>
        <v>0</v>
      </c>
      <c r="O18" t="str">
        <f>Medicaid!G10</f>
        <v>Yes</v>
      </c>
      <c r="P18" t="str">
        <f>Medicaid!K10</f>
        <v>Yes</v>
      </c>
    </row>
    <row r="19" spans="1:16" x14ac:dyDescent="0.25">
      <c r="A19" s="3">
        <v>1000</v>
      </c>
      <c r="B19" s="3">
        <f>A19/12</f>
        <v>83.333333333333329</v>
      </c>
      <c r="C19" s="3">
        <f>B19*0.0839</f>
        <v>6.9916666666666663</v>
      </c>
      <c r="D19" s="64">
        <f t="shared" si="0"/>
        <v>4.6210720887245843E-2</v>
      </c>
      <c r="E19" s="50">
        <f t="shared" ref="E19:E82" si="4">IF(D19&gt;3.99,0.085,IF(D19&gt;2.99,0.06,IF(D19&gt;1.99,0.02,IF(D19&gt;1.49,0,0))))</f>
        <v>0</v>
      </c>
      <c r="F19" s="50">
        <f t="shared" ref="F19:F82" si="5">IF(D19&gt;3.99,0.085,IF(D19&gt;2.99,0.085,IF(D19&gt;2.49,0.06,IF(D19&gt;1.99,0.04,IF(D19&gt;1.49,0.02,0)))))</f>
        <v>0</v>
      </c>
      <c r="G19" s="69">
        <f t="shared" ref="G19:G82" si="6">IF(D19&gt;3.99,$M$7,IF(D19&gt;2.99,$M$6,IF(D19&gt;2.49,$M$5,IF(D19&gt;1.99,$M$4,IF(D19&gt;1.49,$M$3,0)))))</f>
        <v>0</v>
      </c>
      <c r="H19" s="70">
        <f t="shared" ref="H19:H82" si="7">IF(D19&gt;3.99,$N$7,IF(D19&gt;2.99,$N$6,IF(D19&gt;2.49,$N$5,IF(D19&gt;1.99,$N$4,IF(D19&gt;1.49,$N$3,IF(D19&gt;=0,$N$2,0))))))</f>
        <v>2686.9666666666667</v>
      </c>
      <c r="I19" s="70">
        <f t="shared" ref="I19:I82" si="8">IF(D19&gt;3.99,$N$6,IF(D19&gt;2.99,$N$5,IF(D19&gt;2.49,$N$4,IF(D19&gt;1.99,$N$3,IF(D19&gt;1.49,$N$2,IF(D19&gt;=0,0))))))</f>
        <v>0</v>
      </c>
      <c r="J19" s="53">
        <f t="shared" ref="J19:J81" si="9">B19*(E19+(B19-I19)*(F19-E19)/(H19-I19))</f>
        <v>0</v>
      </c>
      <c r="K19" s="53">
        <f t="shared" si="1"/>
        <v>0</v>
      </c>
      <c r="L19" s="289">
        <f t="shared" si="2"/>
        <v>0</v>
      </c>
      <c r="N19" s="7">
        <f t="shared" si="3"/>
        <v>0</v>
      </c>
      <c r="O19" t="str">
        <f>Medicaid!G11</f>
        <v>Yes</v>
      </c>
      <c r="P19" t="str">
        <f>Medicaid!K11</f>
        <v>Yes</v>
      </c>
    </row>
    <row r="20" spans="1:16" x14ac:dyDescent="0.25">
      <c r="A20" s="3">
        <v>1500</v>
      </c>
      <c r="B20" s="3">
        <f t="shared" ref="B20:B83" si="10">A20/12</f>
        <v>125</v>
      </c>
      <c r="C20" s="3">
        <f t="shared" ref="C20:C83" si="11">B20*0.0839</f>
        <v>10.487500000000001</v>
      </c>
      <c r="D20" s="64">
        <f t="shared" si="0"/>
        <v>6.9316081330868765E-2</v>
      </c>
      <c r="E20" s="50">
        <f t="shared" si="4"/>
        <v>0</v>
      </c>
      <c r="F20" s="50">
        <f t="shared" si="5"/>
        <v>0</v>
      </c>
      <c r="G20" s="69">
        <f t="shared" si="6"/>
        <v>0</v>
      </c>
      <c r="H20" s="70">
        <f t="shared" si="7"/>
        <v>2686.9666666666667</v>
      </c>
      <c r="I20" s="70">
        <f t="shared" si="8"/>
        <v>0</v>
      </c>
      <c r="J20" s="53">
        <f t="shared" si="9"/>
        <v>0</v>
      </c>
      <c r="K20" s="53">
        <f t="shared" si="1"/>
        <v>0</v>
      </c>
      <c r="L20" s="289">
        <f t="shared" si="2"/>
        <v>0</v>
      </c>
      <c r="N20" s="7">
        <f t="shared" si="3"/>
        <v>0</v>
      </c>
      <c r="O20" t="str">
        <f>Medicaid!G12</f>
        <v>Yes</v>
      </c>
      <c r="P20" t="str">
        <f>Medicaid!K12</f>
        <v>Yes</v>
      </c>
    </row>
    <row r="21" spans="1:16" x14ac:dyDescent="0.25">
      <c r="A21" s="3">
        <v>2000</v>
      </c>
      <c r="B21" s="3">
        <f t="shared" si="10"/>
        <v>166.66666666666666</v>
      </c>
      <c r="C21" s="3">
        <f t="shared" si="11"/>
        <v>13.983333333333333</v>
      </c>
      <c r="D21" s="64">
        <f t="shared" si="0"/>
        <v>9.2421441774491686E-2</v>
      </c>
      <c r="E21" s="50">
        <f t="shared" si="4"/>
        <v>0</v>
      </c>
      <c r="F21" s="50">
        <f t="shared" si="5"/>
        <v>0</v>
      </c>
      <c r="G21" s="69">
        <f t="shared" si="6"/>
        <v>0</v>
      </c>
      <c r="H21" s="70">
        <f t="shared" si="7"/>
        <v>2686.9666666666667</v>
      </c>
      <c r="I21" s="70">
        <f t="shared" si="8"/>
        <v>0</v>
      </c>
      <c r="J21" s="53">
        <f t="shared" si="9"/>
        <v>0</v>
      </c>
      <c r="K21" s="53">
        <f t="shared" si="1"/>
        <v>0</v>
      </c>
      <c r="L21" s="289">
        <f t="shared" si="2"/>
        <v>0</v>
      </c>
      <c r="N21" s="7">
        <f t="shared" si="3"/>
        <v>0</v>
      </c>
      <c r="O21" t="str">
        <f>Medicaid!G13</f>
        <v>Yes</v>
      </c>
      <c r="P21" t="str">
        <f>Medicaid!K13</f>
        <v>Yes</v>
      </c>
    </row>
    <row r="22" spans="1:16" x14ac:dyDescent="0.25">
      <c r="A22" s="3">
        <v>2500</v>
      </c>
      <c r="B22" s="3">
        <f t="shared" si="10"/>
        <v>208.33333333333334</v>
      </c>
      <c r="C22" s="3">
        <f t="shared" si="11"/>
        <v>17.479166666666668</v>
      </c>
      <c r="D22" s="64">
        <f t="shared" si="0"/>
        <v>0.11552680221811461</v>
      </c>
      <c r="E22" s="50">
        <f t="shared" si="4"/>
        <v>0</v>
      </c>
      <c r="F22" s="50">
        <f t="shared" si="5"/>
        <v>0</v>
      </c>
      <c r="G22" s="69">
        <f t="shared" si="6"/>
        <v>0</v>
      </c>
      <c r="H22" s="70">
        <f t="shared" si="7"/>
        <v>2686.9666666666667</v>
      </c>
      <c r="I22" s="70">
        <f t="shared" si="8"/>
        <v>0</v>
      </c>
      <c r="J22" s="53">
        <f t="shared" si="9"/>
        <v>0</v>
      </c>
      <c r="K22" s="53">
        <f t="shared" si="1"/>
        <v>0</v>
      </c>
      <c r="L22" s="289">
        <f t="shared" si="2"/>
        <v>0</v>
      </c>
      <c r="N22" s="7">
        <f t="shared" si="3"/>
        <v>0</v>
      </c>
      <c r="O22" t="str">
        <f>Medicaid!G14</f>
        <v>Yes</v>
      </c>
      <c r="P22" t="str">
        <f>Medicaid!K14</f>
        <v>Yes</v>
      </c>
    </row>
    <row r="23" spans="1:16" x14ac:dyDescent="0.25">
      <c r="A23" s="3">
        <v>3000</v>
      </c>
      <c r="B23" s="3">
        <f t="shared" si="10"/>
        <v>250</v>
      </c>
      <c r="C23" s="3">
        <f t="shared" si="11"/>
        <v>20.975000000000001</v>
      </c>
      <c r="D23" s="64">
        <f t="shared" si="0"/>
        <v>0.13863216266173753</v>
      </c>
      <c r="E23" s="50">
        <f t="shared" si="4"/>
        <v>0</v>
      </c>
      <c r="F23" s="50">
        <f t="shared" si="5"/>
        <v>0</v>
      </c>
      <c r="G23" s="69">
        <f t="shared" si="6"/>
        <v>0</v>
      </c>
      <c r="H23" s="70">
        <f t="shared" si="7"/>
        <v>2686.9666666666667</v>
      </c>
      <c r="I23" s="70">
        <f t="shared" si="8"/>
        <v>0</v>
      </c>
      <c r="J23" s="53">
        <f t="shared" si="9"/>
        <v>0</v>
      </c>
      <c r="K23" s="53">
        <f t="shared" si="1"/>
        <v>0</v>
      </c>
      <c r="L23" s="289">
        <f t="shared" si="2"/>
        <v>0</v>
      </c>
      <c r="N23" s="7">
        <f t="shared" si="3"/>
        <v>0</v>
      </c>
      <c r="O23" t="str">
        <f>Medicaid!G15</f>
        <v>Yes</v>
      </c>
      <c r="P23" t="str">
        <f>Medicaid!K15</f>
        <v>Yes</v>
      </c>
    </row>
    <row r="24" spans="1:16" x14ac:dyDescent="0.25">
      <c r="A24" s="3">
        <v>3500</v>
      </c>
      <c r="B24" s="3">
        <f t="shared" si="10"/>
        <v>291.66666666666669</v>
      </c>
      <c r="C24" s="3">
        <f t="shared" si="11"/>
        <v>24.470833333333335</v>
      </c>
      <c r="D24" s="64">
        <f t="shared" si="0"/>
        <v>0.16173752310536046</v>
      </c>
      <c r="E24" s="50">
        <f t="shared" si="4"/>
        <v>0</v>
      </c>
      <c r="F24" s="50">
        <f t="shared" si="5"/>
        <v>0</v>
      </c>
      <c r="G24" s="69">
        <f t="shared" si="6"/>
        <v>0</v>
      </c>
      <c r="H24" s="70">
        <f t="shared" si="7"/>
        <v>2686.9666666666667</v>
      </c>
      <c r="I24" s="70">
        <f t="shared" si="8"/>
        <v>0</v>
      </c>
      <c r="J24" s="53">
        <f t="shared" si="9"/>
        <v>0</v>
      </c>
      <c r="K24" s="53">
        <f t="shared" si="1"/>
        <v>0</v>
      </c>
      <c r="L24" s="289">
        <f t="shared" si="2"/>
        <v>0</v>
      </c>
      <c r="N24" s="7">
        <f t="shared" si="3"/>
        <v>0</v>
      </c>
      <c r="O24" t="str">
        <f>Medicaid!G16</f>
        <v>Yes</v>
      </c>
      <c r="P24" t="str">
        <f>Medicaid!K16</f>
        <v>Yes</v>
      </c>
    </row>
    <row r="25" spans="1:16" x14ac:dyDescent="0.25">
      <c r="A25" s="3">
        <v>4000</v>
      </c>
      <c r="B25" s="3">
        <f t="shared" si="10"/>
        <v>333.33333333333331</v>
      </c>
      <c r="C25" s="3">
        <f t="shared" si="11"/>
        <v>27.966666666666665</v>
      </c>
      <c r="D25" s="64">
        <f t="shared" si="0"/>
        <v>0.18484288354898337</v>
      </c>
      <c r="E25" s="50">
        <f t="shared" si="4"/>
        <v>0</v>
      </c>
      <c r="F25" s="50">
        <f t="shared" si="5"/>
        <v>0</v>
      </c>
      <c r="G25" s="69">
        <f t="shared" si="6"/>
        <v>0</v>
      </c>
      <c r="H25" s="70">
        <f t="shared" si="7"/>
        <v>2686.9666666666667</v>
      </c>
      <c r="I25" s="70">
        <f t="shared" si="8"/>
        <v>0</v>
      </c>
      <c r="J25" s="53">
        <f t="shared" si="9"/>
        <v>0</v>
      </c>
      <c r="K25" s="53">
        <f t="shared" si="1"/>
        <v>0</v>
      </c>
      <c r="L25" s="289">
        <f t="shared" si="2"/>
        <v>0</v>
      </c>
      <c r="N25" s="7">
        <f t="shared" si="3"/>
        <v>0</v>
      </c>
      <c r="O25" t="str">
        <f>Medicaid!G17</f>
        <v>Yes</v>
      </c>
      <c r="P25" t="str">
        <f>Medicaid!K17</f>
        <v>Yes</v>
      </c>
    </row>
    <row r="26" spans="1:16" x14ac:dyDescent="0.25">
      <c r="A26" s="3">
        <v>4500</v>
      </c>
      <c r="B26" s="3">
        <f t="shared" si="10"/>
        <v>375</v>
      </c>
      <c r="C26" s="3">
        <f t="shared" si="11"/>
        <v>31.462500000000002</v>
      </c>
      <c r="D26" s="64">
        <f t="shared" si="0"/>
        <v>0.20794824399260628</v>
      </c>
      <c r="E26" s="50">
        <f t="shared" si="4"/>
        <v>0</v>
      </c>
      <c r="F26" s="50">
        <f t="shared" si="5"/>
        <v>0</v>
      </c>
      <c r="G26" s="69">
        <f t="shared" si="6"/>
        <v>0</v>
      </c>
      <c r="H26" s="70">
        <f t="shared" si="7"/>
        <v>2686.9666666666667</v>
      </c>
      <c r="I26" s="70">
        <f t="shared" si="8"/>
        <v>0</v>
      </c>
      <c r="J26" s="53">
        <f t="shared" si="9"/>
        <v>0</v>
      </c>
      <c r="K26" s="53">
        <f t="shared" si="1"/>
        <v>0</v>
      </c>
      <c r="L26" s="289">
        <f t="shared" si="2"/>
        <v>0</v>
      </c>
      <c r="N26" s="7">
        <f t="shared" si="3"/>
        <v>0</v>
      </c>
      <c r="O26" t="str">
        <f>Medicaid!G18</f>
        <v>Yes</v>
      </c>
      <c r="P26" t="str">
        <f>Medicaid!K18</f>
        <v>Yes</v>
      </c>
    </row>
    <row r="27" spans="1:16" x14ac:dyDescent="0.25">
      <c r="A27" s="3">
        <v>5000</v>
      </c>
      <c r="B27" s="3">
        <f t="shared" si="10"/>
        <v>416.66666666666669</v>
      </c>
      <c r="C27" s="3">
        <f t="shared" si="11"/>
        <v>34.958333333333336</v>
      </c>
      <c r="D27" s="64">
        <f t="shared" si="0"/>
        <v>0.23105360443622922</v>
      </c>
      <c r="E27" s="50">
        <f t="shared" si="4"/>
        <v>0</v>
      </c>
      <c r="F27" s="50">
        <f t="shared" si="5"/>
        <v>0</v>
      </c>
      <c r="G27" s="69">
        <f t="shared" si="6"/>
        <v>0</v>
      </c>
      <c r="H27" s="70">
        <f t="shared" si="7"/>
        <v>2686.9666666666667</v>
      </c>
      <c r="I27" s="70">
        <f t="shared" si="8"/>
        <v>0</v>
      </c>
      <c r="J27" s="53">
        <f t="shared" si="9"/>
        <v>0</v>
      </c>
      <c r="K27" s="53">
        <f t="shared" si="1"/>
        <v>0</v>
      </c>
      <c r="L27" s="289">
        <f t="shared" si="2"/>
        <v>0</v>
      </c>
      <c r="N27" s="7">
        <f t="shared" si="3"/>
        <v>0</v>
      </c>
      <c r="O27" t="str">
        <f>Medicaid!G19</f>
        <v>Yes</v>
      </c>
      <c r="P27" t="str">
        <f>Medicaid!K19</f>
        <v>Yes</v>
      </c>
    </row>
    <row r="28" spans="1:16" x14ac:dyDescent="0.25">
      <c r="A28" s="3">
        <v>5500</v>
      </c>
      <c r="B28" s="3">
        <f t="shared" si="10"/>
        <v>458.33333333333331</v>
      </c>
      <c r="C28" s="3">
        <f t="shared" si="11"/>
        <v>38.454166666666666</v>
      </c>
      <c r="D28" s="64">
        <f t="shared" si="0"/>
        <v>0.25415896487985212</v>
      </c>
      <c r="E28" s="50">
        <f t="shared" si="4"/>
        <v>0</v>
      </c>
      <c r="F28" s="50">
        <f t="shared" si="5"/>
        <v>0</v>
      </c>
      <c r="G28" s="69">
        <f t="shared" si="6"/>
        <v>0</v>
      </c>
      <c r="H28" s="70">
        <f t="shared" si="7"/>
        <v>2686.9666666666667</v>
      </c>
      <c r="I28" s="70">
        <f t="shared" si="8"/>
        <v>0</v>
      </c>
      <c r="J28" s="53">
        <f t="shared" si="9"/>
        <v>0</v>
      </c>
      <c r="K28" s="53">
        <f t="shared" si="1"/>
        <v>0</v>
      </c>
      <c r="L28" s="289">
        <f t="shared" si="2"/>
        <v>0</v>
      </c>
      <c r="N28" s="7">
        <f t="shared" si="3"/>
        <v>0</v>
      </c>
      <c r="O28" t="str">
        <f>Medicaid!G20</f>
        <v>Yes</v>
      </c>
      <c r="P28" t="str">
        <f>Medicaid!K20</f>
        <v>Yes</v>
      </c>
    </row>
    <row r="29" spans="1:16" x14ac:dyDescent="0.25">
      <c r="A29" s="3">
        <v>6000</v>
      </c>
      <c r="B29" s="3">
        <f t="shared" si="10"/>
        <v>500</v>
      </c>
      <c r="C29" s="3">
        <f t="shared" si="11"/>
        <v>41.95</v>
      </c>
      <c r="D29" s="64">
        <f t="shared" si="0"/>
        <v>0.27726432532347506</v>
      </c>
      <c r="E29" s="50">
        <f t="shared" si="4"/>
        <v>0</v>
      </c>
      <c r="F29" s="50">
        <f t="shared" si="5"/>
        <v>0</v>
      </c>
      <c r="G29" s="69">
        <f t="shared" si="6"/>
        <v>0</v>
      </c>
      <c r="H29" s="70">
        <f t="shared" si="7"/>
        <v>2686.9666666666667</v>
      </c>
      <c r="I29" s="70">
        <f t="shared" si="8"/>
        <v>0</v>
      </c>
      <c r="J29" s="53">
        <f t="shared" si="9"/>
        <v>0</v>
      </c>
      <c r="K29" s="53">
        <f t="shared" si="1"/>
        <v>0</v>
      </c>
      <c r="L29" s="289">
        <f t="shared" si="2"/>
        <v>0</v>
      </c>
      <c r="N29" s="7">
        <f t="shared" si="3"/>
        <v>0</v>
      </c>
      <c r="O29" t="str">
        <f>Medicaid!G21</f>
        <v>Yes</v>
      </c>
      <c r="P29" t="str">
        <f>Medicaid!K21</f>
        <v>Yes</v>
      </c>
    </row>
    <row r="30" spans="1:16" x14ac:dyDescent="0.25">
      <c r="A30" s="3">
        <v>6500</v>
      </c>
      <c r="B30" s="3">
        <f t="shared" si="10"/>
        <v>541.66666666666663</v>
      </c>
      <c r="C30" s="3">
        <f t="shared" si="11"/>
        <v>45.445833333333333</v>
      </c>
      <c r="D30" s="64">
        <f t="shared" si="0"/>
        <v>0.30036968576709794</v>
      </c>
      <c r="E30" s="50">
        <f t="shared" si="4"/>
        <v>0</v>
      </c>
      <c r="F30" s="50">
        <f t="shared" si="5"/>
        <v>0</v>
      </c>
      <c r="G30" s="69">
        <f t="shared" si="6"/>
        <v>0</v>
      </c>
      <c r="H30" s="70">
        <f t="shared" si="7"/>
        <v>2686.9666666666667</v>
      </c>
      <c r="I30" s="70">
        <f t="shared" si="8"/>
        <v>0</v>
      </c>
      <c r="J30" s="53">
        <f t="shared" si="9"/>
        <v>0</v>
      </c>
      <c r="K30" s="53">
        <f t="shared" si="1"/>
        <v>0</v>
      </c>
      <c r="L30" s="289">
        <f t="shared" si="2"/>
        <v>0</v>
      </c>
      <c r="N30" s="7">
        <f t="shared" si="3"/>
        <v>0</v>
      </c>
      <c r="O30" t="str">
        <f>Medicaid!G22</f>
        <v>Yes</v>
      </c>
      <c r="P30" t="str">
        <f>Medicaid!K22</f>
        <v>Yes</v>
      </c>
    </row>
    <row r="31" spans="1:16" x14ac:dyDescent="0.25">
      <c r="A31" s="3">
        <v>7000</v>
      </c>
      <c r="B31" s="3">
        <f t="shared" si="10"/>
        <v>583.33333333333337</v>
      </c>
      <c r="C31" s="3">
        <f t="shared" si="11"/>
        <v>48.94166666666667</v>
      </c>
      <c r="D31" s="64">
        <f t="shared" si="0"/>
        <v>0.32347504621072093</v>
      </c>
      <c r="E31" s="50">
        <f t="shared" si="4"/>
        <v>0</v>
      </c>
      <c r="F31" s="50">
        <f t="shared" si="5"/>
        <v>0</v>
      </c>
      <c r="G31" s="69">
        <f t="shared" si="6"/>
        <v>0</v>
      </c>
      <c r="H31" s="70">
        <f t="shared" si="7"/>
        <v>2686.9666666666667</v>
      </c>
      <c r="I31" s="70">
        <f t="shared" si="8"/>
        <v>0</v>
      </c>
      <c r="J31" s="53">
        <f t="shared" si="9"/>
        <v>0</v>
      </c>
      <c r="K31" s="53">
        <f t="shared" si="1"/>
        <v>0</v>
      </c>
      <c r="L31" s="289">
        <f t="shared" si="2"/>
        <v>0</v>
      </c>
      <c r="N31" s="7">
        <f t="shared" si="3"/>
        <v>0</v>
      </c>
      <c r="O31" t="str">
        <f>Medicaid!G23</f>
        <v>Yes</v>
      </c>
      <c r="P31" t="str">
        <f>Medicaid!K23</f>
        <v>Yes</v>
      </c>
    </row>
    <row r="32" spans="1:16" x14ac:dyDescent="0.25">
      <c r="A32" s="3">
        <v>7500</v>
      </c>
      <c r="B32" s="3">
        <f t="shared" si="10"/>
        <v>625</v>
      </c>
      <c r="C32" s="3">
        <f t="shared" si="11"/>
        <v>52.4375</v>
      </c>
      <c r="D32" s="64">
        <f t="shared" si="0"/>
        <v>0.34658040665434381</v>
      </c>
      <c r="E32" s="50">
        <f t="shared" si="4"/>
        <v>0</v>
      </c>
      <c r="F32" s="50">
        <f t="shared" si="5"/>
        <v>0</v>
      </c>
      <c r="G32" s="69">
        <f t="shared" si="6"/>
        <v>0</v>
      </c>
      <c r="H32" s="70">
        <f t="shared" si="7"/>
        <v>2686.9666666666667</v>
      </c>
      <c r="I32" s="70">
        <f t="shared" si="8"/>
        <v>0</v>
      </c>
      <c r="J32" s="53">
        <f t="shared" si="9"/>
        <v>0</v>
      </c>
      <c r="K32" s="53">
        <f t="shared" si="1"/>
        <v>0</v>
      </c>
      <c r="L32" s="289">
        <f t="shared" si="2"/>
        <v>0</v>
      </c>
      <c r="N32" s="7">
        <f t="shared" si="3"/>
        <v>0</v>
      </c>
      <c r="O32" t="str">
        <f>Medicaid!G24</f>
        <v>Yes</v>
      </c>
      <c r="P32" t="str">
        <f>Medicaid!K24</f>
        <v>Yes</v>
      </c>
    </row>
    <row r="33" spans="1:16" x14ac:dyDescent="0.25">
      <c r="A33" s="3">
        <v>8000</v>
      </c>
      <c r="B33" s="3">
        <f t="shared" si="10"/>
        <v>666.66666666666663</v>
      </c>
      <c r="C33" s="3">
        <f t="shared" si="11"/>
        <v>55.93333333333333</v>
      </c>
      <c r="D33" s="64">
        <f t="shared" si="0"/>
        <v>0.36968576709796674</v>
      </c>
      <c r="E33" s="50">
        <f t="shared" si="4"/>
        <v>0</v>
      </c>
      <c r="F33" s="50">
        <f t="shared" si="5"/>
        <v>0</v>
      </c>
      <c r="G33" s="69">
        <f t="shared" si="6"/>
        <v>0</v>
      </c>
      <c r="H33" s="70">
        <f t="shared" si="7"/>
        <v>2686.9666666666667</v>
      </c>
      <c r="I33" s="70">
        <f t="shared" si="8"/>
        <v>0</v>
      </c>
      <c r="J33" s="53">
        <f t="shared" si="9"/>
        <v>0</v>
      </c>
      <c r="K33" s="53">
        <f t="shared" si="1"/>
        <v>0</v>
      </c>
      <c r="L33" s="289">
        <f t="shared" si="2"/>
        <v>0</v>
      </c>
      <c r="N33" s="7">
        <f t="shared" si="3"/>
        <v>0</v>
      </c>
      <c r="O33" t="str">
        <f>Medicaid!G25</f>
        <v>Yes</v>
      </c>
      <c r="P33" t="str">
        <f>Medicaid!K25</f>
        <v>Yes</v>
      </c>
    </row>
    <row r="34" spans="1:16" x14ac:dyDescent="0.25">
      <c r="A34" s="3">
        <v>8500</v>
      </c>
      <c r="B34" s="3">
        <f t="shared" si="10"/>
        <v>708.33333333333337</v>
      </c>
      <c r="C34" s="3">
        <f t="shared" si="11"/>
        <v>59.429166666666674</v>
      </c>
      <c r="D34" s="64">
        <f t="shared" si="0"/>
        <v>0.39279112754158968</v>
      </c>
      <c r="E34" s="50">
        <f t="shared" si="4"/>
        <v>0</v>
      </c>
      <c r="F34" s="50">
        <f t="shared" si="5"/>
        <v>0</v>
      </c>
      <c r="G34" s="69">
        <f t="shared" si="6"/>
        <v>0</v>
      </c>
      <c r="H34" s="70">
        <f t="shared" si="7"/>
        <v>2686.9666666666667</v>
      </c>
      <c r="I34" s="70">
        <f t="shared" si="8"/>
        <v>0</v>
      </c>
      <c r="J34" s="53">
        <f t="shared" si="9"/>
        <v>0</v>
      </c>
      <c r="K34" s="53">
        <f t="shared" si="1"/>
        <v>0</v>
      </c>
      <c r="L34" s="289">
        <f t="shared" si="2"/>
        <v>0</v>
      </c>
      <c r="N34" s="7">
        <f t="shared" si="3"/>
        <v>0</v>
      </c>
      <c r="O34" t="str">
        <f>Medicaid!G26</f>
        <v>Yes</v>
      </c>
      <c r="P34" t="str">
        <f>Medicaid!K26</f>
        <v>Yes</v>
      </c>
    </row>
    <row r="35" spans="1:16" x14ac:dyDescent="0.25">
      <c r="A35" s="3">
        <v>9000</v>
      </c>
      <c r="B35" s="3">
        <f t="shared" si="10"/>
        <v>750</v>
      </c>
      <c r="C35" s="3">
        <f t="shared" si="11"/>
        <v>62.925000000000004</v>
      </c>
      <c r="D35" s="64">
        <f t="shared" si="0"/>
        <v>0.41589648798521256</v>
      </c>
      <c r="E35" s="50">
        <f t="shared" si="4"/>
        <v>0</v>
      </c>
      <c r="F35" s="50">
        <f t="shared" si="5"/>
        <v>0</v>
      </c>
      <c r="G35" s="69">
        <f t="shared" si="6"/>
        <v>0</v>
      </c>
      <c r="H35" s="70">
        <f t="shared" si="7"/>
        <v>2686.9666666666667</v>
      </c>
      <c r="I35" s="70">
        <f t="shared" si="8"/>
        <v>0</v>
      </c>
      <c r="J35" s="53">
        <f t="shared" si="9"/>
        <v>0</v>
      </c>
      <c r="K35" s="53">
        <f t="shared" si="1"/>
        <v>0</v>
      </c>
      <c r="L35" s="289">
        <f t="shared" si="2"/>
        <v>0</v>
      </c>
      <c r="N35" s="7">
        <f t="shared" si="3"/>
        <v>0</v>
      </c>
      <c r="O35" t="str">
        <f>Medicaid!G27</f>
        <v>Yes</v>
      </c>
      <c r="P35" t="str">
        <f>Medicaid!K27</f>
        <v>Yes</v>
      </c>
    </row>
    <row r="36" spans="1:16" x14ac:dyDescent="0.25">
      <c r="A36" s="3">
        <v>9500</v>
      </c>
      <c r="B36" s="3">
        <f t="shared" si="10"/>
        <v>791.66666666666663</v>
      </c>
      <c r="C36" s="3">
        <f t="shared" si="11"/>
        <v>66.420833333333334</v>
      </c>
      <c r="D36" s="64">
        <f t="shared" si="0"/>
        <v>0.43900184842883549</v>
      </c>
      <c r="E36" s="50">
        <f t="shared" si="4"/>
        <v>0</v>
      </c>
      <c r="F36" s="50">
        <f t="shared" si="5"/>
        <v>0</v>
      </c>
      <c r="G36" s="69">
        <f t="shared" si="6"/>
        <v>0</v>
      </c>
      <c r="H36" s="70">
        <f t="shared" si="7"/>
        <v>2686.9666666666667</v>
      </c>
      <c r="I36" s="70">
        <f t="shared" si="8"/>
        <v>0</v>
      </c>
      <c r="J36" s="53">
        <f t="shared" si="9"/>
        <v>0</v>
      </c>
      <c r="K36" s="53">
        <f t="shared" si="1"/>
        <v>0</v>
      </c>
      <c r="L36" s="289">
        <f t="shared" si="2"/>
        <v>0</v>
      </c>
      <c r="N36" s="7">
        <f t="shared" si="3"/>
        <v>0</v>
      </c>
      <c r="O36" t="str">
        <f>Medicaid!G28</f>
        <v>Yes</v>
      </c>
      <c r="P36" t="str">
        <f>Medicaid!K28</f>
        <v>Yes</v>
      </c>
    </row>
    <row r="37" spans="1:16" x14ac:dyDescent="0.25">
      <c r="A37" s="3">
        <v>10000</v>
      </c>
      <c r="B37" s="3">
        <f t="shared" si="10"/>
        <v>833.33333333333337</v>
      </c>
      <c r="C37" s="3">
        <f t="shared" si="11"/>
        <v>69.916666666666671</v>
      </c>
      <c r="D37" s="64">
        <f t="shared" si="0"/>
        <v>0.46210720887245843</v>
      </c>
      <c r="E37" s="50">
        <f t="shared" si="4"/>
        <v>0</v>
      </c>
      <c r="F37" s="50">
        <f t="shared" si="5"/>
        <v>0</v>
      </c>
      <c r="G37" s="69">
        <f t="shared" si="6"/>
        <v>0</v>
      </c>
      <c r="H37" s="70">
        <f t="shared" si="7"/>
        <v>2686.9666666666667</v>
      </c>
      <c r="I37" s="70">
        <f t="shared" si="8"/>
        <v>0</v>
      </c>
      <c r="J37" s="53">
        <f t="shared" si="9"/>
        <v>0</v>
      </c>
      <c r="K37" s="53">
        <f t="shared" si="1"/>
        <v>0</v>
      </c>
      <c r="L37" s="289">
        <f t="shared" si="2"/>
        <v>0</v>
      </c>
      <c r="N37" s="7">
        <f t="shared" si="3"/>
        <v>0</v>
      </c>
      <c r="O37" t="str">
        <f>Medicaid!G29</f>
        <v>Yes</v>
      </c>
      <c r="P37" t="str">
        <f>Medicaid!K29</f>
        <v>Yes</v>
      </c>
    </row>
    <row r="38" spans="1:16" x14ac:dyDescent="0.25">
      <c r="A38" s="3">
        <v>10500</v>
      </c>
      <c r="B38" s="3">
        <f t="shared" si="10"/>
        <v>875</v>
      </c>
      <c r="C38" s="3">
        <f t="shared" si="11"/>
        <v>73.412500000000009</v>
      </c>
      <c r="D38" s="64">
        <f t="shared" si="0"/>
        <v>0.48521256931608137</v>
      </c>
      <c r="E38" s="50">
        <f t="shared" si="4"/>
        <v>0</v>
      </c>
      <c r="F38" s="50">
        <f t="shared" si="5"/>
        <v>0</v>
      </c>
      <c r="G38" s="69">
        <f t="shared" si="6"/>
        <v>0</v>
      </c>
      <c r="H38" s="70">
        <f t="shared" si="7"/>
        <v>2686.9666666666667</v>
      </c>
      <c r="I38" s="70">
        <f t="shared" si="8"/>
        <v>0</v>
      </c>
      <c r="J38" s="53">
        <f t="shared" si="9"/>
        <v>0</v>
      </c>
      <c r="K38" s="53">
        <f t="shared" si="1"/>
        <v>0</v>
      </c>
      <c r="L38" s="289">
        <f t="shared" si="2"/>
        <v>0</v>
      </c>
      <c r="N38" s="7">
        <f t="shared" si="3"/>
        <v>0</v>
      </c>
      <c r="O38" t="str">
        <f>Medicaid!G30</f>
        <v>Yes</v>
      </c>
      <c r="P38" t="str">
        <f>Medicaid!K30</f>
        <v>Yes</v>
      </c>
    </row>
    <row r="39" spans="1:16" x14ac:dyDescent="0.25">
      <c r="A39" s="3">
        <v>11000</v>
      </c>
      <c r="B39" s="3">
        <f t="shared" si="10"/>
        <v>916.66666666666663</v>
      </c>
      <c r="C39" s="3">
        <f t="shared" si="11"/>
        <v>76.908333333333331</v>
      </c>
      <c r="D39" s="64">
        <f t="shared" si="0"/>
        <v>0.50831792975970425</v>
      </c>
      <c r="E39" s="50">
        <f t="shared" si="4"/>
        <v>0</v>
      </c>
      <c r="F39" s="50">
        <f t="shared" si="5"/>
        <v>0</v>
      </c>
      <c r="G39" s="69">
        <f t="shared" si="6"/>
        <v>0</v>
      </c>
      <c r="H39" s="70">
        <f t="shared" si="7"/>
        <v>2686.9666666666667</v>
      </c>
      <c r="I39" s="70">
        <f t="shared" si="8"/>
        <v>0</v>
      </c>
      <c r="J39" s="53">
        <f t="shared" si="9"/>
        <v>0</v>
      </c>
      <c r="K39" s="53">
        <f t="shared" si="1"/>
        <v>0</v>
      </c>
      <c r="L39" s="289">
        <f t="shared" si="2"/>
        <v>0</v>
      </c>
      <c r="N39" s="7">
        <f t="shared" si="3"/>
        <v>0</v>
      </c>
      <c r="O39" t="str">
        <f>Medicaid!G31</f>
        <v>Yes</v>
      </c>
      <c r="P39" t="str">
        <f>Medicaid!K31</f>
        <v>Yes</v>
      </c>
    </row>
    <row r="40" spans="1:16" x14ac:dyDescent="0.25">
      <c r="A40" s="3">
        <v>11500</v>
      </c>
      <c r="B40" s="3">
        <f t="shared" si="10"/>
        <v>958.33333333333337</v>
      </c>
      <c r="C40" s="3">
        <f t="shared" si="11"/>
        <v>80.404166666666669</v>
      </c>
      <c r="D40" s="64">
        <f t="shared" si="0"/>
        <v>0.53142329020332724</v>
      </c>
      <c r="E40" s="50">
        <f t="shared" si="4"/>
        <v>0</v>
      </c>
      <c r="F40" s="50">
        <f t="shared" si="5"/>
        <v>0</v>
      </c>
      <c r="G40" s="69">
        <f t="shared" si="6"/>
        <v>0</v>
      </c>
      <c r="H40" s="70">
        <f t="shared" si="7"/>
        <v>2686.9666666666667</v>
      </c>
      <c r="I40" s="70">
        <f t="shared" si="8"/>
        <v>0</v>
      </c>
      <c r="J40" s="53">
        <f t="shared" si="9"/>
        <v>0</v>
      </c>
      <c r="K40" s="53">
        <f t="shared" si="1"/>
        <v>0</v>
      </c>
      <c r="L40" s="289">
        <f t="shared" si="2"/>
        <v>0</v>
      </c>
      <c r="N40" s="7">
        <f t="shared" si="3"/>
        <v>0</v>
      </c>
      <c r="O40" t="str">
        <f>Medicaid!G32</f>
        <v>Yes</v>
      </c>
      <c r="P40" t="str">
        <f>Medicaid!K32</f>
        <v>Yes</v>
      </c>
    </row>
    <row r="41" spans="1:16" x14ac:dyDescent="0.25">
      <c r="A41" s="3">
        <v>12000</v>
      </c>
      <c r="B41" s="3">
        <f t="shared" si="10"/>
        <v>1000</v>
      </c>
      <c r="C41" s="3">
        <f t="shared" si="11"/>
        <v>83.9</v>
      </c>
      <c r="D41" s="64">
        <f t="shared" si="0"/>
        <v>0.55452865064695012</v>
      </c>
      <c r="E41" s="50">
        <f t="shared" si="4"/>
        <v>0</v>
      </c>
      <c r="F41" s="50">
        <f t="shared" si="5"/>
        <v>0</v>
      </c>
      <c r="G41" s="69">
        <f t="shared" si="6"/>
        <v>0</v>
      </c>
      <c r="H41" s="70">
        <f t="shared" si="7"/>
        <v>2686.9666666666667</v>
      </c>
      <c r="I41" s="70">
        <f t="shared" si="8"/>
        <v>0</v>
      </c>
      <c r="J41" s="53">
        <f t="shared" si="9"/>
        <v>0</v>
      </c>
      <c r="K41" s="53">
        <f t="shared" si="1"/>
        <v>0</v>
      </c>
      <c r="L41" s="289">
        <f t="shared" si="2"/>
        <v>0</v>
      </c>
      <c r="N41" s="7">
        <f t="shared" si="3"/>
        <v>0</v>
      </c>
      <c r="O41" t="str">
        <f>Medicaid!G33</f>
        <v>Yes</v>
      </c>
      <c r="P41" t="str">
        <f>Medicaid!K33</f>
        <v>Yes</v>
      </c>
    </row>
    <row r="42" spans="1:16" x14ac:dyDescent="0.25">
      <c r="A42" s="3">
        <v>12500</v>
      </c>
      <c r="B42" s="3">
        <f t="shared" si="10"/>
        <v>1041.6666666666667</v>
      </c>
      <c r="C42" s="3">
        <f t="shared" si="11"/>
        <v>87.395833333333343</v>
      </c>
      <c r="D42" s="64">
        <f t="shared" si="0"/>
        <v>0.57763401109057311</v>
      </c>
      <c r="E42" s="50">
        <f t="shared" si="4"/>
        <v>0</v>
      </c>
      <c r="F42" s="50">
        <f t="shared" si="5"/>
        <v>0</v>
      </c>
      <c r="G42" s="69">
        <f t="shared" si="6"/>
        <v>0</v>
      </c>
      <c r="H42" s="70">
        <f t="shared" si="7"/>
        <v>2686.9666666666667</v>
      </c>
      <c r="I42" s="70">
        <f t="shared" si="8"/>
        <v>0</v>
      </c>
      <c r="J42" s="53">
        <f t="shared" si="9"/>
        <v>0</v>
      </c>
      <c r="K42" s="53">
        <f t="shared" si="1"/>
        <v>0</v>
      </c>
      <c r="L42" s="289">
        <f t="shared" si="2"/>
        <v>0</v>
      </c>
      <c r="N42" s="7">
        <f t="shared" si="3"/>
        <v>0</v>
      </c>
      <c r="O42" t="str">
        <f>Medicaid!G34</f>
        <v>Yes</v>
      </c>
      <c r="P42" t="str">
        <f>Medicaid!K34</f>
        <v>Yes</v>
      </c>
    </row>
    <row r="43" spans="1:16" x14ac:dyDescent="0.25">
      <c r="A43" s="3">
        <v>13000</v>
      </c>
      <c r="B43" s="3">
        <f t="shared" si="10"/>
        <v>1083.3333333333333</v>
      </c>
      <c r="C43" s="3">
        <f t="shared" si="11"/>
        <v>90.891666666666666</v>
      </c>
      <c r="D43" s="64">
        <f t="shared" si="0"/>
        <v>0.60073937153419588</v>
      </c>
      <c r="E43" s="50">
        <f t="shared" si="4"/>
        <v>0</v>
      </c>
      <c r="F43" s="50">
        <f t="shared" si="5"/>
        <v>0</v>
      </c>
      <c r="G43" s="69">
        <f t="shared" si="6"/>
        <v>0</v>
      </c>
      <c r="H43" s="70">
        <f t="shared" si="7"/>
        <v>2686.9666666666667</v>
      </c>
      <c r="I43" s="70">
        <f t="shared" si="8"/>
        <v>0</v>
      </c>
      <c r="J43" s="53">
        <f t="shared" si="9"/>
        <v>0</v>
      </c>
      <c r="K43" s="53">
        <f t="shared" si="1"/>
        <v>0</v>
      </c>
      <c r="L43" s="289">
        <f t="shared" si="2"/>
        <v>0</v>
      </c>
      <c r="N43" s="7">
        <f t="shared" si="3"/>
        <v>0</v>
      </c>
      <c r="O43" t="str">
        <f>Medicaid!G35</f>
        <v>Yes</v>
      </c>
      <c r="P43" t="str">
        <f>Medicaid!K35</f>
        <v>Yes</v>
      </c>
    </row>
    <row r="44" spans="1:16" x14ac:dyDescent="0.25">
      <c r="A44" s="3">
        <v>13500</v>
      </c>
      <c r="B44" s="3">
        <f t="shared" si="10"/>
        <v>1125</v>
      </c>
      <c r="C44" s="3">
        <f t="shared" si="11"/>
        <v>94.387500000000003</v>
      </c>
      <c r="D44" s="64">
        <f t="shared" si="0"/>
        <v>0.62384473197781887</v>
      </c>
      <c r="E44" s="50">
        <f t="shared" si="4"/>
        <v>0</v>
      </c>
      <c r="F44" s="50">
        <f t="shared" si="5"/>
        <v>0</v>
      </c>
      <c r="G44" s="69">
        <f t="shared" si="6"/>
        <v>0</v>
      </c>
      <c r="H44" s="70">
        <f t="shared" si="7"/>
        <v>2686.9666666666667</v>
      </c>
      <c r="I44" s="70">
        <f t="shared" si="8"/>
        <v>0</v>
      </c>
      <c r="J44" s="53">
        <f t="shared" si="9"/>
        <v>0</v>
      </c>
      <c r="K44" s="53">
        <f t="shared" si="1"/>
        <v>0</v>
      </c>
      <c r="L44" s="289">
        <f t="shared" si="2"/>
        <v>0</v>
      </c>
      <c r="N44" s="7">
        <f t="shared" si="3"/>
        <v>0</v>
      </c>
      <c r="O44" t="str">
        <f>Medicaid!G36</f>
        <v>Yes</v>
      </c>
      <c r="P44" t="str">
        <f>Medicaid!K36</f>
        <v>Yes</v>
      </c>
    </row>
    <row r="45" spans="1:16" x14ac:dyDescent="0.25">
      <c r="A45" s="3">
        <v>14000</v>
      </c>
      <c r="B45" s="3">
        <f t="shared" si="10"/>
        <v>1166.6666666666667</v>
      </c>
      <c r="C45" s="3">
        <f t="shared" si="11"/>
        <v>97.88333333333334</v>
      </c>
      <c r="D45" s="64">
        <f t="shared" si="0"/>
        <v>0.64695009242144186</v>
      </c>
      <c r="E45" s="50">
        <f t="shared" si="4"/>
        <v>0</v>
      </c>
      <c r="F45" s="50">
        <f t="shared" si="5"/>
        <v>0</v>
      </c>
      <c r="G45" s="69">
        <f t="shared" si="6"/>
        <v>0</v>
      </c>
      <c r="H45" s="70">
        <f t="shared" si="7"/>
        <v>2686.9666666666667</v>
      </c>
      <c r="I45" s="70">
        <f t="shared" si="8"/>
        <v>0</v>
      </c>
      <c r="J45" s="53">
        <f t="shared" si="9"/>
        <v>0</v>
      </c>
      <c r="K45" s="53">
        <f t="shared" si="1"/>
        <v>0</v>
      </c>
      <c r="L45" s="289">
        <f t="shared" si="2"/>
        <v>0</v>
      </c>
      <c r="N45" s="7">
        <f t="shared" si="3"/>
        <v>0</v>
      </c>
      <c r="O45" t="str">
        <f>Medicaid!G37</f>
        <v>Yes</v>
      </c>
      <c r="P45" t="str">
        <f>Medicaid!K37</f>
        <v>Yes</v>
      </c>
    </row>
    <row r="46" spans="1:16" x14ac:dyDescent="0.25">
      <c r="A46" s="3">
        <v>14500</v>
      </c>
      <c r="B46" s="3">
        <f t="shared" si="10"/>
        <v>1208.3333333333333</v>
      </c>
      <c r="C46" s="3">
        <f t="shared" si="11"/>
        <v>101.37916666666666</v>
      </c>
      <c r="D46" s="64">
        <f t="shared" si="0"/>
        <v>0.67005545286506463</v>
      </c>
      <c r="E46" s="50">
        <f t="shared" si="4"/>
        <v>0</v>
      </c>
      <c r="F46" s="50">
        <f t="shared" si="5"/>
        <v>0</v>
      </c>
      <c r="G46" s="69">
        <f t="shared" si="6"/>
        <v>0</v>
      </c>
      <c r="H46" s="70">
        <f t="shared" si="7"/>
        <v>2686.9666666666667</v>
      </c>
      <c r="I46" s="70">
        <f t="shared" si="8"/>
        <v>0</v>
      </c>
      <c r="J46" s="53">
        <f t="shared" si="9"/>
        <v>0</v>
      </c>
      <c r="K46" s="53">
        <f t="shared" si="1"/>
        <v>0</v>
      </c>
      <c r="L46" s="289">
        <f t="shared" si="2"/>
        <v>0</v>
      </c>
      <c r="N46" s="7">
        <f t="shared" si="3"/>
        <v>0</v>
      </c>
      <c r="O46" t="str">
        <f>Medicaid!G38</f>
        <v>Yes</v>
      </c>
      <c r="P46" t="str">
        <f>Medicaid!K38</f>
        <v>Yes</v>
      </c>
    </row>
    <row r="47" spans="1:16" x14ac:dyDescent="0.25">
      <c r="A47" s="3">
        <v>15000</v>
      </c>
      <c r="B47" s="3">
        <f t="shared" si="10"/>
        <v>1250</v>
      </c>
      <c r="C47" s="3">
        <f t="shared" si="11"/>
        <v>104.875</v>
      </c>
      <c r="D47" s="64">
        <f t="shared" si="0"/>
        <v>0.69316081330868762</v>
      </c>
      <c r="E47" s="50">
        <f t="shared" si="4"/>
        <v>0</v>
      </c>
      <c r="F47" s="50">
        <f t="shared" si="5"/>
        <v>0</v>
      </c>
      <c r="G47" s="69">
        <f t="shared" si="6"/>
        <v>0</v>
      </c>
      <c r="H47" s="70">
        <f t="shared" si="7"/>
        <v>2686.9666666666667</v>
      </c>
      <c r="I47" s="70">
        <f t="shared" si="8"/>
        <v>0</v>
      </c>
      <c r="J47" s="53">
        <f t="shared" si="9"/>
        <v>0</v>
      </c>
      <c r="K47" s="53">
        <f t="shared" si="1"/>
        <v>0</v>
      </c>
      <c r="L47" s="289">
        <f t="shared" si="2"/>
        <v>0</v>
      </c>
      <c r="N47" s="7">
        <f t="shared" si="3"/>
        <v>0</v>
      </c>
      <c r="O47" t="str">
        <f>Medicaid!G39</f>
        <v>Yes</v>
      </c>
      <c r="P47" t="str">
        <f>Medicaid!K39</f>
        <v>Yes</v>
      </c>
    </row>
    <row r="48" spans="1:16" x14ac:dyDescent="0.25">
      <c r="A48" s="3">
        <v>15500</v>
      </c>
      <c r="B48" s="3">
        <f t="shared" si="10"/>
        <v>1291.6666666666667</v>
      </c>
      <c r="C48" s="3">
        <f t="shared" si="11"/>
        <v>108.37083333333334</v>
      </c>
      <c r="D48" s="64">
        <f t="shared" si="0"/>
        <v>0.71626617375231061</v>
      </c>
      <c r="E48" s="50">
        <f t="shared" si="4"/>
        <v>0</v>
      </c>
      <c r="F48" s="50">
        <f t="shared" si="5"/>
        <v>0</v>
      </c>
      <c r="G48" s="69">
        <f t="shared" si="6"/>
        <v>0</v>
      </c>
      <c r="H48" s="70">
        <f t="shared" si="7"/>
        <v>2686.9666666666667</v>
      </c>
      <c r="I48" s="70">
        <f t="shared" si="8"/>
        <v>0</v>
      </c>
      <c r="J48" s="53">
        <f t="shared" si="9"/>
        <v>0</v>
      </c>
      <c r="K48" s="53">
        <f t="shared" si="1"/>
        <v>0</v>
      </c>
      <c r="L48" s="289">
        <f t="shared" si="2"/>
        <v>0</v>
      </c>
      <c r="N48" s="7">
        <f t="shared" si="3"/>
        <v>0</v>
      </c>
      <c r="O48" t="str">
        <f>Medicaid!G40</f>
        <v>Yes</v>
      </c>
      <c r="P48" t="str">
        <f>Medicaid!K40</f>
        <v>Yes</v>
      </c>
    </row>
    <row r="49" spans="1:16" x14ac:dyDescent="0.25">
      <c r="A49" s="3">
        <v>16000</v>
      </c>
      <c r="B49" s="3">
        <f t="shared" si="10"/>
        <v>1333.3333333333333</v>
      </c>
      <c r="C49" s="3">
        <f t="shared" si="11"/>
        <v>111.86666666666666</v>
      </c>
      <c r="D49" s="64">
        <f t="shared" ref="D49:D80" si="12">B49/$K$2</f>
        <v>0.73937153419593349</v>
      </c>
      <c r="E49" s="50">
        <f t="shared" si="4"/>
        <v>0</v>
      </c>
      <c r="F49" s="50">
        <f t="shared" si="5"/>
        <v>0</v>
      </c>
      <c r="G49" s="69">
        <f t="shared" si="6"/>
        <v>0</v>
      </c>
      <c r="H49" s="70">
        <f t="shared" si="7"/>
        <v>2686.9666666666667</v>
      </c>
      <c r="I49" s="70">
        <f t="shared" si="8"/>
        <v>0</v>
      </c>
      <c r="J49" s="53">
        <f t="shared" si="9"/>
        <v>0</v>
      </c>
      <c r="K49" s="53">
        <f t="shared" si="1"/>
        <v>0</v>
      </c>
      <c r="L49" s="289">
        <f t="shared" si="2"/>
        <v>0</v>
      </c>
      <c r="N49" s="7">
        <f t="shared" si="3"/>
        <v>0</v>
      </c>
      <c r="O49" t="str">
        <f>Medicaid!G41</f>
        <v>Yes</v>
      </c>
      <c r="P49" t="str">
        <f>Medicaid!K41</f>
        <v>Yes</v>
      </c>
    </row>
    <row r="50" spans="1:16" x14ac:dyDescent="0.25">
      <c r="A50" s="3">
        <v>16500</v>
      </c>
      <c r="B50" s="3">
        <f t="shared" si="10"/>
        <v>1375</v>
      </c>
      <c r="C50" s="3">
        <f t="shared" si="11"/>
        <v>115.3625</v>
      </c>
      <c r="D50" s="64">
        <f t="shared" si="12"/>
        <v>0.76247689463955637</v>
      </c>
      <c r="E50" s="50">
        <f t="shared" si="4"/>
        <v>0</v>
      </c>
      <c r="F50" s="50">
        <f t="shared" si="5"/>
        <v>0</v>
      </c>
      <c r="G50" s="69">
        <f t="shared" si="6"/>
        <v>0</v>
      </c>
      <c r="H50" s="70">
        <f t="shared" si="7"/>
        <v>2686.9666666666667</v>
      </c>
      <c r="I50" s="70">
        <f t="shared" si="8"/>
        <v>0</v>
      </c>
      <c r="J50" s="53">
        <f t="shared" si="9"/>
        <v>0</v>
      </c>
      <c r="K50" s="53">
        <f t="shared" si="1"/>
        <v>0</v>
      </c>
      <c r="L50" s="289">
        <f t="shared" si="2"/>
        <v>0</v>
      </c>
      <c r="N50" s="7">
        <f t="shared" si="3"/>
        <v>0</v>
      </c>
      <c r="O50" t="str">
        <f>Medicaid!G42</f>
        <v>Yes</v>
      </c>
      <c r="P50" t="str">
        <f>Medicaid!K42</f>
        <v>Yes</v>
      </c>
    </row>
    <row r="51" spans="1:16" x14ac:dyDescent="0.25">
      <c r="A51" s="3">
        <v>17000</v>
      </c>
      <c r="B51" s="3">
        <f t="shared" si="10"/>
        <v>1416.6666666666667</v>
      </c>
      <c r="C51" s="3">
        <f t="shared" si="11"/>
        <v>118.85833333333335</v>
      </c>
      <c r="D51" s="64">
        <f t="shared" si="12"/>
        <v>0.78558225508317936</v>
      </c>
      <c r="E51" s="50">
        <f t="shared" si="4"/>
        <v>0</v>
      </c>
      <c r="F51" s="50">
        <f t="shared" si="5"/>
        <v>0</v>
      </c>
      <c r="G51" s="69">
        <f t="shared" si="6"/>
        <v>0</v>
      </c>
      <c r="H51" s="70">
        <f t="shared" si="7"/>
        <v>2686.9666666666667</v>
      </c>
      <c r="I51" s="70">
        <f t="shared" si="8"/>
        <v>0</v>
      </c>
      <c r="J51" s="53">
        <f t="shared" si="9"/>
        <v>0</v>
      </c>
      <c r="K51" s="53">
        <f t="shared" si="1"/>
        <v>0</v>
      </c>
      <c r="L51" s="289">
        <f t="shared" si="2"/>
        <v>0</v>
      </c>
      <c r="N51" s="7">
        <f t="shared" si="3"/>
        <v>0</v>
      </c>
      <c r="O51" t="str">
        <f>Medicaid!G43</f>
        <v>Yes</v>
      </c>
      <c r="P51" t="str">
        <f>Medicaid!K43</f>
        <v>Yes</v>
      </c>
    </row>
    <row r="52" spans="1:16" x14ac:dyDescent="0.25">
      <c r="A52" s="3">
        <v>17500</v>
      </c>
      <c r="B52" s="3">
        <f t="shared" si="10"/>
        <v>1458.3333333333333</v>
      </c>
      <c r="C52" s="3">
        <f t="shared" si="11"/>
        <v>122.35416666666666</v>
      </c>
      <c r="D52" s="64">
        <f t="shared" si="12"/>
        <v>0.80868761552680224</v>
      </c>
      <c r="E52" s="50">
        <f t="shared" si="4"/>
        <v>0</v>
      </c>
      <c r="F52" s="50">
        <f t="shared" si="5"/>
        <v>0</v>
      </c>
      <c r="G52" s="69">
        <f t="shared" si="6"/>
        <v>0</v>
      </c>
      <c r="H52" s="70">
        <f t="shared" si="7"/>
        <v>2686.9666666666667</v>
      </c>
      <c r="I52" s="70">
        <f t="shared" si="8"/>
        <v>0</v>
      </c>
      <c r="J52" s="53">
        <f t="shared" si="9"/>
        <v>0</v>
      </c>
      <c r="K52" s="53">
        <f t="shared" si="1"/>
        <v>0</v>
      </c>
      <c r="L52" s="289">
        <f t="shared" si="2"/>
        <v>0</v>
      </c>
      <c r="N52" s="7">
        <f t="shared" si="3"/>
        <v>0</v>
      </c>
      <c r="O52" t="str">
        <f>Medicaid!G44</f>
        <v>Yes</v>
      </c>
      <c r="P52" t="str">
        <f>Medicaid!K44</f>
        <v>Yes</v>
      </c>
    </row>
    <row r="53" spans="1:16" x14ac:dyDescent="0.25">
      <c r="A53" s="3">
        <v>18000</v>
      </c>
      <c r="B53" s="3">
        <f t="shared" si="10"/>
        <v>1500</v>
      </c>
      <c r="C53" s="3">
        <f t="shared" si="11"/>
        <v>125.85000000000001</v>
      </c>
      <c r="D53" s="64">
        <f t="shared" si="12"/>
        <v>0.83179297597042512</v>
      </c>
      <c r="E53" s="50">
        <f t="shared" si="4"/>
        <v>0</v>
      </c>
      <c r="F53" s="50">
        <f t="shared" si="5"/>
        <v>0</v>
      </c>
      <c r="G53" s="69">
        <f t="shared" si="6"/>
        <v>0</v>
      </c>
      <c r="H53" s="70">
        <f t="shared" si="7"/>
        <v>2686.9666666666667</v>
      </c>
      <c r="I53" s="70">
        <f t="shared" si="8"/>
        <v>0</v>
      </c>
      <c r="J53" s="53">
        <f t="shared" si="9"/>
        <v>0</v>
      </c>
      <c r="K53" s="53">
        <f t="shared" si="1"/>
        <v>0</v>
      </c>
      <c r="L53" s="289">
        <f t="shared" si="2"/>
        <v>0</v>
      </c>
      <c r="N53" s="7">
        <f t="shared" si="3"/>
        <v>0</v>
      </c>
      <c r="O53" t="str">
        <f>Medicaid!G45</f>
        <v>Yes</v>
      </c>
      <c r="P53" t="str">
        <f>Medicaid!K45</f>
        <v>Yes</v>
      </c>
    </row>
    <row r="54" spans="1:16" x14ac:dyDescent="0.25">
      <c r="A54" s="3">
        <v>18500</v>
      </c>
      <c r="B54" s="3">
        <f t="shared" si="10"/>
        <v>1541.6666666666667</v>
      </c>
      <c r="C54" s="3">
        <f t="shared" si="11"/>
        <v>129.34583333333333</v>
      </c>
      <c r="D54" s="64">
        <f t="shared" si="12"/>
        <v>0.85489833641404811</v>
      </c>
      <c r="E54" s="50">
        <f t="shared" si="4"/>
        <v>0</v>
      </c>
      <c r="F54" s="50">
        <f t="shared" si="5"/>
        <v>0</v>
      </c>
      <c r="G54" s="69">
        <f t="shared" si="6"/>
        <v>0</v>
      </c>
      <c r="H54" s="70">
        <f t="shared" si="7"/>
        <v>2686.9666666666667</v>
      </c>
      <c r="I54" s="70">
        <f t="shared" si="8"/>
        <v>0</v>
      </c>
      <c r="J54" s="53">
        <f t="shared" si="9"/>
        <v>0</v>
      </c>
      <c r="K54" s="53">
        <f t="shared" si="1"/>
        <v>0</v>
      </c>
      <c r="L54" s="289">
        <f t="shared" si="2"/>
        <v>0</v>
      </c>
      <c r="N54" s="7">
        <f t="shared" si="3"/>
        <v>0</v>
      </c>
      <c r="O54" t="str">
        <f>Medicaid!G46</f>
        <v>Yes</v>
      </c>
      <c r="P54" t="str">
        <f>Medicaid!K46</f>
        <v>Yes</v>
      </c>
    </row>
    <row r="55" spans="1:16" x14ac:dyDescent="0.25">
      <c r="A55" s="3">
        <v>19000</v>
      </c>
      <c r="B55" s="3">
        <f t="shared" si="10"/>
        <v>1583.3333333333333</v>
      </c>
      <c r="C55" s="3">
        <f t="shared" si="11"/>
        <v>132.84166666666667</v>
      </c>
      <c r="D55" s="64">
        <f t="shared" si="12"/>
        <v>0.87800369685767099</v>
      </c>
      <c r="E55" s="50">
        <f t="shared" si="4"/>
        <v>0</v>
      </c>
      <c r="F55" s="50">
        <f t="shared" si="5"/>
        <v>0</v>
      </c>
      <c r="G55" s="69">
        <f t="shared" si="6"/>
        <v>0</v>
      </c>
      <c r="H55" s="70">
        <f t="shared" si="7"/>
        <v>2686.9666666666667</v>
      </c>
      <c r="I55" s="70">
        <f t="shared" si="8"/>
        <v>0</v>
      </c>
      <c r="J55" s="53">
        <f t="shared" si="9"/>
        <v>0</v>
      </c>
      <c r="K55" s="53">
        <f t="shared" si="1"/>
        <v>0</v>
      </c>
      <c r="L55" s="289">
        <f t="shared" si="2"/>
        <v>0</v>
      </c>
      <c r="N55" s="7">
        <f t="shared" si="3"/>
        <v>0</v>
      </c>
      <c r="O55" t="str">
        <f>Medicaid!G47</f>
        <v>Yes</v>
      </c>
      <c r="P55" t="str">
        <f>Medicaid!K47</f>
        <v>Yes</v>
      </c>
    </row>
    <row r="56" spans="1:16" x14ac:dyDescent="0.25">
      <c r="A56" s="3">
        <v>19500</v>
      </c>
      <c r="B56" s="3">
        <f t="shared" si="10"/>
        <v>1625</v>
      </c>
      <c r="C56" s="3">
        <f t="shared" si="11"/>
        <v>136.33750000000001</v>
      </c>
      <c r="D56" s="64">
        <f t="shared" si="12"/>
        <v>0.90110905730129398</v>
      </c>
      <c r="E56" s="50">
        <f t="shared" si="4"/>
        <v>0</v>
      </c>
      <c r="F56" s="50">
        <f t="shared" si="5"/>
        <v>0</v>
      </c>
      <c r="G56" s="69">
        <f t="shared" si="6"/>
        <v>0</v>
      </c>
      <c r="H56" s="70">
        <f t="shared" si="7"/>
        <v>2686.9666666666667</v>
      </c>
      <c r="I56" s="70">
        <f t="shared" si="8"/>
        <v>0</v>
      </c>
      <c r="J56" s="53">
        <f t="shared" si="9"/>
        <v>0</v>
      </c>
      <c r="K56" s="53">
        <f t="shared" si="1"/>
        <v>0</v>
      </c>
      <c r="L56" s="289">
        <f t="shared" si="2"/>
        <v>0</v>
      </c>
      <c r="N56" s="7">
        <f t="shared" si="3"/>
        <v>0</v>
      </c>
      <c r="O56" t="str">
        <f>Medicaid!G48</f>
        <v>Yes</v>
      </c>
      <c r="P56" t="str">
        <f>Medicaid!K48</f>
        <v>Yes</v>
      </c>
    </row>
    <row r="57" spans="1:16" x14ac:dyDescent="0.25">
      <c r="A57" s="3">
        <v>20000</v>
      </c>
      <c r="B57" s="3">
        <f t="shared" si="10"/>
        <v>1666.6666666666667</v>
      </c>
      <c r="C57" s="3">
        <f t="shared" si="11"/>
        <v>139.83333333333334</v>
      </c>
      <c r="D57" s="64">
        <f t="shared" si="12"/>
        <v>0.92421441774491686</v>
      </c>
      <c r="E57" s="50">
        <f t="shared" si="4"/>
        <v>0</v>
      </c>
      <c r="F57" s="50">
        <f t="shared" si="5"/>
        <v>0</v>
      </c>
      <c r="G57" s="69">
        <f t="shared" si="6"/>
        <v>0</v>
      </c>
      <c r="H57" s="70">
        <f t="shared" si="7"/>
        <v>2686.9666666666667</v>
      </c>
      <c r="I57" s="70">
        <f t="shared" si="8"/>
        <v>0</v>
      </c>
      <c r="J57" s="53">
        <f t="shared" si="9"/>
        <v>0</v>
      </c>
      <c r="K57" s="53">
        <f t="shared" si="1"/>
        <v>0</v>
      </c>
      <c r="L57" s="289">
        <f t="shared" si="2"/>
        <v>0</v>
      </c>
      <c r="N57" s="7">
        <f t="shared" si="3"/>
        <v>0</v>
      </c>
      <c r="O57" t="str">
        <f>Medicaid!G49</f>
        <v>Yes</v>
      </c>
      <c r="P57" t="str">
        <f>Medicaid!K49</f>
        <v>Yes</v>
      </c>
    </row>
    <row r="58" spans="1:16" x14ac:dyDescent="0.25">
      <c r="A58" s="3">
        <v>20500</v>
      </c>
      <c r="B58" s="3">
        <f t="shared" si="10"/>
        <v>1708.3333333333333</v>
      </c>
      <c r="C58" s="3">
        <f t="shared" si="11"/>
        <v>143.32916666666665</v>
      </c>
      <c r="D58" s="64">
        <f t="shared" si="12"/>
        <v>0.94731977818853974</v>
      </c>
      <c r="E58" s="50">
        <f>IF(D58&gt;3.99,0.085,IF(D58&gt;2.99,0.06,IF(D58&gt;1.99,0.02,IF(D58&gt;1.49,0,0))))</f>
        <v>0</v>
      </c>
      <c r="F58" s="50">
        <f t="shared" si="5"/>
        <v>0</v>
      </c>
      <c r="G58" s="69">
        <f t="shared" si="6"/>
        <v>0</v>
      </c>
      <c r="H58" s="70">
        <f t="shared" si="7"/>
        <v>2686.9666666666667</v>
      </c>
      <c r="I58" s="70">
        <f t="shared" si="8"/>
        <v>0</v>
      </c>
      <c r="J58" s="53">
        <f t="shared" si="9"/>
        <v>0</v>
      </c>
      <c r="K58" s="53">
        <f t="shared" si="1"/>
        <v>0</v>
      </c>
      <c r="L58" s="289">
        <f t="shared" si="2"/>
        <v>0</v>
      </c>
      <c r="N58" s="7">
        <f t="shared" si="3"/>
        <v>0</v>
      </c>
      <c r="O58" t="str">
        <f>Medicaid!G50</f>
        <v>Yes</v>
      </c>
      <c r="P58" t="str">
        <f>Medicaid!K50</f>
        <v>Yes</v>
      </c>
    </row>
    <row r="59" spans="1:16" x14ac:dyDescent="0.25">
      <c r="A59" s="3">
        <v>21000</v>
      </c>
      <c r="B59" s="3">
        <f t="shared" si="10"/>
        <v>1750</v>
      </c>
      <c r="C59" s="3">
        <f t="shared" si="11"/>
        <v>146.82500000000002</v>
      </c>
      <c r="D59" s="64">
        <f t="shared" si="12"/>
        <v>0.97042513863216273</v>
      </c>
      <c r="E59" s="50">
        <f t="shared" si="4"/>
        <v>0</v>
      </c>
      <c r="F59" s="50">
        <f>IF(D59&gt;3.99,0.085,IF(D59&gt;2.99,0.085,IF(D59&gt;2.49,0.06,IF(D59&gt;1.99,0.04,IF(D59&gt;1.49,0.02,0)))))</f>
        <v>0</v>
      </c>
      <c r="G59" s="69">
        <f t="shared" si="6"/>
        <v>0</v>
      </c>
      <c r="H59" s="70">
        <f t="shared" si="7"/>
        <v>2686.9666666666667</v>
      </c>
      <c r="I59" s="70">
        <f t="shared" si="8"/>
        <v>0</v>
      </c>
      <c r="J59" s="53">
        <f t="shared" si="9"/>
        <v>0</v>
      </c>
      <c r="K59" s="53">
        <f t="shared" si="1"/>
        <v>0</v>
      </c>
      <c r="L59" s="289">
        <f t="shared" si="2"/>
        <v>0</v>
      </c>
      <c r="N59" s="7">
        <f t="shared" si="3"/>
        <v>0</v>
      </c>
      <c r="O59" t="str">
        <f>Medicaid!G51</f>
        <v>Yes</v>
      </c>
      <c r="P59" t="str">
        <f>Medicaid!K51</f>
        <v>Yes</v>
      </c>
    </row>
    <row r="60" spans="1:16" x14ac:dyDescent="0.25">
      <c r="A60" s="3">
        <v>21500</v>
      </c>
      <c r="B60" s="3">
        <f t="shared" si="10"/>
        <v>1791.6666666666667</v>
      </c>
      <c r="C60" s="3">
        <f t="shared" si="11"/>
        <v>150.32083333333335</v>
      </c>
      <c r="D60" s="64">
        <f t="shared" si="12"/>
        <v>0.99353049907578561</v>
      </c>
      <c r="E60" s="50">
        <f t="shared" si="4"/>
        <v>0</v>
      </c>
      <c r="F60" s="50">
        <f t="shared" si="5"/>
        <v>0</v>
      </c>
      <c r="G60" s="69">
        <f t="shared" si="6"/>
        <v>0</v>
      </c>
      <c r="H60" s="70">
        <f t="shared" si="7"/>
        <v>2686.9666666666667</v>
      </c>
      <c r="I60" s="70">
        <f t="shared" si="8"/>
        <v>0</v>
      </c>
      <c r="J60" s="53">
        <f t="shared" si="9"/>
        <v>0</v>
      </c>
      <c r="K60" s="53">
        <f t="shared" si="1"/>
        <v>0</v>
      </c>
      <c r="L60" s="289">
        <f t="shared" si="2"/>
        <v>0</v>
      </c>
      <c r="N60" s="7">
        <f t="shared" si="3"/>
        <v>0</v>
      </c>
      <c r="O60" t="str">
        <f>Medicaid!G52</f>
        <v>Yes</v>
      </c>
      <c r="P60" t="str">
        <f>Medicaid!K52</f>
        <v>Yes</v>
      </c>
    </row>
    <row r="61" spans="1:16" x14ac:dyDescent="0.25">
      <c r="A61" s="3">
        <v>22000</v>
      </c>
      <c r="B61" s="3">
        <f t="shared" si="10"/>
        <v>1833.3333333333333</v>
      </c>
      <c r="C61" s="3">
        <f t="shared" si="11"/>
        <v>153.81666666666666</v>
      </c>
      <c r="D61" s="64">
        <f t="shared" si="12"/>
        <v>1.0166358595194085</v>
      </c>
      <c r="E61" s="50">
        <f t="shared" si="4"/>
        <v>0</v>
      </c>
      <c r="F61" s="50">
        <f t="shared" si="5"/>
        <v>0</v>
      </c>
      <c r="G61" s="69">
        <f t="shared" si="6"/>
        <v>0</v>
      </c>
      <c r="H61" s="70">
        <f t="shared" si="7"/>
        <v>2686.9666666666667</v>
      </c>
      <c r="I61" s="70">
        <f t="shared" si="8"/>
        <v>0</v>
      </c>
      <c r="J61" s="53">
        <f t="shared" si="9"/>
        <v>0</v>
      </c>
      <c r="K61" s="53">
        <f t="shared" si="1"/>
        <v>0</v>
      </c>
      <c r="L61" s="289">
        <f t="shared" si="2"/>
        <v>0</v>
      </c>
      <c r="N61" s="7">
        <f t="shared" si="3"/>
        <v>0</v>
      </c>
      <c r="O61" t="str">
        <f>Medicaid!G53</f>
        <v>Yes</v>
      </c>
      <c r="P61" t="str">
        <f>Medicaid!K53</f>
        <v>Yes</v>
      </c>
    </row>
    <row r="62" spans="1:16" x14ac:dyDescent="0.25">
      <c r="A62" s="3">
        <v>22500</v>
      </c>
      <c r="B62" s="3">
        <f t="shared" si="10"/>
        <v>1875</v>
      </c>
      <c r="C62" s="3">
        <f t="shared" si="11"/>
        <v>157.3125</v>
      </c>
      <c r="D62" s="64">
        <f t="shared" si="12"/>
        <v>1.0397412199630314</v>
      </c>
      <c r="E62" s="50">
        <f t="shared" si="4"/>
        <v>0</v>
      </c>
      <c r="F62" s="50">
        <f t="shared" si="5"/>
        <v>0</v>
      </c>
      <c r="G62" s="69">
        <f t="shared" si="6"/>
        <v>0</v>
      </c>
      <c r="H62" s="70">
        <f t="shared" si="7"/>
        <v>2686.9666666666667</v>
      </c>
      <c r="I62" s="70">
        <f t="shared" si="8"/>
        <v>0</v>
      </c>
      <c r="J62" s="53">
        <f t="shared" si="9"/>
        <v>0</v>
      </c>
      <c r="K62" s="53">
        <f t="shared" si="1"/>
        <v>0</v>
      </c>
      <c r="L62" s="289">
        <f t="shared" si="2"/>
        <v>0</v>
      </c>
      <c r="N62" s="7">
        <f t="shared" si="3"/>
        <v>0</v>
      </c>
      <c r="O62" t="str">
        <f>Medicaid!G54</f>
        <v>Yes</v>
      </c>
      <c r="P62" t="str">
        <f>Medicaid!K54</f>
        <v>Yes</v>
      </c>
    </row>
    <row r="63" spans="1:16" x14ac:dyDescent="0.25">
      <c r="A63" s="3">
        <v>23000</v>
      </c>
      <c r="B63" s="3">
        <f t="shared" si="10"/>
        <v>1916.6666666666667</v>
      </c>
      <c r="C63" s="3">
        <f t="shared" si="11"/>
        <v>160.80833333333334</v>
      </c>
      <c r="D63" s="64">
        <f t="shared" si="12"/>
        <v>1.0628465804066545</v>
      </c>
      <c r="E63" s="50">
        <f t="shared" si="4"/>
        <v>0</v>
      </c>
      <c r="F63" s="50">
        <f t="shared" si="5"/>
        <v>0</v>
      </c>
      <c r="G63" s="69">
        <f t="shared" si="6"/>
        <v>0</v>
      </c>
      <c r="H63" s="70">
        <f t="shared" si="7"/>
        <v>2686.9666666666667</v>
      </c>
      <c r="I63" s="70">
        <f t="shared" si="8"/>
        <v>0</v>
      </c>
      <c r="J63" s="53">
        <f>B63*(E63+(B63-I63)*(F63-E63)/(H63-I63))</f>
        <v>0</v>
      </c>
      <c r="K63" s="53">
        <f t="shared" si="1"/>
        <v>0</v>
      </c>
      <c r="L63" s="289">
        <f t="shared" si="2"/>
        <v>0</v>
      </c>
      <c r="N63" s="7">
        <f t="shared" si="3"/>
        <v>0</v>
      </c>
      <c r="O63" t="str">
        <f>Medicaid!G55</f>
        <v>Yes</v>
      </c>
      <c r="P63" t="str">
        <f>Medicaid!K55</f>
        <v>Yes</v>
      </c>
    </row>
    <row r="64" spans="1:16" x14ac:dyDescent="0.25">
      <c r="A64" s="3">
        <v>23500</v>
      </c>
      <c r="B64" s="3">
        <f t="shared" si="10"/>
        <v>1958.3333333333333</v>
      </c>
      <c r="C64" s="3">
        <f t="shared" si="11"/>
        <v>164.30416666666667</v>
      </c>
      <c r="D64" s="64">
        <f t="shared" si="12"/>
        <v>1.0859519408502774</v>
      </c>
      <c r="E64" s="50">
        <f t="shared" si="4"/>
        <v>0</v>
      </c>
      <c r="F64" s="50">
        <f t="shared" si="5"/>
        <v>0</v>
      </c>
      <c r="G64" s="69">
        <f t="shared" si="6"/>
        <v>0</v>
      </c>
      <c r="H64" s="70">
        <f t="shared" si="7"/>
        <v>2686.9666666666667</v>
      </c>
      <c r="I64" s="70">
        <f t="shared" si="8"/>
        <v>0</v>
      </c>
      <c r="J64" s="53">
        <f t="shared" si="9"/>
        <v>0</v>
      </c>
      <c r="K64" s="53">
        <f t="shared" si="1"/>
        <v>0</v>
      </c>
      <c r="L64" s="289">
        <f t="shared" si="2"/>
        <v>0</v>
      </c>
      <c r="N64" s="7">
        <f t="shared" si="3"/>
        <v>0</v>
      </c>
      <c r="O64" t="str">
        <f>Medicaid!G56</f>
        <v>Yes</v>
      </c>
      <c r="P64" t="str">
        <f>Medicaid!K56</f>
        <v>Yes</v>
      </c>
    </row>
    <row r="65" spans="1:21" x14ac:dyDescent="0.25">
      <c r="A65" s="3">
        <v>24000</v>
      </c>
      <c r="B65" s="3">
        <f t="shared" si="10"/>
        <v>2000</v>
      </c>
      <c r="C65" s="3">
        <f t="shared" si="11"/>
        <v>167.8</v>
      </c>
      <c r="D65" s="64">
        <f t="shared" si="12"/>
        <v>1.1090573012939002</v>
      </c>
      <c r="E65" s="50">
        <f t="shared" si="4"/>
        <v>0</v>
      </c>
      <c r="F65" s="50">
        <f t="shared" si="5"/>
        <v>0</v>
      </c>
      <c r="G65" s="69">
        <f t="shared" si="6"/>
        <v>0</v>
      </c>
      <c r="H65" s="70">
        <f t="shared" si="7"/>
        <v>2686.9666666666667</v>
      </c>
      <c r="I65" s="70">
        <f t="shared" si="8"/>
        <v>0</v>
      </c>
      <c r="J65" s="53">
        <f t="shared" si="9"/>
        <v>0</v>
      </c>
      <c r="K65" s="53">
        <f t="shared" si="1"/>
        <v>0</v>
      </c>
      <c r="L65" s="289">
        <f t="shared" si="2"/>
        <v>0</v>
      </c>
      <c r="N65" s="7">
        <f t="shared" si="3"/>
        <v>0</v>
      </c>
      <c r="O65" t="str">
        <f>Medicaid!G57</f>
        <v>Yes</v>
      </c>
      <c r="P65" t="str">
        <f>Medicaid!K57</f>
        <v>Yes</v>
      </c>
    </row>
    <row r="66" spans="1:21" x14ac:dyDescent="0.25">
      <c r="A66" s="3">
        <v>24500</v>
      </c>
      <c r="B66" s="3">
        <f t="shared" si="10"/>
        <v>2041.6666666666667</v>
      </c>
      <c r="C66" s="3">
        <f t="shared" si="11"/>
        <v>171.29583333333335</v>
      </c>
      <c r="D66" s="64">
        <f t="shared" si="12"/>
        <v>1.1321626617375231</v>
      </c>
      <c r="E66" s="50">
        <f t="shared" si="4"/>
        <v>0</v>
      </c>
      <c r="F66" s="50">
        <f t="shared" si="5"/>
        <v>0</v>
      </c>
      <c r="G66" s="69">
        <f t="shared" si="6"/>
        <v>0</v>
      </c>
      <c r="H66" s="70">
        <f t="shared" si="7"/>
        <v>2686.9666666666667</v>
      </c>
      <c r="I66" s="70">
        <f t="shared" si="8"/>
        <v>0</v>
      </c>
      <c r="J66" s="53">
        <f t="shared" si="9"/>
        <v>0</v>
      </c>
      <c r="K66" s="53">
        <f t="shared" si="1"/>
        <v>0</v>
      </c>
      <c r="L66" s="289">
        <f t="shared" si="2"/>
        <v>0</v>
      </c>
      <c r="N66" s="7">
        <f t="shared" si="3"/>
        <v>0</v>
      </c>
      <c r="O66" t="str">
        <f>Medicaid!G58</f>
        <v>Yes</v>
      </c>
      <c r="P66" t="str">
        <f>Medicaid!K58</f>
        <v>Yes</v>
      </c>
    </row>
    <row r="67" spans="1:21" x14ac:dyDescent="0.25">
      <c r="A67" s="3">
        <v>25000</v>
      </c>
      <c r="B67" s="3">
        <f t="shared" si="10"/>
        <v>2083.3333333333335</v>
      </c>
      <c r="C67" s="3">
        <f t="shared" si="11"/>
        <v>174.79166666666669</v>
      </c>
      <c r="D67" s="64">
        <f t="shared" si="12"/>
        <v>1.1552680221811462</v>
      </c>
      <c r="E67" s="50">
        <f t="shared" si="4"/>
        <v>0</v>
      </c>
      <c r="F67" s="50">
        <f t="shared" si="5"/>
        <v>0</v>
      </c>
      <c r="G67" s="69">
        <f t="shared" si="6"/>
        <v>0</v>
      </c>
      <c r="H67" s="70">
        <f t="shared" si="7"/>
        <v>2686.9666666666667</v>
      </c>
      <c r="I67" s="70">
        <f t="shared" si="8"/>
        <v>0</v>
      </c>
      <c r="J67" s="53">
        <f t="shared" si="9"/>
        <v>0</v>
      </c>
      <c r="K67" s="53">
        <f t="shared" si="1"/>
        <v>0</v>
      </c>
      <c r="L67" s="289">
        <f t="shared" si="2"/>
        <v>0</v>
      </c>
      <c r="N67" s="7">
        <f t="shared" si="3"/>
        <v>0</v>
      </c>
      <c r="O67" t="str">
        <f>Medicaid!G59</f>
        <v>Yes</v>
      </c>
      <c r="P67" t="str">
        <f>Medicaid!K59</f>
        <v>Yes</v>
      </c>
    </row>
    <row r="68" spans="1:21" x14ac:dyDescent="0.25">
      <c r="A68" s="3">
        <v>25500</v>
      </c>
      <c r="B68" s="3">
        <f t="shared" si="10"/>
        <v>2125</v>
      </c>
      <c r="C68" s="3">
        <f t="shared" si="11"/>
        <v>178.28749999999999</v>
      </c>
      <c r="D68" s="64">
        <f t="shared" si="12"/>
        <v>1.1783733826247691</v>
      </c>
      <c r="E68" s="50">
        <f t="shared" si="4"/>
        <v>0</v>
      </c>
      <c r="F68" s="50">
        <f t="shared" si="5"/>
        <v>0</v>
      </c>
      <c r="G68" s="69">
        <f t="shared" si="6"/>
        <v>0</v>
      </c>
      <c r="H68" s="70">
        <f t="shared" si="7"/>
        <v>2686.9666666666667</v>
      </c>
      <c r="I68" s="70">
        <f t="shared" si="8"/>
        <v>0</v>
      </c>
      <c r="J68" s="53">
        <f t="shared" si="9"/>
        <v>0</v>
      </c>
      <c r="K68" s="53">
        <f t="shared" si="1"/>
        <v>0</v>
      </c>
      <c r="L68" s="289">
        <f t="shared" si="2"/>
        <v>0</v>
      </c>
      <c r="N68" s="7">
        <f t="shared" si="3"/>
        <v>0</v>
      </c>
      <c r="O68" t="str">
        <f>Medicaid!G60</f>
        <v>Yes</v>
      </c>
      <c r="P68" t="str">
        <f>Medicaid!K60</f>
        <v>Yes</v>
      </c>
    </row>
    <row r="69" spans="1:21" x14ac:dyDescent="0.25">
      <c r="A69" s="3">
        <v>26000</v>
      </c>
      <c r="B69" s="3">
        <f t="shared" si="10"/>
        <v>2166.6666666666665</v>
      </c>
      <c r="C69" s="3">
        <f t="shared" si="11"/>
        <v>181.78333333333333</v>
      </c>
      <c r="D69" s="64">
        <f t="shared" si="12"/>
        <v>1.2014787430683918</v>
      </c>
      <c r="E69" s="50">
        <f t="shared" si="4"/>
        <v>0</v>
      </c>
      <c r="F69" s="50">
        <f t="shared" si="5"/>
        <v>0</v>
      </c>
      <c r="G69" s="69">
        <f t="shared" si="6"/>
        <v>0</v>
      </c>
      <c r="H69" s="70">
        <f t="shared" si="7"/>
        <v>2686.9666666666667</v>
      </c>
      <c r="I69" s="70">
        <f t="shared" si="8"/>
        <v>0</v>
      </c>
      <c r="J69" s="53">
        <f t="shared" si="9"/>
        <v>0</v>
      </c>
      <c r="K69" s="53">
        <f t="shared" si="1"/>
        <v>0</v>
      </c>
      <c r="L69" s="289">
        <f t="shared" si="2"/>
        <v>0</v>
      </c>
      <c r="N69" s="7">
        <f t="shared" si="3"/>
        <v>0</v>
      </c>
      <c r="O69" t="str">
        <f>Medicaid!G61</f>
        <v>Yes</v>
      </c>
      <c r="P69" t="str">
        <f>Medicaid!K61</f>
        <v>Yes</v>
      </c>
    </row>
    <row r="70" spans="1:21" x14ac:dyDescent="0.25">
      <c r="A70" s="3">
        <v>26500</v>
      </c>
      <c r="B70" s="3">
        <f t="shared" si="10"/>
        <v>2208.3333333333335</v>
      </c>
      <c r="C70" s="3">
        <f t="shared" si="11"/>
        <v>185.2791666666667</v>
      </c>
      <c r="D70" s="64">
        <f t="shared" si="12"/>
        <v>1.2245841035120149</v>
      </c>
      <c r="E70" s="50">
        <f t="shared" si="4"/>
        <v>0</v>
      </c>
      <c r="F70" s="50">
        <f t="shared" si="5"/>
        <v>0</v>
      </c>
      <c r="G70" s="69">
        <f t="shared" si="6"/>
        <v>0</v>
      </c>
      <c r="H70" s="70">
        <f t="shared" si="7"/>
        <v>2686.9666666666667</v>
      </c>
      <c r="I70" s="70">
        <f t="shared" si="8"/>
        <v>0</v>
      </c>
      <c r="J70" s="53">
        <f t="shared" si="9"/>
        <v>0</v>
      </c>
      <c r="K70" s="53">
        <f t="shared" si="1"/>
        <v>0</v>
      </c>
      <c r="L70" s="289">
        <f t="shared" si="2"/>
        <v>0</v>
      </c>
      <c r="N70" s="7">
        <f t="shared" si="3"/>
        <v>0</v>
      </c>
      <c r="O70" t="str">
        <f>Medicaid!G62</f>
        <v>Yes</v>
      </c>
      <c r="P70" t="str">
        <f>Medicaid!K62</f>
        <v>Yes</v>
      </c>
    </row>
    <row r="71" spans="1:21" x14ac:dyDescent="0.25">
      <c r="A71" s="3">
        <v>27000</v>
      </c>
      <c r="B71" s="3">
        <f t="shared" si="10"/>
        <v>2250</v>
      </c>
      <c r="C71" s="3">
        <f t="shared" si="11"/>
        <v>188.77500000000001</v>
      </c>
      <c r="D71" s="64">
        <f t="shared" si="12"/>
        <v>1.2476894639556377</v>
      </c>
      <c r="E71" s="50">
        <f>IF(D71&gt;3.99,0.085,IF(D71&gt;2.99,0.06,IF(D71&gt;1.99,0.02,IF(D71&gt;1.49,0,0))))</f>
        <v>0</v>
      </c>
      <c r="F71" s="50">
        <f t="shared" si="5"/>
        <v>0</v>
      </c>
      <c r="G71" s="69">
        <f t="shared" si="6"/>
        <v>0</v>
      </c>
      <c r="H71" s="70">
        <f t="shared" si="7"/>
        <v>2686.9666666666667</v>
      </c>
      <c r="I71" s="70">
        <f t="shared" si="8"/>
        <v>0</v>
      </c>
      <c r="J71" s="53">
        <f t="shared" si="9"/>
        <v>0</v>
      </c>
      <c r="K71" s="53">
        <f t="shared" si="1"/>
        <v>0</v>
      </c>
      <c r="L71" s="289">
        <f t="shared" si="2"/>
        <v>0</v>
      </c>
      <c r="N71" s="7">
        <f t="shared" si="3"/>
        <v>0</v>
      </c>
      <c r="O71" t="str">
        <f>Medicaid!G63</f>
        <v>Yes</v>
      </c>
      <c r="P71" t="str">
        <f>Medicaid!K63</f>
        <v>Yes</v>
      </c>
    </row>
    <row r="72" spans="1:21" x14ac:dyDescent="0.25">
      <c r="A72" s="3">
        <v>27500</v>
      </c>
      <c r="B72" s="3">
        <f t="shared" si="10"/>
        <v>2291.6666666666665</v>
      </c>
      <c r="C72" s="3">
        <f t="shared" si="11"/>
        <v>192.27083333333331</v>
      </c>
      <c r="D72" s="64">
        <f t="shared" si="12"/>
        <v>1.2707948243992606</v>
      </c>
      <c r="E72" s="50">
        <f t="shared" si="4"/>
        <v>0</v>
      </c>
      <c r="F72" s="50">
        <f>IF(D72&gt;3.99,0.085,IF(D72&gt;2.99,0.085,IF(D72&gt;2.49,0.06,IF(D72&gt;1.99,0.04,IF(D72&gt;1.49,0.02,0)))))</f>
        <v>0</v>
      </c>
      <c r="G72" s="69">
        <f t="shared" si="6"/>
        <v>0</v>
      </c>
      <c r="H72" s="70">
        <f t="shared" si="7"/>
        <v>2686.9666666666667</v>
      </c>
      <c r="I72" s="70">
        <f t="shared" si="8"/>
        <v>0</v>
      </c>
      <c r="J72" s="53">
        <f t="shared" si="9"/>
        <v>0</v>
      </c>
      <c r="K72" s="53">
        <f t="shared" si="1"/>
        <v>0</v>
      </c>
      <c r="L72" s="289">
        <f t="shared" si="2"/>
        <v>0</v>
      </c>
      <c r="N72" s="7">
        <f t="shared" si="3"/>
        <v>0</v>
      </c>
      <c r="O72" t="str">
        <f>Medicaid!G64</f>
        <v>Yes</v>
      </c>
      <c r="P72" t="str">
        <f>Medicaid!K64</f>
        <v>Yes</v>
      </c>
    </row>
    <row r="73" spans="1:21" x14ac:dyDescent="0.25">
      <c r="A73" s="3">
        <v>28000</v>
      </c>
      <c r="B73" s="3">
        <f t="shared" si="10"/>
        <v>2333.3333333333335</v>
      </c>
      <c r="C73" s="3">
        <f t="shared" si="11"/>
        <v>195.76666666666668</v>
      </c>
      <c r="D73" s="64">
        <f t="shared" si="12"/>
        <v>1.2939001848428837</v>
      </c>
      <c r="E73" s="50">
        <f t="shared" si="4"/>
        <v>0</v>
      </c>
      <c r="F73" s="50">
        <f t="shared" si="5"/>
        <v>0</v>
      </c>
      <c r="G73" s="69">
        <f t="shared" si="6"/>
        <v>0</v>
      </c>
      <c r="H73" s="70">
        <f t="shared" si="7"/>
        <v>2686.9666666666667</v>
      </c>
      <c r="I73" s="70">
        <f t="shared" si="8"/>
        <v>0</v>
      </c>
      <c r="J73" s="53">
        <f t="shared" si="9"/>
        <v>0</v>
      </c>
      <c r="K73" s="53">
        <f t="shared" si="1"/>
        <v>0</v>
      </c>
      <c r="L73" s="289">
        <f t="shared" si="2"/>
        <v>0</v>
      </c>
      <c r="N73" s="7">
        <f t="shared" si="3"/>
        <v>0</v>
      </c>
      <c r="O73" t="str">
        <f>Medicaid!G65</f>
        <v>Yes</v>
      </c>
      <c r="P73" t="str">
        <f>Medicaid!K65</f>
        <v>Yes</v>
      </c>
    </row>
    <row r="74" spans="1:21" x14ac:dyDescent="0.25">
      <c r="A74" s="3">
        <v>28500</v>
      </c>
      <c r="B74" s="3">
        <f t="shared" si="10"/>
        <v>2375</v>
      </c>
      <c r="C74" s="3">
        <f t="shared" si="11"/>
        <v>199.26250000000002</v>
      </c>
      <c r="D74" s="64">
        <f t="shared" si="12"/>
        <v>1.3170055452865066</v>
      </c>
      <c r="E74" s="50">
        <f t="shared" si="4"/>
        <v>0</v>
      </c>
      <c r="F74" s="50">
        <f t="shared" si="5"/>
        <v>0</v>
      </c>
      <c r="G74" s="69">
        <f t="shared" si="6"/>
        <v>0</v>
      </c>
      <c r="H74" s="70">
        <f t="shared" si="7"/>
        <v>2686.9666666666667</v>
      </c>
      <c r="I74" s="70">
        <f t="shared" si="8"/>
        <v>0</v>
      </c>
      <c r="J74" s="53">
        <f t="shared" si="9"/>
        <v>0</v>
      </c>
      <c r="K74" s="53">
        <f t="shared" si="1"/>
        <v>0</v>
      </c>
      <c r="L74" s="289">
        <f t="shared" si="2"/>
        <v>0</v>
      </c>
      <c r="N74" s="7">
        <f t="shared" si="3"/>
        <v>0</v>
      </c>
      <c r="O74" t="str">
        <f>Medicaid!G66</f>
        <v>Yes</v>
      </c>
      <c r="P74" t="str">
        <f>Medicaid!K66</f>
        <v>Yes</v>
      </c>
    </row>
    <row r="75" spans="1:21" x14ac:dyDescent="0.25">
      <c r="A75" s="3">
        <v>29000</v>
      </c>
      <c r="B75" s="3">
        <f t="shared" si="10"/>
        <v>2416.6666666666665</v>
      </c>
      <c r="C75" s="3">
        <f t="shared" si="11"/>
        <v>202.75833333333333</v>
      </c>
      <c r="D75" s="64">
        <f t="shared" si="12"/>
        <v>1.3401109057301293</v>
      </c>
      <c r="E75" s="50">
        <f t="shared" si="4"/>
        <v>0</v>
      </c>
      <c r="F75" s="50">
        <f t="shared" si="5"/>
        <v>0</v>
      </c>
      <c r="G75" s="69">
        <f t="shared" si="6"/>
        <v>0</v>
      </c>
      <c r="H75" s="70">
        <f t="shared" si="7"/>
        <v>2686.9666666666667</v>
      </c>
      <c r="I75" s="70">
        <f t="shared" si="8"/>
        <v>0</v>
      </c>
      <c r="J75" s="53">
        <f t="shared" si="9"/>
        <v>0</v>
      </c>
      <c r="K75" s="53">
        <f t="shared" si="1"/>
        <v>0</v>
      </c>
      <c r="L75" s="289">
        <f t="shared" si="2"/>
        <v>0</v>
      </c>
      <c r="N75" s="7">
        <f t="shared" si="3"/>
        <v>0</v>
      </c>
      <c r="O75" t="str">
        <f>Medicaid!G67</f>
        <v>Yes</v>
      </c>
      <c r="P75" t="str">
        <f>Medicaid!K67</f>
        <v>Yes</v>
      </c>
    </row>
    <row r="76" spans="1:21" x14ac:dyDescent="0.25">
      <c r="A76" s="3">
        <v>29500</v>
      </c>
      <c r="B76" s="3">
        <f t="shared" si="10"/>
        <v>2458.3333333333335</v>
      </c>
      <c r="C76" s="3">
        <f t="shared" si="11"/>
        <v>206.25416666666669</v>
      </c>
      <c r="D76" s="64">
        <f t="shared" si="12"/>
        <v>1.3632162661737524</v>
      </c>
      <c r="E76" s="50">
        <f t="shared" si="4"/>
        <v>0</v>
      </c>
      <c r="F76" s="50">
        <f t="shared" si="5"/>
        <v>0</v>
      </c>
      <c r="G76" s="69">
        <f t="shared" si="6"/>
        <v>0</v>
      </c>
      <c r="H76" s="70">
        <f t="shared" si="7"/>
        <v>2686.9666666666667</v>
      </c>
      <c r="I76" s="70">
        <f t="shared" si="8"/>
        <v>0</v>
      </c>
      <c r="J76" s="53">
        <f t="shared" si="9"/>
        <v>0</v>
      </c>
      <c r="K76" s="53">
        <f t="shared" si="1"/>
        <v>0</v>
      </c>
      <c r="L76" s="289">
        <f t="shared" si="2"/>
        <v>0</v>
      </c>
      <c r="N76" s="7">
        <f t="shared" si="3"/>
        <v>0</v>
      </c>
      <c r="O76" t="str">
        <f>Medicaid!G68</f>
        <v>Yes</v>
      </c>
      <c r="P76" t="str">
        <f>Medicaid!K68</f>
        <v>Yes</v>
      </c>
      <c r="U76" s="54"/>
    </row>
    <row r="77" spans="1:21" x14ac:dyDescent="0.25">
      <c r="A77" s="3">
        <v>30000</v>
      </c>
      <c r="B77" s="3">
        <f t="shared" si="10"/>
        <v>2500</v>
      </c>
      <c r="C77" s="3">
        <f t="shared" si="11"/>
        <v>209.75</v>
      </c>
      <c r="D77" s="64">
        <f t="shared" si="12"/>
        <v>1.3863216266173752</v>
      </c>
      <c r="E77" s="50">
        <f t="shared" si="4"/>
        <v>0</v>
      </c>
      <c r="F77" s="50">
        <f t="shared" si="5"/>
        <v>0</v>
      </c>
      <c r="G77" s="69">
        <f t="shared" si="6"/>
        <v>0</v>
      </c>
      <c r="H77" s="70">
        <f t="shared" si="7"/>
        <v>2686.9666666666667</v>
      </c>
      <c r="I77" s="70">
        <f t="shared" si="8"/>
        <v>0</v>
      </c>
      <c r="J77" s="53">
        <f t="shared" si="9"/>
        <v>0</v>
      </c>
      <c r="K77" s="53">
        <f t="shared" si="1"/>
        <v>558</v>
      </c>
      <c r="L77" s="289">
        <f t="shared" si="2"/>
        <v>558</v>
      </c>
      <c r="N77" s="7">
        <f t="shared" si="3"/>
        <v>6696</v>
      </c>
      <c r="O77" t="str">
        <f>Medicaid!G69</f>
        <v>No</v>
      </c>
      <c r="P77" t="str">
        <f>Medicaid!K69</f>
        <v>Yes</v>
      </c>
      <c r="U77" s="4"/>
    </row>
    <row r="78" spans="1:21" x14ac:dyDescent="0.25">
      <c r="A78" s="3">
        <v>30500</v>
      </c>
      <c r="B78" s="3">
        <f t="shared" si="10"/>
        <v>2541.6666666666665</v>
      </c>
      <c r="C78" s="3">
        <f t="shared" si="11"/>
        <v>213.24583333333334</v>
      </c>
      <c r="D78" s="64">
        <f t="shared" si="12"/>
        <v>1.4094269870609981</v>
      </c>
      <c r="E78" s="50">
        <f t="shared" si="4"/>
        <v>0</v>
      </c>
      <c r="F78" s="50">
        <f t="shared" si="5"/>
        <v>0</v>
      </c>
      <c r="G78" s="69">
        <f t="shared" si="6"/>
        <v>0</v>
      </c>
      <c r="H78" s="70">
        <f t="shared" si="7"/>
        <v>2686.9666666666667</v>
      </c>
      <c r="I78" s="70">
        <f t="shared" si="8"/>
        <v>0</v>
      </c>
      <c r="J78" s="53">
        <f t="shared" si="9"/>
        <v>0</v>
      </c>
      <c r="K78" s="53">
        <f t="shared" si="1"/>
        <v>558</v>
      </c>
      <c r="L78" s="289">
        <f t="shared" si="2"/>
        <v>558</v>
      </c>
      <c r="N78" s="7">
        <f t="shared" si="3"/>
        <v>6696</v>
      </c>
      <c r="O78" t="str">
        <f>Medicaid!G70</f>
        <v>No</v>
      </c>
      <c r="P78" t="str">
        <f>Medicaid!K70</f>
        <v>Yes</v>
      </c>
    </row>
    <row r="79" spans="1:21" x14ac:dyDescent="0.25">
      <c r="A79" s="3">
        <v>31000</v>
      </c>
      <c r="B79" s="3">
        <f t="shared" si="10"/>
        <v>2583.3333333333335</v>
      </c>
      <c r="C79" s="3">
        <f t="shared" si="11"/>
        <v>216.74166666666667</v>
      </c>
      <c r="D79" s="64">
        <f t="shared" si="12"/>
        <v>1.4325323475046212</v>
      </c>
      <c r="E79" s="50">
        <f t="shared" si="4"/>
        <v>0</v>
      </c>
      <c r="F79" s="50">
        <f t="shared" si="5"/>
        <v>0</v>
      </c>
      <c r="G79" s="69">
        <f t="shared" si="6"/>
        <v>0</v>
      </c>
      <c r="H79" s="70">
        <f t="shared" si="7"/>
        <v>2686.9666666666667</v>
      </c>
      <c r="I79" s="70">
        <f t="shared" si="8"/>
        <v>0</v>
      </c>
      <c r="J79" s="53">
        <f t="shared" si="9"/>
        <v>0</v>
      </c>
      <c r="K79" s="53">
        <f t="shared" si="1"/>
        <v>558</v>
      </c>
      <c r="L79" s="289">
        <f t="shared" si="2"/>
        <v>558</v>
      </c>
      <c r="N79" s="7">
        <f t="shared" si="3"/>
        <v>6696</v>
      </c>
      <c r="O79" t="str">
        <f>Medicaid!G71</f>
        <v>No</v>
      </c>
      <c r="P79" t="str">
        <f>Medicaid!K71</f>
        <v>Yes</v>
      </c>
    </row>
    <row r="80" spans="1:21" x14ac:dyDescent="0.25">
      <c r="A80" s="3">
        <v>31500</v>
      </c>
      <c r="B80" s="3">
        <f t="shared" si="10"/>
        <v>2625</v>
      </c>
      <c r="C80" s="3">
        <f t="shared" si="11"/>
        <v>220.23750000000001</v>
      </c>
      <c r="D80" s="64">
        <f t="shared" si="12"/>
        <v>1.4556377079482441</v>
      </c>
      <c r="E80" s="50">
        <f t="shared" si="4"/>
        <v>0</v>
      </c>
      <c r="F80" s="50">
        <f t="shared" si="5"/>
        <v>0</v>
      </c>
      <c r="G80" s="69">
        <f t="shared" si="6"/>
        <v>0</v>
      </c>
      <c r="H80" s="70">
        <f t="shared" si="7"/>
        <v>2686.9666666666667</v>
      </c>
      <c r="I80" s="70">
        <f t="shared" si="8"/>
        <v>0</v>
      </c>
      <c r="J80" s="53">
        <f t="shared" si="9"/>
        <v>0</v>
      </c>
      <c r="K80" s="53">
        <f t="shared" si="1"/>
        <v>558</v>
      </c>
      <c r="L80" s="289">
        <f t="shared" si="2"/>
        <v>558</v>
      </c>
      <c r="N80" s="7">
        <f t="shared" si="3"/>
        <v>6696</v>
      </c>
      <c r="O80" t="str">
        <f>Medicaid!G72</f>
        <v>No</v>
      </c>
      <c r="P80" t="str">
        <f>Medicaid!K72</f>
        <v>Yes</v>
      </c>
    </row>
    <row r="81" spans="1:16" x14ac:dyDescent="0.25">
      <c r="A81" s="3">
        <v>32000</v>
      </c>
      <c r="B81" s="3">
        <f t="shared" si="10"/>
        <v>2666.6666666666665</v>
      </c>
      <c r="C81" s="3">
        <f t="shared" si="11"/>
        <v>223.73333333333332</v>
      </c>
      <c r="D81" s="64">
        <f t="shared" ref="D81:D112" si="13">B81/$K$2</f>
        <v>1.478743068391867</v>
      </c>
      <c r="E81" s="50">
        <f t="shared" si="4"/>
        <v>0</v>
      </c>
      <c r="F81" s="50">
        <f t="shared" si="5"/>
        <v>0</v>
      </c>
      <c r="G81" s="69">
        <f t="shared" si="6"/>
        <v>0</v>
      </c>
      <c r="H81" s="70">
        <f t="shared" si="7"/>
        <v>2686.9666666666667</v>
      </c>
      <c r="I81" s="70">
        <f t="shared" si="8"/>
        <v>0</v>
      </c>
      <c r="J81" s="53">
        <f t="shared" si="9"/>
        <v>0</v>
      </c>
      <c r="K81" s="53">
        <f t="shared" si="1"/>
        <v>558</v>
      </c>
      <c r="L81" s="289">
        <f t="shared" si="2"/>
        <v>558</v>
      </c>
      <c r="N81" s="7">
        <f t="shared" si="3"/>
        <v>6696</v>
      </c>
      <c r="O81" t="str">
        <f>Medicaid!G73</f>
        <v>No</v>
      </c>
      <c r="P81" t="str">
        <f>Medicaid!K73</f>
        <v>Yes</v>
      </c>
    </row>
    <row r="82" spans="1:16" x14ac:dyDescent="0.25">
      <c r="A82" s="3">
        <v>32500</v>
      </c>
      <c r="B82" s="3">
        <f t="shared" si="10"/>
        <v>2708.3333333333335</v>
      </c>
      <c r="C82" s="3">
        <f t="shared" si="11"/>
        <v>227.22916666666669</v>
      </c>
      <c r="D82" s="64">
        <f t="shared" si="13"/>
        <v>1.5018484288354901</v>
      </c>
      <c r="E82" s="50">
        <f t="shared" si="4"/>
        <v>0</v>
      </c>
      <c r="F82" s="50">
        <f t="shared" si="5"/>
        <v>0.02</v>
      </c>
      <c r="G82" s="69">
        <f t="shared" si="6"/>
        <v>2705</v>
      </c>
      <c r="H82" s="70">
        <f t="shared" si="7"/>
        <v>3588.6333333333332</v>
      </c>
      <c r="I82" s="70">
        <f t="shared" si="8"/>
        <v>2686.9666666666667</v>
      </c>
      <c r="J82" s="53">
        <f t="shared" ref="J82:J145" si="14">B82*(E82+(B82-I82)*(F82-E82)/(H82-I82))</f>
        <v>1.2835797905114064</v>
      </c>
      <c r="K82" s="53">
        <f t="shared" ref="K82:K145" si="15">SUM(IF(O82="Yes",0,$C$12),IF(P82="Yes",0,$C$13))</f>
        <v>558</v>
      </c>
      <c r="L82" s="289">
        <f t="shared" ref="L82:L145" si="16">MAX(0,K82-J82)</f>
        <v>556.71642020948855</v>
      </c>
      <c r="N82" s="7">
        <f t="shared" ref="N82:N145" si="17">MAX(0,L82*12)</f>
        <v>6680.5970425138621</v>
      </c>
      <c r="O82" t="str">
        <f>Medicaid!G74</f>
        <v>No</v>
      </c>
      <c r="P82" t="str">
        <f>Medicaid!K74</f>
        <v>Yes</v>
      </c>
    </row>
    <row r="83" spans="1:16" x14ac:dyDescent="0.25">
      <c r="A83" s="3">
        <v>33000</v>
      </c>
      <c r="B83" s="3">
        <f t="shared" si="10"/>
        <v>2750</v>
      </c>
      <c r="C83" s="3">
        <f t="shared" si="11"/>
        <v>230.72499999999999</v>
      </c>
      <c r="D83" s="64">
        <f t="shared" si="13"/>
        <v>1.5249537892791127</v>
      </c>
      <c r="E83" s="50">
        <f t="shared" ref="E83:E96" si="18">IF(D83&gt;3.99,0.085,IF(D83&gt;2.99,0.06,IF(D83&gt;1.99,0.02,IF(D83&gt;1.49,0,0))))</f>
        <v>0</v>
      </c>
      <c r="F83" s="50">
        <f t="shared" ref="F83:F146" si="19">IF(D83&gt;3.99,0.085,IF(D83&gt;2.99,0.085,IF(D83&gt;2.49,0.06,IF(D83&gt;1.99,0.04,IF(D83&gt;1.49,0.02,0)))))</f>
        <v>0.02</v>
      </c>
      <c r="G83" s="69">
        <f t="shared" ref="G83:G146" si="20">IF(D83&gt;3.99,$M$7,IF(D83&gt;2.99,$M$6,IF(D83&gt;2.49,$M$5,IF(D83&gt;1.99,$M$4,IF(D83&gt;1.49,$M$3,0)))))</f>
        <v>2705</v>
      </c>
      <c r="H83" s="70">
        <f t="shared" ref="H83:H146" si="21">IF(D83&gt;3.99,$N$7,IF(D83&gt;2.99,$N$6,IF(D83&gt;2.49,$N$5,IF(D83&gt;1.99,$N$4,IF(D83&gt;1.49,$N$3,IF(D83&gt;=0,$N$2,0))))))</f>
        <v>3588.6333333333332</v>
      </c>
      <c r="I83" s="70">
        <f t="shared" ref="I83:I146" si="22">IF(D83&gt;3.99,$N$6,IF(D83&gt;2.99,$N$5,IF(D83&gt;2.49,$N$4,IF(D83&gt;1.99,$N$3,IF(D83&gt;1.49,$N$2,IF(D83&gt;=0,0))))))</f>
        <v>2686.9666666666667</v>
      </c>
      <c r="J83" s="53">
        <f t="shared" si="14"/>
        <v>3.844916820702402</v>
      </c>
      <c r="K83" s="53">
        <f t="shared" si="15"/>
        <v>558</v>
      </c>
      <c r="L83" s="289">
        <f t="shared" si="16"/>
        <v>554.15508317929755</v>
      </c>
      <c r="N83" s="7">
        <f t="shared" si="17"/>
        <v>6649.860998151571</v>
      </c>
      <c r="O83" t="str">
        <f>Medicaid!G75</f>
        <v>No</v>
      </c>
      <c r="P83" t="str">
        <f>Medicaid!K75</f>
        <v>Yes</v>
      </c>
    </row>
    <row r="84" spans="1:16" x14ac:dyDescent="0.25">
      <c r="A84" s="3">
        <v>33500</v>
      </c>
      <c r="B84" s="3">
        <f t="shared" ref="B84:B147" si="23">A84/12</f>
        <v>2791.6666666666665</v>
      </c>
      <c r="C84" s="3">
        <f t="shared" ref="C84:C147" si="24">B84*0.0839</f>
        <v>234.22083333333333</v>
      </c>
      <c r="D84" s="64">
        <f t="shared" si="13"/>
        <v>1.5480591497227356</v>
      </c>
      <c r="E84" s="50">
        <f t="shared" si="18"/>
        <v>0</v>
      </c>
      <c r="F84" s="50">
        <f t="shared" si="19"/>
        <v>0.02</v>
      </c>
      <c r="G84" s="69">
        <f t="shared" si="20"/>
        <v>2705</v>
      </c>
      <c r="H84" s="70">
        <f t="shared" si="21"/>
        <v>3588.6333333333332</v>
      </c>
      <c r="I84" s="70">
        <f t="shared" si="22"/>
        <v>2686.9666666666667</v>
      </c>
      <c r="J84" s="53">
        <f t="shared" si="14"/>
        <v>6.4832717190388065</v>
      </c>
      <c r="K84" s="53">
        <f t="shared" si="15"/>
        <v>558</v>
      </c>
      <c r="L84" s="289">
        <f t="shared" si="16"/>
        <v>551.51672828096116</v>
      </c>
      <c r="N84" s="7">
        <f t="shared" si="17"/>
        <v>6618.2007393715339</v>
      </c>
      <c r="O84" t="str">
        <f>Medicaid!G76</f>
        <v>No</v>
      </c>
      <c r="P84" t="str">
        <f>Medicaid!K76</f>
        <v>Yes</v>
      </c>
    </row>
    <row r="85" spans="1:16" x14ac:dyDescent="0.25">
      <c r="A85" s="3">
        <v>34000</v>
      </c>
      <c r="B85" s="3">
        <f t="shared" si="23"/>
        <v>2833.3333333333335</v>
      </c>
      <c r="C85" s="3">
        <f t="shared" si="24"/>
        <v>237.7166666666667</v>
      </c>
      <c r="D85" s="64">
        <f t="shared" si="13"/>
        <v>1.5711645101663587</v>
      </c>
      <c r="E85" s="50">
        <f t="shared" si="18"/>
        <v>0</v>
      </c>
      <c r="F85" s="50">
        <f t="shared" si="19"/>
        <v>0.02</v>
      </c>
      <c r="G85" s="69">
        <f t="shared" si="20"/>
        <v>2705</v>
      </c>
      <c r="H85" s="70">
        <f t="shared" si="21"/>
        <v>3588.6333333333332</v>
      </c>
      <c r="I85" s="70">
        <f t="shared" si="22"/>
        <v>2686.9666666666667</v>
      </c>
      <c r="J85" s="53">
        <f t="shared" si="14"/>
        <v>9.1986444855206511</v>
      </c>
      <c r="K85" s="53">
        <f t="shared" si="15"/>
        <v>558</v>
      </c>
      <c r="L85" s="289">
        <f t="shared" si="16"/>
        <v>548.80135551447938</v>
      </c>
      <c r="N85" s="7">
        <f t="shared" si="17"/>
        <v>6585.6162661737526</v>
      </c>
      <c r="O85" t="str">
        <f>Medicaid!G77</f>
        <v>No</v>
      </c>
      <c r="P85" t="str">
        <f>Medicaid!K77</f>
        <v>Yes</v>
      </c>
    </row>
    <row r="86" spans="1:16" x14ac:dyDescent="0.25">
      <c r="A86" s="3">
        <v>34500</v>
      </c>
      <c r="B86" s="3">
        <f t="shared" si="23"/>
        <v>2875</v>
      </c>
      <c r="C86" s="3">
        <f t="shared" si="24"/>
        <v>241.21250000000001</v>
      </c>
      <c r="D86" s="64">
        <f t="shared" si="13"/>
        <v>1.5942698706099816</v>
      </c>
      <c r="E86" s="50">
        <f t="shared" si="18"/>
        <v>0</v>
      </c>
      <c r="F86" s="50">
        <f t="shared" si="19"/>
        <v>0.02</v>
      </c>
      <c r="G86" s="69">
        <f t="shared" si="20"/>
        <v>2705</v>
      </c>
      <c r="H86" s="70">
        <f t="shared" si="21"/>
        <v>3588.6333333333332</v>
      </c>
      <c r="I86" s="70">
        <f t="shared" si="22"/>
        <v>2686.9666666666667</v>
      </c>
      <c r="J86" s="53">
        <f t="shared" si="14"/>
        <v>11.991035120147876</v>
      </c>
      <c r="K86" s="53">
        <f t="shared" si="15"/>
        <v>558</v>
      </c>
      <c r="L86" s="289">
        <f t="shared" si="16"/>
        <v>546.0089648798521</v>
      </c>
      <c r="N86" s="7">
        <f t="shared" si="17"/>
        <v>6552.1075785582252</v>
      </c>
      <c r="O86" t="str">
        <f>Medicaid!G78</f>
        <v>No</v>
      </c>
      <c r="P86" t="str">
        <f>Medicaid!K78</f>
        <v>Yes</v>
      </c>
    </row>
    <row r="87" spans="1:16" x14ac:dyDescent="0.25">
      <c r="A87" s="3">
        <v>35000</v>
      </c>
      <c r="B87" s="3">
        <f t="shared" si="23"/>
        <v>2916.6666666666665</v>
      </c>
      <c r="C87" s="3">
        <f t="shared" si="24"/>
        <v>244.70833333333331</v>
      </c>
      <c r="D87" s="64">
        <f t="shared" si="13"/>
        <v>1.6173752310536045</v>
      </c>
      <c r="E87" s="50">
        <f t="shared" si="18"/>
        <v>0</v>
      </c>
      <c r="F87" s="50">
        <f t="shared" si="19"/>
        <v>0.02</v>
      </c>
      <c r="G87" s="69">
        <f t="shared" si="20"/>
        <v>2705</v>
      </c>
      <c r="H87" s="70">
        <f t="shared" si="21"/>
        <v>3588.6333333333332</v>
      </c>
      <c r="I87" s="70">
        <f t="shared" si="22"/>
        <v>2686.9666666666667</v>
      </c>
      <c r="J87" s="53">
        <f t="shared" si="14"/>
        <v>14.860443622920508</v>
      </c>
      <c r="K87" s="53">
        <f t="shared" si="15"/>
        <v>558</v>
      </c>
      <c r="L87" s="289">
        <f t="shared" si="16"/>
        <v>543.13955637707954</v>
      </c>
      <c r="N87" s="7">
        <f t="shared" si="17"/>
        <v>6517.6746765249545</v>
      </c>
      <c r="O87" t="str">
        <f>Medicaid!G79</f>
        <v>No</v>
      </c>
      <c r="P87" t="str">
        <f>Medicaid!K79</f>
        <v>Yes</v>
      </c>
    </row>
    <row r="88" spans="1:16" x14ac:dyDescent="0.25">
      <c r="A88" s="3">
        <v>35500</v>
      </c>
      <c r="B88" s="3">
        <f t="shared" si="23"/>
        <v>2958.3333333333335</v>
      </c>
      <c r="C88" s="3">
        <f t="shared" si="24"/>
        <v>248.20416666666668</v>
      </c>
      <c r="D88" s="64">
        <f t="shared" si="13"/>
        <v>1.6404805914972276</v>
      </c>
      <c r="E88" s="50">
        <f t="shared" si="18"/>
        <v>0</v>
      </c>
      <c r="F88" s="50">
        <f t="shared" si="19"/>
        <v>0.02</v>
      </c>
      <c r="G88" s="69">
        <f t="shared" si="20"/>
        <v>2705</v>
      </c>
      <c r="H88" s="70">
        <f t="shared" si="21"/>
        <v>3588.6333333333332</v>
      </c>
      <c r="I88" s="70">
        <f t="shared" si="22"/>
        <v>2686.9666666666667</v>
      </c>
      <c r="J88" s="53">
        <f t="shared" si="14"/>
        <v>17.806869993838582</v>
      </c>
      <c r="K88" s="53">
        <f t="shared" si="15"/>
        <v>558</v>
      </c>
      <c r="L88" s="289">
        <f t="shared" si="16"/>
        <v>540.19313000616137</v>
      </c>
      <c r="N88" s="7">
        <f t="shared" si="17"/>
        <v>6482.317560073936</v>
      </c>
      <c r="O88" t="str">
        <f>Medicaid!G80</f>
        <v>No</v>
      </c>
      <c r="P88" t="str">
        <f>Medicaid!K80</f>
        <v>Yes</v>
      </c>
    </row>
    <row r="89" spans="1:16" x14ac:dyDescent="0.25">
      <c r="A89" s="3">
        <v>36000</v>
      </c>
      <c r="B89" s="3">
        <f t="shared" si="23"/>
        <v>3000</v>
      </c>
      <c r="C89" s="3">
        <f t="shared" si="24"/>
        <v>251.70000000000002</v>
      </c>
      <c r="D89" s="64">
        <f t="shared" si="13"/>
        <v>1.6635859519408502</v>
      </c>
      <c r="E89" s="50">
        <f t="shared" si="18"/>
        <v>0</v>
      </c>
      <c r="F89" s="50">
        <f t="shared" si="19"/>
        <v>0.02</v>
      </c>
      <c r="G89" s="69">
        <f t="shared" si="20"/>
        <v>2705</v>
      </c>
      <c r="H89" s="70">
        <f t="shared" si="21"/>
        <v>3588.6333333333332</v>
      </c>
      <c r="I89" s="70">
        <f t="shared" si="22"/>
        <v>2686.9666666666667</v>
      </c>
      <c r="J89" s="53">
        <f t="shared" si="14"/>
        <v>20.830314232902037</v>
      </c>
      <c r="K89" s="53">
        <f t="shared" si="15"/>
        <v>558</v>
      </c>
      <c r="L89" s="289">
        <f t="shared" si="16"/>
        <v>537.16968576709792</v>
      </c>
      <c r="N89" s="7">
        <f t="shared" si="17"/>
        <v>6446.036229205175</v>
      </c>
      <c r="O89" t="str">
        <f>Medicaid!G81</f>
        <v>No</v>
      </c>
      <c r="P89" t="str">
        <f>Medicaid!K81</f>
        <v>Yes</v>
      </c>
    </row>
    <row r="90" spans="1:16" x14ac:dyDescent="0.25">
      <c r="A90" s="3">
        <v>36500</v>
      </c>
      <c r="B90" s="3">
        <f t="shared" si="23"/>
        <v>3041.6666666666665</v>
      </c>
      <c r="C90" s="3">
        <f t="shared" si="24"/>
        <v>255.19583333333333</v>
      </c>
      <c r="D90" s="64">
        <f t="shared" si="13"/>
        <v>1.6866913123844731</v>
      </c>
      <c r="E90" s="50">
        <f t="shared" si="18"/>
        <v>0</v>
      </c>
      <c r="F90" s="50">
        <f t="shared" si="19"/>
        <v>0.02</v>
      </c>
      <c r="G90" s="69">
        <f t="shared" si="20"/>
        <v>2705</v>
      </c>
      <c r="H90" s="70">
        <f t="shared" si="21"/>
        <v>3588.6333333333332</v>
      </c>
      <c r="I90" s="70">
        <f t="shared" si="22"/>
        <v>2686.9666666666667</v>
      </c>
      <c r="J90" s="53">
        <f t="shared" si="14"/>
        <v>23.930776340110899</v>
      </c>
      <c r="K90" s="53">
        <f t="shared" si="15"/>
        <v>558</v>
      </c>
      <c r="L90" s="289">
        <f t="shared" si="16"/>
        <v>534.06922365988908</v>
      </c>
      <c r="N90" s="7">
        <f t="shared" si="17"/>
        <v>6408.8306839186689</v>
      </c>
      <c r="O90" t="str">
        <f>Medicaid!G82</f>
        <v>No</v>
      </c>
      <c r="P90" t="str">
        <f>Medicaid!K82</f>
        <v>Yes</v>
      </c>
    </row>
    <row r="91" spans="1:16" x14ac:dyDescent="0.25">
      <c r="A91" s="3">
        <v>37000</v>
      </c>
      <c r="B91" s="3">
        <f t="shared" si="23"/>
        <v>3083.3333333333335</v>
      </c>
      <c r="C91" s="3">
        <f t="shared" si="24"/>
        <v>258.69166666666666</v>
      </c>
      <c r="D91" s="64">
        <f t="shared" si="13"/>
        <v>1.7097966728280962</v>
      </c>
      <c r="E91" s="50">
        <f t="shared" si="18"/>
        <v>0</v>
      </c>
      <c r="F91" s="50">
        <f t="shared" si="19"/>
        <v>0.02</v>
      </c>
      <c r="G91" s="69">
        <f t="shared" si="20"/>
        <v>2705</v>
      </c>
      <c r="H91" s="70">
        <f t="shared" si="21"/>
        <v>3588.6333333333332</v>
      </c>
      <c r="I91" s="70">
        <f t="shared" si="22"/>
        <v>2686.9666666666667</v>
      </c>
      <c r="J91" s="53">
        <f t="shared" si="14"/>
        <v>27.108256315465205</v>
      </c>
      <c r="K91" s="53">
        <f t="shared" si="15"/>
        <v>558</v>
      </c>
      <c r="L91" s="289">
        <f t="shared" si="16"/>
        <v>530.89174368453484</v>
      </c>
      <c r="N91" s="7">
        <f t="shared" si="17"/>
        <v>6370.7009242144177</v>
      </c>
      <c r="O91" t="str">
        <f>Medicaid!G83</f>
        <v>No</v>
      </c>
      <c r="P91" t="str">
        <f>Medicaid!K83</f>
        <v>Yes</v>
      </c>
    </row>
    <row r="92" spans="1:16" x14ac:dyDescent="0.25">
      <c r="A92" s="3">
        <v>37500</v>
      </c>
      <c r="B92" s="3">
        <f t="shared" si="23"/>
        <v>3125</v>
      </c>
      <c r="C92" s="3">
        <f t="shared" si="24"/>
        <v>262.1875</v>
      </c>
      <c r="D92" s="64">
        <f t="shared" si="13"/>
        <v>1.7329020332717191</v>
      </c>
      <c r="E92" s="50">
        <f t="shared" si="18"/>
        <v>0</v>
      </c>
      <c r="F92" s="50">
        <f t="shared" si="19"/>
        <v>0.02</v>
      </c>
      <c r="G92" s="69">
        <f t="shared" si="20"/>
        <v>2705</v>
      </c>
      <c r="H92" s="70">
        <f t="shared" si="21"/>
        <v>3588.6333333333332</v>
      </c>
      <c r="I92" s="70">
        <f t="shared" si="22"/>
        <v>2686.9666666666667</v>
      </c>
      <c r="J92" s="53">
        <f t="shared" si="14"/>
        <v>30.362754158964883</v>
      </c>
      <c r="K92" s="53">
        <f t="shared" si="15"/>
        <v>558</v>
      </c>
      <c r="L92" s="289">
        <f t="shared" si="16"/>
        <v>527.63724584103511</v>
      </c>
      <c r="N92" s="7">
        <f t="shared" si="17"/>
        <v>6331.6469500924213</v>
      </c>
      <c r="O92" t="str">
        <f>Medicaid!G84</f>
        <v>No</v>
      </c>
      <c r="P92" t="str">
        <f>Medicaid!K84</f>
        <v>Yes</v>
      </c>
    </row>
    <row r="93" spans="1:16" x14ac:dyDescent="0.25">
      <c r="A93" s="3">
        <v>38000</v>
      </c>
      <c r="B93" s="3">
        <f t="shared" si="23"/>
        <v>3166.6666666666665</v>
      </c>
      <c r="C93" s="3">
        <f t="shared" si="24"/>
        <v>265.68333333333334</v>
      </c>
      <c r="D93" s="64">
        <f t="shared" si="13"/>
        <v>1.756007393715342</v>
      </c>
      <c r="E93" s="50">
        <f t="shared" si="18"/>
        <v>0</v>
      </c>
      <c r="F93" s="50">
        <f t="shared" si="19"/>
        <v>0.02</v>
      </c>
      <c r="G93" s="69">
        <f t="shared" si="20"/>
        <v>2705</v>
      </c>
      <c r="H93" s="70">
        <f t="shared" si="21"/>
        <v>3588.6333333333332</v>
      </c>
      <c r="I93" s="70">
        <f t="shared" si="22"/>
        <v>2686.9666666666667</v>
      </c>
      <c r="J93" s="53">
        <f t="shared" si="14"/>
        <v>33.694269870609972</v>
      </c>
      <c r="K93" s="53">
        <f t="shared" si="15"/>
        <v>558</v>
      </c>
      <c r="L93" s="289">
        <f t="shared" si="16"/>
        <v>524.30573012938999</v>
      </c>
      <c r="N93" s="7">
        <f t="shared" si="17"/>
        <v>6291.6687615526798</v>
      </c>
      <c r="O93" t="str">
        <f>Medicaid!G85</f>
        <v>No</v>
      </c>
      <c r="P93" t="str">
        <f>Medicaid!K85</f>
        <v>Yes</v>
      </c>
    </row>
    <row r="94" spans="1:16" x14ac:dyDescent="0.25">
      <c r="A94" s="3">
        <v>38500</v>
      </c>
      <c r="B94" s="3">
        <f t="shared" si="23"/>
        <v>3208.3333333333335</v>
      </c>
      <c r="C94" s="3">
        <f t="shared" si="24"/>
        <v>269.17916666666667</v>
      </c>
      <c r="D94" s="64">
        <f t="shared" si="13"/>
        <v>1.7791127541589651</v>
      </c>
      <c r="E94" s="50">
        <f t="shared" si="18"/>
        <v>0</v>
      </c>
      <c r="F94" s="50">
        <f t="shared" si="19"/>
        <v>0.02</v>
      </c>
      <c r="G94" s="69">
        <f t="shared" si="20"/>
        <v>2705</v>
      </c>
      <c r="H94" s="70">
        <f t="shared" si="21"/>
        <v>3588.6333333333332</v>
      </c>
      <c r="I94" s="70">
        <f t="shared" si="22"/>
        <v>2686.9666666666667</v>
      </c>
      <c r="J94" s="53">
        <f t="shared" si="14"/>
        <v>37.102803450400508</v>
      </c>
      <c r="K94" s="53">
        <f t="shared" si="15"/>
        <v>558</v>
      </c>
      <c r="L94" s="289">
        <f t="shared" si="16"/>
        <v>520.89719654959947</v>
      </c>
      <c r="N94" s="7">
        <f t="shared" si="17"/>
        <v>6250.7663585951941</v>
      </c>
      <c r="O94" t="str">
        <f>Medicaid!G86</f>
        <v>No</v>
      </c>
      <c r="P94" t="str">
        <f>Medicaid!K86</f>
        <v>Yes</v>
      </c>
    </row>
    <row r="95" spans="1:16" x14ac:dyDescent="0.25">
      <c r="A95" s="3">
        <v>39000</v>
      </c>
      <c r="B95" s="3">
        <f t="shared" si="23"/>
        <v>3250</v>
      </c>
      <c r="C95" s="3">
        <f t="shared" si="24"/>
        <v>272.67500000000001</v>
      </c>
      <c r="D95" s="64">
        <f t="shared" si="13"/>
        <v>1.802218114602588</v>
      </c>
      <c r="E95" s="50">
        <f t="shared" si="18"/>
        <v>0</v>
      </c>
      <c r="F95" s="50">
        <f t="shared" si="19"/>
        <v>0.02</v>
      </c>
      <c r="G95" s="69">
        <f t="shared" si="20"/>
        <v>2705</v>
      </c>
      <c r="H95" s="70">
        <f t="shared" si="21"/>
        <v>3588.6333333333332</v>
      </c>
      <c r="I95" s="70">
        <f t="shared" si="22"/>
        <v>2686.9666666666667</v>
      </c>
      <c r="J95" s="53">
        <f t="shared" si="14"/>
        <v>40.588354898336419</v>
      </c>
      <c r="K95" s="53">
        <f t="shared" si="15"/>
        <v>558</v>
      </c>
      <c r="L95" s="289">
        <f t="shared" si="16"/>
        <v>517.41164510166357</v>
      </c>
      <c r="N95" s="7">
        <f t="shared" si="17"/>
        <v>6208.9397412199633</v>
      </c>
      <c r="O95" t="str">
        <f>Medicaid!G87</f>
        <v>No</v>
      </c>
      <c r="P95" t="str">
        <f>Medicaid!K87</f>
        <v>Yes</v>
      </c>
    </row>
    <row r="96" spans="1:16" x14ac:dyDescent="0.25">
      <c r="A96" s="3">
        <v>39500</v>
      </c>
      <c r="B96" s="3">
        <f t="shared" si="23"/>
        <v>3291.6666666666665</v>
      </c>
      <c r="C96" s="3">
        <f t="shared" si="24"/>
        <v>276.17083333333335</v>
      </c>
      <c r="D96" s="64">
        <f t="shared" si="13"/>
        <v>1.8253234750462106</v>
      </c>
      <c r="E96" s="50">
        <f t="shared" si="18"/>
        <v>0</v>
      </c>
      <c r="F96" s="50">
        <f t="shared" si="19"/>
        <v>0.02</v>
      </c>
      <c r="G96" s="69">
        <f t="shared" si="20"/>
        <v>2705</v>
      </c>
      <c r="H96" s="70">
        <f t="shared" si="21"/>
        <v>3588.6333333333332</v>
      </c>
      <c r="I96" s="70">
        <f t="shared" si="22"/>
        <v>2686.9666666666667</v>
      </c>
      <c r="J96" s="53">
        <f t="shared" si="14"/>
        <v>44.150924214417735</v>
      </c>
      <c r="K96" s="53">
        <f t="shared" si="15"/>
        <v>558</v>
      </c>
      <c r="L96" s="289">
        <f t="shared" si="16"/>
        <v>513.84907578558227</v>
      </c>
      <c r="N96" s="7">
        <f t="shared" si="17"/>
        <v>6166.1889094269873</v>
      </c>
      <c r="O96" t="str">
        <f>Medicaid!G88</f>
        <v>No</v>
      </c>
      <c r="P96" t="str">
        <f>Medicaid!K88</f>
        <v>Yes</v>
      </c>
    </row>
    <row r="97" spans="1:16" x14ac:dyDescent="0.25">
      <c r="A97" s="3">
        <v>40000</v>
      </c>
      <c r="B97" s="3">
        <f t="shared" si="23"/>
        <v>3333.3333333333335</v>
      </c>
      <c r="C97" s="3">
        <f t="shared" si="24"/>
        <v>279.66666666666669</v>
      </c>
      <c r="D97" s="64">
        <f t="shared" si="13"/>
        <v>1.8484288354898337</v>
      </c>
      <c r="E97" s="50">
        <f>IF(D97&gt;3.99,0.085,IF(D97&gt;2.99,0.06,IF(D97&gt;1.99,0.02,IF(D97&gt;1.49,0,0))))</f>
        <v>0</v>
      </c>
      <c r="F97" s="50">
        <f t="shared" si="19"/>
        <v>0.02</v>
      </c>
      <c r="G97" s="69">
        <f t="shared" si="20"/>
        <v>2705</v>
      </c>
      <c r="H97" s="70">
        <f t="shared" si="21"/>
        <v>3588.6333333333332</v>
      </c>
      <c r="I97" s="70">
        <f t="shared" si="22"/>
        <v>2686.9666666666667</v>
      </c>
      <c r="J97" s="53">
        <f t="shared" si="14"/>
        <v>47.790511398644504</v>
      </c>
      <c r="K97" s="53">
        <f t="shared" si="15"/>
        <v>558</v>
      </c>
      <c r="L97" s="289">
        <f t="shared" si="16"/>
        <v>510.20948860135547</v>
      </c>
      <c r="N97" s="7">
        <f t="shared" si="17"/>
        <v>6122.5138632162652</v>
      </c>
      <c r="O97" t="str">
        <f>Medicaid!G89</f>
        <v>No</v>
      </c>
      <c r="P97" t="str">
        <f>Medicaid!K89</f>
        <v>Yes</v>
      </c>
    </row>
    <row r="98" spans="1:16" x14ac:dyDescent="0.25">
      <c r="A98" s="3">
        <v>40500</v>
      </c>
      <c r="B98" s="3">
        <f t="shared" si="23"/>
        <v>3375</v>
      </c>
      <c r="C98" s="3">
        <f t="shared" si="24"/>
        <v>283.16250000000002</v>
      </c>
      <c r="D98" s="64">
        <f t="shared" si="13"/>
        <v>1.8715341959334566</v>
      </c>
      <c r="E98" s="50">
        <f t="shared" ref="E98:E161" si="25">IF(D98&gt;3.99,0.085,IF(D98&gt;2.99,0.06,IF(D98&gt;1.99,0.02,IF(D98&gt;1.49,0,0))))</f>
        <v>0</v>
      </c>
      <c r="F98" s="50">
        <f t="shared" si="19"/>
        <v>0.02</v>
      </c>
      <c r="G98" s="69">
        <f t="shared" si="20"/>
        <v>2705</v>
      </c>
      <c r="H98" s="70">
        <f t="shared" si="21"/>
        <v>3588.6333333333332</v>
      </c>
      <c r="I98" s="70">
        <f t="shared" si="22"/>
        <v>2686.9666666666667</v>
      </c>
      <c r="J98" s="53">
        <f t="shared" si="14"/>
        <v>51.507116451016643</v>
      </c>
      <c r="K98" s="53">
        <f t="shared" si="15"/>
        <v>558</v>
      </c>
      <c r="L98" s="289">
        <f t="shared" si="16"/>
        <v>506.49288354898334</v>
      </c>
      <c r="N98" s="7">
        <f t="shared" si="17"/>
        <v>6077.9146025877999</v>
      </c>
      <c r="O98" t="str">
        <f>Medicaid!G90</f>
        <v>No</v>
      </c>
      <c r="P98" t="str">
        <f>Medicaid!K90</f>
        <v>Yes</v>
      </c>
    </row>
    <row r="99" spans="1:16" x14ac:dyDescent="0.25">
      <c r="A99" s="3">
        <v>41000</v>
      </c>
      <c r="B99" s="3">
        <f t="shared" si="23"/>
        <v>3416.6666666666665</v>
      </c>
      <c r="C99" s="3">
        <f t="shared" si="24"/>
        <v>286.6583333333333</v>
      </c>
      <c r="D99" s="64">
        <f t="shared" si="13"/>
        <v>1.8946395563770795</v>
      </c>
      <c r="E99" s="50">
        <f t="shared" si="25"/>
        <v>0</v>
      </c>
      <c r="F99" s="50">
        <f t="shared" si="19"/>
        <v>0.02</v>
      </c>
      <c r="G99" s="69">
        <f t="shared" si="20"/>
        <v>2705</v>
      </c>
      <c r="H99" s="70">
        <f t="shared" si="21"/>
        <v>3588.6333333333332</v>
      </c>
      <c r="I99" s="70">
        <f t="shared" si="22"/>
        <v>2686.9666666666667</v>
      </c>
      <c r="J99" s="53">
        <f t="shared" si="14"/>
        <v>55.300739371534185</v>
      </c>
      <c r="K99" s="53">
        <f t="shared" si="15"/>
        <v>558</v>
      </c>
      <c r="L99" s="289">
        <f t="shared" si="16"/>
        <v>502.69926062846582</v>
      </c>
      <c r="N99" s="7">
        <f t="shared" si="17"/>
        <v>6032.3911275415903</v>
      </c>
      <c r="O99" t="str">
        <f>Medicaid!G91</f>
        <v>No</v>
      </c>
      <c r="P99" t="str">
        <f>Medicaid!K91</f>
        <v>Yes</v>
      </c>
    </row>
    <row r="100" spans="1:16" x14ac:dyDescent="0.25">
      <c r="A100" s="3">
        <v>41500</v>
      </c>
      <c r="B100" s="3">
        <f t="shared" si="23"/>
        <v>3458.3333333333335</v>
      </c>
      <c r="C100" s="3">
        <f t="shared" si="24"/>
        <v>290.1541666666667</v>
      </c>
      <c r="D100" s="64">
        <f t="shared" si="13"/>
        <v>1.9177449168207026</v>
      </c>
      <c r="E100" s="50">
        <f t="shared" si="25"/>
        <v>0</v>
      </c>
      <c r="F100" s="50">
        <f t="shared" si="19"/>
        <v>0.02</v>
      </c>
      <c r="G100" s="69">
        <f t="shared" si="20"/>
        <v>2705</v>
      </c>
      <c r="H100" s="70">
        <f t="shared" si="21"/>
        <v>3588.6333333333332</v>
      </c>
      <c r="I100" s="70">
        <f t="shared" si="22"/>
        <v>2686.9666666666667</v>
      </c>
      <c r="J100" s="53">
        <f t="shared" si="14"/>
        <v>59.171380160197188</v>
      </c>
      <c r="K100" s="53">
        <f t="shared" si="15"/>
        <v>558</v>
      </c>
      <c r="L100" s="289">
        <f t="shared" si="16"/>
        <v>498.8286198398028</v>
      </c>
      <c r="N100" s="7">
        <f t="shared" si="17"/>
        <v>5985.9434380776338</v>
      </c>
      <c r="O100" t="str">
        <f>Medicaid!G92</f>
        <v>No</v>
      </c>
      <c r="P100" t="str">
        <f>Medicaid!K92</f>
        <v>Yes</v>
      </c>
    </row>
    <row r="101" spans="1:16" x14ac:dyDescent="0.25">
      <c r="A101" s="3">
        <v>42000</v>
      </c>
      <c r="B101" s="3">
        <f t="shared" si="23"/>
        <v>3500</v>
      </c>
      <c r="C101" s="3">
        <f t="shared" si="24"/>
        <v>293.65000000000003</v>
      </c>
      <c r="D101" s="64">
        <f t="shared" si="13"/>
        <v>1.9408502772643255</v>
      </c>
      <c r="E101" s="50">
        <f t="shared" si="25"/>
        <v>0</v>
      </c>
      <c r="F101" s="50">
        <f t="shared" si="19"/>
        <v>0.02</v>
      </c>
      <c r="G101" s="69">
        <f t="shared" si="20"/>
        <v>2705</v>
      </c>
      <c r="H101" s="70">
        <f t="shared" si="21"/>
        <v>3588.6333333333332</v>
      </c>
      <c r="I101" s="70">
        <f t="shared" si="22"/>
        <v>2686.9666666666667</v>
      </c>
      <c r="J101" s="53">
        <f t="shared" si="14"/>
        <v>63.119038817005546</v>
      </c>
      <c r="K101" s="53">
        <f t="shared" si="15"/>
        <v>558</v>
      </c>
      <c r="L101" s="289">
        <f t="shared" si="16"/>
        <v>494.88096118299444</v>
      </c>
      <c r="N101" s="7">
        <f t="shared" si="17"/>
        <v>5938.5715341959331</v>
      </c>
      <c r="O101" t="str">
        <f>Medicaid!G93</f>
        <v>No</v>
      </c>
      <c r="P101" t="str">
        <f>Medicaid!K93</f>
        <v>Yes</v>
      </c>
    </row>
    <row r="102" spans="1:16" x14ac:dyDescent="0.25">
      <c r="A102" s="3">
        <v>42500</v>
      </c>
      <c r="B102" s="3">
        <f t="shared" si="23"/>
        <v>3541.6666666666665</v>
      </c>
      <c r="C102" s="3">
        <f t="shared" si="24"/>
        <v>297.14583333333331</v>
      </c>
      <c r="D102" s="64">
        <f t="shared" si="13"/>
        <v>1.9639556377079483</v>
      </c>
      <c r="E102" s="50">
        <f t="shared" si="25"/>
        <v>0</v>
      </c>
      <c r="F102" s="50">
        <f t="shared" si="19"/>
        <v>0.02</v>
      </c>
      <c r="G102" s="69">
        <f t="shared" si="20"/>
        <v>2705</v>
      </c>
      <c r="H102" s="70">
        <f t="shared" si="21"/>
        <v>3588.6333333333332</v>
      </c>
      <c r="I102" s="70">
        <f t="shared" si="22"/>
        <v>2686.9666666666667</v>
      </c>
      <c r="J102" s="53">
        <f t="shared" si="14"/>
        <v>67.143715341959336</v>
      </c>
      <c r="K102" s="53">
        <f t="shared" si="15"/>
        <v>558</v>
      </c>
      <c r="L102" s="289">
        <f t="shared" si="16"/>
        <v>490.85628465804064</v>
      </c>
      <c r="N102" s="7">
        <f t="shared" si="17"/>
        <v>5890.2754158964872</v>
      </c>
      <c r="O102" t="str">
        <f>Medicaid!G94</f>
        <v>No</v>
      </c>
      <c r="P102" t="str">
        <f>Medicaid!K94</f>
        <v>Yes</v>
      </c>
    </row>
    <row r="103" spans="1:16" x14ac:dyDescent="0.25">
      <c r="A103" s="3">
        <v>43000</v>
      </c>
      <c r="B103" s="3">
        <f t="shared" si="23"/>
        <v>3583.3333333333335</v>
      </c>
      <c r="C103" s="3">
        <f t="shared" si="24"/>
        <v>300.64166666666671</v>
      </c>
      <c r="D103" s="64">
        <f t="shared" si="13"/>
        <v>1.9870609981515712</v>
      </c>
      <c r="E103" s="50">
        <f t="shared" si="25"/>
        <v>0</v>
      </c>
      <c r="F103" s="50">
        <f t="shared" si="19"/>
        <v>0.02</v>
      </c>
      <c r="G103" s="69">
        <f t="shared" si="20"/>
        <v>2705</v>
      </c>
      <c r="H103" s="70">
        <f t="shared" si="21"/>
        <v>3588.6333333333332</v>
      </c>
      <c r="I103" s="70">
        <f t="shared" si="22"/>
        <v>2686.9666666666667</v>
      </c>
      <c r="J103" s="53">
        <f>B103*(E103+(B103-I103)*(F103-E103)/(H103-I103))</f>
        <v>71.245409735058558</v>
      </c>
      <c r="K103" s="53">
        <f t="shared" si="15"/>
        <v>558</v>
      </c>
      <c r="L103" s="289">
        <f t="shared" si="16"/>
        <v>486.75459026494144</v>
      </c>
      <c r="N103" s="7">
        <f t="shared" si="17"/>
        <v>5841.0550831792971</v>
      </c>
      <c r="O103" t="str">
        <f>Medicaid!G95</f>
        <v>No</v>
      </c>
      <c r="P103" t="str">
        <f>Medicaid!K95</f>
        <v>Yes</v>
      </c>
    </row>
    <row r="104" spans="1:16" x14ac:dyDescent="0.25">
      <c r="A104" s="3">
        <v>43500</v>
      </c>
      <c r="B104" s="3">
        <f t="shared" si="23"/>
        <v>3625</v>
      </c>
      <c r="C104" s="3">
        <f t="shared" si="24"/>
        <v>304.13749999999999</v>
      </c>
      <c r="D104" s="64">
        <f t="shared" si="13"/>
        <v>2.0101663585951943</v>
      </c>
      <c r="E104" s="50">
        <f t="shared" si="25"/>
        <v>0.02</v>
      </c>
      <c r="F104" s="50">
        <f t="shared" si="19"/>
        <v>0.04</v>
      </c>
      <c r="G104" s="69">
        <f t="shared" si="20"/>
        <v>3606.6666666666665</v>
      </c>
      <c r="H104" s="70">
        <f t="shared" si="21"/>
        <v>4490.3</v>
      </c>
      <c r="I104" s="70">
        <f t="shared" si="22"/>
        <v>3588.6333333333332</v>
      </c>
      <c r="J104" s="53">
        <f t="shared" si="14"/>
        <v>75.424121996303157</v>
      </c>
      <c r="K104" s="53">
        <f t="shared" si="15"/>
        <v>933</v>
      </c>
      <c r="L104" s="289">
        <f t="shared" si="16"/>
        <v>857.57587800369686</v>
      </c>
      <c r="N104" s="7">
        <f t="shared" si="17"/>
        <v>10290.910536044363</v>
      </c>
      <c r="O104" t="str">
        <f>Medicaid!G96</f>
        <v>No</v>
      </c>
      <c r="P104" t="str">
        <f>Medicaid!K96</f>
        <v>No</v>
      </c>
    </row>
    <row r="105" spans="1:16" x14ac:dyDescent="0.25">
      <c r="A105" s="3">
        <v>44000</v>
      </c>
      <c r="B105" s="3">
        <f t="shared" si="23"/>
        <v>3666.6666666666665</v>
      </c>
      <c r="C105" s="3">
        <f t="shared" si="24"/>
        <v>307.63333333333333</v>
      </c>
      <c r="D105" s="64">
        <f t="shared" si="13"/>
        <v>2.033271719038817</v>
      </c>
      <c r="E105" s="50">
        <f t="shared" si="25"/>
        <v>0.02</v>
      </c>
      <c r="F105" s="50">
        <f t="shared" si="19"/>
        <v>0.04</v>
      </c>
      <c r="G105" s="69">
        <f t="shared" si="20"/>
        <v>3606.6666666666665</v>
      </c>
      <c r="H105" s="70">
        <f t="shared" si="21"/>
        <v>4490.3</v>
      </c>
      <c r="I105" s="70">
        <f t="shared" si="22"/>
        <v>3588.6333333333332</v>
      </c>
      <c r="J105" s="53">
        <f t="shared" si="14"/>
        <v>79.679852125693159</v>
      </c>
      <c r="K105" s="53">
        <f t="shared" si="15"/>
        <v>933</v>
      </c>
      <c r="L105" s="289">
        <f t="shared" si="16"/>
        <v>853.32014787430683</v>
      </c>
      <c r="N105" s="7">
        <f t="shared" si="17"/>
        <v>10239.841774491682</v>
      </c>
      <c r="O105" t="str">
        <f>Medicaid!G97</f>
        <v>No</v>
      </c>
      <c r="P105" t="str">
        <f>Medicaid!K97</f>
        <v>No</v>
      </c>
    </row>
    <row r="106" spans="1:16" x14ac:dyDescent="0.25">
      <c r="A106" s="3">
        <v>44500</v>
      </c>
      <c r="B106" s="3">
        <f t="shared" si="23"/>
        <v>3708.3333333333335</v>
      </c>
      <c r="C106" s="3">
        <f t="shared" si="24"/>
        <v>311.12916666666666</v>
      </c>
      <c r="D106" s="64">
        <f t="shared" si="13"/>
        <v>2.0563770794824401</v>
      </c>
      <c r="E106" s="50">
        <f t="shared" si="25"/>
        <v>0.02</v>
      </c>
      <c r="F106" s="50">
        <f t="shared" si="19"/>
        <v>0.04</v>
      </c>
      <c r="G106" s="69">
        <f t="shared" si="20"/>
        <v>3606.6666666666665</v>
      </c>
      <c r="H106" s="70">
        <f t="shared" si="21"/>
        <v>4490.3</v>
      </c>
      <c r="I106" s="70">
        <f t="shared" si="22"/>
        <v>3588.6333333333332</v>
      </c>
      <c r="J106" s="53">
        <f t="shared" si="14"/>
        <v>84.012600123228623</v>
      </c>
      <c r="K106" s="53">
        <f t="shared" si="15"/>
        <v>933</v>
      </c>
      <c r="L106" s="289">
        <f t="shared" si="16"/>
        <v>848.98739987677141</v>
      </c>
      <c r="N106" s="7">
        <f t="shared" si="17"/>
        <v>10187.848798521256</v>
      </c>
      <c r="O106" t="str">
        <f>Medicaid!G98</f>
        <v>No</v>
      </c>
      <c r="P106" t="str">
        <f>Medicaid!K98</f>
        <v>No</v>
      </c>
    </row>
    <row r="107" spans="1:16" x14ac:dyDescent="0.25">
      <c r="A107" s="3">
        <v>45000</v>
      </c>
      <c r="B107" s="3">
        <f t="shared" si="23"/>
        <v>3750</v>
      </c>
      <c r="C107" s="3">
        <f t="shared" si="24"/>
        <v>314.625</v>
      </c>
      <c r="D107" s="64">
        <f t="shared" si="13"/>
        <v>2.0794824399260627</v>
      </c>
      <c r="E107" s="50">
        <f t="shared" si="25"/>
        <v>0.02</v>
      </c>
      <c r="F107" s="50">
        <f t="shared" si="19"/>
        <v>0.04</v>
      </c>
      <c r="G107" s="69">
        <f t="shared" si="20"/>
        <v>3606.6666666666665</v>
      </c>
      <c r="H107" s="70">
        <f t="shared" si="21"/>
        <v>4490.3</v>
      </c>
      <c r="I107" s="70">
        <f t="shared" si="22"/>
        <v>3588.6333333333332</v>
      </c>
      <c r="J107" s="53">
        <f t="shared" si="14"/>
        <v>88.422365988909434</v>
      </c>
      <c r="K107" s="53">
        <f t="shared" si="15"/>
        <v>933</v>
      </c>
      <c r="L107" s="289">
        <f t="shared" si="16"/>
        <v>844.57763401109059</v>
      </c>
      <c r="N107" s="7">
        <f t="shared" si="17"/>
        <v>10134.931608133087</v>
      </c>
      <c r="O107" t="str">
        <f>Medicaid!G99</f>
        <v>No</v>
      </c>
      <c r="P107" t="str">
        <f>Medicaid!K99</f>
        <v>No</v>
      </c>
    </row>
    <row r="108" spans="1:16" x14ac:dyDescent="0.25">
      <c r="A108" s="3">
        <v>45500</v>
      </c>
      <c r="B108" s="3">
        <f t="shared" si="23"/>
        <v>3791.6666666666665</v>
      </c>
      <c r="C108" s="3">
        <f t="shared" si="24"/>
        <v>318.12083333333334</v>
      </c>
      <c r="D108" s="64">
        <f t="shared" si="13"/>
        <v>2.1025878003696858</v>
      </c>
      <c r="E108" s="50">
        <f t="shared" si="25"/>
        <v>0.02</v>
      </c>
      <c r="F108" s="50">
        <f t="shared" si="19"/>
        <v>0.04</v>
      </c>
      <c r="G108" s="69">
        <f t="shared" si="20"/>
        <v>3606.6666666666665</v>
      </c>
      <c r="H108" s="70">
        <f t="shared" si="21"/>
        <v>4490.3</v>
      </c>
      <c r="I108" s="70">
        <f t="shared" si="22"/>
        <v>3588.6333333333332</v>
      </c>
      <c r="J108" s="53">
        <f t="shared" si="14"/>
        <v>92.909149722735663</v>
      </c>
      <c r="K108" s="53">
        <f t="shared" si="15"/>
        <v>933</v>
      </c>
      <c r="L108" s="289">
        <f t="shared" si="16"/>
        <v>840.09085027726428</v>
      </c>
      <c r="N108" s="7">
        <f t="shared" si="17"/>
        <v>10081.09020332717</v>
      </c>
      <c r="O108" t="str">
        <f>Medicaid!G100</f>
        <v>No</v>
      </c>
      <c r="P108" t="str">
        <f>Medicaid!K100</f>
        <v>No</v>
      </c>
    </row>
    <row r="109" spans="1:16" x14ac:dyDescent="0.25">
      <c r="A109" s="3">
        <v>46000</v>
      </c>
      <c r="B109" s="3">
        <f t="shared" si="23"/>
        <v>3833.3333333333335</v>
      </c>
      <c r="C109" s="3">
        <f t="shared" si="24"/>
        <v>321.61666666666667</v>
      </c>
      <c r="D109" s="64">
        <f t="shared" si="13"/>
        <v>2.1256931608133089</v>
      </c>
      <c r="E109" s="50">
        <f t="shared" si="25"/>
        <v>0.02</v>
      </c>
      <c r="F109" s="50">
        <f t="shared" si="19"/>
        <v>0.04</v>
      </c>
      <c r="G109" s="69">
        <f t="shared" si="20"/>
        <v>3606.6666666666665</v>
      </c>
      <c r="H109" s="70">
        <f t="shared" si="21"/>
        <v>4490.3</v>
      </c>
      <c r="I109" s="70">
        <f t="shared" si="22"/>
        <v>3588.6333333333332</v>
      </c>
      <c r="J109" s="53">
        <f t="shared" si="14"/>
        <v>97.472951324707353</v>
      </c>
      <c r="K109" s="53">
        <f t="shared" si="15"/>
        <v>933</v>
      </c>
      <c r="L109" s="289">
        <f t="shared" si="16"/>
        <v>835.52704867529269</v>
      </c>
      <c r="N109" s="7">
        <f t="shared" si="17"/>
        <v>10026.324584103513</v>
      </c>
      <c r="O109" t="str">
        <f>Medicaid!G101</f>
        <v>No</v>
      </c>
      <c r="P109" t="str">
        <f>Medicaid!K101</f>
        <v>No</v>
      </c>
    </row>
    <row r="110" spans="1:16" x14ac:dyDescent="0.25">
      <c r="A110" s="3">
        <v>46500</v>
      </c>
      <c r="B110" s="3">
        <f t="shared" si="23"/>
        <v>3875</v>
      </c>
      <c r="C110" s="3">
        <f t="shared" si="24"/>
        <v>325.11250000000001</v>
      </c>
      <c r="D110" s="64">
        <f t="shared" si="13"/>
        <v>2.1487985212569316</v>
      </c>
      <c r="E110" s="50">
        <f t="shared" si="25"/>
        <v>0.02</v>
      </c>
      <c r="F110" s="50">
        <f t="shared" si="19"/>
        <v>0.04</v>
      </c>
      <c r="G110" s="69">
        <f t="shared" si="20"/>
        <v>3606.6666666666665</v>
      </c>
      <c r="H110" s="70">
        <f t="shared" si="21"/>
        <v>4490.3</v>
      </c>
      <c r="I110" s="70">
        <f t="shared" si="22"/>
        <v>3588.6333333333332</v>
      </c>
      <c r="J110" s="53">
        <f t="shared" si="14"/>
        <v>102.1137707948244</v>
      </c>
      <c r="K110" s="53">
        <f t="shared" si="15"/>
        <v>933</v>
      </c>
      <c r="L110" s="289">
        <f t="shared" si="16"/>
        <v>830.8862292051756</v>
      </c>
      <c r="N110" s="7">
        <f t="shared" si="17"/>
        <v>9970.6347504621081</v>
      </c>
      <c r="O110" t="str">
        <f>Medicaid!G102</f>
        <v>No</v>
      </c>
      <c r="P110" t="str">
        <f>Medicaid!K102</f>
        <v>No</v>
      </c>
    </row>
    <row r="111" spans="1:16" x14ac:dyDescent="0.25">
      <c r="A111" s="3">
        <v>47000</v>
      </c>
      <c r="B111" s="3">
        <f t="shared" si="23"/>
        <v>3916.6666666666665</v>
      </c>
      <c r="C111" s="3">
        <f t="shared" si="24"/>
        <v>328.60833333333335</v>
      </c>
      <c r="D111" s="64">
        <f t="shared" si="13"/>
        <v>2.1719038817005547</v>
      </c>
      <c r="E111" s="50">
        <f t="shared" si="25"/>
        <v>0.02</v>
      </c>
      <c r="F111" s="50">
        <f t="shared" si="19"/>
        <v>0.04</v>
      </c>
      <c r="G111" s="69">
        <f t="shared" si="20"/>
        <v>3606.6666666666665</v>
      </c>
      <c r="H111" s="70">
        <f t="shared" si="21"/>
        <v>4490.3</v>
      </c>
      <c r="I111" s="70">
        <f t="shared" si="22"/>
        <v>3588.6333333333332</v>
      </c>
      <c r="J111" s="53">
        <f t="shared" si="14"/>
        <v>106.83160813308686</v>
      </c>
      <c r="K111" s="53">
        <f t="shared" si="15"/>
        <v>933</v>
      </c>
      <c r="L111" s="289">
        <f t="shared" si="16"/>
        <v>826.16839186691311</v>
      </c>
      <c r="N111" s="7">
        <f t="shared" si="17"/>
        <v>9914.0207024029569</v>
      </c>
      <c r="O111" t="str">
        <f>Medicaid!G103</f>
        <v>No</v>
      </c>
      <c r="P111" t="str">
        <f>Medicaid!K103</f>
        <v>No</v>
      </c>
    </row>
    <row r="112" spans="1:16" x14ac:dyDescent="0.25">
      <c r="A112" s="3">
        <v>47500</v>
      </c>
      <c r="B112" s="3">
        <f t="shared" si="23"/>
        <v>3958.3333333333335</v>
      </c>
      <c r="C112" s="3">
        <f t="shared" si="24"/>
        <v>332.10416666666669</v>
      </c>
      <c r="D112" s="64">
        <f t="shared" si="13"/>
        <v>2.1950092421441778</v>
      </c>
      <c r="E112" s="50">
        <f t="shared" si="25"/>
        <v>0.02</v>
      </c>
      <c r="F112" s="50">
        <f t="shared" si="19"/>
        <v>0.04</v>
      </c>
      <c r="G112" s="69">
        <f t="shared" si="20"/>
        <v>3606.6666666666665</v>
      </c>
      <c r="H112" s="70">
        <f t="shared" si="21"/>
        <v>4490.3</v>
      </c>
      <c r="I112" s="70">
        <f t="shared" si="22"/>
        <v>3588.6333333333332</v>
      </c>
      <c r="J112" s="53">
        <f t="shared" si="14"/>
        <v>111.62646333949479</v>
      </c>
      <c r="K112" s="53">
        <f t="shared" si="15"/>
        <v>933</v>
      </c>
      <c r="L112" s="289">
        <f t="shared" si="16"/>
        <v>821.37353666050524</v>
      </c>
      <c r="N112" s="7">
        <f t="shared" si="17"/>
        <v>9856.4824399260633</v>
      </c>
      <c r="O112" t="str">
        <f>Medicaid!G104</f>
        <v>No</v>
      </c>
      <c r="P112" t="str">
        <f>Medicaid!K104</f>
        <v>No</v>
      </c>
    </row>
    <row r="113" spans="1:16" x14ac:dyDescent="0.25">
      <c r="A113" s="3">
        <v>48000</v>
      </c>
      <c r="B113" s="3">
        <f t="shared" si="23"/>
        <v>4000</v>
      </c>
      <c r="C113" s="3">
        <f t="shared" si="24"/>
        <v>335.6</v>
      </c>
      <c r="D113" s="64">
        <f t="shared" ref="D113:D176" si="26">B113/$K$2</f>
        <v>2.2181146025878005</v>
      </c>
      <c r="E113" s="50">
        <f t="shared" si="25"/>
        <v>0.02</v>
      </c>
      <c r="F113" s="50">
        <f>IF(D113&gt;3.99,0.085,IF(D113&gt;2.99,0.085,IF(D113&gt;2.49,0.06,IF(D113&gt;1.99,0.04,IF(D113&gt;1.49,0.02,0)))))</f>
        <v>0.04</v>
      </c>
      <c r="G113" s="69">
        <f t="shared" si="20"/>
        <v>3606.6666666666665</v>
      </c>
      <c r="H113" s="70">
        <f t="shared" si="21"/>
        <v>4490.3</v>
      </c>
      <c r="I113" s="70">
        <f t="shared" si="22"/>
        <v>3588.6333333333332</v>
      </c>
      <c r="J113" s="53">
        <f t="shared" si="14"/>
        <v>116.49833641404805</v>
      </c>
      <c r="K113" s="53">
        <f t="shared" si="15"/>
        <v>933</v>
      </c>
      <c r="L113" s="289">
        <f t="shared" si="16"/>
        <v>816.50166358595197</v>
      </c>
      <c r="N113" s="7">
        <f t="shared" si="17"/>
        <v>9798.0199630314237</v>
      </c>
      <c r="O113" t="str">
        <f>Medicaid!G105</f>
        <v>No</v>
      </c>
      <c r="P113" t="str">
        <f>Medicaid!K105</f>
        <v>No</v>
      </c>
    </row>
    <row r="114" spans="1:16" x14ac:dyDescent="0.25">
      <c r="A114" s="3">
        <v>48500</v>
      </c>
      <c r="B114" s="3">
        <f t="shared" si="23"/>
        <v>4041.6666666666665</v>
      </c>
      <c r="C114" s="3">
        <f t="shared" si="24"/>
        <v>339.0958333333333</v>
      </c>
      <c r="D114" s="64">
        <f t="shared" si="26"/>
        <v>2.2412199630314231</v>
      </c>
      <c r="E114" s="50">
        <f t="shared" si="25"/>
        <v>0.02</v>
      </c>
      <c r="F114" s="50">
        <f t="shared" si="19"/>
        <v>0.04</v>
      </c>
      <c r="G114" s="69">
        <f t="shared" si="20"/>
        <v>3606.6666666666665</v>
      </c>
      <c r="H114" s="70">
        <f t="shared" si="21"/>
        <v>4490.3</v>
      </c>
      <c r="I114" s="70">
        <f t="shared" si="22"/>
        <v>3588.6333333333332</v>
      </c>
      <c r="J114" s="53">
        <f t="shared" si="14"/>
        <v>121.44722735674675</v>
      </c>
      <c r="K114" s="53">
        <f t="shared" si="15"/>
        <v>933</v>
      </c>
      <c r="L114" s="289">
        <f t="shared" si="16"/>
        <v>811.55277264325321</v>
      </c>
      <c r="N114" s="7">
        <f t="shared" si="17"/>
        <v>9738.633271719038</v>
      </c>
      <c r="O114" t="str">
        <f>Medicaid!G106</f>
        <v>No</v>
      </c>
      <c r="P114" t="str">
        <f>Medicaid!K106</f>
        <v>No</v>
      </c>
    </row>
    <row r="115" spans="1:16" x14ac:dyDescent="0.25">
      <c r="A115" s="3">
        <v>49000</v>
      </c>
      <c r="B115" s="3">
        <f t="shared" si="23"/>
        <v>4083.3333333333335</v>
      </c>
      <c r="C115" s="3">
        <f t="shared" si="24"/>
        <v>342.5916666666667</v>
      </c>
      <c r="D115" s="64">
        <f t="shared" si="26"/>
        <v>2.2643253234750462</v>
      </c>
      <c r="E115" s="50">
        <f t="shared" si="25"/>
        <v>0.02</v>
      </c>
      <c r="F115" s="50">
        <f t="shared" si="19"/>
        <v>0.04</v>
      </c>
      <c r="G115" s="69">
        <f t="shared" si="20"/>
        <v>3606.6666666666665</v>
      </c>
      <c r="H115" s="70">
        <f t="shared" si="21"/>
        <v>4490.3</v>
      </c>
      <c r="I115" s="70">
        <f t="shared" si="22"/>
        <v>3588.6333333333332</v>
      </c>
      <c r="J115" s="53">
        <f t="shared" si="14"/>
        <v>126.47313616759089</v>
      </c>
      <c r="K115" s="53">
        <f t="shared" si="15"/>
        <v>933</v>
      </c>
      <c r="L115" s="289">
        <f t="shared" si="16"/>
        <v>806.52686383240916</v>
      </c>
      <c r="N115" s="7">
        <f t="shared" si="17"/>
        <v>9678.32236598891</v>
      </c>
      <c r="O115" t="str">
        <f>Medicaid!G107</f>
        <v>No</v>
      </c>
      <c r="P115" t="str">
        <f>Medicaid!K107</f>
        <v>No</v>
      </c>
    </row>
    <row r="116" spans="1:16" x14ac:dyDescent="0.25">
      <c r="A116" s="3">
        <v>49500</v>
      </c>
      <c r="B116" s="3">
        <f t="shared" si="23"/>
        <v>4125</v>
      </c>
      <c r="C116" s="3">
        <f t="shared" si="24"/>
        <v>346.08750000000003</v>
      </c>
      <c r="D116" s="64">
        <f t="shared" si="26"/>
        <v>2.2874306839186693</v>
      </c>
      <c r="E116" s="50">
        <f t="shared" si="25"/>
        <v>0.02</v>
      </c>
      <c r="F116" s="50">
        <f t="shared" si="19"/>
        <v>0.04</v>
      </c>
      <c r="G116" s="69">
        <f t="shared" si="20"/>
        <v>3606.6666666666665</v>
      </c>
      <c r="H116" s="70">
        <f t="shared" si="21"/>
        <v>4490.3</v>
      </c>
      <c r="I116" s="70">
        <f t="shared" si="22"/>
        <v>3588.6333333333332</v>
      </c>
      <c r="J116" s="53">
        <f t="shared" si="14"/>
        <v>131.57606284658041</v>
      </c>
      <c r="K116" s="53">
        <f t="shared" si="15"/>
        <v>933</v>
      </c>
      <c r="L116" s="289">
        <f t="shared" si="16"/>
        <v>801.42393715341962</v>
      </c>
      <c r="N116" s="7">
        <f t="shared" si="17"/>
        <v>9617.0872458410358</v>
      </c>
      <c r="O116" t="str">
        <f>Medicaid!G108</f>
        <v>No</v>
      </c>
      <c r="P116" t="str">
        <f>Medicaid!K108</f>
        <v>No</v>
      </c>
    </row>
    <row r="117" spans="1:16" x14ac:dyDescent="0.25">
      <c r="A117" s="3">
        <v>50000</v>
      </c>
      <c r="B117" s="3">
        <f t="shared" si="23"/>
        <v>4166.666666666667</v>
      </c>
      <c r="C117" s="3">
        <f t="shared" si="24"/>
        <v>349.58333333333337</v>
      </c>
      <c r="D117" s="64">
        <f t="shared" si="26"/>
        <v>2.3105360443622924</v>
      </c>
      <c r="E117" s="50">
        <f t="shared" si="25"/>
        <v>0.02</v>
      </c>
      <c r="F117" s="50">
        <f t="shared" si="19"/>
        <v>0.04</v>
      </c>
      <c r="G117" s="69">
        <f t="shared" si="20"/>
        <v>3606.6666666666665</v>
      </c>
      <c r="H117" s="70">
        <f t="shared" si="21"/>
        <v>4490.3</v>
      </c>
      <c r="I117" s="70">
        <f t="shared" si="22"/>
        <v>3588.6333333333332</v>
      </c>
      <c r="J117" s="53">
        <f t="shared" si="14"/>
        <v>136.75600739371538</v>
      </c>
      <c r="K117" s="53">
        <f t="shared" si="15"/>
        <v>933</v>
      </c>
      <c r="L117" s="289">
        <f t="shared" si="16"/>
        <v>796.24399260628456</v>
      </c>
      <c r="N117" s="7">
        <f t="shared" si="17"/>
        <v>9554.9279112754157</v>
      </c>
      <c r="O117" t="str">
        <f>Medicaid!G109</f>
        <v>No</v>
      </c>
      <c r="P117" t="str">
        <f>Medicaid!K109</f>
        <v>No</v>
      </c>
    </row>
    <row r="118" spans="1:16" x14ac:dyDescent="0.25">
      <c r="A118" s="3">
        <v>50500</v>
      </c>
      <c r="B118" s="3">
        <f t="shared" si="23"/>
        <v>4208.333333333333</v>
      </c>
      <c r="C118" s="3">
        <f t="shared" si="24"/>
        <v>353.07916666666665</v>
      </c>
      <c r="D118" s="64">
        <f t="shared" si="26"/>
        <v>2.3336414048059151</v>
      </c>
      <c r="E118" s="50">
        <f t="shared" si="25"/>
        <v>0.02</v>
      </c>
      <c r="F118" s="50">
        <f t="shared" si="19"/>
        <v>0.04</v>
      </c>
      <c r="G118" s="69">
        <f t="shared" si="20"/>
        <v>3606.6666666666665</v>
      </c>
      <c r="H118" s="70">
        <f t="shared" si="21"/>
        <v>4490.3</v>
      </c>
      <c r="I118" s="70">
        <f t="shared" si="22"/>
        <v>3588.6333333333332</v>
      </c>
      <c r="J118" s="53">
        <f t="shared" si="14"/>
        <v>142.01296980899562</v>
      </c>
      <c r="K118" s="53">
        <f t="shared" si="15"/>
        <v>933</v>
      </c>
      <c r="L118" s="289">
        <f t="shared" si="16"/>
        <v>790.98703019100435</v>
      </c>
      <c r="N118" s="7">
        <f t="shared" si="17"/>
        <v>9491.8443622920531</v>
      </c>
      <c r="O118" t="str">
        <f>Medicaid!G110</f>
        <v>No</v>
      </c>
      <c r="P118" t="str">
        <f>Medicaid!K110</f>
        <v>No</v>
      </c>
    </row>
    <row r="119" spans="1:16" ht="15" customHeight="1" x14ac:dyDescent="0.25">
      <c r="A119" s="3">
        <v>51000</v>
      </c>
      <c r="B119" s="3">
        <f t="shared" si="23"/>
        <v>4250</v>
      </c>
      <c r="C119" s="3">
        <f t="shared" si="24"/>
        <v>356.57499999999999</v>
      </c>
      <c r="D119" s="64">
        <f t="shared" si="26"/>
        <v>2.3567467652495382</v>
      </c>
      <c r="E119" s="50">
        <f t="shared" si="25"/>
        <v>0.02</v>
      </c>
      <c r="F119" s="50">
        <f t="shared" si="19"/>
        <v>0.04</v>
      </c>
      <c r="G119" s="69">
        <f t="shared" si="20"/>
        <v>3606.6666666666665</v>
      </c>
      <c r="H119" s="70">
        <f t="shared" si="21"/>
        <v>4490.3</v>
      </c>
      <c r="I119" s="70">
        <f t="shared" si="22"/>
        <v>3588.6333333333332</v>
      </c>
      <c r="J119" s="53">
        <f t="shared" si="14"/>
        <v>147.34695009242145</v>
      </c>
      <c r="K119" s="53">
        <f t="shared" si="15"/>
        <v>933</v>
      </c>
      <c r="L119" s="289">
        <f t="shared" si="16"/>
        <v>785.65304990757852</v>
      </c>
      <c r="N119" s="7">
        <f t="shared" si="17"/>
        <v>9427.8365988909427</v>
      </c>
      <c r="O119" t="str">
        <f>Medicaid!G111</f>
        <v>No</v>
      </c>
      <c r="P119" t="str">
        <f>Medicaid!K111</f>
        <v>No</v>
      </c>
    </row>
    <row r="120" spans="1:16" ht="15" customHeight="1" x14ac:dyDescent="0.25">
      <c r="A120" s="3">
        <v>51500</v>
      </c>
      <c r="B120" s="3">
        <f t="shared" si="23"/>
        <v>4291.666666666667</v>
      </c>
      <c r="C120" s="3">
        <f t="shared" si="24"/>
        <v>360.07083333333338</v>
      </c>
      <c r="D120" s="64">
        <f t="shared" si="26"/>
        <v>2.3798521256931613</v>
      </c>
      <c r="E120" s="50">
        <f t="shared" si="25"/>
        <v>0.02</v>
      </c>
      <c r="F120" s="50">
        <f t="shared" si="19"/>
        <v>0.04</v>
      </c>
      <c r="G120" s="69">
        <f t="shared" si="20"/>
        <v>3606.6666666666665</v>
      </c>
      <c r="H120" s="70">
        <f t="shared" si="21"/>
        <v>4490.3</v>
      </c>
      <c r="I120" s="70">
        <f t="shared" si="22"/>
        <v>3588.6333333333332</v>
      </c>
      <c r="J120" s="53">
        <f t="shared" si="14"/>
        <v>152.75794824399264</v>
      </c>
      <c r="K120" s="53">
        <f t="shared" si="15"/>
        <v>933</v>
      </c>
      <c r="L120" s="289">
        <f t="shared" si="16"/>
        <v>780.24205175600741</v>
      </c>
      <c r="N120" s="7">
        <f t="shared" si="17"/>
        <v>9362.904621072088</v>
      </c>
      <c r="O120" t="str">
        <f>Medicaid!G112</f>
        <v>No</v>
      </c>
      <c r="P120" t="str">
        <f>Medicaid!K112</f>
        <v>No</v>
      </c>
    </row>
    <row r="121" spans="1:16" ht="15" customHeight="1" x14ac:dyDescent="0.25">
      <c r="A121" s="3">
        <v>52000</v>
      </c>
      <c r="B121" s="3">
        <f t="shared" si="23"/>
        <v>4333.333333333333</v>
      </c>
      <c r="C121" s="3">
        <f t="shared" si="24"/>
        <v>363.56666666666666</v>
      </c>
      <c r="D121" s="64">
        <f t="shared" si="26"/>
        <v>2.4029574861367835</v>
      </c>
      <c r="E121" s="50">
        <f t="shared" si="25"/>
        <v>0.02</v>
      </c>
      <c r="F121" s="50">
        <f t="shared" si="19"/>
        <v>0.04</v>
      </c>
      <c r="G121" s="69">
        <f t="shared" si="20"/>
        <v>3606.6666666666665</v>
      </c>
      <c r="H121" s="70">
        <f t="shared" si="21"/>
        <v>4490.3</v>
      </c>
      <c r="I121" s="70">
        <f t="shared" si="22"/>
        <v>3588.6333333333332</v>
      </c>
      <c r="J121" s="53">
        <f t="shared" si="14"/>
        <v>158.24596426370914</v>
      </c>
      <c r="K121" s="53">
        <f t="shared" si="15"/>
        <v>933</v>
      </c>
      <c r="L121" s="289">
        <f t="shared" si="16"/>
        <v>774.75403573629092</v>
      </c>
      <c r="N121" s="7">
        <f t="shared" si="17"/>
        <v>9297.048428835491</v>
      </c>
      <c r="O121" t="str">
        <f>Medicaid!G113</f>
        <v>No</v>
      </c>
      <c r="P121" t="str">
        <f>Medicaid!K113</f>
        <v>No</v>
      </c>
    </row>
    <row r="122" spans="1:16" ht="15" customHeight="1" x14ac:dyDescent="0.25">
      <c r="A122" s="3">
        <v>52500</v>
      </c>
      <c r="B122" s="3">
        <f t="shared" si="23"/>
        <v>4375</v>
      </c>
      <c r="C122" s="3">
        <f t="shared" si="24"/>
        <v>367.0625</v>
      </c>
      <c r="D122" s="64">
        <f t="shared" si="26"/>
        <v>2.4260628465804066</v>
      </c>
      <c r="E122" s="50">
        <f t="shared" si="25"/>
        <v>0.02</v>
      </c>
      <c r="F122" s="50">
        <f t="shared" si="19"/>
        <v>0.04</v>
      </c>
      <c r="G122" s="69">
        <f t="shared" si="20"/>
        <v>3606.6666666666665</v>
      </c>
      <c r="H122" s="70">
        <f t="shared" si="21"/>
        <v>4490.3</v>
      </c>
      <c r="I122" s="70">
        <f t="shared" si="22"/>
        <v>3588.6333333333332</v>
      </c>
      <c r="J122" s="53">
        <f t="shared" si="14"/>
        <v>163.81099815157114</v>
      </c>
      <c r="K122" s="53">
        <f t="shared" si="15"/>
        <v>933</v>
      </c>
      <c r="L122" s="289">
        <f t="shared" si="16"/>
        <v>769.18900184842892</v>
      </c>
      <c r="N122" s="7">
        <f t="shared" si="17"/>
        <v>9230.2680221811461</v>
      </c>
      <c r="O122" t="str">
        <f>Medicaid!G114</f>
        <v>No</v>
      </c>
      <c r="P122" t="str">
        <f>Medicaid!K114</f>
        <v>No</v>
      </c>
    </row>
    <row r="123" spans="1:16" ht="15" customHeight="1" x14ac:dyDescent="0.25">
      <c r="A123" s="3">
        <v>53000</v>
      </c>
      <c r="B123" s="3">
        <f t="shared" si="23"/>
        <v>4416.666666666667</v>
      </c>
      <c r="C123" s="3">
        <f t="shared" si="24"/>
        <v>370.55833333333339</v>
      </c>
      <c r="D123" s="64">
        <f t="shared" si="26"/>
        <v>2.4491682070240297</v>
      </c>
      <c r="E123" s="50">
        <f t="shared" si="25"/>
        <v>0.02</v>
      </c>
      <c r="F123" s="50">
        <f t="shared" si="19"/>
        <v>0.04</v>
      </c>
      <c r="G123" s="69">
        <f t="shared" si="20"/>
        <v>3606.6666666666665</v>
      </c>
      <c r="H123" s="70">
        <f t="shared" si="21"/>
        <v>4490.3</v>
      </c>
      <c r="I123" s="70">
        <f t="shared" si="22"/>
        <v>3588.6333333333332</v>
      </c>
      <c r="J123" s="53">
        <f t="shared" si="14"/>
        <v>169.45304990757859</v>
      </c>
      <c r="K123" s="53">
        <f t="shared" si="15"/>
        <v>933</v>
      </c>
      <c r="L123" s="289">
        <f t="shared" si="16"/>
        <v>763.54695009242141</v>
      </c>
      <c r="N123" s="7">
        <f t="shared" si="17"/>
        <v>9162.5634011090569</v>
      </c>
      <c r="O123" t="str">
        <f>Medicaid!G115</f>
        <v>No</v>
      </c>
      <c r="P123" t="str">
        <f>Medicaid!K115</f>
        <v>No</v>
      </c>
    </row>
    <row r="124" spans="1:16" ht="15" customHeight="1" x14ac:dyDescent="0.25">
      <c r="A124" s="3">
        <v>53500</v>
      </c>
      <c r="B124" s="3">
        <f t="shared" si="23"/>
        <v>4458.333333333333</v>
      </c>
      <c r="C124" s="3">
        <f t="shared" si="24"/>
        <v>374.05416666666667</v>
      </c>
      <c r="D124" s="64">
        <f t="shared" si="26"/>
        <v>2.4722735674676524</v>
      </c>
      <c r="E124" s="50">
        <f t="shared" si="25"/>
        <v>0.02</v>
      </c>
      <c r="F124" s="50">
        <f t="shared" si="19"/>
        <v>0.04</v>
      </c>
      <c r="G124" s="69">
        <f t="shared" si="20"/>
        <v>3606.6666666666665</v>
      </c>
      <c r="H124" s="70">
        <f t="shared" si="21"/>
        <v>4490.3</v>
      </c>
      <c r="I124" s="70">
        <f t="shared" si="22"/>
        <v>3588.6333333333332</v>
      </c>
      <c r="J124" s="53">
        <f t="shared" si="14"/>
        <v>175.17211953173131</v>
      </c>
      <c r="K124" s="53">
        <f t="shared" si="15"/>
        <v>933</v>
      </c>
      <c r="L124" s="289">
        <f t="shared" si="16"/>
        <v>757.82788046826863</v>
      </c>
      <c r="N124" s="7">
        <f t="shared" si="17"/>
        <v>9093.9345656192236</v>
      </c>
      <c r="O124" t="str">
        <f>Medicaid!G116</f>
        <v>No</v>
      </c>
      <c r="P124" t="str">
        <f>Medicaid!K116</f>
        <v>No</v>
      </c>
    </row>
    <row r="125" spans="1:16" ht="15" customHeight="1" x14ac:dyDescent="0.25">
      <c r="A125" s="3">
        <v>54000</v>
      </c>
      <c r="B125" s="3">
        <f t="shared" si="23"/>
        <v>4500</v>
      </c>
      <c r="C125" s="3">
        <f t="shared" si="24"/>
        <v>377.55</v>
      </c>
      <c r="D125" s="64">
        <f t="shared" si="26"/>
        <v>2.4953789279112755</v>
      </c>
      <c r="E125" s="50">
        <f t="shared" si="25"/>
        <v>0.02</v>
      </c>
      <c r="F125" s="50">
        <f t="shared" si="19"/>
        <v>0.06</v>
      </c>
      <c r="G125" s="69">
        <f t="shared" si="20"/>
        <v>4508.333333333333</v>
      </c>
      <c r="H125" s="70">
        <f t="shared" si="21"/>
        <v>5391.9666666666672</v>
      </c>
      <c r="I125" s="70">
        <f t="shared" si="22"/>
        <v>4490.3</v>
      </c>
      <c r="J125" s="53">
        <f t="shared" si="14"/>
        <v>91.93641404805912</v>
      </c>
      <c r="K125" s="53">
        <f t="shared" si="15"/>
        <v>933</v>
      </c>
      <c r="L125" s="289">
        <f t="shared" si="16"/>
        <v>841.06358595194092</v>
      </c>
      <c r="N125" s="7">
        <f t="shared" si="17"/>
        <v>10092.763031423292</v>
      </c>
      <c r="O125" t="str">
        <f>Medicaid!G117</f>
        <v>No</v>
      </c>
      <c r="P125" t="str">
        <f>Medicaid!K117</f>
        <v>No</v>
      </c>
    </row>
    <row r="126" spans="1:16" ht="15" customHeight="1" x14ac:dyDescent="0.25">
      <c r="A126" s="3">
        <v>54500</v>
      </c>
      <c r="B126" s="3">
        <f t="shared" si="23"/>
        <v>4541.666666666667</v>
      </c>
      <c r="C126" s="3">
        <f t="shared" si="24"/>
        <v>381.04583333333335</v>
      </c>
      <c r="D126" s="64">
        <f t="shared" si="26"/>
        <v>2.5184842883548986</v>
      </c>
      <c r="E126" s="50">
        <f t="shared" si="25"/>
        <v>0.02</v>
      </c>
      <c r="F126" s="50">
        <f t="shared" si="19"/>
        <v>0.06</v>
      </c>
      <c r="G126" s="69">
        <f t="shared" si="20"/>
        <v>4508.333333333333</v>
      </c>
      <c r="H126" s="70">
        <f t="shared" si="21"/>
        <v>5391.9666666666672</v>
      </c>
      <c r="I126" s="70">
        <f t="shared" si="22"/>
        <v>4490.3</v>
      </c>
      <c r="J126" s="53">
        <f t="shared" si="14"/>
        <v>101.18262476894643</v>
      </c>
      <c r="K126" s="53">
        <f t="shared" si="15"/>
        <v>933</v>
      </c>
      <c r="L126" s="289">
        <f t="shared" si="16"/>
        <v>831.81737523105357</v>
      </c>
      <c r="N126" s="7">
        <f t="shared" si="17"/>
        <v>9981.8085027726429</v>
      </c>
      <c r="O126" t="str">
        <f>Medicaid!G118</f>
        <v>No</v>
      </c>
      <c r="P126" t="str">
        <f>Medicaid!K118</f>
        <v>No</v>
      </c>
    </row>
    <row r="127" spans="1:16" ht="15" customHeight="1" x14ac:dyDescent="0.25">
      <c r="A127" s="3">
        <v>55000</v>
      </c>
      <c r="B127" s="3">
        <f t="shared" si="23"/>
        <v>4583.333333333333</v>
      </c>
      <c r="C127" s="3">
        <f t="shared" si="24"/>
        <v>384.54166666666663</v>
      </c>
      <c r="D127" s="64">
        <f t="shared" si="26"/>
        <v>2.5415896487985212</v>
      </c>
      <c r="E127" s="50">
        <f t="shared" si="25"/>
        <v>0.02</v>
      </c>
      <c r="F127" s="50">
        <f t="shared" si="19"/>
        <v>0.06</v>
      </c>
      <c r="G127" s="69">
        <f t="shared" si="20"/>
        <v>4508.333333333333</v>
      </c>
      <c r="H127" s="70">
        <f t="shared" si="21"/>
        <v>5391.9666666666672</v>
      </c>
      <c r="I127" s="70">
        <f t="shared" si="22"/>
        <v>4490.3</v>
      </c>
      <c r="J127" s="53">
        <f t="shared" si="14"/>
        <v>110.58287122612434</v>
      </c>
      <c r="K127" s="53">
        <f t="shared" si="15"/>
        <v>933</v>
      </c>
      <c r="L127" s="289">
        <f t="shared" si="16"/>
        <v>822.41712877387567</v>
      </c>
      <c r="N127" s="7">
        <f t="shared" si="17"/>
        <v>9869.005545286509</v>
      </c>
      <c r="O127" t="str">
        <f>Medicaid!G119</f>
        <v>No</v>
      </c>
      <c r="P127" t="str">
        <f>Medicaid!K119</f>
        <v>No</v>
      </c>
    </row>
    <row r="128" spans="1:16" ht="15" customHeight="1" x14ac:dyDescent="0.25">
      <c r="A128" s="3">
        <v>55500</v>
      </c>
      <c r="B128" s="3">
        <f t="shared" si="23"/>
        <v>4625</v>
      </c>
      <c r="C128" s="3">
        <f t="shared" si="24"/>
        <v>388.03750000000002</v>
      </c>
      <c r="D128" s="64">
        <f t="shared" si="26"/>
        <v>2.5646950092421443</v>
      </c>
      <c r="E128" s="50">
        <f t="shared" si="25"/>
        <v>0.02</v>
      </c>
      <c r="F128" s="50">
        <f t="shared" si="19"/>
        <v>0.06</v>
      </c>
      <c r="G128" s="69">
        <f t="shared" si="20"/>
        <v>4508.333333333333</v>
      </c>
      <c r="H128" s="70">
        <f t="shared" si="21"/>
        <v>5391.9666666666672</v>
      </c>
      <c r="I128" s="70">
        <f t="shared" si="22"/>
        <v>4490.3</v>
      </c>
      <c r="J128" s="53">
        <f t="shared" si="14"/>
        <v>120.1371534195933</v>
      </c>
      <c r="K128" s="53">
        <f t="shared" si="15"/>
        <v>933</v>
      </c>
      <c r="L128" s="289">
        <f t="shared" si="16"/>
        <v>812.86284658040665</v>
      </c>
      <c r="N128" s="7">
        <f t="shared" si="17"/>
        <v>9754.3541589648794</v>
      </c>
      <c r="O128" t="str">
        <f>Medicaid!G120</f>
        <v>No</v>
      </c>
      <c r="P128" t="str">
        <f>Medicaid!K120</f>
        <v>No</v>
      </c>
    </row>
    <row r="129" spans="1:16" ht="15" customHeight="1" x14ac:dyDescent="0.25">
      <c r="A129" s="3">
        <v>56000</v>
      </c>
      <c r="B129" s="3">
        <f t="shared" si="23"/>
        <v>4666.666666666667</v>
      </c>
      <c r="C129" s="3">
        <f t="shared" si="24"/>
        <v>391.53333333333336</v>
      </c>
      <c r="D129" s="64">
        <f t="shared" si="26"/>
        <v>2.5878003696857674</v>
      </c>
      <c r="E129" s="50">
        <f t="shared" si="25"/>
        <v>0.02</v>
      </c>
      <c r="F129" s="50">
        <f t="shared" si="19"/>
        <v>0.06</v>
      </c>
      <c r="G129" s="69">
        <f t="shared" si="20"/>
        <v>4508.333333333333</v>
      </c>
      <c r="H129" s="70">
        <f t="shared" si="21"/>
        <v>5391.9666666666672</v>
      </c>
      <c r="I129" s="70">
        <f t="shared" si="22"/>
        <v>4490.3</v>
      </c>
      <c r="J129" s="53">
        <f t="shared" si="14"/>
        <v>129.84547134935306</v>
      </c>
      <c r="K129" s="53">
        <f t="shared" si="15"/>
        <v>933</v>
      </c>
      <c r="L129" s="289">
        <f t="shared" si="16"/>
        <v>803.15452865064697</v>
      </c>
      <c r="N129" s="7">
        <f t="shared" si="17"/>
        <v>9637.8543438077631</v>
      </c>
      <c r="O129" t="str">
        <f>Medicaid!G121</f>
        <v>No</v>
      </c>
      <c r="P129" t="str">
        <f>Medicaid!K121</f>
        <v>No</v>
      </c>
    </row>
    <row r="130" spans="1:16" ht="15" customHeight="1" x14ac:dyDescent="0.25">
      <c r="A130" s="3">
        <v>56500</v>
      </c>
      <c r="B130" s="3">
        <f t="shared" si="23"/>
        <v>4708.333333333333</v>
      </c>
      <c r="C130" s="3">
        <f t="shared" si="24"/>
        <v>395.02916666666664</v>
      </c>
      <c r="D130" s="64">
        <f t="shared" si="26"/>
        <v>2.6109057301293901</v>
      </c>
      <c r="E130" s="50">
        <f t="shared" si="25"/>
        <v>0.02</v>
      </c>
      <c r="F130" s="50">
        <f t="shared" si="19"/>
        <v>0.06</v>
      </c>
      <c r="G130" s="69">
        <f t="shared" si="20"/>
        <v>4508.333333333333</v>
      </c>
      <c r="H130" s="70">
        <f t="shared" si="21"/>
        <v>5391.9666666666672</v>
      </c>
      <c r="I130" s="70">
        <f t="shared" si="22"/>
        <v>4490.3</v>
      </c>
      <c r="J130" s="53">
        <f t="shared" si="14"/>
        <v>139.70782501540344</v>
      </c>
      <c r="K130" s="53">
        <f t="shared" si="15"/>
        <v>933</v>
      </c>
      <c r="L130" s="289">
        <f t="shared" si="16"/>
        <v>793.29217498459661</v>
      </c>
      <c r="N130" s="7">
        <f t="shared" si="17"/>
        <v>9519.5060998151603</v>
      </c>
      <c r="O130" t="str">
        <f>Medicaid!G122</f>
        <v>No</v>
      </c>
      <c r="P130" t="str">
        <f>Medicaid!K122</f>
        <v>No</v>
      </c>
    </row>
    <row r="131" spans="1:16" ht="15" customHeight="1" x14ac:dyDescent="0.25">
      <c r="A131" s="3">
        <v>57000</v>
      </c>
      <c r="B131" s="3">
        <f t="shared" si="23"/>
        <v>4750</v>
      </c>
      <c r="C131" s="3">
        <f t="shared" si="24"/>
        <v>398.52500000000003</v>
      </c>
      <c r="D131" s="64">
        <f t="shared" si="26"/>
        <v>2.6340110905730132</v>
      </c>
      <c r="E131" s="50">
        <f t="shared" si="25"/>
        <v>0.02</v>
      </c>
      <c r="F131" s="50">
        <f t="shared" si="19"/>
        <v>0.06</v>
      </c>
      <c r="G131" s="69">
        <f t="shared" si="20"/>
        <v>4508.333333333333</v>
      </c>
      <c r="H131" s="70">
        <f t="shared" si="21"/>
        <v>5391.9666666666672</v>
      </c>
      <c r="I131" s="70">
        <f t="shared" si="22"/>
        <v>4490.3</v>
      </c>
      <c r="J131" s="53">
        <f t="shared" si="14"/>
        <v>149.72421441774486</v>
      </c>
      <c r="K131" s="53">
        <f t="shared" si="15"/>
        <v>933</v>
      </c>
      <c r="L131" s="289">
        <f t="shared" si="16"/>
        <v>783.27578558225514</v>
      </c>
      <c r="N131" s="7">
        <f t="shared" si="17"/>
        <v>9399.3094269870617</v>
      </c>
      <c r="O131" t="str">
        <f>Medicaid!G123</f>
        <v>No</v>
      </c>
      <c r="P131" t="str">
        <f>Medicaid!K123</f>
        <v>No</v>
      </c>
    </row>
    <row r="132" spans="1:16" ht="15" customHeight="1" x14ac:dyDescent="0.25">
      <c r="A132" s="3">
        <v>57500</v>
      </c>
      <c r="B132" s="3">
        <f t="shared" si="23"/>
        <v>4791.666666666667</v>
      </c>
      <c r="C132" s="3">
        <f t="shared" si="24"/>
        <v>402.02083333333337</v>
      </c>
      <c r="D132" s="64">
        <f t="shared" si="26"/>
        <v>2.6571164510166363</v>
      </c>
      <c r="E132" s="50">
        <f t="shared" si="25"/>
        <v>0.02</v>
      </c>
      <c r="F132" s="50">
        <f t="shared" si="19"/>
        <v>0.06</v>
      </c>
      <c r="G132" s="69">
        <f t="shared" si="20"/>
        <v>4508.333333333333</v>
      </c>
      <c r="H132" s="70">
        <f t="shared" si="21"/>
        <v>5391.9666666666672</v>
      </c>
      <c r="I132" s="70">
        <f t="shared" si="22"/>
        <v>4490.3</v>
      </c>
      <c r="J132" s="53">
        <f t="shared" si="14"/>
        <v>159.89463955637709</v>
      </c>
      <c r="K132" s="53">
        <f t="shared" si="15"/>
        <v>933</v>
      </c>
      <c r="L132" s="289">
        <f t="shared" si="16"/>
        <v>773.10536044362289</v>
      </c>
      <c r="N132" s="7">
        <f t="shared" si="17"/>
        <v>9277.2643253234746</v>
      </c>
      <c r="O132" t="str">
        <f>Medicaid!G124</f>
        <v>No</v>
      </c>
      <c r="P132" t="str">
        <f>Medicaid!K124</f>
        <v>No</v>
      </c>
    </row>
    <row r="133" spans="1:16" ht="15" customHeight="1" x14ac:dyDescent="0.25">
      <c r="A133" s="3">
        <v>58000</v>
      </c>
      <c r="B133" s="3">
        <f t="shared" si="23"/>
        <v>4833.333333333333</v>
      </c>
      <c r="C133" s="3">
        <f t="shared" si="24"/>
        <v>405.51666666666665</v>
      </c>
      <c r="D133" s="64">
        <f t="shared" si="26"/>
        <v>2.6802218114602585</v>
      </c>
      <c r="E133" s="50">
        <f t="shared" si="25"/>
        <v>0.02</v>
      </c>
      <c r="F133" s="50">
        <f t="shared" si="19"/>
        <v>0.06</v>
      </c>
      <c r="G133" s="69">
        <f t="shared" si="20"/>
        <v>4508.333333333333</v>
      </c>
      <c r="H133" s="70">
        <f t="shared" si="21"/>
        <v>5391.9666666666672</v>
      </c>
      <c r="I133" s="70">
        <f t="shared" si="22"/>
        <v>4490.3</v>
      </c>
      <c r="J133" s="53">
        <f t="shared" si="14"/>
        <v>170.21910043129992</v>
      </c>
      <c r="K133" s="53">
        <f t="shared" si="15"/>
        <v>933</v>
      </c>
      <c r="L133" s="289">
        <f t="shared" si="16"/>
        <v>762.78089956870008</v>
      </c>
      <c r="N133" s="7">
        <f t="shared" si="17"/>
        <v>9153.3707948244009</v>
      </c>
      <c r="O133" t="str">
        <f>Medicaid!G125</f>
        <v>No</v>
      </c>
      <c r="P133" t="str">
        <f>Medicaid!K125</f>
        <v>No</v>
      </c>
    </row>
    <row r="134" spans="1:16" ht="15" customHeight="1" x14ac:dyDescent="0.25">
      <c r="A134" s="3">
        <v>58500</v>
      </c>
      <c r="B134" s="3">
        <f t="shared" si="23"/>
        <v>4875</v>
      </c>
      <c r="C134" s="3">
        <f t="shared" si="24"/>
        <v>409.01249999999999</v>
      </c>
      <c r="D134" s="64">
        <f t="shared" si="26"/>
        <v>2.7033271719038816</v>
      </c>
      <c r="E134" s="50">
        <f t="shared" si="25"/>
        <v>0.02</v>
      </c>
      <c r="F134" s="50">
        <f t="shared" si="19"/>
        <v>0.06</v>
      </c>
      <c r="G134" s="69">
        <f t="shared" si="20"/>
        <v>4508.333333333333</v>
      </c>
      <c r="H134" s="70">
        <f t="shared" si="21"/>
        <v>5391.9666666666672</v>
      </c>
      <c r="I134" s="70">
        <f t="shared" si="22"/>
        <v>4490.3</v>
      </c>
      <c r="J134" s="53">
        <f t="shared" si="14"/>
        <v>180.69759704251379</v>
      </c>
      <c r="K134" s="53">
        <f t="shared" si="15"/>
        <v>933</v>
      </c>
      <c r="L134" s="289">
        <f t="shared" si="16"/>
        <v>752.30240295748627</v>
      </c>
      <c r="N134" s="7">
        <f t="shared" si="17"/>
        <v>9027.6288354898352</v>
      </c>
      <c r="O134" t="str">
        <f>Medicaid!G126</f>
        <v>No</v>
      </c>
      <c r="P134" t="str">
        <f>Medicaid!K126</f>
        <v>No</v>
      </c>
    </row>
    <row r="135" spans="1:16" ht="15" customHeight="1" x14ac:dyDescent="0.25">
      <c r="A135" s="3">
        <v>59000</v>
      </c>
      <c r="B135" s="3">
        <f t="shared" si="23"/>
        <v>4916.666666666667</v>
      </c>
      <c r="C135" s="3">
        <f t="shared" si="24"/>
        <v>412.50833333333338</v>
      </c>
      <c r="D135" s="64">
        <f t="shared" si="26"/>
        <v>2.7264325323475047</v>
      </c>
      <c r="E135" s="50">
        <f t="shared" si="25"/>
        <v>0.02</v>
      </c>
      <c r="F135" s="50">
        <f t="shared" si="19"/>
        <v>0.06</v>
      </c>
      <c r="G135" s="69">
        <f t="shared" si="20"/>
        <v>4508.333333333333</v>
      </c>
      <c r="H135" s="70">
        <f t="shared" si="21"/>
        <v>5391.9666666666672</v>
      </c>
      <c r="I135" s="70">
        <f t="shared" si="22"/>
        <v>4490.3</v>
      </c>
      <c r="J135" s="53">
        <f t="shared" si="14"/>
        <v>191.3301293900185</v>
      </c>
      <c r="K135" s="53">
        <f t="shared" si="15"/>
        <v>933</v>
      </c>
      <c r="L135" s="289">
        <f t="shared" si="16"/>
        <v>741.66987060998144</v>
      </c>
      <c r="N135" s="7">
        <f t="shared" si="17"/>
        <v>8900.0384473197773</v>
      </c>
      <c r="O135" t="str">
        <f>Medicaid!G127</f>
        <v>No</v>
      </c>
      <c r="P135" t="str">
        <f>Medicaid!K127</f>
        <v>No</v>
      </c>
    </row>
    <row r="136" spans="1:16" ht="15" customHeight="1" x14ac:dyDescent="0.25">
      <c r="A136" s="3">
        <v>59500</v>
      </c>
      <c r="B136" s="3">
        <f t="shared" si="23"/>
        <v>4958.333333333333</v>
      </c>
      <c r="C136" s="3">
        <f t="shared" si="24"/>
        <v>416.00416666666666</v>
      </c>
      <c r="D136" s="64">
        <f t="shared" si="26"/>
        <v>2.7495378927911274</v>
      </c>
      <c r="E136" s="50">
        <f t="shared" si="25"/>
        <v>0.02</v>
      </c>
      <c r="F136" s="50">
        <f t="shared" si="19"/>
        <v>0.06</v>
      </c>
      <c r="G136" s="69">
        <f t="shared" si="20"/>
        <v>4508.333333333333</v>
      </c>
      <c r="H136" s="70">
        <f t="shared" si="21"/>
        <v>5391.9666666666672</v>
      </c>
      <c r="I136" s="70">
        <f t="shared" si="22"/>
        <v>4490.3</v>
      </c>
      <c r="J136" s="53">
        <f t="shared" si="14"/>
        <v>202.11669747381376</v>
      </c>
      <c r="K136" s="53">
        <f t="shared" si="15"/>
        <v>933</v>
      </c>
      <c r="L136" s="289">
        <f t="shared" si="16"/>
        <v>730.8833025261863</v>
      </c>
      <c r="N136" s="7">
        <f t="shared" si="17"/>
        <v>8770.5996303142347</v>
      </c>
      <c r="O136" t="str">
        <f>Medicaid!G128</f>
        <v>No</v>
      </c>
      <c r="P136" t="str">
        <f>Medicaid!K128</f>
        <v>No</v>
      </c>
    </row>
    <row r="137" spans="1:16" ht="15" customHeight="1" x14ac:dyDescent="0.25">
      <c r="A137" s="3">
        <v>60000</v>
      </c>
      <c r="B137" s="3">
        <f t="shared" si="23"/>
        <v>5000</v>
      </c>
      <c r="C137" s="3">
        <f t="shared" si="24"/>
        <v>419.5</v>
      </c>
      <c r="D137" s="64">
        <f t="shared" si="26"/>
        <v>2.7726432532347505</v>
      </c>
      <c r="E137" s="50">
        <f t="shared" si="25"/>
        <v>0.02</v>
      </c>
      <c r="F137" s="50">
        <f t="shared" si="19"/>
        <v>0.06</v>
      </c>
      <c r="G137" s="69">
        <f t="shared" si="20"/>
        <v>4508.333333333333</v>
      </c>
      <c r="H137" s="70">
        <f t="shared" si="21"/>
        <v>5391.9666666666672</v>
      </c>
      <c r="I137" s="70">
        <f t="shared" si="22"/>
        <v>4490.3</v>
      </c>
      <c r="J137" s="53">
        <f t="shared" si="14"/>
        <v>213.05730129390008</v>
      </c>
      <c r="K137" s="53">
        <f t="shared" si="15"/>
        <v>933</v>
      </c>
      <c r="L137" s="289">
        <f t="shared" si="16"/>
        <v>719.94269870609992</v>
      </c>
      <c r="N137" s="7">
        <f t="shared" si="17"/>
        <v>8639.3123844731999</v>
      </c>
      <c r="O137" t="str">
        <f>Medicaid!G129</f>
        <v>No</v>
      </c>
      <c r="P137" t="str">
        <f>Medicaid!K129</f>
        <v>No</v>
      </c>
    </row>
    <row r="138" spans="1:16" ht="15" customHeight="1" x14ac:dyDescent="0.25">
      <c r="A138" s="3">
        <v>60500</v>
      </c>
      <c r="B138" s="3">
        <f t="shared" si="23"/>
        <v>5041.666666666667</v>
      </c>
      <c r="C138" s="3">
        <f t="shared" si="24"/>
        <v>422.99583333333339</v>
      </c>
      <c r="D138" s="64">
        <f t="shared" si="26"/>
        <v>2.7957486136783736</v>
      </c>
      <c r="E138" s="50">
        <f t="shared" si="25"/>
        <v>0.02</v>
      </c>
      <c r="F138" s="50">
        <f t="shared" si="19"/>
        <v>0.06</v>
      </c>
      <c r="G138" s="69">
        <f t="shared" si="20"/>
        <v>4508.333333333333</v>
      </c>
      <c r="H138" s="70">
        <f t="shared" si="21"/>
        <v>5391.9666666666672</v>
      </c>
      <c r="I138" s="70">
        <f t="shared" si="22"/>
        <v>4490.3</v>
      </c>
      <c r="J138" s="53">
        <f t="shared" si="14"/>
        <v>224.15194085027724</v>
      </c>
      <c r="K138" s="53">
        <f t="shared" si="15"/>
        <v>933</v>
      </c>
      <c r="L138" s="289">
        <f t="shared" si="16"/>
        <v>708.84805914972276</v>
      </c>
      <c r="N138" s="7">
        <f t="shared" si="17"/>
        <v>8506.1767097966731</v>
      </c>
      <c r="O138" t="str">
        <f>Medicaid!G130</f>
        <v>No</v>
      </c>
      <c r="P138" t="str">
        <f>Medicaid!K130</f>
        <v>No</v>
      </c>
    </row>
    <row r="139" spans="1:16" ht="15" customHeight="1" x14ac:dyDescent="0.25">
      <c r="A139" s="3">
        <v>61000</v>
      </c>
      <c r="B139" s="3">
        <f t="shared" si="23"/>
        <v>5083.333333333333</v>
      </c>
      <c r="C139" s="3">
        <f t="shared" si="24"/>
        <v>426.49166666666667</v>
      </c>
      <c r="D139" s="64">
        <f t="shared" si="26"/>
        <v>2.8188539741219962</v>
      </c>
      <c r="E139" s="50">
        <f t="shared" si="25"/>
        <v>0.02</v>
      </c>
      <c r="F139" s="50">
        <f t="shared" si="19"/>
        <v>0.06</v>
      </c>
      <c r="G139" s="69">
        <f t="shared" si="20"/>
        <v>4508.333333333333</v>
      </c>
      <c r="H139" s="70">
        <f t="shared" si="21"/>
        <v>5391.9666666666672</v>
      </c>
      <c r="I139" s="70">
        <f t="shared" si="22"/>
        <v>4490.3</v>
      </c>
      <c r="J139" s="53">
        <f t="shared" si="14"/>
        <v>235.40061614294498</v>
      </c>
      <c r="K139" s="53">
        <f t="shared" si="15"/>
        <v>933</v>
      </c>
      <c r="L139" s="289">
        <f t="shared" si="16"/>
        <v>697.59938385705505</v>
      </c>
      <c r="N139" s="7">
        <f t="shared" si="17"/>
        <v>8371.1926062846615</v>
      </c>
      <c r="O139" t="str">
        <f>Medicaid!G131</f>
        <v>No</v>
      </c>
      <c r="P139" t="str">
        <f>Medicaid!K131</f>
        <v>No</v>
      </c>
    </row>
    <row r="140" spans="1:16" ht="15" customHeight="1" x14ac:dyDescent="0.25">
      <c r="A140" s="3">
        <v>61500</v>
      </c>
      <c r="B140" s="3">
        <f t="shared" si="23"/>
        <v>5125</v>
      </c>
      <c r="C140" s="3">
        <f t="shared" si="24"/>
        <v>429.98750000000001</v>
      </c>
      <c r="D140" s="64">
        <f t="shared" si="26"/>
        <v>2.8419593345656193</v>
      </c>
      <c r="E140" s="50">
        <f t="shared" si="25"/>
        <v>0.02</v>
      </c>
      <c r="F140" s="50">
        <f t="shared" si="19"/>
        <v>0.06</v>
      </c>
      <c r="G140" s="69">
        <f t="shared" si="20"/>
        <v>4508.333333333333</v>
      </c>
      <c r="H140" s="70">
        <f t="shared" si="21"/>
        <v>5391.9666666666672</v>
      </c>
      <c r="I140" s="70">
        <f t="shared" si="22"/>
        <v>4490.3</v>
      </c>
      <c r="J140" s="53">
        <f t="shared" si="14"/>
        <v>246.80332717190376</v>
      </c>
      <c r="K140" s="53">
        <f t="shared" si="15"/>
        <v>933</v>
      </c>
      <c r="L140" s="289">
        <f t="shared" si="16"/>
        <v>686.19667282809621</v>
      </c>
      <c r="N140" s="7">
        <f t="shared" si="17"/>
        <v>8234.3600739371541</v>
      </c>
      <c r="O140" t="str">
        <f>Medicaid!G132</f>
        <v>No</v>
      </c>
      <c r="P140" t="str">
        <f>Medicaid!K132</f>
        <v>No</v>
      </c>
    </row>
    <row r="141" spans="1:16" ht="15" customHeight="1" x14ac:dyDescent="0.25">
      <c r="A141" s="3">
        <v>62000</v>
      </c>
      <c r="B141" s="3">
        <f t="shared" si="23"/>
        <v>5166.666666666667</v>
      </c>
      <c r="C141" s="3">
        <f t="shared" si="24"/>
        <v>433.48333333333335</v>
      </c>
      <c r="D141" s="64">
        <f t="shared" si="26"/>
        <v>2.8650646950092424</v>
      </c>
      <c r="E141" s="50">
        <f t="shared" si="25"/>
        <v>0.02</v>
      </c>
      <c r="F141" s="50">
        <f t="shared" si="19"/>
        <v>0.06</v>
      </c>
      <c r="G141" s="69">
        <f t="shared" si="20"/>
        <v>4508.333333333333</v>
      </c>
      <c r="H141" s="70">
        <f t="shared" si="21"/>
        <v>5391.9666666666672</v>
      </c>
      <c r="I141" s="70">
        <f t="shared" si="22"/>
        <v>4490.3</v>
      </c>
      <c r="J141" s="53">
        <f t="shared" si="14"/>
        <v>258.3600739371534</v>
      </c>
      <c r="K141" s="53">
        <f t="shared" si="15"/>
        <v>933</v>
      </c>
      <c r="L141" s="289">
        <f t="shared" si="16"/>
        <v>674.6399260628466</v>
      </c>
      <c r="N141" s="7">
        <f t="shared" si="17"/>
        <v>8095.6791127541592</v>
      </c>
      <c r="O141" t="str">
        <f>Medicaid!G133</f>
        <v>No</v>
      </c>
      <c r="P141" t="str">
        <f>Medicaid!K133</f>
        <v>No</v>
      </c>
    </row>
    <row r="142" spans="1:16" ht="15" customHeight="1" x14ac:dyDescent="0.25">
      <c r="A142" s="3">
        <v>62500</v>
      </c>
      <c r="B142" s="3">
        <f t="shared" si="23"/>
        <v>5208.333333333333</v>
      </c>
      <c r="C142" s="3">
        <f t="shared" si="24"/>
        <v>436.97916666666663</v>
      </c>
      <c r="D142" s="64">
        <f t="shared" si="26"/>
        <v>2.8881700554528651</v>
      </c>
      <c r="E142" s="50">
        <f t="shared" si="25"/>
        <v>0.02</v>
      </c>
      <c r="F142" s="50">
        <f t="shared" si="19"/>
        <v>0.06</v>
      </c>
      <c r="G142" s="69">
        <f t="shared" si="20"/>
        <v>4508.333333333333</v>
      </c>
      <c r="H142" s="70">
        <f t="shared" si="21"/>
        <v>5391.9666666666672</v>
      </c>
      <c r="I142" s="70">
        <f t="shared" si="22"/>
        <v>4490.3</v>
      </c>
      <c r="J142" s="53">
        <f t="shared" si="14"/>
        <v>270.07085643869351</v>
      </c>
      <c r="K142" s="53">
        <f t="shared" si="15"/>
        <v>933</v>
      </c>
      <c r="L142" s="289">
        <f t="shared" si="16"/>
        <v>662.92914356130655</v>
      </c>
      <c r="N142" s="7">
        <f t="shared" si="17"/>
        <v>7955.1497227356786</v>
      </c>
      <c r="O142" t="str">
        <f>Medicaid!G134</f>
        <v>No</v>
      </c>
      <c r="P142" t="str">
        <f>Medicaid!K134</f>
        <v>No</v>
      </c>
    </row>
    <row r="143" spans="1:16" ht="15" customHeight="1" x14ac:dyDescent="0.25">
      <c r="A143" s="3">
        <v>63000</v>
      </c>
      <c r="B143" s="3">
        <f t="shared" si="23"/>
        <v>5250</v>
      </c>
      <c r="C143" s="3">
        <f t="shared" si="24"/>
        <v>440.47500000000002</v>
      </c>
      <c r="D143" s="64">
        <f t="shared" si="26"/>
        <v>2.9112754158964882</v>
      </c>
      <c r="E143" s="50">
        <f t="shared" si="25"/>
        <v>0.02</v>
      </c>
      <c r="F143" s="50">
        <f t="shared" si="19"/>
        <v>0.06</v>
      </c>
      <c r="G143" s="69">
        <f t="shared" si="20"/>
        <v>4508.333333333333</v>
      </c>
      <c r="H143" s="70">
        <f t="shared" si="21"/>
        <v>5391.9666666666672</v>
      </c>
      <c r="I143" s="70">
        <f t="shared" si="22"/>
        <v>4490.3</v>
      </c>
      <c r="J143" s="53">
        <f t="shared" si="14"/>
        <v>281.93567467652485</v>
      </c>
      <c r="K143" s="53">
        <f t="shared" si="15"/>
        <v>933</v>
      </c>
      <c r="L143" s="289">
        <f t="shared" si="16"/>
        <v>651.06432532347515</v>
      </c>
      <c r="N143" s="7">
        <f t="shared" si="17"/>
        <v>7812.7719038817013</v>
      </c>
      <c r="O143" t="str">
        <f>Medicaid!G135</f>
        <v>No</v>
      </c>
      <c r="P143" t="str">
        <f>Medicaid!K135</f>
        <v>No</v>
      </c>
    </row>
    <row r="144" spans="1:16" ht="15" customHeight="1" x14ac:dyDescent="0.25">
      <c r="A144" s="3">
        <v>63500</v>
      </c>
      <c r="B144" s="3">
        <f t="shared" si="23"/>
        <v>5291.666666666667</v>
      </c>
      <c r="C144" s="3">
        <f t="shared" si="24"/>
        <v>443.97083333333336</v>
      </c>
      <c r="D144" s="64">
        <f t="shared" si="26"/>
        <v>2.9343807763401113</v>
      </c>
      <c r="E144" s="50">
        <f t="shared" si="25"/>
        <v>0.02</v>
      </c>
      <c r="F144" s="50">
        <f t="shared" si="19"/>
        <v>0.06</v>
      </c>
      <c r="G144" s="69">
        <f t="shared" si="20"/>
        <v>4508.333333333333</v>
      </c>
      <c r="H144" s="70">
        <f t="shared" si="21"/>
        <v>5391.9666666666672</v>
      </c>
      <c r="I144" s="70">
        <f t="shared" si="22"/>
        <v>4490.3</v>
      </c>
      <c r="J144" s="53">
        <f t="shared" si="14"/>
        <v>293.95452865064692</v>
      </c>
      <c r="K144" s="53">
        <f t="shared" si="15"/>
        <v>933</v>
      </c>
      <c r="L144" s="289">
        <f t="shared" si="16"/>
        <v>639.04547134935308</v>
      </c>
      <c r="N144" s="7">
        <f t="shared" si="17"/>
        <v>7668.5456561922365</v>
      </c>
      <c r="O144" t="str">
        <f>Medicaid!G136</f>
        <v>No</v>
      </c>
      <c r="P144" t="str">
        <f>Medicaid!K136</f>
        <v>No</v>
      </c>
    </row>
    <row r="145" spans="1:16" ht="15" customHeight="1" x14ac:dyDescent="0.25">
      <c r="A145" s="3">
        <v>64000</v>
      </c>
      <c r="B145" s="3">
        <f t="shared" si="23"/>
        <v>5333.333333333333</v>
      </c>
      <c r="C145" s="3">
        <f t="shared" si="24"/>
        <v>447.46666666666664</v>
      </c>
      <c r="D145" s="64">
        <f t="shared" si="26"/>
        <v>2.957486136783734</v>
      </c>
      <c r="E145" s="50">
        <f t="shared" si="25"/>
        <v>0.02</v>
      </c>
      <c r="F145" s="50">
        <f t="shared" si="19"/>
        <v>0.06</v>
      </c>
      <c r="G145" s="69">
        <f t="shared" si="20"/>
        <v>4508.333333333333</v>
      </c>
      <c r="H145" s="70">
        <f t="shared" si="21"/>
        <v>5391.9666666666672</v>
      </c>
      <c r="I145" s="70">
        <f t="shared" si="22"/>
        <v>4490.3</v>
      </c>
      <c r="J145" s="53">
        <f t="shared" si="14"/>
        <v>306.12741836105954</v>
      </c>
      <c r="K145" s="53">
        <f t="shared" si="15"/>
        <v>933</v>
      </c>
      <c r="L145" s="289">
        <f t="shared" si="16"/>
        <v>626.87258163894046</v>
      </c>
      <c r="N145" s="7">
        <f t="shared" si="17"/>
        <v>7522.4709796672851</v>
      </c>
      <c r="O145" t="str">
        <f>Medicaid!G137</f>
        <v>No</v>
      </c>
      <c r="P145" t="str">
        <f>Medicaid!K137</f>
        <v>No</v>
      </c>
    </row>
    <row r="146" spans="1:16" ht="15" customHeight="1" x14ac:dyDescent="0.25">
      <c r="A146" s="3">
        <v>64500</v>
      </c>
      <c r="B146" s="3">
        <f t="shared" si="23"/>
        <v>5375</v>
      </c>
      <c r="C146" s="3">
        <f t="shared" si="24"/>
        <v>450.96250000000003</v>
      </c>
      <c r="D146" s="64">
        <f t="shared" si="26"/>
        <v>2.9805914972273571</v>
      </c>
      <c r="E146" s="50">
        <f t="shared" si="25"/>
        <v>0.02</v>
      </c>
      <c r="F146" s="50">
        <f t="shared" si="19"/>
        <v>0.06</v>
      </c>
      <c r="G146" s="69">
        <f t="shared" si="20"/>
        <v>4508.333333333333</v>
      </c>
      <c r="H146" s="70">
        <f t="shared" si="21"/>
        <v>5391.9666666666672</v>
      </c>
      <c r="I146" s="70">
        <f t="shared" si="22"/>
        <v>4490.3</v>
      </c>
      <c r="J146" s="53">
        <f t="shared" ref="J146:J209" si="27">B146*(E146+(B146-I146)*(F146-E146)/(H146-I146))</f>
        <v>318.45434380776322</v>
      </c>
      <c r="K146" s="53">
        <f t="shared" ref="K146:K209" si="28">SUM(IF(O146="Yes",0,$C$12),IF(P146="Yes",0,$C$13))</f>
        <v>933</v>
      </c>
      <c r="L146" s="289">
        <f t="shared" ref="L146:L209" si="29">MAX(0,K146-J146)</f>
        <v>614.54565619223672</v>
      </c>
      <c r="N146" s="7">
        <f t="shared" ref="N146:N209" si="30">MAX(0,L146*12)</f>
        <v>7374.5478743068406</v>
      </c>
      <c r="O146" t="str">
        <f>Medicaid!G138</f>
        <v>No</v>
      </c>
      <c r="P146" t="str">
        <f>Medicaid!K138</f>
        <v>No</v>
      </c>
    </row>
    <row r="147" spans="1:16" ht="15" customHeight="1" x14ac:dyDescent="0.25">
      <c r="A147" s="3">
        <v>65000</v>
      </c>
      <c r="B147" s="3">
        <f t="shared" si="23"/>
        <v>5416.666666666667</v>
      </c>
      <c r="C147" s="3">
        <f t="shared" si="24"/>
        <v>454.45833333333337</v>
      </c>
      <c r="D147" s="64">
        <f t="shared" si="26"/>
        <v>3.0036968576709802</v>
      </c>
      <c r="E147" s="50">
        <f t="shared" si="25"/>
        <v>0.06</v>
      </c>
      <c r="F147" s="50">
        <f t="shared" ref="F147:F210" si="31">IF(D147&gt;3.99,0.085,IF(D147&gt;2.99,0.085,IF(D147&gt;2.49,0.06,IF(D147&gt;1.99,0.04,IF(D147&gt;1.49,0.02,0)))))</f>
        <v>8.5000000000000006E-2</v>
      </c>
      <c r="G147" s="69">
        <f t="shared" ref="G147:G210" si="32">IF(D147&gt;3.99,$M$7,IF(D147&gt;2.99,$M$6,IF(D147&gt;2.49,$M$5,IF(D147&gt;1.99,$M$4,IF(D147&gt;1.49,$M$3,0)))))</f>
        <v>5410</v>
      </c>
      <c r="H147" s="70">
        <f t="shared" ref="H147:H210" si="33">IF(D147&gt;3.99,$N$7,IF(D147&gt;2.99,$N$6,IF(D147&gt;2.49,$N$5,IF(D147&gt;1.99,$N$4,IF(D147&gt;1.49,$N$3,IF(D147&gt;=0,$N$2,0))))))</f>
        <v>7195.3</v>
      </c>
      <c r="I147" s="70">
        <f t="shared" ref="I147:I210" si="34">IF(D147&gt;3.99,$N$6,IF(D147&gt;2.99,$N$5,IF(D147&gt;2.49,$N$4,IF(D147&gt;1.99,$N$3,IF(D147&gt;1.49,$N$2,IF(D147&gt;=0,0))))))</f>
        <v>5391.9666666666672</v>
      </c>
      <c r="J147" s="53">
        <f t="shared" si="27"/>
        <v>326.85478280961183</v>
      </c>
      <c r="K147" s="53">
        <f t="shared" si="28"/>
        <v>933</v>
      </c>
      <c r="L147" s="289">
        <f t="shared" si="29"/>
        <v>606.14521719038817</v>
      </c>
      <c r="N147" s="7">
        <f t="shared" si="30"/>
        <v>7273.742606284658</v>
      </c>
      <c r="O147" t="str">
        <f>Medicaid!G139</f>
        <v>No</v>
      </c>
      <c r="P147" t="str">
        <f>Medicaid!K139</f>
        <v>No</v>
      </c>
    </row>
    <row r="148" spans="1:16" ht="15" customHeight="1" x14ac:dyDescent="0.25">
      <c r="A148" s="3">
        <v>65500</v>
      </c>
      <c r="B148" s="3">
        <f t="shared" ref="B148:B211" si="35">A148/12</f>
        <v>5458.333333333333</v>
      </c>
      <c r="C148" s="3">
        <f t="shared" ref="C148:C211" si="36">B148*0.0839</f>
        <v>457.95416666666665</v>
      </c>
      <c r="D148" s="64">
        <f t="shared" si="26"/>
        <v>3.0268022181146024</v>
      </c>
      <c r="E148" s="50">
        <f t="shared" si="25"/>
        <v>0.06</v>
      </c>
      <c r="F148" s="50">
        <f t="shared" si="31"/>
        <v>8.5000000000000006E-2</v>
      </c>
      <c r="G148" s="69">
        <f t="shared" si="32"/>
        <v>5410</v>
      </c>
      <c r="H148" s="70">
        <f t="shared" si="33"/>
        <v>7195.3</v>
      </c>
      <c r="I148" s="70">
        <f t="shared" si="34"/>
        <v>5391.9666666666672</v>
      </c>
      <c r="J148" s="53">
        <f t="shared" si="27"/>
        <v>332.5219693468884</v>
      </c>
      <c r="K148" s="53">
        <f t="shared" si="28"/>
        <v>933</v>
      </c>
      <c r="L148" s="289">
        <f t="shared" si="29"/>
        <v>600.47803065311155</v>
      </c>
      <c r="N148" s="7">
        <f t="shared" si="30"/>
        <v>7205.7363678373385</v>
      </c>
      <c r="O148" t="str">
        <f>Medicaid!G140</f>
        <v>No</v>
      </c>
      <c r="P148" t="str">
        <f>Medicaid!K140</f>
        <v>No</v>
      </c>
    </row>
    <row r="149" spans="1:16" ht="15" customHeight="1" x14ac:dyDescent="0.25">
      <c r="A149" s="3">
        <v>66000</v>
      </c>
      <c r="B149" s="3">
        <f t="shared" si="35"/>
        <v>5500</v>
      </c>
      <c r="C149" s="3">
        <f t="shared" si="36"/>
        <v>461.45</v>
      </c>
      <c r="D149" s="64">
        <f t="shared" si="26"/>
        <v>3.0499075785582255</v>
      </c>
      <c r="E149" s="50">
        <f t="shared" si="25"/>
        <v>0.06</v>
      </c>
      <c r="F149" s="50">
        <f t="shared" si="31"/>
        <v>8.5000000000000006E-2</v>
      </c>
      <c r="G149" s="69">
        <f t="shared" si="32"/>
        <v>5410</v>
      </c>
      <c r="H149" s="70">
        <f t="shared" si="33"/>
        <v>7195.3</v>
      </c>
      <c r="I149" s="70">
        <f t="shared" si="34"/>
        <v>5391.9666666666672</v>
      </c>
      <c r="J149" s="53">
        <f t="shared" si="27"/>
        <v>338.23729205175596</v>
      </c>
      <c r="K149" s="53">
        <f t="shared" si="28"/>
        <v>933</v>
      </c>
      <c r="L149" s="289">
        <f t="shared" si="29"/>
        <v>594.76270794824404</v>
      </c>
      <c r="N149" s="7">
        <f t="shared" si="30"/>
        <v>7137.1524953789285</v>
      </c>
      <c r="O149" t="str">
        <f>Medicaid!G141</f>
        <v>No</v>
      </c>
      <c r="P149" t="str">
        <f>Medicaid!K141</f>
        <v>No</v>
      </c>
    </row>
    <row r="150" spans="1:16" ht="15" customHeight="1" x14ac:dyDescent="0.25">
      <c r="A150" s="3">
        <v>66500</v>
      </c>
      <c r="B150" s="3">
        <f t="shared" si="35"/>
        <v>5541.666666666667</v>
      </c>
      <c r="C150" s="3">
        <f t="shared" si="36"/>
        <v>464.94583333333338</v>
      </c>
      <c r="D150" s="64">
        <f t="shared" si="26"/>
        <v>3.0730129390018486</v>
      </c>
      <c r="E150" s="50">
        <f t="shared" si="25"/>
        <v>0.06</v>
      </c>
      <c r="F150" s="50">
        <f t="shared" si="31"/>
        <v>8.5000000000000006E-2</v>
      </c>
      <c r="G150" s="69">
        <f t="shared" si="32"/>
        <v>5410</v>
      </c>
      <c r="H150" s="70">
        <f t="shared" si="33"/>
        <v>7195.3</v>
      </c>
      <c r="I150" s="70">
        <f t="shared" si="34"/>
        <v>5391.9666666666672</v>
      </c>
      <c r="J150" s="53">
        <f t="shared" si="27"/>
        <v>344.0007509242144</v>
      </c>
      <c r="K150" s="53">
        <f t="shared" si="28"/>
        <v>933</v>
      </c>
      <c r="L150" s="289">
        <f t="shared" si="29"/>
        <v>588.99924907578566</v>
      </c>
      <c r="N150" s="7">
        <f t="shared" si="30"/>
        <v>7067.9909889094279</v>
      </c>
      <c r="O150" t="str">
        <f>Medicaid!G142</f>
        <v>No</v>
      </c>
      <c r="P150" t="str">
        <f>Medicaid!K142</f>
        <v>No</v>
      </c>
    </row>
    <row r="151" spans="1:16" ht="15" customHeight="1" x14ac:dyDescent="0.25">
      <c r="A151" s="3">
        <v>67000</v>
      </c>
      <c r="B151" s="3">
        <f t="shared" si="35"/>
        <v>5583.333333333333</v>
      </c>
      <c r="C151" s="3">
        <f t="shared" si="36"/>
        <v>468.44166666666666</v>
      </c>
      <c r="D151" s="64">
        <f t="shared" si="26"/>
        <v>3.0961182994454712</v>
      </c>
      <c r="E151" s="50">
        <f t="shared" si="25"/>
        <v>0.06</v>
      </c>
      <c r="F151" s="50">
        <f t="shared" si="31"/>
        <v>8.5000000000000006E-2</v>
      </c>
      <c r="G151" s="69">
        <f t="shared" si="32"/>
        <v>5410</v>
      </c>
      <c r="H151" s="70">
        <f t="shared" si="33"/>
        <v>7195.3</v>
      </c>
      <c r="I151" s="70">
        <f t="shared" si="34"/>
        <v>5391.9666666666672</v>
      </c>
      <c r="J151" s="53">
        <f t="shared" si="27"/>
        <v>349.81234596426367</v>
      </c>
      <c r="K151" s="53">
        <f t="shared" si="28"/>
        <v>933</v>
      </c>
      <c r="L151" s="289">
        <f t="shared" si="29"/>
        <v>583.18765403573639</v>
      </c>
      <c r="N151" s="7">
        <f t="shared" si="30"/>
        <v>6998.2518484288366</v>
      </c>
      <c r="O151" t="str">
        <f>Medicaid!G143</f>
        <v>No</v>
      </c>
      <c r="P151" t="str">
        <f>Medicaid!K143</f>
        <v>No</v>
      </c>
    </row>
    <row r="152" spans="1:16" ht="15" customHeight="1" x14ac:dyDescent="0.25">
      <c r="A152" s="3">
        <v>67500</v>
      </c>
      <c r="B152" s="3">
        <f t="shared" si="35"/>
        <v>5625</v>
      </c>
      <c r="C152" s="3">
        <f t="shared" si="36"/>
        <v>471.9375</v>
      </c>
      <c r="D152" s="64">
        <f t="shared" si="26"/>
        <v>3.1192236598890943</v>
      </c>
      <c r="E152" s="50">
        <f t="shared" si="25"/>
        <v>0.06</v>
      </c>
      <c r="F152" s="50">
        <f t="shared" si="31"/>
        <v>8.5000000000000006E-2</v>
      </c>
      <c r="G152" s="69">
        <f t="shared" si="32"/>
        <v>5410</v>
      </c>
      <c r="H152" s="70">
        <f t="shared" si="33"/>
        <v>7195.3</v>
      </c>
      <c r="I152" s="70">
        <f t="shared" si="34"/>
        <v>5391.9666666666672</v>
      </c>
      <c r="J152" s="53">
        <f t="shared" si="27"/>
        <v>355.67207717190382</v>
      </c>
      <c r="K152" s="53">
        <f t="shared" si="28"/>
        <v>933</v>
      </c>
      <c r="L152" s="289">
        <f t="shared" si="29"/>
        <v>577.32792282809623</v>
      </c>
      <c r="N152" s="7">
        <f t="shared" si="30"/>
        <v>6927.9350739371548</v>
      </c>
      <c r="O152" t="str">
        <f>Medicaid!G144</f>
        <v>No</v>
      </c>
      <c r="P152" t="str">
        <f>Medicaid!K144</f>
        <v>No</v>
      </c>
    </row>
    <row r="153" spans="1:16" ht="15" customHeight="1" x14ac:dyDescent="0.25">
      <c r="A153" s="3">
        <v>68000</v>
      </c>
      <c r="B153" s="3">
        <f t="shared" si="35"/>
        <v>5666.666666666667</v>
      </c>
      <c r="C153" s="3">
        <f t="shared" si="36"/>
        <v>475.43333333333339</v>
      </c>
      <c r="D153" s="64">
        <f t="shared" si="26"/>
        <v>3.1423290203327174</v>
      </c>
      <c r="E153" s="50">
        <f t="shared" si="25"/>
        <v>0.06</v>
      </c>
      <c r="F153" s="50">
        <f t="shared" si="31"/>
        <v>8.5000000000000006E-2</v>
      </c>
      <c r="G153" s="69">
        <f t="shared" si="32"/>
        <v>5410</v>
      </c>
      <c r="H153" s="70">
        <f t="shared" si="33"/>
        <v>7195.3</v>
      </c>
      <c r="I153" s="70">
        <f t="shared" si="34"/>
        <v>5391.9666666666672</v>
      </c>
      <c r="J153" s="53">
        <f t="shared" si="27"/>
        <v>361.57994454713491</v>
      </c>
      <c r="K153" s="53">
        <f t="shared" si="28"/>
        <v>933</v>
      </c>
      <c r="L153" s="289">
        <f t="shared" si="29"/>
        <v>571.42005545286509</v>
      </c>
      <c r="N153" s="7">
        <f t="shared" si="30"/>
        <v>6857.0406654343806</v>
      </c>
      <c r="O153" t="str">
        <f>Medicaid!G145</f>
        <v>No</v>
      </c>
      <c r="P153" t="str">
        <f>Medicaid!K145</f>
        <v>No</v>
      </c>
    </row>
    <row r="154" spans="1:16" ht="15" customHeight="1" x14ac:dyDescent="0.25">
      <c r="A154" s="3">
        <v>68500</v>
      </c>
      <c r="B154" s="3">
        <f t="shared" si="35"/>
        <v>5708.333333333333</v>
      </c>
      <c r="C154" s="3">
        <f t="shared" si="36"/>
        <v>478.92916666666667</v>
      </c>
      <c r="D154" s="64">
        <f t="shared" si="26"/>
        <v>3.1654343807763401</v>
      </c>
      <c r="E154" s="50">
        <f t="shared" si="25"/>
        <v>0.06</v>
      </c>
      <c r="F154" s="50">
        <f t="shared" si="31"/>
        <v>8.5000000000000006E-2</v>
      </c>
      <c r="G154" s="69">
        <f t="shared" si="32"/>
        <v>5410</v>
      </c>
      <c r="H154" s="70">
        <f t="shared" si="33"/>
        <v>7195.3</v>
      </c>
      <c r="I154" s="70">
        <f t="shared" si="34"/>
        <v>5391.9666666666672</v>
      </c>
      <c r="J154" s="53">
        <f t="shared" si="27"/>
        <v>367.53594808995678</v>
      </c>
      <c r="K154" s="53">
        <f t="shared" si="28"/>
        <v>933</v>
      </c>
      <c r="L154" s="289">
        <f t="shared" si="29"/>
        <v>565.46405191004328</v>
      </c>
      <c r="N154" s="7">
        <f t="shared" si="30"/>
        <v>6785.5686229205194</v>
      </c>
      <c r="O154" t="str">
        <f>Medicaid!G146</f>
        <v>No</v>
      </c>
      <c r="P154" t="str">
        <f>Medicaid!K146</f>
        <v>No</v>
      </c>
    </row>
    <row r="155" spans="1:16" ht="15" customHeight="1" x14ac:dyDescent="0.25">
      <c r="A155" s="3">
        <v>69000</v>
      </c>
      <c r="B155" s="3">
        <f t="shared" si="35"/>
        <v>5750</v>
      </c>
      <c r="C155" s="3">
        <f t="shared" si="36"/>
        <v>482.42500000000001</v>
      </c>
      <c r="D155" s="64">
        <f t="shared" si="26"/>
        <v>3.1885397412199632</v>
      </c>
      <c r="E155" s="50">
        <f t="shared" si="25"/>
        <v>0.06</v>
      </c>
      <c r="F155" s="50">
        <f t="shared" si="31"/>
        <v>8.5000000000000006E-2</v>
      </c>
      <c r="G155" s="69">
        <f t="shared" si="32"/>
        <v>5410</v>
      </c>
      <c r="H155" s="70">
        <f t="shared" si="33"/>
        <v>7195.3</v>
      </c>
      <c r="I155" s="70">
        <f t="shared" si="34"/>
        <v>5391.9666666666672</v>
      </c>
      <c r="J155" s="53">
        <f t="shared" si="27"/>
        <v>373.54008780036969</v>
      </c>
      <c r="K155" s="53">
        <f t="shared" si="28"/>
        <v>933</v>
      </c>
      <c r="L155" s="289">
        <f t="shared" si="29"/>
        <v>559.45991219963025</v>
      </c>
      <c r="N155" s="7">
        <f t="shared" si="30"/>
        <v>6713.518946395563</v>
      </c>
      <c r="O155" t="str">
        <f>Medicaid!G147</f>
        <v>No</v>
      </c>
      <c r="P155" t="str">
        <f>Medicaid!K147</f>
        <v>No</v>
      </c>
    </row>
    <row r="156" spans="1:16" ht="15" customHeight="1" x14ac:dyDescent="0.25">
      <c r="A156" s="3">
        <v>69500</v>
      </c>
      <c r="B156" s="3">
        <f t="shared" si="35"/>
        <v>5791.666666666667</v>
      </c>
      <c r="C156" s="3">
        <f t="shared" si="36"/>
        <v>485.92083333333335</v>
      </c>
      <c r="D156" s="64">
        <f t="shared" si="26"/>
        <v>3.2116451016635863</v>
      </c>
      <c r="E156" s="50">
        <f t="shared" si="25"/>
        <v>0.06</v>
      </c>
      <c r="F156" s="50">
        <f t="shared" si="31"/>
        <v>8.5000000000000006E-2</v>
      </c>
      <c r="G156" s="69">
        <f t="shared" si="32"/>
        <v>5410</v>
      </c>
      <c r="H156" s="70">
        <f t="shared" si="33"/>
        <v>7195.3</v>
      </c>
      <c r="I156" s="70">
        <f t="shared" si="34"/>
        <v>5391.9666666666672</v>
      </c>
      <c r="J156" s="53">
        <f t="shared" si="27"/>
        <v>379.59236367837343</v>
      </c>
      <c r="K156" s="53">
        <f t="shared" si="28"/>
        <v>933</v>
      </c>
      <c r="L156" s="289">
        <f t="shared" si="29"/>
        <v>553.40763632162657</v>
      </c>
      <c r="N156" s="7">
        <f t="shared" si="30"/>
        <v>6640.8916358595188</v>
      </c>
      <c r="O156" t="str">
        <f>Medicaid!G148</f>
        <v>No</v>
      </c>
      <c r="P156" t="str">
        <f>Medicaid!K148</f>
        <v>No</v>
      </c>
    </row>
    <row r="157" spans="1:16" ht="15" customHeight="1" x14ac:dyDescent="0.25">
      <c r="A157" s="3">
        <v>70000</v>
      </c>
      <c r="B157" s="3">
        <f t="shared" si="35"/>
        <v>5833.333333333333</v>
      </c>
      <c r="C157" s="3">
        <f t="shared" si="36"/>
        <v>489.41666666666663</v>
      </c>
      <c r="D157" s="64">
        <f t="shared" si="26"/>
        <v>3.234750462107209</v>
      </c>
      <c r="E157" s="50">
        <f t="shared" si="25"/>
        <v>0.06</v>
      </c>
      <c r="F157" s="50">
        <f t="shared" si="31"/>
        <v>8.5000000000000006E-2</v>
      </c>
      <c r="G157" s="69">
        <f t="shared" si="32"/>
        <v>5410</v>
      </c>
      <c r="H157" s="70">
        <f t="shared" si="33"/>
        <v>7195.3</v>
      </c>
      <c r="I157" s="70">
        <f t="shared" si="34"/>
        <v>5391.9666666666672</v>
      </c>
      <c r="J157" s="53">
        <f t="shared" si="27"/>
        <v>385.69277572396783</v>
      </c>
      <c r="K157" s="53">
        <f t="shared" si="28"/>
        <v>933</v>
      </c>
      <c r="L157" s="289">
        <f t="shared" si="29"/>
        <v>547.30722427603223</v>
      </c>
      <c r="N157" s="7">
        <f t="shared" si="30"/>
        <v>6567.6866913123868</v>
      </c>
      <c r="O157" t="str">
        <f>Medicaid!G149</f>
        <v>No</v>
      </c>
      <c r="P157" t="str">
        <f>Medicaid!K149</f>
        <v>No</v>
      </c>
    </row>
    <row r="158" spans="1:16" ht="15" customHeight="1" x14ac:dyDescent="0.25">
      <c r="A158" s="3">
        <v>70500</v>
      </c>
      <c r="B158" s="3">
        <f t="shared" si="35"/>
        <v>5875</v>
      </c>
      <c r="C158" s="3">
        <f t="shared" si="36"/>
        <v>492.91250000000002</v>
      </c>
      <c r="D158" s="64">
        <f t="shared" si="26"/>
        <v>3.2578558225508321</v>
      </c>
      <c r="E158" s="50">
        <f t="shared" si="25"/>
        <v>0.06</v>
      </c>
      <c r="F158" s="50">
        <f t="shared" si="31"/>
        <v>8.5000000000000006E-2</v>
      </c>
      <c r="G158" s="69">
        <f t="shared" si="32"/>
        <v>5410</v>
      </c>
      <c r="H158" s="70">
        <f t="shared" si="33"/>
        <v>7195.3</v>
      </c>
      <c r="I158" s="70">
        <f t="shared" si="34"/>
        <v>5391.9666666666672</v>
      </c>
      <c r="J158" s="53">
        <f t="shared" si="27"/>
        <v>391.84132393715339</v>
      </c>
      <c r="K158" s="53">
        <f t="shared" si="28"/>
        <v>933</v>
      </c>
      <c r="L158" s="289">
        <f t="shared" si="29"/>
        <v>541.15867606284655</v>
      </c>
      <c r="N158" s="7">
        <f t="shared" si="30"/>
        <v>6493.9041127541586</v>
      </c>
      <c r="O158" t="str">
        <f>Medicaid!G150</f>
        <v>No</v>
      </c>
      <c r="P158" t="str">
        <f>Medicaid!K150</f>
        <v>No</v>
      </c>
    </row>
    <row r="159" spans="1:16" ht="15" customHeight="1" x14ac:dyDescent="0.25">
      <c r="A159" s="3">
        <v>71000</v>
      </c>
      <c r="B159" s="3">
        <f t="shared" si="35"/>
        <v>5916.666666666667</v>
      </c>
      <c r="C159" s="3">
        <f t="shared" si="36"/>
        <v>496.40833333333336</v>
      </c>
      <c r="D159" s="64">
        <f t="shared" si="26"/>
        <v>3.2809611829944552</v>
      </c>
      <c r="E159" s="50">
        <f t="shared" si="25"/>
        <v>0.06</v>
      </c>
      <c r="F159" s="50">
        <f t="shared" si="31"/>
        <v>8.5000000000000006E-2</v>
      </c>
      <c r="G159" s="69">
        <f t="shared" si="32"/>
        <v>5410</v>
      </c>
      <c r="H159" s="70">
        <f t="shared" si="33"/>
        <v>7195.3</v>
      </c>
      <c r="I159" s="70">
        <f t="shared" si="34"/>
        <v>5391.9666666666672</v>
      </c>
      <c r="J159" s="53">
        <f t="shared" si="27"/>
        <v>398.03800831792978</v>
      </c>
      <c r="K159" s="53">
        <f t="shared" si="28"/>
        <v>933</v>
      </c>
      <c r="L159" s="289">
        <f t="shared" si="29"/>
        <v>534.96199168207022</v>
      </c>
      <c r="N159" s="7">
        <f t="shared" si="30"/>
        <v>6419.5439001848426</v>
      </c>
      <c r="O159" t="str">
        <f>Medicaid!G151</f>
        <v>No</v>
      </c>
      <c r="P159" t="str">
        <f>Medicaid!K151</f>
        <v>No</v>
      </c>
    </row>
    <row r="160" spans="1:16" ht="15" customHeight="1" x14ac:dyDescent="0.25">
      <c r="A160" s="3">
        <v>71500</v>
      </c>
      <c r="B160" s="3">
        <f t="shared" si="35"/>
        <v>5958.333333333333</v>
      </c>
      <c r="C160" s="3">
        <f t="shared" si="36"/>
        <v>499.90416666666664</v>
      </c>
      <c r="D160" s="64">
        <f t="shared" si="26"/>
        <v>3.3040665434380778</v>
      </c>
      <c r="E160" s="50">
        <f t="shared" si="25"/>
        <v>0.06</v>
      </c>
      <c r="F160" s="50">
        <f t="shared" si="31"/>
        <v>8.5000000000000006E-2</v>
      </c>
      <c r="G160" s="69">
        <f t="shared" si="32"/>
        <v>5410</v>
      </c>
      <c r="H160" s="70">
        <f t="shared" si="33"/>
        <v>7195.3</v>
      </c>
      <c r="I160" s="70">
        <f t="shared" si="34"/>
        <v>5391.9666666666672</v>
      </c>
      <c r="J160" s="53">
        <f t="shared" si="27"/>
        <v>404.28282886629688</v>
      </c>
      <c r="K160" s="53">
        <f t="shared" si="28"/>
        <v>933</v>
      </c>
      <c r="L160" s="289">
        <f t="shared" si="29"/>
        <v>528.71717113370312</v>
      </c>
      <c r="N160" s="7">
        <f t="shared" si="30"/>
        <v>6344.606053604437</v>
      </c>
      <c r="O160" t="str">
        <f>Medicaid!G152</f>
        <v>No</v>
      </c>
      <c r="P160" t="str">
        <f>Medicaid!K152</f>
        <v>No</v>
      </c>
    </row>
    <row r="161" spans="1:16" ht="15" customHeight="1" x14ac:dyDescent="0.25">
      <c r="A161" s="3">
        <v>72000</v>
      </c>
      <c r="B161" s="3">
        <f t="shared" si="35"/>
        <v>6000</v>
      </c>
      <c r="C161" s="3">
        <f t="shared" si="36"/>
        <v>503.40000000000003</v>
      </c>
      <c r="D161" s="64">
        <f t="shared" si="26"/>
        <v>3.3271719038817005</v>
      </c>
      <c r="E161" s="50">
        <f t="shared" si="25"/>
        <v>0.06</v>
      </c>
      <c r="F161" s="50">
        <f t="shared" si="31"/>
        <v>8.5000000000000006E-2</v>
      </c>
      <c r="G161" s="69">
        <f t="shared" si="32"/>
        <v>5410</v>
      </c>
      <c r="H161" s="70">
        <f t="shared" si="33"/>
        <v>7195.3</v>
      </c>
      <c r="I161" s="70">
        <f t="shared" si="34"/>
        <v>5391.9666666666672</v>
      </c>
      <c r="J161" s="53">
        <f t="shared" si="27"/>
        <v>410.57578558225509</v>
      </c>
      <c r="K161" s="53">
        <f t="shared" si="28"/>
        <v>933</v>
      </c>
      <c r="L161" s="289">
        <f t="shared" si="29"/>
        <v>522.42421441774491</v>
      </c>
      <c r="N161" s="7">
        <f t="shared" si="30"/>
        <v>6269.0905730129389</v>
      </c>
      <c r="O161" t="str">
        <f>Medicaid!G153</f>
        <v>No</v>
      </c>
      <c r="P161" t="str">
        <f>Medicaid!K153</f>
        <v>No</v>
      </c>
    </row>
    <row r="162" spans="1:16" ht="15" customHeight="1" x14ac:dyDescent="0.25">
      <c r="A162" s="3">
        <v>72500</v>
      </c>
      <c r="B162" s="3">
        <f t="shared" si="35"/>
        <v>6041.666666666667</v>
      </c>
      <c r="C162" s="3">
        <f t="shared" si="36"/>
        <v>506.89583333333337</v>
      </c>
      <c r="D162" s="64">
        <f t="shared" si="26"/>
        <v>3.3502772643253236</v>
      </c>
      <c r="E162" s="50">
        <f t="shared" ref="E162:E217" si="37">IF(D162&gt;3.99,0.085,IF(D162&gt;2.99,0.06,IF(D162&gt;1.99,0.02,IF(D162&gt;1.49,0,0))))</f>
        <v>0.06</v>
      </c>
      <c r="F162" s="50">
        <f t="shared" si="31"/>
        <v>8.5000000000000006E-2</v>
      </c>
      <c r="G162" s="69">
        <f t="shared" si="32"/>
        <v>5410</v>
      </c>
      <c r="H162" s="70">
        <f t="shared" si="33"/>
        <v>7195.3</v>
      </c>
      <c r="I162" s="70">
        <f t="shared" si="34"/>
        <v>5391.9666666666672</v>
      </c>
      <c r="J162" s="53">
        <f t="shared" si="27"/>
        <v>416.91687846580413</v>
      </c>
      <c r="K162" s="53">
        <f t="shared" si="28"/>
        <v>933</v>
      </c>
      <c r="L162" s="289">
        <f t="shared" si="29"/>
        <v>516.08312153419593</v>
      </c>
      <c r="N162" s="7">
        <f t="shared" si="30"/>
        <v>6192.9974584103511</v>
      </c>
      <c r="O162" t="str">
        <f>Medicaid!G154</f>
        <v>No</v>
      </c>
      <c r="P162" t="str">
        <f>Medicaid!K154</f>
        <v>No</v>
      </c>
    </row>
    <row r="163" spans="1:16" ht="15" customHeight="1" x14ac:dyDescent="0.25">
      <c r="A163" s="3">
        <v>73000</v>
      </c>
      <c r="B163" s="3">
        <f t="shared" si="35"/>
        <v>6083.333333333333</v>
      </c>
      <c r="C163" s="3">
        <f t="shared" si="36"/>
        <v>510.39166666666665</v>
      </c>
      <c r="D163" s="64">
        <f t="shared" si="26"/>
        <v>3.3733826247689462</v>
      </c>
      <c r="E163" s="50">
        <f t="shared" si="37"/>
        <v>0.06</v>
      </c>
      <c r="F163" s="50">
        <f t="shared" si="31"/>
        <v>8.5000000000000006E-2</v>
      </c>
      <c r="G163" s="69">
        <f t="shared" si="32"/>
        <v>5410</v>
      </c>
      <c r="H163" s="70">
        <f t="shared" si="33"/>
        <v>7195.3</v>
      </c>
      <c r="I163" s="70">
        <f t="shared" si="34"/>
        <v>5391.9666666666672</v>
      </c>
      <c r="J163" s="53">
        <f t="shared" si="27"/>
        <v>423.30610751694388</v>
      </c>
      <c r="K163" s="53">
        <f t="shared" si="28"/>
        <v>933</v>
      </c>
      <c r="L163" s="289">
        <f t="shared" si="29"/>
        <v>509.69389248305612</v>
      </c>
      <c r="N163" s="7">
        <f t="shared" si="30"/>
        <v>6116.3267097966736</v>
      </c>
      <c r="O163" t="str">
        <f>Medicaid!G155</f>
        <v>No</v>
      </c>
      <c r="P163" t="str">
        <f>Medicaid!K155</f>
        <v>No</v>
      </c>
    </row>
    <row r="164" spans="1:16" ht="15" customHeight="1" x14ac:dyDescent="0.25">
      <c r="A164" s="3">
        <v>73500</v>
      </c>
      <c r="B164" s="3">
        <f t="shared" si="35"/>
        <v>6125</v>
      </c>
      <c r="C164" s="3">
        <f t="shared" si="36"/>
        <v>513.88750000000005</v>
      </c>
      <c r="D164" s="64">
        <f t="shared" si="26"/>
        <v>3.3964879852125693</v>
      </c>
      <c r="E164" s="50">
        <f t="shared" si="37"/>
        <v>0.06</v>
      </c>
      <c r="F164" s="50">
        <f t="shared" si="31"/>
        <v>8.5000000000000006E-2</v>
      </c>
      <c r="G164" s="69">
        <f t="shared" si="32"/>
        <v>5410</v>
      </c>
      <c r="H164" s="70">
        <f t="shared" si="33"/>
        <v>7195.3</v>
      </c>
      <c r="I164" s="70">
        <f t="shared" si="34"/>
        <v>5391.9666666666672</v>
      </c>
      <c r="J164" s="53">
        <f t="shared" si="27"/>
        <v>429.74347273567463</v>
      </c>
      <c r="K164" s="53">
        <f t="shared" si="28"/>
        <v>933</v>
      </c>
      <c r="L164" s="289">
        <f t="shared" si="29"/>
        <v>503.25652726432537</v>
      </c>
      <c r="N164" s="7">
        <f t="shared" si="30"/>
        <v>6039.0783271719047</v>
      </c>
      <c r="O164" t="str">
        <f>Medicaid!G156</f>
        <v>No</v>
      </c>
      <c r="P164" t="str">
        <f>Medicaid!K156</f>
        <v>No</v>
      </c>
    </row>
    <row r="165" spans="1:16" ht="15" customHeight="1" x14ac:dyDescent="0.25">
      <c r="A165" s="3">
        <v>74000</v>
      </c>
      <c r="B165" s="3">
        <f t="shared" si="35"/>
        <v>6166.666666666667</v>
      </c>
      <c r="C165" s="3">
        <f t="shared" si="36"/>
        <v>517.38333333333333</v>
      </c>
      <c r="D165" s="64">
        <f t="shared" si="26"/>
        <v>3.4195933456561924</v>
      </c>
      <c r="E165" s="50">
        <f t="shared" si="37"/>
        <v>0.06</v>
      </c>
      <c r="F165" s="50">
        <f t="shared" si="31"/>
        <v>8.5000000000000006E-2</v>
      </c>
      <c r="G165" s="69">
        <f t="shared" si="32"/>
        <v>5410</v>
      </c>
      <c r="H165" s="70">
        <f t="shared" si="33"/>
        <v>7195.3</v>
      </c>
      <c r="I165" s="70">
        <f t="shared" si="34"/>
        <v>5391.9666666666672</v>
      </c>
      <c r="J165" s="53">
        <f t="shared" si="27"/>
        <v>436.22897412199632</v>
      </c>
      <c r="K165" s="53">
        <f t="shared" si="28"/>
        <v>933</v>
      </c>
      <c r="L165" s="289">
        <f t="shared" si="29"/>
        <v>496.77102587800368</v>
      </c>
      <c r="N165" s="7">
        <f t="shared" si="30"/>
        <v>5961.2523105360442</v>
      </c>
      <c r="O165" t="str">
        <f>Medicaid!G157</f>
        <v>No</v>
      </c>
      <c r="P165" t="str">
        <f>Medicaid!K157</f>
        <v>No</v>
      </c>
    </row>
    <row r="166" spans="1:16" ht="15" customHeight="1" x14ac:dyDescent="0.25">
      <c r="A166" s="3">
        <v>74500</v>
      </c>
      <c r="B166" s="3">
        <f t="shared" si="35"/>
        <v>6208.333333333333</v>
      </c>
      <c r="C166" s="3">
        <f t="shared" si="36"/>
        <v>520.87916666666661</v>
      </c>
      <c r="D166" s="64">
        <f t="shared" si="26"/>
        <v>3.4426987060998151</v>
      </c>
      <c r="E166" s="50">
        <f t="shared" si="37"/>
        <v>0.06</v>
      </c>
      <c r="F166" s="50">
        <f t="shared" si="31"/>
        <v>8.5000000000000006E-2</v>
      </c>
      <c r="G166" s="69">
        <f t="shared" si="32"/>
        <v>5410</v>
      </c>
      <c r="H166" s="70">
        <f t="shared" si="33"/>
        <v>7195.3</v>
      </c>
      <c r="I166" s="70">
        <f t="shared" si="34"/>
        <v>5391.9666666666672</v>
      </c>
      <c r="J166" s="53">
        <f t="shared" si="27"/>
        <v>442.76261167590877</v>
      </c>
      <c r="K166" s="53">
        <f t="shared" si="28"/>
        <v>933</v>
      </c>
      <c r="L166" s="289">
        <f t="shared" si="29"/>
        <v>490.23738832409123</v>
      </c>
      <c r="N166" s="7">
        <f t="shared" si="30"/>
        <v>5882.848659889095</v>
      </c>
      <c r="O166" t="str">
        <f>Medicaid!G158</f>
        <v>No</v>
      </c>
      <c r="P166" t="str">
        <f>Medicaid!K158</f>
        <v>No</v>
      </c>
    </row>
    <row r="167" spans="1:16" ht="15" customHeight="1" x14ac:dyDescent="0.25">
      <c r="A167" s="3">
        <v>75000</v>
      </c>
      <c r="B167" s="3">
        <f t="shared" si="35"/>
        <v>6250</v>
      </c>
      <c r="C167" s="3">
        <f t="shared" si="36"/>
        <v>524.375</v>
      </c>
      <c r="D167" s="64">
        <f t="shared" si="26"/>
        <v>3.4658040665434382</v>
      </c>
      <c r="E167" s="50">
        <f t="shared" si="37"/>
        <v>0.06</v>
      </c>
      <c r="F167" s="50">
        <f t="shared" si="31"/>
        <v>8.5000000000000006E-2</v>
      </c>
      <c r="G167" s="69">
        <f t="shared" si="32"/>
        <v>5410</v>
      </c>
      <c r="H167" s="70">
        <f t="shared" si="33"/>
        <v>7195.3</v>
      </c>
      <c r="I167" s="70">
        <f t="shared" si="34"/>
        <v>5391.9666666666672</v>
      </c>
      <c r="J167" s="53">
        <f t="shared" si="27"/>
        <v>449.34438539741222</v>
      </c>
      <c r="K167" s="53">
        <f t="shared" si="28"/>
        <v>933</v>
      </c>
      <c r="L167" s="289">
        <f t="shared" si="29"/>
        <v>483.65561460258778</v>
      </c>
      <c r="N167" s="7">
        <f t="shared" si="30"/>
        <v>5803.8673752310533</v>
      </c>
      <c r="O167" t="str">
        <f>Medicaid!G159</f>
        <v>No</v>
      </c>
      <c r="P167" t="str">
        <f>Medicaid!K159</f>
        <v>No</v>
      </c>
    </row>
    <row r="168" spans="1:16" ht="15" customHeight="1" x14ac:dyDescent="0.25">
      <c r="A168" s="3">
        <v>75500</v>
      </c>
      <c r="B168" s="3">
        <f t="shared" si="35"/>
        <v>6291.666666666667</v>
      </c>
      <c r="C168" s="3">
        <f t="shared" si="36"/>
        <v>527.87083333333339</v>
      </c>
      <c r="D168" s="64">
        <f t="shared" si="26"/>
        <v>3.4889094269870613</v>
      </c>
      <c r="E168" s="50">
        <f t="shared" si="37"/>
        <v>0.06</v>
      </c>
      <c r="F168" s="50">
        <f t="shared" si="31"/>
        <v>8.5000000000000006E-2</v>
      </c>
      <c r="G168" s="69">
        <f t="shared" si="32"/>
        <v>5410</v>
      </c>
      <c r="H168" s="70">
        <f t="shared" si="33"/>
        <v>7195.3</v>
      </c>
      <c r="I168" s="70">
        <f t="shared" si="34"/>
        <v>5391.9666666666672</v>
      </c>
      <c r="J168" s="53">
        <f t="shared" si="27"/>
        <v>455.97429528650645</v>
      </c>
      <c r="K168" s="53">
        <f t="shared" si="28"/>
        <v>933</v>
      </c>
      <c r="L168" s="289">
        <f t="shared" si="29"/>
        <v>477.02570471349355</v>
      </c>
      <c r="N168" s="7">
        <f t="shared" si="30"/>
        <v>5724.3084565619229</v>
      </c>
      <c r="O168" t="str">
        <f>Medicaid!G160</f>
        <v>No</v>
      </c>
      <c r="P168" t="str">
        <f>Medicaid!K160</f>
        <v>No</v>
      </c>
    </row>
    <row r="169" spans="1:16" ht="15" customHeight="1" x14ac:dyDescent="0.25">
      <c r="A169" s="3">
        <v>76000</v>
      </c>
      <c r="B169" s="3">
        <f t="shared" si="35"/>
        <v>6333.333333333333</v>
      </c>
      <c r="C169" s="3">
        <f t="shared" si="36"/>
        <v>531.36666666666667</v>
      </c>
      <c r="D169" s="64">
        <f t="shared" si="26"/>
        <v>3.512014787430684</v>
      </c>
      <c r="E169" s="50">
        <f t="shared" si="37"/>
        <v>0.06</v>
      </c>
      <c r="F169" s="50">
        <f t="shared" si="31"/>
        <v>8.5000000000000006E-2</v>
      </c>
      <c r="G169" s="69">
        <f t="shared" si="32"/>
        <v>5410</v>
      </c>
      <c r="H169" s="70">
        <f t="shared" si="33"/>
        <v>7195.3</v>
      </c>
      <c r="I169" s="70">
        <f t="shared" si="34"/>
        <v>5391.9666666666672</v>
      </c>
      <c r="J169" s="53">
        <f t="shared" si="27"/>
        <v>462.65234134319149</v>
      </c>
      <c r="K169" s="53">
        <f t="shared" si="28"/>
        <v>933</v>
      </c>
      <c r="L169" s="289">
        <f t="shared" si="29"/>
        <v>470.34765865680851</v>
      </c>
      <c r="N169" s="7">
        <f t="shared" si="30"/>
        <v>5644.1719038817018</v>
      </c>
      <c r="O169" t="str">
        <f>Medicaid!G161</f>
        <v>No</v>
      </c>
      <c r="P169" t="str">
        <f>Medicaid!K161</f>
        <v>No</v>
      </c>
    </row>
    <row r="170" spans="1:16" ht="15" customHeight="1" x14ac:dyDescent="0.25">
      <c r="A170" s="3">
        <v>76500</v>
      </c>
      <c r="B170" s="3">
        <f t="shared" si="35"/>
        <v>6375</v>
      </c>
      <c r="C170" s="3">
        <f t="shared" si="36"/>
        <v>534.86250000000007</v>
      </c>
      <c r="D170" s="64">
        <f t="shared" si="26"/>
        <v>3.5351201478743071</v>
      </c>
      <c r="E170" s="50">
        <f t="shared" si="37"/>
        <v>0.06</v>
      </c>
      <c r="F170" s="50">
        <f t="shared" si="31"/>
        <v>8.5000000000000006E-2</v>
      </c>
      <c r="G170" s="69">
        <f t="shared" si="32"/>
        <v>5410</v>
      </c>
      <c r="H170" s="70">
        <f t="shared" si="33"/>
        <v>7195.3</v>
      </c>
      <c r="I170" s="70">
        <f t="shared" si="34"/>
        <v>5391.9666666666672</v>
      </c>
      <c r="J170" s="53">
        <f t="shared" si="27"/>
        <v>469.3785235674676</v>
      </c>
      <c r="K170" s="53">
        <f t="shared" si="28"/>
        <v>933</v>
      </c>
      <c r="L170" s="289">
        <f t="shared" si="29"/>
        <v>463.6214764325324</v>
      </c>
      <c r="N170" s="7">
        <f t="shared" si="30"/>
        <v>5563.4577171903893</v>
      </c>
      <c r="O170" t="str">
        <f>Medicaid!G162</f>
        <v>No</v>
      </c>
      <c r="P170" t="str">
        <f>Medicaid!K162</f>
        <v>No</v>
      </c>
    </row>
    <row r="171" spans="1:16" ht="15" customHeight="1" x14ac:dyDescent="0.25">
      <c r="A171" s="3">
        <v>77000</v>
      </c>
      <c r="B171" s="3">
        <f t="shared" si="35"/>
        <v>6416.666666666667</v>
      </c>
      <c r="C171" s="3">
        <f t="shared" si="36"/>
        <v>538.35833333333335</v>
      </c>
      <c r="D171" s="64">
        <f t="shared" si="26"/>
        <v>3.5582255083179302</v>
      </c>
      <c r="E171" s="50">
        <f t="shared" si="37"/>
        <v>0.06</v>
      </c>
      <c r="F171" s="50">
        <f t="shared" si="31"/>
        <v>8.5000000000000006E-2</v>
      </c>
      <c r="G171" s="69">
        <f t="shared" si="32"/>
        <v>5410</v>
      </c>
      <c r="H171" s="70">
        <f t="shared" si="33"/>
        <v>7195.3</v>
      </c>
      <c r="I171" s="70">
        <f t="shared" si="34"/>
        <v>5391.9666666666672</v>
      </c>
      <c r="J171" s="53">
        <f t="shared" si="27"/>
        <v>476.15284195933458</v>
      </c>
      <c r="K171" s="53">
        <f t="shared" si="28"/>
        <v>933</v>
      </c>
      <c r="L171" s="289">
        <f t="shared" si="29"/>
        <v>456.84715804066542</v>
      </c>
      <c r="N171" s="7">
        <f t="shared" si="30"/>
        <v>5482.1658964879853</v>
      </c>
      <c r="O171" t="str">
        <f>Medicaid!G163</f>
        <v>No</v>
      </c>
      <c r="P171" t="str">
        <f>Medicaid!K163</f>
        <v>No</v>
      </c>
    </row>
    <row r="172" spans="1:16" ht="15" customHeight="1" x14ac:dyDescent="0.25">
      <c r="A172" s="3">
        <v>77500</v>
      </c>
      <c r="B172" s="3">
        <f t="shared" si="35"/>
        <v>6458.333333333333</v>
      </c>
      <c r="C172" s="3">
        <f t="shared" si="36"/>
        <v>541.85416666666663</v>
      </c>
      <c r="D172" s="64">
        <f t="shared" si="26"/>
        <v>3.5813308687615528</v>
      </c>
      <c r="E172" s="50">
        <f t="shared" si="37"/>
        <v>0.06</v>
      </c>
      <c r="F172" s="50">
        <f t="shared" si="31"/>
        <v>8.5000000000000006E-2</v>
      </c>
      <c r="G172" s="69">
        <f t="shared" si="32"/>
        <v>5410</v>
      </c>
      <c r="H172" s="70">
        <f t="shared" si="33"/>
        <v>7195.3</v>
      </c>
      <c r="I172" s="70">
        <f t="shared" si="34"/>
        <v>5391.9666666666672</v>
      </c>
      <c r="J172" s="53">
        <f t="shared" si="27"/>
        <v>482.97529651879233</v>
      </c>
      <c r="K172" s="53">
        <f t="shared" si="28"/>
        <v>933</v>
      </c>
      <c r="L172" s="289">
        <f t="shared" si="29"/>
        <v>450.02470348120767</v>
      </c>
      <c r="N172" s="7">
        <f t="shared" si="30"/>
        <v>5400.2964417744915</v>
      </c>
      <c r="O172" t="str">
        <f>Medicaid!G164</f>
        <v>No</v>
      </c>
      <c r="P172" t="str">
        <f>Medicaid!K164</f>
        <v>No</v>
      </c>
    </row>
    <row r="173" spans="1:16" ht="15" customHeight="1" x14ac:dyDescent="0.25">
      <c r="A173" s="3">
        <v>78000</v>
      </c>
      <c r="B173" s="3">
        <f t="shared" si="35"/>
        <v>6500</v>
      </c>
      <c r="C173" s="3">
        <f t="shared" si="36"/>
        <v>545.35</v>
      </c>
      <c r="D173" s="64">
        <f t="shared" si="26"/>
        <v>3.6044362292051759</v>
      </c>
      <c r="E173" s="50">
        <f t="shared" si="37"/>
        <v>0.06</v>
      </c>
      <c r="F173" s="50">
        <f t="shared" si="31"/>
        <v>8.5000000000000006E-2</v>
      </c>
      <c r="G173" s="69">
        <f t="shared" si="32"/>
        <v>5410</v>
      </c>
      <c r="H173" s="70">
        <f t="shared" si="33"/>
        <v>7195.3</v>
      </c>
      <c r="I173" s="70">
        <f t="shared" si="34"/>
        <v>5391.9666666666672</v>
      </c>
      <c r="J173" s="53">
        <f t="shared" si="27"/>
        <v>489.84588724584108</v>
      </c>
      <c r="K173" s="53">
        <f t="shared" si="28"/>
        <v>933</v>
      </c>
      <c r="L173" s="289">
        <f t="shared" si="29"/>
        <v>443.15411275415892</v>
      </c>
      <c r="N173" s="7">
        <f t="shared" si="30"/>
        <v>5317.8493530499072</v>
      </c>
      <c r="O173" t="str">
        <f>Medicaid!G165</f>
        <v>No</v>
      </c>
      <c r="P173" t="str">
        <f>Medicaid!K165</f>
        <v>No</v>
      </c>
    </row>
    <row r="174" spans="1:16" ht="15" customHeight="1" x14ac:dyDescent="0.25">
      <c r="A174" s="3">
        <v>78500</v>
      </c>
      <c r="B174" s="3">
        <f t="shared" si="35"/>
        <v>6541.666666666667</v>
      </c>
      <c r="C174" s="3">
        <f t="shared" si="36"/>
        <v>548.84583333333342</v>
      </c>
      <c r="D174" s="64">
        <f t="shared" si="26"/>
        <v>3.627541589648799</v>
      </c>
      <c r="E174" s="50">
        <f t="shared" si="37"/>
        <v>0.06</v>
      </c>
      <c r="F174" s="50">
        <f t="shared" si="31"/>
        <v>8.5000000000000006E-2</v>
      </c>
      <c r="G174" s="69">
        <f t="shared" si="32"/>
        <v>5410</v>
      </c>
      <c r="H174" s="70">
        <f t="shared" si="33"/>
        <v>7195.3</v>
      </c>
      <c r="I174" s="70">
        <f t="shared" si="34"/>
        <v>5391.9666666666672</v>
      </c>
      <c r="J174" s="53">
        <f t="shared" si="27"/>
        <v>496.76461414048066</v>
      </c>
      <c r="K174" s="53">
        <f t="shared" si="28"/>
        <v>933</v>
      </c>
      <c r="L174" s="289">
        <f t="shared" si="29"/>
        <v>436.23538585951934</v>
      </c>
      <c r="N174" s="7">
        <f t="shared" si="30"/>
        <v>5234.8246303142323</v>
      </c>
      <c r="O174" t="str">
        <f>Medicaid!G166</f>
        <v>No</v>
      </c>
      <c r="P174" t="str">
        <f>Medicaid!K166</f>
        <v>No</v>
      </c>
    </row>
    <row r="175" spans="1:16" ht="15" customHeight="1" x14ac:dyDescent="0.25">
      <c r="A175" s="3">
        <v>79000</v>
      </c>
      <c r="B175" s="3">
        <f t="shared" si="35"/>
        <v>6583.333333333333</v>
      </c>
      <c r="C175" s="3">
        <f t="shared" si="36"/>
        <v>552.3416666666667</v>
      </c>
      <c r="D175" s="64">
        <f t="shared" si="26"/>
        <v>3.6506469500924212</v>
      </c>
      <c r="E175" s="50">
        <f t="shared" si="37"/>
        <v>0.06</v>
      </c>
      <c r="F175" s="50">
        <f t="shared" si="31"/>
        <v>8.5000000000000006E-2</v>
      </c>
      <c r="G175" s="69">
        <f t="shared" si="32"/>
        <v>5410</v>
      </c>
      <c r="H175" s="70">
        <f t="shared" si="33"/>
        <v>7195.3</v>
      </c>
      <c r="I175" s="70">
        <f t="shared" si="34"/>
        <v>5391.9666666666672</v>
      </c>
      <c r="J175" s="53">
        <f t="shared" si="27"/>
        <v>503.73147720271095</v>
      </c>
      <c r="K175" s="53">
        <f t="shared" si="28"/>
        <v>933</v>
      </c>
      <c r="L175" s="289">
        <f t="shared" si="29"/>
        <v>429.26852279728905</v>
      </c>
      <c r="N175" s="7">
        <f t="shared" si="30"/>
        <v>5151.2222735674686</v>
      </c>
      <c r="O175" t="str">
        <f>Medicaid!G167</f>
        <v>No</v>
      </c>
      <c r="P175" t="str">
        <f>Medicaid!K167</f>
        <v>No</v>
      </c>
    </row>
    <row r="176" spans="1:16" ht="15" customHeight="1" x14ac:dyDescent="0.25">
      <c r="A176" s="3">
        <v>79500</v>
      </c>
      <c r="B176" s="3">
        <f t="shared" si="35"/>
        <v>6625</v>
      </c>
      <c r="C176" s="3">
        <f t="shared" si="36"/>
        <v>555.83749999999998</v>
      </c>
      <c r="D176" s="64">
        <f t="shared" si="26"/>
        <v>3.6737523105360443</v>
      </c>
      <c r="E176" s="50">
        <f t="shared" si="37"/>
        <v>0.06</v>
      </c>
      <c r="F176" s="50">
        <f t="shared" si="31"/>
        <v>8.5000000000000006E-2</v>
      </c>
      <c r="G176" s="69">
        <f t="shared" si="32"/>
        <v>5410</v>
      </c>
      <c r="H176" s="70">
        <f t="shared" si="33"/>
        <v>7195.3</v>
      </c>
      <c r="I176" s="70">
        <f t="shared" si="34"/>
        <v>5391.9666666666672</v>
      </c>
      <c r="J176" s="53">
        <f t="shared" si="27"/>
        <v>510.74647643253235</v>
      </c>
      <c r="K176" s="53">
        <f t="shared" si="28"/>
        <v>933</v>
      </c>
      <c r="L176" s="289">
        <f t="shared" si="29"/>
        <v>422.25352356746765</v>
      </c>
      <c r="N176" s="7">
        <f t="shared" si="30"/>
        <v>5067.0422828096116</v>
      </c>
      <c r="O176" t="str">
        <f>Medicaid!G168</f>
        <v>No</v>
      </c>
      <c r="P176" t="str">
        <f>Medicaid!K168</f>
        <v>No</v>
      </c>
    </row>
    <row r="177" spans="1:16" ht="15" customHeight="1" x14ac:dyDescent="0.25">
      <c r="A177" s="3">
        <v>80000</v>
      </c>
      <c r="B177" s="3">
        <f t="shared" si="35"/>
        <v>6666.666666666667</v>
      </c>
      <c r="C177" s="3">
        <f t="shared" si="36"/>
        <v>559.33333333333337</v>
      </c>
      <c r="D177" s="64">
        <f t="shared" ref="D177:D217" si="38">B177/$K$2</f>
        <v>3.6968576709796674</v>
      </c>
      <c r="E177" s="50">
        <f t="shared" si="37"/>
        <v>0.06</v>
      </c>
      <c r="F177" s="50">
        <f t="shared" si="31"/>
        <v>8.5000000000000006E-2</v>
      </c>
      <c r="G177" s="69">
        <f t="shared" si="32"/>
        <v>5410</v>
      </c>
      <c r="H177" s="70">
        <f t="shared" si="33"/>
        <v>7195.3</v>
      </c>
      <c r="I177" s="70">
        <f t="shared" si="34"/>
        <v>5391.9666666666672</v>
      </c>
      <c r="J177" s="53">
        <f t="shared" si="27"/>
        <v>517.80961182994463</v>
      </c>
      <c r="K177" s="53">
        <f t="shared" si="28"/>
        <v>933</v>
      </c>
      <c r="L177" s="289">
        <f t="shared" si="29"/>
        <v>415.19038817005537</v>
      </c>
      <c r="N177" s="7">
        <f t="shared" si="30"/>
        <v>4982.284658040664</v>
      </c>
      <c r="O177" t="str">
        <f>Medicaid!G169</f>
        <v>No</v>
      </c>
      <c r="P177" t="str">
        <f>Medicaid!K169</f>
        <v>No</v>
      </c>
    </row>
    <row r="178" spans="1:16" ht="15" customHeight="1" x14ac:dyDescent="0.25">
      <c r="A178" s="3">
        <v>80500</v>
      </c>
      <c r="B178" s="3">
        <f t="shared" si="35"/>
        <v>6708.333333333333</v>
      </c>
      <c r="C178" s="3">
        <f t="shared" si="36"/>
        <v>562.82916666666665</v>
      </c>
      <c r="D178" s="64">
        <f t="shared" si="38"/>
        <v>3.7199630314232901</v>
      </c>
      <c r="E178" s="50">
        <f t="shared" si="37"/>
        <v>0.06</v>
      </c>
      <c r="F178" s="50">
        <f t="shared" si="31"/>
        <v>8.5000000000000006E-2</v>
      </c>
      <c r="G178" s="69">
        <f t="shared" si="32"/>
        <v>5410</v>
      </c>
      <c r="H178" s="70">
        <f t="shared" si="33"/>
        <v>7195.3</v>
      </c>
      <c r="I178" s="70">
        <f t="shared" si="34"/>
        <v>5391.9666666666672</v>
      </c>
      <c r="J178" s="53">
        <f t="shared" si="27"/>
        <v>524.92088339494762</v>
      </c>
      <c r="K178" s="53">
        <f t="shared" si="28"/>
        <v>933</v>
      </c>
      <c r="L178" s="289">
        <f t="shared" si="29"/>
        <v>408.07911660505238</v>
      </c>
      <c r="N178" s="7">
        <f t="shared" si="30"/>
        <v>4896.9493992606285</v>
      </c>
      <c r="O178" t="str">
        <f>Medicaid!G170</f>
        <v>No</v>
      </c>
      <c r="P178" t="str">
        <f>Medicaid!K170</f>
        <v>No</v>
      </c>
    </row>
    <row r="179" spans="1:16" ht="15" customHeight="1" x14ac:dyDescent="0.25">
      <c r="A179" s="3">
        <v>81000</v>
      </c>
      <c r="B179" s="3">
        <f t="shared" si="35"/>
        <v>6750</v>
      </c>
      <c r="C179" s="3">
        <f t="shared" si="36"/>
        <v>566.32500000000005</v>
      </c>
      <c r="D179" s="64">
        <f t="shared" si="38"/>
        <v>3.7430683918669132</v>
      </c>
      <c r="E179" s="50">
        <f t="shared" si="37"/>
        <v>0.06</v>
      </c>
      <c r="F179" s="50">
        <f t="shared" si="31"/>
        <v>8.5000000000000006E-2</v>
      </c>
      <c r="G179" s="69">
        <f t="shared" si="32"/>
        <v>5410</v>
      </c>
      <c r="H179" s="70">
        <f t="shared" si="33"/>
        <v>7195.3</v>
      </c>
      <c r="I179" s="70">
        <f t="shared" si="34"/>
        <v>5391.9666666666672</v>
      </c>
      <c r="J179" s="53">
        <f t="shared" si="27"/>
        <v>532.08029112754161</v>
      </c>
      <c r="K179" s="53">
        <f t="shared" si="28"/>
        <v>933</v>
      </c>
      <c r="L179" s="289">
        <f t="shared" si="29"/>
        <v>400.91970887245839</v>
      </c>
      <c r="N179" s="7">
        <f t="shared" si="30"/>
        <v>4811.0365064695006</v>
      </c>
      <c r="O179" t="str">
        <f>Medicaid!G171</f>
        <v>No</v>
      </c>
      <c r="P179" t="str">
        <f>Medicaid!K171</f>
        <v>No</v>
      </c>
    </row>
    <row r="180" spans="1:16" ht="15" customHeight="1" x14ac:dyDescent="0.25">
      <c r="A180" s="3">
        <v>81500</v>
      </c>
      <c r="B180" s="3">
        <f t="shared" si="35"/>
        <v>6791.666666666667</v>
      </c>
      <c r="C180" s="3">
        <f t="shared" si="36"/>
        <v>569.82083333333333</v>
      </c>
      <c r="D180" s="64">
        <f t="shared" si="38"/>
        <v>3.7661737523105363</v>
      </c>
      <c r="E180" s="50">
        <f t="shared" si="37"/>
        <v>0.06</v>
      </c>
      <c r="F180" s="50">
        <f t="shared" si="31"/>
        <v>8.5000000000000006E-2</v>
      </c>
      <c r="G180" s="69">
        <f t="shared" si="32"/>
        <v>5410</v>
      </c>
      <c r="H180" s="70">
        <f t="shared" si="33"/>
        <v>7195.3</v>
      </c>
      <c r="I180" s="70">
        <f t="shared" si="34"/>
        <v>5391.9666666666672</v>
      </c>
      <c r="J180" s="53">
        <f t="shared" si="27"/>
        <v>539.28783502772649</v>
      </c>
      <c r="K180" s="53">
        <f t="shared" si="28"/>
        <v>933</v>
      </c>
      <c r="L180" s="289">
        <f t="shared" si="29"/>
        <v>393.71216497227351</v>
      </c>
      <c r="N180" s="7">
        <f t="shared" si="30"/>
        <v>4724.5459796672822</v>
      </c>
      <c r="O180" t="str">
        <f>Medicaid!G172</f>
        <v>No</v>
      </c>
      <c r="P180" t="str">
        <f>Medicaid!K172</f>
        <v>No</v>
      </c>
    </row>
    <row r="181" spans="1:16" ht="15" customHeight="1" x14ac:dyDescent="0.25">
      <c r="A181" s="3">
        <v>82000</v>
      </c>
      <c r="B181" s="3">
        <f t="shared" si="35"/>
        <v>6833.333333333333</v>
      </c>
      <c r="C181" s="3">
        <f t="shared" si="36"/>
        <v>573.31666666666661</v>
      </c>
      <c r="D181" s="64">
        <f t="shared" si="38"/>
        <v>3.789279112754159</v>
      </c>
      <c r="E181" s="50">
        <f t="shared" si="37"/>
        <v>0.06</v>
      </c>
      <c r="F181" s="50">
        <f t="shared" si="31"/>
        <v>8.5000000000000006E-2</v>
      </c>
      <c r="G181" s="69">
        <f t="shared" si="32"/>
        <v>5410</v>
      </c>
      <c r="H181" s="70">
        <f t="shared" si="33"/>
        <v>7195.3</v>
      </c>
      <c r="I181" s="70">
        <f t="shared" si="34"/>
        <v>5391.9666666666672</v>
      </c>
      <c r="J181" s="53">
        <f t="shared" si="27"/>
        <v>546.54351509550213</v>
      </c>
      <c r="K181" s="53">
        <f t="shared" si="28"/>
        <v>933</v>
      </c>
      <c r="L181" s="289">
        <f t="shared" si="29"/>
        <v>386.45648490449787</v>
      </c>
      <c r="N181" s="7">
        <f t="shared" si="30"/>
        <v>4637.4778188539749</v>
      </c>
      <c r="O181" t="str">
        <f>Medicaid!G173</f>
        <v>No</v>
      </c>
      <c r="P181" t="str">
        <f>Medicaid!K173</f>
        <v>No</v>
      </c>
    </row>
    <row r="182" spans="1:16" ht="15" customHeight="1" x14ac:dyDescent="0.25">
      <c r="A182" s="3">
        <v>82500</v>
      </c>
      <c r="B182" s="3">
        <f t="shared" si="35"/>
        <v>6875</v>
      </c>
      <c r="C182" s="3">
        <f t="shared" si="36"/>
        <v>576.8125</v>
      </c>
      <c r="D182" s="64">
        <f t="shared" si="38"/>
        <v>3.8123844731977821</v>
      </c>
      <c r="E182" s="50">
        <f t="shared" si="37"/>
        <v>0.06</v>
      </c>
      <c r="F182" s="50">
        <f t="shared" si="31"/>
        <v>8.5000000000000006E-2</v>
      </c>
      <c r="G182" s="69">
        <f t="shared" si="32"/>
        <v>5410</v>
      </c>
      <c r="H182" s="70">
        <f t="shared" si="33"/>
        <v>7195.3</v>
      </c>
      <c r="I182" s="70">
        <f t="shared" si="34"/>
        <v>5391.9666666666672</v>
      </c>
      <c r="J182" s="53">
        <f t="shared" si="27"/>
        <v>553.84733133086877</v>
      </c>
      <c r="K182" s="53">
        <f t="shared" si="28"/>
        <v>933</v>
      </c>
      <c r="L182" s="289">
        <f t="shared" si="29"/>
        <v>379.15266866913123</v>
      </c>
      <c r="N182" s="7">
        <f t="shared" si="30"/>
        <v>4549.8320240295743</v>
      </c>
      <c r="O182" t="str">
        <f>Medicaid!G174</f>
        <v>No</v>
      </c>
      <c r="P182" t="str">
        <f>Medicaid!K174</f>
        <v>No</v>
      </c>
    </row>
    <row r="183" spans="1:16" ht="15" customHeight="1" x14ac:dyDescent="0.25">
      <c r="A183" s="3">
        <v>83000</v>
      </c>
      <c r="B183" s="3">
        <f t="shared" si="35"/>
        <v>6916.666666666667</v>
      </c>
      <c r="C183" s="3">
        <f t="shared" si="36"/>
        <v>580.30833333333339</v>
      </c>
      <c r="D183" s="64">
        <f t="shared" si="38"/>
        <v>3.8354898336414052</v>
      </c>
      <c r="E183" s="50">
        <f t="shared" si="37"/>
        <v>0.06</v>
      </c>
      <c r="F183" s="50">
        <f t="shared" si="31"/>
        <v>8.5000000000000006E-2</v>
      </c>
      <c r="G183" s="69">
        <f t="shared" si="32"/>
        <v>5410</v>
      </c>
      <c r="H183" s="70">
        <f t="shared" si="33"/>
        <v>7195.3</v>
      </c>
      <c r="I183" s="70">
        <f t="shared" si="34"/>
        <v>5391.9666666666672</v>
      </c>
      <c r="J183" s="53">
        <f t="shared" si="27"/>
        <v>561.19928373382629</v>
      </c>
      <c r="K183" s="53">
        <f t="shared" si="28"/>
        <v>933</v>
      </c>
      <c r="L183" s="289">
        <f t="shared" si="29"/>
        <v>371.80071626617371</v>
      </c>
      <c r="N183" s="7">
        <f t="shared" si="30"/>
        <v>4461.608595194084</v>
      </c>
      <c r="O183" t="str">
        <f>Medicaid!G175</f>
        <v>No</v>
      </c>
      <c r="P183" t="str">
        <f>Medicaid!K175</f>
        <v>No</v>
      </c>
    </row>
    <row r="184" spans="1:16" ht="15" customHeight="1" x14ac:dyDescent="0.25">
      <c r="A184" s="3">
        <v>83500</v>
      </c>
      <c r="B184" s="3">
        <f t="shared" si="35"/>
        <v>6958.333333333333</v>
      </c>
      <c r="C184" s="3">
        <f t="shared" si="36"/>
        <v>583.80416666666667</v>
      </c>
      <c r="D184" s="64">
        <f t="shared" si="38"/>
        <v>3.8585951940850278</v>
      </c>
      <c r="E184" s="50">
        <f t="shared" si="37"/>
        <v>0.06</v>
      </c>
      <c r="F184" s="50">
        <f t="shared" si="31"/>
        <v>8.5000000000000006E-2</v>
      </c>
      <c r="G184" s="69">
        <f t="shared" si="32"/>
        <v>5410</v>
      </c>
      <c r="H184" s="70">
        <f t="shared" si="33"/>
        <v>7195.3</v>
      </c>
      <c r="I184" s="70">
        <f t="shared" si="34"/>
        <v>5391.9666666666672</v>
      </c>
      <c r="J184" s="53">
        <f t="shared" si="27"/>
        <v>568.59937230437458</v>
      </c>
      <c r="K184" s="53">
        <f t="shared" si="28"/>
        <v>933</v>
      </c>
      <c r="L184" s="289">
        <f t="shared" si="29"/>
        <v>364.40062769562542</v>
      </c>
      <c r="N184" s="7">
        <f t="shared" si="30"/>
        <v>4372.807532347505</v>
      </c>
      <c r="O184" t="str">
        <f>Medicaid!G176</f>
        <v>No</v>
      </c>
      <c r="P184" t="str">
        <f>Medicaid!K176</f>
        <v>No</v>
      </c>
    </row>
    <row r="185" spans="1:16" ht="15" customHeight="1" x14ac:dyDescent="0.25">
      <c r="A185" s="3">
        <v>84000</v>
      </c>
      <c r="B185" s="3">
        <f t="shared" si="35"/>
        <v>7000</v>
      </c>
      <c r="C185" s="3">
        <f t="shared" si="36"/>
        <v>587.30000000000007</v>
      </c>
      <c r="D185" s="64">
        <f t="shared" si="38"/>
        <v>3.8817005545286509</v>
      </c>
      <c r="E185" s="50">
        <f t="shared" si="37"/>
        <v>0.06</v>
      </c>
      <c r="F185" s="50">
        <f t="shared" si="31"/>
        <v>8.5000000000000006E-2</v>
      </c>
      <c r="G185" s="69">
        <f t="shared" si="32"/>
        <v>5410</v>
      </c>
      <c r="H185" s="70">
        <f t="shared" si="33"/>
        <v>7195.3</v>
      </c>
      <c r="I185" s="70">
        <f t="shared" si="34"/>
        <v>5391.9666666666672</v>
      </c>
      <c r="J185" s="53">
        <f t="shared" si="27"/>
        <v>576.04759704251387</v>
      </c>
      <c r="K185" s="53">
        <f t="shared" si="28"/>
        <v>933</v>
      </c>
      <c r="L185" s="289">
        <f t="shared" si="29"/>
        <v>356.95240295748613</v>
      </c>
      <c r="N185" s="7">
        <f t="shared" si="30"/>
        <v>4283.4288354898335</v>
      </c>
      <c r="O185" t="str">
        <f>Medicaid!G177</f>
        <v>No</v>
      </c>
      <c r="P185" t="str">
        <f>Medicaid!K177</f>
        <v>No</v>
      </c>
    </row>
    <row r="186" spans="1:16" ht="15" customHeight="1" x14ac:dyDescent="0.25">
      <c r="A186" s="3">
        <v>84500</v>
      </c>
      <c r="B186" s="3">
        <f t="shared" si="35"/>
        <v>7041.666666666667</v>
      </c>
      <c r="C186" s="3">
        <f t="shared" si="36"/>
        <v>590.79583333333335</v>
      </c>
      <c r="D186" s="64">
        <f t="shared" si="38"/>
        <v>3.904805914972274</v>
      </c>
      <c r="E186" s="50">
        <f t="shared" si="37"/>
        <v>0.06</v>
      </c>
      <c r="F186" s="50">
        <f t="shared" si="31"/>
        <v>8.5000000000000006E-2</v>
      </c>
      <c r="G186" s="69">
        <f t="shared" si="32"/>
        <v>5410</v>
      </c>
      <c r="H186" s="70">
        <f t="shared" si="33"/>
        <v>7195.3</v>
      </c>
      <c r="I186" s="70">
        <f t="shared" si="34"/>
        <v>5391.9666666666672</v>
      </c>
      <c r="J186" s="53">
        <f t="shared" si="27"/>
        <v>583.54395794824404</v>
      </c>
      <c r="K186" s="53">
        <f t="shared" si="28"/>
        <v>933</v>
      </c>
      <c r="L186" s="289">
        <f t="shared" si="29"/>
        <v>349.45604205175596</v>
      </c>
      <c r="N186" s="7">
        <f t="shared" si="30"/>
        <v>4193.4725046210715</v>
      </c>
      <c r="O186" t="str">
        <f>Medicaid!G178</f>
        <v>No</v>
      </c>
      <c r="P186" t="str">
        <f>Medicaid!K178</f>
        <v>No</v>
      </c>
    </row>
    <row r="187" spans="1:16" ht="15" customHeight="1" x14ac:dyDescent="0.25">
      <c r="A187" s="3">
        <v>85000</v>
      </c>
      <c r="B187" s="3">
        <f t="shared" si="35"/>
        <v>7083.333333333333</v>
      </c>
      <c r="C187" s="3">
        <f t="shared" si="36"/>
        <v>594.29166666666663</v>
      </c>
      <c r="D187" s="64">
        <f t="shared" si="38"/>
        <v>3.9279112754158967</v>
      </c>
      <c r="E187" s="50">
        <f t="shared" si="37"/>
        <v>0.06</v>
      </c>
      <c r="F187" s="50">
        <f t="shared" si="31"/>
        <v>8.5000000000000006E-2</v>
      </c>
      <c r="G187" s="69">
        <f t="shared" si="32"/>
        <v>5410</v>
      </c>
      <c r="H187" s="70">
        <f t="shared" si="33"/>
        <v>7195.3</v>
      </c>
      <c r="I187" s="70">
        <f t="shared" si="34"/>
        <v>5391.9666666666672</v>
      </c>
      <c r="J187" s="53">
        <f t="shared" si="27"/>
        <v>591.08845502156498</v>
      </c>
      <c r="K187" s="53">
        <f t="shared" si="28"/>
        <v>933</v>
      </c>
      <c r="L187" s="289">
        <f t="shared" si="29"/>
        <v>341.91154497843502</v>
      </c>
      <c r="N187" s="7">
        <f t="shared" si="30"/>
        <v>4102.9385397412207</v>
      </c>
      <c r="O187" t="str">
        <f>Medicaid!G179</f>
        <v>No</v>
      </c>
      <c r="P187" t="str">
        <f>Medicaid!K179</f>
        <v>No</v>
      </c>
    </row>
    <row r="188" spans="1:16" ht="15" customHeight="1" x14ac:dyDescent="0.25">
      <c r="A188" s="3">
        <v>85500</v>
      </c>
      <c r="B188" s="3">
        <f t="shared" si="35"/>
        <v>7125</v>
      </c>
      <c r="C188" s="3">
        <f t="shared" si="36"/>
        <v>597.78750000000002</v>
      </c>
      <c r="D188" s="64">
        <f t="shared" si="38"/>
        <v>3.9510166358595198</v>
      </c>
      <c r="E188" s="50">
        <f t="shared" si="37"/>
        <v>0.06</v>
      </c>
      <c r="F188" s="50">
        <f t="shared" si="31"/>
        <v>8.5000000000000006E-2</v>
      </c>
      <c r="G188" s="69">
        <f t="shared" si="32"/>
        <v>5410</v>
      </c>
      <c r="H188" s="70">
        <f t="shared" si="33"/>
        <v>7195.3</v>
      </c>
      <c r="I188" s="70">
        <f t="shared" si="34"/>
        <v>5391.9666666666672</v>
      </c>
      <c r="J188" s="53">
        <f t="shared" si="27"/>
        <v>598.68108826247692</v>
      </c>
      <c r="K188" s="53">
        <f t="shared" si="28"/>
        <v>933</v>
      </c>
      <c r="L188" s="289">
        <f t="shared" si="29"/>
        <v>334.31891173752308</v>
      </c>
      <c r="N188" s="7">
        <f t="shared" si="30"/>
        <v>4011.826940850277</v>
      </c>
      <c r="O188" t="str">
        <f>Medicaid!G180</f>
        <v>No</v>
      </c>
      <c r="P188" t="str">
        <f>Medicaid!K180</f>
        <v>No</v>
      </c>
    </row>
    <row r="189" spans="1:16" ht="15" customHeight="1" x14ac:dyDescent="0.25">
      <c r="A189" s="3">
        <v>86000</v>
      </c>
      <c r="B189" s="3">
        <f t="shared" si="35"/>
        <v>7166.666666666667</v>
      </c>
      <c r="C189" s="3">
        <f t="shared" si="36"/>
        <v>601.28333333333342</v>
      </c>
      <c r="D189" s="64">
        <f t="shared" si="38"/>
        <v>3.9741219963031424</v>
      </c>
      <c r="E189" s="50">
        <f t="shared" si="37"/>
        <v>0.06</v>
      </c>
      <c r="F189" s="50">
        <f t="shared" si="31"/>
        <v>8.5000000000000006E-2</v>
      </c>
      <c r="G189" s="69">
        <f t="shared" si="32"/>
        <v>5410</v>
      </c>
      <c r="H189" s="70">
        <f t="shared" si="33"/>
        <v>7195.3</v>
      </c>
      <c r="I189" s="70">
        <f t="shared" si="34"/>
        <v>5391.9666666666672</v>
      </c>
      <c r="J189" s="53">
        <f t="shared" si="27"/>
        <v>606.32185767097974</v>
      </c>
      <c r="K189" s="53">
        <f t="shared" si="28"/>
        <v>933</v>
      </c>
      <c r="L189" s="289">
        <f t="shared" si="29"/>
        <v>326.67814232902026</v>
      </c>
      <c r="N189" s="7">
        <f t="shared" si="30"/>
        <v>3920.1377079482431</v>
      </c>
      <c r="O189" t="str">
        <f>Medicaid!G181</f>
        <v>No</v>
      </c>
      <c r="P189" t="str">
        <f>Medicaid!K181</f>
        <v>No</v>
      </c>
    </row>
    <row r="190" spans="1:16" ht="15" customHeight="1" x14ac:dyDescent="0.25">
      <c r="A190" s="3">
        <v>86500</v>
      </c>
      <c r="B190" s="3">
        <f t="shared" si="35"/>
        <v>7208.333333333333</v>
      </c>
      <c r="C190" s="3">
        <f t="shared" si="36"/>
        <v>604.7791666666667</v>
      </c>
      <c r="D190" s="64">
        <f t="shared" si="38"/>
        <v>3.9972273567467651</v>
      </c>
      <c r="E190" s="50">
        <f t="shared" si="37"/>
        <v>8.5000000000000006E-2</v>
      </c>
      <c r="F190" s="50">
        <f t="shared" si="31"/>
        <v>8.5000000000000006E-2</v>
      </c>
      <c r="G190" s="69">
        <f t="shared" si="32"/>
        <v>7213.333333333333</v>
      </c>
      <c r="H190" s="70">
        <f t="shared" si="33"/>
        <v>41666.666666666664</v>
      </c>
      <c r="I190" s="70">
        <f t="shared" si="34"/>
        <v>7195.3</v>
      </c>
      <c r="J190" s="53">
        <f t="shared" si="27"/>
        <v>612.70833333333337</v>
      </c>
      <c r="K190" s="53">
        <f t="shared" si="28"/>
        <v>933</v>
      </c>
      <c r="L190" s="289">
        <f t="shared" si="29"/>
        <v>320.29166666666663</v>
      </c>
      <c r="N190" s="7">
        <f t="shared" si="30"/>
        <v>3843.4999999999995</v>
      </c>
      <c r="O190" t="str">
        <f>Medicaid!G182</f>
        <v>No</v>
      </c>
      <c r="P190" t="str">
        <f>Medicaid!K182</f>
        <v>No</v>
      </c>
    </row>
    <row r="191" spans="1:16" ht="15" customHeight="1" x14ac:dyDescent="0.25">
      <c r="A191" s="3">
        <v>87000</v>
      </c>
      <c r="B191" s="3">
        <f t="shared" si="35"/>
        <v>7250</v>
      </c>
      <c r="C191" s="3">
        <f t="shared" si="36"/>
        <v>608.27499999999998</v>
      </c>
      <c r="D191" s="64">
        <f t="shared" si="38"/>
        <v>4.0203327171903886</v>
      </c>
      <c r="E191" s="50">
        <f t="shared" si="37"/>
        <v>8.5000000000000006E-2</v>
      </c>
      <c r="F191" s="50">
        <f t="shared" si="31"/>
        <v>8.5000000000000006E-2</v>
      </c>
      <c r="G191" s="69">
        <f t="shared" si="32"/>
        <v>7213.333333333333</v>
      </c>
      <c r="H191" s="70">
        <f t="shared" si="33"/>
        <v>41666.666666666664</v>
      </c>
      <c r="I191" s="70">
        <f t="shared" si="34"/>
        <v>7195.3</v>
      </c>
      <c r="J191" s="53">
        <f t="shared" si="27"/>
        <v>616.25</v>
      </c>
      <c r="K191" s="53">
        <f t="shared" si="28"/>
        <v>933</v>
      </c>
      <c r="L191" s="289">
        <f t="shared" si="29"/>
        <v>316.75</v>
      </c>
      <c r="N191" s="7">
        <f t="shared" si="30"/>
        <v>3801</v>
      </c>
      <c r="O191" t="str">
        <f>Medicaid!G183</f>
        <v>No</v>
      </c>
      <c r="P191" t="str">
        <f>Medicaid!K183</f>
        <v>No</v>
      </c>
    </row>
    <row r="192" spans="1:16" ht="15" customHeight="1" x14ac:dyDescent="0.25">
      <c r="A192" s="3">
        <v>87500</v>
      </c>
      <c r="B192" s="3">
        <f t="shared" si="35"/>
        <v>7291.666666666667</v>
      </c>
      <c r="C192" s="3">
        <f t="shared" si="36"/>
        <v>611.77083333333337</v>
      </c>
      <c r="D192" s="64">
        <f t="shared" si="38"/>
        <v>4.0434380776340113</v>
      </c>
      <c r="E192" s="50">
        <f t="shared" si="37"/>
        <v>8.5000000000000006E-2</v>
      </c>
      <c r="F192" s="50">
        <f t="shared" si="31"/>
        <v>8.5000000000000006E-2</v>
      </c>
      <c r="G192" s="69">
        <f t="shared" si="32"/>
        <v>7213.333333333333</v>
      </c>
      <c r="H192" s="70">
        <f t="shared" si="33"/>
        <v>41666.666666666664</v>
      </c>
      <c r="I192" s="70">
        <f t="shared" si="34"/>
        <v>7195.3</v>
      </c>
      <c r="J192" s="53">
        <f t="shared" si="27"/>
        <v>619.79166666666674</v>
      </c>
      <c r="K192" s="53">
        <f t="shared" si="28"/>
        <v>933</v>
      </c>
      <c r="L192" s="289">
        <f t="shared" si="29"/>
        <v>313.20833333333326</v>
      </c>
      <c r="N192" s="7">
        <f t="shared" si="30"/>
        <v>3758.4999999999991</v>
      </c>
      <c r="O192" t="str">
        <f>Medicaid!G184</f>
        <v>No</v>
      </c>
      <c r="P192" t="str">
        <f>Medicaid!K184</f>
        <v>No</v>
      </c>
    </row>
    <row r="193" spans="1:16" ht="15" customHeight="1" x14ac:dyDescent="0.25">
      <c r="A193" s="3">
        <v>88000</v>
      </c>
      <c r="B193" s="3">
        <f t="shared" si="35"/>
        <v>7333.333333333333</v>
      </c>
      <c r="C193" s="3">
        <f t="shared" si="36"/>
        <v>615.26666666666665</v>
      </c>
      <c r="D193" s="64">
        <f t="shared" si="38"/>
        <v>4.066543438077634</v>
      </c>
      <c r="E193" s="50">
        <f t="shared" si="37"/>
        <v>8.5000000000000006E-2</v>
      </c>
      <c r="F193" s="50">
        <f t="shared" si="31"/>
        <v>8.5000000000000006E-2</v>
      </c>
      <c r="G193" s="69">
        <f t="shared" si="32"/>
        <v>7213.333333333333</v>
      </c>
      <c r="H193" s="70">
        <f t="shared" si="33"/>
        <v>41666.666666666664</v>
      </c>
      <c r="I193" s="70">
        <f t="shared" si="34"/>
        <v>7195.3</v>
      </c>
      <c r="J193" s="53">
        <f t="shared" si="27"/>
        <v>623.33333333333337</v>
      </c>
      <c r="K193" s="53">
        <f t="shared" si="28"/>
        <v>933</v>
      </c>
      <c r="L193" s="289">
        <f t="shared" si="29"/>
        <v>309.66666666666663</v>
      </c>
      <c r="N193" s="7">
        <f t="shared" si="30"/>
        <v>3715.9999999999995</v>
      </c>
      <c r="O193" t="str">
        <f>Medicaid!G185</f>
        <v>No</v>
      </c>
      <c r="P193" t="str">
        <f>Medicaid!K185</f>
        <v>No</v>
      </c>
    </row>
    <row r="194" spans="1:16" ht="15" customHeight="1" x14ac:dyDescent="0.25">
      <c r="A194" s="3">
        <v>88500</v>
      </c>
      <c r="B194" s="3">
        <f t="shared" si="35"/>
        <v>7375</v>
      </c>
      <c r="C194" s="3">
        <f t="shared" si="36"/>
        <v>618.76250000000005</v>
      </c>
      <c r="D194" s="64">
        <f t="shared" si="38"/>
        <v>4.0896487985212575</v>
      </c>
      <c r="E194" s="50">
        <f t="shared" si="37"/>
        <v>8.5000000000000006E-2</v>
      </c>
      <c r="F194" s="50">
        <f t="shared" si="31"/>
        <v>8.5000000000000006E-2</v>
      </c>
      <c r="G194" s="69">
        <f t="shared" si="32"/>
        <v>7213.333333333333</v>
      </c>
      <c r="H194" s="70">
        <f t="shared" si="33"/>
        <v>41666.666666666664</v>
      </c>
      <c r="I194" s="70">
        <f t="shared" si="34"/>
        <v>7195.3</v>
      </c>
      <c r="J194" s="53">
        <f t="shared" si="27"/>
        <v>626.875</v>
      </c>
      <c r="K194" s="53">
        <f t="shared" si="28"/>
        <v>933</v>
      </c>
      <c r="L194" s="289">
        <f t="shared" si="29"/>
        <v>306.125</v>
      </c>
      <c r="N194" s="7">
        <f t="shared" si="30"/>
        <v>3673.5</v>
      </c>
      <c r="O194" t="str">
        <f>Medicaid!G186</f>
        <v>No</v>
      </c>
      <c r="P194" t="str">
        <f>Medicaid!K186</f>
        <v>No</v>
      </c>
    </row>
    <row r="195" spans="1:16" ht="15" customHeight="1" x14ac:dyDescent="0.25">
      <c r="A195" s="3">
        <v>89000</v>
      </c>
      <c r="B195" s="3">
        <f t="shared" si="35"/>
        <v>7416.666666666667</v>
      </c>
      <c r="C195" s="3">
        <f t="shared" si="36"/>
        <v>622.25833333333333</v>
      </c>
      <c r="D195" s="64">
        <f t="shared" si="38"/>
        <v>4.1127541589648802</v>
      </c>
      <c r="E195" s="50">
        <f t="shared" si="37"/>
        <v>8.5000000000000006E-2</v>
      </c>
      <c r="F195" s="50">
        <f t="shared" si="31"/>
        <v>8.5000000000000006E-2</v>
      </c>
      <c r="G195" s="69">
        <f t="shared" si="32"/>
        <v>7213.333333333333</v>
      </c>
      <c r="H195" s="70">
        <f t="shared" si="33"/>
        <v>41666.666666666664</v>
      </c>
      <c r="I195" s="70">
        <f t="shared" si="34"/>
        <v>7195.3</v>
      </c>
      <c r="J195" s="53">
        <f t="shared" si="27"/>
        <v>630.41666666666674</v>
      </c>
      <c r="K195" s="53">
        <f t="shared" si="28"/>
        <v>933</v>
      </c>
      <c r="L195" s="289">
        <f t="shared" si="29"/>
        <v>302.58333333333326</v>
      </c>
      <c r="N195" s="7">
        <f t="shared" si="30"/>
        <v>3630.9999999999991</v>
      </c>
      <c r="O195" t="str">
        <f>Medicaid!G187</f>
        <v>No</v>
      </c>
      <c r="P195" t="str">
        <f>Medicaid!K187</f>
        <v>No</v>
      </c>
    </row>
    <row r="196" spans="1:16" ht="15" customHeight="1" x14ac:dyDescent="0.25">
      <c r="A196" s="3">
        <v>89500</v>
      </c>
      <c r="B196" s="3">
        <f t="shared" si="35"/>
        <v>7458.333333333333</v>
      </c>
      <c r="C196" s="3">
        <f t="shared" si="36"/>
        <v>625.75416666666661</v>
      </c>
      <c r="D196" s="64">
        <f t="shared" si="38"/>
        <v>4.1358595194085028</v>
      </c>
      <c r="E196" s="50">
        <f t="shared" si="37"/>
        <v>8.5000000000000006E-2</v>
      </c>
      <c r="F196" s="50">
        <f t="shared" si="31"/>
        <v>8.5000000000000006E-2</v>
      </c>
      <c r="G196" s="69">
        <f t="shared" si="32"/>
        <v>7213.333333333333</v>
      </c>
      <c r="H196" s="70">
        <f t="shared" si="33"/>
        <v>41666.666666666664</v>
      </c>
      <c r="I196" s="70">
        <f t="shared" si="34"/>
        <v>7195.3</v>
      </c>
      <c r="J196" s="53">
        <f t="shared" si="27"/>
        <v>633.95833333333337</v>
      </c>
      <c r="K196" s="53">
        <f t="shared" si="28"/>
        <v>933</v>
      </c>
      <c r="L196" s="289">
        <f t="shared" si="29"/>
        <v>299.04166666666663</v>
      </c>
      <c r="N196" s="7">
        <f t="shared" si="30"/>
        <v>3588.4999999999995</v>
      </c>
      <c r="O196" t="str">
        <f>Medicaid!G188</f>
        <v>No</v>
      </c>
      <c r="P196" t="str">
        <f>Medicaid!K188</f>
        <v>No</v>
      </c>
    </row>
    <row r="197" spans="1:16" ht="15" customHeight="1" x14ac:dyDescent="0.25">
      <c r="A197" s="3">
        <v>90000</v>
      </c>
      <c r="B197" s="3">
        <f t="shared" si="35"/>
        <v>7500</v>
      </c>
      <c r="C197" s="3">
        <f t="shared" si="36"/>
        <v>629.25</v>
      </c>
      <c r="D197" s="64">
        <f t="shared" si="38"/>
        <v>4.1589648798521255</v>
      </c>
      <c r="E197" s="50">
        <f t="shared" si="37"/>
        <v>8.5000000000000006E-2</v>
      </c>
      <c r="F197" s="50">
        <f t="shared" si="31"/>
        <v>8.5000000000000006E-2</v>
      </c>
      <c r="G197" s="69">
        <f t="shared" si="32"/>
        <v>7213.333333333333</v>
      </c>
      <c r="H197" s="70">
        <f t="shared" si="33"/>
        <v>41666.666666666664</v>
      </c>
      <c r="I197" s="70">
        <f t="shared" si="34"/>
        <v>7195.3</v>
      </c>
      <c r="J197" s="53">
        <f t="shared" si="27"/>
        <v>637.5</v>
      </c>
      <c r="K197" s="53">
        <f t="shared" si="28"/>
        <v>933</v>
      </c>
      <c r="L197" s="289">
        <f t="shared" si="29"/>
        <v>295.5</v>
      </c>
      <c r="N197" s="7">
        <f t="shared" si="30"/>
        <v>3546</v>
      </c>
      <c r="O197" t="str">
        <f>Medicaid!G189</f>
        <v>No</v>
      </c>
      <c r="P197" t="str">
        <f>Medicaid!K189</f>
        <v>No</v>
      </c>
    </row>
    <row r="198" spans="1:16" ht="15" customHeight="1" x14ac:dyDescent="0.25">
      <c r="A198" s="3">
        <v>90500</v>
      </c>
      <c r="B198" s="3">
        <f t="shared" si="35"/>
        <v>7541.666666666667</v>
      </c>
      <c r="C198" s="3">
        <f t="shared" si="36"/>
        <v>632.74583333333339</v>
      </c>
      <c r="D198" s="64">
        <f t="shared" si="38"/>
        <v>4.182070240295749</v>
      </c>
      <c r="E198" s="50">
        <f t="shared" si="37"/>
        <v>8.5000000000000006E-2</v>
      </c>
      <c r="F198" s="50">
        <f t="shared" si="31"/>
        <v>8.5000000000000006E-2</v>
      </c>
      <c r="G198" s="69">
        <f t="shared" si="32"/>
        <v>7213.333333333333</v>
      </c>
      <c r="H198" s="70">
        <f t="shared" si="33"/>
        <v>41666.666666666664</v>
      </c>
      <c r="I198" s="70">
        <f t="shared" si="34"/>
        <v>7195.3</v>
      </c>
      <c r="J198" s="53">
        <f t="shared" si="27"/>
        <v>641.04166666666674</v>
      </c>
      <c r="K198" s="53">
        <f t="shared" si="28"/>
        <v>933</v>
      </c>
      <c r="L198" s="289">
        <f t="shared" si="29"/>
        <v>291.95833333333326</v>
      </c>
      <c r="N198" s="7">
        <f t="shared" si="30"/>
        <v>3503.4999999999991</v>
      </c>
      <c r="O198" t="str">
        <f>Medicaid!G190</f>
        <v>No</v>
      </c>
      <c r="P198" t="str">
        <f>Medicaid!K190</f>
        <v>No</v>
      </c>
    </row>
    <row r="199" spans="1:16" ht="15" customHeight="1" x14ac:dyDescent="0.25">
      <c r="A199" s="3">
        <v>91000</v>
      </c>
      <c r="B199" s="3">
        <f t="shared" si="35"/>
        <v>7583.333333333333</v>
      </c>
      <c r="C199" s="3">
        <f t="shared" si="36"/>
        <v>636.24166666666667</v>
      </c>
      <c r="D199" s="64">
        <f t="shared" si="38"/>
        <v>4.2051756007393717</v>
      </c>
      <c r="E199" s="50">
        <f t="shared" si="37"/>
        <v>8.5000000000000006E-2</v>
      </c>
      <c r="F199" s="50">
        <f t="shared" si="31"/>
        <v>8.5000000000000006E-2</v>
      </c>
      <c r="G199" s="69">
        <f t="shared" si="32"/>
        <v>7213.333333333333</v>
      </c>
      <c r="H199" s="70">
        <f t="shared" si="33"/>
        <v>41666.666666666664</v>
      </c>
      <c r="I199" s="70">
        <f t="shared" si="34"/>
        <v>7195.3</v>
      </c>
      <c r="J199" s="53">
        <f t="shared" si="27"/>
        <v>644.58333333333337</v>
      </c>
      <c r="K199" s="53">
        <f t="shared" si="28"/>
        <v>933</v>
      </c>
      <c r="L199" s="289">
        <f t="shared" si="29"/>
        <v>288.41666666666663</v>
      </c>
      <c r="N199" s="7">
        <f t="shared" si="30"/>
        <v>3460.9999999999995</v>
      </c>
      <c r="O199" t="str">
        <f>Medicaid!G191</f>
        <v>No</v>
      </c>
      <c r="P199" t="str">
        <f>Medicaid!K191</f>
        <v>No</v>
      </c>
    </row>
    <row r="200" spans="1:16" ht="15" customHeight="1" x14ac:dyDescent="0.25">
      <c r="A200" s="3">
        <v>91500</v>
      </c>
      <c r="B200" s="3">
        <f t="shared" si="35"/>
        <v>7625</v>
      </c>
      <c r="C200" s="3">
        <f t="shared" si="36"/>
        <v>639.73750000000007</v>
      </c>
      <c r="D200" s="64">
        <f t="shared" si="38"/>
        <v>4.2282809611829943</v>
      </c>
      <c r="E200" s="50">
        <f t="shared" si="37"/>
        <v>8.5000000000000006E-2</v>
      </c>
      <c r="F200" s="50">
        <f t="shared" si="31"/>
        <v>8.5000000000000006E-2</v>
      </c>
      <c r="G200" s="69">
        <f t="shared" si="32"/>
        <v>7213.333333333333</v>
      </c>
      <c r="H200" s="70">
        <f t="shared" si="33"/>
        <v>41666.666666666664</v>
      </c>
      <c r="I200" s="70">
        <f t="shared" si="34"/>
        <v>7195.3</v>
      </c>
      <c r="J200" s="53">
        <f t="shared" si="27"/>
        <v>648.125</v>
      </c>
      <c r="K200" s="53">
        <f t="shared" si="28"/>
        <v>933</v>
      </c>
      <c r="L200" s="289">
        <f t="shared" si="29"/>
        <v>284.875</v>
      </c>
      <c r="N200" s="7">
        <f t="shared" si="30"/>
        <v>3418.5</v>
      </c>
      <c r="O200" t="str">
        <f>Medicaid!G192</f>
        <v>No</v>
      </c>
      <c r="P200" t="str">
        <f>Medicaid!K192</f>
        <v>No</v>
      </c>
    </row>
    <row r="201" spans="1:16" ht="15" customHeight="1" x14ac:dyDescent="0.25">
      <c r="A201" s="3">
        <v>92000</v>
      </c>
      <c r="B201" s="3">
        <f t="shared" si="35"/>
        <v>7666.666666666667</v>
      </c>
      <c r="C201" s="3">
        <f t="shared" si="36"/>
        <v>643.23333333333335</v>
      </c>
      <c r="D201" s="64">
        <f t="shared" si="38"/>
        <v>4.2513863216266179</v>
      </c>
      <c r="E201" s="50">
        <f t="shared" si="37"/>
        <v>8.5000000000000006E-2</v>
      </c>
      <c r="F201" s="50">
        <f t="shared" si="31"/>
        <v>8.5000000000000006E-2</v>
      </c>
      <c r="G201" s="69">
        <f t="shared" si="32"/>
        <v>7213.333333333333</v>
      </c>
      <c r="H201" s="70">
        <f t="shared" si="33"/>
        <v>41666.666666666664</v>
      </c>
      <c r="I201" s="70">
        <f t="shared" si="34"/>
        <v>7195.3</v>
      </c>
      <c r="J201" s="53">
        <f t="shared" si="27"/>
        <v>651.66666666666674</v>
      </c>
      <c r="K201" s="53">
        <f t="shared" si="28"/>
        <v>933</v>
      </c>
      <c r="L201" s="289">
        <f t="shared" si="29"/>
        <v>281.33333333333326</v>
      </c>
      <c r="N201" s="7">
        <f t="shared" si="30"/>
        <v>3375.9999999999991</v>
      </c>
      <c r="O201" t="str">
        <f>Medicaid!G193</f>
        <v>No</v>
      </c>
      <c r="P201" t="str">
        <f>Medicaid!K193</f>
        <v>No</v>
      </c>
    </row>
    <row r="202" spans="1:16" ht="15" customHeight="1" x14ac:dyDescent="0.25">
      <c r="A202" s="3">
        <v>92500</v>
      </c>
      <c r="B202" s="3">
        <f t="shared" si="35"/>
        <v>7708.333333333333</v>
      </c>
      <c r="C202" s="3">
        <f t="shared" si="36"/>
        <v>646.72916666666663</v>
      </c>
      <c r="D202" s="64">
        <f t="shared" si="38"/>
        <v>4.2744916820702406</v>
      </c>
      <c r="E202" s="50">
        <f t="shared" si="37"/>
        <v>8.5000000000000006E-2</v>
      </c>
      <c r="F202" s="50">
        <f t="shared" si="31"/>
        <v>8.5000000000000006E-2</v>
      </c>
      <c r="G202" s="69">
        <f t="shared" si="32"/>
        <v>7213.333333333333</v>
      </c>
      <c r="H202" s="70">
        <f t="shared" si="33"/>
        <v>41666.666666666664</v>
      </c>
      <c r="I202" s="70">
        <f t="shared" si="34"/>
        <v>7195.3</v>
      </c>
      <c r="J202" s="53">
        <f t="shared" si="27"/>
        <v>655.20833333333337</v>
      </c>
      <c r="K202" s="53">
        <f t="shared" si="28"/>
        <v>933</v>
      </c>
      <c r="L202" s="289">
        <f t="shared" si="29"/>
        <v>277.79166666666663</v>
      </c>
      <c r="N202" s="7">
        <f t="shared" si="30"/>
        <v>3333.4999999999995</v>
      </c>
      <c r="O202" t="str">
        <f>Medicaid!G194</f>
        <v>No</v>
      </c>
      <c r="P202" t="str">
        <f>Medicaid!K194</f>
        <v>No</v>
      </c>
    </row>
    <row r="203" spans="1:16" ht="15" customHeight="1" x14ac:dyDescent="0.25">
      <c r="A203" s="3">
        <v>93000</v>
      </c>
      <c r="B203" s="3">
        <f t="shared" si="35"/>
        <v>7750</v>
      </c>
      <c r="C203" s="3">
        <f t="shared" si="36"/>
        <v>650.22500000000002</v>
      </c>
      <c r="D203" s="64">
        <f t="shared" si="38"/>
        <v>4.2975970425138632</v>
      </c>
      <c r="E203" s="50">
        <f t="shared" si="37"/>
        <v>8.5000000000000006E-2</v>
      </c>
      <c r="F203" s="50">
        <f t="shared" si="31"/>
        <v>8.5000000000000006E-2</v>
      </c>
      <c r="G203" s="69">
        <f t="shared" si="32"/>
        <v>7213.333333333333</v>
      </c>
      <c r="H203" s="70">
        <f t="shared" si="33"/>
        <v>41666.666666666664</v>
      </c>
      <c r="I203" s="70">
        <f t="shared" si="34"/>
        <v>7195.3</v>
      </c>
      <c r="J203" s="53">
        <f t="shared" si="27"/>
        <v>658.75</v>
      </c>
      <c r="K203" s="53">
        <f t="shared" si="28"/>
        <v>933</v>
      </c>
      <c r="L203" s="289">
        <f t="shared" si="29"/>
        <v>274.25</v>
      </c>
      <c r="N203" s="7">
        <f t="shared" si="30"/>
        <v>3291</v>
      </c>
      <c r="O203" t="str">
        <f>Medicaid!G195</f>
        <v>No</v>
      </c>
      <c r="P203" t="str">
        <f>Medicaid!K195</f>
        <v>No</v>
      </c>
    </row>
    <row r="204" spans="1:16" ht="15" customHeight="1" x14ac:dyDescent="0.25">
      <c r="A204" s="3">
        <v>93500</v>
      </c>
      <c r="B204" s="3">
        <f t="shared" si="35"/>
        <v>7791.666666666667</v>
      </c>
      <c r="C204" s="3">
        <f t="shared" si="36"/>
        <v>653.72083333333342</v>
      </c>
      <c r="D204" s="64">
        <f t="shared" si="38"/>
        <v>4.3207024029574868</v>
      </c>
      <c r="E204" s="50">
        <f t="shared" si="37"/>
        <v>8.5000000000000006E-2</v>
      </c>
      <c r="F204" s="50">
        <f t="shared" si="31"/>
        <v>8.5000000000000006E-2</v>
      </c>
      <c r="G204" s="69">
        <f t="shared" si="32"/>
        <v>7213.333333333333</v>
      </c>
      <c r="H204" s="70">
        <f t="shared" si="33"/>
        <v>41666.666666666664</v>
      </c>
      <c r="I204" s="70">
        <f t="shared" si="34"/>
        <v>7195.3</v>
      </c>
      <c r="J204" s="53">
        <f t="shared" si="27"/>
        <v>662.29166666666674</v>
      </c>
      <c r="K204" s="53">
        <f t="shared" si="28"/>
        <v>933</v>
      </c>
      <c r="L204" s="289">
        <f t="shared" si="29"/>
        <v>270.70833333333326</v>
      </c>
      <c r="N204" s="7">
        <f t="shared" si="30"/>
        <v>3248.4999999999991</v>
      </c>
      <c r="O204" t="str">
        <f>Medicaid!G196</f>
        <v>No</v>
      </c>
      <c r="P204" t="str">
        <f>Medicaid!K196</f>
        <v>No</v>
      </c>
    </row>
    <row r="205" spans="1:16" ht="15" customHeight="1" x14ac:dyDescent="0.25">
      <c r="A205" s="3">
        <v>94000</v>
      </c>
      <c r="B205" s="3">
        <f t="shared" si="35"/>
        <v>7833.333333333333</v>
      </c>
      <c r="C205" s="3">
        <f t="shared" si="36"/>
        <v>657.2166666666667</v>
      </c>
      <c r="D205" s="64">
        <f t="shared" si="38"/>
        <v>4.3438077634011094</v>
      </c>
      <c r="E205" s="50">
        <f t="shared" si="37"/>
        <v>8.5000000000000006E-2</v>
      </c>
      <c r="F205" s="50">
        <f t="shared" si="31"/>
        <v>8.5000000000000006E-2</v>
      </c>
      <c r="G205" s="69">
        <f t="shared" si="32"/>
        <v>7213.333333333333</v>
      </c>
      <c r="H205" s="70">
        <f t="shared" si="33"/>
        <v>41666.666666666664</v>
      </c>
      <c r="I205" s="70">
        <f t="shared" si="34"/>
        <v>7195.3</v>
      </c>
      <c r="J205" s="53">
        <f t="shared" si="27"/>
        <v>665.83333333333337</v>
      </c>
      <c r="K205" s="53">
        <f t="shared" si="28"/>
        <v>933</v>
      </c>
      <c r="L205" s="289">
        <f t="shared" si="29"/>
        <v>267.16666666666663</v>
      </c>
      <c r="N205" s="7">
        <f t="shared" si="30"/>
        <v>3205.9999999999995</v>
      </c>
      <c r="O205" t="str">
        <f>Medicaid!G197</f>
        <v>No</v>
      </c>
      <c r="P205" t="str">
        <f>Medicaid!K197</f>
        <v>No</v>
      </c>
    </row>
    <row r="206" spans="1:16" ht="15" customHeight="1" x14ac:dyDescent="0.25">
      <c r="A206" s="3">
        <v>94500</v>
      </c>
      <c r="B206" s="3">
        <f t="shared" si="35"/>
        <v>7875</v>
      </c>
      <c r="C206" s="3">
        <f t="shared" si="36"/>
        <v>660.71249999999998</v>
      </c>
      <c r="D206" s="64">
        <f t="shared" si="38"/>
        <v>4.3669131238447321</v>
      </c>
      <c r="E206" s="50">
        <f t="shared" si="37"/>
        <v>8.5000000000000006E-2</v>
      </c>
      <c r="F206" s="50">
        <f t="shared" si="31"/>
        <v>8.5000000000000006E-2</v>
      </c>
      <c r="G206" s="69">
        <f t="shared" si="32"/>
        <v>7213.333333333333</v>
      </c>
      <c r="H206" s="70">
        <f t="shared" si="33"/>
        <v>41666.666666666664</v>
      </c>
      <c r="I206" s="70">
        <f t="shared" si="34"/>
        <v>7195.3</v>
      </c>
      <c r="J206" s="53">
        <f t="shared" si="27"/>
        <v>669.375</v>
      </c>
      <c r="K206" s="53">
        <f t="shared" si="28"/>
        <v>933</v>
      </c>
      <c r="L206" s="289">
        <f t="shared" si="29"/>
        <v>263.625</v>
      </c>
      <c r="N206" s="7">
        <f t="shared" si="30"/>
        <v>3163.5</v>
      </c>
      <c r="O206" t="str">
        <f>Medicaid!G198</f>
        <v>No</v>
      </c>
      <c r="P206" t="str">
        <f>Medicaid!K198</f>
        <v>No</v>
      </c>
    </row>
    <row r="207" spans="1:16" ht="15" customHeight="1" x14ac:dyDescent="0.25">
      <c r="A207" s="3">
        <v>95000</v>
      </c>
      <c r="B207" s="3">
        <f t="shared" si="35"/>
        <v>7916.666666666667</v>
      </c>
      <c r="C207" s="3">
        <f t="shared" si="36"/>
        <v>664.20833333333337</v>
      </c>
      <c r="D207" s="64">
        <f t="shared" si="38"/>
        <v>4.3900184842883556</v>
      </c>
      <c r="E207" s="50">
        <f t="shared" si="37"/>
        <v>8.5000000000000006E-2</v>
      </c>
      <c r="F207" s="50">
        <f t="shared" si="31"/>
        <v>8.5000000000000006E-2</v>
      </c>
      <c r="G207" s="69">
        <f t="shared" si="32"/>
        <v>7213.333333333333</v>
      </c>
      <c r="H207" s="70">
        <f t="shared" si="33"/>
        <v>41666.666666666664</v>
      </c>
      <c r="I207" s="70">
        <f t="shared" si="34"/>
        <v>7195.3</v>
      </c>
      <c r="J207" s="53">
        <f t="shared" si="27"/>
        <v>672.91666666666674</v>
      </c>
      <c r="K207" s="53">
        <f t="shared" si="28"/>
        <v>933</v>
      </c>
      <c r="L207" s="289">
        <f t="shared" si="29"/>
        <v>260.08333333333326</v>
      </c>
      <c r="N207" s="7">
        <f t="shared" si="30"/>
        <v>3120.9999999999991</v>
      </c>
      <c r="O207" t="str">
        <f>Medicaid!G199</f>
        <v>No</v>
      </c>
      <c r="P207" t="str">
        <f>Medicaid!K199</f>
        <v>No</v>
      </c>
    </row>
    <row r="208" spans="1:16" ht="15" customHeight="1" x14ac:dyDescent="0.25">
      <c r="A208" s="3">
        <v>95500</v>
      </c>
      <c r="B208" s="3">
        <f t="shared" si="35"/>
        <v>7958.333333333333</v>
      </c>
      <c r="C208" s="3">
        <f t="shared" si="36"/>
        <v>667.70416666666665</v>
      </c>
      <c r="D208" s="64">
        <f t="shared" si="38"/>
        <v>4.4131238447319783</v>
      </c>
      <c r="E208" s="50">
        <f t="shared" si="37"/>
        <v>8.5000000000000006E-2</v>
      </c>
      <c r="F208" s="50">
        <f t="shared" si="31"/>
        <v>8.5000000000000006E-2</v>
      </c>
      <c r="G208" s="69">
        <f t="shared" si="32"/>
        <v>7213.333333333333</v>
      </c>
      <c r="H208" s="70">
        <f t="shared" si="33"/>
        <v>41666.666666666664</v>
      </c>
      <c r="I208" s="70">
        <f t="shared" si="34"/>
        <v>7195.3</v>
      </c>
      <c r="J208" s="53">
        <f t="shared" si="27"/>
        <v>676.45833333333337</v>
      </c>
      <c r="K208" s="53">
        <f t="shared" si="28"/>
        <v>933</v>
      </c>
      <c r="L208" s="289">
        <f t="shared" si="29"/>
        <v>256.54166666666663</v>
      </c>
      <c r="N208" s="7">
        <f t="shared" si="30"/>
        <v>3078.4999999999995</v>
      </c>
      <c r="O208" t="str">
        <f>Medicaid!G200</f>
        <v>No</v>
      </c>
      <c r="P208" t="str">
        <f>Medicaid!K200</f>
        <v>No</v>
      </c>
    </row>
    <row r="209" spans="1:16" ht="15" customHeight="1" x14ac:dyDescent="0.25">
      <c r="A209" s="3">
        <v>96000</v>
      </c>
      <c r="B209" s="3">
        <f t="shared" si="35"/>
        <v>8000</v>
      </c>
      <c r="C209" s="3">
        <f t="shared" si="36"/>
        <v>671.2</v>
      </c>
      <c r="D209" s="64">
        <f t="shared" si="38"/>
        <v>4.4362292051756009</v>
      </c>
      <c r="E209" s="50">
        <f t="shared" si="37"/>
        <v>8.5000000000000006E-2</v>
      </c>
      <c r="F209" s="50">
        <f t="shared" si="31"/>
        <v>8.5000000000000006E-2</v>
      </c>
      <c r="G209" s="69">
        <f t="shared" si="32"/>
        <v>7213.333333333333</v>
      </c>
      <c r="H209" s="70">
        <f t="shared" si="33"/>
        <v>41666.666666666664</v>
      </c>
      <c r="I209" s="70">
        <f t="shared" si="34"/>
        <v>7195.3</v>
      </c>
      <c r="J209" s="53">
        <f t="shared" si="27"/>
        <v>680</v>
      </c>
      <c r="K209" s="53">
        <f t="shared" si="28"/>
        <v>933</v>
      </c>
      <c r="L209" s="289">
        <f t="shared" si="29"/>
        <v>253</v>
      </c>
      <c r="N209" s="7">
        <f t="shared" si="30"/>
        <v>3036</v>
      </c>
      <c r="O209" t="str">
        <f>Medicaid!G201</f>
        <v>No</v>
      </c>
      <c r="P209" t="str">
        <f>Medicaid!K201</f>
        <v>No</v>
      </c>
    </row>
    <row r="210" spans="1:16" ht="15" customHeight="1" x14ac:dyDescent="0.25">
      <c r="A210" s="3">
        <v>96500</v>
      </c>
      <c r="B210" s="3">
        <f t="shared" si="35"/>
        <v>8041.666666666667</v>
      </c>
      <c r="C210" s="3">
        <f t="shared" si="36"/>
        <v>674.69583333333333</v>
      </c>
      <c r="D210" s="64">
        <f t="shared" si="38"/>
        <v>4.4593345656192236</v>
      </c>
      <c r="E210" s="50">
        <f t="shared" si="37"/>
        <v>8.5000000000000006E-2</v>
      </c>
      <c r="F210" s="50">
        <f t="shared" si="31"/>
        <v>8.5000000000000006E-2</v>
      </c>
      <c r="G210" s="69">
        <f t="shared" si="32"/>
        <v>7213.333333333333</v>
      </c>
      <c r="H210" s="70">
        <f t="shared" si="33"/>
        <v>41666.666666666664</v>
      </c>
      <c r="I210" s="70">
        <f t="shared" si="34"/>
        <v>7195.3</v>
      </c>
      <c r="J210" s="53">
        <f t="shared" ref="J210:J217" si="39">B210*(E210+(B210-I210)*(F210-E210)/(H210-I210))</f>
        <v>683.54166666666674</v>
      </c>
      <c r="K210" s="53">
        <f t="shared" ref="K210:K217" si="40">SUM(IF(O210="Yes",0,$C$12),IF(P210="Yes",0,$C$13))</f>
        <v>933</v>
      </c>
      <c r="L210" s="289">
        <f t="shared" ref="L210:L217" si="41">MAX(0,K210-J210)</f>
        <v>249.45833333333326</v>
      </c>
      <c r="N210" s="7">
        <f t="shared" ref="N210:N217" si="42">MAX(0,L210*12)</f>
        <v>2993.4999999999991</v>
      </c>
      <c r="O210" t="str">
        <f>Medicaid!G202</f>
        <v>No</v>
      </c>
      <c r="P210" t="str">
        <f>Medicaid!K202</f>
        <v>No</v>
      </c>
    </row>
    <row r="211" spans="1:16" ht="15" customHeight="1" x14ac:dyDescent="0.25">
      <c r="A211" s="3">
        <v>97000</v>
      </c>
      <c r="B211" s="3">
        <f t="shared" si="35"/>
        <v>8083.333333333333</v>
      </c>
      <c r="C211" s="3">
        <f t="shared" si="36"/>
        <v>678.19166666666661</v>
      </c>
      <c r="D211" s="64">
        <f t="shared" si="38"/>
        <v>4.4824399260628462</v>
      </c>
      <c r="E211" s="50">
        <f t="shared" si="37"/>
        <v>8.5000000000000006E-2</v>
      </c>
      <c r="F211" s="50">
        <f t="shared" ref="F211:F217" si="43">IF(D211&gt;3.99,0.085,IF(D211&gt;2.99,0.085,IF(D211&gt;2.49,0.06,IF(D211&gt;1.99,0.04,IF(D211&gt;1.49,0.02,0)))))</f>
        <v>8.5000000000000006E-2</v>
      </c>
      <c r="G211" s="69">
        <f t="shared" ref="G211:G217" si="44">IF(D211&gt;3.99,$M$7,IF(D211&gt;2.99,$M$6,IF(D211&gt;2.49,$M$5,IF(D211&gt;1.99,$M$4,IF(D211&gt;1.49,$M$3,0)))))</f>
        <v>7213.333333333333</v>
      </c>
      <c r="H211" s="70">
        <f t="shared" ref="H211:H217" si="45">IF(D211&gt;3.99,$N$7,IF(D211&gt;2.99,$N$6,IF(D211&gt;2.49,$N$5,IF(D211&gt;1.99,$N$4,IF(D211&gt;1.49,$N$3,IF(D211&gt;=0,$N$2,0))))))</f>
        <v>41666.666666666664</v>
      </c>
      <c r="I211" s="70">
        <f t="shared" ref="I211:I217" si="46">IF(D211&gt;3.99,$N$6,IF(D211&gt;2.99,$N$5,IF(D211&gt;2.49,$N$4,IF(D211&gt;1.99,$N$3,IF(D211&gt;1.49,$N$2,IF(D211&gt;=0,0))))))</f>
        <v>7195.3</v>
      </c>
      <c r="J211" s="53">
        <f t="shared" si="39"/>
        <v>687.08333333333337</v>
      </c>
      <c r="K211" s="53">
        <f t="shared" si="40"/>
        <v>933</v>
      </c>
      <c r="L211" s="289">
        <f t="shared" si="41"/>
        <v>245.91666666666663</v>
      </c>
      <c r="N211" s="7">
        <f t="shared" si="42"/>
        <v>2950.9999999999995</v>
      </c>
      <c r="O211" t="str">
        <f>Medicaid!G203</f>
        <v>No</v>
      </c>
      <c r="P211" t="str">
        <f>Medicaid!K203</f>
        <v>No</v>
      </c>
    </row>
    <row r="212" spans="1:16" ht="15" customHeight="1" x14ac:dyDescent="0.25">
      <c r="A212" s="3">
        <v>97500</v>
      </c>
      <c r="B212" s="3">
        <f t="shared" ref="B212:B217" si="47">A212/12</f>
        <v>8125</v>
      </c>
      <c r="C212" s="3">
        <f t="shared" ref="C212:C217" si="48">B212*0.0839</f>
        <v>681.6875</v>
      </c>
      <c r="D212" s="64">
        <f t="shared" si="38"/>
        <v>4.5055452865064698</v>
      </c>
      <c r="E212" s="50">
        <f t="shared" si="37"/>
        <v>8.5000000000000006E-2</v>
      </c>
      <c r="F212" s="50">
        <f t="shared" si="43"/>
        <v>8.5000000000000006E-2</v>
      </c>
      <c r="G212" s="69">
        <f t="shared" si="44"/>
        <v>7213.333333333333</v>
      </c>
      <c r="H212" s="70">
        <f t="shared" si="45"/>
        <v>41666.666666666664</v>
      </c>
      <c r="I212" s="70">
        <f t="shared" si="46"/>
        <v>7195.3</v>
      </c>
      <c r="J212" s="53">
        <f t="shared" si="39"/>
        <v>690.625</v>
      </c>
      <c r="K212" s="53">
        <f t="shared" si="40"/>
        <v>933</v>
      </c>
      <c r="L212" s="289">
        <f t="shared" si="41"/>
        <v>242.375</v>
      </c>
      <c r="N212" s="7">
        <f t="shared" si="42"/>
        <v>2908.5</v>
      </c>
      <c r="O212" t="str">
        <f>Medicaid!G204</f>
        <v>No</v>
      </c>
      <c r="P212" t="str">
        <f>Medicaid!K204</f>
        <v>No</v>
      </c>
    </row>
    <row r="213" spans="1:16" ht="15" customHeight="1" x14ac:dyDescent="0.25">
      <c r="A213" s="3">
        <v>98000</v>
      </c>
      <c r="B213" s="3">
        <f t="shared" si="47"/>
        <v>8166.666666666667</v>
      </c>
      <c r="C213" s="3">
        <f t="shared" si="48"/>
        <v>685.18333333333339</v>
      </c>
      <c r="D213" s="64">
        <f t="shared" si="38"/>
        <v>4.5286506469500925</v>
      </c>
      <c r="E213" s="50">
        <f t="shared" si="37"/>
        <v>8.5000000000000006E-2</v>
      </c>
      <c r="F213" s="50">
        <f t="shared" si="43"/>
        <v>8.5000000000000006E-2</v>
      </c>
      <c r="G213" s="69">
        <f t="shared" si="44"/>
        <v>7213.333333333333</v>
      </c>
      <c r="H213" s="70">
        <f t="shared" si="45"/>
        <v>41666.666666666664</v>
      </c>
      <c r="I213" s="70">
        <f t="shared" si="46"/>
        <v>7195.3</v>
      </c>
      <c r="J213" s="53">
        <f t="shared" si="39"/>
        <v>694.16666666666674</v>
      </c>
      <c r="K213" s="53">
        <f t="shared" si="40"/>
        <v>933</v>
      </c>
      <c r="L213" s="289">
        <f t="shared" si="41"/>
        <v>238.83333333333326</v>
      </c>
      <c r="N213" s="7">
        <f t="shared" si="42"/>
        <v>2865.9999999999991</v>
      </c>
      <c r="O213" t="str">
        <f>Medicaid!G205</f>
        <v>No</v>
      </c>
      <c r="P213" t="str">
        <f>Medicaid!K205</f>
        <v>No</v>
      </c>
    </row>
    <row r="214" spans="1:16" ht="15" customHeight="1" x14ac:dyDescent="0.25">
      <c r="A214" s="3">
        <v>98500</v>
      </c>
      <c r="B214" s="3">
        <f t="shared" si="47"/>
        <v>8208.3333333333339</v>
      </c>
      <c r="C214" s="3">
        <f t="shared" si="48"/>
        <v>688.67916666666679</v>
      </c>
      <c r="D214" s="64">
        <f t="shared" si="38"/>
        <v>4.551756007393716</v>
      </c>
      <c r="E214" s="50">
        <f t="shared" si="37"/>
        <v>8.5000000000000006E-2</v>
      </c>
      <c r="F214" s="50">
        <f t="shared" si="43"/>
        <v>8.5000000000000006E-2</v>
      </c>
      <c r="G214" s="69">
        <f t="shared" si="44"/>
        <v>7213.333333333333</v>
      </c>
      <c r="H214" s="70">
        <f t="shared" si="45"/>
        <v>41666.666666666664</v>
      </c>
      <c r="I214" s="70">
        <f t="shared" si="46"/>
        <v>7195.3</v>
      </c>
      <c r="J214" s="53">
        <f t="shared" si="39"/>
        <v>697.70833333333348</v>
      </c>
      <c r="K214" s="53">
        <f t="shared" si="40"/>
        <v>933</v>
      </c>
      <c r="L214" s="289">
        <f t="shared" si="41"/>
        <v>235.29166666666652</v>
      </c>
      <c r="N214" s="7">
        <f t="shared" si="42"/>
        <v>2823.4999999999982</v>
      </c>
      <c r="O214" t="str">
        <f>Medicaid!G206</f>
        <v>No</v>
      </c>
      <c r="P214" t="str">
        <f>Medicaid!K206</f>
        <v>No</v>
      </c>
    </row>
    <row r="215" spans="1:16" ht="15" customHeight="1" x14ac:dyDescent="0.25">
      <c r="A215" s="3">
        <v>99000</v>
      </c>
      <c r="B215" s="3">
        <f t="shared" si="47"/>
        <v>8250</v>
      </c>
      <c r="C215" s="3">
        <f t="shared" si="48"/>
        <v>692.17500000000007</v>
      </c>
      <c r="D215" s="64">
        <f t="shared" si="38"/>
        <v>4.5748613678373387</v>
      </c>
      <c r="E215" s="50">
        <f t="shared" si="37"/>
        <v>8.5000000000000006E-2</v>
      </c>
      <c r="F215" s="50">
        <f t="shared" si="43"/>
        <v>8.5000000000000006E-2</v>
      </c>
      <c r="G215" s="69">
        <f t="shared" si="44"/>
        <v>7213.333333333333</v>
      </c>
      <c r="H215" s="70">
        <f t="shared" si="45"/>
        <v>41666.666666666664</v>
      </c>
      <c r="I215" s="70">
        <f t="shared" si="46"/>
        <v>7195.3</v>
      </c>
      <c r="J215" s="53">
        <f t="shared" si="39"/>
        <v>701.25</v>
      </c>
      <c r="K215" s="53">
        <f t="shared" si="40"/>
        <v>933</v>
      </c>
      <c r="L215" s="289">
        <f t="shared" si="41"/>
        <v>231.75</v>
      </c>
      <c r="N215" s="7">
        <f t="shared" si="42"/>
        <v>2781</v>
      </c>
      <c r="O215" t="str">
        <f>Medicaid!G207</f>
        <v>No</v>
      </c>
      <c r="P215" t="str">
        <f>Medicaid!K207</f>
        <v>No</v>
      </c>
    </row>
    <row r="216" spans="1:16" ht="15" customHeight="1" x14ac:dyDescent="0.25">
      <c r="A216" s="3">
        <v>99500</v>
      </c>
      <c r="B216" s="3">
        <f t="shared" si="47"/>
        <v>8291.6666666666661</v>
      </c>
      <c r="C216" s="3">
        <f t="shared" si="48"/>
        <v>695.67083333333335</v>
      </c>
      <c r="D216" s="64">
        <f t="shared" si="38"/>
        <v>4.5979667282809613</v>
      </c>
      <c r="E216" s="50">
        <f t="shared" si="37"/>
        <v>8.5000000000000006E-2</v>
      </c>
      <c r="F216" s="50">
        <f t="shared" si="43"/>
        <v>8.5000000000000006E-2</v>
      </c>
      <c r="G216" s="69">
        <f t="shared" si="44"/>
        <v>7213.333333333333</v>
      </c>
      <c r="H216" s="70">
        <f t="shared" si="45"/>
        <v>41666.666666666664</v>
      </c>
      <c r="I216" s="70">
        <f t="shared" si="46"/>
        <v>7195.3</v>
      </c>
      <c r="J216" s="53">
        <f t="shared" si="39"/>
        <v>704.79166666666663</v>
      </c>
      <c r="K216" s="53">
        <f t="shared" si="40"/>
        <v>933</v>
      </c>
      <c r="L216" s="289">
        <f t="shared" si="41"/>
        <v>228.20833333333337</v>
      </c>
      <c r="N216" s="7">
        <f t="shared" si="42"/>
        <v>2738.5000000000005</v>
      </c>
      <c r="O216" t="str">
        <f>Medicaid!G208</f>
        <v>No</v>
      </c>
      <c r="P216" t="str">
        <f>Medicaid!K208</f>
        <v>No</v>
      </c>
    </row>
    <row r="217" spans="1:16" ht="15" customHeight="1" x14ac:dyDescent="0.25">
      <c r="A217" s="3">
        <v>100000</v>
      </c>
      <c r="B217" s="3">
        <f t="shared" si="47"/>
        <v>8333.3333333333339</v>
      </c>
      <c r="C217" s="3">
        <f t="shared" si="48"/>
        <v>699.16666666666674</v>
      </c>
      <c r="D217" s="64">
        <f t="shared" si="38"/>
        <v>4.6210720887245849</v>
      </c>
      <c r="E217" s="50">
        <f t="shared" si="37"/>
        <v>8.5000000000000006E-2</v>
      </c>
      <c r="F217" s="50">
        <f t="shared" si="43"/>
        <v>8.5000000000000006E-2</v>
      </c>
      <c r="G217" s="69">
        <f t="shared" si="44"/>
        <v>7213.333333333333</v>
      </c>
      <c r="H217" s="70">
        <f t="shared" si="45"/>
        <v>41666.666666666664</v>
      </c>
      <c r="I217" s="70">
        <f t="shared" si="46"/>
        <v>7195.3</v>
      </c>
      <c r="J217" s="53">
        <f t="shared" si="39"/>
        <v>708.33333333333348</v>
      </c>
      <c r="K217" s="53">
        <f t="shared" si="40"/>
        <v>933</v>
      </c>
      <c r="L217" s="289">
        <f t="shared" si="41"/>
        <v>224.66666666666652</v>
      </c>
      <c r="N217" s="7">
        <f t="shared" si="42"/>
        <v>2695.9999999999982</v>
      </c>
      <c r="O217" t="str">
        <f>Medicaid!G209</f>
        <v>No</v>
      </c>
      <c r="P217" t="str">
        <f>Medicaid!K209</f>
        <v>No</v>
      </c>
    </row>
    <row r="218" spans="1:16" ht="15" customHeight="1" x14ac:dyDescent="0.25">
      <c r="C218" s="3"/>
      <c r="D218" s="64"/>
      <c r="E218" s="50"/>
      <c r="F218" s="50"/>
      <c r="G218" s="69"/>
      <c r="H218" s="70"/>
      <c r="I218" s="70"/>
      <c r="J218" s="53"/>
      <c r="K218" s="53"/>
      <c r="L218" s="53"/>
      <c r="N218" s="7"/>
    </row>
    <row r="219" spans="1:16" ht="15" customHeight="1" x14ac:dyDescent="0.25">
      <c r="A219" s="116" t="s">
        <v>302</v>
      </c>
      <c r="C219" s="3"/>
      <c r="D219" s="64"/>
      <c r="E219" s="50"/>
      <c r="F219" s="50"/>
      <c r="G219" s="69"/>
      <c r="H219" s="70"/>
      <c r="I219" s="70"/>
      <c r="J219" s="53"/>
      <c r="K219" s="53"/>
      <c r="L219" s="53"/>
      <c r="N219" s="7"/>
    </row>
    <row r="220" spans="1:16" ht="15" customHeight="1" x14ac:dyDescent="0.25">
      <c r="B220" s="7">
        <f>'Total income package'!$B$90</f>
        <v>1289</v>
      </c>
      <c r="C220" s="3">
        <f>B220*0.0839</f>
        <v>108.14710000000001</v>
      </c>
      <c r="D220" s="64">
        <f>B220/$K$2</f>
        <v>0.7147874306839187</v>
      </c>
      <c r="E220" s="50">
        <f>IF(D220&gt;3.99,0.085,IF(D220&gt;2.99,0.06,IF(D220&gt;1.99,0.02,IF(D220&gt;1.49,0,0))))</f>
        <v>0</v>
      </c>
      <c r="F220" s="50">
        <f>IF(D220&gt;3.99,0.085,IF(D220&gt;2.99,0.085,IF(D220&gt;2.49,0.06,IF(D220&gt;1.99,0.04,IF(D220&gt;1.49,0.02,0)))))</f>
        <v>0</v>
      </c>
      <c r="G220" s="69">
        <f>IF(D220&gt;3.99,$M$7,IF(D220&gt;2.99,$M$6,IF(D220&gt;2.49,$M$5,IF(D220&gt;1.99,$M$4,IF(D220&gt;1.49,$M$3,0)))))</f>
        <v>0</v>
      </c>
      <c r="H220" s="70">
        <f>IF(D220&gt;3.99,$N$7,IF(D220&gt;2.99,$N$6,IF(D220&gt;2.49,$N$5,IF(D220&gt;1.99,$N$4,IF(D220&gt;1.49,$N$3,IF(D220&gt;=0,$N$2,0))))))</f>
        <v>2686.9666666666667</v>
      </c>
      <c r="I220" s="70">
        <f>IF(D220&gt;3.99,$N$6,IF(D220&gt;2.99,$N$5,IF(D220&gt;2.49,$N$4,IF(D220&gt;1.99,$N$3,IF(D220&gt;1.49,$N$2,IF(D220&gt;=0,0))))))</f>
        <v>0</v>
      </c>
      <c r="J220" s="53">
        <f>B220*(E220+(B220-I220)*(F220-E220)/(H220-I220))</f>
        <v>0</v>
      </c>
      <c r="K220" s="53">
        <f>$C$12</f>
        <v>558</v>
      </c>
      <c r="L220" s="289">
        <f t="shared" ref="L220:L222" si="49">IF(O220="Yes",0,MAX(0,K220-J220))</f>
        <v>0</v>
      </c>
      <c r="N220" s="7">
        <f>MAX(0,L220*12)</f>
        <v>0</v>
      </c>
      <c r="O220" t="str">
        <f>Medicaid!G212</f>
        <v>Yes</v>
      </c>
      <c r="P220" t="str">
        <f>Medicaid!K212</f>
        <v>Yes</v>
      </c>
    </row>
    <row r="221" spans="1:16" ht="15" customHeight="1" x14ac:dyDescent="0.25">
      <c r="A221" s="116" t="s">
        <v>303</v>
      </c>
      <c r="C221" s="3"/>
      <c r="D221" s="64"/>
      <c r="E221" s="50"/>
      <c r="F221" s="50"/>
      <c r="G221" s="69"/>
      <c r="H221" s="70"/>
      <c r="I221" s="70"/>
      <c r="J221" s="53"/>
      <c r="K221" s="53"/>
      <c r="L221" s="53"/>
      <c r="N221" s="7"/>
    </row>
    <row r="222" spans="1:16" ht="15" customHeight="1" x14ac:dyDescent="0.25">
      <c r="B222" s="7">
        <f>'Total income package'!$B$91</f>
        <v>1289</v>
      </c>
      <c r="C222" s="3">
        <f>B222*0.0839</f>
        <v>108.14710000000001</v>
      </c>
      <c r="D222" s="64">
        <f>B222/$K$2</f>
        <v>0.7147874306839187</v>
      </c>
      <c r="E222" s="50">
        <f>IF(D222&gt;3.99,0.085,IF(D222&gt;2.99,0.06,IF(D222&gt;1.99,0.02,IF(D222&gt;1.49,0,0))))</f>
        <v>0</v>
      </c>
      <c r="F222" s="50">
        <f>IF(D222&gt;3.99,0.085,IF(D222&gt;2.99,0.085,IF(D222&gt;2.49,0.06,IF(D222&gt;1.99,0.04,IF(D222&gt;1.49,0.02,0)))))</f>
        <v>0</v>
      </c>
      <c r="G222" s="69">
        <f>IF(D222&gt;3.99,$M$7,IF(D222&gt;2.99,$M$6,IF(D222&gt;2.49,$M$5,IF(D222&gt;1.99,$M$4,IF(D222&gt;1.49,$M$3,0)))))</f>
        <v>0</v>
      </c>
      <c r="H222" s="70">
        <f>IF(D222&gt;3.99,$N$7,IF(D222&gt;2.99,$N$6,IF(D222&gt;2.49,$N$5,IF(D222&gt;1.99,$N$4,IF(D222&gt;1.49,$N$3,IF(D222&gt;=0,$N$2,0))))))</f>
        <v>2686.9666666666667</v>
      </c>
      <c r="I222" s="70">
        <f>IF(D222&gt;3.99,$N$6,IF(D222&gt;2.99,$N$5,IF(D222&gt;2.49,$N$4,IF(D222&gt;1.99,$N$3,IF(D222&gt;1.49,$N$2,IF(D222&gt;=0,0))))))</f>
        <v>0</v>
      </c>
      <c r="J222" s="53">
        <f>B222*(E222+(B222-I222)*(F222-E222)/(H222-I222))</f>
        <v>0</v>
      </c>
      <c r="K222" s="53">
        <f>$C$12</f>
        <v>558</v>
      </c>
      <c r="L222" s="289">
        <f t="shared" si="49"/>
        <v>0</v>
      </c>
      <c r="N222" s="7">
        <f>MAX(0,L222*12)</f>
        <v>0</v>
      </c>
      <c r="O222" t="str">
        <f>Medicaid!G214</f>
        <v>Yes</v>
      </c>
      <c r="P222" t="str">
        <f>Medicaid!K214</f>
        <v>Yes</v>
      </c>
    </row>
  </sheetData>
  <mergeCells count="2">
    <mergeCell ref="K15:L15"/>
    <mergeCell ref="A14:G14"/>
  </mergeCells>
  <phoneticPr fontId="24" type="noConversion"/>
  <pageMargins left="0.7" right="0.7" top="0.75" bottom="0.75" header="0.3" footer="0.3"/>
  <drawing r:id="rId1"/>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3634EE5-BC4D-4806-8202-E5C76C0C4B4C}">
  <sheetPr codeName="Sheet41"/>
  <dimension ref="A1:U211"/>
  <sheetViews>
    <sheetView workbookViewId="0">
      <pane xSplit="2" ySplit="5" topLeftCell="C6" activePane="bottomRight" state="frozen"/>
      <selection pane="topRight" activeCell="C1" sqref="C1"/>
      <selection pane="bottomLeft" activeCell="A6" sqref="A6"/>
      <selection pane="bottomRight" activeCell="D5" sqref="D5"/>
    </sheetView>
  </sheetViews>
  <sheetFormatPr defaultRowHeight="15" x14ac:dyDescent="0.25"/>
  <cols>
    <col min="1" max="1" width="13.140625" customWidth="1"/>
    <col min="2" max="2" width="16.140625" customWidth="1"/>
    <col min="3" max="3" width="21.5703125" customWidth="1"/>
    <col min="4" max="4" width="19.85546875" customWidth="1"/>
    <col min="5" max="5" width="21.28515625" customWidth="1"/>
    <col min="6" max="6" width="22.85546875" style="12" customWidth="1"/>
    <col min="7" max="7" width="21.140625" customWidth="1"/>
    <col min="8" max="8" width="21.28515625" customWidth="1"/>
    <col min="9" max="9" width="24" customWidth="1"/>
    <col min="10" max="12" width="21.28515625" customWidth="1"/>
    <col min="13" max="13" width="13.85546875" customWidth="1"/>
    <col min="14" max="14" width="17.5703125" customWidth="1"/>
    <col min="15" max="15" width="25.85546875" customWidth="1"/>
    <col min="16" max="16" width="19.140625" customWidth="1"/>
    <col min="17" max="17" width="23.5703125" customWidth="1"/>
    <col min="18" max="18" width="16" customWidth="1"/>
  </cols>
  <sheetData>
    <row r="1" spans="1:21" s="24" customFormat="1" ht="74.25" customHeight="1" x14ac:dyDescent="0.25">
      <c r="A1" s="118" t="s">
        <v>271</v>
      </c>
      <c r="B1" s="102" t="s">
        <v>272</v>
      </c>
      <c r="C1" s="80" t="s">
        <v>304</v>
      </c>
      <c r="D1" s="198" t="s">
        <v>336</v>
      </c>
      <c r="E1" s="198" t="s">
        <v>337</v>
      </c>
      <c r="F1" s="198" t="s">
        <v>338</v>
      </c>
      <c r="G1" s="198" t="s">
        <v>339</v>
      </c>
      <c r="H1" s="80" t="s">
        <v>340</v>
      </c>
      <c r="I1" s="80" t="s">
        <v>341</v>
      </c>
      <c r="J1" s="80" t="s">
        <v>342</v>
      </c>
      <c r="K1" s="80" t="s">
        <v>343</v>
      </c>
      <c r="L1" s="80" t="s">
        <v>344</v>
      </c>
      <c r="M1" s="80"/>
      <c r="N1" s="329" t="s">
        <v>345</v>
      </c>
      <c r="O1" s="329"/>
      <c r="P1" s="446" t="s">
        <v>346</v>
      </c>
      <c r="Q1" s="446"/>
      <c r="R1" s="446"/>
      <c r="S1" s="446"/>
      <c r="T1" s="446"/>
      <c r="U1" s="446"/>
    </row>
    <row r="2" spans="1:21" x14ac:dyDescent="0.25">
      <c r="A2" s="78" t="str">
        <f>'Total income package'!B3</f>
        <v>Pittsylvania</v>
      </c>
      <c r="B2" s="77">
        <f>'Total income package'!B32</f>
        <v>2</v>
      </c>
      <c r="C2" s="77">
        <f>'Total income package'!B30</f>
        <v>1</v>
      </c>
      <c r="D2" s="77">
        <f>'Total income package'!B31</f>
        <v>1</v>
      </c>
      <c r="E2" s="77">
        <f>ROUNDUP(C2/2,0)</f>
        <v>1</v>
      </c>
      <c r="F2" s="77">
        <f>ROUNDDOWN(D2/2,0)</f>
        <v>0</v>
      </c>
      <c r="G2" s="77">
        <f>'Total income package'!D13</f>
        <v>2</v>
      </c>
      <c r="H2" s="77">
        <f>COUNTIF('Total income package'!B37:B44,"&gt;61")</f>
        <v>0</v>
      </c>
      <c r="I2" s="77">
        <f>'Total income package'!F59</f>
        <v>0</v>
      </c>
      <c r="J2" s="77">
        <f>'Total income package'!D59</f>
        <v>1</v>
      </c>
      <c r="L2" s="345" cm="1">
        <f t="array" ref="L2">_xlfn.IFS($B$2=1,VLOOKUP('Total income package'!$B$3,'Location specific data'!$A$3:$W131,11,FALSE),$B$2=2,VLOOKUP('Total income package'!$B$3,'Location specific data'!$A$3:$W$135,12,FALSE),$B$2=3,VLOOKUP('Total income package'!$B$3,'Location specific data'!$A$3:$W$135,13,FALSE),$B$2=4,VLOOKUP('Total income package'!$B$3,'Location specific data'!$A$3:$W$135,14,FALSE),$B$2=5,VLOOKUP('Total income package'!$B$3,'Location specific data'!$A$3:$W$135,15,FALSE),$B$2=6,VLOOKUP('Total income package'!$B$3,'Location specific data'!$A$3:$W$135,16,FALSE),$B$2=7,VLOOKUP('Total income package'!$B$3,'Location specific data'!$A$3:$W$135,17,FALSE),$B$2=8,VLOOKUP('Total income package'!$B$3,'Location specific data'!$A$3:$W$135,18,FALSE))/12</f>
        <v>4166.666666666667</v>
      </c>
      <c r="N2" t="s">
        <v>347</v>
      </c>
      <c r="O2" s="17"/>
    </row>
    <row r="3" spans="1:21" x14ac:dyDescent="0.25">
      <c r="C3" s="77"/>
      <c r="M3" s="1"/>
    </row>
    <row r="4" spans="1:21" x14ac:dyDescent="0.25">
      <c r="L4" s="1"/>
    </row>
    <row r="5" spans="1:21" ht="105" x14ac:dyDescent="0.25">
      <c r="A5" s="338" t="s">
        <v>348</v>
      </c>
      <c r="B5" s="338" t="s">
        <v>349</v>
      </c>
      <c r="C5" s="338" t="s">
        <v>350</v>
      </c>
      <c r="D5" s="338" t="s">
        <v>351</v>
      </c>
      <c r="E5" s="338" t="s">
        <v>352</v>
      </c>
      <c r="F5" s="338" t="s">
        <v>353</v>
      </c>
      <c r="G5" s="338" t="s">
        <v>354</v>
      </c>
      <c r="H5" s="338" t="s">
        <v>355</v>
      </c>
      <c r="I5" s="338" t="s">
        <v>356</v>
      </c>
      <c r="J5" s="338" t="s">
        <v>357</v>
      </c>
      <c r="K5" s="338" t="s">
        <v>358</v>
      </c>
      <c r="L5" s="338" t="s">
        <v>359</v>
      </c>
      <c r="M5" s="338" t="s">
        <v>360</v>
      </c>
      <c r="N5" s="338" t="s">
        <v>361</v>
      </c>
      <c r="O5" s="339" t="s">
        <v>362</v>
      </c>
      <c r="P5" s="339" t="s">
        <v>363</v>
      </c>
      <c r="Q5" s="340" t="s">
        <v>364</v>
      </c>
      <c r="R5" s="24"/>
      <c r="S5" s="28"/>
    </row>
    <row r="6" spans="1:21" x14ac:dyDescent="0.25">
      <c r="A6" s="3">
        <v>0</v>
      </c>
      <c r="B6" s="4">
        <f t="shared" ref="B6:B70" si="0">A6/12</f>
        <v>0</v>
      </c>
      <c r="C6" s="4">
        <f>MAX('TANF-VIEW'!L9,'TANF-VIEW'!T9)</f>
        <v>385</v>
      </c>
      <c r="D6" s="4">
        <f>'Total income package'!$D$80</f>
        <v>0</v>
      </c>
      <c r="E6" s="4">
        <f>'Total income package'!$H$61+'Total income package'!$F$66</f>
        <v>100</v>
      </c>
      <c r="F6" s="4">
        <f>B6+C6+D6+E6</f>
        <v>485</v>
      </c>
      <c r="G6" s="181" t="str">
        <f>IF(F6&lt;$L$2,"Yes","No")</f>
        <v>Yes</v>
      </c>
      <c r="H6" s="3">
        <f>40*($D$2+$I$2)</f>
        <v>40</v>
      </c>
      <c r="I6" s="3">
        <f>IF($H$2+$J$2&gt;0,33.33,0)</f>
        <v>33.33</v>
      </c>
      <c r="J6" s="3">
        <f t="shared" ref="J6:J69" si="1">IF(F6-H6-I6&lt;0,0,F6-H6-I6)</f>
        <v>411.67</v>
      </c>
      <c r="K6" s="3">
        <f>J6*0.3</f>
        <v>123.501</v>
      </c>
      <c r="L6" s="3">
        <f t="shared" ref="L6:L69" si="2">F6*0.1</f>
        <v>48.5</v>
      </c>
      <c r="M6" s="3">
        <v>50</v>
      </c>
      <c r="N6" s="3">
        <f>MAX(K6:M6)</f>
        <v>123.501</v>
      </c>
      <c r="O6" s="182" cm="1">
        <f t="array" ref="O6">_xlfn.IFS($G$2=1,VLOOKUP('Total income package'!$B$3,'Location specific data'!$A$3:$W135,20,FALSE),$G$2=2,VLOOKUP('Total income package'!$B$3,'Location specific data'!$A$3:$W$135,21,FALSE),$G$2=3,VLOOKUP('Total income package'!$B$3,'Location specific data'!$A$3:$W$135,22,FALSE),$G$2=4,VLOOKUP('Total income package'!$B$3,'Location specific data'!$A$3:$W$135,23,FALSE),$G$2=5,VLOOKUP('Total income package'!$B$3,'Location specific data'!$A$3:$W$135,24,FALSE))</f>
        <v>851</v>
      </c>
      <c r="P6" s="182" cm="1">
        <f t="array" ref="P6">_xlfn.IFS($G$2=1,VLOOKUP('Total income package'!$B$3,'Location specific data'!$A$3:$AB$135,25,FALSE),$G$2=2,VLOOKUP('Total income package'!$B$3,'Location specific data'!$A$3:$AB$135,26,FALSE),$G$2=3,VLOOKUP('Total income package'!$B$3,'Location specific data'!$A$3:$AB$135,27,FALSE),$G$2=4,VLOOKUP('Total income package'!$B$3,'Location specific data'!$A$3:$AB$135,28,FALSE),$G$2=5,VLOOKUP('Total income package'!$B$3,'Location specific data'!$A$3:$AB$135,29,FALSE))</f>
        <v>995</v>
      </c>
      <c r="Q6" s="337">
        <f>IF(AND(G6="Yes",'Total income package'!$A$14=TRUE,P6-N6&gt;0),P6-N6,0)</f>
        <v>871.49900000000002</v>
      </c>
      <c r="R6" s="24"/>
      <c r="S6" s="28"/>
    </row>
    <row r="7" spans="1:21" x14ac:dyDescent="0.25">
      <c r="A7" s="117">
        <v>500</v>
      </c>
      <c r="B7" s="4">
        <f t="shared" si="0"/>
        <v>41.666666666666664</v>
      </c>
      <c r="C7" s="4">
        <f>MAX('TANF-VIEW'!L10,'TANF-VIEW'!T10)</f>
        <v>385</v>
      </c>
      <c r="D7" s="4">
        <f>'Total income package'!$D$80</f>
        <v>0</v>
      </c>
      <c r="E7" s="4">
        <f>'Total income package'!$H$61+'Total income package'!$F$66</f>
        <v>100</v>
      </c>
      <c r="F7" s="4">
        <f t="shared" ref="F7:F70" si="3">B7+C7+D7+E7</f>
        <v>526.66666666666674</v>
      </c>
      <c r="G7" s="181" t="str">
        <f t="shared" ref="G7:G70" si="4">IF(F7&lt;$L$2,"Yes","No")</f>
        <v>Yes</v>
      </c>
      <c r="H7" s="3">
        <f t="shared" ref="H7:H70" si="5">40*($D$2+$I$2)</f>
        <v>40</v>
      </c>
      <c r="I7" s="3">
        <f t="shared" ref="I7:I70" si="6">IF($H$2+$I$2&gt;0,33.33,0)</f>
        <v>0</v>
      </c>
      <c r="J7" s="3">
        <f t="shared" si="1"/>
        <v>486.66666666666674</v>
      </c>
      <c r="K7" s="3">
        <f t="shared" ref="K7:K69" si="7">J7*0.3</f>
        <v>146.00000000000003</v>
      </c>
      <c r="L7" s="3">
        <f t="shared" si="2"/>
        <v>52.666666666666679</v>
      </c>
      <c r="M7" s="3">
        <v>50</v>
      </c>
      <c r="N7" s="3">
        <f t="shared" ref="N7:N71" si="8">MAX(K7:M7)</f>
        <v>146.00000000000003</v>
      </c>
      <c r="O7" s="182" cm="1">
        <f t="array" ref="O7">_xlfn.IFS($G$2=1,VLOOKUP('Total income package'!$B$3,'Location specific data'!$A$3:$W136,20,FALSE),$G$2=2,VLOOKUP('Total income package'!$B$3,'Location specific data'!$A$3:$W$135,21,FALSE),$G$2=3,VLOOKUP('Total income package'!$B$3,'Location specific data'!$A$3:$W$135,22,FALSE),$G$2=4,VLOOKUP('Total income package'!$B$3,'Location specific data'!$A$3:$W$135,23,FALSE),$G$2=5,VLOOKUP('Total income package'!$B$3,'Location specific data'!$A$3:$W$135,24,FALSE))</f>
        <v>851</v>
      </c>
      <c r="P7" s="182" cm="1">
        <f t="array" ref="P7">_xlfn.IFS($G$2=1,VLOOKUP('Total income package'!$B$3,'Location specific data'!$A$3:$AB$135,25,FALSE),$G$2=2,VLOOKUP('Total income package'!$B$3,'Location specific data'!$A$3:$AB$135,26,FALSE),$G$2=3,VLOOKUP('Total income package'!$B$3,'Location specific data'!$A$3:$AB$135,27,FALSE),$G$2=4,VLOOKUP('Total income package'!$B$3,'Location specific data'!$A$3:$AB$135,28,FALSE),$G$2=5,VLOOKUP('Total income package'!$B$3,'Location specific data'!$A$3:$AB$135,29,FALSE))</f>
        <v>995</v>
      </c>
      <c r="Q7" s="337">
        <f>IF(AND(G7="Yes",'Total income package'!$A$14=TRUE,P7-N7&gt;0),P7-N7,0)</f>
        <v>849</v>
      </c>
      <c r="R7" s="29"/>
      <c r="S7" s="7"/>
    </row>
    <row r="8" spans="1:21" x14ac:dyDescent="0.25">
      <c r="A8" s="182">
        <v>1000</v>
      </c>
      <c r="B8" s="4">
        <f t="shared" si="0"/>
        <v>83.333333333333329</v>
      </c>
      <c r="C8" s="4">
        <f>MAX('TANF-VIEW'!L11,'TANF-VIEW'!T11)</f>
        <v>385</v>
      </c>
      <c r="D8" s="4">
        <f>'Total income package'!$D$80</f>
        <v>0</v>
      </c>
      <c r="E8" s="4">
        <f>'Total income package'!$H$61+'Total income package'!$F$66</f>
        <v>100</v>
      </c>
      <c r="F8" s="4">
        <f t="shared" si="3"/>
        <v>568.33333333333326</v>
      </c>
      <c r="G8" s="181" t="str">
        <f t="shared" si="4"/>
        <v>Yes</v>
      </c>
      <c r="H8" s="3">
        <f t="shared" si="5"/>
        <v>40</v>
      </c>
      <c r="I8" s="3">
        <f t="shared" si="6"/>
        <v>0</v>
      </c>
      <c r="J8" s="3">
        <f t="shared" si="1"/>
        <v>528.33333333333326</v>
      </c>
      <c r="K8" s="3">
        <f t="shared" si="7"/>
        <v>158.49999999999997</v>
      </c>
      <c r="L8" s="3">
        <f t="shared" si="2"/>
        <v>56.833333333333329</v>
      </c>
      <c r="M8" s="3">
        <v>50</v>
      </c>
      <c r="N8" s="3">
        <f t="shared" si="8"/>
        <v>158.49999999999997</v>
      </c>
      <c r="O8" s="182" cm="1">
        <f t="array" ref="O8">_xlfn.IFS($G$2=1,VLOOKUP('Total income package'!$B$3,'Location specific data'!$A$3:$W137,20,FALSE),$G$2=2,VLOOKUP('Total income package'!$B$3,'Location specific data'!$A$3:$W$135,21,FALSE),$G$2=3,VLOOKUP('Total income package'!$B$3,'Location specific data'!$A$3:$W$135,22,FALSE),$G$2=4,VLOOKUP('Total income package'!$B$3,'Location specific data'!$A$3:$W$135,23,FALSE),$G$2=5,VLOOKUP('Total income package'!$B$3,'Location specific data'!$A$3:$W$135,24,FALSE))</f>
        <v>851</v>
      </c>
      <c r="P8" s="182" cm="1">
        <f t="array" ref="P8">_xlfn.IFS($G$2=1,VLOOKUP('Total income package'!$B$3,'Location specific data'!$A$3:$AB$135,25,FALSE),$G$2=2,VLOOKUP('Total income package'!$B$3,'Location specific data'!$A$3:$AB$135,26,FALSE),$G$2=3,VLOOKUP('Total income package'!$B$3,'Location specific data'!$A$3:$AB$135,27,FALSE),$G$2=4,VLOOKUP('Total income package'!$B$3,'Location specific data'!$A$3:$AB$135,28,FALSE),$G$2=5,VLOOKUP('Total income package'!$B$3,'Location specific data'!$A$3:$AB$135,29,FALSE))</f>
        <v>995</v>
      </c>
      <c r="Q8" s="337">
        <f>IF(AND(G8="Yes",'Total income package'!$A$14=TRUE,P8-N8&gt;0),P8-N8,0)</f>
        <v>836.5</v>
      </c>
      <c r="R8" s="29"/>
    </row>
    <row r="9" spans="1:21" x14ac:dyDescent="0.25">
      <c r="A9" s="182">
        <v>1500</v>
      </c>
      <c r="B9" s="4">
        <f t="shared" si="0"/>
        <v>125</v>
      </c>
      <c r="C9" s="4">
        <f>MAX('TANF-VIEW'!L12,'TANF-VIEW'!T12)</f>
        <v>385</v>
      </c>
      <c r="D9" s="4">
        <f>'Total income package'!$D$80</f>
        <v>0</v>
      </c>
      <c r="E9" s="4">
        <f>'Total income package'!$H$61+'Total income package'!$F$66</f>
        <v>100</v>
      </c>
      <c r="F9" s="4">
        <f t="shared" si="3"/>
        <v>610</v>
      </c>
      <c r="G9" s="181" t="str">
        <f t="shared" si="4"/>
        <v>Yes</v>
      </c>
      <c r="H9" s="3">
        <f t="shared" si="5"/>
        <v>40</v>
      </c>
      <c r="I9" s="3">
        <f t="shared" si="6"/>
        <v>0</v>
      </c>
      <c r="J9" s="3">
        <f t="shared" si="1"/>
        <v>570</v>
      </c>
      <c r="K9" s="3">
        <f t="shared" si="7"/>
        <v>171</v>
      </c>
      <c r="L9" s="3">
        <f t="shared" si="2"/>
        <v>61</v>
      </c>
      <c r="M9" s="3">
        <v>50</v>
      </c>
      <c r="N9" s="3">
        <f>MAX(K9:M9)</f>
        <v>171</v>
      </c>
      <c r="O9" s="182" cm="1">
        <f t="array" ref="O9">_xlfn.IFS($G$2=1,VLOOKUP('Total income package'!$B$3,'Location specific data'!$A$3:$W138,20,FALSE),$G$2=2,VLOOKUP('Total income package'!$B$3,'Location specific data'!$A$3:$W$135,21,FALSE),$G$2=3,VLOOKUP('Total income package'!$B$3,'Location specific data'!$A$3:$W$135,22,FALSE),$G$2=4,VLOOKUP('Total income package'!$B$3,'Location specific data'!$A$3:$W$135,23,FALSE),$G$2=5,VLOOKUP('Total income package'!$B$3,'Location specific data'!$A$3:$W$135,24,FALSE))</f>
        <v>851</v>
      </c>
      <c r="P9" s="182" cm="1">
        <f t="array" ref="P9">_xlfn.IFS($G$2=1,VLOOKUP('Total income package'!$B$3,'Location specific data'!$A$3:$AB$135,25,FALSE),$G$2=2,VLOOKUP('Total income package'!$B$3,'Location specific data'!$A$3:$AB$135,26,FALSE),$G$2=3,VLOOKUP('Total income package'!$B$3,'Location specific data'!$A$3:$AB$135,27,FALSE),$G$2=4,VLOOKUP('Total income package'!$B$3,'Location specific data'!$A$3:$AB$135,28,FALSE),$G$2=5,VLOOKUP('Total income package'!$B$3,'Location specific data'!$A$3:$AB$135,29,FALSE))</f>
        <v>995</v>
      </c>
      <c r="Q9" s="337">
        <f>IF(AND(G9="Yes",'Total income package'!$A$14=TRUE,P9-N9&gt;0),P9-N9,0)</f>
        <v>824</v>
      </c>
      <c r="R9" s="29"/>
    </row>
    <row r="10" spans="1:21" x14ac:dyDescent="0.25">
      <c r="A10" s="182">
        <v>2000</v>
      </c>
      <c r="B10" s="4">
        <f t="shared" si="0"/>
        <v>166.66666666666666</v>
      </c>
      <c r="C10" s="4">
        <f>MAX('TANF-VIEW'!L13,'TANF-VIEW'!T13)</f>
        <v>385</v>
      </c>
      <c r="D10" s="4">
        <f>'Total income package'!$D$80</f>
        <v>0</v>
      </c>
      <c r="E10" s="4">
        <f>'Total income package'!$H$61+'Total income package'!$F$66</f>
        <v>100</v>
      </c>
      <c r="F10" s="4">
        <f t="shared" si="3"/>
        <v>651.66666666666663</v>
      </c>
      <c r="G10" s="181" t="str">
        <f t="shared" si="4"/>
        <v>Yes</v>
      </c>
      <c r="H10" s="3">
        <f t="shared" si="5"/>
        <v>40</v>
      </c>
      <c r="I10" s="3">
        <f t="shared" si="6"/>
        <v>0</v>
      </c>
      <c r="J10" s="3">
        <f t="shared" si="1"/>
        <v>611.66666666666663</v>
      </c>
      <c r="K10" s="3">
        <f t="shared" si="7"/>
        <v>183.49999999999997</v>
      </c>
      <c r="L10" s="3">
        <f t="shared" si="2"/>
        <v>65.166666666666671</v>
      </c>
      <c r="M10" s="3">
        <v>50</v>
      </c>
      <c r="N10" s="3">
        <f t="shared" si="8"/>
        <v>183.49999999999997</v>
      </c>
      <c r="O10" s="182" cm="1">
        <f t="array" ref="O10">_xlfn.IFS($G$2=1,VLOOKUP('Total income package'!$B$3,'Location specific data'!$A$3:$W139,20,FALSE),$G$2=2,VLOOKUP('Total income package'!$B$3,'Location specific data'!$A$3:$W$135,21,FALSE),$G$2=3,VLOOKUP('Total income package'!$B$3,'Location specific data'!$A$3:$W$135,22,FALSE),$G$2=4,VLOOKUP('Total income package'!$B$3,'Location specific data'!$A$3:$W$135,23,FALSE),$G$2=5,VLOOKUP('Total income package'!$B$3,'Location specific data'!$A$3:$W$135,24,FALSE))</f>
        <v>851</v>
      </c>
      <c r="P10" s="182" cm="1">
        <f t="array" ref="P10">_xlfn.IFS($G$2=1,VLOOKUP('Total income package'!$B$3,'Location specific data'!$A$3:$AB$135,25,FALSE),$G$2=2,VLOOKUP('Total income package'!$B$3,'Location specific data'!$A$3:$AB$135,26,FALSE),$G$2=3,VLOOKUP('Total income package'!$B$3,'Location specific data'!$A$3:$AB$135,27,FALSE),$G$2=4,VLOOKUP('Total income package'!$B$3,'Location specific data'!$A$3:$AB$135,28,FALSE),$G$2=5,VLOOKUP('Total income package'!$B$3,'Location specific data'!$A$3:$AB$135,29,FALSE))</f>
        <v>995</v>
      </c>
      <c r="Q10" s="337">
        <f>IF(AND(G10="Yes",'Total income package'!$A$14=TRUE,P10-N10&gt;0),P10-N10,0)</f>
        <v>811.5</v>
      </c>
      <c r="R10" s="29"/>
    </row>
    <row r="11" spans="1:21" x14ac:dyDescent="0.25">
      <c r="A11" s="182">
        <v>2500</v>
      </c>
      <c r="B11" s="4">
        <f t="shared" si="0"/>
        <v>208.33333333333334</v>
      </c>
      <c r="C11" s="4">
        <f>MAX('TANF-VIEW'!L14,'TANF-VIEW'!T14)</f>
        <v>385</v>
      </c>
      <c r="D11" s="4">
        <f>'Total income package'!$D$80</f>
        <v>0</v>
      </c>
      <c r="E11" s="4">
        <f>'Total income package'!$H$61+'Total income package'!$F$66</f>
        <v>100</v>
      </c>
      <c r="F11" s="4">
        <f t="shared" si="3"/>
        <v>693.33333333333337</v>
      </c>
      <c r="G11" s="181" t="str">
        <f t="shared" si="4"/>
        <v>Yes</v>
      </c>
      <c r="H11" s="3">
        <f t="shared" si="5"/>
        <v>40</v>
      </c>
      <c r="I11" s="3">
        <f t="shared" si="6"/>
        <v>0</v>
      </c>
      <c r="J11" s="3">
        <f t="shared" si="1"/>
        <v>653.33333333333337</v>
      </c>
      <c r="K11" s="3">
        <f t="shared" si="7"/>
        <v>196</v>
      </c>
      <c r="L11" s="3">
        <f t="shared" si="2"/>
        <v>69.333333333333343</v>
      </c>
      <c r="M11" s="3">
        <v>50</v>
      </c>
      <c r="N11" s="3">
        <f t="shared" si="8"/>
        <v>196</v>
      </c>
      <c r="O11" s="182" cm="1">
        <f t="array" ref="O11">_xlfn.IFS($G$2=1,VLOOKUP('Total income package'!$B$3,'Location specific data'!$A$3:$W140,20,FALSE),$G$2=2,VLOOKUP('Total income package'!$B$3,'Location specific data'!$A$3:$W$135,21,FALSE),$G$2=3,VLOOKUP('Total income package'!$B$3,'Location specific data'!$A$3:$W$135,22,FALSE),$G$2=4,VLOOKUP('Total income package'!$B$3,'Location specific data'!$A$3:$W$135,23,FALSE),$G$2=5,VLOOKUP('Total income package'!$B$3,'Location specific data'!$A$3:$W$135,24,FALSE))</f>
        <v>851</v>
      </c>
      <c r="P11" s="182" cm="1">
        <f t="array" ref="P11">_xlfn.IFS($G$2=1,VLOOKUP('Total income package'!$B$3,'Location specific data'!$A$3:$AB$135,25,FALSE),$G$2=2,VLOOKUP('Total income package'!$B$3,'Location specific data'!$A$3:$AB$135,26,FALSE),$G$2=3,VLOOKUP('Total income package'!$B$3,'Location specific data'!$A$3:$AB$135,27,FALSE),$G$2=4,VLOOKUP('Total income package'!$B$3,'Location specific data'!$A$3:$AB$135,28,FALSE),$G$2=5,VLOOKUP('Total income package'!$B$3,'Location specific data'!$A$3:$AB$135,29,FALSE))</f>
        <v>995</v>
      </c>
      <c r="Q11" s="337">
        <f>IF(AND(G11="Yes",'Total income package'!$A$14=TRUE,P11-N11&gt;0),P11-N11,0)</f>
        <v>799</v>
      </c>
      <c r="R11" s="29"/>
    </row>
    <row r="12" spans="1:21" x14ac:dyDescent="0.25">
      <c r="A12" s="182">
        <v>3000</v>
      </c>
      <c r="B12" s="4">
        <f t="shared" si="0"/>
        <v>250</v>
      </c>
      <c r="C12" s="4">
        <f>MAX('TANF-VIEW'!L15,'TANF-VIEW'!T15)</f>
        <v>352.2</v>
      </c>
      <c r="D12" s="4">
        <f>'Total income package'!$D$80</f>
        <v>0</v>
      </c>
      <c r="E12" s="4">
        <f>'Total income package'!$H$61+'Total income package'!$F$66</f>
        <v>100</v>
      </c>
      <c r="F12" s="4">
        <f t="shared" si="3"/>
        <v>702.2</v>
      </c>
      <c r="G12" s="181" t="str">
        <f t="shared" si="4"/>
        <v>Yes</v>
      </c>
      <c r="H12" s="3">
        <f t="shared" si="5"/>
        <v>40</v>
      </c>
      <c r="I12" s="3">
        <f t="shared" si="6"/>
        <v>0</v>
      </c>
      <c r="J12" s="3">
        <f t="shared" si="1"/>
        <v>662.2</v>
      </c>
      <c r="K12" s="3">
        <f t="shared" si="7"/>
        <v>198.66</v>
      </c>
      <c r="L12" s="3">
        <f t="shared" si="2"/>
        <v>70.220000000000013</v>
      </c>
      <c r="M12" s="3">
        <v>50</v>
      </c>
      <c r="N12" s="3">
        <f t="shared" si="8"/>
        <v>198.66</v>
      </c>
      <c r="O12" s="182" cm="1">
        <f t="array" ref="O12">_xlfn.IFS($G$2=1,VLOOKUP('Total income package'!$B$3,'Location specific data'!$A$3:$W141,20,FALSE),$G$2=2,VLOOKUP('Total income package'!$B$3,'Location specific data'!$A$3:$W$135,21,FALSE),$G$2=3,VLOOKUP('Total income package'!$B$3,'Location specific data'!$A$3:$W$135,22,FALSE),$G$2=4,VLOOKUP('Total income package'!$B$3,'Location specific data'!$A$3:$W$135,23,FALSE),$G$2=5,VLOOKUP('Total income package'!$B$3,'Location specific data'!$A$3:$W$135,24,FALSE))</f>
        <v>851</v>
      </c>
      <c r="P12" s="182" cm="1">
        <f t="array" ref="P12">_xlfn.IFS($G$2=1,VLOOKUP('Total income package'!$B$3,'Location specific data'!$A$3:$AB$135,25,FALSE),$G$2=2,VLOOKUP('Total income package'!$B$3,'Location specific data'!$A$3:$AB$135,26,FALSE),$G$2=3,VLOOKUP('Total income package'!$B$3,'Location specific data'!$A$3:$AB$135,27,FALSE),$G$2=4,VLOOKUP('Total income package'!$B$3,'Location specific data'!$A$3:$AB$135,28,FALSE),$G$2=5,VLOOKUP('Total income package'!$B$3,'Location specific data'!$A$3:$AB$135,29,FALSE))</f>
        <v>995</v>
      </c>
      <c r="Q12" s="337">
        <f>IF(AND(G12="Yes",'Total income package'!$A$14=TRUE,P12-N12&gt;0),P12-N12,0)</f>
        <v>796.34</v>
      </c>
      <c r="R12" s="29"/>
    </row>
    <row r="13" spans="1:21" x14ac:dyDescent="0.25">
      <c r="A13" s="182">
        <v>3500</v>
      </c>
      <c r="B13" s="4">
        <f t="shared" si="0"/>
        <v>291.66666666666669</v>
      </c>
      <c r="C13" s="4">
        <f>MAX('TANF-VIEW'!L16,'TANF-VIEW'!T16)</f>
        <v>318.86666666666667</v>
      </c>
      <c r="D13" s="4">
        <f>'Total income package'!$D$80</f>
        <v>0</v>
      </c>
      <c r="E13" s="4">
        <f>'Total income package'!$H$61+'Total income package'!$F$66</f>
        <v>100</v>
      </c>
      <c r="F13" s="4">
        <f t="shared" si="3"/>
        <v>710.5333333333333</v>
      </c>
      <c r="G13" s="181" t="str">
        <f t="shared" si="4"/>
        <v>Yes</v>
      </c>
      <c r="H13" s="3">
        <f t="shared" si="5"/>
        <v>40</v>
      </c>
      <c r="I13" s="3">
        <f t="shared" si="6"/>
        <v>0</v>
      </c>
      <c r="J13" s="3">
        <f t="shared" si="1"/>
        <v>670.5333333333333</v>
      </c>
      <c r="K13" s="3">
        <f t="shared" si="7"/>
        <v>201.16</v>
      </c>
      <c r="L13" s="3">
        <f t="shared" si="2"/>
        <v>71.053333333333327</v>
      </c>
      <c r="M13" s="3">
        <v>50</v>
      </c>
      <c r="N13" s="3">
        <f t="shared" si="8"/>
        <v>201.16</v>
      </c>
      <c r="O13" s="182" cm="1">
        <f t="array" ref="O13">_xlfn.IFS($G$2=1,VLOOKUP('Total income package'!$B$3,'Location specific data'!$A$3:$W142,20,FALSE),$G$2=2,VLOOKUP('Total income package'!$B$3,'Location specific data'!$A$3:$W$135,21,FALSE),$G$2=3,VLOOKUP('Total income package'!$B$3,'Location specific data'!$A$3:$W$135,22,FALSE),$G$2=4,VLOOKUP('Total income package'!$B$3,'Location specific data'!$A$3:$W$135,23,FALSE),$G$2=5,VLOOKUP('Total income package'!$B$3,'Location specific data'!$A$3:$W$135,24,FALSE))</f>
        <v>851</v>
      </c>
      <c r="P13" s="182" cm="1">
        <f t="array" ref="P13">_xlfn.IFS($G$2=1,VLOOKUP('Total income package'!$B$3,'Location specific data'!$A$3:$AB$135,25,FALSE),$G$2=2,VLOOKUP('Total income package'!$B$3,'Location specific data'!$A$3:$AB$135,26,FALSE),$G$2=3,VLOOKUP('Total income package'!$B$3,'Location specific data'!$A$3:$AB$135,27,FALSE),$G$2=4,VLOOKUP('Total income package'!$B$3,'Location specific data'!$A$3:$AB$135,28,FALSE),$G$2=5,VLOOKUP('Total income package'!$B$3,'Location specific data'!$A$3:$AB$135,29,FALSE))</f>
        <v>995</v>
      </c>
      <c r="Q13" s="337">
        <f>IF(AND(G13="Yes",'Total income package'!$A$14=TRUE,P13-N13&gt;0),P13-N13,0)</f>
        <v>793.84</v>
      </c>
      <c r="R13" s="29"/>
    </row>
    <row r="14" spans="1:21" x14ac:dyDescent="0.25">
      <c r="A14" s="182">
        <v>4000</v>
      </c>
      <c r="B14" s="4">
        <f t="shared" si="0"/>
        <v>333.33333333333331</v>
      </c>
      <c r="C14" s="4">
        <f>MAX('TANF-VIEW'!L17,'TANF-VIEW'!T17)</f>
        <v>285.53333333333336</v>
      </c>
      <c r="D14" s="4">
        <f>'Total income package'!$D$80</f>
        <v>0</v>
      </c>
      <c r="E14" s="4">
        <f>'Total income package'!$H$61+'Total income package'!$F$66</f>
        <v>100</v>
      </c>
      <c r="F14" s="4">
        <f>B14+C14+D14+E14</f>
        <v>718.86666666666667</v>
      </c>
      <c r="G14" s="181" t="str">
        <f t="shared" si="4"/>
        <v>Yes</v>
      </c>
      <c r="H14" s="3">
        <f t="shared" si="5"/>
        <v>40</v>
      </c>
      <c r="I14" s="3">
        <f t="shared" si="6"/>
        <v>0</v>
      </c>
      <c r="J14" s="3">
        <f t="shared" si="1"/>
        <v>678.86666666666667</v>
      </c>
      <c r="K14" s="3">
        <f t="shared" si="7"/>
        <v>203.66</v>
      </c>
      <c r="L14" s="3">
        <f t="shared" si="2"/>
        <v>71.88666666666667</v>
      </c>
      <c r="M14" s="3">
        <v>50</v>
      </c>
      <c r="N14" s="3">
        <f t="shared" si="8"/>
        <v>203.66</v>
      </c>
      <c r="O14" s="182" cm="1">
        <f t="array" ref="O14">_xlfn.IFS($G$2=1,VLOOKUP('Total income package'!$B$3,'Location specific data'!$A$3:$W143,20,FALSE),$G$2=2,VLOOKUP('Total income package'!$B$3,'Location specific data'!$A$3:$W$135,21,FALSE),$G$2=3,VLOOKUP('Total income package'!$B$3,'Location specific data'!$A$3:$W$135,22,FALSE),$G$2=4,VLOOKUP('Total income package'!$B$3,'Location specific data'!$A$3:$W$135,23,FALSE),$G$2=5,VLOOKUP('Total income package'!$B$3,'Location specific data'!$A$3:$W$135,24,FALSE))</f>
        <v>851</v>
      </c>
      <c r="P14" s="182" cm="1">
        <f t="array" ref="P14">_xlfn.IFS($G$2=1,VLOOKUP('Total income package'!$B$3,'Location specific data'!$A$3:$AB$135,25,FALSE),$G$2=2,VLOOKUP('Total income package'!$B$3,'Location specific data'!$A$3:$AB$135,26,FALSE),$G$2=3,VLOOKUP('Total income package'!$B$3,'Location specific data'!$A$3:$AB$135,27,FALSE),$G$2=4,VLOOKUP('Total income package'!$B$3,'Location specific data'!$A$3:$AB$135,28,FALSE),$G$2=5,VLOOKUP('Total income package'!$B$3,'Location specific data'!$A$3:$AB$135,29,FALSE))</f>
        <v>995</v>
      </c>
      <c r="Q14" s="337">
        <f>IF(AND(G14="Yes",'Total income package'!$A$14=TRUE,P14-N14&gt;0),P14-N14,0)</f>
        <v>791.34</v>
      </c>
      <c r="R14" s="29"/>
    </row>
    <row r="15" spans="1:21" x14ac:dyDescent="0.25">
      <c r="A15" s="182">
        <v>4500</v>
      </c>
      <c r="B15" s="4">
        <f t="shared" si="0"/>
        <v>375</v>
      </c>
      <c r="C15" s="4">
        <f>MAX('TANF-VIEW'!L18,'TANF-VIEW'!T18)</f>
        <v>252.2</v>
      </c>
      <c r="D15" s="4">
        <f>'Total income package'!$D$80</f>
        <v>0</v>
      </c>
      <c r="E15" s="4">
        <f>'Total income package'!$H$61+'Total income package'!$F$66</f>
        <v>100</v>
      </c>
      <c r="F15" s="4">
        <f t="shared" si="3"/>
        <v>727.2</v>
      </c>
      <c r="G15" s="181" t="str">
        <f t="shared" si="4"/>
        <v>Yes</v>
      </c>
      <c r="H15" s="3">
        <f t="shared" si="5"/>
        <v>40</v>
      </c>
      <c r="I15" s="3">
        <f t="shared" si="6"/>
        <v>0</v>
      </c>
      <c r="J15" s="3">
        <f t="shared" si="1"/>
        <v>687.2</v>
      </c>
      <c r="K15" s="3">
        <f t="shared" si="7"/>
        <v>206.16</v>
      </c>
      <c r="L15" s="3">
        <f t="shared" si="2"/>
        <v>72.720000000000013</v>
      </c>
      <c r="M15" s="3">
        <v>50</v>
      </c>
      <c r="N15" s="3">
        <f t="shared" si="8"/>
        <v>206.16</v>
      </c>
      <c r="O15" s="182" cm="1">
        <f t="array" ref="O15">_xlfn.IFS($G$2=1,VLOOKUP('Total income package'!$B$3,'Location specific data'!$A$3:$W144,20,FALSE),$G$2=2,VLOOKUP('Total income package'!$B$3,'Location specific data'!$A$3:$W$135,21,FALSE),$G$2=3,VLOOKUP('Total income package'!$B$3,'Location specific data'!$A$3:$W$135,22,FALSE),$G$2=4,VLOOKUP('Total income package'!$B$3,'Location specific data'!$A$3:$W$135,23,FALSE),$G$2=5,VLOOKUP('Total income package'!$B$3,'Location specific data'!$A$3:$W$135,24,FALSE))</f>
        <v>851</v>
      </c>
      <c r="P15" s="182" cm="1">
        <f t="array" ref="P15">_xlfn.IFS($G$2=1,VLOOKUP('Total income package'!$B$3,'Location specific data'!$A$3:$AB$135,25,FALSE),$G$2=2,VLOOKUP('Total income package'!$B$3,'Location specific data'!$A$3:$AB$135,26,FALSE),$G$2=3,VLOOKUP('Total income package'!$B$3,'Location specific data'!$A$3:$AB$135,27,FALSE),$G$2=4,VLOOKUP('Total income package'!$B$3,'Location specific data'!$A$3:$AB$135,28,FALSE),$G$2=5,VLOOKUP('Total income package'!$B$3,'Location specific data'!$A$3:$AB$135,29,FALSE))</f>
        <v>995</v>
      </c>
      <c r="Q15" s="337">
        <f>IF(AND(G15="Yes",'Total income package'!$A$14=TRUE,P15-N15&gt;0),P15-N15,0)</f>
        <v>788.84</v>
      </c>
      <c r="R15" s="29"/>
    </row>
    <row r="16" spans="1:21" x14ac:dyDescent="0.25">
      <c r="A16" s="182">
        <v>5000</v>
      </c>
      <c r="B16" s="4">
        <f t="shared" si="0"/>
        <v>416.66666666666669</v>
      </c>
      <c r="C16" s="4">
        <f>MAX('TANF-VIEW'!L19,'TANF-VIEW'!T19)</f>
        <v>218.86666666666665</v>
      </c>
      <c r="D16" s="4">
        <f>'Total income package'!$D$80</f>
        <v>0</v>
      </c>
      <c r="E16" s="4">
        <f>'Total income package'!$H$61+'Total income package'!$F$66</f>
        <v>100</v>
      </c>
      <c r="F16" s="4">
        <f t="shared" si="3"/>
        <v>735.5333333333333</v>
      </c>
      <c r="G16" s="181" t="str">
        <f t="shared" si="4"/>
        <v>Yes</v>
      </c>
      <c r="H16" s="3">
        <f t="shared" si="5"/>
        <v>40</v>
      </c>
      <c r="I16" s="3">
        <f t="shared" si="6"/>
        <v>0</v>
      </c>
      <c r="J16" s="3">
        <f t="shared" si="1"/>
        <v>695.5333333333333</v>
      </c>
      <c r="K16" s="3">
        <f t="shared" si="7"/>
        <v>208.66</v>
      </c>
      <c r="L16" s="3">
        <f t="shared" si="2"/>
        <v>73.553333333333327</v>
      </c>
      <c r="M16" s="3">
        <v>50</v>
      </c>
      <c r="N16" s="3">
        <f t="shared" si="8"/>
        <v>208.66</v>
      </c>
      <c r="O16" s="182" cm="1">
        <f t="array" ref="O16">_xlfn.IFS($G$2=1,VLOOKUP('Total income package'!$B$3,'Location specific data'!$A$3:$W145,20,FALSE),$G$2=2,VLOOKUP('Total income package'!$B$3,'Location specific data'!$A$3:$W$135,21,FALSE),$G$2=3,VLOOKUP('Total income package'!$B$3,'Location specific data'!$A$3:$W$135,22,FALSE),$G$2=4,VLOOKUP('Total income package'!$B$3,'Location specific data'!$A$3:$W$135,23,FALSE),$G$2=5,VLOOKUP('Total income package'!$B$3,'Location specific data'!$A$3:$W$135,24,FALSE))</f>
        <v>851</v>
      </c>
      <c r="P16" s="182" cm="1">
        <f t="array" ref="P16">_xlfn.IFS($G$2=1,VLOOKUP('Total income package'!$B$3,'Location specific data'!$A$3:$AB$135,25,FALSE),$G$2=2,VLOOKUP('Total income package'!$B$3,'Location specific data'!$A$3:$AB$135,26,FALSE),$G$2=3,VLOOKUP('Total income package'!$B$3,'Location specific data'!$A$3:$AB$135,27,FALSE),$G$2=4,VLOOKUP('Total income package'!$B$3,'Location specific data'!$A$3:$AB$135,28,FALSE),$G$2=5,VLOOKUP('Total income package'!$B$3,'Location specific data'!$A$3:$AB$135,29,FALSE))</f>
        <v>995</v>
      </c>
      <c r="Q16" s="337">
        <f>IF(AND(G16="Yes",'Total income package'!$A$14=TRUE,P16-N16&gt;0),P16-N16,0)</f>
        <v>786.34</v>
      </c>
      <c r="R16" s="29"/>
    </row>
    <row r="17" spans="1:18" x14ac:dyDescent="0.25">
      <c r="A17" s="182">
        <v>5500</v>
      </c>
      <c r="B17" s="4">
        <f t="shared" si="0"/>
        <v>458.33333333333331</v>
      </c>
      <c r="C17" s="4">
        <f>MAX('TANF-VIEW'!L20,'TANF-VIEW'!T20)</f>
        <v>185.53333333333336</v>
      </c>
      <c r="D17" s="4">
        <f>'Total income package'!$D$80</f>
        <v>0</v>
      </c>
      <c r="E17" s="4">
        <f>'Total income package'!$H$61+'Total income package'!$F$66</f>
        <v>100</v>
      </c>
      <c r="F17" s="4">
        <f t="shared" si="3"/>
        <v>743.86666666666667</v>
      </c>
      <c r="G17" s="181" t="str">
        <f t="shared" si="4"/>
        <v>Yes</v>
      </c>
      <c r="H17" s="3">
        <f t="shared" si="5"/>
        <v>40</v>
      </c>
      <c r="I17" s="3">
        <f t="shared" si="6"/>
        <v>0</v>
      </c>
      <c r="J17" s="3">
        <f t="shared" si="1"/>
        <v>703.86666666666667</v>
      </c>
      <c r="K17" s="3">
        <f t="shared" si="7"/>
        <v>211.16</v>
      </c>
      <c r="L17" s="3">
        <f t="shared" si="2"/>
        <v>74.38666666666667</v>
      </c>
      <c r="M17" s="3">
        <v>50</v>
      </c>
      <c r="N17" s="3">
        <f t="shared" si="8"/>
        <v>211.16</v>
      </c>
      <c r="O17" s="182" cm="1">
        <f t="array" ref="O17">_xlfn.IFS($G$2=1,VLOOKUP('Total income package'!$B$3,'Location specific data'!$A$3:$W146,20,FALSE),$G$2=2,VLOOKUP('Total income package'!$B$3,'Location specific data'!$A$3:$W$135,21,FALSE),$G$2=3,VLOOKUP('Total income package'!$B$3,'Location specific data'!$A$3:$W$135,22,FALSE),$G$2=4,VLOOKUP('Total income package'!$B$3,'Location specific data'!$A$3:$W$135,23,FALSE),$G$2=5,VLOOKUP('Total income package'!$B$3,'Location specific data'!$A$3:$W$135,24,FALSE))</f>
        <v>851</v>
      </c>
      <c r="P17" s="182" cm="1">
        <f t="array" ref="P17">_xlfn.IFS($G$2=1,VLOOKUP('Total income package'!$B$3,'Location specific data'!$A$3:$AB$135,25,FALSE),$G$2=2,VLOOKUP('Total income package'!$B$3,'Location specific data'!$A$3:$AB$135,26,FALSE),$G$2=3,VLOOKUP('Total income package'!$B$3,'Location specific data'!$A$3:$AB$135,27,FALSE),$G$2=4,VLOOKUP('Total income package'!$B$3,'Location specific data'!$A$3:$AB$135,28,FALSE),$G$2=5,VLOOKUP('Total income package'!$B$3,'Location specific data'!$A$3:$AB$135,29,FALSE))</f>
        <v>995</v>
      </c>
      <c r="Q17" s="337">
        <f>IF(AND(G17="Yes",'Total income package'!$A$14=TRUE,P17-N17&gt;0),P17-N17,0)</f>
        <v>783.84</v>
      </c>
      <c r="R17" s="29"/>
    </row>
    <row r="18" spans="1:18" x14ac:dyDescent="0.25">
      <c r="A18" s="182">
        <v>6000</v>
      </c>
      <c r="B18" s="4">
        <f t="shared" si="0"/>
        <v>500</v>
      </c>
      <c r="C18" s="4">
        <f>MAX('TANF-VIEW'!L21,'TANF-VIEW'!T21)</f>
        <v>152.19999999999999</v>
      </c>
      <c r="D18" s="4">
        <f>'Total income package'!$D$80</f>
        <v>0</v>
      </c>
      <c r="E18" s="4">
        <f>'Total income package'!$H$61+'Total income package'!$F$66</f>
        <v>100</v>
      </c>
      <c r="F18" s="4">
        <f t="shared" si="3"/>
        <v>752.2</v>
      </c>
      <c r="G18" s="181" t="str">
        <f t="shared" si="4"/>
        <v>Yes</v>
      </c>
      <c r="H18" s="3">
        <f t="shared" si="5"/>
        <v>40</v>
      </c>
      <c r="I18" s="3">
        <f t="shared" si="6"/>
        <v>0</v>
      </c>
      <c r="J18" s="3">
        <f t="shared" si="1"/>
        <v>712.2</v>
      </c>
      <c r="K18" s="3">
        <f t="shared" si="7"/>
        <v>213.66</v>
      </c>
      <c r="L18" s="3">
        <f t="shared" si="2"/>
        <v>75.220000000000013</v>
      </c>
      <c r="M18" s="3">
        <v>50</v>
      </c>
      <c r="N18" s="3">
        <f t="shared" si="8"/>
        <v>213.66</v>
      </c>
      <c r="O18" s="182" cm="1">
        <f t="array" ref="O18">_xlfn.IFS($G$2=1,VLOOKUP('Total income package'!$B$3,'Location specific data'!$A$3:$W147,20,FALSE),$G$2=2,VLOOKUP('Total income package'!$B$3,'Location specific data'!$A$3:$W$135,21,FALSE),$G$2=3,VLOOKUP('Total income package'!$B$3,'Location specific data'!$A$3:$W$135,22,FALSE),$G$2=4,VLOOKUP('Total income package'!$B$3,'Location specific data'!$A$3:$W$135,23,FALSE),$G$2=5,VLOOKUP('Total income package'!$B$3,'Location specific data'!$A$3:$W$135,24,FALSE))</f>
        <v>851</v>
      </c>
      <c r="P18" s="182" cm="1">
        <f t="array" ref="P18">_xlfn.IFS($G$2=1,VLOOKUP('Total income package'!$B$3,'Location specific data'!$A$3:$AB$135,25,FALSE),$G$2=2,VLOOKUP('Total income package'!$B$3,'Location specific data'!$A$3:$AB$135,26,FALSE),$G$2=3,VLOOKUP('Total income package'!$B$3,'Location specific data'!$A$3:$AB$135,27,FALSE),$G$2=4,VLOOKUP('Total income package'!$B$3,'Location specific data'!$A$3:$AB$135,28,FALSE),$G$2=5,VLOOKUP('Total income package'!$B$3,'Location specific data'!$A$3:$AB$135,29,FALSE))</f>
        <v>995</v>
      </c>
      <c r="Q18" s="337">
        <f>IF(AND(G18="Yes",'Total income package'!$A$14=TRUE,P18-N18&gt;0),P18-N18,0)</f>
        <v>781.34</v>
      </c>
      <c r="R18" s="29"/>
    </row>
    <row r="19" spans="1:18" x14ac:dyDescent="0.25">
      <c r="A19" s="182">
        <v>6500</v>
      </c>
      <c r="B19" s="4">
        <f t="shared" si="0"/>
        <v>541.66666666666663</v>
      </c>
      <c r="C19" s="4">
        <f>MAX('TANF-VIEW'!L22,'TANF-VIEW'!T22)</f>
        <v>118.86666666666667</v>
      </c>
      <c r="D19" s="4">
        <f>'Total income package'!$D$80</f>
        <v>0</v>
      </c>
      <c r="E19" s="4">
        <f>'Total income package'!$H$61+'Total income package'!$F$66</f>
        <v>100</v>
      </c>
      <c r="F19" s="4">
        <f t="shared" si="3"/>
        <v>760.5333333333333</v>
      </c>
      <c r="G19" s="181" t="str">
        <f t="shared" si="4"/>
        <v>Yes</v>
      </c>
      <c r="H19" s="3">
        <f t="shared" si="5"/>
        <v>40</v>
      </c>
      <c r="I19" s="3">
        <f t="shared" si="6"/>
        <v>0</v>
      </c>
      <c r="J19" s="3">
        <f t="shared" si="1"/>
        <v>720.5333333333333</v>
      </c>
      <c r="K19" s="3">
        <f t="shared" si="7"/>
        <v>216.16</v>
      </c>
      <c r="L19" s="3">
        <f t="shared" si="2"/>
        <v>76.053333333333327</v>
      </c>
      <c r="M19" s="3">
        <v>50</v>
      </c>
      <c r="N19" s="3">
        <f t="shared" si="8"/>
        <v>216.16</v>
      </c>
      <c r="O19" s="182" cm="1">
        <f t="array" ref="O19">_xlfn.IFS($G$2=1,VLOOKUP('Total income package'!$B$3,'Location specific data'!$A$3:$W148,20,FALSE),$G$2=2,VLOOKUP('Total income package'!$B$3,'Location specific data'!$A$3:$W$135,21,FALSE),$G$2=3,VLOOKUP('Total income package'!$B$3,'Location specific data'!$A$3:$W$135,22,FALSE),$G$2=4,VLOOKUP('Total income package'!$B$3,'Location specific data'!$A$3:$W$135,23,FALSE),$G$2=5,VLOOKUP('Total income package'!$B$3,'Location specific data'!$A$3:$W$135,24,FALSE))</f>
        <v>851</v>
      </c>
      <c r="P19" s="182" cm="1">
        <f t="array" ref="P19">_xlfn.IFS($G$2=1,VLOOKUP('Total income package'!$B$3,'Location specific data'!$A$3:$AB$135,25,FALSE),$G$2=2,VLOOKUP('Total income package'!$B$3,'Location specific data'!$A$3:$AB$135,26,FALSE),$G$2=3,VLOOKUP('Total income package'!$B$3,'Location specific data'!$A$3:$AB$135,27,FALSE),$G$2=4,VLOOKUP('Total income package'!$B$3,'Location specific data'!$A$3:$AB$135,28,FALSE),$G$2=5,VLOOKUP('Total income package'!$B$3,'Location specific data'!$A$3:$AB$135,29,FALSE))</f>
        <v>995</v>
      </c>
      <c r="Q19" s="337">
        <f>IF(AND(G19="Yes",'Total income package'!$A$14=TRUE,P19-N19&gt;0),P19-N19,0)</f>
        <v>778.84</v>
      </c>
      <c r="R19" s="29"/>
    </row>
    <row r="20" spans="1:18" x14ac:dyDescent="0.25">
      <c r="A20" s="182">
        <v>7000</v>
      </c>
      <c r="B20" s="4">
        <f t="shared" si="0"/>
        <v>583.33333333333337</v>
      </c>
      <c r="C20" s="4">
        <f>MAX('TANF-VIEW'!L23,'TANF-VIEW'!T23)</f>
        <v>85.533333333333303</v>
      </c>
      <c r="D20" s="4">
        <f>'Total income package'!$D$80</f>
        <v>0</v>
      </c>
      <c r="E20" s="4">
        <f>'Total income package'!$H$61+'Total income package'!$F$66</f>
        <v>100</v>
      </c>
      <c r="F20" s="4">
        <f t="shared" si="3"/>
        <v>768.86666666666667</v>
      </c>
      <c r="G20" s="181" t="str">
        <f t="shared" si="4"/>
        <v>Yes</v>
      </c>
      <c r="H20" s="3">
        <f t="shared" si="5"/>
        <v>40</v>
      </c>
      <c r="I20" s="3">
        <f t="shared" si="6"/>
        <v>0</v>
      </c>
      <c r="J20" s="3">
        <f t="shared" si="1"/>
        <v>728.86666666666667</v>
      </c>
      <c r="K20" s="3">
        <f t="shared" si="7"/>
        <v>218.66</v>
      </c>
      <c r="L20" s="3">
        <f t="shared" si="2"/>
        <v>76.88666666666667</v>
      </c>
      <c r="M20" s="3">
        <v>50</v>
      </c>
      <c r="N20" s="3">
        <f t="shared" si="8"/>
        <v>218.66</v>
      </c>
      <c r="O20" s="182" cm="1">
        <f t="array" ref="O20">_xlfn.IFS($G$2=1,VLOOKUP('Total income package'!$B$3,'Location specific data'!$A$3:$W149,20,FALSE),$G$2=2,VLOOKUP('Total income package'!$B$3,'Location specific data'!$A$3:$W$135,21,FALSE),$G$2=3,VLOOKUP('Total income package'!$B$3,'Location specific data'!$A$3:$W$135,22,FALSE),$G$2=4,VLOOKUP('Total income package'!$B$3,'Location specific data'!$A$3:$W$135,23,FALSE),$G$2=5,VLOOKUP('Total income package'!$B$3,'Location specific data'!$A$3:$W$135,24,FALSE))</f>
        <v>851</v>
      </c>
      <c r="P20" s="182" cm="1">
        <f t="array" ref="P20">_xlfn.IFS($G$2=1,VLOOKUP('Total income package'!$B$3,'Location specific data'!$A$3:$AB$135,25,FALSE),$G$2=2,VLOOKUP('Total income package'!$B$3,'Location specific data'!$A$3:$AB$135,26,FALSE),$G$2=3,VLOOKUP('Total income package'!$B$3,'Location specific data'!$A$3:$AB$135,27,FALSE),$G$2=4,VLOOKUP('Total income package'!$B$3,'Location specific data'!$A$3:$AB$135,28,FALSE),$G$2=5,VLOOKUP('Total income package'!$B$3,'Location specific data'!$A$3:$AB$135,29,FALSE))</f>
        <v>995</v>
      </c>
      <c r="Q20" s="337">
        <f>IF(AND(G20="Yes",'Total income package'!$A$14=TRUE,P20-N20&gt;0),P20-N20,0)</f>
        <v>776.34</v>
      </c>
      <c r="R20" s="29"/>
    </row>
    <row r="21" spans="1:18" x14ac:dyDescent="0.25">
      <c r="A21" s="182">
        <v>7500</v>
      </c>
      <c r="B21" s="4">
        <f t="shared" si="0"/>
        <v>625</v>
      </c>
      <c r="C21" s="4">
        <f>MAX('TANF-VIEW'!L24,'TANF-VIEW'!T24)</f>
        <v>52.199999999999989</v>
      </c>
      <c r="D21" s="4">
        <f>'Total income package'!$D$80</f>
        <v>0</v>
      </c>
      <c r="E21" s="4">
        <f>'Total income package'!$H$61+'Total income package'!$F$66</f>
        <v>100</v>
      </c>
      <c r="F21" s="4">
        <f t="shared" si="3"/>
        <v>777.2</v>
      </c>
      <c r="G21" s="181" t="str">
        <f t="shared" si="4"/>
        <v>Yes</v>
      </c>
      <c r="H21" s="3">
        <f t="shared" si="5"/>
        <v>40</v>
      </c>
      <c r="I21" s="3">
        <f t="shared" si="6"/>
        <v>0</v>
      </c>
      <c r="J21" s="3">
        <f t="shared" si="1"/>
        <v>737.2</v>
      </c>
      <c r="K21" s="3">
        <f t="shared" si="7"/>
        <v>221.16</v>
      </c>
      <c r="L21" s="3">
        <f t="shared" si="2"/>
        <v>77.720000000000013</v>
      </c>
      <c r="M21" s="3">
        <v>50</v>
      </c>
      <c r="N21" s="3">
        <f t="shared" si="8"/>
        <v>221.16</v>
      </c>
      <c r="O21" s="182" cm="1">
        <f t="array" ref="O21">_xlfn.IFS($G$2=1,VLOOKUP('Total income package'!$B$3,'Location specific data'!$A$3:$W150,20,FALSE),$G$2=2,VLOOKUP('Total income package'!$B$3,'Location specific data'!$A$3:$W$135,21,FALSE),$G$2=3,VLOOKUP('Total income package'!$B$3,'Location specific data'!$A$3:$W$135,22,FALSE),$G$2=4,VLOOKUP('Total income package'!$B$3,'Location specific data'!$A$3:$W$135,23,FALSE),$G$2=5,VLOOKUP('Total income package'!$B$3,'Location specific data'!$A$3:$W$135,24,FALSE))</f>
        <v>851</v>
      </c>
      <c r="P21" s="182" cm="1">
        <f t="array" ref="P21">_xlfn.IFS($G$2=1,VLOOKUP('Total income package'!$B$3,'Location specific data'!$A$3:$AB$135,25,FALSE),$G$2=2,VLOOKUP('Total income package'!$B$3,'Location specific data'!$A$3:$AB$135,26,FALSE),$G$2=3,VLOOKUP('Total income package'!$B$3,'Location specific data'!$A$3:$AB$135,27,FALSE),$G$2=4,VLOOKUP('Total income package'!$B$3,'Location specific data'!$A$3:$AB$135,28,FALSE),$G$2=5,VLOOKUP('Total income package'!$B$3,'Location specific data'!$A$3:$AB$135,29,FALSE))</f>
        <v>995</v>
      </c>
      <c r="Q21" s="337">
        <f>IF(AND(G21="Yes",'Total income package'!$A$14=TRUE,P21-N21&gt;0),P21-N21,0)</f>
        <v>773.84</v>
      </c>
      <c r="R21" s="29"/>
    </row>
    <row r="22" spans="1:18" x14ac:dyDescent="0.25">
      <c r="A22" s="182">
        <v>8000</v>
      </c>
      <c r="B22" s="4">
        <f t="shared" si="0"/>
        <v>666.66666666666663</v>
      </c>
      <c r="C22" s="4">
        <f>MAX('TANF-VIEW'!L25,'TANF-VIEW'!T25)</f>
        <v>18.866666666666674</v>
      </c>
      <c r="D22" s="4">
        <f>'Total income package'!$D$80</f>
        <v>0</v>
      </c>
      <c r="E22" s="4">
        <f>'Total income package'!$H$61+'Total income package'!$F$66</f>
        <v>100</v>
      </c>
      <c r="F22" s="4">
        <f t="shared" si="3"/>
        <v>785.5333333333333</v>
      </c>
      <c r="G22" s="181" t="str">
        <f t="shared" si="4"/>
        <v>Yes</v>
      </c>
      <c r="H22" s="3">
        <f t="shared" si="5"/>
        <v>40</v>
      </c>
      <c r="I22" s="3">
        <f t="shared" si="6"/>
        <v>0</v>
      </c>
      <c r="J22" s="3">
        <f t="shared" si="1"/>
        <v>745.5333333333333</v>
      </c>
      <c r="K22" s="3">
        <f t="shared" si="7"/>
        <v>223.66</v>
      </c>
      <c r="L22" s="3">
        <f t="shared" si="2"/>
        <v>78.553333333333342</v>
      </c>
      <c r="M22" s="3">
        <v>50</v>
      </c>
      <c r="N22" s="3">
        <f t="shared" si="8"/>
        <v>223.66</v>
      </c>
      <c r="O22" s="182" cm="1">
        <f t="array" ref="O22">_xlfn.IFS($G$2=1,VLOOKUP('Total income package'!$B$3,'Location specific data'!$A$3:$W151,20,FALSE),$G$2=2,VLOOKUP('Total income package'!$B$3,'Location specific data'!$A$3:$W$135,21,FALSE),$G$2=3,VLOOKUP('Total income package'!$B$3,'Location specific data'!$A$3:$W$135,22,FALSE),$G$2=4,VLOOKUP('Total income package'!$B$3,'Location specific data'!$A$3:$W$135,23,FALSE),$G$2=5,VLOOKUP('Total income package'!$B$3,'Location specific data'!$A$3:$W$135,24,FALSE))</f>
        <v>851</v>
      </c>
      <c r="P22" s="182" cm="1">
        <f t="array" ref="P22">_xlfn.IFS($G$2=1,VLOOKUP('Total income package'!$B$3,'Location specific data'!$A$3:$AB$135,25,FALSE),$G$2=2,VLOOKUP('Total income package'!$B$3,'Location specific data'!$A$3:$AB$135,26,FALSE),$G$2=3,VLOOKUP('Total income package'!$B$3,'Location specific data'!$A$3:$AB$135,27,FALSE),$G$2=4,VLOOKUP('Total income package'!$B$3,'Location specific data'!$A$3:$AB$135,28,FALSE),$G$2=5,VLOOKUP('Total income package'!$B$3,'Location specific data'!$A$3:$AB$135,29,FALSE))</f>
        <v>995</v>
      </c>
      <c r="Q22" s="337">
        <f>IF(AND(G22="Yes",'Total income package'!$A$14=TRUE,P22-N22&gt;0),P22-N22,0)</f>
        <v>771.34</v>
      </c>
      <c r="R22" s="29"/>
    </row>
    <row r="23" spans="1:18" x14ac:dyDescent="0.25">
      <c r="A23" s="182">
        <v>8500</v>
      </c>
      <c r="B23" s="4">
        <f t="shared" si="0"/>
        <v>708.33333333333337</v>
      </c>
      <c r="C23" s="4">
        <f>MAX('TANF-VIEW'!L26,'TANF-VIEW'!T26)</f>
        <v>0</v>
      </c>
      <c r="D23" s="4">
        <f>'Total income package'!$D$80</f>
        <v>0</v>
      </c>
      <c r="E23" s="4">
        <f>'Total income package'!$H$61+'Total income package'!$F$66</f>
        <v>100</v>
      </c>
      <c r="F23" s="4">
        <f t="shared" si="3"/>
        <v>808.33333333333337</v>
      </c>
      <c r="G23" s="181" t="str">
        <f t="shared" si="4"/>
        <v>Yes</v>
      </c>
      <c r="H23" s="3">
        <f t="shared" si="5"/>
        <v>40</v>
      </c>
      <c r="I23" s="3">
        <f t="shared" si="6"/>
        <v>0</v>
      </c>
      <c r="J23" s="3">
        <f t="shared" si="1"/>
        <v>768.33333333333337</v>
      </c>
      <c r="K23" s="3">
        <f t="shared" si="7"/>
        <v>230.5</v>
      </c>
      <c r="L23" s="3">
        <f t="shared" si="2"/>
        <v>80.833333333333343</v>
      </c>
      <c r="M23" s="3">
        <v>50</v>
      </c>
      <c r="N23" s="3">
        <f t="shared" si="8"/>
        <v>230.5</v>
      </c>
      <c r="O23" s="182" cm="1">
        <f t="array" ref="O23">_xlfn.IFS($G$2=1,VLOOKUP('Total income package'!$B$3,'Location specific data'!$A$3:$W152,20,FALSE),$G$2=2,VLOOKUP('Total income package'!$B$3,'Location specific data'!$A$3:$W$135,21,FALSE),$G$2=3,VLOOKUP('Total income package'!$B$3,'Location specific data'!$A$3:$W$135,22,FALSE),$G$2=4,VLOOKUP('Total income package'!$B$3,'Location specific data'!$A$3:$W$135,23,FALSE),$G$2=5,VLOOKUP('Total income package'!$B$3,'Location specific data'!$A$3:$W$135,24,FALSE))</f>
        <v>851</v>
      </c>
      <c r="P23" s="182" cm="1">
        <f t="array" ref="P23">_xlfn.IFS($G$2=1,VLOOKUP('Total income package'!$B$3,'Location specific data'!$A$3:$AB$135,25,FALSE),$G$2=2,VLOOKUP('Total income package'!$B$3,'Location specific data'!$A$3:$AB$135,26,FALSE),$G$2=3,VLOOKUP('Total income package'!$B$3,'Location specific data'!$A$3:$AB$135,27,FALSE),$G$2=4,VLOOKUP('Total income package'!$B$3,'Location specific data'!$A$3:$AB$135,28,FALSE),$G$2=5,VLOOKUP('Total income package'!$B$3,'Location specific data'!$A$3:$AB$135,29,FALSE))</f>
        <v>995</v>
      </c>
      <c r="Q23" s="337">
        <f>IF(AND(G23="Yes",'Total income package'!$A$14=TRUE,P23-N23&gt;0),P23-N23,0)</f>
        <v>764.5</v>
      </c>
      <c r="R23" s="29"/>
    </row>
    <row r="24" spans="1:18" x14ac:dyDescent="0.25">
      <c r="A24" s="182">
        <v>9000</v>
      </c>
      <c r="B24" s="4">
        <f t="shared" si="0"/>
        <v>750</v>
      </c>
      <c r="C24" s="4">
        <f>MAX('TANF-VIEW'!L27,'TANF-VIEW'!T27)</f>
        <v>0</v>
      </c>
      <c r="D24" s="4">
        <f>'Total income package'!$D$80</f>
        <v>0</v>
      </c>
      <c r="E24" s="4">
        <f>'Total income package'!$H$61+'Total income package'!$F$66</f>
        <v>100</v>
      </c>
      <c r="F24" s="4">
        <f t="shared" si="3"/>
        <v>850</v>
      </c>
      <c r="G24" s="181" t="str">
        <f t="shared" si="4"/>
        <v>Yes</v>
      </c>
      <c r="H24" s="3">
        <f t="shared" si="5"/>
        <v>40</v>
      </c>
      <c r="I24" s="3">
        <f t="shared" si="6"/>
        <v>0</v>
      </c>
      <c r="J24" s="3">
        <f t="shared" si="1"/>
        <v>810</v>
      </c>
      <c r="K24" s="3">
        <f t="shared" si="7"/>
        <v>243</v>
      </c>
      <c r="L24" s="3">
        <f t="shared" si="2"/>
        <v>85</v>
      </c>
      <c r="M24" s="3">
        <v>50</v>
      </c>
      <c r="N24" s="3">
        <f t="shared" si="8"/>
        <v>243</v>
      </c>
      <c r="O24" s="182" cm="1">
        <f t="array" ref="O24">_xlfn.IFS($G$2=1,VLOOKUP('Total income package'!$B$3,'Location specific data'!$A$3:$W153,20,FALSE),$G$2=2,VLOOKUP('Total income package'!$B$3,'Location specific data'!$A$3:$W$135,21,FALSE),$G$2=3,VLOOKUP('Total income package'!$B$3,'Location specific data'!$A$3:$W$135,22,FALSE),$G$2=4,VLOOKUP('Total income package'!$B$3,'Location specific data'!$A$3:$W$135,23,FALSE),$G$2=5,VLOOKUP('Total income package'!$B$3,'Location specific data'!$A$3:$W$135,24,FALSE))</f>
        <v>851</v>
      </c>
      <c r="P24" s="182" cm="1">
        <f t="array" ref="P24">_xlfn.IFS($G$2=1,VLOOKUP('Total income package'!$B$3,'Location specific data'!$A$3:$AB$135,25,FALSE),$G$2=2,VLOOKUP('Total income package'!$B$3,'Location specific data'!$A$3:$AB$135,26,FALSE),$G$2=3,VLOOKUP('Total income package'!$B$3,'Location specific data'!$A$3:$AB$135,27,FALSE),$G$2=4,VLOOKUP('Total income package'!$B$3,'Location specific data'!$A$3:$AB$135,28,FALSE),$G$2=5,VLOOKUP('Total income package'!$B$3,'Location specific data'!$A$3:$AB$135,29,FALSE))</f>
        <v>995</v>
      </c>
      <c r="Q24" s="337">
        <f>IF(AND(G24="Yes",'Total income package'!$A$14=TRUE,P24-N24&gt;0),P24-N24,0)</f>
        <v>752</v>
      </c>
      <c r="R24" s="29"/>
    </row>
    <row r="25" spans="1:18" x14ac:dyDescent="0.25">
      <c r="A25" s="182">
        <v>9500</v>
      </c>
      <c r="B25" s="4">
        <f t="shared" si="0"/>
        <v>791.66666666666663</v>
      </c>
      <c r="C25" s="4">
        <f>MAX('TANF-VIEW'!L28,'TANF-VIEW'!T28)</f>
        <v>0</v>
      </c>
      <c r="D25" s="4">
        <f>'Total income package'!$D$80</f>
        <v>0</v>
      </c>
      <c r="E25" s="4">
        <f>'Total income package'!$H$61+'Total income package'!$F$66</f>
        <v>100</v>
      </c>
      <c r="F25" s="4">
        <f t="shared" si="3"/>
        <v>891.66666666666663</v>
      </c>
      <c r="G25" s="181" t="str">
        <f t="shared" si="4"/>
        <v>Yes</v>
      </c>
      <c r="H25" s="3">
        <f t="shared" si="5"/>
        <v>40</v>
      </c>
      <c r="I25" s="3">
        <f t="shared" si="6"/>
        <v>0</v>
      </c>
      <c r="J25" s="3">
        <f t="shared" si="1"/>
        <v>851.66666666666663</v>
      </c>
      <c r="K25" s="3">
        <f t="shared" si="7"/>
        <v>255.49999999999997</v>
      </c>
      <c r="L25" s="3">
        <f t="shared" si="2"/>
        <v>89.166666666666671</v>
      </c>
      <c r="M25" s="3">
        <v>50</v>
      </c>
      <c r="N25" s="3">
        <f t="shared" si="8"/>
        <v>255.49999999999997</v>
      </c>
      <c r="O25" s="182" cm="1">
        <f t="array" ref="O25">_xlfn.IFS($G$2=1,VLOOKUP('Total income package'!$B$3,'Location specific data'!$A$3:$W154,20,FALSE),$G$2=2,VLOOKUP('Total income package'!$B$3,'Location specific data'!$A$3:$W$135,21,FALSE),$G$2=3,VLOOKUP('Total income package'!$B$3,'Location specific data'!$A$3:$W$135,22,FALSE),$G$2=4,VLOOKUP('Total income package'!$B$3,'Location specific data'!$A$3:$W$135,23,FALSE),$G$2=5,VLOOKUP('Total income package'!$B$3,'Location specific data'!$A$3:$W$135,24,FALSE))</f>
        <v>851</v>
      </c>
      <c r="P25" s="182" cm="1">
        <f t="array" ref="P25">_xlfn.IFS($G$2=1,VLOOKUP('Total income package'!$B$3,'Location specific data'!$A$3:$AB$135,25,FALSE),$G$2=2,VLOOKUP('Total income package'!$B$3,'Location specific data'!$A$3:$AB$135,26,FALSE),$G$2=3,VLOOKUP('Total income package'!$B$3,'Location specific data'!$A$3:$AB$135,27,FALSE),$G$2=4,VLOOKUP('Total income package'!$B$3,'Location specific data'!$A$3:$AB$135,28,FALSE),$G$2=5,VLOOKUP('Total income package'!$B$3,'Location specific data'!$A$3:$AB$135,29,FALSE))</f>
        <v>995</v>
      </c>
      <c r="Q25" s="337">
        <f>IF(AND(G25="Yes",'Total income package'!$A$14=TRUE,P25-N25&gt;0),P25-N25,0)</f>
        <v>739.5</v>
      </c>
      <c r="R25" s="29"/>
    </row>
    <row r="26" spans="1:18" x14ac:dyDescent="0.25">
      <c r="A26" s="182">
        <v>10000</v>
      </c>
      <c r="B26" s="4">
        <f t="shared" si="0"/>
        <v>833.33333333333337</v>
      </c>
      <c r="C26" s="4">
        <f>MAX('TANF-VIEW'!L29,'TANF-VIEW'!T29)</f>
        <v>0</v>
      </c>
      <c r="D26" s="4">
        <f>'Total income package'!$D$80</f>
        <v>0</v>
      </c>
      <c r="E26" s="4">
        <f>'Total income package'!$H$61+'Total income package'!$F$66</f>
        <v>100</v>
      </c>
      <c r="F26" s="4">
        <f t="shared" si="3"/>
        <v>933.33333333333337</v>
      </c>
      <c r="G26" s="181" t="str">
        <f t="shared" si="4"/>
        <v>Yes</v>
      </c>
      <c r="H26" s="3">
        <f t="shared" si="5"/>
        <v>40</v>
      </c>
      <c r="I26" s="3">
        <f t="shared" si="6"/>
        <v>0</v>
      </c>
      <c r="J26" s="3">
        <f t="shared" si="1"/>
        <v>893.33333333333337</v>
      </c>
      <c r="K26" s="3">
        <f t="shared" si="7"/>
        <v>268</v>
      </c>
      <c r="L26" s="3">
        <f t="shared" si="2"/>
        <v>93.333333333333343</v>
      </c>
      <c r="M26" s="3">
        <v>50</v>
      </c>
      <c r="N26" s="3">
        <f t="shared" si="8"/>
        <v>268</v>
      </c>
      <c r="O26" s="182" cm="1">
        <f t="array" ref="O26">_xlfn.IFS($G$2=1,VLOOKUP('Total income package'!$B$3,'Location specific data'!$A$3:$W155,20,FALSE),$G$2=2,VLOOKUP('Total income package'!$B$3,'Location specific data'!$A$3:$W$135,21,FALSE),$G$2=3,VLOOKUP('Total income package'!$B$3,'Location specific data'!$A$3:$W$135,22,FALSE),$G$2=4,VLOOKUP('Total income package'!$B$3,'Location specific data'!$A$3:$W$135,23,FALSE),$G$2=5,VLOOKUP('Total income package'!$B$3,'Location specific data'!$A$3:$W$135,24,FALSE))</f>
        <v>851</v>
      </c>
      <c r="P26" s="182" cm="1">
        <f t="array" ref="P26">_xlfn.IFS($G$2=1,VLOOKUP('Total income package'!$B$3,'Location specific data'!$A$3:$AB$135,25,FALSE),$G$2=2,VLOOKUP('Total income package'!$B$3,'Location specific data'!$A$3:$AB$135,26,FALSE),$G$2=3,VLOOKUP('Total income package'!$B$3,'Location specific data'!$A$3:$AB$135,27,FALSE),$G$2=4,VLOOKUP('Total income package'!$B$3,'Location specific data'!$A$3:$AB$135,28,FALSE),$G$2=5,VLOOKUP('Total income package'!$B$3,'Location specific data'!$A$3:$AB$135,29,FALSE))</f>
        <v>995</v>
      </c>
      <c r="Q26" s="337">
        <f>IF(AND(G26="Yes",'Total income package'!$A$14=TRUE,P26-N26&gt;0),P26-N26,0)</f>
        <v>727</v>
      </c>
      <c r="R26" s="29"/>
    </row>
    <row r="27" spans="1:18" x14ac:dyDescent="0.25">
      <c r="A27" s="182">
        <v>10500</v>
      </c>
      <c r="B27" s="4">
        <f t="shared" si="0"/>
        <v>875</v>
      </c>
      <c r="C27" s="4">
        <f>MAX('TANF-VIEW'!L30,'TANF-VIEW'!T30)</f>
        <v>0</v>
      </c>
      <c r="D27" s="4">
        <f>'Total income package'!$D$80</f>
        <v>0</v>
      </c>
      <c r="E27" s="4">
        <f>'Total income package'!$H$61+'Total income package'!$F$66</f>
        <v>100</v>
      </c>
      <c r="F27" s="4">
        <f t="shared" si="3"/>
        <v>975</v>
      </c>
      <c r="G27" s="181" t="str">
        <f t="shared" si="4"/>
        <v>Yes</v>
      </c>
      <c r="H27" s="3">
        <f t="shared" si="5"/>
        <v>40</v>
      </c>
      <c r="I27" s="3">
        <f t="shared" si="6"/>
        <v>0</v>
      </c>
      <c r="J27" s="3">
        <f t="shared" si="1"/>
        <v>935</v>
      </c>
      <c r="K27" s="3">
        <f t="shared" si="7"/>
        <v>280.5</v>
      </c>
      <c r="L27" s="3">
        <f t="shared" si="2"/>
        <v>97.5</v>
      </c>
      <c r="M27" s="3">
        <v>50</v>
      </c>
      <c r="N27" s="3">
        <f t="shared" si="8"/>
        <v>280.5</v>
      </c>
      <c r="O27" s="182" cm="1">
        <f t="array" ref="O27">_xlfn.IFS($G$2=1,VLOOKUP('Total income package'!$B$3,'Location specific data'!$A$3:$W156,20,FALSE),$G$2=2,VLOOKUP('Total income package'!$B$3,'Location specific data'!$A$3:$W$135,21,FALSE),$G$2=3,VLOOKUP('Total income package'!$B$3,'Location specific data'!$A$3:$W$135,22,FALSE),$G$2=4,VLOOKUP('Total income package'!$B$3,'Location specific data'!$A$3:$W$135,23,FALSE),$G$2=5,VLOOKUP('Total income package'!$B$3,'Location specific data'!$A$3:$W$135,24,FALSE))</f>
        <v>851</v>
      </c>
      <c r="P27" s="182" cm="1">
        <f t="array" ref="P27">_xlfn.IFS($G$2=1,VLOOKUP('Total income package'!$B$3,'Location specific data'!$A$3:$AB$135,25,FALSE),$G$2=2,VLOOKUP('Total income package'!$B$3,'Location specific data'!$A$3:$AB$135,26,FALSE),$G$2=3,VLOOKUP('Total income package'!$B$3,'Location specific data'!$A$3:$AB$135,27,FALSE),$G$2=4,VLOOKUP('Total income package'!$B$3,'Location specific data'!$A$3:$AB$135,28,FALSE),$G$2=5,VLOOKUP('Total income package'!$B$3,'Location specific data'!$A$3:$AB$135,29,FALSE))</f>
        <v>995</v>
      </c>
      <c r="Q27" s="337">
        <f>IF(AND(G27="Yes",'Total income package'!$A$14=TRUE,P27-N27&gt;0),P27-N27,0)</f>
        <v>714.5</v>
      </c>
      <c r="R27" s="29"/>
    </row>
    <row r="28" spans="1:18" x14ac:dyDescent="0.25">
      <c r="A28" s="182">
        <v>11000</v>
      </c>
      <c r="B28" s="4">
        <f t="shared" si="0"/>
        <v>916.66666666666663</v>
      </c>
      <c r="C28" s="4">
        <f>MAX('TANF-VIEW'!L31,'TANF-VIEW'!T31)</f>
        <v>0</v>
      </c>
      <c r="D28" s="4">
        <f>'Total income package'!$D$80</f>
        <v>0</v>
      </c>
      <c r="E28" s="4">
        <f>'Total income package'!$H$61+'Total income package'!$F$66</f>
        <v>100</v>
      </c>
      <c r="F28" s="4">
        <f t="shared" si="3"/>
        <v>1016.6666666666666</v>
      </c>
      <c r="G28" s="181" t="str">
        <f t="shared" si="4"/>
        <v>Yes</v>
      </c>
      <c r="H28" s="3">
        <f t="shared" si="5"/>
        <v>40</v>
      </c>
      <c r="I28" s="3">
        <f t="shared" si="6"/>
        <v>0</v>
      </c>
      <c r="J28" s="3">
        <f t="shared" si="1"/>
        <v>976.66666666666663</v>
      </c>
      <c r="K28" s="3">
        <f t="shared" si="7"/>
        <v>293</v>
      </c>
      <c r="L28" s="3">
        <f t="shared" si="2"/>
        <v>101.66666666666667</v>
      </c>
      <c r="M28" s="3">
        <v>50</v>
      </c>
      <c r="N28" s="3">
        <f t="shared" si="8"/>
        <v>293</v>
      </c>
      <c r="O28" s="182" cm="1">
        <f t="array" ref="O28">_xlfn.IFS($G$2=1,VLOOKUP('Total income package'!$B$3,'Location specific data'!$A$3:$W157,20,FALSE),$G$2=2,VLOOKUP('Total income package'!$B$3,'Location specific data'!$A$3:$W$135,21,FALSE),$G$2=3,VLOOKUP('Total income package'!$B$3,'Location specific data'!$A$3:$W$135,22,FALSE),$G$2=4,VLOOKUP('Total income package'!$B$3,'Location specific data'!$A$3:$W$135,23,FALSE),$G$2=5,VLOOKUP('Total income package'!$B$3,'Location specific data'!$A$3:$W$135,24,FALSE))</f>
        <v>851</v>
      </c>
      <c r="P28" s="182" cm="1">
        <f t="array" ref="P28">_xlfn.IFS($G$2=1,VLOOKUP('Total income package'!$B$3,'Location specific data'!$A$3:$AB$135,25,FALSE),$G$2=2,VLOOKUP('Total income package'!$B$3,'Location specific data'!$A$3:$AB$135,26,FALSE),$G$2=3,VLOOKUP('Total income package'!$B$3,'Location specific data'!$A$3:$AB$135,27,FALSE),$G$2=4,VLOOKUP('Total income package'!$B$3,'Location specific data'!$A$3:$AB$135,28,FALSE),$G$2=5,VLOOKUP('Total income package'!$B$3,'Location specific data'!$A$3:$AB$135,29,FALSE))</f>
        <v>995</v>
      </c>
      <c r="Q28" s="337">
        <f>IF(AND(G28="Yes",'Total income package'!$A$14=TRUE,P28-N28&gt;0),P28-N28,0)</f>
        <v>702</v>
      </c>
      <c r="R28" s="29"/>
    </row>
    <row r="29" spans="1:18" x14ac:dyDescent="0.25">
      <c r="A29" s="182">
        <v>11500</v>
      </c>
      <c r="B29" s="4">
        <f t="shared" si="0"/>
        <v>958.33333333333337</v>
      </c>
      <c r="C29" s="4">
        <f>MAX('TANF-VIEW'!L32,'TANF-VIEW'!T32)</f>
        <v>0</v>
      </c>
      <c r="D29" s="4">
        <f>'Total income package'!$D$80</f>
        <v>0</v>
      </c>
      <c r="E29" s="4">
        <f>'Total income package'!$H$61+'Total income package'!$F$66</f>
        <v>100</v>
      </c>
      <c r="F29" s="4">
        <f t="shared" si="3"/>
        <v>1058.3333333333335</v>
      </c>
      <c r="G29" s="181" t="str">
        <f t="shared" si="4"/>
        <v>Yes</v>
      </c>
      <c r="H29" s="3">
        <f t="shared" si="5"/>
        <v>40</v>
      </c>
      <c r="I29" s="3">
        <f t="shared" si="6"/>
        <v>0</v>
      </c>
      <c r="J29" s="3">
        <f t="shared" si="1"/>
        <v>1018.3333333333335</v>
      </c>
      <c r="K29" s="3">
        <f t="shared" si="7"/>
        <v>305.50000000000006</v>
      </c>
      <c r="L29" s="3">
        <f t="shared" si="2"/>
        <v>105.83333333333336</v>
      </c>
      <c r="M29" s="3">
        <v>50</v>
      </c>
      <c r="N29" s="3">
        <f t="shared" si="8"/>
        <v>305.50000000000006</v>
      </c>
      <c r="O29" s="182" cm="1">
        <f t="array" ref="O29">_xlfn.IFS($G$2=1,VLOOKUP('Total income package'!$B$3,'Location specific data'!$A$3:$W158,20,FALSE),$G$2=2,VLOOKUP('Total income package'!$B$3,'Location specific data'!$A$3:$W$135,21,FALSE),$G$2=3,VLOOKUP('Total income package'!$B$3,'Location specific data'!$A$3:$W$135,22,FALSE),$G$2=4,VLOOKUP('Total income package'!$B$3,'Location specific data'!$A$3:$W$135,23,FALSE),$G$2=5,VLOOKUP('Total income package'!$B$3,'Location specific data'!$A$3:$W$135,24,FALSE))</f>
        <v>851</v>
      </c>
      <c r="P29" s="182" cm="1">
        <f t="array" ref="P29">_xlfn.IFS($G$2=1,VLOOKUP('Total income package'!$B$3,'Location specific data'!$A$3:$AB$135,25,FALSE),$G$2=2,VLOOKUP('Total income package'!$B$3,'Location specific data'!$A$3:$AB$135,26,FALSE),$G$2=3,VLOOKUP('Total income package'!$B$3,'Location specific data'!$A$3:$AB$135,27,FALSE),$G$2=4,VLOOKUP('Total income package'!$B$3,'Location specific data'!$A$3:$AB$135,28,FALSE),$G$2=5,VLOOKUP('Total income package'!$B$3,'Location specific data'!$A$3:$AB$135,29,FALSE))</f>
        <v>995</v>
      </c>
      <c r="Q29" s="337">
        <f>IF(AND(G29="Yes",'Total income package'!$A$14=TRUE,P29-N29&gt;0),P29-N29,0)</f>
        <v>689.5</v>
      </c>
      <c r="R29" s="29"/>
    </row>
    <row r="30" spans="1:18" x14ac:dyDescent="0.25">
      <c r="A30" s="182">
        <v>12000</v>
      </c>
      <c r="B30" s="4">
        <f t="shared" si="0"/>
        <v>1000</v>
      </c>
      <c r="C30" s="4">
        <f>MAX('TANF-VIEW'!L33,'TANF-VIEW'!T33)</f>
        <v>0</v>
      </c>
      <c r="D30" s="4">
        <f>'Total income package'!$D$80</f>
        <v>0</v>
      </c>
      <c r="E30" s="4">
        <f>'Total income package'!$H$61+'Total income package'!$F$66</f>
        <v>100</v>
      </c>
      <c r="F30" s="4">
        <f t="shared" si="3"/>
        <v>1100</v>
      </c>
      <c r="G30" s="181" t="str">
        <f t="shared" si="4"/>
        <v>Yes</v>
      </c>
      <c r="H30" s="3">
        <f t="shared" si="5"/>
        <v>40</v>
      </c>
      <c r="I30" s="3">
        <f t="shared" si="6"/>
        <v>0</v>
      </c>
      <c r="J30" s="3">
        <f t="shared" si="1"/>
        <v>1060</v>
      </c>
      <c r="K30" s="3">
        <f t="shared" si="7"/>
        <v>318</v>
      </c>
      <c r="L30" s="3">
        <f t="shared" si="2"/>
        <v>110</v>
      </c>
      <c r="M30" s="3">
        <v>50</v>
      </c>
      <c r="N30" s="3">
        <f t="shared" si="8"/>
        <v>318</v>
      </c>
      <c r="O30" s="182" cm="1">
        <f t="array" ref="O30">_xlfn.IFS($G$2=1,VLOOKUP('Total income package'!$B$3,'Location specific data'!$A$3:$W159,20,FALSE),$G$2=2,VLOOKUP('Total income package'!$B$3,'Location specific data'!$A$3:$W$135,21,FALSE),$G$2=3,VLOOKUP('Total income package'!$B$3,'Location specific data'!$A$3:$W$135,22,FALSE),$G$2=4,VLOOKUP('Total income package'!$B$3,'Location specific data'!$A$3:$W$135,23,FALSE),$G$2=5,VLOOKUP('Total income package'!$B$3,'Location specific data'!$A$3:$W$135,24,FALSE))</f>
        <v>851</v>
      </c>
      <c r="P30" s="182" cm="1">
        <f t="array" ref="P30">_xlfn.IFS($G$2=1,VLOOKUP('Total income package'!$B$3,'Location specific data'!$A$3:$AB$135,25,FALSE),$G$2=2,VLOOKUP('Total income package'!$B$3,'Location specific data'!$A$3:$AB$135,26,FALSE),$G$2=3,VLOOKUP('Total income package'!$B$3,'Location specific data'!$A$3:$AB$135,27,FALSE),$G$2=4,VLOOKUP('Total income package'!$B$3,'Location specific data'!$A$3:$AB$135,28,FALSE),$G$2=5,VLOOKUP('Total income package'!$B$3,'Location specific data'!$A$3:$AB$135,29,FALSE))</f>
        <v>995</v>
      </c>
      <c r="Q30" s="337">
        <f>IF(AND(G30="Yes",'Total income package'!$A$14=TRUE,P30-N30&gt;0),P30-N30,0)</f>
        <v>677</v>
      </c>
      <c r="R30" s="29"/>
    </row>
    <row r="31" spans="1:18" x14ac:dyDescent="0.25">
      <c r="A31" s="182">
        <v>12500</v>
      </c>
      <c r="B31" s="4">
        <f t="shared" si="0"/>
        <v>1041.6666666666667</v>
      </c>
      <c r="C31" s="4">
        <f>MAX('TANF-VIEW'!L34,'TANF-VIEW'!T34)</f>
        <v>0</v>
      </c>
      <c r="D31" s="4">
        <f>'Total income package'!$D$80</f>
        <v>0</v>
      </c>
      <c r="E31" s="4">
        <f>'Total income package'!$H$61+'Total income package'!$F$66</f>
        <v>100</v>
      </c>
      <c r="F31" s="4">
        <f t="shared" si="3"/>
        <v>1141.6666666666667</v>
      </c>
      <c r="G31" s="181" t="str">
        <f t="shared" si="4"/>
        <v>Yes</v>
      </c>
      <c r="H31" s="3">
        <f t="shared" si="5"/>
        <v>40</v>
      </c>
      <c r="I31" s="3">
        <f t="shared" si="6"/>
        <v>0</v>
      </c>
      <c r="J31" s="3">
        <f t="shared" si="1"/>
        <v>1101.6666666666667</v>
      </c>
      <c r="K31" s="3">
        <f t="shared" si="7"/>
        <v>330.5</v>
      </c>
      <c r="L31" s="3">
        <f t="shared" si="2"/>
        <v>114.16666666666669</v>
      </c>
      <c r="M31" s="3">
        <v>50</v>
      </c>
      <c r="N31" s="3">
        <f t="shared" si="8"/>
        <v>330.5</v>
      </c>
      <c r="O31" s="182" cm="1">
        <f t="array" ref="O31">_xlfn.IFS($G$2=1,VLOOKUP('Total income package'!$B$3,'Location specific data'!$A$3:$W160,20,FALSE),$G$2=2,VLOOKUP('Total income package'!$B$3,'Location specific data'!$A$3:$W$135,21,FALSE),$G$2=3,VLOOKUP('Total income package'!$B$3,'Location specific data'!$A$3:$W$135,22,FALSE),$G$2=4,VLOOKUP('Total income package'!$B$3,'Location specific data'!$A$3:$W$135,23,FALSE),$G$2=5,VLOOKUP('Total income package'!$B$3,'Location specific data'!$A$3:$W$135,24,FALSE))</f>
        <v>851</v>
      </c>
      <c r="P31" s="182" cm="1">
        <f t="array" ref="P31">_xlfn.IFS($G$2=1,VLOOKUP('Total income package'!$B$3,'Location specific data'!$A$3:$AB$135,25,FALSE),$G$2=2,VLOOKUP('Total income package'!$B$3,'Location specific data'!$A$3:$AB$135,26,FALSE),$G$2=3,VLOOKUP('Total income package'!$B$3,'Location specific data'!$A$3:$AB$135,27,FALSE),$G$2=4,VLOOKUP('Total income package'!$B$3,'Location specific data'!$A$3:$AB$135,28,FALSE),$G$2=5,VLOOKUP('Total income package'!$B$3,'Location specific data'!$A$3:$AB$135,29,FALSE))</f>
        <v>995</v>
      </c>
      <c r="Q31" s="337">
        <f>IF(AND(G31="Yes",'Total income package'!$A$14=TRUE,P31-N31&gt;0),P31-N31,0)</f>
        <v>664.5</v>
      </c>
      <c r="R31" s="29"/>
    </row>
    <row r="32" spans="1:18" x14ac:dyDescent="0.25">
      <c r="A32" s="182">
        <v>13000</v>
      </c>
      <c r="B32" s="4">
        <f t="shared" si="0"/>
        <v>1083.3333333333333</v>
      </c>
      <c r="C32" s="4">
        <f>MAX('TANF-VIEW'!L35,'TANF-VIEW'!T35)</f>
        <v>0</v>
      </c>
      <c r="D32" s="4">
        <f>'Total income package'!$D$80</f>
        <v>0</v>
      </c>
      <c r="E32" s="4">
        <f>'Total income package'!$H$61+'Total income package'!$F$66</f>
        <v>100</v>
      </c>
      <c r="F32" s="4">
        <f t="shared" si="3"/>
        <v>1183.3333333333333</v>
      </c>
      <c r="G32" s="181" t="str">
        <f t="shared" si="4"/>
        <v>Yes</v>
      </c>
      <c r="H32" s="3">
        <f t="shared" si="5"/>
        <v>40</v>
      </c>
      <c r="I32" s="3">
        <f t="shared" si="6"/>
        <v>0</v>
      </c>
      <c r="J32" s="3">
        <f t="shared" si="1"/>
        <v>1143.3333333333333</v>
      </c>
      <c r="K32" s="3">
        <f t="shared" si="7"/>
        <v>342.99999999999994</v>
      </c>
      <c r="L32" s="3">
        <f t="shared" si="2"/>
        <v>118.33333333333333</v>
      </c>
      <c r="M32" s="3">
        <v>50</v>
      </c>
      <c r="N32" s="3">
        <f t="shared" si="8"/>
        <v>342.99999999999994</v>
      </c>
      <c r="O32" s="182" cm="1">
        <f t="array" ref="O32">_xlfn.IFS($G$2=1,VLOOKUP('Total income package'!$B$3,'Location specific data'!$A$3:$W161,20,FALSE),$G$2=2,VLOOKUP('Total income package'!$B$3,'Location specific data'!$A$3:$W$135,21,FALSE),$G$2=3,VLOOKUP('Total income package'!$B$3,'Location specific data'!$A$3:$W$135,22,FALSE),$G$2=4,VLOOKUP('Total income package'!$B$3,'Location specific data'!$A$3:$W$135,23,FALSE),$G$2=5,VLOOKUP('Total income package'!$B$3,'Location specific data'!$A$3:$W$135,24,FALSE))</f>
        <v>851</v>
      </c>
      <c r="P32" s="182" cm="1">
        <f t="array" ref="P32">_xlfn.IFS($G$2=1,VLOOKUP('Total income package'!$B$3,'Location specific data'!$A$3:$AB$135,25,FALSE),$G$2=2,VLOOKUP('Total income package'!$B$3,'Location specific data'!$A$3:$AB$135,26,FALSE),$G$2=3,VLOOKUP('Total income package'!$B$3,'Location specific data'!$A$3:$AB$135,27,FALSE),$G$2=4,VLOOKUP('Total income package'!$B$3,'Location specific data'!$A$3:$AB$135,28,FALSE),$G$2=5,VLOOKUP('Total income package'!$B$3,'Location specific data'!$A$3:$AB$135,29,FALSE))</f>
        <v>995</v>
      </c>
      <c r="Q32" s="337">
        <f>IF(AND(G32="Yes",'Total income package'!$A$14=TRUE,P32-N32&gt;0),P32-N32,0)</f>
        <v>652</v>
      </c>
      <c r="R32" s="29"/>
    </row>
    <row r="33" spans="1:18" x14ac:dyDescent="0.25">
      <c r="A33" s="182">
        <v>13500</v>
      </c>
      <c r="B33" s="4">
        <f t="shared" si="0"/>
        <v>1125</v>
      </c>
      <c r="C33" s="4">
        <f>MAX('TANF-VIEW'!L36,'TANF-VIEW'!T36)</f>
        <v>0</v>
      </c>
      <c r="D33" s="4">
        <f>'Total income package'!$D$80</f>
        <v>0</v>
      </c>
      <c r="E33" s="4">
        <f>'Total income package'!$H$61+'Total income package'!$F$66</f>
        <v>100</v>
      </c>
      <c r="F33" s="4">
        <f t="shared" si="3"/>
        <v>1225</v>
      </c>
      <c r="G33" s="181" t="str">
        <f t="shared" si="4"/>
        <v>Yes</v>
      </c>
      <c r="H33" s="3">
        <f t="shared" si="5"/>
        <v>40</v>
      </c>
      <c r="I33" s="3">
        <f t="shared" si="6"/>
        <v>0</v>
      </c>
      <c r="J33" s="3">
        <f t="shared" si="1"/>
        <v>1185</v>
      </c>
      <c r="K33" s="3">
        <f t="shared" si="7"/>
        <v>355.5</v>
      </c>
      <c r="L33" s="3">
        <f t="shared" si="2"/>
        <v>122.5</v>
      </c>
      <c r="M33" s="3">
        <v>50</v>
      </c>
      <c r="N33" s="3">
        <f t="shared" si="8"/>
        <v>355.5</v>
      </c>
      <c r="O33" s="182" cm="1">
        <f t="array" ref="O33">_xlfn.IFS($G$2=1,VLOOKUP('Total income package'!$B$3,'Location specific data'!$A$3:$W162,20,FALSE),$G$2=2,VLOOKUP('Total income package'!$B$3,'Location specific data'!$A$3:$W$135,21,FALSE),$G$2=3,VLOOKUP('Total income package'!$B$3,'Location specific data'!$A$3:$W$135,22,FALSE),$G$2=4,VLOOKUP('Total income package'!$B$3,'Location specific data'!$A$3:$W$135,23,FALSE),$G$2=5,VLOOKUP('Total income package'!$B$3,'Location specific data'!$A$3:$W$135,24,FALSE))</f>
        <v>851</v>
      </c>
      <c r="P33" s="182" cm="1">
        <f t="array" ref="P33">_xlfn.IFS($G$2=1,VLOOKUP('Total income package'!$B$3,'Location specific data'!$A$3:$AB$135,25,FALSE),$G$2=2,VLOOKUP('Total income package'!$B$3,'Location specific data'!$A$3:$AB$135,26,FALSE),$G$2=3,VLOOKUP('Total income package'!$B$3,'Location specific data'!$A$3:$AB$135,27,FALSE),$G$2=4,VLOOKUP('Total income package'!$B$3,'Location specific data'!$A$3:$AB$135,28,FALSE),$G$2=5,VLOOKUP('Total income package'!$B$3,'Location specific data'!$A$3:$AB$135,29,FALSE))</f>
        <v>995</v>
      </c>
      <c r="Q33" s="337">
        <f>IF(AND(G33="Yes",'Total income package'!$A$14=TRUE,P33-N33&gt;0),P33-N33,0)</f>
        <v>639.5</v>
      </c>
      <c r="R33" s="29"/>
    </row>
    <row r="34" spans="1:18" x14ac:dyDescent="0.25">
      <c r="A34" s="182">
        <v>14000</v>
      </c>
      <c r="B34" s="4">
        <f t="shared" si="0"/>
        <v>1166.6666666666667</v>
      </c>
      <c r="C34" s="4">
        <f>MAX('TANF-VIEW'!L37,'TANF-VIEW'!T37)</f>
        <v>0</v>
      </c>
      <c r="D34" s="4">
        <f>'Total income package'!$D$80</f>
        <v>0</v>
      </c>
      <c r="E34" s="4">
        <f>'Total income package'!$H$61+'Total income package'!$F$66</f>
        <v>100</v>
      </c>
      <c r="F34" s="4">
        <f t="shared" si="3"/>
        <v>1266.6666666666667</v>
      </c>
      <c r="G34" s="181" t="str">
        <f t="shared" si="4"/>
        <v>Yes</v>
      </c>
      <c r="H34" s="3">
        <f t="shared" si="5"/>
        <v>40</v>
      </c>
      <c r="I34" s="3">
        <f t="shared" si="6"/>
        <v>0</v>
      </c>
      <c r="J34" s="3">
        <f t="shared" si="1"/>
        <v>1226.6666666666667</v>
      </c>
      <c r="K34" s="3">
        <f t="shared" si="7"/>
        <v>368</v>
      </c>
      <c r="L34" s="3">
        <f t="shared" si="2"/>
        <v>126.66666666666669</v>
      </c>
      <c r="M34" s="3">
        <v>50</v>
      </c>
      <c r="N34" s="3">
        <f t="shared" si="8"/>
        <v>368</v>
      </c>
      <c r="O34" s="182" cm="1">
        <f t="array" ref="O34">_xlfn.IFS($G$2=1,VLOOKUP('Total income package'!$B$3,'Location specific data'!$A$3:$W163,20,FALSE),$G$2=2,VLOOKUP('Total income package'!$B$3,'Location specific data'!$A$3:$W$135,21,FALSE),$G$2=3,VLOOKUP('Total income package'!$B$3,'Location specific data'!$A$3:$W$135,22,FALSE),$G$2=4,VLOOKUP('Total income package'!$B$3,'Location specific data'!$A$3:$W$135,23,FALSE),$G$2=5,VLOOKUP('Total income package'!$B$3,'Location specific data'!$A$3:$W$135,24,FALSE))</f>
        <v>851</v>
      </c>
      <c r="P34" s="182" cm="1">
        <f t="array" ref="P34">_xlfn.IFS($G$2=1,VLOOKUP('Total income package'!$B$3,'Location specific data'!$A$3:$AB$135,25,FALSE),$G$2=2,VLOOKUP('Total income package'!$B$3,'Location specific data'!$A$3:$AB$135,26,FALSE),$G$2=3,VLOOKUP('Total income package'!$B$3,'Location specific data'!$A$3:$AB$135,27,FALSE),$G$2=4,VLOOKUP('Total income package'!$B$3,'Location specific data'!$A$3:$AB$135,28,FALSE),$G$2=5,VLOOKUP('Total income package'!$B$3,'Location specific data'!$A$3:$AB$135,29,FALSE))</f>
        <v>995</v>
      </c>
      <c r="Q34" s="337">
        <f>IF(AND(G34="Yes",'Total income package'!$A$14=TRUE,P34-N34&gt;0),P34-N34,0)</f>
        <v>627</v>
      </c>
      <c r="R34" s="29"/>
    </row>
    <row r="35" spans="1:18" x14ac:dyDescent="0.25">
      <c r="A35" s="182">
        <v>14500</v>
      </c>
      <c r="B35" s="4">
        <f t="shared" si="0"/>
        <v>1208.3333333333333</v>
      </c>
      <c r="C35" s="4">
        <f>MAX('TANF-VIEW'!L38,'TANF-VIEW'!T38)</f>
        <v>0</v>
      </c>
      <c r="D35" s="4">
        <f>'Total income package'!$D$80</f>
        <v>0</v>
      </c>
      <c r="E35" s="4">
        <f>'Total income package'!$H$61+'Total income package'!$F$66</f>
        <v>100</v>
      </c>
      <c r="F35" s="4">
        <f t="shared" si="3"/>
        <v>1308.3333333333333</v>
      </c>
      <c r="G35" s="181" t="str">
        <f t="shared" si="4"/>
        <v>Yes</v>
      </c>
      <c r="H35" s="3">
        <f t="shared" si="5"/>
        <v>40</v>
      </c>
      <c r="I35" s="3">
        <f t="shared" si="6"/>
        <v>0</v>
      </c>
      <c r="J35" s="3">
        <f t="shared" si="1"/>
        <v>1268.3333333333333</v>
      </c>
      <c r="K35" s="3">
        <f t="shared" si="7"/>
        <v>380.49999999999994</v>
      </c>
      <c r="L35" s="3">
        <f t="shared" si="2"/>
        <v>130.83333333333334</v>
      </c>
      <c r="M35" s="3">
        <v>50</v>
      </c>
      <c r="N35" s="3">
        <f t="shared" si="8"/>
        <v>380.49999999999994</v>
      </c>
      <c r="O35" s="182" cm="1">
        <f t="array" ref="O35">_xlfn.IFS($G$2=1,VLOOKUP('Total income package'!$B$3,'Location specific data'!$A$3:$W164,20,FALSE),$G$2=2,VLOOKUP('Total income package'!$B$3,'Location specific data'!$A$3:$W$135,21,FALSE),$G$2=3,VLOOKUP('Total income package'!$B$3,'Location specific data'!$A$3:$W$135,22,FALSE),$G$2=4,VLOOKUP('Total income package'!$B$3,'Location specific data'!$A$3:$W$135,23,FALSE),$G$2=5,VLOOKUP('Total income package'!$B$3,'Location specific data'!$A$3:$W$135,24,FALSE))</f>
        <v>851</v>
      </c>
      <c r="P35" s="182" cm="1">
        <f t="array" ref="P35">_xlfn.IFS($G$2=1,VLOOKUP('Total income package'!$B$3,'Location specific data'!$A$3:$AB$135,25,FALSE),$G$2=2,VLOOKUP('Total income package'!$B$3,'Location specific data'!$A$3:$AB$135,26,FALSE),$G$2=3,VLOOKUP('Total income package'!$B$3,'Location specific data'!$A$3:$AB$135,27,FALSE),$G$2=4,VLOOKUP('Total income package'!$B$3,'Location specific data'!$A$3:$AB$135,28,FALSE),$G$2=5,VLOOKUP('Total income package'!$B$3,'Location specific data'!$A$3:$AB$135,29,FALSE))</f>
        <v>995</v>
      </c>
      <c r="Q35" s="337">
        <f>IF(AND(G35="Yes",'Total income package'!$A$14=TRUE,P35-N35&gt;0),P35-N35,0)</f>
        <v>614.5</v>
      </c>
      <c r="R35" s="29"/>
    </row>
    <row r="36" spans="1:18" x14ac:dyDescent="0.25">
      <c r="A36" s="182">
        <v>15000</v>
      </c>
      <c r="B36" s="4">
        <f t="shared" si="0"/>
        <v>1250</v>
      </c>
      <c r="C36" s="4">
        <f>MAX('TANF-VIEW'!L39,'TANF-VIEW'!T39)</f>
        <v>0</v>
      </c>
      <c r="D36" s="4">
        <f>'Total income package'!$D$80</f>
        <v>0</v>
      </c>
      <c r="E36" s="4">
        <f>'Total income package'!$H$61+'Total income package'!$F$66</f>
        <v>100</v>
      </c>
      <c r="F36" s="4">
        <f t="shared" si="3"/>
        <v>1350</v>
      </c>
      <c r="G36" s="181" t="str">
        <f t="shared" si="4"/>
        <v>Yes</v>
      </c>
      <c r="H36" s="3">
        <f t="shared" si="5"/>
        <v>40</v>
      </c>
      <c r="I36" s="3">
        <f t="shared" si="6"/>
        <v>0</v>
      </c>
      <c r="J36" s="3">
        <f t="shared" si="1"/>
        <v>1310</v>
      </c>
      <c r="K36" s="3">
        <f t="shared" si="7"/>
        <v>393</v>
      </c>
      <c r="L36" s="3">
        <f t="shared" si="2"/>
        <v>135</v>
      </c>
      <c r="M36" s="3">
        <v>50</v>
      </c>
      <c r="N36" s="3">
        <f t="shared" si="8"/>
        <v>393</v>
      </c>
      <c r="O36" s="182" cm="1">
        <f t="array" ref="O36">_xlfn.IFS($G$2=1,VLOOKUP('Total income package'!$B$3,'Location specific data'!$A$3:$W165,20,FALSE),$G$2=2,VLOOKUP('Total income package'!$B$3,'Location specific data'!$A$3:$W$135,21,FALSE),$G$2=3,VLOOKUP('Total income package'!$B$3,'Location specific data'!$A$3:$W$135,22,FALSE),$G$2=4,VLOOKUP('Total income package'!$B$3,'Location specific data'!$A$3:$W$135,23,FALSE),$G$2=5,VLOOKUP('Total income package'!$B$3,'Location specific data'!$A$3:$W$135,24,FALSE))</f>
        <v>851</v>
      </c>
      <c r="P36" s="182" cm="1">
        <f t="array" ref="P36">_xlfn.IFS($G$2=1,VLOOKUP('Total income package'!$B$3,'Location specific data'!$A$3:$AB$135,25,FALSE),$G$2=2,VLOOKUP('Total income package'!$B$3,'Location specific data'!$A$3:$AB$135,26,FALSE),$G$2=3,VLOOKUP('Total income package'!$B$3,'Location specific data'!$A$3:$AB$135,27,FALSE),$G$2=4,VLOOKUP('Total income package'!$B$3,'Location specific data'!$A$3:$AB$135,28,FALSE),$G$2=5,VLOOKUP('Total income package'!$B$3,'Location specific data'!$A$3:$AB$135,29,FALSE))</f>
        <v>995</v>
      </c>
      <c r="Q36" s="337">
        <f>IF(AND(G36="Yes",'Total income package'!$A$14=TRUE,P36-N36&gt;0),P36-N36,0)</f>
        <v>602</v>
      </c>
      <c r="R36" s="29"/>
    </row>
    <row r="37" spans="1:18" x14ac:dyDescent="0.25">
      <c r="A37" s="182">
        <v>15500</v>
      </c>
      <c r="B37" s="4">
        <f t="shared" si="0"/>
        <v>1291.6666666666667</v>
      </c>
      <c r="C37" s="4">
        <f>MAX('TANF-VIEW'!L40,'TANF-VIEW'!T40)</f>
        <v>0</v>
      </c>
      <c r="D37" s="4">
        <f>'Total income package'!$D$80</f>
        <v>0</v>
      </c>
      <c r="E37" s="4">
        <f>'Total income package'!$H$61+'Total income package'!$F$66</f>
        <v>100</v>
      </c>
      <c r="F37" s="4">
        <f t="shared" si="3"/>
        <v>1391.6666666666667</v>
      </c>
      <c r="G37" s="181" t="str">
        <f t="shared" si="4"/>
        <v>Yes</v>
      </c>
      <c r="H37" s="3">
        <f t="shared" si="5"/>
        <v>40</v>
      </c>
      <c r="I37" s="3">
        <f t="shared" si="6"/>
        <v>0</v>
      </c>
      <c r="J37" s="3">
        <f t="shared" si="1"/>
        <v>1351.6666666666667</v>
      </c>
      <c r="K37" s="3">
        <f t="shared" si="7"/>
        <v>405.5</v>
      </c>
      <c r="L37" s="3">
        <f t="shared" si="2"/>
        <v>139.16666666666669</v>
      </c>
      <c r="M37" s="3">
        <v>50</v>
      </c>
      <c r="N37" s="3">
        <f t="shared" si="8"/>
        <v>405.5</v>
      </c>
      <c r="O37" s="182" cm="1">
        <f t="array" ref="O37">_xlfn.IFS($G$2=1,VLOOKUP('Total income package'!$B$3,'Location specific data'!$A$3:$W166,20,FALSE),$G$2=2,VLOOKUP('Total income package'!$B$3,'Location specific data'!$A$3:$W$135,21,FALSE),$G$2=3,VLOOKUP('Total income package'!$B$3,'Location specific data'!$A$3:$W$135,22,FALSE),$G$2=4,VLOOKUP('Total income package'!$B$3,'Location specific data'!$A$3:$W$135,23,FALSE),$G$2=5,VLOOKUP('Total income package'!$B$3,'Location specific data'!$A$3:$W$135,24,FALSE))</f>
        <v>851</v>
      </c>
      <c r="P37" s="182" cm="1">
        <f t="array" ref="P37">_xlfn.IFS($G$2=1,VLOOKUP('Total income package'!$B$3,'Location specific data'!$A$3:$AB$135,25,FALSE),$G$2=2,VLOOKUP('Total income package'!$B$3,'Location specific data'!$A$3:$AB$135,26,FALSE),$G$2=3,VLOOKUP('Total income package'!$B$3,'Location specific data'!$A$3:$AB$135,27,FALSE),$G$2=4,VLOOKUP('Total income package'!$B$3,'Location specific data'!$A$3:$AB$135,28,FALSE),$G$2=5,VLOOKUP('Total income package'!$B$3,'Location specific data'!$A$3:$AB$135,29,FALSE))</f>
        <v>995</v>
      </c>
      <c r="Q37" s="337">
        <f>IF(AND(G37="Yes",'Total income package'!$A$14=TRUE,P37-N37&gt;0),P37-N37,0)</f>
        <v>589.5</v>
      </c>
      <c r="R37" s="29"/>
    </row>
    <row r="38" spans="1:18" x14ac:dyDescent="0.25">
      <c r="A38" s="182">
        <v>16000</v>
      </c>
      <c r="B38" s="4">
        <f t="shared" si="0"/>
        <v>1333.3333333333333</v>
      </c>
      <c r="C38" s="4">
        <f>MAX('TANF-VIEW'!L41,'TANF-VIEW'!T41)</f>
        <v>0</v>
      </c>
      <c r="D38" s="4">
        <f>'Total income package'!$D$80</f>
        <v>0</v>
      </c>
      <c r="E38" s="4">
        <f>'Total income package'!$H$61+'Total income package'!$F$66</f>
        <v>100</v>
      </c>
      <c r="F38" s="4">
        <f t="shared" si="3"/>
        <v>1433.3333333333333</v>
      </c>
      <c r="G38" s="181" t="str">
        <f t="shared" si="4"/>
        <v>Yes</v>
      </c>
      <c r="H38" s="3">
        <f t="shared" si="5"/>
        <v>40</v>
      </c>
      <c r="I38" s="3">
        <f t="shared" si="6"/>
        <v>0</v>
      </c>
      <c r="J38" s="3">
        <f t="shared" si="1"/>
        <v>1393.3333333333333</v>
      </c>
      <c r="K38" s="3">
        <f t="shared" si="7"/>
        <v>417.99999999999994</v>
      </c>
      <c r="L38" s="3">
        <f t="shared" si="2"/>
        <v>143.33333333333334</v>
      </c>
      <c r="M38" s="3">
        <v>50</v>
      </c>
      <c r="N38" s="3">
        <f t="shared" si="8"/>
        <v>417.99999999999994</v>
      </c>
      <c r="O38" s="182" cm="1">
        <f t="array" ref="O38">_xlfn.IFS($G$2=1,VLOOKUP('Total income package'!$B$3,'Location specific data'!$A$3:$W167,20,FALSE),$G$2=2,VLOOKUP('Total income package'!$B$3,'Location specific data'!$A$3:$W$135,21,FALSE),$G$2=3,VLOOKUP('Total income package'!$B$3,'Location specific data'!$A$3:$W$135,22,FALSE),$G$2=4,VLOOKUP('Total income package'!$B$3,'Location specific data'!$A$3:$W$135,23,FALSE),$G$2=5,VLOOKUP('Total income package'!$B$3,'Location specific data'!$A$3:$W$135,24,FALSE))</f>
        <v>851</v>
      </c>
      <c r="P38" s="182" cm="1">
        <f t="array" ref="P38">_xlfn.IFS($G$2=1,VLOOKUP('Total income package'!$B$3,'Location specific data'!$A$3:$AB$135,25,FALSE),$G$2=2,VLOOKUP('Total income package'!$B$3,'Location specific data'!$A$3:$AB$135,26,FALSE),$G$2=3,VLOOKUP('Total income package'!$B$3,'Location specific data'!$A$3:$AB$135,27,FALSE),$G$2=4,VLOOKUP('Total income package'!$B$3,'Location specific data'!$A$3:$AB$135,28,FALSE),$G$2=5,VLOOKUP('Total income package'!$B$3,'Location specific data'!$A$3:$AB$135,29,FALSE))</f>
        <v>995</v>
      </c>
      <c r="Q38" s="337">
        <f>IF(AND(G38="Yes",'Total income package'!$A$14=TRUE,P38-N38&gt;0),P38-N38,0)</f>
        <v>577</v>
      </c>
      <c r="R38" s="29"/>
    </row>
    <row r="39" spans="1:18" x14ac:dyDescent="0.25">
      <c r="A39" s="182">
        <v>16500</v>
      </c>
      <c r="B39" s="4">
        <f t="shared" si="0"/>
        <v>1375</v>
      </c>
      <c r="C39" s="4">
        <f>MAX('TANF-VIEW'!L42,'TANF-VIEW'!T42)</f>
        <v>0</v>
      </c>
      <c r="D39" s="4">
        <f>'Total income package'!$D$80</f>
        <v>0</v>
      </c>
      <c r="E39" s="4">
        <f>'Total income package'!$H$61+'Total income package'!$F$66</f>
        <v>100</v>
      </c>
      <c r="F39" s="4">
        <f t="shared" si="3"/>
        <v>1475</v>
      </c>
      <c r="G39" s="181" t="str">
        <f t="shared" si="4"/>
        <v>Yes</v>
      </c>
      <c r="H39" s="3">
        <f t="shared" si="5"/>
        <v>40</v>
      </c>
      <c r="I39" s="3">
        <f t="shared" si="6"/>
        <v>0</v>
      </c>
      <c r="J39" s="3">
        <f t="shared" si="1"/>
        <v>1435</v>
      </c>
      <c r="K39" s="3">
        <f t="shared" si="7"/>
        <v>430.5</v>
      </c>
      <c r="L39" s="3">
        <f t="shared" si="2"/>
        <v>147.5</v>
      </c>
      <c r="M39" s="3">
        <v>50</v>
      </c>
      <c r="N39" s="3">
        <f t="shared" si="8"/>
        <v>430.5</v>
      </c>
      <c r="O39" s="182" cm="1">
        <f t="array" ref="O39">_xlfn.IFS($G$2=1,VLOOKUP('Total income package'!$B$3,'Location specific data'!$A$3:$W168,20,FALSE),$G$2=2,VLOOKUP('Total income package'!$B$3,'Location specific data'!$A$3:$W$135,21,FALSE),$G$2=3,VLOOKUP('Total income package'!$B$3,'Location specific data'!$A$3:$W$135,22,FALSE),$G$2=4,VLOOKUP('Total income package'!$B$3,'Location specific data'!$A$3:$W$135,23,FALSE),$G$2=5,VLOOKUP('Total income package'!$B$3,'Location specific data'!$A$3:$W$135,24,FALSE))</f>
        <v>851</v>
      </c>
      <c r="P39" s="182" cm="1">
        <f t="array" ref="P39">_xlfn.IFS($G$2=1,VLOOKUP('Total income package'!$B$3,'Location specific data'!$A$3:$AB$135,25,FALSE),$G$2=2,VLOOKUP('Total income package'!$B$3,'Location specific data'!$A$3:$AB$135,26,FALSE),$G$2=3,VLOOKUP('Total income package'!$B$3,'Location specific data'!$A$3:$AB$135,27,FALSE),$G$2=4,VLOOKUP('Total income package'!$B$3,'Location specific data'!$A$3:$AB$135,28,FALSE),$G$2=5,VLOOKUP('Total income package'!$B$3,'Location specific data'!$A$3:$AB$135,29,FALSE))</f>
        <v>995</v>
      </c>
      <c r="Q39" s="337">
        <f>IF(AND(G39="Yes",'Total income package'!$A$14=TRUE,P39-N39&gt;0),P39-N39,0)</f>
        <v>564.5</v>
      </c>
      <c r="R39" s="29"/>
    </row>
    <row r="40" spans="1:18" x14ac:dyDescent="0.25">
      <c r="A40" s="182">
        <v>17000</v>
      </c>
      <c r="B40" s="4">
        <f t="shared" si="0"/>
        <v>1416.6666666666667</v>
      </c>
      <c r="C40" s="4">
        <f>MAX('TANF-VIEW'!L43,'TANF-VIEW'!T43)</f>
        <v>0</v>
      </c>
      <c r="D40" s="4">
        <f>'Total income package'!$D$80</f>
        <v>0</v>
      </c>
      <c r="E40" s="4">
        <f>'Total income package'!$H$61+'Total income package'!$F$66</f>
        <v>100</v>
      </c>
      <c r="F40" s="4">
        <f t="shared" si="3"/>
        <v>1516.6666666666667</v>
      </c>
      <c r="G40" s="181" t="str">
        <f t="shared" si="4"/>
        <v>Yes</v>
      </c>
      <c r="H40" s="3">
        <f t="shared" si="5"/>
        <v>40</v>
      </c>
      <c r="I40" s="3">
        <f t="shared" si="6"/>
        <v>0</v>
      </c>
      <c r="J40" s="3">
        <f t="shared" si="1"/>
        <v>1476.6666666666667</v>
      </c>
      <c r="K40" s="3">
        <f t="shared" si="7"/>
        <v>443</v>
      </c>
      <c r="L40" s="3">
        <f t="shared" si="2"/>
        <v>151.66666666666669</v>
      </c>
      <c r="M40" s="3">
        <v>50</v>
      </c>
      <c r="N40" s="3">
        <f t="shared" si="8"/>
        <v>443</v>
      </c>
      <c r="O40" s="182" cm="1">
        <f t="array" ref="O40">_xlfn.IFS($G$2=1,VLOOKUP('Total income package'!$B$3,'Location specific data'!$A$3:$W169,20,FALSE),$G$2=2,VLOOKUP('Total income package'!$B$3,'Location specific data'!$A$3:$W$135,21,FALSE),$G$2=3,VLOOKUP('Total income package'!$B$3,'Location specific data'!$A$3:$W$135,22,FALSE),$G$2=4,VLOOKUP('Total income package'!$B$3,'Location specific data'!$A$3:$W$135,23,FALSE),$G$2=5,VLOOKUP('Total income package'!$B$3,'Location specific data'!$A$3:$W$135,24,FALSE))</f>
        <v>851</v>
      </c>
      <c r="P40" s="182" cm="1">
        <f t="array" ref="P40">_xlfn.IFS($G$2=1,VLOOKUP('Total income package'!$B$3,'Location specific data'!$A$3:$AB$135,25,FALSE),$G$2=2,VLOOKUP('Total income package'!$B$3,'Location specific data'!$A$3:$AB$135,26,FALSE),$G$2=3,VLOOKUP('Total income package'!$B$3,'Location specific data'!$A$3:$AB$135,27,FALSE),$G$2=4,VLOOKUP('Total income package'!$B$3,'Location specific data'!$A$3:$AB$135,28,FALSE),$G$2=5,VLOOKUP('Total income package'!$B$3,'Location specific data'!$A$3:$AB$135,29,FALSE))</f>
        <v>995</v>
      </c>
      <c r="Q40" s="337">
        <f>IF(AND(G40="Yes",'Total income package'!$A$14=TRUE,P40-N40&gt;0),P40-N40,0)</f>
        <v>552</v>
      </c>
      <c r="R40" s="29"/>
    </row>
    <row r="41" spans="1:18" x14ac:dyDescent="0.25">
      <c r="A41" s="182">
        <v>17500</v>
      </c>
      <c r="B41" s="4">
        <f t="shared" si="0"/>
        <v>1458.3333333333333</v>
      </c>
      <c r="C41" s="4">
        <f>MAX('TANF-VIEW'!L44,'TANF-VIEW'!T44)</f>
        <v>0</v>
      </c>
      <c r="D41" s="4">
        <f>'Total income package'!$D$80</f>
        <v>0</v>
      </c>
      <c r="E41" s="4">
        <f>'Total income package'!$H$61+'Total income package'!$F$66</f>
        <v>100</v>
      </c>
      <c r="F41" s="4">
        <f t="shared" si="3"/>
        <v>1558.3333333333333</v>
      </c>
      <c r="G41" s="181" t="str">
        <f t="shared" si="4"/>
        <v>Yes</v>
      </c>
      <c r="H41" s="3">
        <f t="shared" si="5"/>
        <v>40</v>
      </c>
      <c r="I41" s="3">
        <f t="shared" si="6"/>
        <v>0</v>
      </c>
      <c r="J41" s="3">
        <f t="shared" si="1"/>
        <v>1518.3333333333333</v>
      </c>
      <c r="K41" s="3">
        <f t="shared" si="7"/>
        <v>455.49999999999994</v>
      </c>
      <c r="L41" s="3">
        <f t="shared" si="2"/>
        <v>155.83333333333334</v>
      </c>
      <c r="M41" s="3">
        <v>50</v>
      </c>
      <c r="N41" s="3">
        <f t="shared" si="8"/>
        <v>455.49999999999994</v>
      </c>
      <c r="O41" s="182" cm="1">
        <f t="array" ref="O41">_xlfn.IFS($G$2=1,VLOOKUP('Total income package'!$B$3,'Location specific data'!$A$3:$W170,20,FALSE),$G$2=2,VLOOKUP('Total income package'!$B$3,'Location specific data'!$A$3:$W$135,21,FALSE),$G$2=3,VLOOKUP('Total income package'!$B$3,'Location specific data'!$A$3:$W$135,22,FALSE),$G$2=4,VLOOKUP('Total income package'!$B$3,'Location specific data'!$A$3:$W$135,23,FALSE),$G$2=5,VLOOKUP('Total income package'!$B$3,'Location specific data'!$A$3:$W$135,24,FALSE))</f>
        <v>851</v>
      </c>
      <c r="P41" s="182" cm="1">
        <f t="array" ref="P41">_xlfn.IFS($G$2=1,VLOOKUP('Total income package'!$B$3,'Location specific data'!$A$3:$AB$135,25,FALSE),$G$2=2,VLOOKUP('Total income package'!$B$3,'Location specific data'!$A$3:$AB$135,26,FALSE),$G$2=3,VLOOKUP('Total income package'!$B$3,'Location specific data'!$A$3:$AB$135,27,FALSE),$G$2=4,VLOOKUP('Total income package'!$B$3,'Location specific data'!$A$3:$AB$135,28,FALSE),$G$2=5,VLOOKUP('Total income package'!$B$3,'Location specific data'!$A$3:$AB$135,29,FALSE))</f>
        <v>995</v>
      </c>
      <c r="Q41" s="337">
        <f>IF(AND(G41="Yes",'Total income package'!$A$14=TRUE,P41-N41&gt;0),P41-N41,0)</f>
        <v>539.5</v>
      </c>
      <c r="R41" s="29"/>
    </row>
    <row r="42" spans="1:18" x14ac:dyDescent="0.25">
      <c r="A42" s="182">
        <v>18000</v>
      </c>
      <c r="B42" s="4">
        <f t="shared" si="0"/>
        <v>1500</v>
      </c>
      <c r="C42" s="4">
        <f>MAX('TANF-VIEW'!L45,'TANF-VIEW'!T45)</f>
        <v>0</v>
      </c>
      <c r="D42" s="4">
        <f>'Total income package'!$D$80</f>
        <v>0</v>
      </c>
      <c r="E42" s="4">
        <f>'Total income package'!$H$61+'Total income package'!$F$66</f>
        <v>100</v>
      </c>
      <c r="F42" s="4">
        <f t="shared" si="3"/>
        <v>1600</v>
      </c>
      <c r="G42" s="181" t="str">
        <f t="shared" si="4"/>
        <v>Yes</v>
      </c>
      <c r="H42" s="3">
        <f t="shared" si="5"/>
        <v>40</v>
      </c>
      <c r="I42" s="3">
        <f t="shared" si="6"/>
        <v>0</v>
      </c>
      <c r="J42" s="3">
        <f t="shared" si="1"/>
        <v>1560</v>
      </c>
      <c r="K42" s="3">
        <f t="shared" si="7"/>
        <v>468</v>
      </c>
      <c r="L42" s="3">
        <f t="shared" si="2"/>
        <v>160</v>
      </c>
      <c r="M42" s="3">
        <v>50</v>
      </c>
      <c r="N42" s="3">
        <f t="shared" si="8"/>
        <v>468</v>
      </c>
      <c r="O42" s="182" cm="1">
        <f t="array" ref="O42">_xlfn.IFS($G$2=1,VLOOKUP('Total income package'!$B$3,'Location specific data'!$A$3:$W171,20,FALSE),$G$2=2,VLOOKUP('Total income package'!$B$3,'Location specific data'!$A$3:$W$135,21,FALSE),$G$2=3,VLOOKUP('Total income package'!$B$3,'Location specific data'!$A$3:$W$135,22,FALSE),$G$2=4,VLOOKUP('Total income package'!$B$3,'Location specific data'!$A$3:$W$135,23,FALSE),$G$2=5,VLOOKUP('Total income package'!$B$3,'Location specific data'!$A$3:$W$135,24,FALSE))</f>
        <v>851</v>
      </c>
      <c r="P42" s="182" cm="1">
        <f t="array" ref="P42">_xlfn.IFS($G$2=1,VLOOKUP('Total income package'!$B$3,'Location specific data'!$A$3:$AB$135,25,FALSE),$G$2=2,VLOOKUP('Total income package'!$B$3,'Location specific data'!$A$3:$AB$135,26,FALSE),$G$2=3,VLOOKUP('Total income package'!$B$3,'Location specific data'!$A$3:$AB$135,27,FALSE),$G$2=4,VLOOKUP('Total income package'!$B$3,'Location specific data'!$A$3:$AB$135,28,FALSE),$G$2=5,VLOOKUP('Total income package'!$B$3,'Location specific data'!$A$3:$AB$135,29,FALSE))</f>
        <v>995</v>
      </c>
      <c r="Q42" s="337">
        <f>IF(AND(G42="Yes",'Total income package'!$A$14=TRUE,P42-N42&gt;0),P42-N42,0)</f>
        <v>527</v>
      </c>
      <c r="R42" s="29"/>
    </row>
    <row r="43" spans="1:18" x14ac:dyDescent="0.25">
      <c r="A43" s="182">
        <v>18500</v>
      </c>
      <c r="B43" s="4">
        <f t="shared" si="0"/>
        <v>1541.6666666666667</v>
      </c>
      <c r="C43" s="4">
        <f>MAX('TANF-VIEW'!L46,'TANF-VIEW'!T46)</f>
        <v>0</v>
      </c>
      <c r="D43" s="4">
        <f>'Total income package'!$D$80</f>
        <v>0</v>
      </c>
      <c r="E43" s="4">
        <f>'Total income package'!$H$61+'Total income package'!$F$66</f>
        <v>100</v>
      </c>
      <c r="F43" s="4">
        <f t="shared" si="3"/>
        <v>1641.6666666666667</v>
      </c>
      <c r="G43" s="181" t="str">
        <f t="shared" si="4"/>
        <v>Yes</v>
      </c>
      <c r="H43" s="3">
        <f t="shared" si="5"/>
        <v>40</v>
      </c>
      <c r="I43" s="3">
        <f t="shared" si="6"/>
        <v>0</v>
      </c>
      <c r="J43" s="3">
        <f t="shared" si="1"/>
        <v>1601.6666666666667</v>
      </c>
      <c r="K43" s="3">
        <f t="shared" si="7"/>
        <v>480.5</v>
      </c>
      <c r="L43" s="3">
        <f t="shared" si="2"/>
        <v>164.16666666666669</v>
      </c>
      <c r="M43" s="3">
        <v>50</v>
      </c>
      <c r="N43" s="3">
        <f t="shared" si="8"/>
        <v>480.5</v>
      </c>
      <c r="O43" s="182" cm="1">
        <f t="array" ref="O43">_xlfn.IFS($G$2=1,VLOOKUP('Total income package'!$B$3,'Location specific data'!$A$3:$W172,20,FALSE),$G$2=2,VLOOKUP('Total income package'!$B$3,'Location specific data'!$A$3:$W$135,21,FALSE),$G$2=3,VLOOKUP('Total income package'!$B$3,'Location specific data'!$A$3:$W$135,22,FALSE),$G$2=4,VLOOKUP('Total income package'!$B$3,'Location specific data'!$A$3:$W$135,23,FALSE),$G$2=5,VLOOKUP('Total income package'!$B$3,'Location specific data'!$A$3:$W$135,24,FALSE))</f>
        <v>851</v>
      </c>
      <c r="P43" s="182" cm="1">
        <f t="array" ref="P43">_xlfn.IFS($G$2=1,VLOOKUP('Total income package'!$B$3,'Location specific data'!$A$3:$AB$135,25,FALSE),$G$2=2,VLOOKUP('Total income package'!$B$3,'Location specific data'!$A$3:$AB$135,26,FALSE),$G$2=3,VLOOKUP('Total income package'!$B$3,'Location specific data'!$A$3:$AB$135,27,FALSE),$G$2=4,VLOOKUP('Total income package'!$B$3,'Location specific data'!$A$3:$AB$135,28,FALSE),$G$2=5,VLOOKUP('Total income package'!$B$3,'Location specific data'!$A$3:$AB$135,29,FALSE))</f>
        <v>995</v>
      </c>
      <c r="Q43" s="337">
        <f>IF(AND(G43="Yes",'Total income package'!$A$14=TRUE,P43-N43&gt;0),P43-N43,0)</f>
        <v>514.5</v>
      </c>
      <c r="R43" s="29"/>
    </row>
    <row r="44" spans="1:18" x14ac:dyDescent="0.25">
      <c r="A44" s="182">
        <v>19000</v>
      </c>
      <c r="B44" s="4">
        <f t="shared" si="0"/>
        <v>1583.3333333333333</v>
      </c>
      <c r="C44" s="4">
        <f>MAX('TANF-VIEW'!L47,'TANF-VIEW'!T47)</f>
        <v>0</v>
      </c>
      <c r="D44" s="4">
        <f>'Total income package'!$D$80</f>
        <v>0</v>
      </c>
      <c r="E44" s="4">
        <f>'Total income package'!$H$61+'Total income package'!$F$66</f>
        <v>100</v>
      </c>
      <c r="F44" s="4">
        <f t="shared" si="3"/>
        <v>1683.3333333333333</v>
      </c>
      <c r="G44" s="181" t="str">
        <f t="shared" si="4"/>
        <v>Yes</v>
      </c>
      <c r="H44" s="3">
        <f t="shared" si="5"/>
        <v>40</v>
      </c>
      <c r="I44" s="3">
        <f t="shared" si="6"/>
        <v>0</v>
      </c>
      <c r="J44" s="3">
        <f t="shared" si="1"/>
        <v>1643.3333333333333</v>
      </c>
      <c r="K44" s="3">
        <f t="shared" si="7"/>
        <v>492.99999999999994</v>
      </c>
      <c r="L44" s="3">
        <f t="shared" si="2"/>
        <v>168.33333333333334</v>
      </c>
      <c r="M44" s="3">
        <v>50</v>
      </c>
      <c r="N44" s="3">
        <f t="shared" si="8"/>
        <v>492.99999999999994</v>
      </c>
      <c r="O44" s="182" cm="1">
        <f t="array" ref="O44">_xlfn.IFS($G$2=1,VLOOKUP('Total income package'!$B$3,'Location specific data'!$A$3:$W173,20,FALSE),$G$2=2,VLOOKUP('Total income package'!$B$3,'Location specific data'!$A$3:$W$135,21,FALSE),$G$2=3,VLOOKUP('Total income package'!$B$3,'Location specific data'!$A$3:$W$135,22,FALSE),$G$2=4,VLOOKUP('Total income package'!$B$3,'Location specific data'!$A$3:$W$135,23,FALSE),$G$2=5,VLOOKUP('Total income package'!$B$3,'Location specific data'!$A$3:$W$135,24,FALSE))</f>
        <v>851</v>
      </c>
      <c r="P44" s="182" cm="1">
        <f t="array" ref="P44">_xlfn.IFS($G$2=1,VLOOKUP('Total income package'!$B$3,'Location specific data'!$A$3:$AB$135,25,FALSE),$G$2=2,VLOOKUP('Total income package'!$B$3,'Location specific data'!$A$3:$AB$135,26,FALSE),$G$2=3,VLOOKUP('Total income package'!$B$3,'Location specific data'!$A$3:$AB$135,27,FALSE),$G$2=4,VLOOKUP('Total income package'!$B$3,'Location specific data'!$A$3:$AB$135,28,FALSE),$G$2=5,VLOOKUP('Total income package'!$B$3,'Location specific data'!$A$3:$AB$135,29,FALSE))</f>
        <v>995</v>
      </c>
      <c r="Q44" s="337">
        <f>IF(AND(G44="Yes",'Total income package'!$A$14=TRUE,P44-N44&gt;0),P44-N44,0)</f>
        <v>502.00000000000006</v>
      </c>
      <c r="R44" s="29"/>
    </row>
    <row r="45" spans="1:18" x14ac:dyDescent="0.25">
      <c r="A45" s="182">
        <v>19500</v>
      </c>
      <c r="B45" s="4">
        <f t="shared" si="0"/>
        <v>1625</v>
      </c>
      <c r="C45" s="4">
        <f>MAX('TANF-VIEW'!L48,'TANF-VIEW'!T48)</f>
        <v>0</v>
      </c>
      <c r="D45" s="4">
        <f>'Total income package'!$D$80</f>
        <v>0</v>
      </c>
      <c r="E45" s="4">
        <f>'Total income package'!$H$61+'Total income package'!$F$66</f>
        <v>100</v>
      </c>
      <c r="F45" s="4">
        <f t="shared" si="3"/>
        <v>1725</v>
      </c>
      <c r="G45" s="181" t="str">
        <f t="shared" si="4"/>
        <v>Yes</v>
      </c>
      <c r="H45" s="3">
        <f t="shared" si="5"/>
        <v>40</v>
      </c>
      <c r="I45" s="3">
        <f t="shared" si="6"/>
        <v>0</v>
      </c>
      <c r="J45" s="3">
        <f t="shared" si="1"/>
        <v>1685</v>
      </c>
      <c r="K45" s="3">
        <f t="shared" si="7"/>
        <v>505.5</v>
      </c>
      <c r="L45" s="3">
        <f t="shared" si="2"/>
        <v>172.5</v>
      </c>
      <c r="M45" s="3">
        <v>50</v>
      </c>
      <c r="N45" s="3">
        <f t="shared" si="8"/>
        <v>505.5</v>
      </c>
      <c r="O45" s="182" cm="1">
        <f t="array" ref="O45">_xlfn.IFS($G$2=1,VLOOKUP('Total income package'!$B$3,'Location specific data'!$A$3:$W174,20,FALSE),$G$2=2,VLOOKUP('Total income package'!$B$3,'Location specific data'!$A$3:$W$135,21,FALSE),$G$2=3,VLOOKUP('Total income package'!$B$3,'Location specific data'!$A$3:$W$135,22,FALSE),$G$2=4,VLOOKUP('Total income package'!$B$3,'Location specific data'!$A$3:$W$135,23,FALSE),$G$2=5,VLOOKUP('Total income package'!$B$3,'Location specific data'!$A$3:$W$135,24,FALSE))</f>
        <v>851</v>
      </c>
      <c r="P45" s="182" cm="1">
        <f t="array" ref="P45">_xlfn.IFS($G$2=1,VLOOKUP('Total income package'!$B$3,'Location specific data'!$A$3:$AB$135,25,FALSE),$G$2=2,VLOOKUP('Total income package'!$B$3,'Location specific data'!$A$3:$AB$135,26,FALSE),$G$2=3,VLOOKUP('Total income package'!$B$3,'Location specific data'!$A$3:$AB$135,27,FALSE),$G$2=4,VLOOKUP('Total income package'!$B$3,'Location specific data'!$A$3:$AB$135,28,FALSE),$G$2=5,VLOOKUP('Total income package'!$B$3,'Location specific data'!$A$3:$AB$135,29,FALSE))</f>
        <v>995</v>
      </c>
      <c r="Q45" s="337">
        <f>IF(AND(G45="Yes",'Total income package'!$A$14=TRUE,P45-N45&gt;0),P45-N45,0)</f>
        <v>489.5</v>
      </c>
      <c r="R45" s="29"/>
    </row>
    <row r="46" spans="1:18" x14ac:dyDescent="0.25">
      <c r="A46" s="182">
        <v>20000</v>
      </c>
      <c r="B46" s="4">
        <f t="shared" si="0"/>
        <v>1666.6666666666667</v>
      </c>
      <c r="C46" s="4">
        <f>MAX('TANF-VIEW'!L49,'TANF-VIEW'!T49)</f>
        <v>0</v>
      </c>
      <c r="D46" s="4">
        <f>'Total income package'!$D$80</f>
        <v>0</v>
      </c>
      <c r="E46" s="4">
        <f>'Total income package'!$H$61+'Total income package'!$F$66</f>
        <v>100</v>
      </c>
      <c r="F46" s="4">
        <f t="shared" si="3"/>
        <v>1766.6666666666667</v>
      </c>
      <c r="G46" s="181" t="str">
        <f t="shared" si="4"/>
        <v>Yes</v>
      </c>
      <c r="H46" s="3">
        <f t="shared" si="5"/>
        <v>40</v>
      </c>
      <c r="I46" s="3">
        <f t="shared" si="6"/>
        <v>0</v>
      </c>
      <c r="J46" s="3">
        <f t="shared" si="1"/>
        <v>1726.6666666666667</v>
      </c>
      <c r="K46" s="3">
        <f t="shared" si="7"/>
        <v>518</v>
      </c>
      <c r="L46" s="3">
        <f t="shared" si="2"/>
        <v>176.66666666666669</v>
      </c>
      <c r="M46" s="3">
        <v>50</v>
      </c>
      <c r="N46" s="3">
        <f t="shared" si="8"/>
        <v>518</v>
      </c>
      <c r="O46" s="182" cm="1">
        <f t="array" ref="O46">_xlfn.IFS($G$2=1,VLOOKUP('Total income package'!$B$3,'Location specific data'!$A$3:$W175,20,FALSE),$G$2=2,VLOOKUP('Total income package'!$B$3,'Location specific data'!$A$3:$W$135,21,FALSE),$G$2=3,VLOOKUP('Total income package'!$B$3,'Location specific data'!$A$3:$W$135,22,FALSE),$G$2=4,VLOOKUP('Total income package'!$B$3,'Location specific data'!$A$3:$W$135,23,FALSE),$G$2=5,VLOOKUP('Total income package'!$B$3,'Location specific data'!$A$3:$W$135,24,FALSE))</f>
        <v>851</v>
      </c>
      <c r="P46" s="182" cm="1">
        <f t="array" ref="P46">_xlfn.IFS($G$2=1,VLOOKUP('Total income package'!$B$3,'Location specific data'!$A$3:$AB$135,25,FALSE),$G$2=2,VLOOKUP('Total income package'!$B$3,'Location specific data'!$A$3:$AB$135,26,FALSE),$G$2=3,VLOOKUP('Total income package'!$B$3,'Location specific data'!$A$3:$AB$135,27,FALSE),$G$2=4,VLOOKUP('Total income package'!$B$3,'Location specific data'!$A$3:$AB$135,28,FALSE),$G$2=5,VLOOKUP('Total income package'!$B$3,'Location specific data'!$A$3:$AB$135,29,FALSE))</f>
        <v>995</v>
      </c>
      <c r="Q46" s="337">
        <f>IF(AND(G46="Yes",'Total income package'!$A$14=TRUE,P46-N46&gt;0),P46-N46,0)</f>
        <v>477</v>
      </c>
      <c r="R46" s="29"/>
    </row>
    <row r="47" spans="1:18" x14ac:dyDescent="0.25">
      <c r="A47" s="182">
        <v>20500</v>
      </c>
      <c r="B47" s="4">
        <f t="shared" si="0"/>
        <v>1708.3333333333333</v>
      </c>
      <c r="C47" s="4">
        <f>MAX('TANF-VIEW'!L50,'TANF-VIEW'!T50)</f>
        <v>0</v>
      </c>
      <c r="D47" s="4">
        <f>'Total income package'!$D$80</f>
        <v>0</v>
      </c>
      <c r="E47" s="4">
        <f>'Total income package'!$H$61+'Total income package'!$F$66</f>
        <v>100</v>
      </c>
      <c r="F47" s="4">
        <f t="shared" si="3"/>
        <v>1808.3333333333333</v>
      </c>
      <c r="G47" s="181" t="str">
        <f t="shared" si="4"/>
        <v>Yes</v>
      </c>
      <c r="H47" s="3">
        <f t="shared" si="5"/>
        <v>40</v>
      </c>
      <c r="I47" s="3">
        <f t="shared" si="6"/>
        <v>0</v>
      </c>
      <c r="J47" s="3">
        <f t="shared" si="1"/>
        <v>1768.3333333333333</v>
      </c>
      <c r="K47" s="3">
        <f t="shared" si="7"/>
        <v>530.5</v>
      </c>
      <c r="L47" s="3">
        <f t="shared" si="2"/>
        <v>180.83333333333334</v>
      </c>
      <c r="M47" s="3">
        <v>50</v>
      </c>
      <c r="N47" s="3">
        <f t="shared" si="8"/>
        <v>530.5</v>
      </c>
      <c r="O47" s="182" cm="1">
        <f t="array" ref="O47">_xlfn.IFS($G$2=1,VLOOKUP('Total income package'!$B$3,'Location specific data'!$A$3:$W176,20,FALSE),$G$2=2,VLOOKUP('Total income package'!$B$3,'Location specific data'!$A$3:$W$135,21,FALSE),$G$2=3,VLOOKUP('Total income package'!$B$3,'Location specific data'!$A$3:$W$135,22,FALSE),$G$2=4,VLOOKUP('Total income package'!$B$3,'Location specific data'!$A$3:$W$135,23,FALSE),$G$2=5,VLOOKUP('Total income package'!$B$3,'Location specific data'!$A$3:$W$135,24,FALSE))</f>
        <v>851</v>
      </c>
      <c r="P47" s="182" cm="1">
        <f t="array" ref="P47">_xlfn.IFS($G$2=1,VLOOKUP('Total income package'!$B$3,'Location specific data'!$A$3:$AB$135,25,FALSE),$G$2=2,VLOOKUP('Total income package'!$B$3,'Location specific data'!$A$3:$AB$135,26,FALSE),$G$2=3,VLOOKUP('Total income package'!$B$3,'Location specific data'!$A$3:$AB$135,27,FALSE),$G$2=4,VLOOKUP('Total income package'!$B$3,'Location specific data'!$A$3:$AB$135,28,FALSE),$G$2=5,VLOOKUP('Total income package'!$B$3,'Location specific data'!$A$3:$AB$135,29,FALSE))</f>
        <v>995</v>
      </c>
      <c r="Q47" s="337">
        <f>IF(AND(G47="Yes",'Total income package'!$A$14=TRUE,P47-N47&gt;0),P47-N47,0)</f>
        <v>464.5</v>
      </c>
      <c r="R47" s="29"/>
    </row>
    <row r="48" spans="1:18" x14ac:dyDescent="0.25">
      <c r="A48" s="182">
        <v>21000</v>
      </c>
      <c r="B48" s="4">
        <f t="shared" si="0"/>
        <v>1750</v>
      </c>
      <c r="C48" s="4">
        <f>MAX('TANF-VIEW'!L51,'TANF-VIEW'!T51)</f>
        <v>0</v>
      </c>
      <c r="D48" s="4">
        <f>'Total income package'!$D$80</f>
        <v>0</v>
      </c>
      <c r="E48" s="4">
        <f>'Total income package'!$H$61+'Total income package'!$F$66</f>
        <v>100</v>
      </c>
      <c r="F48" s="4">
        <f t="shared" si="3"/>
        <v>1850</v>
      </c>
      <c r="G48" s="181" t="str">
        <f t="shared" si="4"/>
        <v>Yes</v>
      </c>
      <c r="H48" s="3">
        <f t="shared" si="5"/>
        <v>40</v>
      </c>
      <c r="I48" s="3">
        <f t="shared" si="6"/>
        <v>0</v>
      </c>
      <c r="J48" s="3">
        <f t="shared" si="1"/>
        <v>1810</v>
      </c>
      <c r="K48" s="3">
        <f t="shared" si="7"/>
        <v>543</v>
      </c>
      <c r="L48" s="3">
        <f t="shared" si="2"/>
        <v>185</v>
      </c>
      <c r="M48" s="3">
        <v>50</v>
      </c>
      <c r="N48" s="3">
        <f t="shared" si="8"/>
        <v>543</v>
      </c>
      <c r="O48" s="182" cm="1">
        <f t="array" ref="O48">_xlfn.IFS($G$2=1,VLOOKUP('Total income package'!$B$3,'Location specific data'!$A$3:$W177,20,FALSE),$G$2=2,VLOOKUP('Total income package'!$B$3,'Location specific data'!$A$3:$W$135,21,FALSE),$G$2=3,VLOOKUP('Total income package'!$B$3,'Location specific data'!$A$3:$W$135,22,FALSE),$G$2=4,VLOOKUP('Total income package'!$B$3,'Location specific data'!$A$3:$W$135,23,FALSE),$G$2=5,VLOOKUP('Total income package'!$B$3,'Location specific data'!$A$3:$W$135,24,FALSE))</f>
        <v>851</v>
      </c>
      <c r="P48" s="182" cm="1">
        <f t="array" ref="P48">_xlfn.IFS($G$2=1,VLOOKUP('Total income package'!$B$3,'Location specific data'!$A$3:$AB$135,25,FALSE),$G$2=2,VLOOKUP('Total income package'!$B$3,'Location specific data'!$A$3:$AB$135,26,FALSE),$G$2=3,VLOOKUP('Total income package'!$B$3,'Location specific data'!$A$3:$AB$135,27,FALSE),$G$2=4,VLOOKUP('Total income package'!$B$3,'Location specific data'!$A$3:$AB$135,28,FALSE),$G$2=5,VLOOKUP('Total income package'!$B$3,'Location specific data'!$A$3:$AB$135,29,FALSE))</f>
        <v>995</v>
      </c>
      <c r="Q48" s="337">
        <f>IF(AND(G48="Yes",'Total income package'!$A$14=TRUE,P48-N48&gt;0),P48-N48,0)</f>
        <v>452</v>
      </c>
      <c r="R48" s="29"/>
    </row>
    <row r="49" spans="1:18" x14ac:dyDescent="0.25">
      <c r="A49" s="182">
        <v>21500</v>
      </c>
      <c r="B49" s="4">
        <f t="shared" si="0"/>
        <v>1791.6666666666667</v>
      </c>
      <c r="C49" s="4">
        <f>MAX('TANF-VIEW'!L52,'TANF-VIEW'!T52)</f>
        <v>0</v>
      </c>
      <c r="D49" s="4">
        <f>'Total income package'!$D$80</f>
        <v>0</v>
      </c>
      <c r="E49" s="4">
        <f>'Total income package'!$H$61+'Total income package'!$F$66</f>
        <v>100</v>
      </c>
      <c r="F49" s="4">
        <f t="shared" si="3"/>
        <v>1891.6666666666667</v>
      </c>
      <c r="G49" s="181" t="str">
        <f t="shared" si="4"/>
        <v>Yes</v>
      </c>
      <c r="H49" s="3">
        <f t="shared" si="5"/>
        <v>40</v>
      </c>
      <c r="I49" s="3">
        <f t="shared" si="6"/>
        <v>0</v>
      </c>
      <c r="J49" s="3">
        <f t="shared" si="1"/>
        <v>1851.6666666666667</v>
      </c>
      <c r="K49" s="3">
        <f t="shared" si="7"/>
        <v>555.5</v>
      </c>
      <c r="L49" s="3">
        <f t="shared" si="2"/>
        <v>189.16666666666669</v>
      </c>
      <c r="M49" s="3">
        <v>50</v>
      </c>
      <c r="N49" s="3">
        <f t="shared" si="8"/>
        <v>555.5</v>
      </c>
      <c r="O49" s="182" cm="1">
        <f t="array" ref="O49">_xlfn.IFS($G$2=1,VLOOKUP('Total income package'!$B$3,'Location specific data'!$A$3:$W178,20,FALSE),$G$2=2,VLOOKUP('Total income package'!$B$3,'Location specific data'!$A$3:$W$135,21,FALSE),$G$2=3,VLOOKUP('Total income package'!$B$3,'Location specific data'!$A$3:$W$135,22,FALSE),$G$2=4,VLOOKUP('Total income package'!$B$3,'Location specific data'!$A$3:$W$135,23,FALSE),$G$2=5,VLOOKUP('Total income package'!$B$3,'Location specific data'!$A$3:$W$135,24,FALSE))</f>
        <v>851</v>
      </c>
      <c r="P49" s="182" cm="1">
        <f t="array" ref="P49">_xlfn.IFS($G$2=1,VLOOKUP('Total income package'!$B$3,'Location specific data'!$A$3:$AB$135,25,FALSE),$G$2=2,VLOOKUP('Total income package'!$B$3,'Location specific data'!$A$3:$AB$135,26,FALSE),$G$2=3,VLOOKUP('Total income package'!$B$3,'Location specific data'!$A$3:$AB$135,27,FALSE),$G$2=4,VLOOKUP('Total income package'!$B$3,'Location specific data'!$A$3:$AB$135,28,FALSE),$G$2=5,VLOOKUP('Total income package'!$B$3,'Location specific data'!$A$3:$AB$135,29,FALSE))</f>
        <v>995</v>
      </c>
      <c r="Q49" s="337">
        <f>IF(AND(G49="Yes",'Total income package'!$A$14=TRUE,P49-N49&gt;0),P49-N49,0)</f>
        <v>439.5</v>
      </c>
      <c r="R49" s="29"/>
    </row>
    <row r="50" spans="1:18" x14ac:dyDescent="0.25">
      <c r="A50" s="182">
        <v>22000</v>
      </c>
      <c r="B50" s="4">
        <f t="shared" si="0"/>
        <v>1833.3333333333333</v>
      </c>
      <c r="C50" s="4">
        <f>MAX('TANF-VIEW'!L53,'TANF-VIEW'!T53)</f>
        <v>0</v>
      </c>
      <c r="D50" s="4">
        <f>'Total income package'!$D$80</f>
        <v>0</v>
      </c>
      <c r="E50" s="4">
        <f>'Total income package'!$H$61+'Total income package'!$F$66</f>
        <v>100</v>
      </c>
      <c r="F50" s="4">
        <f t="shared" si="3"/>
        <v>1933.3333333333333</v>
      </c>
      <c r="G50" s="181" t="str">
        <f t="shared" si="4"/>
        <v>Yes</v>
      </c>
      <c r="H50" s="3">
        <f t="shared" si="5"/>
        <v>40</v>
      </c>
      <c r="I50" s="3">
        <f t="shared" si="6"/>
        <v>0</v>
      </c>
      <c r="J50" s="3">
        <f t="shared" si="1"/>
        <v>1893.3333333333333</v>
      </c>
      <c r="K50" s="3">
        <f t="shared" si="7"/>
        <v>568</v>
      </c>
      <c r="L50" s="3">
        <f t="shared" si="2"/>
        <v>193.33333333333334</v>
      </c>
      <c r="M50" s="3">
        <v>50</v>
      </c>
      <c r="N50" s="3">
        <f t="shared" si="8"/>
        <v>568</v>
      </c>
      <c r="O50" s="182" cm="1">
        <f t="array" ref="O50">_xlfn.IFS($G$2=1,VLOOKUP('Total income package'!$B$3,'Location specific data'!$A$3:$W179,20,FALSE),$G$2=2,VLOOKUP('Total income package'!$B$3,'Location specific data'!$A$3:$W$135,21,FALSE),$G$2=3,VLOOKUP('Total income package'!$B$3,'Location specific data'!$A$3:$W$135,22,FALSE),$G$2=4,VLOOKUP('Total income package'!$B$3,'Location specific data'!$A$3:$W$135,23,FALSE),$G$2=5,VLOOKUP('Total income package'!$B$3,'Location specific data'!$A$3:$W$135,24,FALSE))</f>
        <v>851</v>
      </c>
      <c r="P50" s="182" cm="1">
        <f t="array" ref="P50">_xlfn.IFS($G$2=1,VLOOKUP('Total income package'!$B$3,'Location specific data'!$A$3:$AB$135,25,FALSE),$G$2=2,VLOOKUP('Total income package'!$B$3,'Location specific data'!$A$3:$AB$135,26,FALSE),$G$2=3,VLOOKUP('Total income package'!$B$3,'Location specific data'!$A$3:$AB$135,27,FALSE),$G$2=4,VLOOKUP('Total income package'!$B$3,'Location specific data'!$A$3:$AB$135,28,FALSE),$G$2=5,VLOOKUP('Total income package'!$B$3,'Location specific data'!$A$3:$AB$135,29,FALSE))</f>
        <v>995</v>
      </c>
      <c r="Q50" s="337">
        <f>IF(AND(G50="Yes",'Total income package'!$A$14=TRUE,P50-N50&gt;0),P50-N50,0)</f>
        <v>427</v>
      </c>
      <c r="R50" s="29"/>
    </row>
    <row r="51" spans="1:18" x14ac:dyDescent="0.25">
      <c r="A51" s="182">
        <v>22500</v>
      </c>
      <c r="B51" s="4">
        <f t="shared" si="0"/>
        <v>1875</v>
      </c>
      <c r="C51" s="4">
        <f>MAX('TANF-VIEW'!L54,'TANF-VIEW'!T54)</f>
        <v>0</v>
      </c>
      <c r="D51" s="4">
        <f>'Total income package'!$D$80</f>
        <v>0</v>
      </c>
      <c r="E51" s="4">
        <f>'Total income package'!$H$61+'Total income package'!$F$66</f>
        <v>100</v>
      </c>
      <c r="F51" s="4">
        <f t="shared" si="3"/>
        <v>1975</v>
      </c>
      <c r="G51" s="181" t="str">
        <f t="shared" si="4"/>
        <v>Yes</v>
      </c>
      <c r="H51" s="3">
        <f t="shared" si="5"/>
        <v>40</v>
      </c>
      <c r="I51" s="3">
        <f t="shared" si="6"/>
        <v>0</v>
      </c>
      <c r="J51" s="3">
        <f t="shared" si="1"/>
        <v>1935</v>
      </c>
      <c r="K51" s="3">
        <f t="shared" si="7"/>
        <v>580.5</v>
      </c>
      <c r="L51" s="3">
        <f t="shared" si="2"/>
        <v>197.5</v>
      </c>
      <c r="M51" s="3">
        <v>50</v>
      </c>
      <c r="N51" s="3">
        <f t="shared" si="8"/>
        <v>580.5</v>
      </c>
      <c r="O51" s="182" cm="1">
        <f t="array" ref="O51">_xlfn.IFS($G$2=1,VLOOKUP('Total income package'!$B$3,'Location specific data'!$A$3:$W180,20,FALSE),$G$2=2,VLOOKUP('Total income package'!$B$3,'Location specific data'!$A$3:$W$135,21,FALSE),$G$2=3,VLOOKUP('Total income package'!$B$3,'Location specific data'!$A$3:$W$135,22,FALSE),$G$2=4,VLOOKUP('Total income package'!$B$3,'Location specific data'!$A$3:$W$135,23,FALSE),$G$2=5,VLOOKUP('Total income package'!$B$3,'Location specific data'!$A$3:$W$135,24,FALSE))</f>
        <v>851</v>
      </c>
      <c r="P51" s="182" cm="1">
        <f t="array" ref="P51">_xlfn.IFS($G$2=1,VLOOKUP('Total income package'!$B$3,'Location specific data'!$A$3:$AB$135,25,FALSE),$G$2=2,VLOOKUP('Total income package'!$B$3,'Location specific data'!$A$3:$AB$135,26,FALSE),$G$2=3,VLOOKUP('Total income package'!$B$3,'Location specific data'!$A$3:$AB$135,27,FALSE),$G$2=4,VLOOKUP('Total income package'!$B$3,'Location specific data'!$A$3:$AB$135,28,FALSE),$G$2=5,VLOOKUP('Total income package'!$B$3,'Location specific data'!$A$3:$AB$135,29,FALSE))</f>
        <v>995</v>
      </c>
      <c r="Q51" s="337">
        <f>IF(AND(G51="Yes",'Total income package'!$A$14=TRUE,P51-N51&gt;0),P51-N51,0)</f>
        <v>414.5</v>
      </c>
      <c r="R51" s="29"/>
    </row>
    <row r="52" spans="1:18" x14ac:dyDescent="0.25">
      <c r="A52" s="182">
        <v>23000</v>
      </c>
      <c r="B52" s="4">
        <f t="shared" si="0"/>
        <v>1916.6666666666667</v>
      </c>
      <c r="C52" s="4">
        <f>MAX('TANF-VIEW'!L55,'TANF-VIEW'!T55)</f>
        <v>0</v>
      </c>
      <c r="D52" s="4">
        <f>'Total income package'!$D$80</f>
        <v>0</v>
      </c>
      <c r="E52" s="4">
        <f>'Total income package'!$H$61+'Total income package'!$F$66</f>
        <v>100</v>
      </c>
      <c r="F52" s="4">
        <f t="shared" si="3"/>
        <v>2016.6666666666667</v>
      </c>
      <c r="G52" s="181" t="str">
        <f t="shared" si="4"/>
        <v>Yes</v>
      </c>
      <c r="H52" s="3">
        <f t="shared" si="5"/>
        <v>40</v>
      </c>
      <c r="I52" s="3">
        <f t="shared" si="6"/>
        <v>0</v>
      </c>
      <c r="J52" s="3">
        <f t="shared" si="1"/>
        <v>1976.6666666666667</v>
      </c>
      <c r="K52" s="3">
        <f t="shared" si="7"/>
        <v>593</v>
      </c>
      <c r="L52" s="3">
        <f t="shared" si="2"/>
        <v>201.66666666666669</v>
      </c>
      <c r="M52" s="3">
        <v>50</v>
      </c>
      <c r="N52" s="3">
        <f t="shared" si="8"/>
        <v>593</v>
      </c>
      <c r="O52" s="182" cm="1">
        <f t="array" ref="O52">_xlfn.IFS($G$2=1,VLOOKUP('Total income package'!$B$3,'Location specific data'!$A$3:$W181,20,FALSE),$G$2=2,VLOOKUP('Total income package'!$B$3,'Location specific data'!$A$3:$W$135,21,FALSE),$G$2=3,VLOOKUP('Total income package'!$B$3,'Location specific data'!$A$3:$W$135,22,FALSE),$G$2=4,VLOOKUP('Total income package'!$B$3,'Location specific data'!$A$3:$W$135,23,FALSE),$G$2=5,VLOOKUP('Total income package'!$B$3,'Location specific data'!$A$3:$W$135,24,FALSE))</f>
        <v>851</v>
      </c>
      <c r="P52" s="182" cm="1">
        <f t="array" ref="P52">_xlfn.IFS($G$2=1,VLOOKUP('Total income package'!$B$3,'Location specific data'!$A$3:$AB$135,25,FALSE),$G$2=2,VLOOKUP('Total income package'!$B$3,'Location specific data'!$A$3:$AB$135,26,FALSE),$G$2=3,VLOOKUP('Total income package'!$B$3,'Location specific data'!$A$3:$AB$135,27,FALSE),$G$2=4,VLOOKUP('Total income package'!$B$3,'Location specific data'!$A$3:$AB$135,28,FALSE),$G$2=5,VLOOKUP('Total income package'!$B$3,'Location specific data'!$A$3:$AB$135,29,FALSE))</f>
        <v>995</v>
      </c>
      <c r="Q52" s="337">
        <f>IF(AND(G52="Yes",'Total income package'!$A$14=TRUE,P52-N52&gt;0),P52-N52,0)</f>
        <v>402</v>
      </c>
      <c r="R52" s="29"/>
    </row>
    <row r="53" spans="1:18" x14ac:dyDescent="0.25">
      <c r="A53" s="182">
        <v>23500</v>
      </c>
      <c r="B53" s="4">
        <f t="shared" si="0"/>
        <v>1958.3333333333333</v>
      </c>
      <c r="C53" s="4">
        <f>MAX('TANF-VIEW'!L56,'TANF-VIEW'!T56)</f>
        <v>0</v>
      </c>
      <c r="D53" s="4">
        <f>'Total income package'!$D$80</f>
        <v>0</v>
      </c>
      <c r="E53" s="4">
        <f>'Total income package'!$H$61+'Total income package'!$F$66</f>
        <v>100</v>
      </c>
      <c r="F53" s="4">
        <f t="shared" si="3"/>
        <v>2058.333333333333</v>
      </c>
      <c r="G53" s="181" t="str">
        <f t="shared" si="4"/>
        <v>Yes</v>
      </c>
      <c r="H53" s="3">
        <f t="shared" si="5"/>
        <v>40</v>
      </c>
      <c r="I53" s="3">
        <f t="shared" si="6"/>
        <v>0</v>
      </c>
      <c r="J53" s="3">
        <f t="shared" si="1"/>
        <v>2018.333333333333</v>
      </c>
      <c r="K53" s="3">
        <f t="shared" si="7"/>
        <v>605.49999999999989</v>
      </c>
      <c r="L53" s="3">
        <f t="shared" si="2"/>
        <v>205.83333333333331</v>
      </c>
      <c r="M53" s="3">
        <v>50</v>
      </c>
      <c r="N53" s="3">
        <f t="shared" si="8"/>
        <v>605.49999999999989</v>
      </c>
      <c r="O53" s="182" cm="1">
        <f t="array" ref="O53">_xlfn.IFS($G$2=1,VLOOKUP('Total income package'!$B$3,'Location specific data'!$A$3:$W182,20,FALSE),$G$2=2,VLOOKUP('Total income package'!$B$3,'Location specific data'!$A$3:$W$135,21,FALSE),$G$2=3,VLOOKUP('Total income package'!$B$3,'Location specific data'!$A$3:$W$135,22,FALSE),$G$2=4,VLOOKUP('Total income package'!$B$3,'Location specific data'!$A$3:$W$135,23,FALSE),$G$2=5,VLOOKUP('Total income package'!$B$3,'Location specific data'!$A$3:$W$135,24,FALSE))</f>
        <v>851</v>
      </c>
      <c r="P53" s="182" cm="1">
        <f t="array" ref="P53">_xlfn.IFS($G$2=1,VLOOKUP('Total income package'!$B$3,'Location specific data'!$A$3:$AB$135,25,FALSE),$G$2=2,VLOOKUP('Total income package'!$B$3,'Location specific data'!$A$3:$AB$135,26,FALSE),$G$2=3,VLOOKUP('Total income package'!$B$3,'Location specific data'!$A$3:$AB$135,27,FALSE),$G$2=4,VLOOKUP('Total income package'!$B$3,'Location specific data'!$A$3:$AB$135,28,FALSE),$G$2=5,VLOOKUP('Total income package'!$B$3,'Location specific data'!$A$3:$AB$135,29,FALSE))</f>
        <v>995</v>
      </c>
      <c r="Q53" s="337">
        <f>IF(AND(G53="Yes",'Total income package'!$A$14=TRUE,P53-N53&gt;0),P53-N53,0)</f>
        <v>389.50000000000011</v>
      </c>
      <c r="R53" s="29"/>
    </row>
    <row r="54" spans="1:18" x14ac:dyDescent="0.25">
      <c r="A54" s="182">
        <v>24000</v>
      </c>
      <c r="B54" s="4">
        <f t="shared" si="0"/>
        <v>2000</v>
      </c>
      <c r="C54" s="4">
        <f>MAX('TANF-VIEW'!L57,'TANF-VIEW'!T57)</f>
        <v>0</v>
      </c>
      <c r="D54" s="4">
        <f>'Total income package'!$D$80</f>
        <v>0</v>
      </c>
      <c r="E54" s="4">
        <f>'Total income package'!$H$61+'Total income package'!$F$66</f>
        <v>100</v>
      </c>
      <c r="F54" s="4">
        <f t="shared" si="3"/>
        <v>2100</v>
      </c>
      <c r="G54" s="181" t="str">
        <f t="shared" si="4"/>
        <v>Yes</v>
      </c>
      <c r="H54" s="3">
        <f t="shared" si="5"/>
        <v>40</v>
      </c>
      <c r="I54" s="3">
        <f t="shared" si="6"/>
        <v>0</v>
      </c>
      <c r="J54" s="3">
        <f t="shared" si="1"/>
        <v>2060</v>
      </c>
      <c r="K54" s="3">
        <f t="shared" si="7"/>
        <v>618</v>
      </c>
      <c r="L54" s="3">
        <f t="shared" si="2"/>
        <v>210</v>
      </c>
      <c r="M54" s="3">
        <v>50</v>
      </c>
      <c r="N54" s="3">
        <f t="shared" si="8"/>
        <v>618</v>
      </c>
      <c r="O54" s="182" cm="1">
        <f t="array" ref="O54">_xlfn.IFS($G$2=1,VLOOKUP('Total income package'!$B$3,'Location specific data'!$A$3:$W183,20,FALSE),$G$2=2,VLOOKUP('Total income package'!$B$3,'Location specific data'!$A$3:$W$135,21,FALSE),$G$2=3,VLOOKUP('Total income package'!$B$3,'Location specific data'!$A$3:$W$135,22,FALSE),$G$2=4,VLOOKUP('Total income package'!$B$3,'Location specific data'!$A$3:$W$135,23,FALSE),$G$2=5,VLOOKUP('Total income package'!$B$3,'Location specific data'!$A$3:$W$135,24,FALSE))</f>
        <v>851</v>
      </c>
      <c r="P54" s="182" cm="1">
        <f t="array" ref="P54">_xlfn.IFS($G$2=1,VLOOKUP('Total income package'!$B$3,'Location specific data'!$A$3:$AB$135,25,FALSE),$G$2=2,VLOOKUP('Total income package'!$B$3,'Location specific data'!$A$3:$AB$135,26,FALSE),$G$2=3,VLOOKUP('Total income package'!$B$3,'Location specific data'!$A$3:$AB$135,27,FALSE),$G$2=4,VLOOKUP('Total income package'!$B$3,'Location specific data'!$A$3:$AB$135,28,FALSE),$G$2=5,VLOOKUP('Total income package'!$B$3,'Location specific data'!$A$3:$AB$135,29,FALSE))</f>
        <v>995</v>
      </c>
      <c r="Q54" s="337">
        <f>IF(AND(G54="Yes",'Total income package'!$A$14=TRUE,P54-N54&gt;0),P54-N54,0)</f>
        <v>377</v>
      </c>
      <c r="R54" s="29"/>
    </row>
    <row r="55" spans="1:18" x14ac:dyDescent="0.25">
      <c r="A55" s="182">
        <v>24500</v>
      </c>
      <c r="B55" s="4">
        <f t="shared" si="0"/>
        <v>2041.6666666666667</v>
      </c>
      <c r="C55" s="4">
        <f>MAX('TANF-VIEW'!L58,'TANF-VIEW'!T58)</f>
        <v>0</v>
      </c>
      <c r="D55" s="4">
        <f>'Total income package'!$D$80</f>
        <v>0</v>
      </c>
      <c r="E55" s="4">
        <f>'Total income package'!$H$61+'Total income package'!$F$66</f>
        <v>100</v>
      </c>
      <c r="F55" s="4">
        <f t="shared" si="3"/>
        <v>2141.666666666667</v>
      </c>
      <c r="G55" s="181" t="str">
        <f t="shared" si="4"/>
        <v>Yes</v>
      </c>
      <c r="H55" s="3">
        <f t="shared" si="5"/>
        <v>40</v>
      </c>
      <c r="I55" s="3">
        <f t="shared" si="6"/>
        <v>0</v>
      </c>
      <c r="J55" s="3">
        <f t="shared" si="1"/>
        <v>2101.666666666667</v>
      </c>
      <c r="K55" s="3">
        <f t="shared" si="7"/>
        <v>630.50000000000011</v>
      </c>
      <c r="L55" s="3">
        <f t="shared" si="2"/>
        <v>214.16666666666671</v>
      </c>
      <c r="M55" s="3">
        <v>50</v>
      </c>
      <c r="N55" s="3">
        <f t="shared" si="8"/>
        <v>630.50000000000011</v>
      </c>
      <c r="O55" s="182" cm="1">
        <f t="array" ref="O55">_xlfn.IFS($G$2=1,VLOOKUP('Total income package'!$B$3,'Location specific data'!$A$3:$W184,20,FALSE),$G$2=2,VLOOKUP('Total income package'!$B$3,'Location specific data'!$A$3:$W$135,21,FALSE),$G$2=3,VLOOKUP('Total income package'!$B$3,'Location specific data'!$A$3:$W$135,22,FALSE),$G$2=4,VLOOKUP('Total income package'!$B$3,'Location specific data'!$A$3:$W$135,23,FALSE),$G$2=5,VLOOKUP('Total income package'!$B$3,'Location specific data'!$A$3:$W$135,24,FALSE))</f>
        <v>851</v>
      </c>
      <c r="P55" s="182" cm="1">
        <f t="array" ref="P55">_xlfn.IFS($G$2=1,VLOOKUP('Total income package'!$B$3,'Location specific data'!$A$3:$AB$135,25,FALSE),$G$2=2,VLOOKUP('Total income package'!$B$3,'Location specific data'!$A$3:$AB$135,26,FALSE),$G$2=3,VLOOKUP('Total income package'!$B$3,'Location specific data'!$A$3:$AB$135,27,FALSE),$G$2=4,VLOOKUP('Total income package'!$B$3,'Location specific data'!$A$3:$AB$135,28,FALSE),$G$2=5,VLOOKUP('Total income package'!$B$3,'Location specific data'!$A$3:$AB$135,29,FALSE))</f>
        <v>995</v>
      </c>
      <c r="Q55" s="337">
        <f>IF(AND(G55="Yes",'Total income package'!$A$14=TRUE,P55-N55&gt;0),P55-N55,0)</f>
        <v>364.49999999999989</v>
      </c>
      <c r="R55" s="29"/>
    </row>
    <row r="56" spans="1:18" x14ac:dyDescent="0.25">
      <c r="A56" s="182">
        <v>25000</v>
      </c>
      <c r="B56" s="4">
        <f t="shared" si="0"/>
        <v>2083.3333333333335</v>
      </c>
      <c r="C56" s="4">
        <f>MAX('TANF-VIEW'!L59,'TANF-VIEW'!T59)</f>
        <v>0</v>
      </c>
      <c r="D56" s="4">
        <f>'Total income package'!$D$80</f>
        <v>0</v>
      </c>
      <c r="E56" s="4">
        <f>'Total income package'!$H$61+'Total income package'!$F$66</f>
        <v>100</v>
      </c>
      <c r="F56" s="4">
        <f t="shared" si="3"/>
        <v>2183.3333333333335</v>
      </c>
      <c r="G56" s="181" t="str">
        <f t="shared" si="4"/>
        <v>Yes</v>
      </c>
      <c r="H56" s="3">
        <f t="shared" si="5"/>
        <v>40</v>
      </c>
      <c r="I56" s="3">
        <f t="shared" si="6"/>
        <v>0</v>
      </c>
      <c r="J56" s="3">
        <f t="shared" si="1"/>
        <v>2143.3333333333335</v>
      </c>
      <c r="K56" s="3">
        <f t="shared" si="7"/>
        <v>643</v>
      </c>
      <c r="L56" s="3">
        <f t="shared" si="2"/>
        <v>218.33333333333337</v>
      </c>
      <c r="M56" s="3">
        <v>50</v>
      </c>
      <c r="N56" s="3">
        <f t="shared" si="8"/>
        <v>643</v>
      </c>
      <c r="O56" s="182" cm="1">
        <f t="array" ref="O56">_xlfn.IFS($G$2=1,VLOOKUP('Total income package'!$B$3,'Location specific data'!$A$3:$W185,20,FALSE),$G$2=2,VLOOKUP('Total income package'!$B$3,'Location specific data'!$A$3:$W$135,21,FALSE),$G$2=3,VLOOKUP('Total income package'!$B$3,'Location specific data'!$A$3:$W$135,22,FALSE),$G$2=4,VLOOKUP('Total income package'!$B$3,'Location specific data'!$A$3:$W$135,23,FALSE),$G$2=5,VLOOKUP('Total income package'!$B$3,'Location specific data'!$A$3:$W$135,24,FALSE))</f>
        <v>851</v>
      </c>
      <c r="P56" s="182" cm="1">
        <f t="array" ref="P56">_xlfn.IFS($G$2=1,VLOOKUP('Total income package'!$B$3,'Location specific data'!$A$3:$AB$135,25,FALSE),$G$2=2,VLOOKUP('Total income package'!$B$3,'Location specific data'!$A$3:$AB$135,26,FALSE),$G$2=3,VLOOKUP('Total income package'!$B$3,'Location specific data'!$A$3:$AB$135,27,FALSE),$G$2=4,VLOOKUP('Total income package'!$B$3,'Location specific data'!$A$3:$AB$135,28,FALSE),$G$2=5,VLOOKUP('Total income package'!$B$3,'Location specific data'!$A$3:$AB$135,29,FALSE))</f>
        <v>995</v>
      </c>
      <c r="Q56" s="337">
        <f>IF(AND(G56="Yes",'Total income package'!$A$14=TRUE,P56-N56&gt;0),P56-N56,0)</f>
        <v>352</v>
      </c>
      <c r="R56" s="29"/>
    </row>
    <row r="57" spans="1:18" x14ac:dyDescent="0.25">
      <c r="A57" s="182">
        <v>25500</v>
      </c>
      <c r="B57" s="4">
        <f t="shared" si="0"/>
        <v>2125</v>
      </c>
      <c r="C57" s="4">
        <f>MAX('TANF-VIEW'!L60,'TANF-VIEW'!T60)</f>
        <v>0</v>
      </c>
      <c r="D57" s="4">
        <f>'Total income package'!$D$80</f>
        <v>0</v>
      </c>
      <c r="E57" s="4">
        <f>'Total income package'!$H$61+'Total income package'!$F$66</f>
        <v>100</v>
      </c>
      <c r="F57" s="4">
        <f t="shared" si="3"/>
        <v>2225</v>
      </c>
      <c r="G57" s="181" t="str">
        <f t="shared" si="4"/>
        <v>Yes</v>
      </c>
      <c r="H57" s="3">
        <f t="shared" si="5"/>
        <v>40</v>
      </c>
      <c r="I57" s="3">
        <f t="shared" si="6"/>
        <v>0</v>
      </c>
      <c r="J57" s="3">
        <f t="shared" si="1"/>
        <v>2185</v>
      </c>
      <c r="K57" s="3">
        <f t="shared" si="7"/>
        <v>655.5</v>
      </c>
      <c r="L57" s="3">
        <f t="shared" si="2"/>
        <v>222.5</v>
      </c>
      <c r="M57" s="3">
        <v>50</v>
      </c>
      <c r="N57" s="3">
        <f t="shared" si="8"/>
        <v>655.5</v>
      </c>
      <c r="O57" s="182" cm="1">
        <f t="array" ref="O57">_xlfn.IFS($G$2=1,VLOOKUP('Total income package'!$B$3,'Location specific data'!$A$3:$W186,20,FALSE),$G$2=2,VLOOKUP('Total income package'!$B$3,'Location specific data'!$A$3:$W$135,21,FALSE),$G$2=3,VLOOKUP('Total income package'!$B$3,'Location specific data'!$A$3:$W$135,22,FALSE),$G$2=4,VLOOKUP('Total income package'!$B$3,'Location specific data'!$A$3:$W$135,23,FALSE),$G$2=5,VLOOKUP('Total income package'!$B$3,'Location specific data'!$A$3:$W$135,24,FALSE))</f>
        <v>851</v>
      </c>
      <c r="P57" s="182" cm="1">
        <f t="array" ref="P57">_xlfn.IFS($G$2=1,VLOOKUP('Total income package'!$B$3,'Location specific data'!$A$3:$AB$135,25,FALSE),$G$2=2,VLOOKUP('Total income package'!$B$3,'Location specific data'!$A$3:$AB$135,26,FALSE),$G$2=3,VLOOKUP('Total income package'!$B$3,'Location specific data'!$A$3:$AB$135,27,FALSE),$G$2=4,VLOOKUP('Total income package'!$B$3,'Location specific data'!$A$3:$AB$135,28,FALSE),$G$2=5,VLOOKUP('Total income package'!$B$3,'Location specific data'!$A$3:$AB$135,29,FALSE))</f>
        <v>995</v>
      </c>
      <c r="Q57" s="337">
        <f>IF(AND(G57="Yes",'Total income package'!$A$14=TRUE,P57-N57&gt;0),P57-N57,0)</f>
        <v>339.5</v>
      </c>
      <c r="R57" s="29"/>
    </row>
    <row r="58" spans="1:18" x14ac:dyDescent="0.25">
      <c r="A58" s="182">
        <v>26000</v>
      </c>
      <c r="B58" s="4">
        <f t="shared" si="0"/>
        <v>2166.6666666666665</v>
      </c>
      <c r="C58" s="4">
        <f>MAX('TANF-VIEW'!L61,'TANF-VIEW'!T61)</f>
        <v>0</v>
      </c>
      <c r="D58" s="4">
        <f>'Total income package'!$D$80</f>
        <v>0</v>
      </c>
      <c r="E58" s="4">
        <f>'Total income package'!$H$61+'Total income package'!$F$66</f>
        <v>100</v>
      </c>
      <c r="F58" s="4">
        <f t="shared" si="3"/>
        <v>2266.6666666666665</v>
      </c>
      <c r="G58" s="181" t="str">
        <f t="shared" si="4"/>
        <v>Yes</v>
      </c>
      <c r="H58" s="3">
        <f t="shared" si="5"/>
        <v>40</v>
      </c>
      <c r="I58" s="3">
        <f t="shared" si="6"/>
        <v>0</v>
      </c>
      <c r="J58" s="3">
        <f t="shared" si="1"/>
        <v>2226.6666666666665</v>
      </c>
      <c r="K58" s="3">
        <f t="shared" si="7"/>
        <v>667.99999999999989</v>
      </c>
      <c r="L58" s="3">
        <f t="shared" si="2"/>
        <v>226.66666666666666</v>
      </c>
      <c r="M58" s="3">
        <v>50</v>
      </c>
      <c r="N58" s="3">
        <f t="shared" si="8"/>
        <v>667.99999999999989</v>
      </c>
      <c r="O58" s="182" cm="1">
        <f t="array" ref="O58">_xlfn.IFS($G$2=1,VLOOKUP('Total income package'!$B$3,'Location specific data'!$A$3:$W187,20,FALSE),$G$2=2,VLOOKUP('Total income package'!$B$3,'Location specific data'!$A$3:$W$135,21,FALSE),$G$2=3,VLOOKUP('Total income package'!$B$3,'Location specific data'!$A$3:$W$135,22,FALSE),$G$2=4,VLOOKUP('Total income package'!$B$3,'Location specific data'!$A$3:$W$135,23,FALSE),$G$2=5,VLOOKUP('Total income package'!$B$3,'Location specific data'!$A$3:$W$135,24,FALSE))</f>
        <v>851</v>
      </c>
      <c r="P58" s="182" cm="1">
        <f t="array" ref="P58">_xlfn.IFS($G$2=1,VLOOKUP('Total income package'!$B$3,'Location specific data'!$A$3:$AB$135,25,FALSE),$G$2=2,VLOOKUP('Total income package'!$B$3,'Location specific data'!$A$3:$AB$135,26,FALSE),$G$2=3,VLOOKUP('Total income package'!$B$3,'Location specific data'!$A$3:$AB$135,27,FALSE),$G$2=4,VLOOKUP('Total income package'!$B$3,'Location specific data'!$A$3:$AB$135,28,FALSE),$G$2=5,VLOOKUP('Total income package'!$B$3,'Location specific data'!$A$3:$AB$135,29,FALSE))</f>
        <v>995</v>
      </c>
      <c r="Q58" s="337">
        <f>IF(AND(G58="Yes",'Total income package'!$A$14=TRUE,P58-N58&gt;0),P58-N58,0)</f>
        <v>327.00000000000011</v>
      </c>
      <c r="R58" s="29"/>
    </row>
    <row r="59" spans="1:18" x14ac:dyDescent="0.25">
      <c r="A59" s="182">
        <v>26500</v>
      </c>
      <c r="B59" s="4">
        <f t="shared" si="0"/>
        <v>2208.3333333333335</v>
      </c>
      <c r="C59" s="4">
        <f>MAX('TANF-VIEW'!L62,'TANF-VIEW'!T62)</f>
        <v>0</v>
      </c>
      <c r="D59" s="4">
        <f>'Total income package'!$D$80</f>
        <v>0</v>
      </c>
      <c r="E59" s="4">
        <f>'Total income package'!$H$61+'Total income package'!$F$66</f>
        <v>100</v>
      </c>
      <c r="F59" s="4">
        <f t="shared" si="3"/>
        <v>2308.3333333333335</v>
      </c>
      <c r="G59" s="181" t="str">
        <f t="shared" si="4"/>
        <v>Yes</v>
      </c>
      <c r="H59" s="3">
        <f t="shared" si="5"/>
        <v>40</v>
      </c>
      <c r="I59" s="3">
        <f t="shared" si="6"/>
        <v>0</v>
      </c>
      <c r="J59" s="3">
        <f t="shared" si="1"/>
        <v>2268.3333333333335</v>
      </c>
      <c r="K59" s="3">
        <f t="shared" si="7"/>
        <v>680.5</v>
      </c>
      <c r="L59" s="3">
        <f t="shared" si="2"/>
        <v>230.83333333333337</v>
      </c>
      <c r="M59" s="3">
        <v>50</v>
      </c>
      <c r="N59" s="3">
        <f t="shared" si="8"/>
        <v>680.5</v>
      </c>
      <c r="O59" s="182" cm="1">
        <f t="array" ref="O59">_xlfn.IFS($G$2=1,VLOOKUP('Total income package'!$B$3,'Location specific data'!$A$3:$W188,20,FALSE),$G$2=2,VLOOKUP('Total income package'!$B$3,'Location specific data'!$A$3:$W$135,21,FALSE),$G$2=3,VLOOKUP('Total income package'!$B$3,'Location specific data'!$A$3:$W$135,22,FALSE),$G$2=4,VLOOKUP('Total income package'!$B$3,'Location specific data'!$A$3:$W$135,23,FALSE),$G$2=5,VLOOKUP('Total income package'!$B$3,'Location specific data'!$A$3:$W$135,24,FALSE))</f>
        <v>851</v>
      </c>
      <c r="P59" s="182" cm="1">
        <f t="array" ref="P59">_xlfn.IFS($G$2=1,VLOOKUP('Total income package'!$B$3,'Location specific data'!$A$3:$AB$135,25,FALSE),$G$2=2,VLOOKUP('Total income package'!$B$3,'Location specific data'!$A$3:$AB$135,26,FALSE),$G$2=3,VLOOKUP('Total income package'!$B$3,'Location specific data'!$A$3:$AB$135,27,FALSE),$G$2=4,VLOOKUP('Total income package'!$B$3,'Location specific data'!$A$3:$AB$135,28,FALSE),$G$2=5,VLOOKUP('Total income package'!$B$3,'Location specific data'!$A$3:$AB$135,29,FALSE))</f>
        <v>995</v>
      </c>
      <c r="Q59" s="337">
        <f>IF(AND(G59="Yes",'Total income package'!$A$14=TRUE,P59-N59&gt;0),P59-N59,0)</f>
        <v>314.5</v>
      </c>
      <c r="R59" s="29"/>
    </row>
    <row r="60" spans="1:18" x14ac:dyDescent="0.25">
      <c r="A60" s="182">
        <v>27000</v>
      </c>
      <c r="B60" s="4">
        <f t="shared" si="0"/>
        <v>2250</v>
      </c>
      <c r="C60" s="4">
        <f>MAX('TANF-VIEW'!L63,'TANF-VIEW'!T63)</f>
        <v>0</v>
      </c>
      <c r="D60" s="4">
        <f>'Total income package'!$D$80</f>
        <v>0</v>
      </c>
      <c r="E60" s="4">
        <f>'Total income package'!$H$61+'Total income package'!$F$66</f>
        <v>100</v>
      </c>
      <c r="F60" s="4">
        <f t="shared" si="3"/>
        <v>2350</v>
      </c>
      <c r="G60" s="181" t="str">
        <f t="shared" si="4"/>
        <v>Yes</v>
      </c>
      <c r="H60" s="3">
        <f t="shared" si="5"/>
        <v>40</v>
      </c>
      <c r="I60" s="3">
        <f t="shared" si="6"/>
        <v>0</v>
      </c>
      <c r="J60" s="3">
        <f t="shared" si="1"/>
        <v>2310</v>
      </c>
      <c r="K60" s="3">
        <f t="shared" si="7"/>
        <v>693</v>
      </c>
      <c r="L60" s="3">
        <f t="shared" si="2"/>
        <v>235</v>
      </c>
      <c r="M60" s="3">
        <v>50</v>
      </c>
      <c r="N60" s="3">
        <f t="shared" si="8"/>
        <v>693</v>
      </c>
      <c r="O60" s="182" cm="1">
        <f t="array" ref="O60">_xlfn.IFS($G$2=1,VLOOKUP('Total income package'!$B$3,'Location specific data'!$A$3:$W189,20,FALSE),$G$2=2,VLOOKUP('Total income package'!$B$3,'Location specific data'!$A$3:$W$135,21,FALSE),$G$2=3,VLOOKUP('Total income package'!$B$3,'Location specific data'!$A$3:$W$135,22,FALSE),$G$2=4,VLOOKUP('Total income package'!$B$3,'Location specific data'!$A$3:$W$135,23,FALSE),$G$2=5,VLOOKUP('Total income package'!$B$3,'Location specific data'!$A$3:$W$135,24,FALSE))</f>
        <v>851</v>
      </c>
      <c r="P60" s="182" cm="1">
        <f t="array" ref="P60">_xlfn.IFS($G$2=1,VLOOKUP('Total income package'!$B$3,'Location specific data'!$A$3:$AB$135,25,FALSE),$G$2=2,VLOOKUP('Total income package'!$B$3,'Location specific data'!$A$3:$AB$135,26,FALSE),$G$2=3,VLOOKUP('Total income package'!$B$3,'Location specific data'!$A$3:$AB$135,27,FALSE),$G$2=4,VLOOKUP('Total income package'!$B$3,'Location specific data'!$A$3:$AB$135,28,FALSE),$G$2=5,VLOOKUP('Total income package'!$B$3,'Location specific data'!$A$3:$AB$135,29,FALSE))</f>
        <v>995</v>
      </c>
      <c r="Q60" s="337">
        <f>IF(AND(G60="Yes",'Total income package'!$A$14=TRUE,P60-N60&gt;0),P60-N60,0)</f>
        <v>302</v>
      </c>
      <c r="R60" s="29"/>
    </row>
    <row r="61" spans="1:18" x14ac:dyDescent="0.25">
      <c r="A61" s="182">
        <v>27500</v>
      </c>
      <c r="B61" s="4">
        <f t="shared" si="0"/>
        <v>2291.6666666666665</v>
      </c>
      <c r="C61" s="4">
        <f>MAX('TANF-VIEW'!L64,'TANF-VIEW'!T64)</f>
        <v>0</v>
      </c>
      <c r="D61" s="4">
        <f>'Total income package'!$D$80</f>
        <v>0</v>
      </c>
      <c r="E61" s="4">
        <f>'Total income package'!$H$61+'Total income package'!$F$66</f>
        <v>100</v>
      </c>
      <c r="F61" s="4">
        <f t="shared" si="3"/>
        <v>2391.6666666666665</v>
      </c>
      <c r="G61" s="181" t="str">
        <f t="shared" si="4"/>
        <v>Yes</v>
      </c>
      <c r="H61" s="3">
        <f t="shared" si="5"/>
        <v>40</v>
      </c>
      <c r="I61" s="3">
        <f t="shared" si="6"/>
        <v>0</v>
      </c>
      <c r="J61" s="3">
        <f t="shared" si="1"/>
        <v>2351.6666666666665</v>
      </c>
      <c r="K61" s="3">
        <f t="shared" si="7"/>
        <v>705.49999999999989</v>
      </c>
      <c r="L61" s="3">
        <f t="shared" si="2"/>
        <v>239.16666666666666</v>
      </c>
      <c r="M61" s="3">
        <v>50</v>
      </c>
      <c r="N61" s="3">
        <f t="shared" si="8"/>
        <v>705.49999999999989</v>
      </c>
      <c r="O61" s="182" cm="1">
        <f t="array" ref="O61">_xlfn.IFS($G$2=1,VLOOKUP('Total income package'!$B$3,'Location specific data'!$A$3:$W190,20,FALSE),$G$2=2,VLOOKUP('Total income package'!$B$3,'Location specific data'!$A$3:$W$135,21,FALSE),$G$2=3,VLOOKUP('Total income package'!$B$3,'Location specific data'!$A$3:$W$135,22,FALSE),$G$2=4,VLOOKUP('Total income package'!$B$3,'Location specific data'!$A$3:$W$135,23,FALSE),$G$2=5,VLOOKUP('Total income package'!$B$3,'Location specific data'!$A$3:$W$135,24,FALSE))</f>
        <v>851</v>
      </c>
      <c r="P61" s="182" cm="1">
        <f t="array" ref="P61">_xlfn.IFS($G$2=1,VLOOKUP('Total income package'!$B$3,'Location specific data'!$A$3:$AB$135,25,FALSE),$G$2=2,VLOOKUP('Total income package'!$B$3,'Location specific data'!$A$3:$AB$135,26,FALSE),$G$2=3,VLOOKUP('Total income package'!$B$3,'Location specific data'!$A$3:$AB$135,27,FALSE),$G$2=4,VLOOKUP('Total income package'!$B$3,'Location specific data'!$A$3:$AB$135,28,FALSE),$G$2=5,VLOOKUP('Total income package'!$B$3,'Location specific data'!$A$3:$AB$135,29,FALSE))</f>
        <v>995</v>
      </c>
      <c r="Q61" s="337">
        <f>IF(AND(G61="Yes",'Total income package'!$A$14=TRUE,P61-N61&gt;0),P61-N61,0)</f>
        <v>289.50000000000011</v>
      </c>
      <c r="R61" s="29"/>
    </row>
    <row r="62" spans="1:18" x14ac:dyDescent="0.25">
      <c r="A62" s="182">
        <v>28000</v>
      </c>
      <c r="B62" s="4">
        <f t="shared" si="0"/>
        <v>2333.3333333333335</v>
      </c>
      <c r="C62" s="4">
        <f>MAX('TANF-VIEW'!L65,'TANF-VIEW'!T65)</f>
        <v>0</v>
      </c>
      <c r="D62" s="4">
        <f>'Total income package'!$D$80</f>
        <v>0</v>
      </c>
      <c r="E62" s="4">
        <f>'Total income package'!$H$61+'Total income package'!$F$66</f>
        <v>100</v>
      </c>
      <c r="F62" s="4">
        <f t="shared" si="3"/>
        <v>2433.3333333333335</v>
      </c>
      <c r="G62" s="181" t="str">
        <f t="shared" si="4"/>
        <v>Yes</v>
      </c>
      <c r="H62" s="3">
        <f t="shared" si="5"/>
        <v>40</v>
      </c>
      <c r="I62" s="3">
        <f t="shared" si="6"/>
        <v>0</v>
      </c>
      <c r="J62" s="3">
        <f t="shared" si="1"/>
        <v>2393.3333333333335</v>
      </c>
      <c r="K62" s="3">
        <f t="shared" si="7"/>
        <v>718</v>
      </c>
      <c r="L62" s="3">
        <f t="shared" si="2"/>
        <v>243.33333333333337</v>
      </c>
      <c r="M62" s="3">
        <v>50</v>
      </c>
      <c r="N62" s="3">
        <f t="shared" si="8"/>
        <v>718</v>
      </c>
      <c r="O62" s="182" cm="1">
        <f t="array" ref="O62">_xlfn.IFS($G$2=1,VLOOKUP('Total income package'!$B$3,'Location specific data'!$A$3:$W191,20,FALSE),$G$2=2,VLOOKUP('Total income package'!$B$3,'Location specific data'!$A$3:$W$135,21,FALSE),$G$2=3,VLOOKUP('Total income package'!$B$3,'Location specific data'!$A$3:$W$135,22,FALSE),$G$2=4,VLOOKUP('Total income package'!$B$3,'Location specific data'!$A$3:$W$135,23,FALSE),$G$2=5,VLOOKUP('Total income package'!$B$3,'Location specific data'!$A$3:$W$135,24,FALSE))</f>
        <v>851</v>
      </c>
      <c r="P62" s="182" cm="1">
        <f t="array" ref="P62">_xlfn.IFS($G$2=1,VLOOKUP('Total income package'!$B$3,'Location specific data'!$A$3:$AB$135,25,FALSE),$G$2=2,VLOOKUP('Total income package'!$B$3,'Location specific data'!$A$3:$AB$135,26,FALSE),$G$2=3,VLOOKUP('Total income package'!$B$3,'Location specific data'!$A$3:$AB$135,27,FALSE),$G$2=4,VLOOKUP('Total income package'!$B$3,'Location specific data'!$A$3:$AB$135,28,FALSE),$G$2=5,VLOOKUP('Total income package'!$B$3,'Location specific data'!$A$3:$AB$135,29,FALSE))</f>
        <v>995</v>
      </c>
      <c r="Q62" s="337">
        <f>IF(AND(G62="Yes",'Total income package'!$A$14=TRUE,P62-N62&gt;0),P62-N62,0)</f>
        <v>277</v>
      </c>
      <c r="R62" s="29"/>
    </row>
    <row r="63" spans="1:18" x14ac:dyDescent="0.25">
      <c r="A63" s="182">
        <v>28500</v>
      </c>
      <c r="B63" s="4">
        <f t="shared" si="0"/>
        <v>2375</v>
      </c>
      <c r="C63" s="4">
        <f>MAX('TANF-VIEW'!L66,'TANF-VIEW'!T66)</f>
        <v>0</v>
      </c>
      <c r="D63" s="4">
        <f>'Total income package'!$D$80</f>
        <v>0</v>
      </c>
      <c r="E63" s="4">
        <f>'Total income package'!$H$61+'Total income package'!$F$66</f>
        <v>100</v>
      </c>
      <c r="F63" s="4">
        <f t="shared" si="3"/>
        <v>2475</v>
      </c>
      <c r="G63" s="181" t="str">
        <f t="shared" si="4"/>
        <v>Yes</v>
      </c>
      <c r="H63" s="3">
        <f t="shared" si="5"/>
        <v>40</v>
      </c>
      <c r="I63" s="3">
        <f t="shared" si="6"/>
        <v>0</v>
      </c>
      <c r="J63" s="3">
        <f t="shared" si="1"/>
        <v>2435</v>
      </c>
      <c r="K63" s="3">
        <f t="shared" si="7"/>
        <v>730.5</v>
      </c>
      <c r="L63" s="3">
        <f t="shared" si="2"/>
        <v>247.5</v>
      </c>
      <c r="M63" s="3">
        <v>50</v>
      </c>
      <c r="N63" s="3">
        <f t="shared" si="8"/>
        <v>730.5</v>
      </c>
      <c r="O63" s="182" cm="1">
        <f t="array" ref="O63">_xlfn.IFS($G$2=1,VLOOKUP('Total income package'!$B$3,'Location specific data'!$A$3:$W192,20,FALSE),$G$2=2,VLOOKUP('Total income package'!$B$3,'Location specific data'!$A$3:$W$135,21,FALSE),$G$2=3,VLOOKUP('Total income package'!$B$3,'Location specific data'!$A$3:$W$135,22,FALSE),$G$2=4,VLOOKUP('Total income package'!$B$3,'Location specific data'!$A$3:$W$135,23,FALSE),$G$2=5,VLOOKUP('Total income package'!$B$3,'Location specific data'!$A$3:$W$135,24,FALSE))</f>
        <v>851</v>
      </c>
      <c r="P63" s="182" cm="1">
        <f t="array" ref="P63">_xlfn.IFS($G$2=1,VLOOKUP('Total income package'!$B$3,'Location specific data'!$A$3:$AB$135,25,FALSE),$G$2=2,VLOOKUP('Total income package'!$B$3,'Location specific data'!$A$3:$AB$135,26,FALSE),$G$2=3,VLOOKUP('Total income package'!$B$3,'Location specific data'!$A$3:$AB$135,27,FALSE),$G$2=4,VLOOKUP('Total income package'!$B$3,'Location specific data'!$A$3:$AB$135,28,FALSE),$G$2=5,VLOOKUP('Total income package'!$B$3,'Location specific data'!$A$3:$AB$135,29,FALSE))</f>
        <v>995</v>
      </c>
      <c r="Q63" s="337">
        <f>IF(AND(G63="Yes",'Total income package'!$A$14=TRUE,P63-N63&gt;0),P63-N63,0)</f>
        <v>264.5</v>
      </c>
      <c r="R63" s="29"/>
    </row>
    <row r="64" spans="1:18" x14ac:dyDescent="0.25">
      <c r="A64" s="182">
        <v>29000</v>
      </c>
      <c r="B64" s="4">
        <f t="shared" si="0"/>
        <v>2416.6666666666665</v>
      </c>
      <c r="C64" s="4">
        <f>MAX('TANF-VIEW'!L67,'TANF-VIEW'!T67)</f>
        <v>0</v>
      </c>
      <c r="D64" s="4">
        <f>'Total income package'!$D$80</f>
        <v>0</v>
      </c>
      <c r="E64" s="4">
        <f>'Total income package'!$H$61+'Total income package'!$F$66</f>
        <v>100</v>
      </c>
      <c r="F64" s="4">
        <f t="shared" si="3"/>
        <v>2516.6666666666665</v>
      </c>
      <c r="G64" s="181" t="str">
        <f t="shared" si="4"/>
        <v>Yes</v>
      </c>
      <c r="H64" s="3">
        <f t="shared" si="5"/>
        <v>40</v>
      </c>
      <c r="I64" s="3">
        <f t="shared" si="6"/>
        <v>0</v>
      </c>
      <c r="J64" s="3">
        <f t="shared" si="1"/>
        <v>2476.6666666666665</v>
      </c>
      <c r="K64" s="3">
        <f t="shared" si="7"/>
        <v>742.99999999999989</v>
      </c>
      <c r="L64" s="3">
        <f t="shared" si="2"/>
        <v>251.66666666666666</v>
      </c>
      <c r="M64" s="3">
        <v>50</v>
      </c>
      <c r="N64" s="3">
        <f t="shared" si="8"/>
        <v>742.99999999999989</v>
      </c>
      <c r="O64" s="182" cm="1">
        <f t="array" ref="O64">_xlfn.IFS($G$2=1,VLOOKUP('Total income package'!$B$3,'Location specific data'!$A$3:$W193,20,FALSE),$G$2=2,VLOOKUP('Total income package'!$B$3,'Location specific data'!$A$3:$W$135,21,FALSE),$G$2=3,VLOOKUP('Total income package'!$B$3,'Location specific data'!$A$3:$W$135,22,FALSE),$G$2=4,VLOOKUP('Total income package'!$B$3,'Location specific data'!$A$3:$W$135,23,FALSE),$G$2=5,VLOOKUP('Total income package'!$B$3,'Location specific data'!$A$3:$W$135,24,FALSE))</f>
        <v>851</v>
      </c>
      <c r="P64" s="182" cm="1">
        <f t="array" ref="P64">_xlfn.IFS($G$2=1,VLOOKUP('Total income package'!$B$3,'Location specific data'!$A$3:$AB$135,25,FALSE),$G$2=2,VLOOKUP('Total income package'!$B$3,'Location specific data'!$A$3:$AB$135,26,FALSE),$G$2=3,VLOOKUP('Total income package'!$B$3,'Location specific data'!$A$3:$AB$135,27,FALSE),$G$2=4,VLOOKUP('Total income package'!$B$3,'Location specific data'!$A$3:$AB$135,28,FALSE),$G$2=5,VLOOKUP('Total income package'!$B$3,'Location specific data'!$A$3:$AB$135,29,FALSE))</f>
        <v>995</v>
      </c>
      <c r="Q64" s="337">
        <f>IF(AND(G64="Yes",'Total income package'!$A$14=TRUE,P64-N64&gt;0),P64-N64,0)</f>
        <v>252.00000000000011</v>
      </c>
      <c r="R64" s="29"/>
    </row>
    <row r="65" spans="1:18" x14ac:dyDescent="0.25">
      <c r="A65" s="182">
        <v>29500</v>
      </c>
      <c r="B65" s="4">
        <f t="shared" si="0"/>
        <v>2458.3333333333335</v>
      </c>
      <c r="C65" s="4">
        <f>MAX('TANF-VIEW'!L68,'TANF-VIEW'!T68)</f>
        <v>0</v>
      </c>
      <c r="D65" s="4">
        <f>'Total income package'!$D$80</f>
        <v>0</v>
      </c>
      <c r="E65" s="4">
        <f>'Total income package'!$H$61+'Total income package'!$F$66</f>
        <v>100</v>
      </c>
      <c r="F65" s="4">
        <f t="shared" si="3"/>
        <v>2558.3333333333335</v>
      </c>
      <c r="G65" s="181" t="str">
        <f t="shared" si="4"/>
        <v>Yes</v>
      </c>
      <c r="H65" s="3">
        <f t="shared" si="5"/>
        <v>40</v>
      </c>
      <c r="I65" s="3">
        <f t="shared" si="6"/>
        <v>0</v>
      </c>
      <c r="J65" s="3">
        <f t="shared" si="1"/>
        <v>2518.3333333333335</v>
      </c>
      <c r="K65" s="3">
        <f t="shared" si="7"/>
        <v>755.5</v>
      </c>
      <c r="L65" s="3">
        <f t="shared" si="2"/>
        <v>255.83333333333337</v>
      </c>
      <c r="M65" s="3">
        <v>50</v>
      </c>
      <c r="N65" s="3">
        <f t="shared" si="8"/>
        <v>755.5</v>
      </c>
      <c r="O65" s="182" cm="1">
        <f t="array" ref="O65">_xlfn.IFS($G$2=1,VLOOKUP('Total income package'!$B$3,'Location specific data'!$A$3:$W194,20,FALSE),$G$2=2,VLOOKUP('Total income package'!$B$3,'Location specific data'!$A$3:$W$135,21,FALSE),$G$2=3,VLOOKUP('Total income package'!$B$3,'Location specific data'!$A$3:$W$135,22,FALSE),$G$2=4,VLOOKUP('Total income package'!$B$3,'Location specific data'!$A$3:$W$135,23,FALSE),$G$2=5,VLOOKUP('Total income package'!$B$3,'Location specific data'!$A$3:$W$135,24,FALSE))</f>
        <v>851</v>
      </c>
      <c r="P65" s="182" cm="1">
        <f t="array" ref="P65">_xlfn.IFS($G$2=1,VLOOKUP('Total income package'!$B$3,'Location specific data'!$A$3:$AB$135,25,FALSE),$G$2=2,VLOOKUP('Total income package'!$B$3,'Location specific data'!$A$3:$AB$135,26,FALSE),$G$2=3,VLOOKUP('Total income package'!$B$3,'Location specific data'!$A$3:$AB$135,27,FALSE),$G$2=4,VLOOKUP('Total income package'!$B$3,'Location specific data'!$A$3:$AB$135,28,FALSE),$G$2=5,VLOOKUP('Total income package'!$B$3,'Location specific data'!$A$3:$AB$135,29,FALSE))</f>
        <v>995</v>
      </c>
      <c r="Q65" s="337">
        <f>IF(AND(G65="Yes",'Total income package'!$A$14=TRUE,P65-N65&gt;0),P65-N65,0)</f>
        <v>239.5</v>
      </c>
      <c r="R65" s="29"/>
    </row>
    <row r="66" spans="1:18" x14ac:dyDescent="0.25">
      <c r="A66" s="182">
        <v>30000</v>
      </c>
      <c r="B66" s="4">
        <f t="shared" si="0"/>
        <v>2500</v>
      </c>
      <c r="C66" s="4">
        <f>MAX('TANF-VIEW'!L69,'TANF-VIEW'!T69)</f>
        <v>0</v>
      </c>
      <c r="D66" s="4">
        <f>'Total income package'!$D$80</f>
        <v>0</v>
      </c>
      <c r="E66" s="4">
        <f>'Total income package'!$H$61+'Total income package'!$F$66</f>
        <v>100</v>
      </c>
      <c r="F66" s="4">
        <f t="shared" si="3"/>
        <v>2600</v>
      </c>
      <c r="G66" s="181" t="str">
        <f t="shared" si="4"/>
        <v>Yes</v>
      </c>
      <c r="H66" s="3">
        <f t="shared" si="5"/>
        <v>40</v>
      </c>
      <c r="I66" s="3">
        <f t="shared" si="6"/>
        <v>0</v>
      </c>
      <c r="J66" s="3">
        <f t="shared" si="1"/>
        <v>2560</v>
      </c>
      <c r="K66" s="3">
        <f t="shared" si="7"/>
        <v>768</v>
      </c>
      <c r="L66" s="3">
        <f t="shared" si="2"/>
        <v>260</v>
      </c>
      <c r="M66" s="3">
        <v>50</v>
      </c>
      <c r="N66" s="3">
        <f t="shared" si="8"/>
        <v>768</v>
      </c>
      <c r="O66" s="182" cm="1">
        <f t="array" ref="O66">_xlfn.IFS($G$2=1,VLOOKUP('Total income package'!$B$3,'Location specific data'!$A$3:$W195,20,FALSE),$G$2=2,VLOOKUP('Total income package'!$B$3,'Location specific data'!$A$3:$W$135,21,FALSE),$G$2=3,VLOOKUP('Total income package'!$B$3,'Location specific data'!$A$3:$W$135,22,FALSE),$G$2=4,VLOOKUP('Total income package'!$B$3,'Location specific data'!$A$3:$W$135,23,FALSE),$G$2=5,VLOOKUP('Total income package'!$B$3,'Location specific data'!$A$3:$W$135,24,FALSE))</f>
        <v>851</v>
      </c>
      <c r="P66" s="182" cm="1">
        <f t="array" ref="P66">_xlfn.IFS($G$2=1,VLOOKUP('Total income package'!$B$3,'Location specific data'!$A$3:$AB$135,25,FALSE),$G$2=2,VLOOKUP('Total income package'!$B$3,'Location specific data'!$A$3:$AB$135,26,FALSE),$G$2=3,VLOOKUP('Total income package'!$B$3,'Location specific data'!$A$3:$AB$135,27,FALSE),$G$2=4,VLOOKUP('Total income package'!$B$3,'Location specific data'!$A$3:$AB$135,28,FALSE),$G$2=5,VLOOKUP('Total income package'!$B$3,'Location specific data'!$A$3:$AB$135,29,FALSE))</f>
        <v>995</v>
      </c>
      <c r="Q66" s="337">
        <f>IF(AND(G66="Yes",'Total income package'!$A$14=TRUE,P66-N66&gt;0),P66-N66,0)</f>
        <v>227</v>
      </c>
      <c r="R66" s="29"/>
    </row>
    <row r="67" spans="1:18" x14ac:dyDescent="0.25">
      <c r="A67" s="182">
        <v>30500</v>
      </c>
      <c r="B67" s="4">
        <f t="shared" si="0"/>
        <v>2541.6666666666665</v>
      </c>
      <c r="C67" s="4">
        <f>MAX('TANF-VIEW'!L70,'TANF-VIEW'!T70)</f>
        <v>0</v>
      </c>
      <c r="D67" s="4">
        <f>'Total income package'!$D$80</f>
        <v>0</v>
      </c>
      <c r="E67" s="4">
        <f>'Total income package'!$H$61+'Total income package'!$F$66</f>
        <v>100</v>
      </c>
      <c r="F67" s="4">
        <f t="shared" si="3"/>
        <v>2641.6666666666665</v>
      </c>
      <c r="G67" s="181" t="str">
        <f t="shared" si="4"/>
        <v>Yes</v>
      </c>
      <c r="H67" s="3">
        <f t="shared" si="5"/>
        <v>40</v>
      </c>
      <c r="I67" s="3">
        <f t="shared" si="6"/>
        <v>0</v>
      </c>
      <c r="J67" s="3">
        <f t="shared" si="1"/>
        <v>2601.6666666666665</v>
      </c>
      <c r="K67" s="3">
        <f t="shared" si="7"/>
        <v>780.49999999999989</v>
      </c>
      <c r="L67" s="3">
        <f t="shared" si="2"/>
        <v>264.16666666666669</v>
      </c>
      <c r="M67" s="3">
        <v>50</v>
      </c>
      <c r="N67" s="3">
        <f t="shared" si="8"/>
        <v>780.49999999999989</v>
      </c>
      <c r="O67" s="182" cm="1">
        <f t="array" ref="O67">_xlfn.IFS($G$2=1,VLOOKUP('Total income package'!$B$3,'Location specific data'!$A$3:$W196,20,FALSE),$G$2=2,VLOOKUP('Total income package'!$B$3,'Location specific data'!$A$3:$W$135,21,FALSE),$G$2=3,VLOOKUP('Total income package'!$B$3,'Location specific data'!$A$3:$W$135,22,FALSE),$G$2=4,VLOOKUP('Total income package'!$B$3,'Location specific data'!$A$3:$W$135,23,FALSE),$G$2=5,VLOOKUP('Total income package'!$B$3,'Location specific data'!$A$3:$W$135,24,FALSE))</f>
        <v>851</v>
      </c>
      <c r="P67" s="182" cm="1">
        <f t="array" ref="P67">_xlfn.IFS($G$2=1,VLOOKUP('Total income package'!$B$3,'Location specific data'!$A$3:$AB$135,25,FALSE),$G$2=2,VLOOKUP('Total income package'!$B$3,'Location specific data'!$A$3:$AB$135,26,FALSE),$G$2=3,VLOOKUP('Total income package'!$B$3,'Location specific data'!$A$3:$AB$135,27,FALSE),$G$2=4,VLOOKUP('Total income package'!$B$3,'Location specific data'!$A$3:$AB$135,28,FALSE),$G$2=5,VLOOKUP('Total income package'!$B$3,'Location specific data'!$A$3:$AB$135,29,FALSE))</f>
        <v>995</v>
      </c>
      <c r="Q67" s="337">
        <f>IF(AND(G67="Yes",'Total income package'!$A$14=TRUE,P67-N67&gt;0),P67-N67,0)</f>
        <v>214.50000000000011</v>
      </c>
      <c r="R67" s="29"/>
    </row>
    <row r="68" spans="1:18" x14ac:dyDescent="0.25">
      <c r="A68" s="182">
        <v>31000</v>
      </c>
      <c r="B68" s="4">
        <f t="shared" si="0"/>
        <v>2583.3333333333335</v>
      </c>
      <c r="C68" s="4">
        <f>MAX('TANF-VIEW'!L71,'TANF-VIEW'!T71)</f>
        <v>0</v>
      </c>
      <c r="D68" s="4">
        <f>'Total income package'!$D$80</f>
        <v>0</v>
      </c>
      <c r="E68" s="4">
        <f>'Total income package'!$H$61+'Total income package'!$F$66</f>
        <v>100</v>
      </c>
      <c r="F68" s="4">
        <f t="shared" si="3"/>
        <v>2683.3333333333335</v>
      </c>
      <c r="G68" s="181" t="str">
        <f t="shared" si="4"/>
        <v>Yes</v>
      </c>
      <c r="H68" s="3">
        <f t="shared" si="5"/>
        <v>40</v>
      </c>
      <c r="I68" s="3">
        <f t="shared" si="6"/>
        <v>0</v>
      </c>
      <c r="J68" s="3">
        <f t="shared" si="1"/>
        <v>2643.3333333333335</v>
      </c>
      <c r="K68" s="3">
        <f t="shared" si="7"/>
        <v>793</v>
      </c>
      <c r="L68" s="3">
        <f t="shared" si="2"/>
        <v>268.33333333333337</v>
      </c>
      <c r="M68" s="3">
        <v>50</v>
      </c>
      <c r="N68" s="3">
        <f t="shared" si="8"/>
        <v>793</v>
      </c>
      <c r="O68" s="182" cm="1">
        <f t="array" ref="O68">_xlfn.IFS($G$2=1,VLOOKUP('Total income package'!$B$3,'Location specific data'!$A$3:$W197,20,FALSE),$G$2=2,VLOOKUP('Total income package'!$B$3,'Location specific data'!$A$3:$W$135,21,FALSE),$G$2=3,VLOOKUP('Total income package'!$B$3,'Location specific data'!$A$3:$W$135,22,FALSE),$G$2=4,VLOOKUP('Total income package'!$B$3,'Location specific data'!$A$3:$W$135,23,FALSE),$G$2=5,VLOOKUP('Total income package'!$B$3,'Location specific data'!$A$3:$W$135,24,FALSE))</f>
        <v>851</v>
      </c>
      <c r="P68" s="182" cm="1">
        <f t="array" ref="P68">_xlfn.IFS($G$2=1,VLOOKUP('Total income package'!$B$3,'Location specific data'!$A$3:$AB$135,25,FALSE),$G$2=2,VLOOKUP('Total income package'!$B$3,'Location specific data'!$A$3:$AB$135,26,FALSE),$G$2=3,VLOOKUP('Total income package'!$B$3,'Location specific data'!$A$3:$AB$135,27,FALSE),$G$2=4,VLOOKUP('Total income package'!$B$3,'Location specific data'!$A$3:$AB$135,28,FALSE),$G$2=5,VLOOKUP('Total income package'!$B$3,'Location specific data'!$A$3:$AB$135,29,FALSE))</f>
        <v>995</v>
      </c>
      <c r="Q68" s="337">
        <f>IF(AND(G68="Yes",'Total income package'!$A$14=TRUE,P68-N68&gt;0),P68-N68,0)</f>
        <v>202</v>
      </c>
      <c r="R68" s="29"/>
    </row>
    <row r="69" spans="1:18" x14ac:dyDescent="0.25">
      <c r="A69" s="182">
        <v>31500</v>
      </c>
      <c r="B69" s="4">
        <f t="shared" si="0"/>
        <v>2625</v>
      </c>
      <c r="C69" s="4">
        <f>MAX('TANF-VIEW'!L72,'TANF-VIEW'!T72)</f>
        <v>0</v>
      </c>
      <c r="D69" s="4">
        <f>'Total income package'!$D$80</f>
        <v>0</v>
      </c>
      <c r="E69" s="4">
        <f>'Total income package'!$H$61+'Total income package'!$F$66</f>
        <v>100</v>
      </c>
      <c r="F69" s="4">
        <f t="shared" si="3"/>
        <v>2725</v>
      </c>
      <c r="G69" s="181" t="str">
        <f t="shared" si="4"/>
        <v>Yes</v>
      </c>
      <c r="H69" s="3">
        <f t="shared" si="5"/>
        <v>40</v>
      </c>
      <c r="I69" s="3">
        <f t="shared" si="6"/>
        <v>0</v>
      </c>
      <c r="J69" s="3">
        <f t="shared" si="1"/>
        <v>2685</v>
      </c>
      <c r="K69" s="3">
        <f t="shared" si="7"/>
        <v>805.5</v>
      </c>
      <c r="L69" s="3">
        <f t="shared" si="2"/>
        <v>272.5</v>
      </c>
      <c r="M69" s="3">
        <v>50</v>
      </c>
      <c r="N69" s="3">
        <f t="shared" si="8"/>
        <v>805.5</v>
      </c>
      <c r="O69" s="182" cm="1">
        <f t="array" ref="O69">_xlfn.IFS($G$2=1,VLOOKUP('Total income package'!$B$3,'Location specific data'!$A$3:$W198,20,FALSE),$G$2=2,VLOOKUP('Total income package'!$B$3,'Location specific data'!$A$3:$W$135,21,FALSE),$G$2=3,VLOOKUP('Total income package'!$B$3,'Location specific data'!$A$3:$W$135,22,FALSE),$G$2=4,VLOOKUP('Total income package'!$B$3,'Location specific data'!$A$3:$W$135,23,FALSE),$G$2=5,VLOOKUP('Total income package'!$B$3,'Location specific data'!$A$3:$W$135,24,FALSE))</f>
        <v>851</v>
      </c>
      <c r="P69" s="182" cm="1">
        <f t="array" ref="P69">_xlfn.IFS($G$2=1,VLOOKUP('Total income package'!$B$3,'Location specific data'!$A$3:$AB$135,25,FALSE),$G$2=2,VLOOKUP('Total income package'!$B$3,'Location specific data'!$A$3:$AB$135,26,FALSE),$G$2=3,VLOOKUP('Total income package'!$B$3,'Location specific data'!$A$3:$AB$135,27,FALSE),$G$2=4,VLOOKUP('Total income package'!$B$3,'Location specific data'!$A$3:$AB$135,28,FALSE),$G$2=5,VLOOKUP('Total income package'!$B$3,'Location specific data'!$A$3:$AB$135,29,FALSE))</f>
        <v>995</v>
      </c>
      <c r="Q69" s="337">
        <f>IF(AND(G69="Yes",'Total income package'!$A$14=TRUE,P69-N69&gt;0),P69-N69,0)</f>
        <v>189.5</v>
      </c>
      <c r="R69" s="29"/>
    </row>
    <row r="70" spans="1:18" x14ac:dyDescent="0.25">
      <c r="A70" s="182">
        <v>32000</v>
      </c>
      <c r="B70" s="4">
        <f t="shared" si="0"/>
        <v>2666.6666666666665</v>
      </c>
      <c r="C70" s="4">
        <f>MAX('TANF-VIEW'!L73,'TANF-VIEW'!T73)</f>
        <v>0</v>
      </c>
      <c r="D70" s="4">
        <f>'Total income package'!$D$80</f>
        <v>0</v>
      </c>
      <c r="E70" s="4">
        <f>'Total income package'!$H$61+'Total income package'!$F$66</f>
        <v>100</v>
      </c>
      <c r="F70" s="4">
        <f t="shared" si="3"/>
        <v>2766.6666666666665</v>
      </c>
      <c r="G70" s="181" t="str">
        <f t="shared" si="4"/>
        <v>Yes</v>
      </c>
      <c r="H70" s="3">
        <f t="shared" si="5"/>
        <v>40</v>
      </c>
      <c r="I70" s="3">
        <f t="shared" si="6"/>
        <v>0</v>
      </c>
      <c r="J70" s="3">
        <f t="shared" ref="J70:J133" si="9">IF(F70-H70-I70&lt;0,0,F70-H70-I70)</f>
        <v>2726.6666666666665</v>
      </c>
      <c r="K70" s="3">
        <f t="shared" ref="K70:K133" si="10">J70*0.3</f>
        <v>817.99999999999989</v>
      </c>
      <c r="L70" s="3">
        <f t="shared" ref="L70:L133" si="11">F70*0.1</f>
        <v>276.66666666666669</v>
      </c>
      <c r="M70" s="3">
        <v>50</v>
      </c>
      <c r="N70" s="3">
        <f t="shared" si="8"/>
        <v>817.99999999999989</v>
      </c>
      <c r="O70" s="182" cm="1">
        <f t="array" ref="O70">_xlfn.IFS($G$2=1,VLOOKUP('Total income package'!$B$3,'Location specific data'!$A$3:$W199,20,FALSE),$G$2=2,VLOOKUP('Total income package'!$B$3,'Location specific data'!$A$3:$W$135,21,FALSE),$G$2=3,VLOOKUP('Total income package'!$B$3,'Location specific data'!$A$3:$W$135,22,FALSE),$G$2=4,VLOOKUP('Total income package'!$B$3,'Location specific data'!$A$3:$W$135,23,FALSE),$G$2=5,VLOOKUP('Total income package'!$B$3,'Location specific data'!$A$3:$W$135,24,FALSE))</f>
        <v>851</v>
      </c>
      <c r="P70" s="182" cm="1">
        <f t="array" ref="P70">_xlfn.IFS($G$2=1,VLOOKUP('Total income package'!$B$3,'Location specific data'!$A$3:$AB$135,25,FALSE),$G$2=2,VLOOKUP('Total income package'!$B$3,'Location specific data'!$A$3:$AB$135,26,FALSE),$G$2=3,VLOOKUP('Total income package'!$B$3,'Location specific data'!$A$3:$AB$135,27,FALSE),$G$2=4,VLOOKUP('Total income package'!$B$3,'Location specific data'!$A$3:$AB$135,28,FALSE),$G$2=5,VLOOKUP('Total income package'!$B$3,'Location specific data'!$A$3:$AB$135,29,FALSE))</f>
        <v>995</v>
      </c>
      <c r="Q70" s="337">
        <f>IF(AND(G70="Yes",'Total income package'!$A$14=TRUE,P70-N70&gt;0),P70-N70,0)</f>
        <v>177.00000000000011</v>
      </c>
      <c r="R70" s="29"/>
    </row>
    <row r="71" spans="1:18" x14ac:dyDescent="0.25">
      <c r="A71" s="182">
        <v>32500</v>
      </c>
      <c r="B71" s="4">
        <f t="shared" ref="B71:B134" si="12">A71/12</f>
        <v>2708.3333333333335</v>
      </c>
      <c r="C71" s="4">
        <f>MAX('TANF-VIEW'!L74,'TANF-VIEW'!T74)</f>
        <v>0</v>
      </c>
      <c r="D71" s="4">
        <f>'Total income package'!$D$80</f>
        <v>0</v>
      </c>
      <c r="E71" s="4">
        <f>'Total income package'!$H$61+'Total income package'!$F$66</f>
        <v>100</v>
      </c>
      <c r="F71" s="4">
        <f t="shared" ref="F71:F134" si="13">B71+C71+D71+E71</f>
        <v>2808.3333333333335</v>
      </c>
      <c r="G71" s="181" t="str">
        <f t="shared" ref="G71:G134" si="14">IF(F71&lt;$L$2,"Yes","No")</f>
        <v>Yes</v>
      </c>
      <c r="H71" s="3">
        <f t="shared" ref="H71:H134" si="15">40*($D$2+$I$2)</f>
        <v>40</v>
      </c>
      <c r="I71" s="3">
        <f t="shared" ref="I71:I134" si="16">IF($H$2+$I$2&gt;0,33.33,0)</f>
        <v>0</v>
      </c>
      <c r="J71" s="3">
        <f t="shared" si="9"/>
        <v>2768.3333333333335</v>
      </c>
      <c r="K71" s="3">
        <f t="shared" si="10"/>
        <v>830.5</v>
      </c>
      <c r="L71" s="3">
        <f t="shared" si="11"/>
        <v>280.83333333333337</v>
      </c>
      <c r="M71" s="3">
        <v>50</v>
      </c>
      <c r="N71" s="3">
        <f t="shared" si="8"/>
        <v>830.5</v>
      </c>
      <c r="O71" s="182" cm="1">
        <f t="array" ref="O71">_xlfn.IFS($G$2=1,VLOOKUP('Total income package'!$B$3,'Location specific data'!$A$3:$W200,20,FALSE),$G$2=2,VLOOKUP('Total income package'!$B$3,'Location specific data'!$A$3:$W$135,21,FALSE),$G$2=3,VLOOKUP('Total income package'!$B$3,'Location specific data'!$A$3:$W$135,22,FALSE),$G$2=4,VLOOKUP('Total income package'!$B$3,'Location specific data'!$A$3:$W$135,23,FALSE),$G$2=5,VLOOKUP('Total income package'!$B$3,'Location specific data'!$A$3:$W$135,24,FALSE))</f>
        <v>851</v>
      </c>
      <c r="P71" s="182" cm="1">
        <f t="array" ref="P71">_xlfn.IFS($G$2=1,VLOOKUP('Total income package'!$B$3,'Location specific data'!$A$3:$AB$135,25,FALSE),$G$2=2,VLOOKUP('Total income package'!$B$3,'Location specific data'!$A$3:$AB$135,26,FALSE),$G$2=3,VLOOKUP('Total income package'!$B$3,'Location specific data'!$A$3:$AB$135,27,FALSE),$G$2=4,VLOOKUP('Total income package'!$B$3,'Location specific data'!$A$3:$AB$135,28,FALSE),$G$2=5,VLOOKUP('Total income package'!$B$3,'Location specific data'!$A$3:$AB$135,29,FALSE))</f>
        <v>995</v>
      </c>
      <c r="Q71" s="337">
        <f>IF(AND(G71="Yes",'Total income package'!$A$14=TRUE,P71-N71&gt;0),P71-N71,0)</f>
        <v>164.5</v>
      </c>
      <c r="R71" s="29"/>
    </row>
    <row r="72" spans="1:18" x14ac:dyDescent="0.25">
      <c r="A72" s="182">
        <v>33000</v>
      </c>
      <c r="B72" s="4">
        <f t="shared" si="12"/>
        <v>2750</v>
      </c>
      <c r="C72" s="4">
        <f>MAX('TANF-VIEW'!L75,'TANF-VIEW'!T75)</f>
        <v>0</v>
      </c>
      <c r="D72" s="4">
        <f>'Total income package'!$D$80</f>
        <v>0</v>
      </c>
      <c r="E72" s="4">
        <f>'Total income package'!$H$61+'Total income package'!$F$66</f>
        <v>100</v>
      </c>
      <c r="F72" s="4">
        <f t="shared" si="13"/>
        <v>2850</v>
      </c>
      <c r="G72" s="181" t="str">
        <f t="shared" si="14"/>
        <v>Yes</v>
      </c>
      <c r="H72" s="3">
        <f t="shared" si="15"/>
        <v>40</v>
      </c>
      <c r="I72" s="3">
        <f t="shared" si="16"/>
        <v>0</v>
      </c>
      <c r="J72" s="3">
        <f t="shared" si="9"/>
        <v>2810</v>
      </c>
      <c r="K72" s="3">
        <f t="shared" si="10"/>
        <v>843</v>
      </c>
      <c r="L72" s="3">
        <f t="shared" si="11"/>
        <v>285</v>
      </c>
      <c r="M72" s="3">
        <v>50</v>
      </c>
      <c r="N72" s="3">
        <f t="shared" ref="N72:N106" si="17">MAX(K72:M72)</f>
        <v>843</v>
      </c>
      <c r="O72" s="182" cm="1">
        <f t="array" ref="O72">_xlfn.IFS($G$2=1,VLOOKUP('Total income package'!$B$3,'Location specific data'!$A$3:$W201,20,FALSE),$G$2=2,VLOOKUP('Total income package'!$B$3,'Location specific data'!$A$3:$W$135,21,FALSE),$G$2=3,VLOOKUP('Total income package'!$B$3,'Location specific data'!$A$3:$W$135,22,FALSE),$G$2=4,VLOOKUP('Total income package'!$B$3,'Location specific data'!$A$3:$W$135,23,FALSE),$G$2=5,VLOOKUP('Total income package'!$B$3,'Location specific data'!$A$3:$W$135,24,FALSE))</f>
        <v>851</v>
      </c>
      <c r="P72" s="182" cm="1">
        <f t="array" ref="P72">_xlfn.IFS($G$2=1,VLOOKUP('Total income package'!$B$3,'Location specific data'!$A$3:$AB$135,25,FALSE),$G$2=2,VLOOKUP('Total income package'!$B$3,'Location specific data'!$A$3:$AB$135,26,FALSE),$G$2=3,VLOOKUP('Total income package'!$B$3,'Location specific data'!$A$3:$AB$135,27,FALSE),$G$2=4,VLOOKUP('Total income package'!$B$3,'Location specific data'!$A$3:$AB$135,28,FALSE),$G$2=5,VLOOKUP('Total income package'!$B$3,'Location specific data'!$A$3:$AB$135,29,FALSE))</f>
        <v>995</v>
      </c>
      <c r="Q72" s="337">
        <f>IF(AND(G72="Yes",'Total income package'!$A$14=TRUE,P72-N72&gt;0),P72-N72,0)</f>
        <v>152</v>
      </c>
      <c r="R72" s="29"/>
    </row>
    <row r="73" spans="1:18" x14ac:dyDescent="0.25">
      <c r="A73" s="182">
        <v>33500</v>
      </c>
      <c r="B73" s="4">
        <f t="shared" si="12"/>
        <v>2791.6666666666665</v>
      </c>
      <c r="C73" s="4">
        <f>MAX('TANF-VIEW'!L76,'TANF-VIEW'!T76)</f>
        <v>0</v>
      </c>
      <c r="D73" s="4">
        <f>'Total income package'!$D$80</f>
        <v>0</v>
      </c>
      <c r="E73" s="4">
        <f>'Total income package'!$H$61+'Total income package'!$F$66</f>
        <v>100</v>
      </c>
      <c r="F73" s="4">
        <f t="shared" si="13"/>
        <v>2891.6666666666665</v>
      </c>
      <c r="G73" s="181" t="str">
        <f t="shared" si="14"/>
        <v>Yes</v>
      </c>
      <c r="H73" s="3">
        <f t="shared" si="15"/>
        <v>40</v>
      </c>
      <c r="I73" s="3">
        <f t="shared" si="16"/>
        <v>0</v>
      </c>
      <c r="J73" s="3">
        <f t="shared" si="9"/>
        <v>2851.6666666666665</v>
      </c>
      <c r="K73" s="3">
        <f t="shared" si="10"/>
        <v>855.49999999999989</v>
      </c>
      <c r="L73" s="3">
        <f t="shared" si="11"/>
        <v>289.16666666666669</v>
      </c>
      <c r="M73" s="3">
        <v>50</v>
      </c>
      <c r="N73" s="3">
        <f t="shared" si="17"/>
        <v>855.49999999999989</v>
      </c>
      <c r="O73" s="182" cm="1">
        <f t="array" ref="O73">_xlfn.IFS($G$2=1,VLOOKUP('Total income package'!$B$3,'Location specific data'!$A$3:$W202,20,FALSE),$G$2=2,VLOOKUP('Total income package'!$B$3,'Location specific data'!$A$3:$W$135,21,FALSE),$G$2=3,VLOOKUP('Total income package'!$B$3,'Location specific data'!$A$3:$W$135,22,FALSE),$G$2=4,VLOOKUP('Total income package'!$B$3,'Location specific data'!$A$3:$W$135,23,FALSE),$G$2=5,VLOOKUP('Total income package'!$B$3,'Location specific data'!$A$3:$W$135,24,FALSE))</f>
        <v>851</v>
      </c>
      <c r="P73" s="182" cm="1">
        <f t="array" ref="P73">_xlfn.IFS($G$2=1,VLOOKUP('Total income package'!$B$3,'Location specific data'!$A$3:$AB$135,25,FALSE),$G$2=2,VLOOKUP('Total income package'!$B$3,'Location specific data'!$A$3:$AB$135,26,FALSE),$G$2=3,VLOOKUP('Total income package'!$B$3,'Location specific data'!$A$3:$AB$135,27,FALSE),$G$2=4,VLOOKUP('Total income package'!$B$3,'Location specific data'!$A$3:$AB$135,28,FALSE),$G$2=5,VLOOKUP('Total income package'!$B$3,'Location specific data'!$A$3:$AB$135,29,FALSE))</f>
        <v>995</v>
      </c>
      <c r="Q73" s="337">
        <f>IF(AND(G73="Yes",'Total income package'!$A$14=TRUE,P73-N73&gt;0),P73-N73,0)</f>
        <v>139.50000000000011</v>
      </c>
      <c r="R73" s="29"/>
    </row>
    <row r="74" spans="1:18" x14ac:dyDescent="0.25">
      <c r="A74" s="182">
        <v>34000</v>
      </c>
      <c r="B74" s="4">
        <f t="shared" si="12"/>
        <v>2833.3333333333335</v>
      </c>
      <c r="C74" s="4">
        <f>MAX('TANF-VIEW'!L77,'TANF-VIEW'!T77)</f>
        <v>0</v>
      </c>
      <c r="D74" s="4">
        <f>'Total income package'!$D$80</f>
        <v>0</v>
      </c>
      <c r="E74" s="4">
        <f>'Total income package'!$H$61+'Total income package'!$F$66</f>
        <v>100</v>
      </c>
      <c r="F74" s="4">
        <f t="shared" si="13"/>
        <v>2933.3333333333335</v>
      </c>
      <c r="G74" s="181" t="str">
        <f t="shared" si="14"/>
        <v>Yes</v>
      </c>
      <c r="H74" s="3">
        <f t="shared" si="15"/>
        <v>40</v>
      </c>
      <c r="I74" s="3">
        <f t="shared" si="16"/>
        <v>0</v>
      </c>
      <c r="J74" s="3">
        <f t="shared" si="9"/>
        <v>2893.3333333333335</v>
      </c>
      <c r="K74" s="3">
        <f t="shared" si="10"/>
        <v>868</v>
      </c>
      <c r="L74" s="3">
        <f t="shared" si="11"/>
        <v>293.33333333333337</v>
      </c>
      <c r="M74" s="3">
        <v>50</v>
      </c>
      <c r="N74" s="3">
        <f t="shared" si="17"/>
        <v>868</v>
      </c>
      <c r="O74" s="182" cm="1">
        <f t="array" ref="O74">_xlfn.IFS($G$2=1,VLOOKUP('Total income package'!$B$3,'Location specific data'!$A$3:$W203,20,FALSE),$G$2=2,VLOOKUP('Total income package'!$B$3,'Location specific data'!$A$3:$W$135,21,FALSE),$G$2=3,VLOOKUP('Total income package'!$B$3,'Location specific data'!$A$3:$W$135,22,FALSE),$G$2=4,VLOOKUP('Total income package'!$B$3,'Location specific data'!$A$3:$W$135,23,FALSE),$G$2=5,VLOOKUP('Total income package'!$B$3,'Location specific data'!$A$3:$W$135,24,FALSE))</f>
        <v>851</v>
      </c>
      <c r="P74" s="182" cm="1">
        <f t="array" ref="P74">_xlfn.IFS($G$2=1,VLOOKUP('Total income package'!$B$3,'Location specific data'!$A$3:$AB$135,25,FALSE),$G$2=2,VLOOKUP('Total income package'!$B$3,'Location specific data'!$A$3:$AB$135,26,FALSE),$G$2=3,VLOOKUP('Total income package'!$B$3,'Location specific data'!$A$3:$AB$135,27,FALSE),$G$2=4,VLOOKUP('Total income package'!$B$3,'Location specific data'!$A$3:$AB$135,28,FALSE),$G$2=5,VLOOKUP('Total income package'!$B$3,'Location specific data'!$A$3:$AB$135,29,FALSE))</f>
        <v>995</v>
      </c>
      <c r="Q74" s="337">
        <f>IF(AND(G74="Yes",'Total income package'!$A$14=TRUE,P74-N74&gt;0),P74-N74,0)</f>
        <v>127</v>
      </c>
      <c r="R74" s="29"/>
    </row>
    <row r="75" spans="1:18" x14ac:dyDescent="0.25">
      <c r="A75" s="182">
        <v>34500</v>
      </c>
      <c r="B75" s="4">
        <f t="shared" si="12"/>
        <v>2875</v>
      </c>
      <c r="C75" s="4">
        <f>MAX('TANF-VIEW'!L78,'TANF-VIEW'!T78)</f>
        <v>0</v>
      </c>
      <c r="D75" s="4">
        <f>'Total income package'!$D$80</f>
        <v>0</v>
      </c>
      <c r="E75" s="4">
        <f>'Total income package'!$H$61+'Total income package'!$F$66</f>
        <v>100</v>
      </c>
      <c r="F75" s="4">
        <f t="shared" si="13"/>
        <v>2975</v>
      </c>
      <c r="G75" s="181" t="str">
        <f t="shared" si="14"/>
        <v>Yes</v>
      </c>
      <c r="H75" s="3">
        <f t="shared" si="15"/>
        <v>40</v>
      </c>
      <c r="I75" s="3">
        <f t="shared" si="16"/>
        <v>0</v>
      </c>
      <c r="J75" s="3">
        <f t="shared" si="9"/>
        <v>2935</v>
      </c>
      <c r="K75" s="3">
        <f t="shared" si="10"/>
        <v>880.5</v>
      </c>
      <c r="L75" s="3">
        <f t="shared" si="11"/>
        <v>297.5</v>
      </c>
      <c r="M75" s="3">
        <v>50</v>
      </c>
      <c r="N75" s="3">
        <f t="shared" si="17"/>
        <v>880.5</v>
      </c>
      <c r="O75" s="182" cm="1">
        <f t="array" ref="O75">_xlfn.IFS($G$2=1,VLOOKUP('Total income package'!$B$3,'Location specific data'!$A$3:$W204,20,FALSE),$G$2=2,VLOOKUP('Total income package'!$B$3,'Location specific data'!$A$3:$W$135,21,FALSE),$G$2=3,VLOOKUP('Total income package'!$B$3,'Location specific data'!$A$3:$W$135,22,FALSE),$G$2=4,VLOOKUP('Total income package'!$B$3,'Location specific data'!$A$3:$W$135,23,FALSE),$G$2=5,VLOOKUP('Total income package'!$B$3,'Location specific data'!$A$3:$W$135,24,FALSE))</f>
        <v>851</v>
      </c>
      <c r="P75" s="182" cm="1">
        <f t="array" ref="P75">_xlfn.IFS($G$2=1,VLOOKUP('Total income package'!$B$3,'Location specific data'!$A$3:$AB$135,25,FALSE),$G$2=2,VLOOKUP('Total income package'!$B$3,'Location specific data'!$A$3:$AB$135,26,FALSE),$G$2=3,VLOOKUP('Total income package'!$B$3,'Location specific data'!$A$3:$AB$135,27,FALSE),$G$2=4,VLOOKUP('Total income package'!$B$3,'Location specific data'!$A$3:$AB$135,28,FALSE),$G$2=5,VLOOKUP('Total income package'!$B$3,'Location specific data'!$A$3:$AB$135,29,FALSE))</f>
        <v>995</v>
      </c>
      <c r="Q75" s="337">
        <f>IF(AND(G75="Yes",'Total income package'!$A$14=TRUE,P75-N75&gt;0),P75-N75,0)</f>
        <v>114.5</v>
      </c>
      <c r="R75" s="29"/>
    </row>
    <row r="76" spans="1:18" x14ac:dyDescent="0.25">
      <c r="A76" s="182">
        <v>35000</v>
      </c>
      <c r="B76" s="4">
        <f t="shared" si="12"/>
        <v>2916.6666666666665</v>
      </c>
      <c r="C76" s="4">
        <f>MAX('TANF-VIEW'!L79,'TANF-VIEW'!T79)</f>
        <v>0</v>
      </c>
      <c r="D76" s="4">
        <f>'Total income package'!$D$80</f>
        <v>0</v>
      </c>
      <c r="E76" s="4">
        <f>'Total income package'!$H$61+'Total income package'!$F$66</f>
        <v>100</v>
      </c>
      <c r="F76" s="4">
        <f t="shared" si="13"/>
        <v>3016.6666666666665</v>
      </c>
      <c r="G76" s="181" t="str">
        <f t="shared" si="14"/>
        <v>Yes</v>
      </c>
      <c r="H76" s="3">
        <f t="shared" si="15"/>
        <v>40</v>
      </c>
      <c r="I76" s="3">
        <f t="shared" si="16"/>
        <v>0</v>
      </c>
      <c r="J76" s="3">
        <f t="shared" si="9"/>
        <v>2976.6666666666665</v>
      </c>
      <c r="K76" s="3">
        <f t="shared" si="10"/>
        <v>892.99999999999989</v>
      </c>
      <c r="L76" s="3">
        <f t="shared" si="11"/>
        <v>301.66666666666669</v>
      </c>
      <c r="M76" s="3">
        <v>50</v>
      </c>
      <c r="N76" s="3">
        <f t="shared" si="17"/>
        <v>892.99999999999989</v>
      </c>
      <c r="O76" s="182" cm="1">
        <f t="array" ref="O76">_xlfn.IFS($G$2=1,VLOOKUP('Total income package'!$B$3,'Location specific data'!$A$3:$W205,20,FALSE),$G$2=2,VLOOKUP('Total income package'!$B$3,'Location specific data'!$A$3:$W$135,21,FALSE),$G$2=3,VLOOKUP('Total income package'!$B$3,'Location specific data'!$A$3:$W$135,22,FALSE),$G$2=4,VLOOKUP('Total income package'!$B$3,'Location specific data'!$A$3:$W$135,23,FALSE),$G$2=5,VLOOKUP('Total income package'!$B$3,'Location specific data'!$A$3:$W$135,24,FALSE))</f>
        <v>851</v>
      </c>
      <c r="P76" s="182" cm="1">
        <f t="array" ref="P76">_xlfn.IFS($G$2=1,VLOOKUP('Total income package'!$B$3,'Location specific data'!$A$3:$AB$135,25,FALSE),$G$2=2,VLOOKUP('Total income package'!$B$3,'Location specific data'!$A$3:$AB$135,26,FALSE),$G$2=3,VLOOKUP('Total income package'!$B$3,'Location specific data'!$A$3:$AB$135,27,FALSE),$G$2=4,VLOOKUP('Total income package'!$B$3,'Location specific data'!$A$3:$AB$135,28,FALSE),$G$2=5,VLOOKUP('Total income package'!$B$3,'Location specific data'!$A$3:$AB$135,29,FALSE))</f>
        <v>995</v>
      </c>
      <c r="Q76" s="337">
        <f>IF(AND(G76="Yes",'Total income package'!$A$14=TRUE,P76-N76&gt;0),P76-N76,0)</f>
        <v>102.00000000000011</v>
      </c>
      <c r="R76" s="29"/>
    </row>
    <row r="77" spans="1:18" x14ac:dyDescent="0.25">
      <c r="A77" s="182">
        <v>35500</v>
      </c>
      <c r="B77" s="4">
        <f t="shared" si="12"/>
        <v>2958.3333333333335</v>
      </c>
      <c r="C77" s="4">
        <f>MAX('TANF-VIEW'!L80,'TANF-VIEW'!T80)</f>
        <v>0</v>
      </c>
      <c r="D77" s="4">
        <f>'Total income package'!$D$80</f>
        <v>0</v>
      </c>
      <c r="E77" s="4">
        <f>'Total income package'!$H$61+'Total income package'!$F$66</f>
        <v>100</v>
      </c>
      <c r="F77" s="4">
        <f t="shared" si="13"/>
        <v>3058.3333333333335</v>
      </c>
      <c r="G77" s="181" t="str">
        <f t="shared" si="14"/>
        <v>Yes</v>
      </c>
      <c r="H77" s="3">
        <f t="shared" si="15"/>
        <v>40</v>
      </c>
      <c r="I77" s="3">
        <f t="shared" si="16"/>
        <v>0</v>
      </c>
      <c r="J77" s="3">
        <f t="shared" si="9"/>
        <v>3018.3333333333335</v>
      </c>
      <c r="K77" s="3">
        <f t="shared" si="10"/>
        <v>905.5</v>
      </c>
      <c r="L77" s="3">
        <f t="shared" si="11"/>
        <v>305.83333333333337</v>
      </c>
      <c r="M77" s="3">
        <v>50</v>
      </c>
      <c r="N77" s="3">
        <f t="shared" si="17"/>
        <v>905.5</v>
      </c>
      <c r="O77" s="182" cm="1">
        <f t="array" ref="O77">_xlfn.IFS($G$2=1,VLOOKUP('Total income package'!$B$3,'Location specific data'!$A$3:$W206,20,FALSE),$G$2=2,VLOOKUP('Total income package'!$B$3,'Location specific data'!$A$3:$W$135,21,FALSE),$G$2=3,VLOOKUP('Total income package'!$B$3,'Location specific data'!$A$3:$W$135,22,FALSE),$G$2=4,VLOOKUP('Total income package'!$B$3,'Location specific data'!$A$3:$W$135,23,FALSE),$G$2=5,VLOOKUP('Total income package'!$B$3,'Location specific data'!$A$3:$W$135,24,FALSE))</f>
        <v>851</v>
      </c>
      <c r="P77" s="182" cm="1">
        <f t="array" ref="P77">_xlfn.IFS($G$2=1,VLOOKUP('Total income package'!$B$3,'Location specific data'!$A$3:$AB$135,25,FALSE),$G$2=2,VLOOKUP('Total income package'!$B$3,'Location specific data'!$A$3:$AB$135,26,FALSE),$G$2=3,VLOOKUP('Total income package'!$B$3,'Location specific data'!$A$3:$AB$135,27,FALSE),$G$2=4,VLOOKUP('Total income package'!$B$3,'Location specific data'!$A$3:$AB$135,28,FALSE),$G$2=5,VLOOKUP('Total income package'!$B$3,'Location specific data'!$A$3:$AB$135,29,FALSE))</f>
        <v>995</v>
      </c>
      <c r="Q77" s="337">
        <f>IF(AND(G77="Yes",'Total income package'!$A$14=TRUE,P77-N77&gt;0),P77-N77,0)</f>
        <v>89.5</v>
      </c>
      <c r="R77" s="29"/>
    </row>
    <row r="78" spans="1:18" x14ac:dyDescent="0.25">
      <c r="A78" s="182">
        <v>36000</v>
      </c>
      <c r="B78" s="4">
        <f t="shared" si="12"/>
        <v>3000</v>
      </c>
      <c r="C78" s="4">
        <f>MAX('TANF-VIEW'!L81,'TANF-VIEW'!T81)</f>
        <v>0</v>
      </c>
      <c r="D78" s="4">
        <f>'Total income package'!$D$80</f>
        <v>0</v>
      </c>
      <c r="E78" s="4">
        <f>'Total income package'!$H$61+'Total income package'!$F$66</f>
        <v>100</v>
      </c>
      <c r="F78" s="4">
        <f t="shared" si="13"/>
        <v>3100</v>
      </c>
      <c r="G78" s="181" t="str">
        <f t="shared" si="14"/>
        <v>Yes</v>
      </c>
      <c r="H78" s="3">
        <f t="shared" si="15"/>
        <v>40</v>
      </c>
      <c r="I78" s="3">
        <f t="shared" si="16"/>
        <v>0</v>
      </c>
      <c r="J78" s="3">
        <f t="shared" si="9"/>
        <v>3060</v>
      </c>
      <c r="K78" s="3">
        <f t="shared" si="10"/>
        <v>918</v>
      </c>
      <c r="L78" s="3">
        <f t="shared" si="11"/>
        <v>310</v>
      </c>
      <c r="M78" s="3">
        <v>50</v>
      </c>
      <c r="N78" s="3">
        <f t="shared" si="17"/>
        <v>918</v>
      </c>
      <c r="O78" s="182" cm="1">
        <f t="array" ref="O78">_xlfn.IFS($G$2=1,VLOOKUP('Total income package'!$B$3,'Location specific data'!$A$3:$W207,20,FALSE),$G$2=2,VLOOKUP('Total income package'!$B$3,'Location specific data'!$A$3:$W$135,21,FALSE),$G$2=3,VLOOKUP('Total income package'!$B$3,'Location specific data'!$A$3:$W$135,22,FALSE),$G$2=4,VLOOKUP('Total income package'!$B$3,'Location specific data'!$A$3:$W$135,23,FALSE),$G$2=5,VLOOKUP('Total income package'!$B$3,'Location specific data'!$A$3:$W$135,24,FALSE))</f>
        <v>851</v>
      </c>
      <c r="P78" s="182" cm="1">
        <f t="array" ref="P78">_xlfn.IFS($G$2=1,VLOOKUP('Total income package'!$B$3,'Location specific data'!$A$3:$AB$135,25,FALSE),$G$2=2,VLOOKUP('Total income package'!$B$3,'Location specific data'!$A$3:$AB$135,26,FALSE),$G$2=3,VLOOKUP('Total income package'!$B$3,'Location specific data'!$A$3:$AB$135,27,FALSE),$G$2=4,VLOOKUP('Total income package'!$B$3,'Location specific data'!$A$3:$AB$135,28,FALSE),$G$2=5,VLOOKUP('Total income package'!$B$3,'Location specific data'!$A$3:$AB$135,29,FALSE))</f>
        <v>995</v>
      </c>
      <c r="Q78" s="337">
        <f>IF(AND(G78="Yes",'Total income package'!$A$14=TRUE,P78-N78&gt;0),P78-N78,0)</f>
        <v>77</v>
      </c>
      <c r="R78" s="29"/>
    </row>
    <row r="79" spans="1:18" x14ac:dyDescent="0.25">
      <c r="A79" s="182">
        <v>36500</v>
      </c>
      <c r="B79" s="4">
        <f t="shared" si="12"/>
        <v>3041.6666666666665</v>
      </c>
      <c r="C79" s="4">
        <f>MAX('TANF-VIEW'!L82,'TANF-VIEW'!T82)</f>
        <v>0</v>
      </c>
      <c r="D79" s="4">
        <f>'Total income package'!$D$80</f>
        <v>0</v>
      </c>
      <c r="E79" s="4">
        <f>'Total income package'!$H$61+'Total income package'!$F$66</f>
        <v>100</v>
      </c>
      <c r="F79" s="4">
        <f t="shared" si="13"/>
        <v>3141.6666666666665</v>
      </c>
      <c r="G79" s="181" t="str">
        <f t="shared" si="14"/>
        <v>Yes</v>
      </c>
      <c r="H79" s="3">
        <f t="shared" si="15"/>
        <v>40</v>
      </c>
      <c r="I79" s="3">
        <f t="shared" si="16"/>
        <v>0</v>
      </c>
      <c r="J79" s="3">
        <f t="shared" si="9"/>
        <v>3101.6666666666665</v>
      </c>
      <c r="K79" s="3">
        <f t="shared" si="10"/>
        <v>930.49999999999989</v>
      </c>
      <c r="L79" s="3">
        <f t="shared" si="11"/>
        <v>314.16666666666669</v>
      </c>
      <c r="M79" s="3">
        <v>50</v>
      </c>
      <c r="N79" s="3">
        <f t="shared" si="17"/>
        <v>930.49999999999989</v>
      </c>
      <c r="O79" s="182" cm="1">
        <f t="array" ref="O79">_xlfn.IFS($G$2=1,VLOOKUP('Total income package'!$B$3,'Location specific data'!$A$3:$W208,20,FALSE),$G$2=2,VLOOKUP('Total income package'!$B$3,'Location specific data'!$A$3:$W$135,21,FALSE),$G$2=3,VLOOKUP('Total income package'!$B$3,'Location specific data'!$A$3:$W$135,22,FALSE),$G$2=4,VLOOKUP('Total income package'!$B$3,'Location specific data'!$A$3:$W$135,23,FALSE),$G$2=5,VLOOKUP('Total income package'!$B$3,'Location specific data'!$A$3:$W$135,24,FALSE))</f>
        <v>851</v>
      </c>
      <c r="P79" s="182" cm="1">
        <f t="array" ref="P79">_xlfn.IFS($G$2=1,VLOOKUP('Total income package'!$B$3,'Location specific data'!$A$3:$AB$135,25,FALSE),$G$2=2,VLOOKUP('Total income package'!$B$3,'Location specific data'!$A$3:$AB$135,26,FALSE),$G$2=3,VLOOKUP('Total income package'!$B$3,'Location specific data'!$A$3:$AB$135,27,FALSE),$G$2=4,VLOOKUP('Total income package'!$B$3,'Location specific data'!$A$3:$AB$135,28,FALSE),$G$2=5,VLOOKUP('Total income package'!$B$3,'Location specific data'!$A$3:$AB$135,29,FALSE))</f>
        <v>995</v>
      </c>
      <c r="Q79" s="337">
        <f>IF(AND(G79="Yes",'Total income package'!$A$14=TRUE,P79-N79&gt;0),P79-N79,0)</f>
        <v>64.500000000000114</v>
      </c>
      <c r="R79" s="29"/>
    </row>
    <row r="80" spans="1:18" x14ac:dyDescent="0.25">
      <c r="A80" s="182">
        <v>37000</v>
      </c>
      <c r="B80" s="4">
        <f t="shared" si="12"/>
        <v>3083.3333333333335</v>
      </c>
      <c r="C80" s="4">
        <f>MAX('TANF-VIEW'!L83,'TANF-VIEW'!T83)</f>
        <v>0</v>
      </c>
      <c r="D80" s="4">
        <f>'Total income package'!$D$80</f>
        <v>0</v>
      </c>
      <c r="E80" s="4">
        <f>'Total income package'!$H$61+'Total income package'!$F$66</f>
        <v>100</v>
      </c>
      <c r="F80" s="4">
        <f t="shared" si="13"/>
        <v>3183.3333333333335</v>
      </c>
      <c r="G80" s="181" t="str">
        <f t="shared" si="14"/>
        <v>Yes</v>
      </c>
      <c r="H80" s="3">
        <f t="shared" si="15"/>
        <v>40</v>
      </c>
      <c r="I80" s="3">
        <f t="shared" si="16"/>
        <v>0</v>
      </c>
      <c r="J80" s="3">
        <f t="shared" si="9"/>
        <v>3143.3333333333335</v>
      </c>
      <c r="K80" s="3">
        <f t="shared" si="10"/>
        <v>943</v>
      </c>
      <c r="L80" s="3">
        <f t="shared" si="11"/>
        <v>318.33333333333337</v>
      </c>
      <c r="M80" s="3">
        <v>50</v>
      </c>
      <c r="N80" s="3">
        <f t="shared" si="17"/>
        <v>943</v>
      </c>
      <c r="O80" s="182" cm="1">
        <f t="array" ref="O80">_xlfn.IFS($G$2=1,VLOOKUP('Total income package'!$B$3,'Location specific data'!$A$3:$W209,20,FALSE),$G$2=2,VLOOKUP('Total income package'!$B$3,'Location specific data'!$A$3:$W$135,21,FALSE),$G$2=3,VLOOKUP('Total income package'!$B$3,'Location specific data'!$A$3:$W$135,22,FALSE),$G$2=4,VLOOKUP('Total income package'!$B$3,'Location specific data'!$A$3:$W$135,23,FALSE),$G$2=5,VLOOKUP('Total income package'!$B$3,'Location specific data'!$A$3:$W$135,24,FALSE))</f>
        <v>851</v>
      </c>
      <c r="P80" s="182" cm="1">
        <f t="array" ref="P80">_xlfn.IFS($G$2=1,VLOOKUP('Total income package'!$B$3,'Location specific data'!$A$3:$AB$135,25,FALSE),$G$2=2,VLOOKUP('Total income package'!$B$3,'Location specific data'!$A$3:$AB$135,26,FALSE),$G$2=3,VLOOKUP('Total income package'!$B$3,'Location specific data'!$A$3:$AB$135,27,FALSE),$G$2=4,VLOOKUP('Total income package'!$B$3,'Location specific data'!$A$3:$AB$135,28,FALSE),$G$2=5,VLOOKUP('Total income package'!$B$3,'Location specific data'!$A$3:$AB$135,29,FALSE))</f>
        <v>995</v>
      </c>
      <c r="Q80" s="337">
        <f>IF(AND(G80="Yes",'Total income package'!$A$14=TRUE,P80-N80&gt;0),P80-N80,0)</f>
        <v>52</v>
      </c>
      <c r="R80" s="29"/>
    </row>
    <row r="81" spans="1:18" x14ac:dyDescent="0.25">
      <c r="A81" s="182">
        <v>37500</v>
      </c>
      <c r="B81" s="4">
        <f t="shared" si="12"/>
        <v>3125</v>
      </c>
      <c r="C81" s="4">
        <f>MAX('TANF-VIEW'!L84,'TANF-VIEW'!T84)</f>
        <v>0</v>
      </c>
      <c r="D81" s="4">
        <f>'Total income package'!$D$80</f>
        <v>0</v>
      </c>
      <c r="E81" s="4">
        <f>'Total income package'!$H$61+'Total income package'!$F$66</f>
        <v>100</v>
      </c>
      <c r="F81" s="4">
        <f t="shared" si="13"/>
        <v>3225</v>
      </c>
      <c r="G81" s="181" t="str">
        <f t="shared" si="14"/>
        <v>Yes</v>
      </c>
      <c r="H81" s="3">
        <f t="shared" si="15"/>
        <v>40</v>
      </c>
      <c r="I81" s="3">
        <f t="shared" si="16"/>
        <v>0</v>
      </c>
      <c r="J81" s="3">
        <f t="shared" si="9"/>
        <v>3185</v>
      </c>
      <c r="K81" s="3">
        <f t="shared" si="10"/>
        <v>955.5</v>
      </c>
      <c r="L81" s="3">
        <f t="shared" si="11"/>
        <v>322.5</v>
      </c>
      <c r="M81" s="3">
        <v>50</v>
      </c>
      <c r="N81" s="3">
        <f t="shared" si="17"/>
        <v>955.5</v>
      </c>
      <c r="O81" s="182" cm="1">
        <f t="array" ref="O81">_xlfn.IFS($G$2=1,VLOOKUP('Total income package'!$B$3,'Location specific data'!$A$3:$W210,20,FALSE),$G$2=2,VLOOKUP('Total income package'!$B$3,'Location specific data'!$A$3:$W$135,21,FALSE),$G$2=3,VLOOKUP('Total income package'!$B$3,'Location specific data'!$A$3:$W$135,22,FALSE),$G$2=4,VLOOKUP('Total income package'!$B$3,'Location specific data'!$A$3:$W$135,23,FALSE),$G$2=5,VLOOKUP('Total income package'!$B$3,'Location specific data'!$A$3:$W$135,24,FALSE))</f>
        <v>851</v>
      </c>
      <c r="P81" s="182" cm="1">
        <f t="array" ref="P81">_xlfn.IFS($G$2=1,VLOOKUP('Total income package'!$B$3,'Location specific data'!$A$3:$AB$135,25,FALSE),$G$2=2,VLOOKUP('Total income package'!$B$3,'Location specific data'!$A$3:$AB$135,26,FALSE),$G$2=3,VLOOKUP('Total income package'!$B$3,'Location specific data'!$A$3:$AB$135,27,FALSE),$G$2=4,VLOOKUP('Total income package'!$B$3,'Location specific data'!$A$3:$AB$135,28,FALSE),$G$2=5,VLOOKUP('Total income package'!$B$3,'Location specific data'!$A$3:$AB$135,29,FALSE))</f>
        <v>995</v>
      </c>
      <c r="Q81" s="337">
        <f>IF(AND(G81="Yes",'Total income package'!$A$14=TRUE,P81-N81&gt;0),P81-N81,0)</f>
        <v>39.5</v>
      </c>
      <c r="R81" s="29"/>
    </row>
    <row r="82" spans="1:18" x14ac:dyDescent="0.25">
      <c r="A82" s="182">
        <v>38000</v>
      </c>
      <c r="B82" s="4">
        <f t="shared" si="12"/>
        <v>3166.6666666666665</v>
      </c>
      <c r="C82" s="4">
        <f>MAX('TANF-VIEW'!L85,'TANF-VIEW'!T85)</f>
        <v>0</v>
      </c>
      <c r="D82" s="4">
        <f>'Total income package'!$D$80</f>
        <v>0</v>
      </c>
      <c r="E82" s="4">
        <f>'Total income package'!$H$61+'Total income package'!$F$66</f>
        <v>100</v>
      </c>
      <c r="F82" s="4">
        <f t="shared" si="13"/>
        <v>3266.6666666666665</v>
      </c>
      <c r="G82" s="181" t="str">
        <f t="shared" si="14"/>
        <v>Yes</v>
      </c>
      <c r="H82" s="3">
        <f t="shared" si="15"/>
        <v>40</v>
      </c>
      <c r="I82" s="3">
        <f t="shared" si="16"/>
        <v>0</v>
      </c>
      <c r="J82" s="3">
        <f t="shared" si="9"/>
        <v>3226.6666666666665</v>
      </c>
      <c r="K82" s="3">
        <f t="shared" si="10"/>
        <v>967.99999999999989</v>
      </c>
      <c r="L82" s="3">
        <f t="shared" si="11"/>
        <v>326.66666666666669</v>
      </c>
      <c r="M82" s="3">
        <v>50</v>
      </c>
      <c r="N82" s="3">
        <f t="shared" si="17"/>
        <v>967.99999999999989</v>
      </c>
      <c r="O82" s="182" cm="1">
        <f t="array" ref="O82">_xlfn.IFS($G$2=1,VLOOKUP('Total income package'!$B$3,'Location specific data'!$A$3:$W211,20,FALSE),$G$2=2,VLOOKUP('Total income package'!$B$3,'Location specific data'!$A$3:$W$135,21,FALSE),$G$2=3,VLOOKUP('Total income package'!$B$3,'Location specific data'!$A$3:$W$135,22,FALSE),$G$2=4,VLOOKUP('Total income package'!$B$3,'Location specific data'!$A$3:$W$135,23,FALSE),$G$2=5,VLOOKUP('Total income package'!$B$3,'Location specific data'!$A$3:$W$135,24,FALSE))</f>
        <v>851</v>
      </c>
      <c r="P82" s="182" cm="1">
        <f t="array" ref="P82">_xlfn.IFS($G$2=1,VLOOKUP('Total income package'!$B$3,'Location specific data'!$A$3:$AB$135,25,FALSE),$G$2=2,VLOOKUP('Total income package'!$B$3,'Location specific data'!$A$3:$AB$135,26,FALSE),$G$2=3,VLOOKUP('Total income package'!$B$3,'Location specific data'!$A$3:$AB$135,27,FALSE),$G$2=4,VLOOKUP('Total income package'!$B$3,'Location specific data'!$A$3:$AB$135,28,FALSE),$G$2=5,VLOOKUP('Total income package'!$B$3,'Location specific data'!$A$3:$AB$135,29,FALSE))</f>
        <v>995</v>
      </c>
      <c r="Q82" s="337">
        <f>IF(AND(G82="Yes",'Total income package'!$A$14=TRUE,P82-N82&gt;0),P82-N82,0)</f>
        <v>27.000000000000114</v>
      </c>
      <c r="R82" s="29"/>
    </row>
    <row r="83" spans="1:18" x14ac:dyDescent="0.25">
      <c r="A83" s="182">
        <v>38500</v>
      </c>
      <c r="B83" s="4">
        <f t="shared" si="12"/>
        <v>3208.3333333333335</v>
      </c>
      <c r="C83" s="4">
        <f>MAX('TANF-VIEW'!L86,'TANF-VIEW'!T86)</f>
        <v>0</v>
      </c>
      <c r="D83" s="4">
        <f>'Total income package'!$D$80</f>
        <v>0</v>
      </c>
      <c r="E83" s="4">
        <f>'Total income package'!$H$61+'Total income package'!$F$66</f>
        <v>100</v>
      </c>
      <c r="F83" s="4">
        <f t="shared" si="13"/>
        <v>3308.3333333333335</v>
      </c>
      <c r="G83" s="181" t="str">
        <f t="shared" si="14"/>
        <v>Yes</v>
      </c>
      <c r="H83" s="3">
        <f t="shared" si="15"/>
        <v>40</v>
      </c>
      <c r="I83" s="3">
        <f t="shared" si="16"/>
        <v>0</v>
      </c>
      <c r="J83" s="3">
        <f t="shared" si="9"/>
        <v>3268.3333333333335</v>
      </c>
      <c r="K83" s="3">
        <f t="shared" si="10"/>
        <v>980.5</v>
      </c>
      <c r="L83" s="3">
        <f t="shared" si="11"/>
        <v>330.83333333333337</v>
      </c>
      <c r="M83" s="3">
        <v>50</v>
      </c>
      <c r="N83" s="3">
        <f t="shared" si="17"/>
        <v>980.5</v>
      </c>
      <c r="O83" s="182" cm="1">
        <f t="array" ref="O83">_xlfn.IFS($G$2=1,VLOOKUP('Total income package'!$B$3,'Location specific data'!$A$3:$W212,20,FALSE),$G$2=2,VLOOKUP('Total income package'!$B$3,'Location specific data'!$A$3:$W$135,21,FALSE),$G$2=3,VLOOKUP('Total income package'!$B$3,'Location specific data'!$A$3:$W$135,22,FALSE),$G$2=4,VLOOKUP('Total income package'!$B$3,'Location specific data'!$A$3:$W$135,23,FALSE),$G$2=5,VLOOKUP('Total income package'!$B$3,'Location specific data'!$A$3:$W$135,24,FALSE))</f>
        <v>851</v>
      </c>
      <c r="P83" s="182" cm="1">
        <f t="array" ref="P83">_xlfn.IFS($G$2=1,VLOOKUP('Total income package'!$B$3,'Location specific data'!$A$3:$AB$135,25,FALSE),$G$2=2,VLOOKUP('Total income package'!$B$3,'Location specific data'!$A$3:$AB$135,26,FALSE),$G$2=3,VLOOKUP('Total income package'!$B$3,'Location specific data'!$A$3:$AB$135,27,FALSE),$G$2=4,VLOOKUP('Total income package'!$B$3,'Location specific data'!$A$3:$AB$135,28,FALSE),$G$2=5,VLOOKUP('Total income package'!$B$3,'Location specific data'!$A$3:$AB$135,29,FALSE))</f>
        <v>995</v>
      </c>
      <c r="Q83" s="337">
        <f>IF(AND(G83="Yes",'Total income package'!$A$14=TRUE,P83-N83&gt;0),P83-N83,0)</f>
        <v>14.5</v>
      </c>
      <c r="R83" s="29"/>
    </row>
    <row r="84" spans="1:18" x14ac:dyDescent="0.25">
      <c r="A84" s="182">
        <v>39000</v>
      </c>
      <c r="B84" s="4">
        <f t="shared" si="12"/>
        <v>3250</v>
      </c>
      <c r="C84" s="4">
        <f>MAX('TANF-VIEW'!L87,'TANF-VIEW'!T87)</f>
        <v>0</v>
      </c>
      <c r="D84" s="4">
        <f>'Total income package'!$D$80</f>
        <v>0</v>
      </c>
      <c r="E84" s="4">
        <f>'Total income package'!$H$61+'Total income package'!$F$66</f>
        <v>100</v>
      </c>
      <c r="F84" s="4">
        <f t="shared" si="13"/>
        <v>3350</v>
      </c>
      <c r="G84" s="181" t="str">
        <f t="shared" si="14"/>
        <v>Yes</v>
      </c>
      <c r="H84" s="3">
        <f t="shared" si="15"/>
        <v>40</v>
      </c>
      <c r="I84" s="3">
        <f t="shared" si="16"/>
        <v>0</v>
      </c>
      <c r="J84" s="3">
        <f t="shared" si="9"/>
        <v>3310</v>
      </c>
      <c r="K84" s="3">
        <f t="shared" si="10"/>
        <v>993</v>
      </c>
      <c r="L84" s="3">
        <f t="shared" si="11"/>
        <v>335</v>
      </c>
      <c r="M84" s="3">
        <v>50</v>
      </c>
      <c r="N84" s="3">
        <f t="shared" si="17"/>
        <v>993</v>
      </c>
      <c r="O84" s="182" cm="1">
        <f t="array" ref="O84">_xlfn.IFS($G$2=1,VLOOKUP('Total income package'!$B$3,'Location specific data'!$A$3:$W213,20,FALSE),$G$2=2,VLOOKUP('Total income package'!$B$3,'Location specific data'!$A$3:$W$135,21,FALSE),$G$2=3,VLOOKUP('Total income package'!$B$3,'Location specific data'!$A$3:$W$135,22,FALSE),$G$2=4,VLOOKUP('Total income package'!$B$3,'Location specific data'!$A$3:$W$135,23,FALSE),$G$2=5,VLOOKUP('Total income package'!$B$3,'Location specific data'!$A$3:$W$135,24,FALSE))</f>
        <v>851</v>
      </c>
      <c r="P84" s="182" cm="1">
        <f t="array" ref="P84">_xlfn.IFS($G$2=1,VLOOKUP('Total income package'!$B$3,'Location specific data'!$A$3:$AB$135,25,FALSE),$G$2=2,VLOOKUP('Total income package'!$B$3,'Location specific data'!$A$3:$AB$135,26,FALSE),$G$2=3,VLOOKUP('Total income package'!$B$3,'Location specific data'!$A$3:$AB$135,27,FALSE),$G$2=4,VLOOKUP('Total income package'!$B$3,'Location specific data'!$A$3:$AB$135,28,FALSE),$G$2=5,VLOOKUP('Total income package'!$B$3,'Location specific data'!$A$3:$AB$135,29,FALSE))</f>
        <v>995</v>
      </c>
      <c r="Q84" s="337">
        <f>IF(AND(G84="Yes",'Total income package'!$A$14=TRUE,P84-N84&gt;0),P84-N84,0)</f>
        <v>2</v>
      </c>
      <c r="R84" s="29"/>
    </row>
    <row r="85" spans="1:18" x14ac:dyDescent="0.25">
      <c r="A85" s="182">
        <v>39500</v>
      </c>
      <c r="B85" s="4">
        <f t="shared" si="12"/>
        <v>3291.6666666666665</v>
      </c>
      <c r="C85" s="4">
        <f>MAX('TANF-VIEW'!L88,'TANF-VIEW'!T88)</f>
        <v>0</v>
      </c>
      <c r="D85" s="4">
        <f>'Total income package'!$D$80</f>
        <v>0</v>
      </c>
      <c r="E85" s="4">
        <f>'Total income package'!$H$61+'Total income package'!$F$66</f>
        <v>100</v>
      </c>
      <c r="F85" s="4">
        <f t="shared" si="13"/>
        <v>3391.6666666666665</v>
      </c>
      <c r="G85" s="181" t="str">
        <f t="shared" si="14"/>
        <v>Yes</v>
      </c>
      <c r="H85" s="3">
        <f t="shared" si="15"/>
        <v>40</v>
      </c>
      <c r="I85" s="3">
        <f t="shared" si="16"/>
        <v>0</v>
      </c>
      <c r="J85" s="3">
        <f t="shared" si="9"/>
        <v>3351.6666666666665</v>
      </c>
      <c r="K85" s="3">
        <f t="shared" si="10"/>
        <v>1005.4999999999999</v>
      </c>
      <c r="L85" s="3">
        <f t="shared" si="11"/>
        <v>339.16666666666669</v>
      </c>
      <c r="M85" s="3">
        <v>50</v>
      </c>
      <c r="N85" s="3">
        <f t="shared" si="17"/>
        <v>1005.4999999999999</v>
      </c>
      <c r="O85" s="182" cm="1">
        <f t="array" ref="O85">_xlfn.IFS($G$2=1,VLOOKUP('Total income package'!$B$3,'Location specific data'!$A$3:$W214,20,FALSE),$G$2=2,VLOOKUP('Total income package'!$B$3,'Location specific data'!$A$3:$W$135,21,FALSE),$G$2=3,VLOOKUP('Total income package'!$B$3,'Location specific data'!$A$3:$W$135,22,FALSE),$G$2=4,VLOOKUP('Total income package'!$B$3,'Location specific data'!$A$3:$W$135,23,FALSE),$G$2=5,VLOOKUP('Total income package'!$B$3,'Location specific data'!$A$3:$W$135,24,FALSE))</f>
        <v>851</v>
      </c>
      <c r="P85" s="182" cm="1">
        <f t="array" ref="P85">_xlfn.IFS($G$2=1,VLOOKUP('Total income package'!$B$3,'Location specific data'!$A$3:$AB$135,25,FALSE),$G$2=2,VLOOKUP('Total income package'!$B$3,'Location specific data'!$A$3:$AB$135,26,FALSE),$G$2=3,VLOOKUP('Total income package'!$B$3,'Location specific data'!$A$3:$AB$135,27,FALSE),$G$2=4,VLOOKUP('Total income package'!$B$3,'Location specific data'!$A$3:$AB$135,28,FALSE),$G$2=5,VLOOKUP('Total income package'!$B$3,'Location specific data'!$A$3:$AB$135,29,FALSE))</f>
        <v>995</v>
      </c>
      <c r="Q85" s="337">
        <f>IF(AND(G85="Yes",'Total income package'!$A$14=TRUE,P85-N85&gt;0),P85-N85,0)</f>
        <v>0</v>
      </c>
      <c r="R85" s="29"/>
    </row>
    <row r="86" spans="1:18" x14ac:dyDescent="0.25">
      <c r="A86" s="182">
        <v>40000</v>
      </c>
      <c r="B86" s="4">
        <f t="shared" si="12"/>
        <v>3333.3333333333335</v>
      </c>
      <c r="C86" s="4">
        <f>MAX('TANF-VIEW'!L89,'TANF-VIEW'!T89)</f>
        <v>0</v>
      </c>
      <c r="D86" s="4">
        <f>'Total income package'!$D$80</f>
        <v>0</v>
      </c>
      <c r="E86" s="4">
        <f>'Total income package'!$H$61+'Total income package'!$F$66</f>
        <v>100</v>
      </c>
      <c r="F86" s="4">
        <f t="shared" si="13"/>
        <v>3433.3333333333335</v>
      </c>
      <c r="G86" s="181" t="str">
        <f t="shared" si="14"/>
        <v>Yes</v>
      </c>
      <c r="H86" s="3">
        <f t="shared" si="15"/>
        <v>40</v>
      </c>
      <c r="I86" s="3">
        <f t="shared" si="16"/>
        <v>0</v>
      </c>
      <c r="J86" s="3">
        <f t="shared" si="9"/>
        <v>3393.3333333333335</v>
      </c>
      <c r="K86" s="3">
        <f t="shared" si="10"/>
        <v>1018</v>
      </c>
      <c r="L86" s="3">
        <f t="shared" si="11"/>
        <v>343.33333333333337</v>
      </c>
      <c r="M86" s="3">
        <v>50</v>
      </c>
      <c r="N86" s="3">
        <f t="shared" si="17"/>
        <v>1018</v>
      </c>
      <c r="O86" s="182" cm="1">
        <f t="array" ref="O86">_xlfn.IFS($G$2=1,VLOOKUP('Total income package'!$B$3,'Location specific data'!$A$3:$W215,20,FALSE),$G$2=2,VLOOKUP('Total income package'!$B$3,'Location specific data'!$A$3:$W$135,21,FALSE),$G$2=3,VLOOKUP('Total income package'!$B$3,'Location specific data'!$A$3:$W$135,22,FALSE),$G$2=4,VLOOKUP('Total income package'!$B$3,'Location specific data'!$A$3:$W$135,23,FALSE),$G$2=5,VLOOKUP('Total income package'!$B$3,'Location specific data'!$A$3:$W$135,24,FALSE))</f>
        <v>851</v>
      </c>
      <c r="P86" s="182" cm="1">
        <f t="array" ref="P86">_xlfn.IFS($G$2=1,VLOOKUP('Total income package'!$B$3,'Location specific data'!$A$3:$AB$135,25,FALSE),$G$2=2,VLOOKUP('Total income package'!$B$3,'Location specific data'!$A$3:$AB$135,26,FALSE),$G$2=3,VLOOKUP('Total income package'!$B$3,'Location specific data'!$A$3:$AB$135,27,FALSE),$G$2=4,VLOOKUP('Total income package'!$B$3,'Location specific data'!$A$3:$AB$135,28,FALSE),$G$2=5,VLOOKUP('Total income package'!$B$3,'Location specific data'!$A$3:$AB$135,29,FALSE))</f>
        <v>995</v>
      </c>
      <c r="Q86" s="337">
        <f>IF(AND(G86="Yes",'Total income package'!$A$14=TRUE,P86-N86&gt;0),P86-N86,0)</f>
        <v>0</v>
      </c>
      <c r="R86" s="29"/>
    </row>
    <row r="87" spans="1:18" x14ac:dyDescent="0.25">
      <c r="A87" s="182">
        <v>40500</v>
      </c>
      <c r="B87" s="4">
        <f t="shared" si="12"/>
        <v>3375</v>
      </c>
      <c r="C87" s="4">
        <f>MAX('TANF-VIEW'!L90,'TANF-VIEW'!T90)</f>
        <v>0</v>
      </c>
      <c r="D87" s="4">
        <f>'Total income package'!$D$80</f>
        <v>0</v>
      </c>
      <c r="E87" s="4">
        <f>'Total income package'!$H$61+'Total income package'!$F$66</f>
        <v>100</v>
      </c>
      <c r="F87" s="4">
        <f t="shared" si="13"/>
        <v>3475</v>
      </c>
      <c r="G87" s="181" t="str">
        <f t="shared" si="14"/>
        <v>Yes</v>
      </c>
      <c r="H87" s="3">
        <f t="shared" si="15"/>
        <v>40</v>
      </c>
      <c r="I87" s="3">
        <f t="shared" si="16"/>
        <v>0</v>
      </c>
      <c r="J87" s="3">
        <f t="shared" si="9"/>
        <v>3435</v>
      </c>
      <c r="K87" s="3">
        <f t="shared" si="10"/>
        <v>1030.5</v>
      </c>
      <c r="L87" s="3">
        <f t="shared" si="11"/>
        <v>347.5</v>
      </c>
      <c r="M87" s="3">
        <v>50</v>
      </c>
      <c r="N87" s="3">
        <f t="shared" si="17"/>
        <v>1030.5</v>
      </c>
      <c r="O87" s="182" cm="1">
        <f t="array" ref="O87">_xlfn.IFS($G$2=1,VLOOKUP('Total income package'!$B$3,'Location specific data'!$A$3:$W216,20,FALSE),$G$2=2,VLOOKUP('Total income package'!$B$3,'Location specific data'!$A$3:$W$135,21,FALSE),$G$2=3,VLOOKUP('Total income package'!$B$3,'Location specific data'!$A$3:$W$135,22,FALSE),$G$2=4,VLOOKUP('Total income package'!$B$3,'Location specific data'!$A$3:$W$135,23,FALSE),$G$2=5,VLOOKUP('Total income package'!$B$3,'Location specific data'!$A$3:$W$135,24,FALSE))</f>
        <v>851</v>
      </c>
      <c r="P87" s="182" cm="1">
        <f t="array" ref="P87">_xlfn.IFS($G$2=1,VLOOKUP('Total income package'!$B$3,'Location specific data'!$A$3:$AB$135,25,FALSE),$G$2=2,VLOOKUP('Total income package'!$B$3,'Location specific data'!$A$3:$AB$135,26,FALSE),$G$2=3,VLOOKUP('Total income package'!$B$3,'Location specific data'!$A$3:$AB$135,27,FALSE),$G$2=4,VLOOKUP('Total income package'!$B$3,'Location specific data'!$A$3:$AB$135,28,FALSE),$G$2=5,VLOOKUP('Total income package'!$B$3,'Location specific data'!$A$3:$AB$135,29,FALSE))</f>
        <v>995</v>
      </c>
      <c r="Q87" s="337">
        <f>IF(AND(G87="Yes",'Total income package'!$A$14=TRUE,P87-N87&gt;0),P87-N87,0)</f>
        <v>0</v>
      </c>
      <c r="R87" s="29"/>
    </row>
    <row r="88" spans="1:18" x14ac:dyDescent="0.25">
      <c r="A88" s="182">
        <v>41000</v>
      </c>
      <c r="B88" s="4">
        <f t="shared" si="12"/>
        <v>3416.6666666666665</v>
      </c>
      <c r="C88" s="4">
        <f>MAX('TANF-VIEW'!L91,'TANF-VIEW'!T91)</f>
        <v>0</v>
      </c>
      <c r="D88" s="4">
        <f>'Total income package'!$D$80</f>
        <v>0</v>
      </c>
      <c r="E88" s="4">
        <f>'Total income package'!$H$61+'Total income package'!$F$66</f>
        <v>100</v>
      </c>
      <c r="F88" s="4">
        <f t="shared" si="13"/>
        <v>3516.6666666666665</v>
      </c>
      <c r="G88" s="181" t="str">
        <f t="shared" si="14"/>
        <v>Yes</v>
      </c>
      <c r="H88" s="3">
        <f t="shared" si="15"/>
        <v>40</v>
      </c>
      <c r="I88" s="3">
        <f t="shared" si="16"/>
        <v>0</v>
      </c>
      <c r="J88" s="3">
        <f t="shared" si="9"/>
        <v>3476.6666666666665</v>
      </c>
      <c r="K88" s="3">
        <f t="shared" si="10"/>
        <v>1043</v>
      </c>
      <c r="L88" s="3">
        <f t="shared" si="11"/>
        <v>351.66666666666669</v>
      </c>
      <c r="M88" s="3">
        <v>50</v>
      </c>
      <c r="N88" s="3">
        <f t="shared" si="17"/>
        <v>1043</v>
      </c>
      <c r="O88" s="182" cm="1">
        <f t="array" ref="O88">_xlfn.IFS($G$2=1,VLOOKUP('Total income package'!$B$3,'Location specific data'!$A$3:$W217,20,FALSE),$G$2=2,VLOOKUP('Total income package'!$B$3,'Location specific data'!$A$3:$W$135,21,FALSE),$G$2=3,VLOOKUP('Total income package'!$B$3,'Location specific data'!$A$3:$W$135,22,FALSE),$G$2=4,VLOOKUP('Total income package'!$B$3,'Location specific data'!$A$3:$W$135,23,FALSE),$G$2=5,VLOOKUP('Total income package'!$B$3,'Location specific data'!$A$3:$W$135,24,FALSE))</f>
        <v>851</v>
      </c>
      <c r="P88" s="182" cm="1">
        <f t="array" ref="P88">_xlfn.IFS($G$2=1,VLOOKUP('Total income package'!$B$3,'Location specific data'!$A$3:$AB$135,25,FALSE),$G$2=2,VLOOKUP('Total income package'!$B$3,'Location specific data'!$A$3:$AB$135,26,FALSE),$G$2=3,VLOOKUP('Total income package'!$B$3,'Location specific data'!$A$3:$AB$135,27,FALSE),$G$2=4,VLOOKUP('Total income package'!$B$3,'Location specific data'!$A$3:$AB$135,28,FALSE),$G$2=5,VLOOKUP('Total income package'!$B$3,'Location specific data'!$A$3:$AB$135,29,FALSE))</f>
        <v>995</v>
      </c>
      <c r="Q88" s="337">
        <f>IF(AND(G88="Yes",'Total income package'!$A$14=TRUE,P88-N88&gt;0),P88-N88,0)</f>
        <v>0</v>
      </c>
      <c r="R88" s="29"/>
    </row>
    <row r="89" spans="1:18" x14ac:dyDescent="0.25">
      <c r="A89" s="182">
        <v>41500</v>
      </c>
      <c r="B89" s="4">
        <f t="shared" si="12"/>
        <v>3458.3333333333335</v>
      </c>
      <c r="C89" s="4">
        <f>MAX('TANF-VIEW'!L92,'TANF-VIEW'!T92)</f>
        <v>0</v>
      </c>
      <c r="D89" s="4">
        <f>'Total income package'!$D$80</f>
        <v>0</v>
      </c>
      <c r="E89" s="4">
        <f>'Total income package'!$H$61+'Total income package'!$F$66</f>
        <v>100</v>
      </c>
      <c r="F89" s="4">
        <f t="shared" si="13"/>
        <v>3558.3333333333335</v>
      </c>
      <c r="G89" s="181" t="str">
        <f t="shared" si="14"/>
        <v>Yes</v>
      </c>
      <c r="H89" s="3">
        <f t="shared" si="15"/>
        <v>40</v>
      </c>
      <c r="I89" s="3">
        <f t="shared" si="16"/>
        <v>0</v>
      </c>
      <c r="J89" s="3">
        <f t="shared" si="9"/>
        <v>3518.3333333333335</v>
      </c>
      <c r="K89" s="3">
        <f t="shared" si="10"/>
        <v>1055.5</v>
      </c>
      <c r="L89" s="3">
        <f t="shared" si="11"/>
        <v>355.83333333333337</v>
      </c>
      <c r="M89" s="3">
        <v>50</v>
      </c>
      <c r="N89" s="3">
        <f t="shared" si="17"/>
        <v>1055.5</v>
      </c>
      <c r="O89" s="182" cm="1">
        <f t="array" ref="O89">_xlfn.IFS($G$2=1,VLOOKUP('Total income package'!$B$3,'Location specific data'!$A$3:$W218,20,FALSE),$G$2=2,VLOOKUP('Total income package'!$B$3,'Location specific data'!$A$3:$W$135,21,FALSE),$G$2=3,VLOOKUP('Total income package'!$B$3,'Location specific data'!$A$3:$W$135,22,FALSE),$G$2=4,VLOOKUP('Total income package'!$B$3,'Location specific data'!$A$3:$W$135,23,FALSE),$G$2=5,VLOOKUP('Total income package'!$B$3,'Location specific data'!$A$3:$W$135,24,FALSE))</f>
        <v>851</v>
      </c>
      <c r="P89" s="182" cm="1">
        <f t="array" ref="P89">_xlfn.IFS($G$2=1,VLOOKUP('Total income package'!$B$3,'Location specific data'!$A$3:$AB$135,25,FALSE),$G$2=2,VLOOKUP('Total income package'!$B$3,'Location specific data'!$A$3:$AB$135,26,FALSE),$G$2=3,VLOOKUP('Total income package'!$B$3,'Location specific data'!$A$3:$AB$135,27,FALSE),$G$2=4,VLOOKUP('Total income package'!$B$3,'Location specific data'!$A$3:$AB$135,28,FALSE),$G$2=5,VLOOKUP('Total income package'!$B$3,'Location specific data'!$A$3:$AB$135,29,FALSE))</f>
        <v>995</v>
      </c>
      <c r="Q89" s="337">
        <f>IF(AND(G89="Yes",'Total income package'!$A$14=TRUE,P89-N89&gt;0),P89-N89,0)</f>
        <v>0</v>
      </c>
      <c r="R89" s="29"/>
    </row>
    <row r="90" spans="1:18" x14ac:dyDescent="0.25">
      <c r="A90" s="182">
        <v>42000</v>
      </c>
      <c r="B90" s="4">
        <f t="shared" si="12"/>
        <v>3500</v>
      </c>
      <c r="C90" s="4">
        <f>MAX('TANF-VIEW'!L93,'TANF-VIEW'!T93)</f>
        <v>0</v>
      </c>
      <c r="D90" s="4">
        <f>'Total income package'!$D$80</f>
        <v>0</v>
      </c>
      <c r="E90" s="4">
        <f>'Total income package'!$H$61+'Total income package'!$F$66</f>
        <v>100</v>
      </c>
      <c r="F90" s="4">
        <f t="shared" si="13"/>
        <v>3600</v>
      </c>
      <c r="G90" s="181" t="str">
        <f t="shared" si="14"/>
        <v>Yes</v>
      </c>
      <c r="H90" s="3">
        <f t="shared" si="15"/>
        <v>40</v>
      </c>
      <c r="I90" s="3">
        <f t="shared" si="16"/>
        <v>0</v>
      </c>
      <c r="J90" s="3">
        <f t="shared" si="9"/>
        <v>3560</v>
      </c>
      <c r="K90" s="3">
        <f t="shared" si="10"/>
        <v>1068</v>
      </c>
      <c r="L90" s="3">
        <f t="shared" si="11"/>
        <v>360</v>
      </c>
      <c r="M90" s="3">
        <v>50</v>
      </c>
      <c r="N90" s="3">
        <f t="shared" si="17"/>
        <v>1068</v>
      </c>
      <c r="O90" s="182" cm="1">
        <f t="array" ref="O90">_xlfn.IFS($G$2=1,VLOOKUP('Total income package'!$B$3,'Location specific data'!$A$3:$W219,20,FALSE),$G$2=2,VLOOKUP('Total income package'!$B$3,'Location specific data'!$A$3:$W$135,21,FALSE),$G$2=3,VLOOKUP('Total income package'!$B$3,'Location specific data'!$A$3:$W$135,22,FALSE),$G$2=4,VLOOKUP('Total income package'!$B$3,'Location specific data'!$A$3:$W$135,23,FALSE),$G$2=5,VLOOKUP('Total income package'!$B$3,'Location specific data'!$A$3:$W$135,24,FALSE))</f>
        <v>851</v>
      </c>
      <c r="P90" s="182" cm="1">
        <f t="array" ref="P90">_xlfn.IFS($G$2=1,VLOOKUP('Total income package'!$B$3,'Location specific data'!$A$3:$AB$135,25,FALSE),$G$2=2,VLOOKUP('Total income package'!$B$3,'Location specific data'!$A$3:$AB$135,26,FALSE),$G$2=3,VLOOKUP('Total income package'!$B$3,'Location specific data'!$A$3:$AB$135,27,FALSE),$G$2=4,VLOOKUP('Total income package'!$B$3,'Location specific data'!$A$3:$AB$135,28,FALSE),$G$2=5,VLOOKUP('Total income package'!$B$3,'Location specific data'!$A$3:$AB$135,29,FALSE))</f>
        <v>995</v>
      </c>
      <c r="Q90" s="337">
        <f>IF(AND(G90="Yes",'Total income package'!$A$14=TRUE,P90-N90&gt;0),P90-N90,0)</f>
        <v>0</v>
      </c>
      <c r="R90" s="29"/>
    </row>
    <row r="91" spans="1:18" x14ac:dyDescent="0.25">
      <c r="A91" s="182">
        <v>42500</v>
      </c>
      <c r="B91" s="4">
        <f t="shared" si="12"/>
        <v>3541.6666666666665</v>
      </c>
      <c r="C91" s="4">
        <f>MAX('TANF-VIEW'!L94,'TANF-VIEW'!T94)</f>
        <v>0</v>
      </c>
      <c r="D91" s="4">
        <f>'Total income package'!$D$80</f>
        <v>0</v>
      </c>
      <c r="E91" s="4">
        <f>'Total income package'!$H$61+'Total income package'!$F$66</f>
        <v>100</v>
      </c>
      <c r="F91" s="4">
        <f t="shared" si="13"/>
        <v>3641.6666666666665</v>
      </c>
      <c r="G91" s="181" t="str">
        <f t="shared" si="14"/>
        <v>Yes</v>
      </c>
      <c r="H91" s="3">
        <f t="shared" si="15"/>
        <v>40</v>
      </c>
      <c r="I91" s="3">
        <f t="shared" si="16"/>
        <v>0</v>
      </c>
      <c r="J91" s="3">
        <f t="shared" si="9"/>
        <v>3601.6666666666665</v>
      </c>
      <c r="K91" s="3">
        <f t="shared" si="10"/>
        <v>1080.5</v>
      </c>
      <c r="L91" s="3">
        <f t="shared" si="11"/>
        <v>364.16666666666669</v>
      </c>
      <c r="M91" s="3">
        <v>50</v>
      </c>
      <c r="N91" s="3">
        <f t="shared" si="17"/>
        <v>1080.5</v>
      </c>
      <c r="O91" s="182" cm="1">
        <f t="array" ref="O91">_xlfn.IFS($G$2=1,VLOOKUP('Total income package'!$B$3,'Location specific data'!$A$3:$W220,20,FALSE),$G$2=2,VLOOKUP('Total income package'!$B$3,'Location specific data'!$A$3:$W$135,21,FALSE),$G$2=3,VLOOKUP('Total income package'!$B$3,'Location specific data'!$A$3:$W$135,22,FALSE),$G$2=4,VLOOKUP('Total income package'!$B$3,'Location specific data'!$A$3:$W$135,23,FALSE),$G$2=5,VLOOKUP('Total income package'!$B$3,'Location specific data'!$A$3:$W$135,24,FALSE))</f>
        <v>851</v>
      </c>
      <c r="P91" s="182" cm="1">
        <f t="array" ref="P91">_xlfn.IFS($G$2=1,VLOOKUP('Total income package'!$B$3,'Location specific data'!$A$3:$AB$135,25,FALSE),$G$2=2,VLOOKUP('Total income package'!$B$3,'Location specific data'!$A$3:$AB$135,26,FALSE),$G$2=3,VLOOKUP('Total income package'!$B$3,'Location specific data'!$A$3:$AB$135,27,FALSE),$G$2=4,VLOOKUP('Total income package'!$B$3,'Location specific data'!$A$3:$AB$135,28,FALSE),$G$2=5,VLOOKUP('Total income package'!$B$3,'Location specific data'!$A$3:$AB$135,29,FALSE))</f>
        <v>995</v>
      </c>
      <c r="Q91" s="337">
        <f>IF(AND(G91="Yes",'Total income package'!$A$14=TRUE,P91-N91&gt;0),P91-N91,0)</f>
        <v>0</v>
      </c>
      <c r="R91" s="29"/>
    </row>
    <row r="92" spans="1:18" x14ac:dyDescent="0.25">
      <c r="A92" s="182">
        <v>43000</v>
      </c>
      <c r="B92" s="4">
        <f t="shared" si="12"/>
        <v>3583.3333333333335</v>
      </c>
      <c r="C92" s="4">
        <f>MAX('TANF-VIEW'!L95,'TANF-VIEW'!T95)</f>
        <v>0</v>
      </c>
      <c r="D92" s="4">
        <f>'Total income package'!$D$80</f>
        <v>0</v>
      </c>
      <c r="E92" s="4">
        <f>'Total income package'!$H$61+'Total income package'!$F$66</f>
        <v>100</v>
      </c>
      <c r="F92" s="4">
        <f t="shared" si="13"/>
        <v>3683.3333333333335</v>
      </c>
      <c r="G92" s="181" t="str">
        <f t="shared" si="14"/>
        <v>Yes</v>
      </c>
      <c r="H92" s="3">
        <f t="shared" si="15"/>
        <v>40</v>
      </c>
      <c r="I92" s="3">
        <f t="shared" si="16"/>
        <v>0</v>
      </c>
      <c r="J92" s="3">
        <f t="shared" si="9"/>
        <v>3643.3333333333335</v>
      </c>
      <c r="K92" s="3">
        <f t="shared" si="10"/>
        <v>1093</v>
      </c>
      <c r="L92" s="3">
        <f t="shared" si="11"/>
        <v>368.33333333333337</v>
      </c>
      <c r="M92" s="3">
        <v>50</v>
      </c>
      <c r="N92" s="3">
        <f t="shared" si="17"/>
        <v>1093</v>
      </c>
      <c r="O92" s="182" cm="1">
        <f t="array" ref="O92">_xlfn.IFS($G$2=1,VLOOKUP('Total income package'!$B$3,'Location specific data'!$A$3:$W221,20,FALSE),$G$2=2,VLOOKUP('Total income package'!$B$3,'Location specific data'!$A$3:$W$135,21,FALSE),$G$2=3,VLOOKUP('Total income package'!$B$3,'Location specific data'!$A$3:$W$135,22,FALSE),$G$2=4,VLOOKUP('Total income package'!$B$3,'Location specific data'!$A$3:$W$135,23,FALSE),$G$2=5,VLOOKUP('Total income package'!$B$3,'Location specific data'!$A$3:$W$135,24,FALSE))</f>
        <v>851</v>
      </c>
      <c r="P92" s="182" cm="1">
        <f t="array" ref="P92">_xlfn.IFS($G$2=1,VLOOKUP('Total income package'!$B$3,'Location specific data'!$A$3:$AB$135,25,FALSE),$G$2=2,VLOOKUP('Total income package'!$B$3,'Location specific data'!$A$3:$AB$135,26,FALSE),$G$2=3,VLOOKUP('Total income package'!$B$3,'Location specific data'!$A$3:$AB$135,27,FALSE),$G$2=4,VLOOKUP('Total income package'!$B$3,'Location specific data'!$A$3:$AB$135,28,FALSE),$G$2=5,VLOOKUP('Total income package'!$B$3,'Location specific data'!$A$3:$AB$135,29,FALSE))</f>
        <v>995</v>
      </c>
      <c r="Q92" s="337">
        <f>IF(AND(G92="Yes",'Total income package'!$A$14=TRUE,P92-N92&gt;0),P92-N92,0)</f>
        <v>0</v>
      </c>
      <c r="R92" s="29"/>
    </row>
    <row r="93" spans="1:18" x14ac:dyDescent="0.25">
      <c r="A93" s="182">
        <v>43500</v>
      </c>
      <c r="B93" s="4">
        <f t="shared" si="12"/>
        <v>3625</v>
      </c>
      <c r="C93" s="4">
        <f>MAX('TANF-VIEW'!L96,'TANF-VIEW'!T96)</f>
        <v>0</v>
      </c>
      <c r="D93" s="4">
        <f>'Total income package'!$D$80</f>
        <v>0</v>
      </c>
      <c r="E93" s="4">
        <f>'Total income package'!$H$61+'Total income package'!$F$66</f>
        <v>100</v>
      </c>
      <c r="F93" s="4">
        <f t="shared" si="13"/>
        <v>3725</v>
      </c>
      <c r="G93" s="181" t="str">
        <f t="shared" si="14"/>
        <v>Yes</v>
      </c>
      <c r="H93" s="3">
        <f t="shared" si="15"/>
        <v>40</v>
      </c>
      <c r="I93" s="3">
        <f t="shared" si="16"/>
        <v>0</v>
      </c>
      <c r="J93" s="3">
        <f t="shared" si="9"/>
        <v>3685</v>
      </c>
      <c r="K93" s="3">
        <f t="shared" si="10"/>
        <v>1105.5</v>
      </c>
      <c r="L93" s="3">
        <f t="shared" si="11"/>
        <v>372.5</v>
      </c>
      <c r="M93" s="3">
        <v>50</v>
      </c>
      <c r="N93" s="3">
        <f t="shared" si="17"/>
        <v>1105.5</v>
      </c>
      <c r="O93" s="182" cm="1">
        <f t="array" ref="O93">_xlfn.IFS($G$2=1,VLOOKUP('Total income package'!$B$3,'Location specific data'!$A$3:$W222,20,FALSE),$G$2=2,VLOOKUP('Total income package'!$B$3,'Location specific data'!$A$3:$W$135,21,FALSE),$G$2=3,VLOOKUP('Total income package'!$B$3,'Location specific data'!$A$3:$W$135,22,FALSE),$G$2=4,VLOOKUP('Total income package'!$B$3,'Location specific data'!$A$3:$W$135,23,FALSE),$G$2=5,VLOOKUP('Total income package'!$B$3,'Location specific data'!$A$3:$W$135,24,FALSE))</f>
        <v>851</v>
      </c>
      <c r="P93" s="182" cm="1">
        <f t="array" ref="P93">_xlfn.IFS($G$2=1,VLOOKUP('Total income package'!$B$3,'Location specific data'!$A$3:$AB$135,25,FALSE),$G$2=2,VLOOKUP('Total income package'!$B$3,'Location specific data'!$A$3:$AB$135,26,FALSE),$G$2=3,VLOOKUP('Total income package'!$B$3,'Location specific data'!$A$3:$AB$135,27,FALSE),$G$2=4,VLOOKUP('Total income package'!$B$3,'Location specific data'!$A$3:$AB$135,28,FALSE),$G$2=5,VLOOKUP('Total income package'!$B$3,'Location specific data'!$A$3:$AB$135,29,FALSE))</f>
        <v>995</v>
      </c>
      <c r="Q93" s="337">
        <f>IF(AND(G93="Yes",'Total income package'!$A$14=TRUE,P93-N93&gt;0),P93-N93,0)</f>
        <v>0</v>
      </c>
      <c r="R93" s="29"/>
    </row>
    <row r="94" spans="1:18" x14ac:dyDescent="0.25">
      <c r="A94" s="182">
        <v>44000</v>
      </c>
      <c r="B94" s="4">
        <f t="shared" si="12"/>
        <v>3666.6666666666665</v>
      </c>
      <c r="C94" s="4">
        <f>MAX('TANF-VIEW'!L97,'TANF-VIEW'!T97)</f>
        <v>0</v>
      </c>
      <c r="D94" s="4">
        <f>'Total income package'!$D$80</f>
        <v>0</v>
      </c>
      <c r="E94" s="4">
        <f>'Total income package'!$H$61+'Total income package'!$F$66</f>
        <v>100</v>
      </c>
      <c r="F94" s="4">
        <f t="shared" si="13"/>
        <v>3766.6666666666665</v>
      </c>
      <c r="G94" s="181" t="str">
        <f t="shared" si="14"/>
        <v>Yes</v>
      </c>
      <c r="H94" s="3">
        <f t="shared" si="15"/>
        <v>40</v>
      </c>
      <c r="I94" s="3">
        <f t="shared" si="16"/>
        <v>0</v>
      </c>
      <c r="J94" s="3">
        <f t="shared" si="9"/>
        <v>3726.6666666666665</v>
      </c>
      <c r="K94" s="3">
        <f t="shared" si="10"/>
        <v>1118</v>
      </c>
      <c r="L94" s="3">
        <f t="shared" si="11"/>
        <v>376.66666666666669</v>
      </c>
      <c r="M94" s="3">
        <v>50</v>
      </c>
      <c r="N94" s="3">
        <f t="shared" si="17"/>
        <v>1118</v>
      </c>
      <c r="O94" s="182" cm="1">
        <f t="array" ref="O94">_xlfn.IFS($G$2=1,VLOOKUP('Total income package'!$B$3,'Location specific data'!$A$3:$W223,20,FALSE),$G$2=2,VLOOKUP('Total income package'!$B$3,'Location specific data'!$A$3:$W$135,21,FALSE),$G$2=3,VLOOKUP('Total income package'!$B$3,'Location specific data'!$A$3:$W$135,22,FALSE),$G$2=4,VLOOKUP('Total income package'!$B$3,'Location specific data'!$A$3:$W$135,23,FALSE),$G$2=5,VLOOKUP('Total income package'!$B$3,'Location specific data'!$A$3:$W$135,24,FALSE))</f>
        <v>851</v>
      </c>
      <c r="P94" s="182" cm="1">
        <f t="array" ref="P94">_xlfn.IFS($G$2=1,VLOOKUP('Total income package'!$B$3,'Location specific data'!$A$3:$AB$135,25,FALSE),$G$2=2,VLOOKUP('Total income package'!$B$3,'Location specific data'!$A$3:$AB$135,26,FALSE),$G$2=3,VLOOKUP('Total income package'!$B$3,'Location specific data'!$A$3:$AB$135,27,FALSE),$G$2=4,VLOOKUP('Total income package'!$B$3,'Location specific data'!$A$3:$AB$135,28,FALSE),$G$2=5,VLOOKUP('Total income package'!$B$3,'Location specific data'!$A$3:$AB$135,29,FALSE))</f>
        <v>995</v>
      </c>
      <c r="Q94" s="337">
        <f>IF(AND(G94="Yes",'Total income package'!$A$14=TRUE,P94-N94&gt;0),P94-N94,0)</f>
        <v>0</v>
      </c>
      <c r="R94" s="29"/>
    </row>
    <row r="95" spans="1:18" x14ac:dyDescent="0.25">
      <c r="A95" s="182">
        <v>44500</v>
      </c>
      <c r="B95" s="4">
        <f t="shared" si="12"/>
        <v>3708.3333333333335</v>
      </c>
      <c r="C95" s="4">
        <f>MAX('TANF-VIEW'!L98,'TANF-VIEW'!T98)</f>
        <v>0</v>
      </c>
      <c r="D95" s="4">
        <f>'Total income package'!$D$80</f>
        <v>0</v>
      </c>
      <c r="E95" s="4">
        <f>'Total income package'!$H$61+'Total income package'!$F$66</f>
        <v>100</v>
      </c>
      <c r="F95" s="4">
        <f t="shared" si="13"/>
        <v>3808.3333333333335</v>
      </c>
      <c r="G95" s="181" t="str">
        <f t="shared" si="14"/>
        <v>Yes</v>
      </c>
      <c r="H95" s="3">
        <f t="shared" si="15"/>
        <v>40</v>
      </c>
      <c r="I95" s="3">
        <f t="shared" si="16"/>
        <v>0</v>
      </c>
      <c r="J95" s="3">
        <f t="shared" si="9"/>
        <v>3768.3333333333335</v>
      </c>
      <c r="K95" s="3">
        <f t="shared" si="10"/>
        <v>1130.5</v>
      </c>
      <c r="L95" s="3">
        <f t="shared" si="11"/>
        <v>380.83333333333337</v>
      </c>
      <c r="M95" s="3">
        <v>50</v>
      </c>
      <c r="N95" s="3">
        <f t="shared" si="17"/>
        <v>1130.5</v>
      </c>
      <c r="O95" s="182" cm="1">
        <f t="array" ref="O95">_xlfn.IFS($G$2=1,VLOOKUP('Total income package'!$B$3,'Location specific data'!$A$3:$W224,20,FALSE),$G$2=2,VLOOKUP('Total income package'!$B$3,'Location specific data'!$A$3:$W$135,21,FALSE),$G$2=3,VLOOKUP('Total income package'!$B$3,'Location specific data'!$A$3:$W$135,22,FALSE),$G$2=4,VLOOKUP('Total income package'!$B$3,'Location specific data'!$A$3:$W$135,23,FALSE),$G$2=5,VLOOKUP('Total income package'!$B$3,'Location specific data'!$A$3:$W$135,24,FALSE))</f>
        <v>851</v>
      </c>
      <c r="P95" s="182" cm="1">
        <f t="array" ref="P95">_xlfn.IFS($G$2=1,VLOOKUP('Total income package'!$B$3,'Location specific data'!$A$3:$AB$135,25,FALSE),$G$2=2,VLOOKUP('Total income package'!$B$3,'Location specific data'!$A$3:$AB$135,26,FALSE),$G$2=3,VLOOKUP('Total income package'!$B$3,'Location specific data'!$A$3:$AB$135,27,FALSE),$G$2=4,VLOOKUP('Total income package'!$B$3,'Location specific data'!$A$3:$AB$135,28,FALSE),$G$2=5,VLOOKUP('Total income package'!$B$3,'Location specific data'!$A$3:$AB$135,29,FALSE))</f>
        <v>995</v>
      </c>
      <c r="Q95" s="337">
        <f>IF(AND(G95="Yes",'Total income package'!$A$14=TRUE,P95-N95&gt;0),P95-N95,0)</f>
        <v>0</v>
      </c>
      <c r="R95" s="29"/>
    </row>
    <row r="96" spans="1:18" x14ac:dyDescent="0.25">
      <c r="A96" s="182">
        <v>45000</v>
      </c>
      <c r="B96" s="4">
        <f t="shared" si="12"/>
        <v>3750</v>
      </c>
      <c r="C96" s="4">
        <f>MAX('TANF-VIEW'!L99,'TANF-VIEW'!T99)</f>
        <v>0</v>
      </c>
      <c r="D96" s="4">
        <f>'Total income package'!$D$80</f>
        <v>0</v>
      </c>
      <c r="E96" s="4">
        <f>'Total income package'!$H$61+'Total income package'!$F$66</f>
        <v>100</v>
      </c>
      <c r="F96" s="4">
        <f t="shared" si="13"/>
        <v>3850</v>
      </c>
      <c r="G96" s="181" t="str">
        <f t="shared" si="14"/>
        <v>Yes</v>
      </c>
      <c r="H96" s="3">
        <f t="shared" si="15"/>
        <v>40</v>
      </c>
      <c r="I96" s="3">
        <f t="shared" si="16"/>
        <v>0</v>
      </c>
      <c r="J96" s="3">
        <f t="shared" si="9"/>
        <v>3810</v>
      </c>
      <c r="K96" s="3">
        <f t="shared" si="10"/>
        <v>1143</v>
      </c>
      <c r="L96" s="3">
        <f t="shared" si="11"/>
        <v>385</v>
      </c>
      <c r="M96" s="3">
        <v>50</v>
      </c>
      <c r="N96" s="3">
        <f t="shared" si="17"/>
        <v>1143</v>
      </c>
      <c r="O96" s="182" cm="1">
        <f t="array" ref="O96">_xlfn.IFS($G$2=1,VLOOKUP('Total income package'!$B$3,'Location specific data'!$A$3:$W225,20,FALSE),$G$2=2,VLOOKUP('Total income package'!$B$3,'Location specific data'!$A$3:$W$135,21,FALSE),$G$2=3,VLOOKUP('Total income package'!$B$3,'Location specific data'!$A$3:$W$135,22,FALSE),$G$2=4,VLOOKUP('Total income package'!$B$3,'Location specific data'!$A$3:$W$135,23,FALSE),$G$2=5,VLOOKUP('Total income package'!$B$3,'Location specific data'!$A$3:$W$135,24,FALSE))</f>
        <v>851</v>
      </c>
      <c r="P96" s="182" cm="1">
        <f t="array" ref="P96">_xlfn.IFS($G$2=1,VLOOKUP('Total income package'!$B$3,'Location specific data'!$A$3:$AB$135,25,FALSE),$G$2=2,VLOOKUP('Total income package'!$B$3,'Location specific data'!$A$3:$AB$135,26,FALSE),$G$2=3,VLOOKUP('Total income package'!$B$3,'Location specific data'!$A$3:$AB$135,27,FALSE),$G$2=4,VLOOKUP('Total income package'!$B$3,'Location specific data'!$A$3:$AB$135,28,FALSE),$G$2=5,VLOOKUP('Total income package'!$B$3,'Location specific data'!$A$3:$AB$135,29,FALSE))</f>
        <v>995</v>
      </c>
      <c r="Q96" s="337">
        <f>IF(AND(G96="Yes",'Total income package'!$A$14=TRUE,P96-N96&gt;0),P96-N96,0)</f>
        <v>0</v>
      </c>
      <c r="R96" s="29"/>
    </row>
    <row r="97" spans="1:18" x14ac:dyDescent="0.25">
      <c r="A97" s="182">
        <v>45500</v>
      </c>
      <c r="B97" s="4">
        <f t="shared" si="12"/>
        <v>3791.6666666666665</v>
      </c>
      <c r="C97" s="4">
        <f>MAX('TANF-VIEW'!L100,'TANF-VIEW'!T100)</f>
        <v>0</v>
      </c>
      <c r="D97" s="4">
        <f>'Total income package'!$D$80</f>
        <v>0</v>
      </c>
      <c r="E97" s="4">
        <f>'Total income package'!$H$61+'Total income package'!$F$66</f>
        <v>100</v>
      </c>
      <c r="F97" s="4">
        <f t="shared" si="13"/>
        <v>3891.6666666666665</v>
      </c>
      <c r="G97" s="181" t="str">
        <f t="shared" si="14"/>
        <v>Yes</v>
      </c>
      <c r="H97" s="3">
        <f t="shared" si="15"/>
        <v>40</v>
      </c>
      <c r="I97" s="3">
        <f t="shared" si="16"/>
        <v>0</v>
      </c>
      <c r="J97" s="3">
        <f t="shared" si="9"/>
        <v>3851.6666666666665</v>
      </c>
      <c r="K97" s="3">
        <f t="shared" si="10"/>
        <v>1155.5</v>
      </c>
      <c r="L97" s="3">
        <f t="shared" si="11"/>
        <v>389.16666666666669</v>
      </c>
      <c r="M97" s="3">
        <v>50</v>
      </c>
      <c r="N97" s="3">
        <f t="shared" si="17"/>
        <v>1155.5</v>
      </c>
      <c r="O97" s="182" cm="1">
        <f t="array" ref="O97">_xlfn.IFS($G$2=1,VLOOKUP('Total income package'!$B$3,'Location specific data'!$A$3:$W226,20,FALSE),$G$2=2,VLOOKUP('Total income package'!$B$3,'Location specific data'!$A$3:$W$135,21,FALSE),$G$2=3,VLOOKUP('Total income package'!$B$3,'Location specific data'!$A$3:$W$135,22,FALSE),$G$2=4,VLOOKUP('Total income package'!$B$3,'Location specific data'!$A$3:$W$135,23,FALSE),$G$2=5,VLOOKUP('Total income package'!$B$3,'Location specific data'!$A$3:$W$135,24,FALSE))</f>
        <v>851</v>
      </c>
      <c r="P97" s="182" cm="1">
        <f t="array" ref="P97">_xlfn.IFS($G$2=1,VLOOKUP('Total income package'!$B$3,'Location specific data'!$A$3:$AB$135,25,FALSE),$G$2=2,VLOOKUP('Total income package'!$B$3,'Location specific data'!$A$3:$AB$135,26,FALSE),$G$2=3,VLOOKUP('Total income package'!$B$3,'Location specific data'!$A$3:$AB$135,27,FALSE),$G$2=4,VLOOKUP('Total income package'!$B$3,'Location specific data'!$A$3:$AB$135,28,FALSE),$G$2=5,VLOOKUP('Total income package'!$B$3,'Location specific data'!$A$3:$AB$135,29,FALSE))</f>
        <v>995</v>
      </c>
      <c r="Q97" s="337">
        <f>IF(AND(G97="Yes",'Total income package'!$A$14=TRUE,P97-N97&gt;0),P97-N97,0)</f>
        <v>0</v>
      </c>
      <c r="R97" s="29"/>
    </row>
    <row r="98" spans="1:18" x14ac:dyDescent="0.25">
      <c r="A98" s="182">
        <v>46000</v>
      </c>
      <c r="B98" s="4">
        <f t="shared" si="12"/>
        <v>3833.3333333333335</v>
      </c>
      <c r="C98" s="4">
        <f>MAX('TANF-VIEW'!L101,'TANF-VIEW'!T101)</f>
        <v>0</v>
      </c>
      <c r="D98" s="4">
        <f>'Total income package'!$D$80</f>
        <v>0</v>
      </c>
      <c r="E98" s="4">
        <f>'Total income package'!$H$61+'Total income package'!$F$66</f>
        <v>100</v>
      </c>
      <c r="F98" s="4">
        <f t="shared" si="13"/>
        <v>3933.3333333333335</v>
      </c>
      <c r="G98" s="181" t="str">
        <f t="shared" si="14"/>
        <v>Yes</v>
      </c>
      <c r="H98" s="3">
        <f t="shared" si="15"/>
        <v>40</v>
      </c>
      <c r="I98" s="3">
        <f t="shared" si="16"/>
        <v>0</v>
      </c>
      <c r="J98" s="3">
        <f t="shared" si="9"/>
        <v>3893.3333333333335</v>
      </c>
      <c r="K98" s="3">
        <f t="shared" si="10"/>
        <v>1168</v>
      </c>
      <c r="L98" s="3">
        <f t="shared" si="11"/>
        <v>393.33333333333337</v>
      </c>
      <c r="M98" s="3">
        <v>50</v>
      </c>
      <c r="N98" s="3">
        <f t="shared" si="17"/>
        <v>1168</v>
      </c>
      <c r="O98" s="182" cm="1">
        <f t="array" ref="O98">_xlfn.IFS($G$2=1,VLOOKUP('Total income package'!$B$3,'Location specific data'!$A$3:$W227,20,FALSE),$G$2=2,VLOOKUP('Total income package'!$B$3,'Location specific data'!$A$3:$W$135,21,FALSE),$G$2=3,VLOOKUP('Total income package'!$B$3,'Location specific data'!$A$3:$W$135,22,FALSE),$G$2=4,VLOOKUP('Total income package'!$B$3,'Location specific data'!$A$3:$W$135,23,FALSE),$G$2=5,VLOOKUP('Total income package'!$B$3,'Location specific data'!$A$3:$W$135,24,FALSE))</f>
        <v>851</v>
      </c>
      <c r="P98" s="182" cm="1">
        <f t="array" ref="P98">_xlfn.IFS($G$2=1,VLOOKUP('Total income package'!$B$3,'Location specific data'!$A$3:$AB$135,25,FALSE),$G$2=2,VLOOKUP('Total income package'!$B$3,'Location specific data'!$A$3:$AB$135,26,FALSE),$G$2=3,VLOOKUP('Total income package'!$B$3,'Location specific data'!$A$3:$AB$135,27,FALSE),$G$2=4,VLOOKUP('Total income package'!$B$3,'Location specific data'!$A$3:$AB$135,28,FALSE),$G$2=5,VLOOKUP('Total income package'!$B$3,'Location specific data'!$A$3:$AB$135,29,FALSE))</f>
        <v>995</v>
      </c>
      <c r="Q98" s="337">
        <f>IF(AND(G98="Yes",'Total income package'!$A$14=TRUE,P98-N98&gt;0),P98-N98,0)</f>
        <v>0</v>
      </c>
      <c r="R98" s="29"/>
    </row>
    <row r="99" spans="1:18" x14ac:dyDescent="0.25">
      <c r="A99" s="182">
        <v>46500</v>
      </c>
      <c r="B99" s="4">
        <f t="shared" si="12"/>
        <v>3875</v>
      </c>
      <c r="C99" s="4">
        <f>MAX('TANF-VIEW'!L102,'TANF-VIEW'!T102)</f>
        <v>0</v>
      </c>
      <c r="D99" s="4">
        <f>'Total income package'!$D$80</f>
        <v>0</v>
      </c>
      <c r="E99" s="4">
        <f>'Total income package'!$H$61+'Total income package'!$F$66</f>
        <v>100</v>
      </c>
      <c r="F99" s="4">
        <f t="shared" si="13"/>
        <v>3975</v>
      </c>
      <c r="G99" s="181" t="str">
        <f t="shared" si="14"/>
        <v>Yes</v>
      </c>
      <c r="H99" s="3">
        <f t="shared" si="15"/>
        <v>40</v>
      </c>
      <c r="I99" s="3">
        <f t="shared" si="16"/>
        <v>0</v>
      </c>
      <c r="J99" s="3">
        <f t="shared" si="9"/>
        <v>3935</v>
      </c>
      <c r="K99" s="3">
        <f t="shared" si="10"/>
        <v>1180.5</v>
      </c>
      <c r="L99" s="3">
        <f t="shared" si="11"/>
        <v>397.5</v>
      </c>
      <c r="M99" s="3">
        <v>50</v>
      </c>
      <c r="N99" s="3">
        <f t="shared" si="17"/>
        <v>1180.5</v>
      </c>
      <c r="O99" s="182" cm="1">
        <f t="array" ref="O99">_xlfn.IFS($G$2=1,VLOOKUP('Total income package'!$B$3,'Location specific data'!$A$3:$W228,20,FALSE),$G$2=2,VLOOKUP('Total income package'!$B$3,'Location specific data'!$A$3:$W$135,21,FALSE),$G$2=3,VLOOKUP('Total income package'!$B$3,'Location specific data'!$A$3:$W$135,22,FALSE),$G$2=4,VLOOKUP('Total income package'!$B$3,'Location specific data'!$A$3:$W$135,23,FALSE),$G$2=5,VLOOKUP('Total income package'!$B$3,'Location specific data'!$A$3:$W$135,24,FALSE))</f>
        <v>851</v>
      </c>
      <c r="P99" s="182" cm="1">
        <f t="array" ref="P99">_xlfn.IFS($G$2=1,VLOOKUP('Total income package'!$B$3,'Location specific data'!$A$3:$AB$135,25,FALSE),$G$2=2,VLOOKUP('Total income package'!$B$3,'Location specific data'!$A$3:$AB$135,26,FALSE),$G$2=3,VLOOKUP('Total income package'!$B$3,'Location specific data'!$A$3:$AB$135,27,FALSE),$G$2=4,VLOOKUP('Total income package'!$B$3,'Location specific data'!$A$3:$AB$135,28,FALSE),$G$2=5,VLOOKUP('Total income package'!$B$3,'Location specific data'!$A$3:$AB$135,29,FALSE))</f>
        <v>995</v>
      </c>
      <c r="Q99" s="337">
        <f>IF(AND(G99="Yes",'Total income package'!$A$14=TRUE,P99-N99&gt;0),P99-N99,0)</f>
        <v>0</v>
      </c>
      <c r="R99" s="29"/>
    </row>
    <row r="100" spans="1:18" x14ac:dyDescent="0.25">
      <c r="A100" s="182">
        <v>47000</v>
      </c>
      <c r="B100" s="4">
        <f t="shared" si="12"/>
        <v>3916.6666666666665</v>
      </c>
      <c r="C100" s="4">
        <f>MAX('TANF-VIEW'!L103,'TANF-VIEW'!T103)</f>
        <v>0</v>
      </c>
      <c r="D100" s="4">
        <f>'Total income package'!$D$80</f>
        <v>0</v>
      </c>
      <c r="E100" s="4">
        <f>'Total income package'!$H$61+'Total income package'!$F$66</f>
        <v>100</v>
      </c>
      <c r="F100" s="4">
        <f t="shared" si="13"/>
        <v>4016.6666666666665</v>
      </c>
      <c r="G100" s="181" t="str">
        <f t="shared" si="14"/>
        <v>Yes</v>
      </c>
      <c r="H100" s="3">
        <f t="shared" si="15"/>
        <v>40</v>
      </c>
      <c r="I100" s="3">
        <f t="shared" si="16"/>
        <v>0</v>
      </c>
      <c r="J100" s="3">
        <f t="shared" si="9"/>
        <v>3976.6666666666665</v>
      </c>
      <c r="K100" s="3">
        <f t="shared" si="10"/>
        <v>1193</v>
      </c>
      <c r="L100" s="3">
        <f t="shared" si="11"/>
        <v>401.66666666666669</v>
      </c>
      <c r="M100" s="3">
        <v>50</v>
      </c>
      <c r="N100" s="3">
        <f t="shared" si="17"/>
        <v>1193</v>
      </c>
      <c r="O100" s="182" cm="1">
        <f t="array" ref="O100">_xlfn.IFS($G$2=1,VLOOKUP('Total income package'!$B$3,'Location specific data'!$A$3:$W229,20,FALSE),$G$2=2,VLOOKUP('Total income package'!$B$3,'Location specific data'!$A$3:$W$135,21,FALSE),$G$2=3,VLOOKUP('Total income package'!$B$3,'Location specific data'!$A$3:$W$135,22,FALSE),$G$2=4,VLOOKUP('Total income package'!$B$3,'Location specific data'!$A$3:$W$135,23,FALSE),$G$2=5,VLOOKUP('Total income package'!$B$3,'Location specific data'!$A$3:$W$135,24,FALSE))</f>
        <v>851</v>
      </c>
      <c r="P100" s="182" cm="1">
        <f t="array" ref="P100">_xlfn.IFS($G$2=1,VLOOKUP('Total income package'!$B$3,'Location specific data'!$A$3:$AB$135,25,FALSE),$G$2=2,VLOOKUP('Total income package'!$B$3,'Location specific data'!$A$3:$AB$135,26,FALSE),$G$2=3,VLOOKUP('Total income package'!$B$3,'Location specific data'!$A$3:$AB$135,27,FALSE),$G$2=4,VLOOKUP('Total income package'!$B$3,'Location specific data'!$A$3:$AB$135,28,FALSE),$G$2=5,VLOOKUP('Total income package'!$B$3,'Location specific data'!$A$3:$AB$135,29,FALSE))</f>
        <v>995</v>
      </c>
      <c r="Q100" s="337">
        <f>IF(AND(G100="Yes",'Total income package'!$A$14=TRUE,P100-N100&gt;0),P100-N100,0)</f>
        <v>0</v>
      </c>
      <c r="R100" s="29"/>
    </row>
    <row r="101" spans="1:18" x14ac:dyDescent="0.25">
      <c r="A101" s="182">
        <v>47500</v>
      </c>
      <c r="B101" s="4">
        <f t="shared" si="12"/>
        <v>3958.3333333333335</v>
      </c>
      <c r="C101" s="4">
        <f>MAX('TANF-VIEW'!L104,'TANF-VIEW'!T104)</f>
        <v>0</v>
      </c>
      <c r="D101" s="4">
        <f>'Total income package'!$D$80</f>
        <v>0</v>
      </c>
      <c r="E101" s="4">
        <f>'Total income package'!$H$61+'Total income package'!$F$66</f>
        <v>100</v>
      </c>
      <c r="F101" s="4">
        <f t="shared" si="13"/>
        <v>4058.3333333333335</v>
      </c>
      <c r="G101" s="181" t="str">
        <f t="shared" si="14"/>
        <v>Yes</v>
      </c>
      <c r="H101" s="3">
        <f t="shared" si="15"/>
        <v>40</v>
      </c>
      <c r="I101" s="3">
        <f t="shared" si="16"/>
        <v>0</v>
      </c>
      <c r="J101" s="3">
        <f t="shared" si="9"/>
        <v>4018.3333333333335</v>
      </c>
      <c r="K101" s="3">
        <f t="shared" si="10"/>
        <v>1205.5</v>
      </c>
      <c r="L101" s="3">
        <f t="shared" si="11"/>
        <v>405.83333333333337</v>
      </c>
      <c r="M101" s="3">
        <v>50</v>
      </c>
      <c r="N101" s="3">
        <f t="shared" si="17"/>
        <v>1205.5</v>
      </c>
      <c r="O101" s="182" cm="1">
        <f t="array" ref="O101">_xlfn.IFS($G$2=1,VLOOKUP('Total income package'!$B$3,'Location specific data'!$A$3:$W230,20,FALSE),$G$2=2,VLOOKUP('Total income package'!$B$3,'Location specific data'!$A$3:$W$135,21,FALSE),$G$2=3,VLOOKUP('Total income package'!$B$3,'Location specific data'!$A$3:$W$135,22,FALSE),$G$2=4,VLOOKUP('Total income package'!$B$3,'Location specific data'!$A$3:$W$135,23,FALSE),$G$2=5,VLOOKUP('Total income package'!$B$3,'Location specific data'!$A$3:$W$135,24,FALSE))</f>
        <v>851</v>
      </c>
      <c r="P101" s="182" cm="1">
        <f t="array" ref="P101">_xlfn.IFS($G$2=1,VLOOKUP('Total income package'!$B$3,'Location specific data'!$A$3:$AB$135,25,FALSE),$G$2=2,VLOOKUP('Total income package'!$B$3,'Location specific data'!$A$3:$AB$135,26,FALSE),$G$2=3,VLOOKUP('Total income package'!$B$3,'Location specific data'!$A$3:$AB$135,27,FALSE),$G$2=4,VLOOKUP('Total income package'!$B$3,'Location specific data'!$A$3:$AB$135,28,FALSE),$G$2=5,VLOOKUP('Total income package'!$B$3,'Location specific data'!$A$3:$AB$135,29,FALSE))</f>
        <v>995</v>
      </c>
      <c r="Q101" s="337">
        <f>IF(AND(G101="Yes",'Total income package'!$A$14=TRUE,P101-N101&gt;0),P101-N101,0)</f>
        <v>0</v>
      </c>
      <c r="R101" s="29"/>
    </row>
    <row r="102" spans="1:18" x14ac:dyDescent="0.25">
      <c r="A102" s="182">
        <v>48000</v>
      </c>
      <c r="B102" s="4">
        <f t="shared" si="12"/>
        <v>4000</v>
      </c>
      <c r="C102" s="4">
        <f>MAX('TANF-VIEW'!L105,'TANF-VIEW'!T105)</f>
        <v>0</v>
      </c>
      <c r="D102" s="4">
        <f>'Total income package'!$D$80</f>
        <v>0</v>
      </c>
      <c r="E102" s="4">
        <f>'Total income package'!$H$61+'Total income package'!$F$66</f>
        <v>100</v>
      </c>
      <c r="F102" s="4">
        <f t="shared" si="13"/>
        <v>4100</v>
      </c>
      <c r="G102" s="181" t="str">
        <f t="shared" si="14"/>
        <v>Yes</v>
      </c>
      <c r="H102" s="3">
        <f t="shared" si="15"/>
        <v>40</v>
      </c>
      <c r="I102" s="3">
        <f t="shared" si="16"/>
        <v>0</v>
      </c>
      <c r="J102" s="3">
        <f t="shared" si="9"/>
        <v>4060</v>
      </c>
      <c r="K102" s="3">
        <f t="shared" si="10"/>
        <v>1218</v>
      </c>
      <c r="L102" s="3">
        <f t="shared" si="11"/>
        <v>410</v>
      </c>
      <c r="M102" s="3">
        <v>50</v>
      </c>
      <c r="N102" s="3">
        <f t="shared" si="17"/>
        <v>1218</v>
      </c>
      <c r="O102" s="182" cm="1">
        <f t="array" ref="O102">_xlfn.IFS($G$2=1,VLOOKUP('Total income package'!$B$3,'Location specific data'!$A$3:$W231,20,FALSE),$G$2=2,VLOOKUP('Total income package'!$B$3,'Location specific data'!$A$3:$W$135,21,FALSE),$G$2=3,VLOOKUP('Total income package'!$B$3,'Location specific data'!$A$3:$W$135,22,FALSE),$G$2=4,VLOOKUP('Total income package'!$B$3,'Location specific data'!$A$3:$W$135,23,FALSE),$G$2=5,VLOOKUP('Total income package'!$B$3,'Location specific data'!$A$3:$W$135,24,FALSE))</f>
        <v>851</v>
      </c>
      <c r="P102" s="182" cm="1">
        <f t="array" ref="P102">_xlfn.IFS($G$2=1,VLOOKUP('Total income package'!$B$3,'Location specific data'!$A$3:$AB$135,25,FALSE),$G$2=2,VLOOKUP('Total income package'!$B$3,'Location specific data'!$A$3:$AB$135,26,FALSE),$G$2=3,VLOOKUP('Total income package'!$B$3,'Location specific data'!$A$3:$AB$135,27,FALSE),$G$2=4,VLOOKUP('Total income package'!$B$3,'Location specific data'!$A$3:$AB$135,28,FALSE),$G$2=5,VLOOKUP('Total income package'!$B$3,'Location specific data'!$A$3:$AB$135,29,FALSE))</f>
        <v>995</v>
      </c>
      <c r="Q102" s="337">
        <f>IF(AND(G102="Yes",'Total income package'!$A$14=TRUE,P102-N102&gt;0),P102-N102,0)</f>
        <v>0</v>
      </c>
      <c r="R102" s="29"/>
    </row>
    <row r="103" spans="1:18" x14ac:dyDescent="0.25">
      <c r="A103" s="182">
        <v>48500</v>
      </c>
      <c r="B103" s="4">
        <f t="shared" si="12"/>
        <v>4041.6666666666665</v>
      </c>
      <c r="C103" s="4">
        <f>MAX('TANF-VIEW'!L106,'TANF-VIEW'!T106)</f>
        <v>0</v>
      </c>
      <c r="D103" s="4">
        <f>'Total income package'!$D$80</f>
        <v>0</v>
      </c>
      <c r="E103" s="4">
        <f>'Total income package'!$H$61+'Total income package'!$F$66</f>
        <v>100</v>
      </c>
      <c r="F103" s="4">
        <f t="shared" si="13"/>
        <v>4141.6666666666661</v>
      </c>
      <c r="G103" s="181" t="str">
        <f t="shared" si="14"/>
        <v>Yes</v>
      </c>
      <c r="H103" s="3">
        <f t="shared" si="15"/>
        <v>40</v>
      </c>
      <c r="I103" s="3">
        <f t="shared" si="16"/>
        <v>0</v>
      </c>
      <c r="J103" s="3">
        <f t="shared" si="9"/>
        <v>4101.6666666666661</v>
      </c>
      <c r="K103" s="3">
        <f t="shared" si="10"/>
        <v>1230.4999999999998</v>
      </c>
      <c r="L103" s="3">
        <f t="shared" si="11"/>
        <v>414.16666666666663</v>
      </c>
      <c r="M103" s="3">
        <v>50</v>
      </c>
      <c r="N103" s="3">
        <f t="shared" si="17"/>
        <v>1230.4999999999998</v>
      </c>
      <c r="O103" s="182" cm="1">
        <f t="array" ref="O103">_xlfn.IFS($G$2=1,VLOOKUP('Total income package'!$B$3,'Location specific data'!$A$3:$W232,20,FALSE),$G$2=2,VLOOKUP('Total income package'!$B$3,'Location specific data'!$A$3:$W$135,21,FALSE),$G$2=3,VLOOKUP('Total income package'!$B$3,'Location specific data'!$A$3:$W$135,22,FALSE),$G$2=4,VLOOKUP('Total income package'!$B$3,'Location specific data'!$A$3:$W$135,23,FALSE),$G$2=5,VLOOKUP('Total income package'!$B$3,'Location specific data'!$A$3:$W$135,24,FALSE))</f>
        <v>851</v>
      </c>
      <c r="P103" s="182" cm="1">
        <f t="array" ref="P103">_xlfn.IFS($G$2=1,VLOOKUP('Total income package'!$B$3,'Location specific data'!$A$3:$AB$135,25,FALSE),$G$2=2,VLOOKUP('Total income package'!$B$3,'Location specific data'!$A$3:$AB$135,26,FALSE),$G$2=3,VLOOKUP('Total income package'!$B$3,'Location specific data'!$A$3:$AB$135,27,FALSE),$G$2=4,VLOOKUP('Total income package'!$B$3,'Location specific data'!$A$3:$AB$135,28,FALSE),$G$2=5,VLOOKUP('Total income package'!$B$3,'Location specific data'!$A$3:$AB$135,29,FALSE))</f>
        <v>995</v>
      </c>
      <c r="Q103" s="337">
        <f>IF(AND(G103="Yes",'Total income package'!$A$14=TRUE,P103-N103&gt;0),P103-N103,0)</f>
        <v>0</v>
      </c>
      <c r="R103" s="29"/>
    </row>
    <row r="104" spans="1:18" x14ac:dyDescent="0.25">
      <c r="A104" s="182">
        <v>49000</v>
      </c>
      <c r="B104" s="4">
        <f t="shared" si="12"/>
        <v>4083.3333333333335</v>
      </c>
      <c r="C104" s="4">
        <f>MAX('TANF-VIEW'!L107,'TANF-VIEW'!T107)</f>
        <v>0</v>
      </c>
      <c r="D104" s="4">
        <f>'Total income package'!$D$80</f>
        <v>0</v>
      </c>
      <c r="E104" s="4">
        <f>'Total income package'!$H$61+'Total income package'!$F$66</f>
        <v>100</v>
      </c>
      <c r="F104" s="4">
        <f t="shared" si="13"/>
        <v>4183.3333333333339</v>
      </c>
      <c r="G104" s="181" t="str">
        <f t="shared" si="14"/>
        <v>No</v>
      </c>
      <c r="H104" s="3">
        <f t="shared" si="15"/>
        <v>40</v>
      </c>
      <c r="I104" s="3">
        <f t="shared" si="16"/>
        <v>0</v>
      </c>
      <c r="J104" s="3">
        <f t="shared" si="9"/>
        <v>4143.3333333333339</v>
      </c>
      <c r="K104" s="3">
        <f t="shared" si="10"/>
        <v>1243.0000000000002</v>
      </c>
      <c r="L104" s="3">
        <f t="shared" si="11"/>
        <v>418.33333333333343</v>
      </c>
      <c r="M104" s="3">
        <v>50</v>
      </c>
      <c r="N104" s="3">
        <f t="shared" si="17"/>
        <v>1243.0000000000002</v>
      </c>
      <c r="O104" s="182" cm="1">
        <f t="array" ref="O104">_xlfn.IFS($G$2=1,VLOOKUP('Total income package'!$B$3,'Location specific data'!$A$3:$W233,20,FALSE),$G$2=2,VLOOKUP('Total income package'!$B$3,'Location specific data'!$A$3:$W$135,21,FALSE),$G$2=3,VLOOKUP('Total income package'!$B$3,'Location specific data'!$A$3:$W$135,22,FALSE),$G$2=4,VLOOKUP('Total income package'!$B$3,'Location specific data'!$A$3:$W$135,23,FALSE),$G$2=5,VLOOKUP('Total income package'!$B$3,'Location specific data'!$A$3:$W$135,24,FALSE))</f>
        <v>851</v>
      </c>
      <c r="P104" s="182" cm="1">
        <f t="array" ref="P104">_xlfn.IFS($G$2=1,VLOOKUP('Total income package'!$B$3,'Location specific data'!$A$3:$AB$135,25,FALSE),$G$2=2,VLOOKUP('Total income package'!$B$3,'Location specific data'!$A$3:$AB$135,26,FALSE),$G$2=3,VLOOKUP('Total income package'!$B$3,'Location specific data'!$A$3:$AB$135,27,FALSE),$G$2=4,VLOOKUP('Total income package'!$B$3,'Location specific data'!$A$3:$AB$135,28,FALSE),$G$2=5,VLOOKUP('Total income package'!$B$3,'Location specific data'!$A$3:$AB$135,29,FALSE))</f>
        <v>995</v>
      </c>
      <c r="Q104" s="337">
        <f>IF(AND(G104="Yes",'Total income package'!$A$14=TRUE,P104-N104&gt;0),P104-N104,0)</f>
        <v>0</v>
      </c>
      <c r="R104" s="29"/>
    </row>
    <row r="105" spans="1:18" x14ac:dyDescent="0.25">
      <c r="A105" s="182">
        <v>49500</v>
      </c>
      <c r="B105" s="4">
        <f t="shared" si="12"/>
        <v>4125</v>
      </c>
      <c r="C105" s="4">
        <f>MAX('TANF-VIEW'!L108,'TANF-VIEW'!T108)</f>
        <v>0</v>
      </c>
      <c r="D105" s="4">
        <f>'Total income package'!$D$80</f>
        <v>0</v>
      </c>
      <c r="E105" s="4">
        <f>'Total income package'!$H$61+'Total income package'!$F$66</f>
        <v>100</v>
      </c>
      <c r="F105" s="4">
        <f t="shared" si="13"/>
        <v>4225</v>
      </c>
      <c r="G105" s="181" t="str">
        <f t="shared" si="14"/>
        <v>No</v>
      </c>
      <c r="H105" s="3">
        <f t="shared" si="15"/>
        <v>40</v>
      </c>
      <c r="I105" s="3">
        <f t="shared" si="16"/>
        <v>0</v>
      </c>
      <c r="J105" s="3">
        <f t="shared" si="9"/>
        <v>4185</v>
      </c>
      <c r="K105" s="3">
        <f t="shared" si="10"/>
        <v>1255.5</v>
      </c>
      <c r="L105" s="3">
        <f t="shared" si="11"/>
        <v>422.5</v>
      </c>
      <c r="M105" s="3">
        <v>50</v>
      </c>
      <c r="N105" s="3">
        <f t="shared" si="17"/>
        <v>1255.5</v>
      </c>
      <c r="O105" s="182" cm="1">
        <f t="array" ref="O105">_xlfn.IFS($G$2=1,VLOOKUP('Total income package'!$B$3,'Location specific data'!$A$3:$W234,20,FALSE),$G$2=2,VLOOKUP('Total income package'!$B$3,'Location specific data'!$A$3:$W$135,21,FALSE),$G$2=3,VLOOKUP('Total income package'!$B$3,'Location specific data'!$A$3:$W$135,22,FALSE),$G$2=4,VLOOKUP('Total income package'!$B$3,'Location specific data'!$A$3:$W$135,23,FALSE),$G$2=5,VLOOKUP('Total income package'!$B$3,'Location specific data'!$A$3:$W$135,24,FALSE))</f>
        <v>851</v>
      </c>
      <c r="P105" s="182" cm="1">
        <f t="array" ref="P105">_xlfn.IFS($G$2=1,VLOOKUP('Total income package'!$B$3,'Location specific data'!$A$3:$AB$135,25,FALSE),$G$2=2,VLOOKUP('Total income package'!$B$3,'Location specific data'!$A$3:$AB$135,26,FALSE),$G$2=3,VLOOKUP('Total income package'!$B$3,'Location specific data'!$A$3:$AB$135,27,FALSE),$G$2=4,VLOOKUP('Total income package'!$B$3,'Location specific data'!$A$3:$AB$135,28,FALSE),$G$2=5,VLOOKUP('Total income package'!$B$3,'Location specific data'!$A$3:$AB$135,29,FALSE))</f>
        <v>995</v>
      </c>
      <c r="Q105" s="337">
        <f>IF(AND(G105="Yes",'Total income package'!$A$14=TRUE,P105-N105&gt;0),P105-N105,0)</f>
        <v>0</v>
      </c>
      <c r="R105" s="29"/>
    </row>
    <row r="106" spans="1:18" x14ac:dyDescent="0.25">
      <c r="A106" s="182">
        <v>50000</v>
      </c>
      <c r="B106" s="4">
        <f t="shared" si="12"/>
        <v>4166.666666666667</v>
      </c>
      <c r="C106" s="4">
        <f>MAX('TANF-VIEW'!L109,'TANF-VIEW'!T109)</f>
        <v>0</v>
      </c>
      <c r="D106" s="4">
        <f>'Total income package'!$D$80</f>
        <v>0</v>
      </c>
      <c r="E106" s="4">
        <f>'Total income package'!$H$61+'Total income package'!$F$66</f>
        <v>100</v>
      </c>
      <c r="F106" s="4">
        <f t="shared" si="13"/>
        <v>4266.666666666667</v>
      </c>
      <c r="G106" s="181" t="str">
        <f t="shared" si="14"/>
        <v>No</v>
      </c>
      <c r="H106" s="3">
        <f t="shared" si="15"/>
        <v>40</v>
      </c>
      <c r="I106" s="3">
        <f t="shared" si="16"/>
        <v>0</v>
      </c>
      <c r="J106" s="3">
        <f t="shared" si="9"/>
        <v>4226.666666666667</v>
      </c>
      <c r="K106" s="3">
        <f t="shared" si="10"/>
        <v>1268</v>
      </c>
      <c r="L106" s="3">
        <f t="shared" si="11"/>
        <v>426.66666666666674</v>
      </c>
      <c r="M106" s="3">
        <v>50</v>
      </c>
      <c r="N106" s="3">
        <f t="shared" si="17"/>
        <v>1268</v>
      </c>
      <c r="O106" s="182" cm="1">
        <f t="array" ref="O106">_xlfn.IFS($G$2=1,VLOOKUP('Total income package'!$B$3,'Location specific data'!$A$3:$W235,20,FALSE),$G$2=2,VLOOKUP('Total income package'!$B$3,'Location specific data'!$A$3:$W$135,21,FALSE),$G$2=3,VLOOKUP('Total income package'!$B$3,'Location specific data'!$A$3:$W$135,22,FALSE),$G$2=4,VLOOKUP('Total income package'!$B$3,'Location specific data'!$A$3:$W$135,23,FALSE),$G$2=5,VLOOKUP('Total income package'!$B$3,'Location specific data'!$A$3:$W$135,24,FALSE))</f>
        <v>851</v>
      </c>
      <c r="P106" s="182" cm="1">
        <f t="array" ref="P106">_xlfn.IFS($G$2=1,VLOOKUP('Total income package'!$B$3,'Location specific data'!$A$3:$AB$135,25,FALSE),$G$2=2,VLOOKUP('Total income package'!$B$3,'Location specific data'!$A$3:$AB$135,26,FALSE),$G$2=3,VLOOKUP('Total income package'!$B$3,'Location specific data'!$A$3:$AB$135,27,FALSE),$G$2=4,VLOOKUP('Total income package'!$B$3,'Location specific data'!$A$3:$AB$135,28,FALSE),$G$2=5,VLOOKUP('Total income package'!$B$3,'Location specific data'!$A$3:$AB$135,29,FALSE))</f>
        <v>995</v>
      </c>
      <c r="Q106" s="337">
        <f>IF(AND(G106="Yes",'Total income package'!$A$14=TRUE,P106-N106&gt;0),P106-N106,0)</f>
        <v>0</v>
      </c>
      <c r="R106" s="29"/>
    </row>
    <row r="107" spans="1:18" x14ac:dyDescent="0.25">
      <c r="A107" s="182">
        <v>50500</v>
      </c>
      <c r="B107" s="4">
        <f t="shared" si="12"/>
        <v>4208.333333333333</v>
      </c>
      <c r="C107" s="4">
        <f>MAX('TANF-VIEW'!L110,'TANF-VIEW'!T110)</f>
        <v>0</v>
      </c>
      <c r="D107" s="4">
        <f>'Total income package'!$D$80</f>
        <v>0</v>
      </c>
      <c r="E107" s="4">
        <f>'Total income package'!$H$61+'Total income package'!$F$66</f>
        <v>100</v>
      </c>
      <c r="F107" s="4">
        <f t="shared" si="13"/>
        <v>4308.333333333333</v>
      </c>
      <c r="G107" s="181" t="str">
        <f t="shared" si="14"/>
        <v>No</v>
      </c>
      <c r="H107" s="3">
        <f t="shared" si="15"/>
        <v>40</v>
      </c>
      <c r="I107" s="3">
        <f t="shared" si="16"/>
        <v>0</v>
      </c>
      <c r="J107" s="3">
        <f t="shared" si="9"/>
        <v>4268.333333333333</v>
      </c>
      <c r="K107" s="3">
        <f t="shared" si="10"/>
        <v>1280.4999999999998</v>
      </c>
      <c r="L107" s="3">
        <f t="shared" si="11"/>
        <v>430.83333333333331</v>
      </c>
      <c r="M107" s="3">
        <v>50</v>
      </c>
      <c r="N107" s="3">
        <f t="shared" ref="N107:N170" si="18">MAX(K107:M107)</f>
        <v>1280.4999999999998</v>
      </c>
      <c r="O107" s="182" cm="1">
        <f t="array" ref="O107">_xlfn.IFS($G$2=1,VLOOKUP('Total income package'!$B$3,'Location specific data'!$A$3:$W236,20,FALSE),$G$2=2,VLOOKUP('Total income package'!$B$3,'Location specific data'!$A$3:$W$135,21,FALSE),$G$2=3,VLOOKUP('Total income package'!$B$3,'Location specific data'!$A$3:$W$135,22,FALSE),$G$2=4,VLOOKUP('Total income package'!$B$3,'Location specific data'!$A$3:$W$135,23,FALSE),$G$2=5,VLOOKUP('Total income package'!$B$3,'Location specific data'!$A$3:$W$135,24,FALSE))</f>
        <v>851</v>
      </c>
      <c r="P107" s="182" cm="1">
        <f t="array" ref="P107">_xlfn.IFS($G$2=1,VLOOKUP('Total income package'!$B$3,'Location specific data'!$A$3:$AB$135,25,FALSE),$G$2=2,VLOOKUP('Total income package'!$B$3,'Location specific data'!$A$3:$AB$135,26,FALSE),$G$2=3,VLOOKUP('Total income package'!$B$3,'Location specific data'!$A$3:$AB$135,27,FALSE),$G$2=4,VLOOKUP('Total income package'!$B$3,'Location specific data'!$A$3:$AB$135,28,FALSE),$G$2=5,VLOOKUP('Total income package'!$B$3,'Location specific data'!$A$3:$AB$135,29,FALSE))</f>
        <v>995</v>
      </c>
      <c r="Q107" s="337">
        <f>IF(AND(G107="Yes",'Total income package'!$A$14=TRUE,P107-N107&gt;0),P107-N107,0)</f>
        <v>0</v>
      </c>
    </row>
    <row r="108" spans="1:18" x14ac:dyDescent="0.25">
      <c r="A108" s="182">
        <v>51000</v>
      </c>
      <c r="B108" s="4">
        <f t="shared" si="12"/>
        <v>4250</v>
      </c>
      <c r="C108" s="4">
        <f>MAX('TANF-VIEW'!L111,'TANF-VIEW'!T111)</f>
        <v>0</v>
      </c>
      <c r="D108" s="4">
        <f>'Total income package'!$D$80</f>
        <v>0</v>
      </c>
      <c r="E108" s="4">
        <f>'Total income package'!$H$61+'Total income package'!$F$66</f>
        <v>100</v>
      </c>
      <c r="F108" s="4">
        <f t="shared" si="13"/>
        <v>4350</v>
      </c>
      <c r="G108" s="181" t="str">
        <f t="shared" si="14"/>
        <v>No</v>
      </c>
      <c r="H108" s="3">
        <f t="shared" si="15"/>
        <v>40</v>
      </c>
      <c r="I108" s="3">
        <f t="shared" si="16"/>
        <v>0</v>
      </c>
      <c r="J108" s="3">
        <f t="shared" si="9"/>
        <v>4310</v>
      </c>
      <c r="K108" s="3">
        <f t="shared" si="10"/>
        <v>1293</v>
      </c>
      <c r="L108" s="3">
        <f t="shared" si="11"/>
        <v>435</v>
      </c>
      <c r="M108" s="3">
        <v>50</v>
      </c>
      <c r="N108" s="3">
        <f t="shared" si="18"/>
        <v>1293</v>
      </c>
      <c r="O108" s="182" cm="1">
        <f t="array" ref="O108">_xlfn.IFS($G$2=1,VLOOKUP('Total income package'!$B$3,'Location specific data'!$A$3:$W237,20,FALSE),$G$2=2,VLOOKUP('Total income package'!$B$3,'Location specific data'!$A$3:$W$135,21,FALSE),$G$2=3,VLOOKUP('Total income package'!$B$3,'Location specific data'!$A$3:$W$135,22,FALSE),$G$2=4,VLOOKUP('Total income package'!$B$3,'Location specific data'!$A$3:$W$135,23,FALSE),$G$2=5,VLOOKUP('Total income package'!$B$3,'Location specific data'!$A$3:$W$135,24,FALSE))</f>
        <v>851</v>
      </c>
      <c r="P108" s="182" cm="1">
        <f t="array" ref="P108">_xlfn.IFS($G$2=1,VLOOKUP('Total income package'!$B$3,'Location specific data'!$A$3:$AB$135,25,FALSE),$G$2=2,VLOOKUP('Total income package'!$B$3,'Location specific data'!$A$3:$AB$135,26,FALSE),$G$2=3,VLOOKUP('Total income package'!$B$3,'Location specific data'!$A$3:$AB$135,27,FALSE),$G$2=4,VLOOKUP('Total income package'!$B$3,'Location specific data'!$A$3:$AB$135,28,FALSE),$G$2=5,VLOOKUP('Total income package'!$B$3,'Location specific data'!$A$3:$AB$135,29,FALSE))</f>
        <v>995</v>
      </c>
      <c r="Q108" s="337">
        <f>IF(AND(G108="Yes",'Total income package'!$A$14=TRUE,P108-N108&gt;0),P108-N108,0)</f>
        <v>0</v>
      </c>
    </row>
    <row r="109" spans="1:18" x14ac:dyDescent="0.25">
      <c r="A109" s="182">
        <v>51500</v>
      </c>
      <c r="B109" s="4">
        <f t="shared" si="12"/>
        <v>4291.666666666667</v>
      </c>
      <c r="C109" s="4">
        <f>MAX('TANF-VIEW'!L112,'TANF-VIEW'!T112)</f>
        <v>0</v>
      </c>
      <c r="D109" s="4">
        <f>'Total income package'!$D$80</f>
        <v>0</v>
      </c>
      <c r="E109" s="4">
        <f>'Total income package'!$H$61+'Total income package'!$F$66</f>
        <v>100</v>
      </c>
      <c r="F109" s="4">
        <f t="shared" si="13"/>
        <v>4391.666666666667</v>
      </c>
      <c r="G109" s="181" t="str">
        <f t="shared" si="14"/>
        <v>No</v>
      </c>
      <c r="H109" s="3">
        <f t="shared" si="15"/>
        <v>40</v>
      </c>
      <c r="I109" s="3">
        <f t="shared" si="16"/>
        <v>0</v>
      </c>
      <c r="J109" s="3">
        <f t="shared" si="9"/>
        <v>4351.666666666667</v>
      </c>
      <c r="K109" s="3">
        <f t="shared" si="10"/>
        <v>1305.5</v>
      </c>
      <c r="L109" s="3">
        <f t="shared" si="11"/>
        <v>439.16666666666674</v>
      </c>
      <c r="M109" s="3">
        <v>50</v>
      </c>
      <c r="N109" s="3">
        <f t="shared" si="18"/>
        <v>1305.5</v>
      </c>
      <c r="O109" s="182" cm="1">
        <f t="array" ref="O109">_xlfn.IFS($G$2=1,VLOOKUP('Total income package'!$B$3,'Location specific data'!$A$3:$W238,20,FALSE),$G$2=2,VLOOKUP('Total income package'!$B$3,'Location specific data'!$A$3:$W$135,21,FALSE),$G$2=3,VLOOKUP('Total income package'!$B$3,'Location specific data'!$A$3:$W$135,22,FALSE),$G$2=4,VLOOKUP('Total income package'!$B$3,'Location specific data'!$A$3:$W$135,23,FALSE),$G$2=5,VLOOKUP('Total income package'!$B$3,'Location specific data'!$A$3:$W$135,24,FALSE))</f>
        <v>851</v>
      </c>
      <c r="P109" s="182" cm="1">
        <f t="array" ref="P109">_xlfn.IFS($G$2=1,VLOOKUP('Total income package'!$B$3,'Location specific data'!$A$3:$AB$135,25,FALSE),$G$2=2,VLOOKUP('Total income package'!$B$3,'Location specific data'!$A$3:$AB$135,26,FALSE),$G$2=3,VLOOKUP('Total income package'!$B$3,'Location specific data'!$A$3:$AB$135,27,FALSE),$G$2=4,VLOOKUP('Total income package'!$B$3,'Location specific data'!$A$3:$AB$135,28,FALSE),$G$2=5,VLOOKUP('Total income package'!$B$3,'Location specific data'!$A$3:$AB$135,29,FALSE))</f>
        <v>995</v>
      </c>
      <c r="Q109" s="337">
        <f>IF(AND(G109="Yes",'Total income package'!$A$14=TRUE,P109-N109&gt;0),P109-N109,0)</f>
        <v>0</v>
      </c>
    </row>
    <row r="110" spans="1:18" x14ac:dyDescent="0.25">
      <c r="A110" s="182">
        <v>52000</v>
      </c>
      <c r="B110" s="4">
        <f t="shared" si="12"/>
        <v>4333.333333333333</v>
      </c>
      <c r="C110" s="4">
        <f>MAX('TANF-VIEW'!L113,'TANF-VIEW'!T113)</f>
        <v>0</v>
      </c>
      <c r="D110" s="4">
        <f>'Total income package'!$D$80</f>
        <v>0</v>
      </c>
      <c r="E110" s="4">
        <f>'Total income package'!$H$61+'Total income package'!$F$66</f>
        <v>100</v>
      </c>
      <c r="F110" s="4">
        <f t="shared" si="13"/>
        <v>4433.333333333333</v>
      </c>
      <c r="G110" s="181" t="str">
        <f t="shared" si="14"/>
        <v>No</v>
      </c>
      <c r="H110" s="3">
        <f t="shared" si="15"/>
        <v>40</v>
      </c>
      <c r="I110" s="3">
        <f t="shared" si="16"/>
        <v>0</v>
      </c>
      <c r="J110" s="3">
        <f t="shared" si="9"/>
        <v>4393.333333333333</v>
      </c>
      <c r="K110" s="3">
        <f t="shared" si="10"/>
        <v>1317.9999999999998</v>
      </c>
      <c r="L110" s="3">
        <f t="shared" si="11"/>
        <v>443.33333333333331</v>
      </c>
      <c r="M110" s="3">
        <v>50</v>
      </c>
      <c r="N110" s="3">
        <f t="shared" si="18"/>
        <v>1317.9999999999998</v>
      </c>
      <c r="O110" s="182" cm="1">
        <f t="array" ref="O110">_xlfn.IFS($G$2=1,VLOOKUP('Total income package'!$B$3,'Location specific data'!$A$3:$W239,20,FALSE),$G$2=2,VLOOKUP('Total income package'!$B$3,'Location specific data'!$A$3:$W$135,21,FALSE),$G$2=3,VLOOKUP('Total income package'!$B$3,'Location specific data'!$A$3:$W$135,22,FALSE),$G$2=4,VLOOKUP('Total income package'!$B$3,'Location specific data'!$A$3:$W$135,23,FALSE),$G$2=5,VLOOKUP('Total income package'!$B$3,'Location specific data'!$A$3:$W$135,24,FALSE))</f>
        <v>851</v>
      </c>
      <c r="P110" s="182" cm="1">
        <f t="array" ref="P110">_xlfn.IFS($G$2=1,VLOOKUP('Total income package'!$B$3,'Location specific data'!$A$3:$AB$135,25,FALSE),$G$2=2,VLOOKUP('Total income package'!$B$3,'Location specific data'!$A$3:$AB$135,26,FALSE),$G$2=3,VLOOKUP('Total income package'!$B$3,'Location specific data'!$A$3:$AB$135,27,FALSE),$G$2=4,VLOOKUP('Total income package'!$B$3,'Location specific data'!$A$3:$AB$135,28,FALSE),$G$2=5,VLOOKUP('Total income package'!$B$3,'Location specific data'!$A$3:$AB$135,29,FALSE))</f>
        <v>995</v>
      </c>
      <c r="Q110" s="337">
        <f>IF(AND(G110="Yes",'Total income package'!$A$14=TRUE,P110-N110&gt;0),P110-N110,0)</f>
        <v>0</v>
      </c>
    </row>
    <row r="111" spans="1:18" x14ac:dyDescent="0.25">
      <c r="A111" s="182">
        <v>52500</v>
      </c>
      <c r="B111" s="4">
        <f t="shared" si="12"/>
        <v>4375</v>
      </c>
      <c r="C111" s="4">
        <f>MAX('TANF-VIEW'!L114,'TANF-VIEW'!T114)</f>
        <v>0</v>
      </c>
      <c r="D111" s="4">
        <f>'Total income package'!$D$80</f>
        <v>0</v>
      </c>
      <c r="E111" s="4">
        <f>'Total income package'!$H$61+'Total income package'!$F$66</f>
        <v>100</v>
      </c>
      <c r="F111" s="4">
        <f t="shared" si="13"/>
        <v>4475</v>
      </c>
      <c r="G111" s="181" t="str">
        <f t="shared" si="14"/>
        <v>No</v>
      </c>
      <c r="H111" s="3">
        <f t="shared" si="15"/>
        <v>40</v>
      </c>
      <c r="I111" s="3">
        <f t="shared" si="16"/>
        <v>0</v>
      </c>
      <c r="J111" s="3">
        <f t="shared" si="9"/>
        <v>4435</v>
      </c>
      <c r="K111" s="3">
        <f t="shared" si="10"/>
        <v>1330.5</v>
      </c>
      <c r="L111" s="3">
        <f t="shared" si="11"/>
        <v>447.5</v>
      </c>
      <c r="M111" s="3">
        <v>50</v>
      </c>
      <c r="N111" s="3">
        <f t="shared" si="18"/>
        <v>1330.5</v>
      </c>
      <c r="O111" s="182" cm="1">
        <f t="array" ref="O111">_xlfn.IFS($G$2=1,VLOOKUP('Total income package'!$B$3,'Location specific data'!$A$3:$W240,20,FALSE),$G$2=2,VLOOKUP('Total income package'!$B$3,'Location specific data'!$A$3:$W$135,21,FALSE),$G$2=3,VLOOKUP('Total income package'!$B$3,'Location specific data'!$A$3:$W$135,22,FALSE),$G$2=4,VLOOKUP('Total income package'!$B$3,'Location specific data'!$A$3:$W$135,23,FALSE),$G$2=5,VLOOKUP('Total income package'!$B$3,'Location specific data'!$A$3:$W$135,24,FALSE))</f>
        <v>851</v>
      </c>
      <c r="P111" s="182" cm="1">
        <f t="array" ref="P111">_xlfn.IFS($G$2=1,VLOOKUP('Total income package'!$B$3,'Location specific data'!$A$3:$AB$135,25,FALSE),$G$2=2,VLOOKUP('Total income package'!$B$3,'Location specific data'!$A$3:$AB$135,26,FALSE),$G$2=3,VLOOKUP('Total income package'!$B$3,'Location specific data'!$A$3:$AB$135,27,FALSE),$G$2=4,VLOOKUP('Total income package'!$B$3,'Location specific data'!$A$3:$AB$135,28,FALSE),$G$2=5,VLOOKUP('Total income package'!$B$3,'Location specific data'!$A$3:$AB$135,29,FALSE))</f>
        <v>995</v>
      </c>
      <c r="Q111" s="337">
        <f>IF(AND(G111="Yes",'Total income package'!$A$14=TRUE,P111-N111&gt;0),P111-N111,0)</f>
        <v>0</v>
      </c>
    </row>
    <row r="112" spans="1:18" x14ac:dyDescent="0.25">
      <c r="A112" s="182">
        <v>53000</v>
      </c>
      <c r="B112" s="4">
        <f t="shared" si="12"/>
        <v>4416.666666666667</v>
      </c>
      <c r="C112" s="4">
        <f>MAX('TANF-VIEW'!L115,'TANF-VIEW'!T115)</f>
        <v>0</v>
      </c>
      <c r="D112" s="4">
        <f>'Total income package'!$D$80</f>
        <v>0</v>
      </c>
      <c r="E112" s="4">
        <f>'Total income package'!$H$61+'Total income package'!$F$66</f>
        <v>100</v>
      </c>
      <c r="F112" s="4">
        <f t="shared" si="13"/>
        <v>4516.666666666667</v>
      </c>
      <c r="G112" s="181" t="str">
        <f t="shared" si="14"/>
        <v>No</v>
      </c>
      <c r="H112" s="3">
        <f t="shared" si="15"/>
        <v>40</v>
      </c>
      <c r="I112" s="3">
        <f t="shared" si="16"/>
        <v>0</v>
      </c>
      <c r="J112" s="3">
        <f t="shared" si="9"/>
        <v>4476.666666666667</v>
      </c>
      <c r="K112" s="3">
        <f t="shared" si="10"/>
        <v>1343</v>
      </c>
      <c r="L112" s="3">
        <f t="shared" si="11"/>
        <v>451.66666666666674</v>
      </c>
      <c r="M112" s="3">
        <v>50</v>
      </c>
      <c r="N112" s="3">
        <f t="shared" si="18"/>
        <v>1343</v>
      </c>
      <c r="O112" s="182" cm="1">
        <f t="array" ref="O112">_xlfn.IFS($G$2=1,VLOOKUP('Total income package'!$B$3,'Location specific data'!$A$3:$W241,20,FALSE),$G$2=2,VLOOKUP('Total income package'!$B$3,'Location specific data'!$A$3:$W$135,21,FALSE),$G$2=3,VLOOKUP('Total income package'!$B$3,'Location specific data'!$A$3:$W$135,22,FALSE),$G$2=4,VLOOKUP('Total income package'!$B$3,'Location specific data'!$A$3:$W$135,23,FALSE),$G$2=5,VLOOKUP('Total income package'!$B$3,'Location specific data'!$A$3:$W$135,24,FALSE))</f>
        <v>851</v>
      </c>
      <c r="P112" s="182" cm="1">
        <f t="array" ref="P112">_xlfn.IFS($G$2=1,VLOOKUP('Total income package'!$B$3,'Location specific data'!$A$3:$AB$135,25,FALSE),$G$2=2,VLOOKUP('Total income package'!$B$3,'Location specific data'!$A$3:$AB$135,26,FALSE),$G$2=3,VLOOKUP('Total income package'!$B$3,'Location specific data'!$A$3:$AB$135,27,FALSE),$G$2=4,VLOOKUP('Total income package'!$B$3,'Location specific data'!$A$3:$AB$135,28,FALSE),$G$2=5,VLOOKUP('Total income package'!$B$3,'Location specific data'!$A$3:$AB$135,29,FALSE))</f>
        <v>995</v>
      </c>
      <c r="Q112" s="337">
        <f>IF(AND(G112="Yes",'Total income package'!$A$14=TRUE,P112-N112&gt;0),P112-N112,0)</f>
        <v>0</v>
      </c>
    </row>
    <row r="113" spans="1:17" x14ac:dyDescent="0.25">
      <c r="A113" s="182">
        <v>53500</v>
      </c>
      <c r="B113" s="4">
        <f t="shared" si="12"/>
        <v>4458.333333333333</v>
      </c>
      <c r="C113" s="4">
        <f>MAX('TANF-VIEW'!L116,'TANF-VIEW'!T116)</f>
        <v>0</v>
      </c>
      <c r="D113" s="4">
        <f>'Total income package'!$D$80</f>
        <v>0</v>
      </c>
      <c r="E113" s="4">
        <f>'Total income package'!$H$61+'Total income package'!$F$66</f>
        <v>100</v>
      </c>
      <c r="F113" s="4">
        <f t="shared" si="13"/>
        <v>4558.333333333333</v>
      </c>
      <c r="G113" s="181" t="str">
        <f t="shared" si="14"/>
        <v>No</v>
      </c>
      <c r="H113" s="3">
        <f t="shared" si="15"/>
        <v>40</v>
      </c>
      <c r="I113" s="3">
        <f t="shared" si="16"/>
        <v>0</v>
      </c>
      <c r="J113" s="3">
        <f t="shared" si="9"/>
        <v>4518.333333333333</v>
      </c>
      <c r="K113" s="3">
        <f t="shared" si="10"/>
        <v>1355.4999999999998</v>
      </c>
      <c r="L113" s="3">
        <f t="shared" si="11"/>
        <v>455.83333333333331</v>
      </c>
      <c r="M113" s="3">
        <v>50</v>
      </c>
      <c r="N113" s="3">
        <f t="shared" si="18"/>
        <v>1355.4999999999998</v>
      </c>
      <c r="O113" s="182" cm="1">
        <f t="array" ref="O113">_xlfn.IFS($G$2=1,VLOOKUP('Total income package'!$B$3,'Location specific data'!$A$3:$W242,20,FALSE),$G$2=2,VLOOKUP('Total income package'!$B$3,'Location specific data'!$A$3:$W$135,21,FALSE),$G$2=3,VLOOKUP('Total income package'!$B$3,'Location specific data'!$A$3:$W$135,22,FALSE),$G$2=4,VLOOKUP('Total income package'!$B$3,'Location specific data'!$A$3:$W$135,23,FALSE),$G$2=5,VLOOKUP('Total income package'!$B$3,'Location specific data'!$A$3:$W$135,24,FALSE))</f>
        <v>851</v>
      </c>
      <c r="P113" s="182" cm="1">
        <f t="array" ref="P113">_xlfn.IFS($G$2=1,VLOOKUP('Total income package'!$B$3,'Location specific data'!$A$3:$AB$135,25,FALSE),$G$2=2,VLOOKUP('Total income package'!$B$3,'Location specific data'!$A$3:$AB$135,26,FALSE),$G$2=3,VLOOKUP('Total income package'!$B$3,'Location specific data'!$A$3:$AB$135,27,FALSE),$G$2=4,VLOOKUP('Total income package'!$B$3,'Location specific data'!$A$3:$AB$135,28,FALSE),$G$2=5,VLOOKUP('Total income package'!$B$3,'Location specific data'!$A$3:$AB$135,29,FALSE))</f>
        <v>995</v>
      </c>
      <c r="Q113" s="337">
        <f>IF(AND(G113="Yes",'Total income package'!$A$14=TRUE,P113-N113&gt;0),P113-N113,0)</f>
        <v>0</v>
      </c>
    </row>
    <row r="114" spans="1:17" x14ac:dyDescent="0.25">
      <c r="A114" s="182">
        <v>54000</v>
      </c>
      <c r="B114" s="4">
        <f t="shared" si="12"/>
        <v>4500</v>
      </c>
      <c r="C114" s="4">
        <f>MAX('TANF-VIEW'!L117,'TANF-VIEW'!T117)</f>
        <v>0</v>
      </c>
      <c r="D114" s="4">
        <f>'Total income package'!$D$80</f>
        <v>0</v>
      </c>
      <c r="E114" s="4">
        <f>'Total income package'!$H$61+'Total income package'!$F$66</f>
        <v>100</v>
      </c>
      <c r="F114" s="4">
        <f t="shared" si="13"/>
        <v>4600</v>
      </c>
      <c r="G114" s="181" t="str">
        <f t="shared" si="14"/>
        <v>No</v>
      </c>
      <c r="H114" s="3">
        <f t="shared" si="15"/>
        <v>40</v>
      </c>
      <c r="I114" s="3">
        <f t="shared" si="16"/>
        <v>0</v>
      </c>
      <c r="J114" s="3">
        <f t="shared" si="9"/>
        <v>4560</v>
      </c>
      <c r="K114" s="3">
        <f t="shared" si="10"/>
        <v>1368</v>
      </c>
      <c r="L114" s="3">
        <f t="shared" si="11"/>
        <v>460</v>
      </c>
      <c r="M114" s="3">
        <v>50</v>
      </c>
      <c r="N114" s="3">
        <f t="shared" si="18"/>
        <v>1368</v>
      </c>
      <c r="O114" s="182" cm="1">
        <f t="array" ref="O114">_xlfn.IFS($G$2=1,VLOOKUP('Total income package'!$B$3,'Location specific data'!$A$3:$W243,20,FALSE),$G$2=2,VLOOKUP('Total income package'!$B$3,'Location specific data'!$A$3:$W$135,21,FALSE),$G$2=3,VLOOKUP('Total income package'!$B$3,'Location specific data'!$A$3:$W$135,22,FALSE),$G$2=4,VLOOKUP('Total income package'!$B$3,'Location specific data'!$A$3:$W$135,23,FALSE),$G$2=5,VLOOKUP('Total income package'!$B$3,'Location specific data'!$A$3:$W$135,24,FALSE))</f>
        <v>851</v>
      </c>
      <c r="P114" s="182" cm="1">
        <f t="array" ref="P114">_xlfn.IFS($G$2=1,VLOOKUP('Total income package'!$B$3,'Location specific data'!$A$3:$AB$135,25,FALSE),$G$2=2,VLOOKUP('Total income package'!$B$3,'Location specific data'!$A$3:$AB$135,26,FALSE),$G$2=3,VLOOKUP('Total income package'!$B$3,'Location specific data'!$A$3:$AB$135,27,FALSE),$G$2=4,VLOOKUP('Total income package'!$B$3,'Location specific data'!$A$3:$AB$135,28,FALSE),$G$2=5,VLOOKUP('Total income package'!$B$3,'Location specific data'!$A$3:$AB$135,29,FALSE))</f>
        <v>995</v>
      </c>
      <c r="Q114" s="337">
        <f>IF(AND(G114="Yes",'Total income package'!$A$14=TRUE,P114-N114&gt;0),P114-N114,0)</f>
        <v>0</v>
      </c>
    </row>
    <row r="115" spans="1:17" x14ac:dyDescent="0.25">
      <c r="A115" s="182">
        <v>54500</v>
      </c>
      <c r="B115" s="4">
        <f t="shared" si="12"/>
        <v>4541.666666666667</v>
      </c>
      <c r="C115" s="4">
        <f>MAX('TANF-VIEW'!L118,'TANF-VIEW'!T118)</f>
        <v>0</v>
      </c>
      <c r="D115" s="4">
        <f>'Total income package'!$D$80</f>
        <v>0</v>
      </c>
      <c r="E115" s="4">
        <f>'Total income package'!$H$61+'Total income package'!$F$66</f>
        <v>100</v>
      </c>
      <c r="F115" s="4">
        <f t="shared" si="13"/>
        <v>4641.666666666667</v>
      </c>
      <c r="G115" s="181" t="str">
        <f t="shared" si="14"/>
        <v>No</v>
      </c>
      <c r="H115" s="3">
        <f t="shared" si="15"/>
        <v>40</v>
      </c>
      <c r="I115" s="3">
        <f t="shared" si="16"/>
        <v>0</v>
      </c>
      <c r="J115" s="3">
        <f t="shared" si="9"/>
        <v>4601.666666666667</v>
      </c>
      <c r="K115" s="3">
        <f t="shared" si="10"/>
        <v>1380.5</v>
      </c>
      <c r="L115" s="3">
        <f t="shared" si="11"/>
        <v>464.16666666666674</v>
      </c>
      <c r="M115" s="3">
        <v>50</v>
      </c>
      <c r="N115" s="3">
        <f t="shared" si="18"/>
        <v>1380.5</v>
      </c>
      <c r="O115" s="182" cm="1">
        <f t="array" ref="O115">_xlfn.IFS($G$2=1,VLOOKUP('Total income package'!$B$3,'Location specific data'!$A$3:$W244,20,FALSE),$G$2=2,VLOOKUP('Total income package'!$B$3,'Location specific data'!$A$3:$W$135,21,FALSE),$G$2=3,VLOOKUP('Total income package'!$B$3,'Location specific data'!$A$3:$W$135,22,FALSE),$G$2=4,VLOOKUP('Total income package'!$B$3,'Location specific data'!$A$3:$W$135,23,FALSE),$G$2=5,VLOOKUP('Total income package'!$B$3,'Location specific data'!$A$3:$W$135,24,FALSE))</f>
        <v>851</v>
      </c>
      <c r="P115" s="182" cm="1">
        <f t="array" ref="P115">_xlfn.IFS($G$2=1,VLOOKUP('Total income package'!$B$3,'Location specific data'!$A$3:$AB$135,25,FALSE),$G$2=2,VLOOKUP('Total income package'!$B$3,'Location specific data'!$A$3:$AB$135,26,FALSE),$G$2=3,VLOOKUP('Total income package'!$B$3,'Location specific data'!$A$3:$AB$135,27,FALSE),$G$2=4,VLOOKUP('Total income package'!$B$3,'Location specific data'!$A$3:$AB$135,28,FALSE),$G$2=5,VLOOKUP('Total income package'!$B$3,'Location specific data'!$A$3:$AB$135,29,FALSE))</f>
        <v>995</v>
      </c>
      <c r="Q115" s="337">
        <f>IF(AND(G115="Yes",'Total income package'!$A$14=TRUE,P115-N115&gt;0),P115-N115,0)</f>
        <v>0</v>
      </c>
    </row>
    <row r="116" spans="1:17" x14ac:dyDescent="0.25">
      <c r="A116" s="182">
        <v>55000</v>
      </c>
      <c r="B116" s="4">
        <f t="shared" si="12"/>
        <v>4583.333333333333</v>
      </c>
      <c r="C116" s="4">
        <f>MAX('TANF-VIEW'!L119,'TANF-VIEW'!T119)</f>
        <v>0</v>
      </c>
      <c r="D116" s="4">
        <f>'Total income package'!$D$80</f>
        <v>0</v>
      </c>
      <c r="E116" s="4">
        <f>'Total income package'!$H$61+'Total income package'!$F$66</f>
        <v>100</v>
      </c>
      <c r="F116" s="4">
        <f t="shared" si="13"/>
        <v>4683.333333333333</v>
      </c>
      <c r="G116" s="181" t="str">
        <f t="shared" si="14"/>
        <v>No</v>
      </c>
      <c r="H116" s="3">
        <f t="shared" si="15"/>
        <v>40</v>
      </c>
      <c r="I116" s="3">
        <f t="shared" si="16"/>
        <v>0</v>
      </c>
      <c r="J116" s="3">
        <f t="shared" si="9"/>
        <v>4643.333333333333</v>
      </c>
      <c r="K116" s="3">
        <f t="shared" si="10"/>
        <v>1392.9999999999998</v>
      </c>
      <c r="L116" s="3">
        <f t="shared" si="11"/>
        <v>468.33333333333331</v>
      </c>
      <c r="M116" s="3">
        <v>50</v>
      </c>
      <c r="N116" s="3">
        <f t="shared" si="18"/>
        <v>1392.9999999999998</v>
      </c>
      <c r="O116" s="182" cm="1">
        <f t="array" ref="O116">_xlfn.IFS($G$2=1,VLOOKUP('Total income package'!$B$3,'Location specific data'!$A$3:$W245,20,FALSE),$G$2=2,VLOOKUP('Total income package'!$B$3,'Location specific data'!$A$3:$W$135,21,FALSE),$G$2=3,VLOOKUP('Total income package'!$B$3,'Location specific data'!$A$3:$W$135,22,FALSE),$G$2=4,VLOOKUP('Total income package'!$B$3,'Location specific data'!$A$3:$W$135,23,FALSE),$G$2=5,VLOOKUP('Total income package'!$B$3,'Location specific data'!$A$3:$W$135,24,FALSE))</f>
        <v>851</v>
      </c>
      <c r="P116" s="182" cm="1">
        <f t="array" ref="P116">_xlfn.IFS($G$2=1,VLOOKUP('Total income package'!$B$3,'Location specific data'!$A$3:$AB$135,25,FALSE),$G$2=2,VLOOKUP('Total income package'!$B$3,'Location specific data'!$A$3:$AB$135,26,FALSE),$G$2=3,VLOOKUP('Total income package'!$B$3,'Location specific data'!$A$3:$AB$135,27,FALSE),$G$2=4,VLOOKUP('Total income package'!$B$3,'Location specific data'!$A$3:$AB$135,28,FALSE),$G$2=5,VLOOKUP('Total income package'!$B$3,'Location specific data'!$A$3:$AB$135,29,FALSE))</f>
        <v>995</v>
      </c>
      <c r="Q116" s="337">
        <f>IF(AND(G116="Yes",'Total income package'!$A$14=TRUE,P116-N116&gt;0),P116-N116,0)</f>
        <v>0</v>
      </c>
    </row>
    <row r="117" spans="1:17" x14ac:dyDescent="0.25">
      <c r="A117" s="182">
        <v>55500</v>
      </c>
      <c r="B117" s="4">
        <f t="shared" si="12"/>
        <v>4625</v>
      </c>
      <c r="C117" s="4">
        <f>MAX('TANF-VIEW'!L120,'TANF-VIEW'!T120)</f>
        <v>0</v>
      </c>
      <c r="D117" s="4">
        <f>'Total income package'!$D$80</f>
        <v>0</v>
      </c>
      <c r="E117" s="4">
        <f>'Total income package'!$H$61+'Total income package'!$F$66</f>
        <v>100</v>
      </c>
      <c r="F117" s="4">
        <f t="shared" si="13"/>
        <v>4725</v>
      </c>
      <c r="G117" s="181" t="str">
        <f t="shared" si="14"/>
        <v>No</v>
      </c>
      <c r="H117" s="3">
        <f t="shared" si="15"/>
        <v>40</v>
      </c>
      <c r="I117" s="3">
        <f t="shared" si="16"/>
        <v>0</v>
      </c>
      <c r="J117" s="3">
        <f t="shared" si="9"/>
        <v>4685</v>
      </c>
      <c r="K117" s="3">
        <f t="shared" si="10"/>
        <v>1405.5</v>
      </c>
      <c r="L117" s="3">
        <f t="shared" si="11"/>
        <v>472.5</v>
      </c>
      <c r="M117" s="3">
        <v>50</v>
      </c>
      <c r="N117" s="3">
        <f t="shared" si="18"/>
        <v>1405.5</v>
      </c>
      <c r="O117" s="182" cm="1">
        <f t="array" ref="O117">_xlfn.IFS($G$2=1,VLOOKUP('Total income package'!$B$3,'Location specific data'!$A$3:$W246,20,FALSE),$G$2=2,VLOOKUP('Total income package'!$B$3,'Location specific data'!$A$3:$W$135,21,FALSE),$G$2=3,VLOOKUP('Total income package'!$B$3,'Location specific data'!$A$3:$W$135,22,FALSE),$G$2=4,VLOOKUP('Total income package'!$B$3,'Location specific data'!$A$3:$W$135,23,FALSE),$G$2=5,VLOOKUP('Total income package'!$B$3,'Location specific data'!$A$3:$W$135,24,FALSE))</f>
        <v>851</v>
      </c>
      <c r="P117" s="182" cm="1">
        <f t="array" ref="P117">_xlfn.IFS($G$2=1,VLOOKUP('Total income package'!$B$3,'Location specific data'!$A$3:$AB$135,25,FALSE),$G$2=2,VLOOKUP('Total income package'!$B$3,'Location specific data'!$A$3:$AB$135,26,FALSE),$G$2=3,VLOOKUP('Total income package'!$B$3,'Location specific data'!$A$3:$AB$135,27,FALSE),$G$2=4,VLOOKUP('Total income package'!$B$3,'Location specific data'!$A$3:$AB$135,28,FALSE),$G$2=5,VLOOKUP('Total income package'!$B$3,'Location specific data'!$A$3:$AB$135,29,FALSE))</f>
        <v>995</v>
      </c>
      <c r="Q117" s="337">
        <f>IF(AND(G117="Yes",'Total income package'!$A$14=TRUE,P117-N117&gt;0),P117-N117,0)</f>
        <v>0</v>
      </c>
    </row>
    <row r="118" spans="1:17" x14ac:dyDescent="0.25">
      <c r="A118" s="182">
        <v>56000</v>
      </c>
      <c r="B118" s="4">
        <f t="shared" si="12"/>
        <v>4666.666666666667</v>
      </c>
      <c r="C118" s="4">
        <f>MAX('TANF-VIEW'!L121,'TANF-VIEW'!T121)</f>
        <v>0</v>
      </c>
      <c r="D118" s="4">
        <f>'Total income package'!$D$80</f>
        <v>0</v>
      </c>
      <c r="E118" s="4">
        <f>'Total income package'!$H$61+'Total income package'!$F$66</f>
        <v>100</v>
      </c>
      <c r="F118" s="4">
        <f t="shared" si="13"/>
        <v>4766.666666666667</v>
      </c>
      <c r="G118" s="181" t="str">
        <f t="shared" si="14"/>
        <v>No</v>
      </c>
      <c r="H118" s="3">
        <f t="shared" si="15"/>
        <v>40</v>
      </c>
      <c r="I118" s="3">
        <f t="shared" si="16"/>
        <v>0</v>
      </c>
      <c r="J118" s="3">
        <f t="shared" si="9"/>
        <v>4726.666666666667</v>
      </c>
      <c r="K118" s="3">
        <f t="shared" si="10"/>
        <v>1418</v>
      </c>
      <c r="L118" s="3">
        <f t="shared" si="11"/>
        <v>476.66666666666674</v>
      </c>
      <c r="M118" s="3">
        <v>50</v>
      </c>
      <c r="N118" s="3">
        <f t="shared" si="18"/>
        <v>1418</v>
      </c>
      <c r="O118" s="182" cm="1">
        <f t="array" ref="O118">_xlfn.IFS($G$2=1,VLOOKUP('Total income package'!$B$3,'Location specific data'!$A$3:$W247,20,FALSE),$G$2=2,VLOOKUP('Total income package'!$B$3,'Location specific data'!$A$3:$W$135,21,FALSE),$G$2=3,VLOOKUP('Total income package'!$B$3,'Location specific data'!$A$3:$W$135,22,FALSE),$G$2=4,VLOOKUP('Total income package'!$B$3,'Location specific data'!$A$3:$W$135,23,FALSE),$G$2=5,VLOOKUP('Total income package'!$B$3,'Location specific data'!$A$3:$W$135,24,FALSE))</f>
        <v>851</v>
      </c>
      <c r="P118" s="182" cm="1">
        <f t="array" ref="P118">_xlfn.IFS($G$2=1,VLOOKUP('Total income package'!$B$3,'Location specific data'!$A$3:$AB$135,25,FALSE),$G$2=2,VLOOKUP('Total income package'!$B$3,'Location specific data'!$A$3:$AB$135,26,FALSE),$G$2=3,VLOOKUP('Total income package'!$B$3,'Location specific data'!$A$3:$AB$135,27,FALSE),$G$2=4,VLOOKUP('Total income package'!$B$3,'Location specific data'!$A$3:$AB$135,28,FALSE),$G$2=5,VLOOKUP('Total income package'!$B$3,'Location specific data'!$A$3:$AB$135,29,FALSE))</f>
        <v>995</v>
      </c>
      <c r="Q118" s="337">
        <f>IF(AND(G118="Yes",'Total income package'!$A$14=TRUE,P118-N118&gt;0),P118-N118,0)</f>
        <v>0</v>
      </c>
    </row>
    <row r="119" spans="1:17" x14ac:dyDescent="0.25">
      <c r="A119" s="182">
        <v>56500</v>
      </c>
      <c r="B119" s="4">
        <f t="shared" si="12"/>
        <v>4708.333333333333</v>
      </c>
      <c r="C119" s="4">
        <f>MAX('TANF-VIEW'!L122,'TANF-VIEW'!T122)</f>
        <v>0</v>
      </c>
      <c r="D119" s="4">
        <f>'Total income package'!$D$80</f>
        <v>0</v>
      </c>
      <c r="E119" s="4">
        <f>'Total income package'!$H$61+'Total income package'!$F$66</f>
        <v>100</v>
      </c>
      <c r="F119" s="4">
        <f t="shared" si="13"/>
        <v>4808.333333333333</v>
      </c>
      <c r="G119" s="181" t="str">
        <f t="shared" si="14"/>
        <v>No</v>
      </c>
      <c r="H119" s="3">
        <f t="shared" si="15"/>
        <v>40</v>
      </c>
      <c r="I119" s="3">
        <f t="shared" si="16"/>
        <v>0</v>
      </c>
      <c r="J119" s="3">
        <f t="shared" si="9"/>
        <v>4768.333333333333</v>
      </c>
      <c r="K119" s="3">
        <f t="shared" si="10"/>
        <v>1430.4999999999998</v>
      </c>
      <c r="L119" s="3">
        <f t="shared" si="11"/>
        <v>480.83333333333331</v>
      </c>
      <c r="M119" s="3">
        <v>50</v>
      </c>
      <c r="N119" s="3">
        <f t="shared" si="18"/>
        <v>1430.4999999999998</v>
      </c>
      <c r="O119" s="182" cm="1">
        <f t="array" ref="O119">_xlfn.IFS($G$2=1,VLOOKUP('Total income package'!$B$3,'Location specific data'!$A$3:$W248,20,FALSE),$G$2=2,VLOOKUP('Total income package'!$B$3,'Location specific data'!$A$3:$W$135,21,FALSE),$G$2=3,VLOOKUP('Total income package'!$B$3,'Location specific data'!$A$3:$W$135,22,FALSE),$G$2=4,VLOOKUP('Total income package'!$B$3,'Location specific data'!$A$3:$W$135,23,FALSE),$G$2=5,VLOOKUP('Total income package'!$B$3,'Location specific data'!$A$3:$W$135,24,FALSE))</f>
        <v>851</v>
      </c>
      <c r="P119" s="182" cm="1">
        <f t="array" ref="P119">_xlfn.IFS($G$2=1,VLOOKUP('Total income package'!$B$3,'Location specific data'!$A$3:$AB$135,25,FALSE),$G$2=2,VLOOKUP('Total income package'!$B$3,'Location specific data'!$A$3:$AB$135,26,FALSE),$G$2=3,VLOOKUP('Total income package'!$B$3,'Location specific data'!$A$3:$AB$135,27,FALSE),$G$2=4,VLOOKUP('Total income package'!$B$3,'Location specific data'!$A$3:$AB$135,28,FALSE),$G$2=5,VLOOKUP('Total income package'!$B$3,'Location specific data'!$A$3:$AB$135,29,FALSE))</f>
        <v>995</v>
      </c>
      <c r="Q119" s="337">
        <f>IF(AND(G119="Yes",'Total income package'!$A$14=TRUE,P119-N119&gt;0),P119-N119,0)</f>
        <v>0</v>
      </c>
    </row>
    <row r="120" spans="1:17" x14ac:dyDescent="0.25">
      <c r="A120" s="182">
        <v>57000</v>
      </c>
      <c r="B120" s="4">
        <f t="shared" si="12"/>
        <v>4750</v>
      </c>
      <c r="C120" s="4">
        <f>MAX('TANF-VIEW'!L123,'TANF-VIEW'!T123)</f>
        <v>0</v>
      </c>
      <c r="D120" s="4">
        <f>'Total income package'!$D$80</f>
        <v>0</v>
      </c>
      <c r="E120" s="4">
        <f>'Total income package'!$H$61+'Total income package'!$F$66</f>
        <v>100</v>
      </c>
      <c r="F120" s="4">
        <f t="shared" si="13"/>
        <v>4850</v>
      </c>
      <c r="G120" s="181" t="str">
        <f t="shared" si="14"/>
        <v>No</v>
      </c>
      <c r="H120" s="3">
        <f t="shared" si="15"/>
        <v>40</v>
      </c>
      <c r="I120" s="3">
        <f t="shared" si="16"/>
        <v>0</v>
      </c>
      <c r="J120" s="3">
        <f t="shared" si="9"/>
        <v>4810</v>
      </c>
      <c r="K120" s="3">
        <f t="shared" si="10"/>
        <v>1443</v>
      </c>
      <c r="L120" s="3">
        <f t="shared" si="11"/>
        <v>485</v>
      </c>
      <c r="M120" s="3">
        <v>50</v>
      </c>
      <c r="N120" s="3">
        <f t="shared" si="18"/>
        <v>1443</v>
      </c>
      <c r="O120" s="182" cm="1">
        <f t="array" ref="O120">_xlfn.IFS($G$2=1,VLOOKUP('Total income package'!$B$3,'Location specific data'!$A$3:$W249,20,FALSE),$G$2=2,VLOOKUP('Total income package'!$B$3,'Location specific data'!$A$3:$W$135,21,FALSE),$G$2=3,VLOOKUP('Total income package'!$B$3,'Location specific data'!$A$3:$W$135,22,FALSE),$G$2=4,VLOOKUP('Total income package'!$B$3,'Location specific data'!$A$3:$W$135,23,FALSE),$G$2=5,VLOOKUP('Total income package'!$B$3,'Location specific data'!$A$3:$W$135,24,FALSE))</f>
        <v>851</v>
      </c>
      <c r="P120" s="182" cm="1">
        <f t="array" ref="P120">_xlfn.IFS($G$2=1,VLOOKUP('Total income package'!$B$3,'Location specific data'!$A$3:$AB$135,25,FALSE),$G$2=2,VLOOKUP('Total income package'!$B$3,'Location specific data'!$A$3:$AB$135,26,FALSE),$G$2=3,VLOOKUP('Total income package'!$B$3,'Location specific data'!$A$3:$AB$135,27,FALSE),$G$2=4,VLOOKUP('Total income package'!$B$3,'Location specific data'!$A$3:$AB$135,28,FALSE),$G$2=5,VLOOKUP('Total income package'!$B$3,'Location specific data'!$A$3:$AB$135,29,FALSE))</f>
        <v>995</v>
      </c>
      <c r="Q120" s="337">
        <f>IF(AND(G120="Yes",'Total income package'!$A$14=TRUE,P120-N120&gt;0),P120-N120,0)</f>
        <v>0</v>
      </c>
    </row>
    <row r="121" spans="1:17" x14ac:dyDescent="0.25">
      <c r="A121" s="182">
        <v>57500</v>
      </c>
      <c r="B121" s="4">
        <f t="shared" si="12"/>
        <v>4791.666666666667</v>
      </c>
      <c r="C121" s="4">
        <f>MAX('TANF-VIEW'!L124,'TANF-VIEW'!T124)</f>
        <v>0</v>
      </c>
      <c r="D121" s="4">
        <f>'Total income package'!$D$80</f>
        <v>0</v>
      </c>
      <c r="E121" s="4">
        <f>'Total income package'!$H$61+'Total income package'!$F$66</f>
        <v>100</v>
      </c>
      <c r="F121" s="4">
        <f t="shared" si="13"/>
        <v>4891.666666666667</v>
      </c>
      <c r="G121" s="181" t="str">
        <f t="shared" si="14"/>
        <v>No</v>
      </c>
      <c r="H121" s="3">
        <f t="shared" si="15"/>
        <v>40</v>
      </c>
      <c r="I121" s="3">
        <f t="shared" si="16"/>
        <v>0</v>
      </c>
      <c r="J121" s="3">
        <f t="shared" si="9"/>
        <v>4851.666666666667</v>
      </c>
      <c r="K121" s="3">
        <f t="shared" si="10"/>
        <v>1455.5</v>
      </c>
      <c r="L121" s="3">
        <f t="shared" si="11"/>
        <v>489.16666666666674</v>
      </c>
      <c r="M121" s="3">
        <v>50</v>
      </c>
      <c r="N121" s="3">
        <f t="shared" si="18"/>
        <v>1455.5</v>
      </c>
      <c r="O121" s="182" cm="1">
        <f t="array" ref="O121">_xlfn.IFS($G$2=1,VLOOKUP('Total income package'!$B$3,'Location specific data'!$A$3:$W250,20,FALSE),$G$2=2,VLOOKUP('Total income package'!$B$3,'Location specific data'!$A$3:$W$135,21,FALSE),$G$2=3,VLOOKUP('Total income package'!$B$3,'Location specific data'!$A$3:$W$135,22,FALSE),$G$2=4,VLOOKUP('Total income package'!$B$3,'Location specific data'!$A$3:$W$135,23,FALSE),$G$2=5,VLOOKUP('Total income package'!$B$3,'Location specific data'!$A$3:$W$135,24,FALSE))</f>
        <v>851</v>
      </c>
      <c r="P121" s="182" cm="1">
        <f t="array" ref="P121">_xlfn.IFS($G$2=1,VLOOKUP('Total income package'!$B$3,'Location specific data'!$A$3:$AB$135,25,FALSE),$G$2=2,VLOOKUP('Total income package'!$B$3,'Location specific data'!$A$3:$AB$135,26,FALSE),$G$2=3,VLOOKUP('Total income package'!$B$3,'Location specific data'!$A$3:$AB$135,27,FALSE),$G$2=4,VLOOKUP('Total income package'!$B$3,'Location specific data'!$A$3:$AB$135,28,FALSE),$G$2=5,VLOOKUP('Total income package'!$B$3,'Location specific data'!$A$3:$AB$135,29,FALSE))</f>
        <v>995</v>
      </c>
      <c r="Q121" s="337">
        <f>IF(AND(G121="Yes",'Total income package'!$A$14=TRUE,P121-N121&gt;0),P121-N121,0)</f>
        <v>0</v>
      </c>
    </row>
    <row r="122" spans="1:17" x14ac:dyDescent="0.25">
      <c r="A122" s="182">
        <v>58000</v>
      </c>
      <c r="B122" s="4">
        <f t="shared" si="12"/>
        <v>4833.333333333333</v>
      </c>
      <c r="C122" s="4">
        <f>MAX('TANF-VIEW'!L125,'TANF-VIEW'!T125)</f>
        <v>0</v>
      </c>
      <c r="D122" s="4">
        <f>'Total income package'!$D$80</f>
        <v>0</v>
      </c>
      <c r="E122" s="4">
        <f>'Total income package'!$H$61+'Total income package'!$F$66</f>
        <v>100</v>
      </c>
      <c r="F122" s="4">
        <f t="shared" si="13"/>
        <v>4933.333333333333</v>
      </c>
      <c r="G122" s="181" t="str">
        <f t="shared" si="14"/>
        <v>No</v>
      </c>
      <c r="H122" s="3">
        <f t="shared" si="15"/>
        <v>40</v>
      </c>
      <c r="I122" s="3">
        <f t="shared" si="16"/>
        <v>0</v>
      </c>
      <c r="J122" s="3">
        <f t="shared" si="9"/>
        <v>4893.333333333333</v>
      </c>
      <c r="K122" s="3">
        <f t="shared" si="10"/>
        <v>1467.9999999999998</v>
      </c>
      <c r="L122" s="3">
        <f t="shared" si="11"/>
        <v>493.33333333333331</v>
      </c>
      <c r="M122" s="3">
        <v>50</v>
      </c>
      <c r="N122" s="3">
        <f t="shared" si="18"/>
        <v>1467.9999999999998</v>
      </c>
      <c r="O122" s="182" cm="1">
        <f t="array" ref="O122">_xlfn.IFS($G$2=1,VLOOKUP('Total income package'!$B$3,'Location specific data'!$A$3:$W251,20,FALSE),$G$2=2,VLOOKUP('Total income package'!$B$3,'Location specific data'!$A$3:$W$135,21,FALSE),$G$2=3,VLOOKUP('Total income package'!$B$3,'Location specific data'!$A$3:$W$135,22,FALSE),$G$2=4,VLOOKUP('Total income package'!$B$3,'Location specific data'!$A$3:$W$135,23,FALSE),$G$2=5,VLOOKUP('Total income package'!$B$3,'Location specific data'!$A$3:$W$135,24,FALSE))</f>
        <v>851</v>
      </c>
      <c r="P122" s="182" cm="1">
        <f t="array" ref="P122">_xlfn.IFS($G$2=1,VLOOKUP('Total income package'!$B$3,'Location specific data'!$A$3:$AB$135,25,FALSE),$G$2=2,VLOOKUP('Total income package'!$B$3,'Location specific data'!$A$3:$AB$135,26,FALSE),$G$2=3,VLOOKUP('Total income package'!$B$3,'Location specific data'!$A$3:$AB$135,27,FALSE),$G$2=4,VLOOKUP('Total income package'!$B$3,'Location specific data'!$A$3:$AB$135,28,FALSE),$G$2=5,VLOOKUP('Total income package'!$B$3,'Location specific data'!$A$3:$AB$135,29,FALSE))</f>
        <v>995</v>
      </c>
      <c r="Q122" s="337">
        <f>IF(AND(G122="Yes",'Total income package'!$A$14=TRUE,P122-N122&gt;0),P122-N122,0)</f>
        <v>0</v>
      </c>
    </row>
    <row r="123" spans="1:17" x14ac:dyDescent="0.25">
      <c r="A123" s="182">
        <v>58500</v>
      </c>
      <c r="B123" s="4">
        <f t="shared" si="12"/>
        <v>4875</v>
      </c>
      <c r="C123" s="4">
        <f>MAX('TANF-VIEW'!L126,'TANF-VIEW'!T126)</f>
        <v>0</v>
      </c>
      <c r="D123" s="4">
        <f>'Total income package'!$D$80</f>
        <v>0</v>
      </c>
      <c r="E123" s="4">
        <f>'Total income package'!$H$61+'Total income package'!$F$66</f>
        <v>100</v>
      </c>
      <c r="F123" s="4">
        <f t="shared" si="13"/>
        <v>4975</v>
      </c>
      <c r="G123" s="181" t="str">
        <f t="shared" si="14"/>
        <v>No</v>
      </c>
      <c r="H123" s="3">
        <f t="shared" si="15"/>
        <v>40</v>
      </c>
      <c r="I123" s="3">
        <f t="shared" si="16"/>
        <v>0</v>
      </c>
      <c r="J123" s="3">
        <f t="shared" si="9"/>
        <v>4935</v>
      </c>
      <c r="K123" s="3">
        <f t="shared" si="10"/>
        <v>1480.5</v>
      </c>
      <c r="L123" s="3">
        <f t="shared" si="11"/>
        <v>497.5</v>
      </c>
      <c r="M123" s="3">
        <v>50</v>
      </c>
      <c r="N123" s="3">
        <f t="shared" si="18"/>
        <v>1480.5</v>
      </c>
      <c r="O123" s="182" cm="1">
        <f t="array" ref="O123">_xlfn.IFS($G$2=1,VLOOKUP('Total income package'!$B$3,'Location specific data'!$A$3:$W252,20,FALSE),$G$2=2,VLOOKUP('Total income package'!$B$3,'Location specific data'!$A$3:$W$135,21,FALSE),$G$2=3,VLOOKUP('Total income package'!$B$3,'Location specific data'!$A$3:$W$135,22,FALSE),$G$2=4,VLOOKUP('Total income package'!$B$3,'Location specific data'!$A$3:$W$135,23,FALSE),$G$2=5,VLOOKUP('Total income package'!$B$3,'Location specific data'!$A$3:$W$135,24,FALSE))</f>
        <v>851</v>
      </c>
      <c r="P123" s="182" cm="1">
        <f t="array" ref="P123">_xlfn.IFS($G$2=1,VLOOKUP('Total income package'!$B$3,'Location specific data'!$A$3:$AB$135,25,FALSE),$G$2=2,VLOOKUP('Total income package'!$B$3,'Location specific data'!$A$3:$AB$135,26,FALSE),$G$2=3,VLOOKUP('Total income package'!$B$3,'Location specific data'!$A$3:$AB$135,27,FALSE),$G$2=4,VLOOKUP('Total income package'!$B$3,'Location specific data'!$A$3:$AB$135,28,FALSE),$G$2=5,VLOOKUP('Total income package'!$B$3,'Location specific data'!$A$3:$AB$135,29,FALSE))</f>
        <v>995</v>
      </c>
      <c r="Q123" s="337">
        <f>IF(AND(G123="Yes",'Total income package'!$A$14=TRUE,P123-N123&gt;0),P123-N123,0)</f>
        <v>0</v>
      </c>
    </row>
    <row r="124" spans="1:17" x14ac:dyDescent="0.25">
      <c r="A124" s="182">
        <v>59000</v>
      </c>
      <c r="B124" s="4">
        <f t="shared" si="12"/>
        <v>4916.666666666667</v>
      </c>
      <c r="C124" s="4">
        <f>MAX('TANF-VIEW'!L127,'TANF-VIEW'!T127)</f>
        <v>0</v>
      </c>
      <c r="D124" s="4">
        <f>'Total income package'!$D$80</f>
        <v>0</v>
      </c>
      <c r="E124" s="4">
        <f>'Total income package'!$H$61+'Total income package'!$F$66</f>
        <v>100</v>
      </c>
      <c r="F124" s="4">
        <f t="shared" si="13"/>
        <v>5016.666666666667</v>
      </c>
      <c r="G124" s="181" t="str">
        <f t="shared" si="14"/>
        <v>No</v>
      </c>
      <c r="H124" s="3">
        <f t="shared" si="15"/>
        <v>40</v>
      </c>
      <c r="I124" s="3">
        <f t="shared" si="16"/>
        <v>0</v>
      </c>
      <c r="J124" s="3">
        <f t="shared" si="9"/>
        <v>4976.666666666667</v>
      </c>
      <c r="K124" s="3">
        <f t="shared" si="10"/>
        <v>1493</v>
      </c>
      <c r="L124" s="3">
        <f t="shared" si="11"/>
        <v>501.66666666666674</v>
      </c>
      <c r="M124" s="3">
        <v>50</v>
      </c>
      <c r="N124" s="3">
        <f t="shared" si="18"/>
        <v>1493</v>
      </c>
      <c r="O124" s="182" cm="1">
        <f t="array" ref="O124">_xlfn.IFS($G$2=1,VLOOKUP('Total income package'!$B$3,'Location specific data'!$A$3:$W253,20,FALSE),$G$2=2,VLOOKUP('Total income package'!$B$3,'Location specific data'!$A$3:$W$135,21,FALSE),$G$2=3,VLOOKUP('Total income package'!$B$3,'Location specific data'!$A$3:$W$135,22,FALSE),$G$2=4,VLOOKUP('Total income package'!$B$3,'Location specific data'!$A$3:$W$135,23,FALSE),$G$2=5,VLOOKUP('Total income package'!$B$3,'Location specific data'!$A$3:$W$135,24,FALSE))</f>
        <v>851</v>
      </c>
      <c r="P124" s="182" cm="1">
        <f t="array" ref="P124">_xlfn.IFS($G$2=1,VLOOKUP('Total income package'!$B$3,'Location specific data'!$A$3:$AB$135,25,FALSE),$G$2=2,VLOOKUP('Total income package'!$B$3,'Location specific data'!$A$3:$AB$135,26,FALSE),$G$2=3,VLOOKUP('Total income package'!$B$3,'Location specific data'!$A$3:$AB$135,27,FALSE),$G$2=4,VLOOKUP('Total income package'!$B$3,'Location specific data'!$A$3:$AB$135,28,FALSE),$G$2=5,VLOOKUP('Total income package'!$B$3,'Location specific data'!$A$3:$AB$135,29,FALSE))</f>
        <v>995</v>
      </c>
      <c r="Q124" s="337">
        <f>IF(AND(G124="Yes",'Total income package'!$A$14=TRUE,P124-N124&gt;0),P124-N124,0)</f>
        <v>0</v>
      </c>
    </row>
    <row r="125" spans="1:17" x14ac:dyDescent="0.25">
      <c r="A125" s="182">
        <v>59500</v>
      </c>
      <c r="B125" s="4">
        <f t="shared" si="12"/>
        <v>4958.333333333333</v>
      </c>
      <c r="C125" s="4">
        <f>MAX('TANF-VIEW'!L128,'TANF-VIEW'!T128)</f>
        <v>0</v>
      </c>
      <c r="D125" s="4">
        <f>'Total income package'!$D$80</f>
        <v>0</v>
      </c>
      <c r="E125" s="4">
        <f>'Total income package'!$H$61+'Total income package'!$F$66</f>
        <v>100</v>
      </c>
      <c r="F125" s="4">
        <f t="shared" si="13"/>
        <v>5058.333333333333</v>
      </c>
      <c r="G125" s="181" t="str">
        <f t="shared" si="14"/>
        <v>No</v>
      </c>
      <c r="H125" s="3">
        <f t="shared" si="15"/>
        <v>40</v>
      </c>
      <c r="I125" s="3">
        <f t="shared" si="16"/>
        <v>0</v>
      </c>
      <c r="J125" s="3">
        <f t="shared" si="9"/>
        <v>5018.333333333333</v>
      </c>
      <c r="K125" s="3">
        <f t="shared" si="10"/>
        <v>1505.4999999999998</v>
      </c>
      <c r="L125" s="3">
        <f t="shared" si="11"/>
        <v>505.83333333333331</v>
      </c>
      <c r="M125" s="3">
        <v>50</v>
      </c>
      <c r="N125" s="3">
        <f t="shared" si="18"/>
        <v>1505.4999999999998</v>
      </c>
      <c r="O125" s="182" cm="1">
        <f t="array" ref="O125">_xlfn.IFS($G$2=1,VLOOKUP('Total income package'!$B$3,'Location specific data'!$A$3:$W254,20,FALSE),$G$2=2,VLOOKUP('Total income package'!$B$3,'Location specific data'!$A$3:$W$135,21,FALSE),$G$2=3,VLOOKUP('Total income package'!$B$3,'Location specific data'!$A$3:$W$135,22,FALSE),$G$2=4,VLOOKUP('Total income package'!$B$3,'Location specific data'!$A$3:$W$135,23,FALSE),$G$2=5,VLOOKUP('Total income package'!$B$3,'Location specific data'!$A$3:$W$135,24,FALSE))</f>
        <v>851</v>
      </c>
      <c r="P125" s="182" cm="1">
        <f t="array" ref="P125">_xlfn.IFS($G$2=1,VLOOKUP('Total income package'!$B$3,'Location specific data'!$A$3:$AB$135,25,FALSE),$G$2=2,VLOOKUP('Total income package'!$B$3,'Location specific data'!$A$3:$AB$135,26,FALSE),$G$2=3,VLOOKUP('Total income package'!$B$3,'Location specific data'!$A$3:$AB$135,27,FALSE),$G$2=4,VLOOKUP('Total income package'!$B$3,'Location specific data'!$A$3:$AB$135,28,FALSE),$G$2=5,VLOOKUP('Total income package'!$B$3,'Location specific data'!$A$3:$AB$135,29,FALSE))</f>
        <v>995</v>
      </c>
      <c r="Q125" s="337">
        <f>IF(AND(G125="Yes",'Total income package'!$A$14=TRUE,P125-N125&gt;0),P125-N125,0)</f>
        <v>0</v>
      </c>
    </row>
    <row r="126" spans="1:17" x14ac:dyDescent="0.25">
      <c r="A126" s="182">
        <v>60000</v>
      </c>
      <c r="B126" s="4">
        <f t="shared" si="12"/>
        <v>5000</v>
      </c>
      <c r="C126" s="4">
        <f>MAX('TANF-VIEW'!L129,'TANF-VIEW'!T129)</f>
        <v>0</v>
      </c>
      <c r="D126" s="4">
        <f>'Total income package'!$D$80</f>
        <v>0</v>
      </c>
      <c r="E126" s="4">
        <f>'Total income package'!$H$61+'Total income package'!$F$66</f>
        <v>100</v>
      </c>
      <c r="F126" s="4">
        <f t="shared" si="13"/>
        <v>5100</v>
      </c>
      <c r="G126" s="181" t="str">
        <f t="shared" si="14"/>
        <v>No</v>
      </c>
      <c r="H126" s="3">
        <f t="shared" si="15"/>
        <v>40</v>
      </c>
      <c r="I126" s="3">
        <f t="shared" si="16"/>
        <v>0</v>
      </c>
      <c r="J126" s="3">
        <f t="shared" si="9"/>
        <v>5060</v>
      </c>
      <c r="K126" s="3">
        <f t="shared" si="10"/>
        <v>1518</v>
      </c>
      <c r="L126" s="3">
        <f t="shared" si="11"/>
        <v>510</v>
      </c>
      <c r="M126" s="3">
        <v>50</v>
      </c>
      <c r="N126" s="3">
        <f t="shared" si="18"/>
        <v>1518</v>
      </c>
      <c r="O126" s="182" cm="1">
        <f t="array" ref="O126">_xlfn.IFS($G$2=1,VLOOKUP('Total income package'!$B$3,'Location specific data'!$A$3:$W255,20,FALSE),$G$2=2,VLOOKUP('Total income package'!$B$3,'Location specific data'!$A$3:$W$135,21,FALSE),$G$2=3,VLOOKUP('Total income package'!$B$3,'Location specific data'!$A$3:$W$135,22,FALSE),$G$2=4,VLOOKUP('Total income package'!$B$3,'Location specific data'!$A$3:$W$135,23,FALSE),$G$2=5,VLOOKUP('Total income package'!$B$3,'Location specific data'!$A$3:$W$135,24,FALSE))</f>
        <v>851</v>
      </c>
      <c r="P126" s="182" cm="1">
        <f t="array" ref="P126">_xlfn.IFS($G$2=1,VLOOKUP('Total income package'!$B$3,'Location specific data'!$A$3:$AB$135,25,FALSE),$G$2=2,VLOOKUP('Total income package'!$B$3,'Location specific data'!$A$3:$AB$135,26,FALSE),$G$2=3,VLOOKUP('Total income package'!$B$3,'Location specific data'!$A$3:$AB$135,27,FALSE),$G$2=4,VLOOKUP('Total income package'!$B$3,'Location specific data'!$A$3:$AB$135,28,FALSE),$G$2=5,VLOOKUP('Total income package'!$B$3,'Location specific data'!$A$3:$AB$135,29,FALSE))</f>
        <v>995</v>
      </c>
      <c r="Q126" s="337">
        <f>IF(AND(G126="Yes",'Total income package'!$A$14=TRUE,P126-N126&gt;0),P126-N126,0)</f>
        <v>0</v>
      </c>
    </row>
    <row r="127" spans="1:17" x14ac:dyDescent="0.25">
      <c r="A127" s="182">
        <v>60500</v>
      </c>
      <c r="B127" s="4">
        <f t="shared" si="12"/>
        <v>5041.666666666667</v>
      </c>
      <c r="C127" s="4">
        <f>MAX('TANF-VIEW'!L130,'TANF-VIEW'!T130)</f>
        <v>0</v>
      </c>
      <c r="D127" s="4">
        <f>'Total income package'!$D$80</f>
        <v>0</v>
      </c>
      <c r="E127" s="4">
        <f>'Total income package'!$H$61+'Total income package'!$F$66</f>
        <v>100</v>
      </c>
      <c r="F127" s="4">
        <f t="shared" si="13"/>
        <v>5141.666666666667</v>
      </c>
      <c r="G127" s="181" t="str">
        <f t="shared" si="14"/>
        <v>No</v>
      </c>
      <c r="H127" s="3">
        <f t="shared" si="15"/>
        <v>40</v>
      </c>
      <c r="I127" s="3">
        <f t="shared" si="16"/>
        <v>0</v>
      </c>
      <c r="J127" s="3">
        <f t="shared" si="9"/>
        <v>5101.666666666667</v>
      </c>
      <c r="K127" s="3">
        <f t="shared" si="10"/>
        <v>1530.5</v>
      </c>
      <c r="L127" s="3">
        <f t="shared" si="11"/>
        <v>514.16666666666674</v>
      </c>
      <c r="M127" s="3">
        <v>50</v>
      </c>
      <c r="N127" s="3">
        <f t="shared" si="18"/>
        <v>1530.5</v>
      </c>
      <c r="O127" s="182" cm="1">
        <f t="array" ref="O127">_xlfn.IFS($G$2=1,VLOOKUP('Total income package'!$B$3,'Location specific data'!$A$3:$W256,20,FALSE),$G$2=2,VLOOKUP('Total income package'!$B$3,'Location specific data'!$A$3:$W$135,21,FALSE),$G$2=3,VLOOKUP('Total income package'!$B$3,'Location specific data'!$A$3:$W$135,22,FALSE),$G$2=4,VLOOKUP('Total income package'!$B$3,'Location specific data'!$A$3:$W$135,23,FALSE),$G$2=5,VLOOKUP('Total income package'!$B$3,'Location specific data'!$A$3:$W$135,24,FALSE))</f>
        <v>851</v>
      </c>
      <c r="P127" s="182" cm="1">
        <f t="array" ref="P127">_xlfn.IFS($G$2=1,VLOOKUP('Total income package'!$B$3,'Location specific data'!$A$3:$AB$135,25,FALSE),$G$2=2,VLOOKUP('Total income package'!$B$3,'Location specific data'!$A$3:$AB$135,26,FALSE),$G$2=3,VLOOKUP('Total income package'!$B$3,'Location specific data'!$A$3:$AB$135,27,FALSE),$G$2=4,VLOOKUP('Total income package'!$B$3,'Location specific data'!$A$3:$AB$135,28,FALSE),$G$2=5,VLOOKUP('Total income package'!$B$3,'Location specific data'!$A$3:$AB$135,29,FALSE))</f>
        <v>995</v>
      </c>
      <c r="Q127" s="337">
        <f>IF(AND(G127="Yes",'Total income package'!$A$14=TRUE,P127-N127&gt;0),P127-N127,0)</f>
        <v>0</v>
      </c>
    </row>
    <row r="128" spans="1:17" x14ac:dyDescent="0.25">
      <c r="A128" s="182">
        <v>61000</v>
      </c>
      <c r="B128" s="4">
        <f t="shared" si="12"/>
        <v>5083.333333333333</v>
      </c>
      <c r="C128" s="4">
        <f>MAX('TANF-VIEW'!L131,'TANF-VIEW'!T131)</f>
        <v>0</v>
      </c>
      <c r="D128" s="4">
        <f>'Total income package'!$D$80</f>
        <v>0</v>
      </c>
      <c r="E128" s="4">
        <f>'Total income package'!$H$61+'Total income package'!$F$66</f>
        <v>100</v>
      </c>
      <c r="F128" s="4">
        <f t="shared" si="13"/>
        <v>5183.333333333333</v>
      </c>
      <c r="G128" s="181" t="str">
        <f t="shared" si="14"/>
        <v>No</v>
      </c>
      <c r="H128" s="3">
        <f t="shared" si="15"/>
        <v>40</v>
      </c>
      <c r="I128" s="3">
        <f t="shared" si="16"/>
        <v>0</v>
      </c>
      <c r="J128" s="3">
        <f t="shared" si="9"/>
        <v>5143.333333333333</v>
      </c>
      <c r="K128" s="3">
        <f t="shared" si="10"/>
        <v>1542.9999999999998</v>
      </c>
      <c r="L128" s="3">
        <f t="shared" si="11"/>
        <v>518.33333333333337</v>
      </c>
      <c r="M128" s="3">
        <v>50</v>
      </c>
      <c r="N128" s="3">
        <f t="shared" si="18"/>
        <v>1542.9999999999998</v>
      </c>
      <c r="O128" s="182" cm="1">
        <f t="array" ref="O128">_xlfn.IFS($G$2=1,VLOOKUP('Total income package'!$B$3,'Location specific data'!$A$3:$W257,20,FALSE),$G$2=2,VLOOKUP('Total income package'!$B$3,'Location specific data'!$A$3:$W$135,21,FALSE),$G$2=3,VLOOKUP('Total income package'!$B$3,'Location specific data'!$A$3:$W$135,22,FALSE),$G$2=4,VLOOKUP('Total income package'!$B$3,'Location specific data'!$A$3:$W$135,23,FALSE),$G$2=5,VLOOKUP('Total income package'!$B$3,'Location specific data'!$A$3:$W$135,24,FALSE))</f>
        <v>851</v>
      </c>
      <c r="P128" s="182" cm="1">
        <f t="array" ref="P128">_xlfn.IFS($G$2=1,VLOOKUP('Total income package'!$B$3,'Location specific data'!$A$3:$AB$135,25,FALSE),$G$2=2,VLOOKUP('Total income package'!$B$3,'Location specific data'!$A$3:$AB$135,26,FALSE),$G$2=3,VLOOKUP('Total income package'!$B$3,'Location specific data'!$A$3:$AB$135,27,FALSE),$G$2=4,VLOOKUP('Total income package'!$B$3,'Location specific data'!$A$3:$AB$135,28,FALSE),$G$2=5,VLOOKUP('Total income package'!$B$3,'Location specific data'!$A$3:$AB$135,29,FALSE))</f>
        <v>995</v>
      </c>
      <c r="Q128" s="337">
        <f>IF(AND(G128="Yes",'Total income package'!$A$14=TRUE,P128-N128&gt;0),P128-N128,0)</f>
        <v>0</v>
      </c>
    </row>
    <row r="129" spans="1:17" x14ac:dyDescent="0.25">
      <c r="A129" s="182">
        <v>61500</v>
      </c>
      <c r="B129" s="4">
        <f t="shared" si="12"/>
        <v>5125</v>
      </c>
      <c r="C129" s="4">
        <f>MAX('TANF-VIEW'!L132,'TANF-VIEW'!T132)</f>
        <v>0</v>
      </c>
      <c r="D129" s="4">
        <f>'Total income package'!$D$80</f>
        <v>0</v>
      </c>
      <c r="E129" s="4">
        <f>'Total income package'!$H$61+'Total income package'!$F$66</f>
        <v>100</v>
      </c>
      <c r="F129" s="4">
        <f t="shared" si="13"/>
        <v>5225</v>
      </c>
      <c r="G129" s="181" t="str">
        <f t="shared" si="14"/>
        <v>No</v>
      </c>
      <c r="H129" s="3">
        <f t="shared" si="15"/>
        <v>40</v>
      </c>
      <c r="I129" s="3">
        <f t="shared" si="16"/>
        <v>0</v>
      </c>
      <c r="J129" s="3">
        <f t="shared" si="9"/>
        <v>5185</v>
      </c>
      <c r="K129" s="3">
        <f t="shared" si="10"/>
        <v>1555.5</v>
      </c>
      <c r="L129" s="3">
        <f t="shared" si="11"/>
        <v>522.5</v>
      </c>
      <c r="M129" s="3">
        <v>50</v>
      </c>
      <c r="N129" s="3">
        <f t="shared" si="18"/>
        <v>1555.5</v>
      </c>
      <c r="O129" s="182" cm="1">
        <f t="array" ref="O129">_xlfn.IFS($G$2=1,VLOOKUP('Total income package'!$B$3,'Location specific data'!$A$3:$W258,20,FALSE),$G$2=2,VLOOKUP('Total income package'!$B$3,'Location specific data'!$A$3:$W$135,21,FALSE),$G$2=3,VLOOKUP('Total income package'!$B$3,'Location specific data'!$A$3:$W$135,22,FALSE),$G$2=4,VLOOKUP('Total income package'!$B$3,'Location specific data'!$A$3:$W$135,23,FALSE),$G$2=5,VLOOKUP('Total income package'!$B$3,'Location specific data'!$A$3:$W$135,24,FALSE))</f>
        <v>851</v>
      </c>
      <c r="P129" s="182" cm="1">
        <f t="array" ref="P129">_xlfn.IFS($G$2=1,VLOOKUP('Total income package'!$B$3,'Location specific data'!$A$3:$AB$135,25,FALSE),$G$2=2,VLOOKUP('Total income package'!$B$3,'Location specific data'!$A$3:$AB$135,26,FALSE),$G$2=3,VLOOKUP('Total income package'!$B$3,'Location specific data'!$A$3:$AB$135,27,FALSE),$G$2=4,VLOOKUP('Total income package'!$B$3,'Location specific data'!$A$3:$AB$135,28,FALSE),$G$2=5,VLOOKUP('Total income package'!$B$3,'Location specific data'!$A$3:$AB$135,29,FALSE))</f>
        <v>995</v>
      </c>
      <c r="Q129" s="337">
        <f>IF(AND(G129="Yes",'Total income package'!$A$14=TRUE,P129-N129&gt;0),P129-N129,0)</f>
        <v>0</v>
      </c>
    </row>
    <row r="130" spans="1:17" x14ac:dyDescent="0.25">
      <c r="A130" s="182">
        <v>62000</v>
      </c>
      <c r="B130" s="4">
        <f t="shared" si="12"/>
        <v>5166.666666666667</v>
      </c>
      <c r="C130" s="4">
        <f>MAX('TANF-VIEW'!L133,'TANF-VIEW'!T133)</f>
        <v>0</v>
      </c>
      <c r="D130" s="4">
        <f>'Total income package'!$D$80</f>
        <v>0</v>
      </c>
      <c r="E130" s="4">
        <f>'Total income package'!$H$61+'Total income package'!$F$66</f>
        <v>100</v>
      </c>
      <c r="F130" s="4">
        <f t="shared" si="13"/>
        <v>5266.666666666667</v>
      </c>
      <c r="G130" s="181" t="str">
        <f t="shared" si="14"/>
        <v>No</v>
      </c>
      <c r="H130" s="3">
        <f t="shared" si="15"/>
        <v>40</v>
      </c>
      <c r="I130" s="3">
        <f t="shared" si="16"/>
        <v>0</v>
      </c>
      <c r="J130" s="3">
        <f t="shared" si="9"/>
        <v>5226.666666666667</v>
      </c>
      <c r="K130" s="3">
        <f t="shared" si="10"/>
        <v>1568</v>
      </c>
      <c r="L130" s="3">
        <f t="shared" si="11"/>
        <v>526.66666666666674</v>
      </c>
      <c r="M130" s="3">
        <v>50</v>
      </c>
      <c r="N130" s="3">
        <f t="shared" si="18"/>
        <v>1568</v>
      </c>
      <c r="O130" s="182" cm="1">
        <f t="array" ref="O130">_xlfn.IFS($G$2=1,VLOOKUP('Total income package'!$B$3,'Location specific data'!$A$3:$W259,20,FALSE),$G$2=2,VLOOKUP('Total income package'!$B$3,'Location specific data'!$A$3:$W$135,21,FALSE),$G$2=3,VLOOKUP('Total income package'!$B$3,'Location specific data'!$A$3:$W$135,22,FALSE),$G$2=4,VLOOKUP('Total income package'!$B$3,'Location specific data'!$A$3:$W$135,23,FALSE),$G$2=5,VLOOKUP('Total income package'!$B$3,'Location specific data'!$A$3:$W$135,24,FALSE))</f>
        <v>851</v>
      </c>
      <c r="P130" s="182" cm="1">
        <f t="array" ref="P130">_xlfn.IFS($G$2=1,VLOOKUP('Total income package'!$B$3,'Location specific data'!$A$3:$AB$135,25,FALSE),$G$2=2,VLOOKUP('Total income package'!$B$3,'Location specific data'!$A$3:$AB$135,26,FALSE),$G$2=3,VLOOKUP('Total income package'!$B$3,'Location specific data'!$A$3:$AB$135,27,FALSE),$G$2=4,VLOOKUP('Total income package'!$B$3,'Location specific data'!$A$3:$AB$135,28,FALSE),$G$2=5,VLOOKUP('Total income package'!$B$3,'Location specific data'!$A$3:$AB$135,29,FALSE))</f>
        <v>995</v>
      </c>
      <c r="Q130" s="337">
        <f>IF(AND(G130="Yes",'Total income package'!$A$14=TRUE,P130-N130&gt;0),P130-N130,0)</f>
        <v>0</v>
      </c>
    </row>
    <row r="131" spans="1:17" x14ac:dyDescent="0.25">
      <c r="A131" s="182">
        <v>62500</v>
      </c>
      <c r="B131" s="4">
        <f t="shared" si="12"/>
        <v>5208.333333333333</v>
      </c>
      <c r="C131" s="4">
        <f>MAX('TANF-VIEW'!L134,'TANF-VIEW'!T134)</f>
        <v>0</v>
      </c>
      <c r="D131" s="4">
        <f>'Total income package'!$D$80</f>
        <v>0</v>
      </c>
      <c r="E131" s="4">
        <f>'Total income package'!$H$61+'Total income package'!$F$66</f>
        <v>100</v>
      </c>
      <c r="F131" s="4">
        <f t="shared" si="13"/>
        <v>5308.333333333333</v>
      </c>
      <c r="G131" s="181" t="str">
        <f t="shared" si="14"/>
        <v>No</v>
      </c>
      <c r="H131" s="3">
        <f t="shared" si="15"/>
        <v>40</v>
      </c>
      <c r="I131" s="3">
        <f t="shared" si="16"/>
        <v>0</v>
      </c>
      <c r="J131" s="3">
        <f t="shared" si="9"/>
        <v>5268.333333333333</v>
      </c>
      <c r="K131" s="3">
        <f t="shared" si="10"/>
        <v>1580.4999999999998</v>
      </c>
      <c r="L131" s="3">
        <f t="shared" si="11"/>
        <v>530.83333333333337</v>
      </c>
      <c r="M131" s="3">
        <v>50</v>
      </c>
      <c r="N131" s="3">
        <f t="shared" si="18"/>
        <v>1580.4999999999998</v>
      </c>
      <c r="O131" s="182" cm="1">
        <f t="array" ref="O131">_xlfn.IFS($G$2=1,VLOOKUP('Total income package'!$B$3,'Location specific data'!$A$3:$W260,20,FALSE),$G$2=2,VLOOKUP('Total income package'!$B$3,'Location specific data'!$A$3:$W$135,21,FALSE),$G$2=3,VLOOKUP('Total income package'!$B$3,'Location specific data'!$A$3:$W$135,22,FALSE),$G$2=4,VLOOKUP('Total income package'!$B$3,'Location specific data'!$A$3:$W$135,23,FALSE),$G$2=5,VLOOKUP('Total income package'!$B$3,'Location specific data'!$A$3:$W$135,24,FALSE))</f>
        <v>851</v>
      </c>
      <c r="P131" s="182" cm="1">
        <f t="array" ref="P131">_xlfn.IFS($G$2=1,VLOOKUP('Total income package'!$B$3,'Location specific data'!$A$3:$AB$135,25,FALSE),$G$2=2,VLOOKUP('Total income package'!$B$3,'Location specific data'!$A$3:$AB$135,26,FALSE),$G$2=3,VLOOKUP('Total income package'!$B$3,'Location specific data'!$A$3:$AB$135,27,FALSE),$G$2=4,VLOOKUP('Total income package'!$B$3,'Location specific data'!$A$3:$AB$135,28,FALSE),$G$2=5,VLOOKUP('Total income package'!$B$3,'Location specific data'!$A$3:$AB$135,29,FALSE))</f>
        <v>995</v>
      </c>
      <c r="Q131" s="337">
        <f>IF(AND(G131="Yes",'Total income package'!$A$14=TRUE,P131-N131&gt;0),P131-N131,0)</f>
        <v>0</v>
      </c>
    </row>
    <row r="132" spans="1:17" x14ac:dyDescent="0.25">
      <c r="A132" s="182">
        <v>63000</v>
      </c>
      <c r="B132" s="4">
        <f t="shared" si="12"/>
        <v>5250</v>
      </c>
      <c r="C132" s="4">
        <f>MAX('TANF-VIEW'!L135,'TANF-VIEW'!T135)</f>
        <v>0</v>
      </c>
      <c r="D132" s="4">
        <f>'Total income package'!$D$80</f>
        <v>0</v>
      </c>
      <c r="E132" s="4">
        <f>'Total income package'!$H$61+'Total income package'!$F$66</f>
        <v>100</v>
      </c>
      <c r="F132" s="4">
        <f t="shared" si="13"/>
        <v>5350</v>
      </c>
      <c r="G132" s="181" t="str">
        <f t="shared" si="14"/>
        <v>No</v>
      </c>
      <c r="H132" s="3">
        <f t="shared" si="15"/>
        <v>40</v>
      </c>
      <c r="I132" s="3">
        <f t="shared" si="16"/>
        <v>0</v>
      </c>
      <c r="J132" s="3">
        <f t="shared" si="9"/>
        <v>5310</v>
      </c>
      <c r="K132" s="3">
        <f t="shared" si="10"/>
        <v>1593</v>
      </c>
      <c r="L132" s="3">
        <f t="shared" si="11"/>
        <v>535</v>
      </c>
      <c r="M132" s="3">
        <v>50</v>
      </c>
      <c r="N132" s="3">
        <f t="shared" si="18"/>
        <v>1593</v>
      </c>
      <c r="O132" s="182" cm="1">
        <f t="array" ref="O132">_xlfn.IFS($G$2=1,VLOOKUP('Total income package'!$B$3,'Location specific data'!$A$3:$W261,20,FALSE),$G$2=2,VLOOKUP('Total income package'!$B$3,'Location specific data'!$A$3:$W$135,21,FALSE),$G$2=3,VLOOKUP('Total income package'!$B$3,'Location specific data'!$A$3:$W$135,22,FALSE),$G$2=4,VLOOKUP('Total income package'!$B$3,'Location specific data'!$A$3:$W$135,23,FALSE),$G$2=5,VLOOKUP('Total income package'!$B$3,'Location specific data'!$A$3:$W$135,24,FALSE))</f>
        <v>851</v>
      </c>
      <c r="P132" s="182" cm="1">
        <f t="array" ref="P132">_xlfn.IFS($G$2=1,VLOOKUP('Total income package'!$B$3,'Location specific data'!$A$3:$AB$135,25,FALSE),$G$2=2,VLOOKUP('Total income package'!$B$3,'Location specific data'!$A$3:$AB$135,26,FALSE),$G$2=3,VLOOKUP('Total income package'!$B$3,'Location specific data'!$A$3:$AB$135,27,FALSE),$G$2=4,VLOOKUP('Total income package'!$B$3,'Location specific data'!$A$3:$AB$135,28,FALSE),$G$2=5,VLOOKUP('Total income package'!$B$3,'Location specific data'!$A$3:$AB$135,29,FALSE))</f>
        <v>995</v>
      </c>
      <c r="Q132" s="337">
        <f>IF(AND(G132="Yes",'Total income package'!$A$14=TRUE,P132-N132&gt;0),P132-N132,0)</f>
        <v>0</v>
      </c>
    </row>
    <row r="133" spans="1:17" x14ac:dyDescent="0.25">
      <c r="A133" s="182">
        <v>63500</v>
      </c>
      <c r="B133" s="4">
        <f t="shared" si="12"/>
        <v>5291.666666666667</v>
      </c>
      <c r="C133" s="4">
        <f>MAX('TANF-VIEW'!L136,'TANF-VIEW'!T136)</f>
        <v>0</v>
      </c>
      <c r="D133" s="4">
        <f>'Total income package'!$D$80</f>
        <v>0</v>
      </c>
      <c r="E133" s="4">
        <f>'Total income package'!$H$61+'Total income package'!$F$66</f>
        <v>100</v>
      </c>
      <c r="F133" s="4">
        <f t="shared" si="13"/>
        <v>5391.666666666667</v>
      </c>
      <c r="G133" s="181" t="str">
        <f t="shared" si="14"/>
        <v>No</v>
      </c>
      <c r="H133" s="3">
        <f t="shared" si="15"/>
        <v>40</v>
      </c>
      <c r="I133" s="3">
        <f t="shared" si="16"/>
        <v>0</v>
      </c>
      <c r="J133" s="3">
        <f t="shared" si="9"/>
        <v>5351.666666666667</v>
      </c>
      <c r="K133" s="3">
        <f t="shared" si="10"/>
        <v>1605.5</v>
      </c>
      <c r="L133" s="3">
        <f t="shared" si="11"/>
        <v>539.16666666666674</v>
      </c>
      <c r="M133" s="3">
        <v>50</v>
      </c>
      <c r="N133" s="3">
        <f t="shared" si="18"/>
        <v>1605.5</v>
      </c>
      <c r="O133" s="182" cm="1">
        <f t="array" ref="O133">_xlfn.IFS($G$2=1,VLOOKUP('Total income package'!$B$3,'Location specific data'!$A$3:$W262,20,FALSE),$G$2=2,VLOOKUP('Total income package'!$B$3,'Location specific data'!$A$3:$W$135,21,FALSE),$G$2=3,VLOOKUP('Total income package'!$B$3,'Location specific data'!$A$3:$W$135,22,FALSE),$G$2=4,VLOOKUP('Total income package'!$B$3,'Location specific data'!$A$3:$W$135,23,FALSE),$G$2=5,VLOOKUP('Total income package'!$B$3,'Location specific data'!$A$3:$W$135,24,FALSE))</f>
        <v>851</v>
      </c>
      <c r="P133" s="182" cm="1">
        <f t="array" ref="P133">_xlfn.IFS($G$2=1,VLOOKUP('Total income package'!$B$3,'Location specific data'!$A$3:$AB$135,25,FALSE),$G$2=2,VLOOKUP('Total income package'!$B$3,'Location specific data'!$A$3:$AB$135,26,FALSE),$G$2=3,VLOOKUP('Total income package'!$B$3,'Location specific data'!$A$3:$AB$135,27,FALSE),$G$2=4,VLOOKUP('Total income package'!$B$3,'Location specific data'!$A$3:$AB$135,28,FALSE),$G$2=5,VLOOKUP('Total income package'!$B$3,'Location specific data'!$A$3:$AB$135,29,FALSE))</f>
        <v>995</v>
      </c>
      <c r="Q133" s="337">
        <f>IF(AND(G133="Yes",'Total income package'!$A$14=TRUE,P133-N133&gt;0),P133-N133,0)</f>
        <v>0</v>
      </c>
    </row>
    <row r="134" spans="1:17" x14ac:dyDescent="0.25">
      <c r="A134" s="182">
        <v>64000</v>
      </c>
      <c r="B134" s="4">
        <f t="shared" si="12"/>
        <v>5333.333333333333</v>
      </c>
      <c r="C134" s="4">
        <f>MAX('TANF-VIEW'!L137,'TANF-VIEW'!T137)</f>
        <v>0</v>
      </c>
      <c r="D134" s="4">
        <f>'Total income package'!$D$80</f>
        <v>0</v>
      </c>
      <c r="E134" s="4">
        <f>'Total income package'!$H$61+'Total income package'!$F$66</f>
        <v>100</v>
      </c>
      <c r="F134" s="4">
        <f t="shared" si="13"/>
        <v>5433.333333333333</v>
      </c>
      <c r="G134" s="181" t="str">
        <f t="shared" si="14"/>
        <v>No</v>
      </c>
      <c r="H134" s="3">
        <f t="shared" si="15"/>
        <v>40</v>
      </c>
      <c r="I134" s="3">
        <f t="shared" si="16"/>
        <v>0</v>
      </c>
      <c r="J134" s="3">
        <f t="shared" ref="J134:J197" si="19">IF(F134-H134-I134&lt;0,0,F134-H134-I134)</f>
        <v>5393.333333333333</v>
      </c>
      <c r="K134" s="3">
        <f t="shared" ref="K134:K197" si="20">J134*0.3</f>
        <v>1617.9999999999998</v>
      </c>
      <c r="L134" s="3">
        <f t="shared" ref="L134:L197" si="21">F134*0.1</f>
        <v>543.33333333333337</v>
      </c>
      <c r="M134" s="3">
        <v>50</v>
      </c>
      <c r="N134" s="3">
        <f t="shared" si="18"/>
        <v>1617.9999999999998</v>
      </c>
      <c r="O134" s="182" cm="1">
        <f t="array" ref="O134">_xlfn.IFS($G$2=1,VLOOKUP('Total income package'!$B$3,'Location specific data'!$A$3:$W263,20,FALSE),$G$2=2,VLOOKUP('Total income package'!$B$3,'Location specific data'!$A$3:$W$135,21,FALSE),$G$2=3,VLOOKUP('Total income package'!$B$3,'Location specific data'!$A$3:$W$135,22,FALSE),$G$2=4,VLOOKUP('Total income package'!$B$3,'Location specific data'!$A$3:$W$135,23,FALSE),$G$2=5,VLOOKUP('Total income package'!$B$3,'Location specific data'!$A$3:$W$135,24,FALSE))</f>
        <v>851</v>
      </c>
      <c r="P134" s="182" cm="1">
        <f t="array" ref="P134">_xlfn.IFS($G$2=1,VLOOKUP('Total income package'!$B$3,'Location specific data'!$A$3:$AB$135,25,FALSE),$G$2=2,VLOOKUP('Total income package'!$B$3,'Location specific data'!$A$3:$AB$135,26,FALSE),$G$2=3,VLOOKUP('Total income package'!$B$3,'Location specific data'!$A$3:$AB$135,27,FALSE),$G$2=4,VLOOKUP('Total income package'!$B$3,'Location specific data'!$A$3:$AB$135,28,FALSE),$G$2=5,VLOOKUP('Total income package'!$B$3,'Location specific data'!$A$3:$AB$135,29,FALSE))</f>
        <v>995</v>
      </c>
      <c r="Q134" s="337">
        <f>IF(AND(G134="Yes",'Total income package'!$A$14=TRUE,P134-N134&gt;0),P134-N134,0)</f>
        <v>0</v>
      </c>
    </row>
    <row r="135" spans="1:17" x14ac:dyDescent="0.25">
      <c r="A135" s="182">
        <v>64500</v>
      </c>
      <c r="B135" s="4">
        <f t="shared" ref="B135:B198" si="22">A135/12</f>
        <v>5375</v>
      </c>
      <c r="C135" s="4">
        <f>MAX('TANF-VIEW'!L138,'TANF-VIEW'!T138)</f>
        <v>0</v>
      </c>
      <c r="D135" s="4">
        <f>'Total income package'!$D$80</f>
        <v>0</v>
      </c>
      <c r="E135" s="4">
        <f>'Total income package'!$H$61+'Total income package'!$F$66</f>
        <v>100</v>
      </c>
      <c r="F135" s="4">
        <f t="shared" ref="F135:F198" si="23">B135+C135+D135+E135</f>
        <v>5475</v>
      </c>
      <c r="G135" s="181" t="str">
        <f t="shared" ref="G135:G198" si="24">IF(F135&lt;$L$2,"Yes","No")</f>
        <v>No</v>
      </c>
      <c r="H135" s="3">
        <f t="shared" ref="H135:H198" si="25">40*($D$2+$I$2)</f>
        <v>40</v>
      </c>
      <c r="I135" s="3">
        <f t="shared" ref="I135:I198" si="26">IF($H$2+$I$2&gt;0,33.33,0)</f>
        <v>0</v>
      </c>
      <c r="J135" s="3">
        <f t="shared" si="19"/>
        <v>5435</v>
      </c>
      <c r="K135" s="3">
        <f t="shared" si="20"/>
        <v>1630.5</v>
      </c>
      <c r="L135" s="3">
        <f t="shared" si="21"/>
        <v>547.5</v>
      </c>
      <c r="M135" s="3">
        <v>50</v>
      </c>
      <c r="N135" s="3">
        <f t="shared" si="18"/>
        <v>1630.5</v>
      </c>
      <c r="O135" s="182" cm="1">
        <f t="array" ref="O135">_xlfn.IFS($G$2=1,VLOOKUP('Total income package'!$B$3,'Location specific data'!$A$3:$W264,20,FALSE),$G$2=2,VLOOKUP('Total income package'!$B$3,'Location specific data'!$A$3:$W$135,21,FALSE),$G$2=3,VLOOKUP('Total income package'!$B$3,'Location specific data'!$A$3:$W$135,22,FALSE),$G$2=4,VLOOKUP('Total income package'!$B$3,'Location specific data'!$A$3:$W$135,23,FALSE),$G$2=5,VLOOKUP('Total income package'!$B$3,'Location specific data'!$A$3:$W$135,24,FALSE))</f>
        <v>851</v>
      </c>
      <c r="P135" s="182" cm="1">
        <f t="array" ref="P135">_xlfn.IFS($G$2=1,VLOOKUP('Total income package'!$B$3,'Location specific data'!$A$3:$AB$135,25,FALSE),$G$2=2,VLOOKUP('Total income package'!$B$3,'Location specific data'!$A$3:$AB$135,26,FALSE),$G$2=3,VLOOKUP('Total income package'!$B$3,'Location specific data'!$A$3:$AB$135,27,FALSE),$G$2=4,VLOOKUP('Total income package'!$B$3,'Location specific data'!$A$3:$AB$135,28,FALSE),$G$2=5,VLOOKUP('Total income package'!$B$3,'Location specific data'!$A$3:$AB$135,29,FALSE))</f>
        <v>995</v>
      </c>
      <c r="Q135" s="337">
        <f>IF(AND(G135="Yes",'Total income package'!$A$14=TRUE,P135-N135&gt;0),P135-N135,0)</f>
        <v>0</v>
      </c>
    </row>
    <row r="136" spans="1:17" x14ac:dyDescent="0.25">
      <c r="A136" s="182">
        <v>65000</v>
      </c>
      <c r="B136" s="4">
        <f t="shared" si="22"/>
        <v>5416.666666666667</v>
      </c>
      <c r="C136" s="4">
        <f>MAX('TANF-VIEW'!L139,'TANF-VIEW'!T139)</f>
        <v>0</v>
      </c>
      <c r="D136" s="4">
        <f>'Total income package'!$D$80</f>
        <v>0</v>
      </c>
      <c r="E136" s="4">
        <f>'Total income package'!$H$61+'Total income package'!$F$66</f>
        <v>100</v>
      </c>
      <c r="F136" s="4">
        <f t="shared" si="23"/>
        <v>5516.666666666667</v>
      </c>
      <c r="G136" s="181" t="str">
        <f t="shared" si="24"/>
        <v>No</v>
      </c>
      <c r="H136" s="3">
        <f t="shared" si="25"/>
        <v>40</v>
      </c>
      <c r="I136" s="3">
        <f t="shared" si="26"/>
        <v>0</v>
      </c>
      <c r="J136" s="3">
        <f t="shared" si="19"/>
        <v>5476.666666666667</v>
      </c>
      <c r="K136" s="3">
        <f t="shared" si="20"/>
        <v>1643</v>
      </c>
      <c r="L136" s="3">
        <f t="shared" si="21"/>
        <v>551.66666666666674</v>
      </c>
      <c r="M136" s="3">
        <v>50</v>
      </c>
      <c r="N136" s="3">
        <f t="shared" si="18"/>
        <v>1643</v>
      </c>
      <c r="O136" s="182" cm="1">
        <f t="array" ref="O136">_xlfn.IFS($G$2=1,VLOOKUP('Total income package'!$B$3,'Location specific data'!$A$3:$W265,20,FALSE),$G$2=2,VLOOKUP('Total income package'!$B$3,'Location specific data'!$A$3:$W$135,21,FALSE),$G$2=3,VLOOKUP('Total income package'!$B$3,'Location specific data'!$A$3:$W$135,22,FALSE),$G$2=4,VLOOKUP('Total income package'!$B$3,'Location specific data'!$A$3:$W$135,23,FALSE),$G$2=5,VLOOKUP('Total income package'!$B$3,'Location specific data'!$A$3:$W$135,24,FALSE))</f>
        <v>851</v>
      </c>
      <c r="P136" s="182" cm="1">
        <f t="array" ref="P136">_xlfn.IFS($G$2=1,VLOOKUP('Total income package'!$B$3,'Location specific data'!$A$3:$AB$135,25,FALSE),$G$2=2,VLOOKUP('Total income package'!$B$3,'Location specific data'!$A$3:$AB$135,26,FALSE),$G$2=3,VLOOKUP('Total income package'!$B$3,'Location specific data'!$A$3:$AB$135,27,FALSE),$G$2=4,VLOOKUP('Total income package'!$B$3,'Location specific data'!$A$3:$AB$135,28,FALSE),$G$2=5,VLOOKUP('Total income package'!$B$3,'Location specific data'!$A$3:$AB$135,29,FALSE))</f>
        <v>995</v>
      </c>
      <c r="Q136" s="337">
        <f>IF(AND(G136="Yes",'Total income package'!$A$14=TRUE,P136-N136&gt;0),P136-N136,0)</f>
        <v>0</v>
      </c>
    </row>
    <row r="137" spans="1:17" x14ac:dyDescent="0.25">
      <c r="A137" s="182">
        <v>65500</v>
      </c>
      <c r="B137" s="4">
        <f t="shared" si="22"/>
        <v>5458.333333333333</v>
      </c>
      <c r="C137" s="4">
        <f>MAX('TANF-VIEW'!L140,'TANF-VIEW'!T140)</f>
        <v>0</v>
      </c>
      <c r="D137" s="4">
        <f>'Total income package'!$D$80</f>
        <v>0</v>
      </c>
      <c r="E137" s="4">
        <f>'Total income package'!$H$61+'Total income package'!$F$66</f>
        <v>100</v>
      </c>
      <c r="F137" s="4">
        <f t="shared" si="23"/>
        <v>5558.333333333333</v>
      </c>
      <c r="G137" s="181" t="str">
        <f t="shared" si="24"/>
        <v>No</v>
      </c>
      <c r="H137" s="3">
        <f t="shared" si="25"/>
        <v>40</v>
      </c>
      <c r="I137" s="3">
        <f t="shared" si="26"/>
        <v>0</v>
      </c>
      <c r="J137" s="3">
        <f t="shared" si="19"/>
        <v>5518.333333333333</v>
      </c>
      <c r="K137" s="3">
        <f t="shared" si="20"/>
        <v>1655.4999999999998</v>
      </c>
      <c r="L137" s="3">
        <f t="shared" si="21"/>
        <v>555.83333333333337</v>
      </c>
      <c r="M137" s="3">
        <v>50</v>
      </c>
      <c r="N137" s="3">
        <f t="shared" si="18"/>
        <v>1655.4999999999998</v>
      </c>
      <c r="O137" s="182" cm="1">
        <f t="array" ref="O137">_xlfn.IFS($G$2=1,VLOOKUP('Total income package'!$B$3,'Location specific data'!$A$3:$W266,20,FALSE),$G$2=2,VLOOKUP('Total income package'!$B$3,'Location specific data'!$A$3:$W$135,21,FALSE),$G$2=3,VLOOKUP('Total income package'!$B$3,'Location specific data'!$A$3:$W$135,22,FALSE),$G$2=4,VLOOKUP('Total income package'!$B$3,'Location specific data'!$A$3:$W$135,23,FALSE),$G$2=5,VLOOKUP('Total income package'!$B$3,'Location specific data'!$A$3:$W$135,24,FALSE))</f>
        <v>851</v>
      </c>
      <c r="P137" s="182" cm="1">
        <f t="array" ref="P137">_xlfn.IFS($G$2=1,VLOOKUP('Total income package'!$B$3,'Location specific data'!$A$3:$AB$135,25,FALSE),$G$2=2,VLOOKUP('Total income package'!$B$3,'Location specific data'!$A$3:$AB$135,26,FALSE),$G$2=3,VLOOKUP('Total income package'!$B$3,'Location specific data'!$A$3:$AB$135,27,FALSE),$G$2=4,VLOOKUP('Total income package'!$B$3,'Location specific data'!$A$3:$AB$135,28,FALSE),$G$2=5,VLOOKUP('Total income package'!$B$3,'Location specific data'!$A$3:$AB$135,29,FALSE))</f>
        <v>995</v>
      </c>
      <c r="Q137" s="337">
        <f>IF(AND(G137="Yes",'Total income package'!$A$14=TRUE,P137-N137&gt;0),P137-N137,0)</f>
        <v>0</v>
      </c>
    </row>
    <row r="138" spans="1:17" x14ac:dyDescent="0.25">
      <c r="A138" s="182">
        <v>66000</v>
      </c>
      <c r="B138" s="4">
        <f t="shared" si="22"/>
        <v>5500</v>
      </c>
      <c r="C138" s="4">
        <f>MAX('TANF-VIEW'!L141,'TANF-VIEW'!T141)</f>
        <v>0</v>
      </c>
      <c r="D138" s="4">
        <f>'Total income package'!$D$80</f>
        <v>0</v>
      </c>
      <c r="E138" s="4">
        <f>'Total income package'!$H$61+'Total income package'!$F$66</f>
        <v>100</v>
      </c>
      <c r="F138" s="4">
        <f t="shared" si="23"/>
        <v>5600</v>
      </c>
      <c r="G138" s="181" t="str">
        <f t="shared" si="24"/>
        <v>No</v>
      </c>
      <c r="H138" s="3">
        <f t="shared" si="25"/>
        <v>40</v>
      </c>
      <c r="I138" s="3">
        <f t="shared" si="26"/>
        <v>0</v>
      </c>
      <c r="J138" s="3">
        <f t="shared" si="19"/>
        <v>5560</v>
      </c>
      <c r="K138" s="3">
        <f t="shared" si="20"/>
        <v>1668</v>
      </c>
      <c r="L138" s="3">
        <f t="shared" si="21"/>
        <v>560</v>
      </c>
      <c r="M138" s="3">
        <v>50</v>
      </c>
      <c r="N138" s="3">
        <f t="shared" si="18"/>
        <v>1668</v>
      </c>
      <c r="O138" s="182" cm="1">
        <f t="array" ref="O138">_xlfn.IFS($G$2=1,VLOOKUP('Total income package'!$B$3,'Location specific data'!$A$3:$W267,20,FALSE),$G$2=2,VLOOKUP('Total income package'!$B$3,'Location specific data'!$A$3:$W$135,21,FALSE),$G$2=3,VLOOKUP('Total income package'!$B$3,'Location specific data'!$A$3:$W$135,22,FALSE),$G$2=4,VLOOKUP('Total income package'!$B$3,'Location specific data'!$A$3:$W$135,23,FALSE),$G$2=5,VLOOKUP('Total income package'!$B$3,'Location specific data'!$A$3:$W$135,24,FALSE))</f>
        <v>851</v>
      </c>
      <c r="P138" s="182" cm="1">
        <f t="array" ref="P138">_xlfn.IFS($G$2=1,VLOOKUP('Total income package'!$B$3,'Location specific data'!$A$3:$AB$135,25,FALSE),$G$2=2,VLOOKUP('Total income package'!$B$3,'Location specific data'!$A$3:$AB$135,26,FALSE),$G$2=3,VLOOKUP('Total income package'!$B$3,'Location specific data'!$A$3:$AB$135,27,FALSE),$G$2=4,VLOOKUP('Total income package'!$B$3,'Location specific data'!$A$3:$AB$135,28,FALSE),$G$2=5,VLOOKUP('Total income package'!$B$3,'Location specific data'!$A$3:$AB$135,29,FALSE))</f>
        <v>995</v>
      </c>
      <c r="Q138" s="337">
        <f>IF(AND(G138="Yes",'Total income package'!$A$14=TRUE,P138-N138&gt;0),P138-N138,0)</f>
        <v>0</v>
      </c>
    </row>
    <row r="139" spans="1:17" x14ac:dyDescent="0.25">
      <c r="A139" s="182">
        <v>66500</v>
      </c>
      <c r="B139" s="4">
        <f t="shared" si="22"/>
        <v>5541.666666666667</v>
      </c>
      <c r="C139" s="4">
        <f>MAX('TANF-VIEW'!L142,'TANF-VIEW'!T142)</f>
        <v>0</v>
      </c>
      <c r="D139" s="4">
        <f>'Total income package'!$D$80</f>
        <v>0</v>
      </c>
      <c r="E139" s="4">
        <f>'Total income package'!$H$61+'Total income package'!$F$66</f>
        <v>100</v>
      </c>
      <c r="F139" s="4">
        <f t="shared" si="23"/>
        <v>5641.666666666667</v>
      </c>
      <c r="G139" s="181" t="str">
        <f t="shared" si="24"/>
        <v>No</v>
      </c>
      <c r="H139" s="3">
        <f t="shared" si="25"/>
        <v>40</v>
      </c>
      <c r="I139" s="3">
        <f t="shared" si="26"/>
        <v>0</v>
      </c>
      <c r="J139" s="3">
        <f t="shared" si="19"/>
        <v>5601.666666666667</v>
      </c>
      <c r="K139" s="3">
        <f t="shared" si="20"/>
        <v>1680.5</v>
      </c>
      <c r="L139" s="3">
        <f t="shared" si="21"/>
        <v>564.16666666666674</v>
      </c>
      <c r="M139" s="3">
        <v>50</v>
      </c>
      <c r="N139" s="3">
        <f t="shared" si="18"/>
        <v>1680.5</v>
      </c>
      <c r="O139" s="182" cm="1">
        <f t="array" ref="O139">_xlfn.IFS($G$2=1,VLOOKUP('Total income package'!$B$3,'Location specific data'!$A$3:$W268,20,FALSE),$G$2=2,VLOOKUP('Total income package'!$B$3,'Location specific data'!$A$3:$W$135,21,FALSE),$G$2=3,VLOOKUP('Total income package'!$B$3,'Location specific data'!$A$3:$W$135,22,FALSE),$G$2=4,VLOOKUP('Total income package'!$B$3,'Location specific data'!$A$3:$W$135,23,FALSE),$G$2=5,VLOOKUP('Total income package'!$B$3,'Location specific data'!$A$3:$W$135,24,FALSE))</f>
        <v>851</v>
      </c>
      <c r="P139" s="182" cm="1">
        <f t="array" ref="P139">_xlfn.IFS($G$2=1,VLOOKUP('Total income package'!$B$3,'Location specific data'!$A$3:$AB$135,25,FALSE),$G$2=2,VLOOKUP('Total income package'!$B$3,'Location specific data'!$A$3:$AB$135,26,FALSE),$G$2=3,VLOOKUP('Total income package'!$B$3,'Location specific data'!$A$3:$AB$135,27,FALSE),$G$2=4,VLOOKUP('Total income package'!$B$3,'Location specific data'!$A$3:$AB$135,28,FALSE),$G$2=5,VLOOKUP('Total income package'!$B$3,'Location specific data'!$A$3:$AB$135,29,FALSE))</f>
        <v>995</v>
      </c>
      <c r="Q139" s="337">
        <f>IF(AND(G139="Yes",'Total income package'!$A$14=TRUE,P139-N139&gt;0),P139-N139,0)</f>
        <v>0</v>
      </c>
    </row>
    <row r="140" spans="1:17" x14ac:dyDescent="0.25">
      <c r="A140" s="182">
        <v>67000</v>
      </c>
      <c r="B140" s="4">
        <f t="shared" si="22"/>
        <v>5583.333333333333</v>
      </c>
      <c r="C140" s="4">
        <f>MAX('TANF-VIEW'!L143,'TANF-VIEW'!T143)</f>
        <v>0</v>
      </c>
      <c r="D140" s="4">
        <f>'Total income package'!$D$80</f>
        <v>0</v>
      </c>
      <c r="E140" s="4">
        <f>'Total income package'!$H$61+'Total income package'!$F$66</f>
        <v>100</v>
      </c>
      <c r="F140" s="4">
        <f t="shared" si="23"/>
        <v>5683.333333333333</v>
      </c>
      <c r="G140" s="181" t="str">
        <f t="shared" si="24"/>
        <v>No</v>
      </c>
      <c r="H140" s="3">
        <f t="shared" si="25"/>
        <v>40</v>
      </c>
      <c r="I140" s="3">
        <f t="shared" si="26"/>
        <v>0</v>
      </c>
      <c r="J140" s="3">
        <f t="shared" si="19"/>
        <v>5643.333333333333</v>
      </c>
      <c r="K140" s="3">
        <f t="shared" si="20"/>
        <v>1692.9999999999998</v>
      </c>
      <c r="L140" s="3">
        <f t="shared" si="21"/>
        <v>568.33333333333337</v>
      </c>
      <c r="M140" s="3">
        <v>50</v>
      </c>
      <c r="N140" s="3">
        <f t="shared" si="18"/>
        <v>1692.9999999999998</v>
      </c>
      <c r="O140" s="182" cm="1">
        <f t="array" ref="O140">_xlfn.IFS($G$2=1,VLOOKUP('Total income package'!$B$3,'Location specific data'!$A$3:$W269,20,FALSE),$G$2=2,VLOOKUP('Total income package'!$B$3,'Location specific data'!$A$3:$W$135,21,FALSE),$G$2=3,VLOOKUP('Total income package'!$B$3,'Location specific data'!$A$3:$W$135,22,FALSE),$G$2=4,VLOOKUP('Total income package'!$B$3,'Location specific data'!$A$3:$W$135,23,FALSE),$G$2=5,VLOOKUP('Total income package'!$B$3,'Location specific data'!$A$3:$W$135,24,FALSE))</f>
        <v>851</v>
      </c>
      <c r="P140" s="182" cm="1">
        <f t="array" ref="P140">_xlfn.IFS($G$2=1,VLOOKUP('Total income package'!$B$3,'Location specific data'!$A$3:$AB$135,25,FALSE),$G$2=2,VLOOKUP('Total income package'!$B$3,'Location specific data'!$A$3:$AB$135,26,FALSE),$G$2=3,VLOOKUP('Total income package'!$B$3,'Location specific data'!$A$3:$AB$135,27,FALSE),$G$2=4,VLOOKUP('Total income package'!$B$3,'Location specific data'!$A$3:$AB$135,28,FALSE),$G$2=5,VLOOKUP('Total income package'!$B$3,'Location specific data'!$A$3:$AB$135,29,FALSE))</f>
        <v>995</v>
      </c>
      <c r="Q140" s="337">
        <f>IF(AND(G140="Yes",'Total income package'!$A$14=TRUE,P140-N140&gt;0),P140-N140,0)</f>
        <v>0</v>
      </c>
    </row>
    <row r="141" spans="1:17" x14ac:dyDescent="0.25">
      <c r="A141" s="182">
        <v>67500</v>
      </c>
      <c r="B141" s="4">
        <f t="shared" si="22"/>
        <v>5625</v>
      </c>
      <c r="C141" s="4">
        <f>MAX('TANF-VIEW'!L144,'TANF-VIEW'!T144)</f>
        <v>0</v>
      </c>
      <c r="D141" s="4">
        <f>'Total income package'!$D$80</f>
        <v>0</v>
      </c>
      <c r="E141" s="4">
        <f>'Total income package'!$H$61+'Total income package'!$F$66</f>
        <v>100</v>
      </c>
      <c r="F141" s="4">
        <f t="shared" si="23"/>
        <v>5725</v>
      </c>
      <c r="G141" s="181" t="str">
        <f t="shared" si="24"/>
        <v>No</v>
      </c>
      <c r="H141" s="3">
        <f t="shared" si="25"/>
        <v>40</v>
      </c>
      <c r="I141" s="3">
        <f t="shared" si="26"/>
        <v>0</v>
      </c>
      <c r="J141" s="3">
        <f t="shared" si="19"/>
        <v>5685</v>
      </c>
      <c r="K141" s="3">
        <f t="shared" si="20"/>
        <v>1705.5</v>
      </c>
      <c r="L141" s="3">
        <f t="shared" si="21"/>
        <v>572.5</v>
      </c>
      <c r="M141" s="3">
        <v>50</v>
      </c>
      <c r="N141" s="3">
        <f t="shared" si="18"/>
        <v>1705.5</v>
      </c>
      <c r="O141" s="182" cm="1">
        <f t="array" ref="O141">_xlfn.IFS($G$2=1,VLOOKUP('Total income package'!$B$3,'Location specific data'!$A$3:$W270,20,FALSE),$G$2=2,VLOOKUP('Total income package'!$B$3,'Location specific data'!$A$3:$W$135,21,FALSE),$G$2=3,VLOOKUP('Total income package'!$B$3,'Location specific data'!$A$3:$W$135,22,FALSE),$G$2=4,VLOOKUP('Total income package'!$B$3,'Location specific data'!$A$3:$W$135,23,FALSE),$G$2=5,VLOOKUP('Total income package'!$B$3,'Location specific data'!$A$3:$W$135,24,FALSE))</f>
        <v>851</v>
      </c>
      <c r="P141" s="182" cm="1">
        <f t="array" ref="P141">_xlfn.IFS($G$2=1,VLOOKUP('Total income package'!$B$3,'Location specific data'!$A$3:$AB$135,25,FALSE),$G$2=2,VLOOKUP('Total income package'!$B$3,'Location specific data'!$A$3:$AB$135,26,FALSE),$G$2=3,VLOOKUP('Total income package'!$B$3,'Location specific data'!$A$3:$AB$135,27,FALSE),$G$2=4,VLOOKUP('Total income package'!$B$3,'Location specific data'!$A$3:$AB$135,28,FALSE),$G$2=5,VLOOKUP('Total income package'!$B$3,'Location specific data'!$A$3:$AB$135,29,FALSE))</f>
        <v>995</v>
      </c>
      <c r="Q141" s="337">
        <f>IF(AND(G141="Yes",'Total income package'!$A$14=TRUE,P141-N141&gt;0),P141-N141,0)</f>
        <v>0</v>
      </c>
    </row>
    <row r="142" spans="1:17" x14ac:dyDescent="0.25">
      <c r="A142" s="182">
        <v>68000</v>
      </c>
      <c r="B142" s="4">
        <f t="shared" si="22"/>
        <v>5666.666666666667</v>
      </c>
      <c r="C142" s="4">
        <f>MAX('TANF-VIEW'!L145,'TANF-VIEW'!T145)</f>
        <v>0</v>
      </c>
      <c r="D142" s="4">
        <f>'Total income package'!$D$80</f>
        <v>0</v>
      </c>
      <c r="E142" s="4">
        <f>'Total income package'!$H$61+'Total income package'!$F$66</f>
        <v>100</v>
      </c>
      <c r="F142" s="4">
        <f t="shared" si="23"/>
        <v>5766.666666666667</v>
      </c>
      <c r="G142" s="181" t="str">
        <f t="shared" si="24"/>
        <v>No</v>
      </c>
      <c r="H142" s="3">
        <f t="shared" si="25"/>
        <v>40</v>
      </c>
      <c r="I142" s="3">
        <f t="shared" si="26"/>
        <v>0</v>
      </c>
      <c r="J142" s="3">
        <f t="shared" si="19"/>
        <v>5726.666666666667</v>
      </c>
      <c r="K142" s="3">
        <f t="shared" si="20"/>
        <v>1718</v>
      </c>
      <c r="L142" s="3">
        <f t="shared" si="21"/>
        <v>576.66666666666674</v>
      </c>
      <c r="M142" s="3">
        <v>50</v>
      </c>
      <c r="N142" s="3">
        <f t="shared" si="18"/>
        <v>1718</v>
      </c>
      <c r="O142" s="182" cm="1">
        <f t="array" ref="O142">_xlfn.IFS($G$2=1,VLOOKUP('Total income package'!$B$3,'Location specific data'!$A$3:$W271,20,FALSE),$G$2=2,VLOOKUP('Total income package'!$B$3,'Location specific data'!$A$3:$W$135,21,FALSE),$G$2=3,VLOOKUP('Total income package'!$B$3,'Location specific data'!$A$3:$W$135,22,FALSE),$G$2=4,VLOOKUP('Total income package'!$B$3,'Location specific data'!$A$3:$W$135,23,FALSE),$G$2=5,VLOOKUP('Total income package'!$B$3,'Location specific data'!$A$3:$W$135,24,FALSE))</f>
        <v>851</v>
      </c>
      <c r="P142" s="182" cm="1">
        <f t="array" ref="P142">_xlfn.IFS($G$2=1,VLOOKUP('Total income package'!$B$3,'Location specific data'!$A$3:$AB$135,25,FALSE),$G$2=2,VLOOKUP('Total income package'!$B$3,'Location specific data'!$A$3:$AB$135,26,FALSE),$G$2=3,VLOOKUP('Total income package'!$B$3,'Location specific data'!$A$3:$AB$135,27,FALSE),$G$2=4,VLOOKUP('Total income package'!$B$3,'Location specific data'!$A$3:$AB$135,28,FALSE),$G$2=5,VLOOKUP('Total income package'!$B$3,'Location specific data'!$A$3:$AB$135,29,FALSE))</f>
        <v>995</v>
      </c>
      <c r="Q142" s="337">
        <f>IF(AND(G142="Yes",'Total income package'!$A$14=TRUE,P142-N142&gt;0),P142-N142,0)</f>
        <v>0</v>
      </c>
    </row>
    <row r="143" spans="1:17" x14ac:dyDescent="0.25">
      <c r="A143" s="182">
        <v>68500</v>
      </c>
      <c r="B143" s="4">
        <f t="shared" si="22"/>
        <v>5708.333333333333</v>
      </c>
      <c r="C143" s="4">
        <f>MAX('TANF-VIEW'!L146,'TANF-VIEW'!T146)</f>
        <v>0</v>
      </c>
      <c r="D143" s="4">
        <f>'Total income package'!$D$80</f>
        <v>0</v>
      </c>
      <c r="E143" s="4">
        <f>'Total income package'!$H$61+'Total income package'!$F$66</f>
        <v>100</v>
      </c>
      <c r="F143" s="4">
        <f t="shared" si="23"/>
        <v>5808.333333333333</v>
      </c>
      <c r="G143" s="181" t="str">
        <f t="shared" si="24"/>
        <v>No</v>
      </c>
      <c r="H143" s="3">
        <f t="shared" si="25"/>
        <v>40</v>
      </c>
      <c r="I143" s="3">
        <f t="shared" si="26"/>
        <v>0</v>
      </c>
      <c r="J143" s="3">
        <f t="shared" si="19"/>
        <v>5768.333333333333</v>
      </c>
      <c r="K143" s="3">
        <f t="shared" si="20"/>
        <v>1730.4999999999998</v>
      </c>
      <c r="L143" s="3">
        <f t="shared" si="21"/>
        <v>580.83333333333337</v>
      </c>
      <c r="M143" s="3">
        <v>50</v>
      </c>
      <c r="N143" s="3">
        <f t="shared" si="18"/>
        <v>1730.4999999999998</v>
      </c>
      <c r="O143" s="182" cm="1">
        <f t="array" ref="O143">_xlfn.IFS($G$2=1,VLOOKUP('Total income package'!$B$3,'Location specific data'!$A$3:$W272,20,FALSE),$G$2=2,VLOOKUP('Total income package'!$B$3,'Location specific data'!$A$3:$W$135,21,FALSE),$G$2=3,VLOOKUP('Total income package'!$B$3,'Location specific data'!$A$3:$W$135,22,FALSE),$G$2=4,VLOOKUP('Total income package'!$B$3,'Location specific data'!$A$3:$W$135,23,FALSE),$G$2=5,VLOOKUP('Total income package'!$B$3,'Location specific data'!$A$3:$W$135,24,FALSE))</f>
        <v>851</v>
      </c>
      <c r="P143" s="182" cm="1">
        <f t="array" ref="P143">_xlfn.IFS($G$2=1,VLOOKUP('Total income package'!$B$3,'Location specific data'!$A$3:$AB$135,25,FALSE),$G$2=2,VLOOKUP('Total income package'!$B$3,'Location specific data'!$A$3:$AB$135,26,FALSE),$G$2=3,VLOOKUP('Total income package'!$B$3,'Location specific data'!$A$3:$AB$135,27,FALSE),$G$2=4,VLOOKUP('Total income package'!$B$3,'Location specific data'!$A$3:$AB$135,28,FALSE),$G$2=5,VLOOKUP('Total income package'!$B$3,'Location specific data'!$A$3:$AB$135,29,FALSE))</f>
        <v>995</v>
      </c>
      <c r="Q143" s="337">
        <f>IF(AND(G143="Yes",'Total income package'!$A$14=TRUE,P143-N143&gt;0),P143-N143,0)</f>
        <v>0</v>
      </c>
    </row>
    <row r="144" spans="1:17" x14ac:dyDescent="0.25">
      <c r="A144" s="182">
        <v>69000</v>
      </c>
      <c r="B144" s="4">
        <f t="shared" si="22"/>
        <v>5750</v>
      </c>
      <c r="C144" s="4">
        <f>MAX('TANF-VIEW'!L147,'TANF-VIEW'!T147)</f>
        <v>0</v>
      </c>
      <c r="D144" s="4">
        <f>'Total income package'!$D$80</f>
        <v>0</v>
      </c>
      <c r="E144" s="4">
        <f>'Total income package'!$H$61+'Total income package'!$F$66</f>
        <v>100</v>
      </c>
      <c r="F144" s="4">
        <f t="shared" si="23"/>
        <v>5850</v>
      </c>
      <c r="G144" s="181" t="str">
        <f t="shared" si="24"/>
        <v>No</v>
      </c>
      <c r="H144" s="3">
        <f t="shared" si="25"/>
        <v>40</v>
      </c>
      <c r="I144" s="3">
        <f t="shared" si="26"/>
        <v>0</v>
      </c>
      <c r="J144" s="3">
        <f t="shared" si="19"/>
        <v>5810</v>
      </c>
      <c r="K144" s="3">
        <f t="shared" si="20"/>
        <v>1743</v>
      </c>
      <c r="L144" s="3">
        <f t="shared" si="21"/>
        <v>585</v>
      </c>
      <c r="M144" s="3">
        <v>50</v>
      </c>
      <c r="N144" s="3">
        <f t="shared" si="18"/>
        <v>1743</v>
      </c>
      <c r="O144" s="182" cm="1">
        <f t="array" ref="O144">_xlfn.IFS($G$2=1,VLOOKUP('Total income package'!$B$3,'Location specific data'!$A$3:$W273,20,FALSE),$G$2=2,VLOOKUP('Total income package'!$B$3,'Location specific data'!$A$3:$W$135,21,FALSE),$G$2=3,VLOOKUP('Total income package'!$B$3,'Location specific data'!$A$3:$W$135,22,FALSE),$G$2=4,VLOOKUP('Total income package'!$B$3,'Location specific data'!$A$3:$W$135,23,FALSE),$G$2=5,VLOOKUP('Total income package'!$B$3,'Location specific data'!$A$3:$W$135,24,FALSE))</f>
        <v>851</v>
      </c>
      <c r="P144" s="182" cm="1">
        <f t="array" ref="P144">_xlfn.IFS($G$2=1,VLOOKUP('Total income package'!$B$3,'Location specific data'!$A$3:$AB$135,25,FALSE),$G$2=2,VLOOKUP('Total income package'!$B$3,'Location specific data'!$A$3:$AB$135,26,FALSE),$G$2=3,VLOOKUP('Total income package'!$B$3,'Location specific data'!$A$3:$AB$135,27,FALSE),$G$2=4,VLOOKUP('Total income package'!$B$3,'Location specific data'!$A$3:$AB$135,28,FALSE),$G$2=5,VLOOKUP('Total income package'!$B$3,'Location specific data'!$A$3:$AB$135,29,FALSE))</f>
        <v>995</v>
      </c>
      <c r="Q144" s="337">
        <f>IF(AND(G144="Yes",'Total income package'!$A$14=TRUE,P144-N144&gt;0),P144-N144,0)</f>
        <v>0</v>
      </c>
    </row>
    <row r="145" spans="1:17" x14ac:dyDescent="0.25">
      <c r="A145" s="182">
        <v>69500</v>
      </c>
      <c r="B145" s="4">
        <f t="shared" si="22"/>
        <v>5791.666666666667</v>
      </c>
      <c r="C145" s="4">
        <f>MAX('TANF-VIEW'!L148,'TANF-VIEW'!T148)</f>
        <v>0</v>
      </c>
      <c r="D145" s="4">
        <f>'Total income package'!$D$80</f>
        <v>0</v>
      </c>
      <c r="E145" s="4">
        <f>'Total income package'!$H$61+'Total income package'!$F$66</f>
        <v>100</v>
      </c>
      <c r="F145" s="4">
        <f t="shared" si="23"/>
        <v>5891.666666666667</v>
      </c>
      <c r="G145" s="181" t="str">
        <f t="shared" si="24"/>
        <v>No</v>
      </c>
      <c r="H145" s="3">
        <f t="shared" si="25"/>
        <v>40</v>
      </c>
      <c r="I145" s="3">
        <f t="shared" si="26"/>
        <v>0</v>
      </c>
      <c r="J145" s="3">
        <f t="shared" si="19"/>
        <v>5851.666666666667</v>
      </c>
      <c r="K145" s="3">
        <f t="shared" si="20"/>
        <v>1755.5</v>
      </c>
      <c r="L145" s="3">
        <f t="shared" si="21"/>
        <v>589.16666666666674</v>
      </c>
      <c r="M145" s="3">
        <v>50</v>
      </c>
      <c r="N145" s="3">
        <f t="shared" si="18"/>
        <v>1755.5</v>
      </c>
      <c r="O145" s="182" cm="1">
        <f t="array" ref="O145">_xlfn.IFS($G$2=1,VLOOKUP('Total income package'!$B$3,'Location specific data'!$A$3:$W274,20,FALSE),$G$2=2,VLOOKUP('Total income package'!$B$3,'Location specific data'!$A$3:$W$135,21,FALSE),$G$2=3,VLOOKUP('Total income package'!$B$3,'Location specific data'!$A$3:$W$135,22,FALSE),$G$2=4,VLOOKUP('Total income package'!$B$3,'Location specific data'!$A$3:$W$135,23,FALSE),$G$2=5,VLOOKUP('Total income package'!$B$3,'Location specific data'!$A$3:$W$135,24,FALSE))</f>
        <v>851</v>
      </c>
      <c r="P145" s="182" cm="1">
        <f t="array" ref="P145">_xlfn.IFS($G$2=1,VLOOKUP('Total income package'!$B$3,'Location specific data'!$A$3:$AB$135,25,FALSE),$G$2=2,VLOOKUP('Total income package'!$B$3,'Location specific data'!$A$3:$AB$135,26,FALSE),$G$2=3,VLOOKUP('Total income package'!$B$3,'Location specific data'!$A$3:$AB$135,27,FALSE),$G$2=4,VLOOKUP('Total income package'!$B$3,'Location specific data'!$A$3:$AB$135,28,FALSE),$G$2=5,VLOOKUP('Total income package'!$B$3,'Location specific data'!$A$3:$AB$135,29,FALSE))</f>
        <v>995</v>
      </c>
      <c r="Q145" s="337">
        <f>IF(AND(G145="Yes",'Total income package'!$A$14=TRUE,P145-N145&gt;0),P145-N145,0)</f>
        <v>0</v>
      </c>
    </row>
    <row r="146" spans="1:17" x14ac:dyDescent="0.25">
      <c r="A146" s="182">
        <v>70000</v>
      </c>
      <c r="B146" s="4">
        <f t="shared" si="22"/>
        <v>5833.333333333333</v>
      </c>
      <c r="C146" s="4">
        <f>MAX('TANF-VIEW'!L149,'TANF-VIEW'!T149)</f>
        <v>0</v>
      </c>
      <c r="D146" s="4">
        <f>'Total income package'!$D$80</f>
        <v>0</v>
      </c>
      <c r="E146" s="4">
        <f>'Total income package'!$H$61+'Total income package'!$F$66</f>
        <v>100</v>
      </c>
      <c r="F146" s="4">
        <f t="shared" si="23"/>
        <v>5933.333333333333</v>
      </c>
      <c r="G146" s="181" t="str">
        <f t="shared" si="24"/>
        <v>No</v>
      </c>
      <c r="H146" s="3">
        <f t="shared" si="25"/>
        <v>40</v>
      </c>
      <c r="I146" s="3">
        <f t="shared" si="26"/>
        <v>0</v>
      </c>
      <c r="J146" s="3">
        <f t="shared" si="19"/>
        <v>5893.333333333333</v>
      </c>
      <c r="K146" s="3">
        <f t="shared" si="20"/>
        <v>1767.9999999999998</v>
      </c>
      <c r="L146" s="3">
        <f t="shared" si="21"/>
        <v>593.33333333333337</v>
      </c>
      <c r="M146" s="3">
        <v>50</v>
      </c>
      <c r="N146" s="3">
        <f t="shared" si="18"/>
        <v>1767.9999999999998</v>
      </c>
      <c r="O146" s="182" cm="1">
        <f t="array" ref="O146">_xlfn.IFS($G$2=1,VLOOKUP('Total income package'!$B$3,'Location specific data'!$A$3:$W275,20,FALSE),$G$2=2,VLOOKUP('Total income package'!$B$3,'Location specific data'!$A$3:$W$135,21,FALSE),$G$2=3,VLOOKUP('Total income package'!$B$3,'Location specific data'!$A$3:$W$135,22,FALSE),$G$2=4,VLOOKUP('Total income package'!$B$3,'Location specific data'!$A$3:$W$135,23,FALSE),$G$2=5,VLOOKUP('Total income package'!$B$3,'Location specific data'!$A$3:$W$135,24,FALSE))</f>
        <v>851</v>
      </c>
      <c r="P146" s="182" cm="1">
        <f t="array" ref="P146">_xlfn.IFS($G$2=1,VLOOKUP('Total income package'!$B$3,'Location specific data'!$A$3:$AB$135,25,FALSE),$G$2=2,VLOOKUP('Total income package'!$B$3,'Location specific data'!$A$3:$AB$135,26,FALSE),$G$2=3,VLOOKUP('Total income package'!$B$3,'Location specific data'!$A$3:$AB$135,27,FALSE),$G$2=4,VLOOKUP('Total income package'!$B$3,'Location specific data'!$A$3:$AB$135,28,FALSE),$G$2=5,VLOOKUP('Total income package'!$B$3,'Location specific data'!$A$3:$AB$135,29,FALSE))</f>
        <v>995</v>
      </c>
      <c r="Q146" s="337">
        <f>IF(AND(G146="Yes",'Total income package'!$A$14=TRUE,P146-N146&gt;0),P146-N146,0)</f>
        <v>0</v>
      </c>
    </row>
    <row r="147" spans="1:17" x14ac:dyDescent="0.25">
      <c r="A147" s="182">
        <v>70500</v>
      </c>
      <c r="B147" s="4">
        <f t="shared" si="22"/>
        <v>5875</v>
      </c>
      <c r="C147" s="4">
        <f>MAX('TANF-VIEW'!L150,'TANF-VIEW'!T150)</f>
        <v>0</v>
      </c>
      <c r="D147" s="4">
        <f>'Total income package'!$D$80</f>
        <v>0</v>
      </c>
      <c r="E147" s="4">
        <f>'Total income package'!$H$61+'Total income package'!$F$66</f>
        <v>100</v>
      </c>
      <c r="F147" s="4">
        <f t="shared" si="23"/>
        <v>5975</v>
      </c>
      <c r="G147" s="181" t="str">
        <f t="shared" si="24"/>
        <v>No</v>
      </c>
      <c r="H147" s="3">
        <f t="shared" si="25"/>
        <v>40</v>
      </c>
      <c r="I147" s="3">
        <f t="shared" si="26"/>
        <v>0</v>
      </c>
      <c r="J147" s="3">
        <f t="shared" si="19"/>
        <v>5935</v>
      </c>
      <c r="K147" s="3">
        <f t="shared" si="20"/>
        <v>1780.5</v>
      </c>
      <c r="L147" s="3">
        <f t="shared" si="21"/>
        <v>597.5</v>
      </c>
      <c r="M147" s="3">
        <v>50</v>
      </c>
      <c r="N147" s="3">
        <f t="shared" si="18"/>
        <v>1780.5</v>
      </c>
      <c r="O147" s="182" cm="1">
        <f t="array" ref="O147">_xlfn.IFS($G$2=1,VLOOKUP('Total income package'!$B$3,'Location specific data'!$A$3:$W276,20,FALSE),$G$2=2,VLOOKUP('Total income package'!$B$3,'Location specific data'!$A$3:$W$135,21,FALSE),$G$2=3,VLOOKUP('Total income package'!$B$3,'Location specific data'!$A$3:$W$135,22,FALSE),$G$2=4,VLOOKUP('Total income package'!$B$3,'Location specific data'!$A$3:$W$135,23,FALSE),$G$2=5,VLOOKUP('Total income package'!$B$3,'Location specific data'!$A$3:$W$135,24,FALSE))</f>
        <v>851</v>
      </c>
      <c r="P147" s="182" cm="1">
        <f t="array" ref="P147">_xlfn.IFS($G$2=1,VLOOKUP('Total income package'!$B$3,'Location specific data'!$A$3:$AB$135,25,FALSE),$G$2=2,VLOOKUP('Total income package'!$B$3,'Location specific data'!$A$3:$AB$135,26,FALSE),$G$2=3,VLOOKUP('Total income package'!$B$3,'Location specific data'!$A$3:$AB$135,27,FALSE),$G$2=4,VLOOKUP('Total income package'!$B$3,'Location specific data'!$A$3:$AB$135,28,FALSE),$G$2=5,VLOOKUP('Total income package'!$B$3,'Location specific data'!$A$3:$AB$135,29,FALSE))</f>
        <v>995</v>
      </c>
      <c r="Q147" s="337">
        <f>IF(AND(G147="Yes",'Total income package'!$A$14=TRUE,P147-N147&gt;0),P147-N147,0)</f>
        <v>0</v>
      </c>
    </row>
    <row r="148" spans="1:17" x14ac:dyDescent="0.25">
      <c r="A148" s="182">
        <v>71000</v>
      </c>
      <c r="B148" s="4">
        <f t="shared" si="22"/>
        <v>5916.666666666667</v>
      </c>
      <c r="C148" s="4">
        <f>MAX('TANF-VIEW'!L151,'TANF-VIEW'!T151)</f>
        <v>0</v>
      </c>
      <c r="D148" s="4">
        <f>'Total income package'!$D$80</f>
        <v>0</v>
      </c>
      <c r="E148" s="4">
        <f>'Total income package'!$H$61+'Total income package'!$F$66</f>
        <v>100</v>
      </c>
      <c r="F148" s="4">
        <f t="shared" si="23"/>
        <v>6016.666666666667</v>
      </c>
      <c r="G148" s="181" t="str">
        <f t="shared" si="24"/>
        <v>No</v>
      </c>
      <c r="H148" s="3">
        <f t="shared" si="25"/>
        <v>40</v>
      </c>
      <c r="I148" s="3">
        <f t="shared" si="26"/>
        <v>0</v>
      </c>
      <c r="J148" s="3">
        <f t="shared" si="19"/>
        <v>5976.666666666667</v>
      </c>
      <c r="K148" s="3">
        <f t="shared" si="20"/>
        <v>1793</v>
      </c>
      <c r="L148" s="3">
        <f t="shared" si="21"/>
        <v>601.66666666666674</v>
      </c>
      <c r="M148" s="3">
        <v>50</v>
      </c>
      <c r="N148" s="3">
        <f t="shared" si="18"/>
        <v>1793</v>
      </c>
      <c r="O148" s="182" cm="1">
        <f t="array" ref="O148">_xlfn.IFS($G$2=1,VLOOKUP('Total income package'!$B$3,'Location specific data'!$A$3:$W277,20,FALSE),$G$2=2,VLOOKUP('Total income package'!$B$3,'Location specific data'!$A$3:$W$135,21,FALSE),$G$2=3,VLOOKUP('Total income package'!$B$3,'Location specific data'!$A$3:$W$135,22,FALSE),$G$2=4,VLOOKUP('Total income package'!$B$3,'Location specific data'!$A$3:$W$135,23,FALSE),$G$2=5,VLOOKUP('Total income package'!$B$3,'Location specific data'!$A$3:$W$135,24,FALSE))</f>
        <v>851</v>
      </c>
      <c r="P148" s="182" cm="1">
        <f t="array" ref="P148">_xlfn.IFS($G$2=1,VLOOKUP('Total income package'!$B$3,'Location specific data'!$A$3:$AB$135,25,FALSE),$G$2=2,VLOOKUP('Total income package'!$B$3,'Location specific data'!$A$3:$AB$135,26,FALSE),$G$2=3,VLOOKUP('Total income package'!$B$3,'Location specific data'!$A$3:$AB$135,27,FALSE),$G$2=4,VLOOKUP('Total income package'!$B$3,'Location specific data'!$A$3:$AB$135,28,FALSE),$G$2=5,VLOOKUP('Total income package'!$B$3,'Location specific data'!$A$3:$AB$135,29,FALSE))</f>
        <v>995</v>
      </c>
      <c r="Q148" s="337">
        <f>IF(AND(G148="Yes",'Total income package'!$A$14=TRUE,P148-N148&gt;0),P148-N148,0)</f>
        <v>0</v>
      </c>
    </row>
    <row r="149" spans="1:17" x14ac:dyDescent="0.25">
      <c r="A149" s="182">
        <v>71500</v>
      </c>
      <c r="B149" s="4">
        <f t="shared" si="22"/>
        <v>5958.333333333333</v>
      </c>
      <c r="C149" s="4">
        <f>MAX('TANF-VIEW'!L152,'TANF-VIEW'!T152)</f>
        <v>0</v>
      </c>
      <c r="D149" s="4">
        <f>'Total income package'!$D$80</f>
        <v>0</v>
      </c>
      <c r="E149" s="4">
        <f>'Total income package'!$H$61+'Total income package'!$F$66</f>
        <v>100</v>
      </c>
      <c r="F149" s="4">
        <f t="shared" si="23"/>
        <v>6058.333333333333</v>
      </c>
      <c r="G149" s="181" t="str">
        <f t="shared" si="24"/>
        <v>No</v>
      </c>
      <c r="H149" s="3">
        <f t="shared" si="25"/>
        <v>40</v>
      </c>
      <c r="I149" s="3">
        <f t="shared" si="26"/>
        <v>0</v>
      </c>
      <c r="J149" s="3">
        <f t="shared" si="19"/>
        <v>6018.333333333333</v>
      </c>
      <c r="K149" s="3">
        <f t="shared" si="20"/>
        <v>1805.4999999999998</v>
      </c>
      <c r="L149" s="3">
        <f t="shared" si="21"/>
        <v>605.83333333333337</v>
      </c>
      <c r="M149" s="3">
        <v>50</v>
      </c>
      <c r="N149" s="3">
        <f t="shared" si="18"/>
        <v>1805.4999999999998</v>
      </c>
      <c r="O149" s="182" cm="1">
        <f t="array" ref="O149">_xlfn.IFS($G$2=1,VLOOKUP('Total income package'!$B$3,'Location specific data'!$A$3:$W278,20,FALSE),$G$2=2,VLOOKUP('Total income package'!$B$3,'Location specific data'!$A$3:$W$135,21,FALSE),$G$2=3,VLOOKUP('Total income package'!$B$3,'Location specific data'!$A$3:$W$135,22,FALSE),$G$2=4,VLOOKUP('Total income package'!$B$3,'Location specific data'!$A$3:$W$135,23,FALSE),$G$2=5,VLOOKUP('Total income package'!$B$3,'Location specific data'!$A$3:$W$135,24,FALSE))</f>
        <v>851</v>
      </c>
      <c r="P149" s="182" cm="1">
        <f t="array" ref="P149">_xlfn.IFS($G$2=1,VLOOKUP('Total income package'!$B$3,'Location specific data'!$A$3:$AB$135,25,FALSE),$G$2=2,VLOOKUP('Total income package'!$B$3,'Location specific data'!$A$3:$AB$135,26,FALSE),$G$2=3,VLOOKUP('Total income package'!$B$3,'Location specific data'!$A$3:$AB$135,27,FALSE),$G$2=4,VLOOKUP('Total income package'!$B$3,'Location specific data'!$A$3:$AB$135,28,FALSE),$G$2=5,VLOOKUP('Total income package'!$B$3,'Location specific data'!$A$3:$AB$135,29,FALSE))</f>
        <v>995</v>
      </c>
      <c r="Q149" s="337">
        <f>IF(AND(G149="Yes",'Total income package'!$A$14=TRUE,P149-N149&gt;0),P149-N149,0)</f>
        <v>0</v>
      </c>
    </row>
    <row r="150" spans="1:17" x14ac:dyDescent="0.25">
      <c r="A150" s="182">
        <v>72000</v>
      </c>
      <c r="B150" s="4">
        <f t="shared" si="22"/>
        <v>6000</v>
      </c>
      <c r="C150" s="4">
        <f>MAX('TANF-VIEW'!L153,'TANF-VIEW'!T153)</f>
        <v>0</v>
      </c>
      <c r="D150" s="4">
        <f>'Total income package'!$D$80</f>
        <v>0</v>
      </c>
      <c r="E150" s="4">
        <f>'Total income package'!$H$61+'Total income package'!$F$66</f>
        <v>100</v>
      </c>
      <c r="F150" s="4">
        <f t="shared" si="23"/>
        <v>6100</v>
      </c>
      <c r="G150" s="181" t="str">
        <f t="shared" si="24"/>
        <v>No</v>
      </c>
      <c r="H150" s="3">
        <f t="shared" si="25"/>
        <v>40</v>
      </c>
      <c r="I150" s="3">
        <f t="shared" si="26"/>
        <v>0</v>
      </c>
      <c r="J150" s="3">
        <f t="shared" si="19"/>
        <v>6060</v>
      </c>
      <c r="K150" s="3">
        <f t="shared" si="20"/>
        <v>1818</v>
      </c>
      <c r="L150" s="3">
        <f t="shared" si="21"/>
        <v>610</v>
      </c>
      <c r="M150" s="3">
        <v>50</v>
      </c>
      <c r="N150" s="3">
        <f t="shared" si="18"/>
        <v>1818</v>
      </c>
      <c r="O150" s="182" cm="1">
        <f t="array" ref="O150">_xlfn.IFS($G$2=1,VLOOKUP('Total income package'!$B$3,'Location specific data'!$A$3:$W279,20,FALSE),$G$2=2,VLOOKUP('Total income package'!$B$3,'Location specific data'!$A$3:$W$135,21,FALSE),$G$2=3,VLOOKUP('Total income package'!$B$3,'Location specific data'!$A$3:$W$135,22,FALSE),$G$2=4,VLOOKUP('Total income package'!$B$3,'Location specific data'!$A$3:$W$135,23,FALSE),$G$2=5,VLOOKUP('Total income package'!$B$3,'Location specific data'!$A$3:$W$135,24,FALSE))</f>
        <v>851</v>
      </c>
      <c r="P150" s="182" cm="1">
        <f t="array" ref="P150">_xlfn.IFS($G$2=1,VLOOKUP('Total income package'!$B$3,'Location specific data'!$A$3:$AB$135,25,FALSE),$G$2=2,VLOOKUP('Total income package'!$B$3,'Location specific data'!$A$3:$AB$135,26,FALSE),$G$2=3,VLOOKUP('Total income package'!$B$3,'Location specific data'!$A$3:$AB$135,27,FALSE),$G$2=4,VLOOKUP('Total income package'!$B$3,'Location specific data'!$A$3:$AB$135,28,FALSE),$G$2=5,VLOOKUP('Total income package'!$B$3,'Location specific data'!$A$3:$AB$135,29,FALSE))</f>
        <v>995</v>
      </c>
      <c r="Q150" s="337">
        <f>IF(AND(G150="Yes",'Total income package'!$A$14=TRUE,P150-N150&gt;0),P150-N150,0)</f>
        <v>0</v>
      </c>
    </row>
    <row r="151" spans="1:17" x14ac:dyDescent="0.25">
      <c r="A151" s="182">
        <v>72500</v>
      </c>
      <c r="B151" s="4">
        <f t="shared" si="22"/>
        <v>6041.666666666667</v>
      </c>
      <c r="C151" s="4">
        <f>MAX('TANF-VIEW'!L154,'TANF-VIEW'!T154)</f>
        <v>0</v>
      </c>
      <c r="D151" s="4">
        <f>'Total income package'!$D$80</f>
        <v>0</v>
      </c>
      <c r="E151" s="4">
        <f>'Total income package'!$H$61+'Total income package'!$F$66</f>
        <v>100</v>
      </c>
      <c r="F151" s="4">
        <f t="shared" si="23"/>
        <v>6141.666666666667</v>
      </c>
      <c r="G151" s="181" t="str">
        <f t="shared" si="24"/>
        <v>No</v>
      </c>
      <c r="H151" s="3">
        <f t="shared" si="25"/>
        <v>40</v>
      </c>
      <c r="I151" s="3">
        <f t="shared" si="26"/>
        <v>0</v>
      </c>
      <c r="J151" s="3">
        <f t="shared" si="19"/>
        <v>6101.666666666667</v>
      </c>
      <c r="K151" s="3">
        <f t="shared" si="20"/>
        <v>1830.5</v>
      </c>
      <c r="L151" s="3">
        <f t="shared" si="21"/>
        <v>614.16666666666674</v>
      </c>
      <c r="M151" s="3">
        <v>50</v>
      </c>
      <c r="N151" s="3">
        <f t="shared" si="18"/>
        <v>1830.5</v>
      </c>
      <c r="O151" s="182" cm="1">
        <f t="array" ref="O151">_xlfn.IFS($G$2=1,VLOOKUP('Total income package'!$B$3,'Location specific data'!$A$3:$W280,20,FALSE),$G$2=2,VLOOKUP('Total income package'!$B$3,'Location specific data'!$A$3:$W$135,21,FALSE),$G$2=3,VLOOKUP('Total income package'!$B$3,'Location specific data'!$A$3:$W$135,22,FALSE),$G$2=4,VLOOKUP('Total income package'!$B$3,'Location specific data'!$A$3:$W$135,23,FALSE),$G$2=5,VLOOKUP('Total income package'!$B$3,'Location specific data'!$A$3:$W$135,24,FALSE))</f>
        <v>851</v>
      </c>
      <c r="P151" s="182" cm="1">
        <f t="array" ref="P151">_xlfn.IFS($G$2=1,VLOOKUP('Total income package'!$B$3,'Location specific data'!$A$3:$AB$135,25,FALSE),$G$2=2,VLOOKUP('Total income package'!$B$3,'Location specific data'!$A$3:$AB$135,26,FALSE),$G$2=3,VLOOKUP('Total income package'!$B$3,'Location specific data'!$A$3:$AB$135,27,FALSE),$G$2=4,VLOOKUP('Total income package'!$B$3,'Location specific data'!$A$3:$AB$135,28,FALSE),$G$2=5,VLOOKUP('Total income package'!$B$3,'Location specific data'!$A$3:$AB$135,29,FALSE))</f>
        <v>995</v>
      </c>
      <c r="Q151" s="337">
        <f>IF(AND(G151="Yes",'Total income package'!$A$14=TRUE,P151-N151&gt;0),P151-N151,0)</f>
        <v>0</v>
      </c>
    </row>
    <row r="152" spans="1:17" x14ac:dyDescent="0.25">
      <c r="A152" s="182">
        <v>73000</v>
      </c>
      <c r="B152" s="4">
        <f t="shared" si="22"/>
        <v>6083.333333333333</v>
      </c>
      <c r="C152" s="4">
        <f>MAX('TANF-VIEW'!L155,'TANF-VIEW'!T155)</f>
        <v>0</v>
      </c>
      <c r="D152" s="4">
        <f>'Total income package'!$D$80</f>
        <v>0</v>
      </c>
      <c r="E152" s="4">
        <f>'Total income package'!$H$61+'Total income package'!$F$66</f>
        <v>100</v>
      </c>
      <c r="F152" s="4">
        <f t="shared" si="23"/>
        <v>6183.333333333333</v>
      </c>
      <c r="G152" s="181" t="str">
        <f t="shared" si="24"/>
        <v>No</v>
      </c>
      <c r="H152" s="3">
        <f t="shared" si="25"/>
        <v>40</v>
      </c>
      <c r="I152" s="3">
        <f t="shared" si="26"/>
        <v>0</v>
      </c>
      <c r="J152" s="3">
        <f t="shared" si="19"/>
        <v>6143.333333333333</v>
      </c>
      <c r="K152" s="3">
        <f t="shared" si="20"/>
        <v>1842.9999999999998</v>
      </c>
      <c r="L152" s="3">
        <f t="shared" si="21"/>
        <v>618.33333333333337</v>
      </c>
      <c r="M152" s="3">
        <v>50</v>
      </c>
      <c r="N152" s="3">
        <f t="shared" si="18"/>
        <v>1842.9999999999998</v>
      </c>
      <c r="O152" s="182" cm="1">
        <f t="array" ref="O152">_xlfn.IFS($G$2=1,VLOOKUP('Total income package'!$B$3,'Location specific data'!$A$3:$W281,20,FALSE),$G$2=2,VLOOKUP('Total income package'!$B$3,'Location specific data'!$A$3:$W$135,21,FALSE),$G$2=3,VLOOKUP('Total income package'!$B$3,'Location specific data'!$A$3:$W$135,22,FALSE),$G$2=4,VLOOKUP('Total income package'!$B$3,'Location specific data'!$A$3:$W$135,23,FALSE),$G$2=5,VLOOKUP('Total income package'!$B$3,'Location specific data'!$A$3:$W$135,24,FALSE))</f>
        <v>851</v>
      </c>
      <c r="P152" s="182" cm="1">
        <f t="array" ref="P152">_xlfn.IFS($G$2=1,VLOOKUP('Total income package'!$B$3,'Location specific data'!$A$3:$AB$135,25,FALSE),$G$2=2,VLOOKUP('Total income package'!$B$3,'Location specific data'!$A$3:$AB$135,26,FALSE),$G$2=3,VLOOKUP('Total income package'!$B$3,'Location specific data'!$A$3:$AB$135,27,FALSE),$G$2=4,VLOOKUP('Total income package'!$B$3,'Location specific data'!$A$3:$AB$135,28,FALSE),$G$2=5,VLOOKUP('Total income package'!$B$3,'Location specific data'!$A$3:$AB$135,29,FALSE))</f>
        <v>995</v>
      </c>
      <c r="Q152" s="337">
        <f>IF(AND(G152="Yes",'Total income package'!$A$14=TRUE,P152-N152&gt;0),P152-N152,0)</f>
        <v>0</v>
      </c>
    </row>
    <row r="153" spans="1:17" x14ac:dyDescent="0.25">
      <c r="A153" s="182">
        <v>73500</v>
      </c>
      <c r="B153" s="4">
        <f t="shared" si="22"/>
        <v>6125</v>
      </c>
      <c r="C153" s="4">
        <f>MAX('TANF-VIEW'!L156,'TANF-VIEW'!T156)</f>
        <v>0</v>
      </c>
      <c r="D153" s="4">
        <f>'Total income package'!$D$80</f>
        <v>0</v>
      </c>
      <c r="E153" s="4">
        <f>'Total income package'!$H$61+'Total income package'!$F$66</f>
        <v>100</v>
      </c>
      <c r="F153" s="4">
        <f t="shared" si="23"/>
        <v>6225</v>
      </c>
      <c r="G153" s="181" t="str">
        <f t="shared" si="24"/>
        <v>No</v>
      </c>
      <c r="H153" s="3">
        <f t="shared" si="25"/>
        <v>40</v>
      </c>
      <c r="I153" s="3">
        <f t="shared" si="26"/>
        <v>0</v>
      </c>
      <c r="J153" s="3">
        <f t="shared" si="19"/>
        <v>6185</v>
      </c>
      <c r="K153" s="3">
        <f t="shared" si="20"/>
        <v>1855.5</v>
      </c>
      <c r="L153" s="3">
        <f t="shared" si="21"/>
        <v>622.5</v>
      </c>
      <c r="M153" s="3">
        <v>50</v>
      </c>
      <c r="N153" s="3">
        <f t="shared" si="18"/>
        <v>1855.5</v>
      </c>
      <c r="O153" s="182" cm="1">
        <f t="array" ref="O153">_xlfn.IFS($G$2=1,VLOOKUP('Total income package'!$B$3,'Location specific data'!$A$3:$W282,20,FALSE),$G$2=2,VLOOKUP('Total income package'!$B$3,'Location specific data'!$A$3:$W$135,21,FALSE),$G$2=3,VLOOKUP('Total income package'!$B$3,'Location specific data'!$A$3:$W$135,22,FALSE),$G$2=4,VLOOKUP('Total income package'!$B$3,'Location specific data'!$A$3:$W$135,23,FALSE),$G$2=5,VLOOKUP('Total income package'!$B$3,'Location specific data'!$A$3:$W$135,24,FALSE))</f>
        <v>851</v>
      </c>
      <c r="P153" s="182" cm="1">
        <f t="array" ref="P153">_xlfn.IFS($G$2=1,VLOOKUP('Total income package'!$B$3,'Location specific data'!$A$3:$AB$135,25,FALSE),$G$2=2,VLOOKUP('Total income package'!$B$3,'Location specific data'!$A$3:$AB$135,26,FALSE),$G$2=3,VLOOKUP('Total income package'!$B$3,'Location specific data'!$A$3:$AB$135,27,FALSE),$G$2=4,VLOOKUP('Total income package'!$B$3,'Location specific data'!$A$3:$AB$135,28,FALSE),$G$2=5,VLOOKUP('Total income package'!$B$3,'Location specific data'!$A$3:$AB$135,29,FALSE))</f>
        <v>995</v>
      </c>
      <c r="Q153" s="337">
        <f>IF(AND(G153="Yes",'Total income package'!$A$14=TRUE,P153-N153&gt;0),P153-N153,0)</f>
        <v>0</v>
      </c>
    </row>
    <row r="154" spans="1:17" x14ac:dyDescent="0.25">
      <c r="A154" s="182">
        <v>74000</v>
      </c>
      <c r="B154" s="4">
        <f t="shared" si="22"/>
        <v>6166.666666666667</v>
      </c>
      <c r="C154" s="4">
        <f>MAX('TANF-VIEW'!L157,'TANF-VIEW'!T157)</f>
        <v>0</v>
      </c>
      <c r="D154" s="4">
        <f>'Total income package'!$D$80</f>
        <v>0</v>
      </c>
      <c r="E154" s="4">
        <f>'Total income package'!$H$61+'Total income package'!$F$66</f>
        <v>100</v>
      </c>
      <c r="F154" s="4">
        <f t="shared" si="23"/>
        <v>6266.666666666667</v>
      </c>
      <c r="G154" s="181" t="str">
        <f t="shared" si="24"/>
        <v>No</v>
      </c>
      <c r="H154" s="3">
        <f t="shared" si="25"/>
        <v>40</v>
      </c>
      <c r="I154" s="3">
        <f t="shared" si="26"/>
        <v>0</v>
      </c>
      <c r="J154" s="3">
        <f t="shared" si="19"/>
        <v>6226.666666666667</v>
      </c>
      <c r="K154" s="3">
        <f t="shared" si="20"/>
        <v>1868</v>
      </c>
      <c r="L154" s="3">
        <f t="shared" si="21"/>
        <v>626.66666666666674</v>
      </c>
      <c r="M154" s="3">
        <v>50</v>
      </c>
      <c r="N154" s="3">
        <f t="shared" si="18"/>
        <v>1868</v>
      </c>
      <c r="O154" s="182" cm="1">
        <f t="array" ref="O154">_xlfn.IFS($G$2=1,VLOOKUP('Total income package'!$B$3,'Location specific data'!$A$3:$W283,20,FALSE),$G$2=2,VLOOKUP('Total income package'!$B$3,'Location specific data'!$A$3:$W$135,21,FALSE),$G$2=3,VLOOKUP('Total income package'!$B$3,'Location specific data'!$A$3:$W$135,22,FALSE),$G$2=4,VLOOKUP('Total income package'!$B$3,'Location specific data'!$A$3:$W$135,23,FALSE),$G$2=5,VLOOKUP('Total income package'!$B$3,'Location specific data'!$A$3:$W$135,24,FALSE))</f>
        <v>851</v>
      </c>
      <c r="P154" s="182" cm="1">
        <f t="array" ref="P154">_xlfn.IFS($G$2=1,VLOOKUP('Total income package'!$B$3,'Location specific data'!$A$3:$AB$135,25,FALSE),$G$2=2,VLOOKUP('Total income package'!$B$3,'Location specific data'!$A$3:$AB$135,26,FALSE),$G$2=3,VLOOKUP('Total income package'!$B$3,'Location specific data'!$A$3:$AB$135,27,FALSE),$G$2=4,VLOOKUP('Total income package'!$B$3,'Location specific data'!$A$3:$AB$135,28,FALSE),$G$2=5,VLOOKUP('Total income package'!$B$3,'Location specific data'!$A$3:$AB$135,29,FALSE))</f>
        <v>995</v>
      </c>
      <c r="Q154" s="337">
        <f>IF(AND(G154="Yes",'Total income package'!$A$14=TRUE,P154-N154&gt;0),P154-N154,0)</f>
        <v>0</v>
      </c>
    </row>
    <row r="155" spans="1:17" x14ac:dyDescent="0.25">
      <c r="A155" s="182">
        <v>74500</v>
      </c>
      <c r="B155" s="4">
        <f t="shared" si="22"/>
        <v>6208.333333333333</v>
      </c>
      <c r="C155" s="4">
        <f>MAX('TANF-VIEW'!L158,'TANF-VIEW'!T158)</f>
        <v>0</v>
      </c>
      <c r="D155" s="4">
        <f>'Total income package'!$D$80</f>
        <v>0</v>
      </c>
      <c r="E155" s="4">
        <f>'Total income package'!$H$61+'Total income package'!$F$66</f>
        <v>100</v>
      </c>
      <c r="F155" s="4">
        <f t="shared" si="23"/>
        <v>6308.333333333333</v>
      </c>
      <c r="G155" s="181" t="str">
        <f t="shared" si="24"/>
        <v>No</v>
      </c>
      <c r="H155" s="3">
        <f t="shared" si="25"/>
        <v>40</v>
      </c>
      <c r="I155" s="3">
        <f t="shared" si="26"/>
        <v>0</v>
      </c>
      <c r="J155" s="3">
        <f t="shared" si="19"/>
        <v>6268.333333333333</v>
      </c>
      <c r="K155" s="3">
        <f t="shared" si="20"/>
        <v>1880.4999999999998</v>
      </c>
      <c r="L155" s="3">
        <f t="shared" si="21"/>
        <v>630.83333333333337</v>
      </c>
      <c r="M155" s="3">
        <v>50</v>
      </c>
      <c r="N155" s="3">
        <f t="shared" si="18"/>
        <v>1880.4999999999998</v>
      </c>
      <c r="O155" s="182" cm="1">
        <f t="array" ref="O155">_xlfn.IFS($G$2=1,VLOOKUP('Total income package'!$B$3,'Location specific data'!$A$3:$W284,20,FALSE),$G$2=2,VLOOKUP('Total income package'!$B$3,'Location specific data'!$A$3:$W$135,21,FALSE),$G$2=3,VLOOKUP('Total income package'!$B$3,'Location specific data'!$A$3:$W$135,22,FALSE),$G$2=4,VLOOKUP('Total income package'!$B$3,'Location specific data'!$A$3:$W$135,23,FALSE),$G$2=5,VLOOKUP('Total income package'!$B$3,'Location specific data'!$A$3:$W$135,24,FALSE))</f>
        <v>851</v>
      </c>
      <c r="P155" s="182" cm="1">
        <f t="array" ref="P155">_xlfn.IFS($G$2=1,VLOOKUP('Total income package'!$B$3,'Location specific data'!$A$3:$AB$135,25,FALSE),$G$2=2,VLOOKUP('Total income package'!$B$3,'Location specific data'!$A$3:$AB$135,26,FALSE),$G$2=3,VLOOKUP('Total income package'!$B$3,'Location specific data'!$A$3:$AB$135,27,FALSE),$G$2=4,VLOOKUP('Total income package'!$B$3,'Location specific data'!$A$3:$AB$135,28,FALSE),$G$2=5,VLOOKUP('Total income package'!$B$3,'Location specific data'!$A$3:$AB$135,29,FALSE))</f>
        <v>995</v>
      </c>
      <c r="Q155" s="337">
        <f>IF(AND(G155="Yes",'Total income package'!$A$14=TRUE,P155-N155&gt;0),P155-N155,0)</f>
        <v>0</v>
      </c>
    </row>
    <row r="156" spans="1:17" x14ac:dyDescent="0.25">
      <c r="A156" s="182">
        <v>75000</v>
      </c>
      <c r="B156" s="4">
        <f t="shared" si="22"/>
        <v>6250</v>
      </c>
      <c r="C156" s="4">
        <f>MAX('TANF-VIEW'!L159,'TANF-VIEW'!T159)</f>
        <v>0</v>
      </c>
      <c r="D156" s="4">
        <f>'Total income package'!$D$80</f>
        <v>0</v>
      </c>
      <c r="E156" s="4">
        <f>'Total income package'!$H$61+'Total income package'!$F$66</f>
        <v>100</v>
      </c>
      <c r="F156" s="4">
        <f t="shared" si="23"/>
        <v>6350</v>
      </c>
      <c r="G156" s="181" t="str">
        <f t="shared" si="24"/>
        <v>No</v>
      </c>
      <c r="H156" s="3">
        <f t="shared" si="25"/>
        <v>40</v>
      </c>
      <c r="I156" s="3">
        <f t="shared" si="26"/>
        <v>0</v>
      </c>
      <c r="J156" s="3">
        <f t="shared" si="19"/>
        <v>6310</v>
      </c>
      <c r="K156" s="3">
        <f t="shared" si="20"/>
        <v>1893</v>
      </c>
      <c r="L156" s="3">
        <f t="shared" si="21"/>
        <v>635</v>
      </c>
      <c r="M156" s="3">
        <v>50</v>
      </c>
      <c r="N156" s="3">
        <f t="shared" si="18"/>
        <v>1893</v>
      </c>
      <c r="O156" s="182" cm="1">
        <f t="array" ref="O156">_xlfn.IFS($G$2=1,VLOOKUP('Total income package'!$B$3,'Location specific data'!$A$3:$W285,20,FALSE),$G$2=2,VLOOKUP('Total income package'!$B$3,'Location specific data'!$A$3:$W$135,21,FALSE),$G$2=3,VLOOKUP('Total income package'!$B$3,'Location specific data'!$A$3:$W$135,22,FALSE),$G$2=4,VLOOKUP('Total income package'!$B$3,'Location specific data'!$A$3:$W$135,23,FALSE),$G$2=5,VLOOKUP('Total income package'!$B$3,'Location specific data'!$A$3:$W$135,24,FALSE))</f>
        <v>851</v>
      </c>
      <c r="P156" s="182" cm="1">
        <f t="array" ref="P156">_xlfn.IFS($G$2=1,VLOOKUP('Total income package'!$B$3,'Location specific data'!$A$3:$AB$135,25,FALSE),$G$2=2,VLOOKUP('Total income package'!$B$3,'Location specific data'!$A$3:$AB$135,26,FALSE),$G$2=3,VLOOKUP('Total income package'!$B$3,'Location specific data'!$A$3:$AB$135,27,FALSE),$G$2=4,VLOOKUP('Total income package'!$B$3,'Location specific data'!$A$3:$AB$135,28,FALSE),$G$2=5,VLOOKUP('Total income package'!$B$3,'Location specific data'!$A$3:$AB$135,29,FALSE))</f>
        <v>995</v>
      </c>
      <c r="Q156" s="337">
        <f>IF(AND(G156="Yes",'Total income package'!$A$14=TRUE,P156-N156&gt;0),P156-N156,0)</f>
        <v>0</v>
      </c>
    </row>
    <row r="157" spans="1:17" x14ac:dyDescent="0.25">
      <c r="A157" s="182">
        <v>75500</v>
      </c>
      <c r="B157" s="4">
        <f t="shared" si="22"/>
        <v>6291.666666666667</v>
      </c>
      <c r="C157" s="4">
        <f>MAX('TANF-VIEW'!L160,'TANF-VIEW'!T160)</f>
        <v>0</v>
      </c>
      <c r="D157" s="4">
        <f>'Total income package'!$D$80</f>
        <v>0</v>
      </c>
      <c r="E157" s="4">
        <f>'Total income package'!$H$61+'Total income package'!$F$66</f>
        <v>100</v>
      </c>
      <c r="F157" s="4">
        <f t="shared" si="23"/>
        <v>6391.666666666667</v>
      </c>
      <c r="G157" s="181" t="str">
        <f t="shared" si="24"/>
        <v>No</v>
      </c>
      <c r="H157" s="3">
        <f t="shared" si="25"/>
        <v>40</v>
      </c>
      <c r="I157" s="3">
        <f t="shared" si="26"/>
        <v>0</v>
      </c>
      <c r="J157" s="3">
        <f t="shared" si="19"/>
        <v>6351.666666666667</v>
      </c>
      <c r="K157" s="3">
        <f t="shared" si="20"/>
        <v>1905.5</v>
      </c>
      <c r="L157" s="3">
        <f t="shared" si="21"/>
        <v>639.16666666666674</v>
      </c>
      <c r="M157" s="3">
        <v>50</v>
      </c>
      <c r="N157" s="3">
        <f t="shared" si="18"/>
        <v>1905.5</v>
      </c>
      <c r="O157" s="182" cm="1">
        <f t="array" ref="O157">_xlfn.IFS($G$2=1,VLOOKUP('Total income package'!$B$3,'Location specific data'!$A$3:$W286,20,FALSE),$G$2=2,VLOOKUP('Total income package'!$B$3,'Location specific data'!$A$3:$W$135,21,FALSE),$G$2=3,VLOOKUP('Total income package'!$B$3,'Location specific data'!$A$3:$W$135,22,FALSE),$G$2=4,VLOOKUP('Total income package'!$B$3,'Location specific data'!$A$3:$W$135,23,FALSE),$G$2=5,VLOOKUP('Total income package'!$B$3,'Location specific data'!$A$3:$W$135,24,FALSE))</f>
        <v>851</v>
      </c>
      <c r="P157" s="182" cm="1">
        <f t="array" ref="P157">_xlfn.IFS($G$2=1,VLOOKUP('Total income package'!$B$3,'Location specific data'!$A$3:$AB$135,25,FALSE),$G$2=2,VLOOKUP('Total income package'!$B$3,'Location specific data'!$A$3:$AB$135,26,FALSE),$G$2=3,VLOOKUP('Total income package'!$B$3,'Location specific data'!$A$3:$AB$135,27,FALSE),$G$2=4,VLOOKUP('Total income package'!$B$3,'Location specific data'!$A$3:$AB$135,28,FALSE),$G$2=5,VLOOKUP('Total income package'!$B$3,'Location specific data'!$A$3:$AB$135,29,FALSE))</f>
        <v>995</v>
      </c>
      <c r="Q157" s="337">
        <f>IF(AND(G157="Yes",'Total income package'!$A$14=TRUE,P157-N157&gt;0),P157-N157,0)</f>
        <v>0</v>
      </c>
    </row>
    <row r="158" spans="1:17" x14ac:dyDescent="0.25">
      <c r="A158" s="182">
        <v>76000</v>
      </c>
      <c r="B158" s="4">
        <f t="shared" si="22"/>
        <v>6333.333333333333</v>
      </c>
      <c r="C158" s="4">
        <f>MAX('TANF-VIEW'!L161,'TANF-VIEW'!T161)</f>
        <v>0</v>
      </c>
      <c r="D158" s="4">
        <f>'Total income package'!$D$80</f>
        <v>0</v>
      </c>
      <c r="E158" s="4">
        <f>'Total income package'!$H$61+'Total income package'!$F$66</f>
        <v>100</v>
      </c>
      <c r="F158" s="4">
        <f t="shared" si="23"/>
        <v>6433.333333333333</v>
      </c>
      <c r="G158" s="181" t="str">
        <f t="shared" si="24"/>
        <v>No</v>
      </c>
      <c r="H158" s="3">
        <f t="shared" si="25"/>
        <v>40</v>
      </c>
      <c r="I158" s="3">
        <f t="shared" si="26"/>
        <v>0</v>
      </c>
      <c r="J158" s="3">
        <f t="shared" si="19"/>
        <v>6393.333333333333</v>
      </c>
      <c r="K158" s="3">
        <f t="shared" si="20"/>
        <v>1917.9999999999998</v>
      </c>
      <c r="L158" s="3">
        <f t="shared" si="21"/>
        <v>643.33333333333337</v>
      </c>
      <c r="M158" s="3">
        <v>50</v>
      </c>
      <c r="N158" s="3">
        <f t="shared" si="18"/>
        <v>1917.9999999999998</v>
      </c>
      <c r="O158" s="182" cm="1">
        <f t="array" ref="O158">_xlfn.IFS($G$2=1,VLOOKUP('Total income package'!$B$3,'Location specific data'!$A$3:$W287,20,FALSE),$G$2=2,VLOOKUP('Total income package'!$B$3,'Location specific data'!$A$3:$W$135,21,FALSE),$G$2=3,VLOOKUP('Total income package'!$B$3,'Location specific data'!$A$3:$W$135,22,FALSE),$G$2=4,VLOOKUP('Total income package'!$B$3,'Location specific data'!$A$3:$W$135,23,FALSE),$G$2=5,VLOOKUP('Total income package'!$B$3,'Location specific data'!$A$3:$W$135,24,FALSE))</f>
        <v>851</v>
      </c>
      <c r="P158" s="182" cm="1">
        <f t="array" ref="P158">_xlfn.IFS($G$2=1,VLOOKUP('Total income package'!$B$3,'Location specific data'!$A$3:$AB$135,25,FALSE),$G$2=2,VLOOKUP('Total income package'!$B$3,'Location specific data'!$A$3:$AB$135,26,FALSE),$G$2=3,VLOOKUP('Total income package'!$B$3,'Location specific data'!$A$3:$AB$135,27,FALSE),$G$2=4,VLOOKUP('Total income package'!$B$3,'Location specific data'!$A$3:$AB$135,28,FALSE),$G$2=5,VLOOKUP('Total income package'!$B$3,'Location specific data'!$A$3:$AB$135,29,FALSE))</f>
        <v>995</v>
      </c>
      <c r="Q158" s="337">
        <f>IF(AND(G158="Yes",'Total income package'!$A$14=TRUE,P158-N158&gt;0),P158-N158,0)</f>
        <v>0</v>
      </c>
    </row>
    <row r="159" spans="1:17" x14ac:dyDescent="0.25">
      <c r="A159" s="182">
        <v>76500</v>
      </c>
      <c r="B159" s="4">
        <f t="shared" si="22"/>
        <v>6375</v>
      </c>
      <c r="C159" s="4">
        <f>MAX('TANF-VIEW'!L162,'TANF-VIEW'!T162)</f>
        <v>0</v>
      </c>
      <c r="D159" s="4">
        <f>'Total income package'!$D$80</f>
        <v>0</v>
      </c>
      <c r="E159" s="4">
        <f>'Total income package'!$H$61+'Total income package'!$F$66</f>
        <v>100</v>
      </c>
      <c r="F159" s="4">
        <f t="shared" si="23"/>
        <v>6475</v>
      </c>
      <c r="G159" s="181" t="str">
        <f t="shared" si="24"/>
        <v>No</v>
      </c>
      <c r="H159" s="3">
        <f t="shared" si="25"/>
        <v>40</v>
      </c>
      <c r="I159" s="3">
        <f t="shared" si="26"/>
        <v>0</v>
      </c>
      <c r="J159" s="3">
        <f t="shared" si="19"/>
        <v>6435</v>
      </c>
      <c r="K159" s="3">
        <f t="shared" si="20"/>
        <v>1930.5</v>
      </c>
      <c r="L159" s="3">
        <f t="shared" si="21"/>
        <v>647.5</v>
      </c>
      <c r="M159" s="3">
        <v>50</v>
      </c>
      <c r="N159" s="3">
        <f t="shared" si="18"/>
        <v>1930.5</v>
      </c>
      <c r="O159" s="182" cm="1">
        <f t="array" ref="O159">_xlfn.IFS($G$2=1,VLOOKUP('Total income package'!$B$3,'Location specific data'!$A$3:$W288,20,FALSE),$G$2=2,VLOOKUP('Total income package'!$B$3,'Location specific data'!$A$3:$W$135,21,FALSE),$G$2=3,VLOOKUP('Total income package'!$B$3,'Location specific data'!$A$3:$W$135,22,FALSE),$G$2=4,VLOOKUP('Total income package'!$B$3,'Location specific data'!$A$3:$W$135,23,FALSE),$G$2=5,VLOOKUP('Total income package'!$B$3,'Location specific data'!$A$3:$W$135,24,FALSE))</f>
        <v>851</v>
      </c>
      <c r="P159" s="182" cm="1">
        <f t="array" ref="P159">_xlfn.IFS($G$2=1,VLOOKUP('Total income package'!$B$3,'Location specific data'!$A$3:$AB$135,25,FALSE),$G$2=2,VLOOKUP('Total income package'!$B$3,'Location specific data'!$A$3:$AB$135,26,FALSE),$G$2=3,VLOOKUP('Total income package'!$B$3,'Location specific data'!$A$3:$AB$135,27,FALSE),$G$2=4,VLOOKUP('Total income package'!$B$3,'Location specific data'!$A$3:$AB$135,28,FALSE),$G$2=5,VLOOKUP('Total income package'!$B$3,'Location specific data'!$A$3:$AB$135,29,FALSE))</f>
        <v>995</v>
      </c>
      <c r="Q159" s="337">
        <f>IF(AND(G159="Yes",'Total income package'!$A$14=TRUE,P159-N159&gt;0),P159-N159,0)</f>
        <v>0</v>
      </c>
    </row>
    <row r="160" spans="1:17" x14ac:dyDescent="0.25">
      <c r="A160" s="182">
        <v>77000</v>
      </c>
      <c r="B160" s="4">
        <f t="shared" si="22"/>
        <v>6416.666666666667</v>
      </c>
      <c r="C160" s="4">
        <f>MAX('TANF-VIEW'!L163,'TANF-VIEW'!T163)</f>
        <v>0</v>
      </c>
      <c r="D160" s="4">
        <f>'Total income package'!$D$80</f>
        <v>0</v>
      </c>
      <c r="E160" s="4">
        <f>'Total income package'!$H$61+'Total income package'!$F$66</f>
        <v>100</v>
      </c>
      <c r="F160" s="4">
        <f t="shared" si="23"/>
        <v>6516.666666666667</v>
      </c>
      <c r="G160" s="181" t="str">
        <f t="shared" si="24"/>
        <v>No</v>
      </c>
      <c r="H160" s="3">
        <f t="shared" si="25"/>
        <v>40</v>
      </c>
      <c r="I160" s="3">
        <f t="shared" si="26"/>
        <v>0</v>
      </c>
      <c r="J160" s="3">
        <f t="shared" si="19"/>
        <v>6476.666666666667</v>
      </c>
      <c r="K160" s="3">
        <f t="shared" si="20"/>
        <v>1943</v>
      </c>
      <c r="L160" s="3">
        <f t="shared" si="21"/>
        <v>651.66666666666674</v>
      </c>
      <c r="M160" s="3">
        <v>50</v>
      </c>
      <c r="N160" s="3">
        <f t="shared" si="18"/>
        <v>1943</v>
      </c>
      <c r="O160" s="182" cm="1">
        <f t="array" ref="O160">_xlfn.IFS($G$2=1,VLOOKUP('Total income package'!$B$3,'Location specific data'!$A$3:$W289,20,FALSE),$G$2=2,VLOOKUP('Total income package'!$B$3,'Location specific data'!$A$3:$W$135,21,FALSE),$G$2=3,VLOOKUP('Total income package'!$B$3,'Location specific data'!$A$3:$W$135,22,FALSE),$G$2=4,VLOOKUP('Total income package'!$B$3,'Location specific data'!$A$3:$W$135,23,FALSE),$G$2=5,VLOOKUP('Total income package'!$B$3,'Location specific data'!$A$3:$W$135,24,FALSE))</f>
        <v>851</v>
      </c>
      <c r="P160" s="182" cm="1">
        <f t="array" ref="P160">_xlfn.IFS($G$2=1,VLOOKUP('Total income package'!$B$3,'Location specific data'!$A$3:$AB$135,25,FALSE),$G$2=2,VLOOKUP('Total income package'!$B$3,'Location specific data'!$A$3:$AB$135,26,FALSE),$G$2=3,VLOOKUP('Total income package'!$B$3,'Location specific data'!$A$3:$AB$135,27,FALSE),$G$2=4,VLOOKUP('Total income package'!$B$3,'Location specific data'!$A$3:$AB$135,28,FALSE),$G$2=5,VLOOKUP('Total income package'!$B$3,'Location specific data'!$A$3:$AB$135,29,FALSE))</f>
        <v>995</v>
      </c>
      <c r="Q160" s="337">
        <f>IF(AND(G160="Yes",'Total income package'!$A$14=TRUE,P160-N160&gt;0),P160-N160,0)</f>
        <v>0</v>
      </c>
    </row>
    <row r="161" spans="1:17" x14ac:dyDescent="0.25">
      <c r="A161" s="182">
        <v>77500</v>
      </c>
      <c r="B161" s="4">
        <f t="shared" si="22"/>
        <v>6458.333333333333</v>
      </c>
      <c r="C161" s="4">
        <f>MAX('TANF-VIEW'!L164,'TANF-VIEW'!T164)</f>
        <v>0</v>
      </c>
      <c r="D161" s="4">
        <f>'Total income package'!$D$80</f>
        <v>0</v>
      </c>
      <c r="E161" s="4">
        <f>'Total income package'!$H$61+'Total income package'!$F$66</f>
        <v>100</v>
      </c>
      <c r="F161" s="4">
        <f t="shared" si="23"/>
        <v>6558.333333333333</v>
      </c>
      <c r="G161" s="181" t="str">
        <f t="shared" si="24"/>
        <v>No</v>
      </c>
      <c r="H161" s="3">
        <f t="shared" si="25"/>
        <v>40</v>
      </c>
      <c r="I161" s="3">
        <f t="shared" si="26"/>
        <v>0</v>
      </c>
      <c r="J161" s="3">
        <f t="shared" si="19"/>
        <v>6518.333333333333</v>
      </c>
      <c r="K161" s="3">
        <f t="shared" si="20"/>
        <v>1955.4999999999998</v>
      </c>
      <c r="L161" s="3">
        <f t="shared" si="21"/>
        <v>655.83333333333337</v>
      </c>
      <c r="M161" s="3">
        <v>50</v>
      </c>
      <c r="N161" s="3">
        <f t="shared" si="18"/>
        <v>1955.4999999999998</v>
      </c>
      <c r="O161" s="182" cm="1">
        <f t="array" ref="O161">_xlfn.IFS($G$2=1,VLOOKUP('Total income package'!$B$3,'Location specific data'!$A$3:$W290,20,FALSE),$G$2=2,VLOOKUP('Total income package'!$B$3,'Location specific data'!$A$3:$W$135,21,FALSE),$G$2=3,VLOOKUP('Total income package'!$B$3,'Location specific data'!$A$3:$W$135,22,FALSE),$G$2=4,VLOOKUP('Total income package'!$B$3,'Location specific data'!$A$3:$W$135,23,FALSE),$G$2=5,VLOOKUP('Total income package'!$B$3,'Location specific data'!$A$3:$W$135,24,FALSE))</f>
        <v>851</v>
      </c>
      <c r="P161" s="182" cm="1">
        <f t="array" ref="P161">_xlfn.IFS($G$2=1,VLOOKUP('Total income package'!$B$3,'Location specific data'!$A$3:$AB$135,25,FALSE),$G$2=2,VLOOKUP('Total income package'!$B$3,'Location specific data'!$A$3:$AB$135,26,FALSE),$G$2=3,VLOOKUP('Total income package'!$B$3,'Location specific data'!$A$3:$AB$135,27,FALSE),$G$2=4,VLOOKUP('Total income package'!$B$3,'Location specific data'!$A$3:$AB$135,28,FALSE),$G$2=5,VLOOKUP('Total income package'!$B$3,'Location specific data'!$A$3:$AB$135,29,FALSE))</f>
        <v>995</v>
      </c>
      <c r="Q161" s="337">
        <f>IF(AND(G161="Yes",'Total income package'!$A$14=TRUE,P161-N161&gt;0),P161-N161,0)</f>
        <v>0</v>
      </c>
    </row>
    <row r="162" spans="1:17" x14ac:dyDescent="0.25">
      <c r="A162" s="182">
        <v>78000</v>
      </c>
      <c r="B162" s="4">
        <f t="shared" si="22"/>
        <v>6500</v>
      </c>
      <c r="C162" s="4">
        <f>MAX('TANF-VIEW'!L165,'TANF-VIEW'!T165)</f>
        <v>0</v>
      </c>
      <c r="D162" s="4">
        <f>'Total income package'!$D$80</f>
        <v>0</v>
      </c>
      <c r="E162" s="4">
        <f>'Total income package'!$H$61+'Total income package'!$F$66</f>
        <v>100</v>
      </c>
      <c r="F162" s="4">
        <f t="shared" si="23"/>
        <v>6600</v>
      </c>
      <c r="G162" s="181" t="str">
        <f t="shared" si="24"/>
        <v>No</v>
      </c>
      <c r="H162" s="3">
        <f t="shared" si="25"/>
        <v>40</v>
      </c>
      <c r="I162" s="3">
        <f t="shared" si="26"/>
        <v>0</v>
      </c>
      <c r="J162" s="3">
        <f t="shared" si="19"/>
        <v>6560</v>
      </c>
      <c r="K162" s="3">
        <f t="shared" si="20"/>
        <v>1968</v>
      </c>
      <c r="L162" s="3">
        <f t="shared" si="21"/>
        <v>660</v>
      </c>
      <c r="M162" s="3">
        <v>50</v>
      </c>
      <c r="N162" s="3">
        <f t="shared" si="18"/>
        <v>1968</v>
      </c>
      <c r="O162" s="182" cm="1">
        <f t="array" ref="O162">_xlfn.IFS($G$2=1,VLOOKUP('Total income package'!$B$3,'Location specific data'!$A$3:$W291,20,FALSE),$G$2=2,VLOOKUP('Total income package'!$B$3,'Location specific data'!$A$3:$W$135,21,FALSE),$G$2=3,VLOOKUP('Total income package'!$B$3,'Location specific data'!$A$3:$W$135,22,FALSE),$G$2=4,VLOOKUP('Total income package'!$B$3,'Location specific data'!$A$3:$W$135,23,FALSE),$G$2=5,VLOOKUP('Total income package'!$B$3,'Location specific data'!$A$3:$W$135,24,FALSE))</f>
        <v>851</v>
      </c>
      <c r="P162" s="182" cm="1">
        <f t="array" ref="P162">_xlfn.IFS($G$2=1,VLOOKUP('Total income package'!$B$3,'Location specific data'!$A$3:$AB$135,25,FALSE),$G$2=2,VLOOKUP('Total income package'!$B$3,'Location specific data'!$A$3:$AB$135,26,FALSE),$G$2=3,VLOOKUP('Total income package'!$B$3,'Location specific data'!$A$3:$AB$135,27,FALSE),$G$2=4,VLOOKUP('Total income package'!$B$3,'Location specific data'!$A$3:$AB$135,28,FALSE),$G$2=5,VLOOKUP('Total income package'!$B$3,'Location specific data'!$A$3:$AB$135,29,FALSE))</f>
        <v>995</v>
      </c>
      <c r="Q162" s="337">
        <f>IF(AND(G162="Yes",'Total income package'!$A$14=TRUE,P162-N162&gt;0),P162-N162,0)</f>
        <v>0</v>
      </c>
    </row>
    <row r="163" spans="1:17" x14ac:dyDescent="0.25">
      <c r="A163" s="182">
        <v>78500</v>
      </c>
      <c r="B163" s="4">
        <f t="shared" si="22"/>
        <v>6541.666666666667</v>
      </c>
      <c r="C163" s="4">
        <f>MAX('TANF-VIEW'!L166,'TANF-VIEW'!T166)</f>
        <v>0</v>
      </c>
      <c r="D163" s="4">
        <f>'Total income package'!$D$80</f>
        <v>0</v>
      </c>
      <c r="E163" s="4">
        <f>'Total income package'!$H$61+'Total income package'!$F$66</f>
        <v>100</v>
      </c>
      <c r="F163" s="4">
        <f t="shared" si="23"/>
        <v>6641.666666666667</v>
      </c>
      <c r="G163" s="181" t="str">
        <f t="shared" si="24"/>
        <v>No</v>
      </c>
      <c r="H163" s="3">
        <f t="shared" si="25"/>
        <v>40</v>
      </c>
      <c r="I163" s="3">
        <f t="shared" si="26"/>
        <v>0</v>
      </c>
      <c r="J163" s="3">
        <f t="shared" si="19"/>
        <v>6601.666666666667</v>
      </c>
      <c r="K163" s="3">
        <f t="shared" si="20"/>
        <v>1980.5</v>
      </c>
      <c r="L163" s="3">
        <f t="shared" si="21"/>
        <v>664.16666666666674</v>
      </c>
      <c r="M163" s="3">
        <v>50</v>
      </c>
      <c r="N163" s="3">
        <f t="shared" si="18"/>
        <v>1980.5</v>
      </c>
      <c r="O163" s="182" cm="1">
        <f t="array" ref="O163">_xlfn.IFS($G$2=1,VLOOKUP('Total income package'!$B$3,'Location specific data'!$A$3:$W292,20,FALSE),$G$2=2,VLOOKUP('Total income package'!$B$3,'Location specific data'!$A$3:$W$135,21,FALSE),$G$2=3,VLOOKUP('Total income package'!$B$3,'Location specific data'!$A$3:$W$135,22,FALSE),$G$2=4,VLOOKUP('Total income package'!$B$3,'Location specific data'!$A$3:$W$135,23,FALSE),$G$2=5,VLOOKUP('Total income package'!$B$3,'Location specific data'!$A$3:$W$135,24,FALSE))</f>
        <v>851</v>
      </c>
      <c r="P163" s="182" cm="1">
        <f t="array" ref="P163">_xlfn.IFS($G$2=1,VLOOKUP('Total income package'!$B$3,'Location specific data'!$A$3:$AB$135,25,FALSE),$G$2=2,VLOOKUP('Total income package'!$B$3,'Location specific data'!$A$3:$AB$135,26,FALSE),$G$2=3,VLOOKUP('Total income package'!$B$3,'Location specific data'!$A$3:$AB$135,27,FALSE),$G$2=4,VLOOKUP('Total income package'!$B$3,'Location specific data'!$A$3:$AB$135,28,FALSE),$G$2=5,VLOOKUP('Total income package'!$B$3,'Location specific data'!$A$3:$AB$135,29,FALSE))</f>
        <v>995</v>
      </c>
      <c r="Q163" s="337">
        <f>IF(AND(G163="Yes",'Total income package'!$A$14=TRUE,P163-N163&gt;0),P163-N163,0)</f>
        <v>0</v>
      </c>
    </row>
    <row r="164" spans="1:17" x14ac:dyDescent="0.25">
      <c r="A164" s="182">
        <v>79000</v>
      </c>
      <c r="B164" s="4">
        <f t="shared" si="22"/>
        <v>6583.333333333333</v>
      </c>
      <c r="C164" s="4">
        <f>MAX('TANF-VIEW'!L167,'TANF-VIEW'!T167)</f>
        <v>0</v>
      </c>
      <c r="D164" s="4">
        <f>'Total income package'!$D$80</f>
        <v>0</v>
      </c>
      <c r="E164" s="4">
        <f>'Total income package'!$H$61+'Total income package'!$F$66</f>
        <v>100</v>
      </c>
      <c r="F164" s="4">
        <f t="shared" si="23"/>
        <v>6683.333333333333</v>
      </c>
      <c r="G164" s="181" t="str">
        <f t="shared" si="24"/>
        <v>No</v>
      </c>
      <c r="H164" s="3">
        <f t="shared" si="25"/>
        <v>40</v>
      </c>
      <c r="I164" s="3">
        <f t="shared" si="26"/>
        <v>0</v>
      </c>
      <c r="J164" s="3">
        <f t="shared" si="19"/>
        <v>6643.333333333333</v>
      </c>
      <c r="K164" s="3">
        <f t="shared" si="20"/>
        <v>1992.9999999999998</v>
      </c>
      <c r="L164" s="3">
        <f t="shared" si="21"/>
        <v>668.33333333333337</v>
      </c>
      <c r="M164" s="3">
        <v>50</v>
      </c>
      <c r="N164" s="3">
        <f t="shared" si="18"/>
        <v>1992.9999999999998</v>
      </c>
      <c r="O164" s="182" cm="1">
        <f t="array" ref="O164">_xlfn.IFS($G$2=1,VLOOKUP('Total income package'!$B$3,'Location specific data'!$A$3:$W293,20,FALSE),$G$2=2,VLOOKUP('Total income package'!$B$3,'Location specific data'!$A$3:$W$135,21,FALSE),$G$2=3,VLOOKUP('Total income package'!$B$3,'Location specific data'!$A$3:$W$135,22,FALSE),$G$2=4,VLOOKUP('Total income package'!$B$3,'Location specific data'!$A$3:$W$135,23,FALSE),$G$2=5,VLOOKUP('Total income package'!$B$3,'Location specific data'!$A$3:$W$135,24,FALSE))</f>
        <v>851</v>
      </c>
      <c r="P164" s="182" cm="1">
        <f t="array" ref="P164">_xlfn.IFS($G$2=1,VLOOKUP('Total income package'!$B$3,'Location specific data'!$A$3:$AB$135,25,FALSE),$G$2=2,VLOOKUP('Total income package'!$B$3,'Location specific data'!$A$3:$AB$135,26,FALSE),$G$2=3,VLOOKUP('Total income package'!$B$3,'Location specific data'!$A$3:$AB$135,27,FALSE),$G$2=4,VLOOKUP('Total income package'!$B$3,'Location specific data'!$A$3:$AB$135,28,FALSE),$G$2=5,VLOOKUP('Total income package'!$B$3,'Location specific data'!$A$3:$AB$135,29,FALSE))</f>
        <v>995</v>
      </c>
      <c r="Q164" s="337">
        <f>IF(AND(G164="Yes",'Total income package'!$A$14=TRUE,P164-N164&gt;0),P164-N164,0)</f>
        <v>0</v>
      </c>
    </row>
    <row r="165" spans="1:17" x14ac:dyDescent="0.25">
      <c r="A165" s="182">
        <v>79500</v>
      </c>
      <c r="B165" s="4">
        <f t="shared" si="22"/>
        <v>6625</v>
      </c>
      <c r="C165" s="4">
        <f>MAX('TANF-VIEW'!L168,'TANF-VIEW'!T168)</f>
        <v>0</v>
      </c>
      <c r="D165" s="4">
        <f>'Total income package'!$D$80</f>
        <v>0</v>
      </c>
      <c r="E165" s="4">
        <f>'Total income package'!$H$61+'Total income package'!$F$66</f>
        <v>100</v>
      </c>
      <c r="F165" s="4">
        <f t="shared" si="23"/>
        <v>6725</v>
      </c>
      <c r="G165" s="181" t="str">
        <f t="shared" si="24"/>
        <v>No</v>
      </c>
      <c r="H165" s="3">
        <f t="shared" si="25"/>
        <v>40</v>
      </c>
      <c r="I165" s="3">
        <f t="shared" si="26"/>
        <v>0</v>
      </c>
      <c r="J165" s="3">
        <f t="shared" si="19"/>
        <v>6685</v>
      </c>
      <c r="K165" s="3">
        <f t="shared" si="20"/>
        <v>2005.5</v>
      </c>
      <c r="L165" s="3">
        <f t="shared" si="21"/>
        <v>672.5</v>
      </c>
      <c r="M165" s="3">
        <v>50</v>
      </c>
      <c r="N165" s="3">
        <f t="shared" si="18"/>
        <v>2005.5</v>
      </c>
      <c r="O165" s="182" cm="1">
        <f t="array" ref="O165">_xlfn.IFS($G$2=1,VLOOKUP('Total income package'!$B$3,'Location specific data'!$A$3:$W294,20,FALSE),$G$2=2,VLOOKUP('Total income package'!$B$3,'Location specific data'!$A$3:$W$135,21,FALSE),$G$2=3,VLOOKUP('Total income package'!$B$3,'Location specific data'!$A$3:$W$135,22,FALSE),$G$2=4,VLOOKUP('Total income package'!$B$3,'Location specific data'!$A$3:$W$135,23,FALSE),$G$2=5,VLOOKUP('Total income package'!$B$3,'Location specific data'!$A$3:$W$135,24,FALSE))</f>
        <v>851</v>
      </c>
      <c r="P165" s="182" cm="1">
        <f t="array" ref="P165">_xlfn.IFS($G$2=1,VLOOKUP('Total income package'!$B$3,'Location specific data'!$A$3:$AB$135,25,FALSE),$G$2=2,VLOOKUP('Total income package'!$B$3,'Location specific data'!$A$3:$AB$135,26,FALSE),$G$2=3,VLOOKUP('Total income package'!$B$3,'Location specific data'!$A$3:$AB$135,27,FALSE),$G$2=4,VLOOKUP('Total income package'!$B$3,'Location specific data'!$A$3:$AB$135,28,FALSE),$G$2=5,VLOOKUP('Total income package'!$B$3,'Location specific data'!$A$3:$AB$135,29,FALSE))</f>
        <v>995</v>
      </c>
      <c r="Q165" s="337">
        <f>IF(AND(G165="Yes",'Total income package'!$A$14=TRUE,P165-N165&gt;0),P165-N165,0)</f>
        <v>0</v>
      </c>
    </row>
    <row r="166" spans="1:17" x14ac:dyDescent="0.25">
      <c r="A166" s="182">
        <v>80000</v>
      </c>
      <c r="B166" s="4">
        <f t="shared" si="22"/>
        <v>6666.666666666667</v>
      </c>
      <c r="C166" s="4">
        <f>MAX('TANF-VIEW'!L169,'TANF-VIEW'!T169)</f>
        <v>0</v>
      </c>
      <c r="D166" s="4">
        <f>'Total income package'!$D$80</f>
        <v>0</v>
      </c>
      <c r="E166" s="4">
        <f>'Total income package'!$H$61+'Total income package'!$F$66</f>
        <v>100</v>
      </c>
      <c r="F166" s="4">
        <f t="shared" si="23"/>
        <v>6766.666666666667</v>
      </c>
      <c r="G166" s="181" t="str">
        <f t="shared" si="24"/>
        <v>No</v>
      </c>
      <c r="H166" s="3">
        <f t="shared" si="25"/>
        <v>40</v>
      </c>
      <c r="I166" s="3">
        <f t="shared" si="26"/>
        <v>0</v>
      </c>
      <c r="J166" s="3">
        <f t="shared" si="19"/>
        <v>6726.666666666667</v>
      </c>
      <c r="K166" s="3">
        <f t="shared" si="20"/>
        <v>2018</v>
      </c>
      <c r="L166" s="3">
        <f t="shared" si="21"/>
        <v>676.66666666666674</v>
      </c>
      <c r="M166" s="3">
        <v>50</v>
      </c>
      <c r="N166" s="3">
        <f t="shared" si="18"/>
        <v>2018</v>
      </c>
      <c r="O166" s="182" cm="1">
        <f t="array" ref="O166">_xlfn.IFS($G$2=1,VLOOKUP('Total income package'!$B$3,'Location specific data'!$A$3:$W295,20,FALSE),$G$2=2,VLOOKUP('Total income package'!$B$3,'Location specific data'!$A$3:$W$135,21,FALSE),$G$2=3,VLOOKUP('Total income package'!$B$3,'Location specific data'!$A$3:$W$135,22,FALSE),$G$2=4,VLOOKUP('Total income package'!$B$3,'Location specific data'!$A$3:$W$135,23,FALSE),$G$2=5,VLOOKUP('Total income package'!$B$3,'Location specific data'!$A$3:$W$135,24,FALSE))</f>
        <v>851</v>
      </c>
      <c r="P166" s="182" cm="1">
        <f t="array" ref="P166">_xlfn.IFS($G$2=1,VLOOKUP('Total income package'!$B$3,'Location specific data'!$A$3:$AB$135,25,FALSE),$G$2=2,VLOOKUP('Total income package'!$B$3,'Location specific data'!$A$3:$AB$135,26,FALSE),$G$2=3,VLOOKUP('Total income package'!$B$3,'Location specific data'!$A$3:$AB$135,27,FALSE),$G$2=4,VLOOKUP('Total income package'!$B$3,'Location specific data'!$A$3:$AB$135,28,FALSE),$G$2=5,VLOOKUP('Total income package'!$B$3,'Location specific data'!$A$3:$AB$135,29,FALSE))</f>
        <v>995</v>
      </c>
      <c r="Q166" s="337">
        <f>IF(AND(G166="Yes",'Total income package'!$A$14=TRUE,P166-N166&gt;0),P166-N166,0)</f>
        <v>0</v>
      </c>
    </row>
    <row r="167" spans="1:17" x14ac:dyDescent="0.25">
      <c r="A167" s="182">
        <v>80500</v>
      </c>
      <c r="B167" s="4">
        <f t="shared" si="22"/>
        <v>6708.333333333333</v>
      </c>
      <c r="C167" s="4">
        <f>MAX('TANF-VIEW'!L170,'TANF-VIEW'!T170)</f>
        <v>0</v>
      </c>
      <c r="D167" s="4">
        <f>'Total income package'!$D$80</f>
        <v>0</v>
      </c>
      <c r="E167" s="4">
        <f>'Total income package'!$H$61+'Total income package'!$F$66</f>
        <v>100</v>
      </c>
      <c r="F167" s="4">
        <f t="shared" si="23"/>
        <v>6808.333333333333</v>
      </c>
      <c r="G167" s="181" t="str">
        <f t="shared" si="24"/>
        <v>No</v>
      </c>
      <c r="H167" s="3">
        <f t="shared" si="25"/>
        <v>40</v>
      </c>
      <c r="I167" s="3">
        <f t="shared" si="26"/>
        <v>0</v>
      </c>
      <c r="J167" s="3">
        <f t="shared" si="19"/>
        <v>6768.333333333333</v>
      </c>
      <c r="K167" s="3">
        <f t="shared" si="20"/>
        <v>2030.4999999999998</v>
      </c>
      <c r="L167" s="3">
        <f t="shared" si="21"/>
        <v>680.83333333333337</v>
      </c>
      <c r="M167" s="3">
        <v>50</v>
      </c>
      <c r="N167" s="3">
        <f t="shared" si="18"/>
        <v>2030.4999999999998</v>
      </c>
      <c r="O167" s="182" cm="1">
        <f t="array" ref="O167">_xlfn.IFS($G$2=1,VLOOKUP('Total income package'!$B$3,'Location specific data'!$A$3:$W296,20,FALSE),$G$2=2,VLOOKUP('Total income package'!$B$3,'Location specific data'!$A$3:$W$135,21,FALSE),$G$2=3,VLOOKUP('Total income package'!$B$3,'Location specific data'!$A$3:$W$135,22,FALSE),$G$2=4,VLOOKUP('Total income package'!$B$3,'Location specific data'!$A$3:$W$135,23,FALSE),$G$2=5,VLOOKUP('Total income package'!$B$3,'Location specific data'!$A$3:$W$135,24,FALSE))</f>
        <v>851</v>
      </c>
      <c r="P167" s="182" cm="1">
        <f t="array" ref="P167">_xlfn.IFS($G$2=1,VLOOKUP('Total income package'!$B$3,'Location specific data'!$A$3:$AB$135,25,FALSE),$G$2=2,VLOOKUP('Total income package'!$B$3,'Location specific data'!$A$3:$AB$135,26,FALSE),$G$2=3,VLOOKUP('Total income package'!$B$3,'Location specific data'!$A$3:$AB$135,27,FALSE),$G$2=4,VLOOKUP('Total income package'!$B$3,'Location specific data'!$A$3:$AB$135,28,FALSE),$G$2=5,VLOOKUP('Total income package'!$B$3,'Location specific data'!$A$3:$AB$135,29,FALSE))</f>
        <v>995</v>
      </c>
      <c r="Q167" s="337">
        <f>IF(AND(G167="Yes",'Total income package'!$A$14=TRUE,P167-N167&gt;0),P167-N167,0)</f>
        <v>0</v>
      </c>
    </row>
    <row r="168" spans="1:17" x14ac:dyDescent="0.25">
      <c r="A168" s="182">
        <v>81000</v>
      </c>
      <c r="B168" s="4">
        <f t="shared" si="22"/>
        <v>6750</v>
      </c>
      <c r="C168" s="4">
        <f>MAX('TANF-VIEW'!L171,'TANF-VIEW'!T171)</f>
        <v>0</v>
      </c>
      <c r="D168" s="4">
        <f>'Total income package'!$D$80</f>
        <v>0</v>
      </c>
      <c r="E168" s="4">
        <f>'Total income package'!$H$61+'Total income package'!$F$66</f>
        <v>100</v>
      </c>
      <c r="F168" s="4">
        <f t="shared" si="23"/>
        <v>6850</v>
      </c>
      <c r="G168" s="181" t="str">
        <f t="shared" si="24"/>
        <v>No</v>
      </c>
      <c r="H168" s="3">
        <f t="shared" si="25"/>
        <v>40</v>
      </c>
      <c r="I168" s="3">
        <f t="shared" si="26"/>
        <v>0</v>
      </c>
      <c r="J168" s="3">
        <f t="shared" si="19"/>
        <v>6810</v>
      </c>
      <c r="K168" s="3">
        <f t="shared" si="20"/>
        <v>2043</v>
      </c>
      <c r="L168" s="3">
        <f t="shared" si="21"/>
        <v>685</v>
      </c>
      <c r="M168" s="3">
        <v>50</v>
      </c>
      <c r="N168" s="3">
        <f t="shared" si="18"/>
        <v>2043</v>
      </c>
      <c r="O168" s="182" cm="1">
        <f t="array" ref="O168">_xlfn.IFS($G$2=1,VLOOKUP('Total income package'!$B$3,'Location specific data'!$A$3:$W297,20,FALSE),$G$2=2,VLOOKUP('Total income package'!$B$3,'Location specific data'!$A$3:$W$135,21,FALSE),$G$2=3,VLOOKUP('Total income package'!$B$3,'Location specific data'!$A$3:$W$135,22,FALSE),$G$2=4,VLOOKUP('Total income package'!$B$3,'Location specific data'!$A$3:$W$135,23,FALSE),$G$2=5,VLOOKUP('Total income package'!$B$3,'Location specific data'!$A$3:$W$135,24,FALSE))</f>
        <v>851</v>
      </c>
      <c r="P168" s="182" cm="1">
        <f t="array" ref="P168">_xlfn.IFS($G$2=1,VLOOKUP('Total income package'!$B$3,'Location specific data'!$A$3:$AB$135,25,FALSE),$G$2=2,VLOOKUP('Total income package'!$B$3,'Location specific data'!$A$3:$AB$135,26,FALSE),$G$2=3,VLOOKUP('Total income package'!$B$3,'Location specific data'!$A$3:$AB$135,27,FALSE),$G$2=4,VLOOKUP('Total income package'!$B$3,'Location specific data'!$A$3:$AB$135,28,FALSE),$G$2=5,VLOOKUP('Total income package'!$B$3,'Location specific data'!$A$3:$AB$135,29,FALSE))</f>
        <v>995</v>
      </c>
      <c r="Q168" s="337">
        <f>IF(AND(G168="Yes",'Total income package'!$A$14=TRUE,P168-N168&gt;0),P168-N168,0)</f>
        <v>0</v>
      </c>
    </row>
    <row r="169" spans="1:17" x14ac:dyDescent="0.25">
      <c r="A169" s="182">
        <v>81500</v>
      </c>
      <c r="B169" s="4">
        <f t="shared" si="22"/>
        <v>6791.666666666667</v>
      </c>
      <c r="C169" s="4">
        <f>MAX('TANF-VIEW'!L172,'TANF-VIEW'!T172)</f>
        <v>0</v>
      </c>
      <c r="D169" s="4">
        <f>'Total income package'!$D$80</f>
        <v>0</v>
      </c>
      <c r="E169" s="4">
        <f>'Total income package'!$H$61+'Total income package'!$F$66</f>
        <v>100</v>
      </c>
      <c r="F169" s="4">
        <f t="shared" si="23"/>
        <v>6891.666666666667</v>
      </c>
      <c r="G169" s="181" t="str">
        <f t="shared" si="24"/>
        <v>No</v>
      </c>
      <c r="H169" s="3">
        <f t="shared" si="25"/>
        <v>40</v>
      </c>
      <c r="I169" s="3">
        <f t="shared" si="26"/>
        <v>0</v>
      </c>
      <c r="J169" s="3">
        <f t="shared" si="19"/>
        <v>6851.666666666667</v>
      </c>
      <c r="K169" s="3">
        <f t="shared" si="20"/>
        <v>2055.5</v>
      </c>
      <c r="L169" s="3">
        <f t="shared" si="21"/>
        <v>689.16666666666674</v>
      </c>
      <c r="M169" s="3">
        <v>50</v>
      </c>
      <c r="N169" s="3">
        <f t="shared" si="18"/>
        <v>2055.5</v>
      </c>
      <c r="O169" s="182" cm="1">
        <f t="array" ref="O169">_xlfn.IFS($G$2=1,VLOOKUP('Total income package'!$B$3,'Location specific data'!$A$3:$W298,20,FALSE),$G$2=2,VLOOKUP('Total income package'!$B$3,'Location specific data'!$A$3:$W$135,21,FALSE),$G$2=3,VLOOKUP('Total income package'!$B$3,'Location specific data'!$A$3:$W$135,22,FALSE),$G$2=4,VLOOKUP('Total income package'!$B$3,'Location specific data'!$A$3:$W$135,23,FALSE),$G$2=5,VLOOKUP('Total income package'!$B$3,'Location specific data'!$A$3:$W$135,24,FALSE))</f>
        <v>851</v>
      </c>
      <c r="P169" s="182" cm="1">
        <f t="array" ref="P169">_xlfn.IFS($G$2=1,VLOOKUP('Total income package'!$B$3,'Location specific data'!$A$3:$AB$135,25,FALSE),$G$2=2,VLOOKUP('Total income package'!$B$3,'Location specific data'!$A$3:$AB$135,26,FALSE),$G$2=3,VLOOKUP('Total income package'!$B$3,'Location specific data'!$A$3:$AB$135,27,FALSE),$G$2=4,VLOOKUP('Total income package'!$B$3,'Location specific data'!$A$3:$AB$135,28,FALSE),$G$2=5,VLOOKUP('Total income package'!$B$3,'Location specific data'!$A$3:$AB$135,29,FALSE))</f>
        <v>995</v>
      </c>
      <c r="Q169" s="337">
        <f>IF(AND(G169="Yes",'Total income package'!$A$14=TRUE,P169-N169&gt;0),P169-N169,0)</f>
        <v>0</v>
      </c>
    </row>
    <row r="170" spans="1:17" x14ac:dyDescent="0.25">
      <c r="A170" s="182">
        <v>82000</v>
      </c>
      <c r="B170" s="4">
        <f t="shared" si="22"/>
        <v>6833.333333333333</v>
      </c>
      <c r="C170" s="4">
        <f>MAX('TANF-VIEW'!L173,'TANF-VIEW'!T173)</f>
        <v>0</v>
      </c>
      <c r="D170" s="4">
        <f>'Total income package'!$D$80</f>
        <v>0</v>
      </c>
      <c r="E170" s="4">
        <f>'Total income package'!$H$61+'Total income package'!$F$66</f>
        <v>100</v>
      </c>
      <c r="F170" s="4">
        <f t="shared" si="23"/>
        <v>6933.333333333333</v>
      </c>
      <c r="G170" s="181" t="str">
        <f t="shared" si="24"/>
        <v>No</v>
      </c>
      <c r="H170" s="3">
        <f t="shared" si="25"/>
        <v>40</v>
      </c>
      <c r="I170" s="3">
        <f t="shared" si="26"/>
        <v>0</v>
      </c>
      <c r="J170" s="3">
        <f t="shared" si="19"/>
        <v>6893.333333333333</v>
      </c>
      <c r="K170" s="3">
        <f t="shared" si="20"/>
        <v>2068</v>
      </c>
      <c r="L170" s="3">
        <f t="shared" si="21"/>
        <v>693.33333333333337</v>
      </c>
      <c r="M170" s="3">
        <v>50</v>
      </c>
      <c r="N170" s="3">
        <f t="shared" si="18"/>
        <v>2068</v>
      </c>
      <c r="O170" s="182" cm="1">
        <f t="array" ref="O170">_xlfn.IFS($G$2=1,VLOOKUP('Total income package'!$B$3,'Location specific data'!$A$3:$W299,20,FALSE),$G$2=2,VLOOKUP('Total income package'!$B$3,'Location specific data'!$A$3:$W$135,21,FALSE),$G$2=3,VLOOKUP('Total income package'!$B$3,'Location specific data'!$A$3:$W$135,22,FALSE),$G$2=4,VLOOKUP('Total income package'!$B$3,'Location specific data'!$A$3:$W$135,23,FALSE),$G$2=5,VLOOKUP('Total income package'!$B$3,'Location specific data'!$A$3:$W$135,24,FALSE))</f>
        <v>851</v>
      </c>
      <c r="P170" s="182" cm="1">
        <f t="array" ref="P170">_xlfn.IFS($G$2=1,VLOOKUP('Total income package'!$B$3,'Location specific data'!$A$3:$AB$135,25,FALSE),$G$2=2,VLOOKUP('Total income package'!$B$3,'Location specific data'!$A$3:$AB$135,26,FALSE),$G$2=3,VLOOKUP('Total income package'!$B$3,'Location specific data'!$A$3:$AB$135,27,FALSE),$G$2=4,VLOOKUP('Total income package'!$B$3,'Location specific data'!$A$3:$AB$135,28,FALSE),$G$2=5,VLOOKUP('Total income package'!$B$3,'Location specific data'!$A$3:$AB$135,29,FALSE))</f>
        <v>995</v>
      </c>
      <c r="Q170" s="337">
        <f>IF(AND(G170="Yes",'Total income package'!$A$14=TRUE,P170-N170&gt;0),P170-N170,0)</f>
        <v>0</v>
      </c>
    </row>
    <row r="171" spans="1:17" x14ac:dyDescent="0.25">
      <c r="A171" s="182">
        <v>82500</v>
      </c>
      <c r="B171" s="4">
        <f t="shared" si="22"/>
        <v>6875</v>
      </c>
      <c r="C171" s="4">
        <f>MAX('TANF-VIEW'!L174,'TANF-VIEW'!T174)</f>
        <v>0</v>
      </c>
      <c r="D171" s="4">
        <f>'Total income package'!$D$80</f>
        <v>0</v>
      </c>
      <c r="E171" s="4">
        <f>'Total income package'!$H$61+'Total income package'!$F$66</f>
        <v>100</v>
      </c>
      <c r="F171" s="4">
        <f t="shared" si="23"/>
        <v>6975</v>
      </c>
      <c r="G171" s="181" t="str">
        <f t="shared" si="24"/>
        <v>No</v>
      </c>
      <c r="H171" s="3">
        <f t="shared" si="25"/>
        <v>40</v>
      </c>
      <c r="I171" s="3">
        <f t="shared" si="26"/>
        <v>0</v>
      </c>
      <c r="J171" s="3">
        <f t="shared" si="19"/>
        <v>6935</v>
      </c>
      <c r="K171" s="3">
        <f t="shared" si="20"/>
        <v>2080.5</v>
      </c>
      <c r="L171" s="3">
        <f t="shared" si="21"/>
        <v>697.5</v>
      </c>
      <c r="M171" s="3">
        <v>50</v>
      </c>
      <c r="N171" s="3">
        <f t="shared" ref="N171:N206" si="27">MAX(K171:M171)</f>
        <v>2080.5</v>
      </c>
      <c r="O171" s="182" cm="1">
        <f t="array" ref="O171">_xlfn.IFS($G$2=1,VLOOKUP('Total income package'!$B$3,'Location specific data'!$A$3:$W300,20,FALSE),$G$2=2,VLOOKUP('Total income package'!$B$3,'Location specific data'!$A$3:$W$135,21,FALSE),$G$2=3,VLOOKUP('Total income package'!$B$3,'Location specific data'!$A$3:$W$135,22,FALSE),$G$2=4,VLOOKUP('Total income package'!$B$3,'Location specific data'!$A$3:$W$135,23,FALSE),$G$2=5,VLOOKUP('Total income package'!$B$3,'Location specific data'!$A$3:$W$135,24,FALSE))</f>
        <v>851</v>
      </c>
      <c r="P171" s="182" cm="1">
        <f t="array" ref="P171">_xlfn.IFS($G$2=1,VLOOKUP('Total income package'!$B$3,'Location specific data'!$A$3:$AB$135,25,FALSE),$G$2=2,VLOOKUP('Total income package'!$B$3,'Location specific data'!$A$3:$AB$135,26,FALSE),$G$2=3,VLOOKUP('Total income package'!$B$3,'Location specific data'!$A$3:$AB$135,27,FALSE),$G$2=4,VLOOKUP('Total income package'!$B$3,'Location specific data'!$A$3:$AB$135,28,FALSE),$G$2=5,VLOOKUP('Total income package'!$B$3,'Location specific data'!$A$3:$AB$135,29,FALSE))</f>
        <v>995</v>
      </c>
      <c r="Q171" s="337">
        <f>IF(AND(G171="Yes",'Total income package'!$A$14=TRUE,P171-N171&gt;0),P171-N171,0)</f>
        <v>0</v>
      </c>
    </row>
    <row r="172" spans="1:17" x14ac:dyDescent="0.25">
      <c r="A172" s="182">
        <v>83000</v>
      </c>
      <c r="B172" s="4">
        <f t="shared" si="22"/>
        <v>6916.666666666667</v>
      </c>
      <c r="C172" s="4">
        <f>MAX('TANF-VIEW'!L175,'TANF-VIEW'!T175)</f>
        <v>0</v>
      </c>
      <c r="D172" s="4">
        <f>'Total income package'!$D$80</f>
        <v>0</v>
      </c>
      <c r="E172" s="4">
        <f>'Total income package'!$H$61+'Total income package'!$F$66</f>
        <v>100</v>
      </c>
      <c r="F172" s="4">
        <f t="shared" si="23"/>
        <v>7016.666666666667</v>
      </c>
      <c r="G172" s="181" t="str">
        <f t="shared" si="24"/>
        <v>No</v>
      </c>
      <c r="H172" s="3">
        <f t="shared" si="25"/>
        <v>40</v>
      </c>
      <c r="I172" s="3">
        <f t="shared" si="26"/>
        <v>0</v>
      </c>
      <c r="J172" s="3">
        <f t="shared" si="19"/>
        <v>6976.666666666667</v>
      </c>
      <c r="K172" s="3">
        <f t="shared" si="20"/>
        <v>2093</v>
      </c>
      <c r="L172" s="3">
        <f t="shared" si="21"/>
        <v>701.66666666666674</v>
      </c>
      <c r="M172" s="3">
        <v>50</v>
      </c>
      <c r="N172" s="3">
        <f t="shared" si="27"/>
        <v>2093</v>
      </c>
      <c r="O172" s="182" cm="1">
        <f t="array" ref="O172">_xlfn.IFS($G$2=1,VLOOKUP('Total income package'!$B$3,'Location specific data'!$A$3:$W301,20,FALSE),$G$2=2,VLOOKUP('Total income package'!$B$3,'Location specific data'!$A$3:$W$135,21,FALSE),$G$2=3,VLOOKUP('Total income package'!$B$3,'Location specific data'!$A$3:$W$135,22,FALSE),$G$2=4,VLOOKUP('Total income package'!$B$3,'Location specific data'!$A$3:$W$135,23,FALSE),$G$2=5,VLOOKUP('Total income package'!$B$3,'Location specific data'!$A$3:$W$135,24,FALSE))</f>
        <v>851</v>
      </c>
      <c r="P172" s="182" cm="1">
        <f t="array" ref="P172">_xlfn.IFS($G$2=1,VLOOKUP('Total income package'!$B$3,'Location specific data'!$A$3:$AB$135,25,FALSE),$G$2=2,VLOOKUP('Total income package'!$B$3,'Location specific data'!$A$3:$AB$135,26,FALSE),$G$2=3,VLOOKUP('Total income package'!$B$3,'Location specific data'!$A$3:$AB$135,27,FALSE),$G$2=4,VLOOKUP('Total income package'!$B$3,'Location specific data'!$A$3:$AB$135,28,FALSE),$G$2=5,VLOOKUP('Total income package'!$B$3,'Location specific data'!$A$3:$AB$135,29,FALSE))</f>
        <v>995</v>
      </c>
      <c r="Q172" s="337">
        <f>IF(AND(G172="Yes",'Total income package'!$A$14=TRUE,P172-N172&gt;0),P172-N172,0)</f>
        <v>0</v>
      </c>
    </row>
    <row r="173" spans="1:17" x14ac:dyDescent="0.25">
      <c r="A173" s="182">
        <v>83500</v>
      </c>
      <c r="B173" s="4">
        <f t="shared" si="22"/>
        <v>6958.333333333333</v>
      </c>
      <c r="C173" s="4">
        <f>MAX('TANF-VIEW'!L176,'TANF-VIEW'!T176)</f>
        <v>0</v>
      </c>
      <c r="D173" s="4">
        <f>'Total income package'!$D$80</f>
        <v>0</v>
      </c>
      <c r="E173" s="4">
        <f>'Total income package'!$H$61+'Total income package'!$F$66</f>
        <v>100</v>
      </c>
      <c r="F173" s="4">
        <f t="shared" si="23"/>
        <v>7058.333333333333</v>
      </c>
      <c r="G173" s="181" t="str">
        <f t="shared" si="24"/>
        <v>No</v>
      </c>
      <c r="H173" s="3">
        <f t="shared" si="25"/>
        <v>40</v>
      </c>
      <c r="I173" s="3">
        <f t="shared" si="26"/>
        <v>0</v>
      </c>
      <c r="J173" s="3">
        <f t="shared" si="19"/>
        <v>7018.333333333333</v>
      </c>
      <c r="K173" s="3">
        <f t="shared" si="20"/>
        <v>2105.5</v>
      </c>
      <c r="L173" s="3">
        <f t="shared" si="21"/>
        <v>705.83333333333337</v>
      </c>
      <c r="M173" s="3">
        <v>50</v>
      </c>
      <c r="N173" s="3">
        <f t="shared" si="27"/>
        <v>2105.5</v>
      </c>
      <c r="O173" s="182" cm="1">
        <f t="array" ref="O173">_xlfn.IFS($G$2=1,VLOOKUP('Total income package'!$B$3,'Location specific data'!$A$3:$W302,20,FALSE),$G$2=2,VLOOKUP('Total income package'!$B$3,'Location specific data'!$A$3:$W$135,21,FALSE),$G$2=3,VLOOKUP('Total income package'!$B$3,'Location specific data'!$A$3:$W$135,22,FALSE),$G$2=4,VLOOKUP('Total income package'!$B$3,'Location specific data'!$A$3:$W$135,23,FALSE),$G$2=5,VLOOKUP('Total income package'!$B$3,'Location specific data'!$A$3:$W$135,24,FALSE))</f>
        <v>851</v>
      </c>
      <c r="P173" s="182" cm="1">
        <f t="array" ref="P173">_xlfn.IFS($G$2=1,VLOOKUP('Total income package'!$B$3,'Location specific data'!$A$3:$AB$135,25,FALSE),$G$2=2,VLOOKUP('Total income package'!$B$3,'Location specific data'!$A$3:$AB$135,26,FALSE),$G$2=3,VLOOKUP('Total income package'!$B$3,'Location specific data'!$A$3:$AB$135,27,FALSE),$G$2=4,VLOOKUP('Total income package'!$B$3,'Location specific data'!$A$3:$AB$135,28,FALSE),$G$2=5,VLOOKUP('Total income package'!$B$3,'Location specific data'!$A$3:$AB$135,29,FALSE))</f>
        <v>995</v>
      </c>
      <c r="Q173" s="337">
        <f>IF(AND(G173="Yes",'Total income package'!$A$14=TRUE,P173-N173&gt;0),P173-N173,0)</f>
        <v>0</v>
      </c>
    </row>
    <row r="174" spans="1:17" x14ac:dyDescent="0.25">
      <c r="A174" s="182">
        <v>84000</v>
      </c>
      <c r="B174" s="4">
        <f t="shared" si="22"/>
        <v>7000</v>
      </c>
      <c r="C174" s="4">
        <f>MAX('TANF-VIEW'!L177,'TANF-VIEW'!T177)</f>
        <v>0</v>
      </c>
      <c r="D174" s="4">
        <f>'Total income package'!$D$80</f>
        <v>0</v>
      </c>
      <c r="E174" s="4">
        <f>'Total income package'!$H$61+'Total income package'!$F$66</f>
        <v>100</v>
      </c>
      <c r="F174" s="4">
        <f t="shared" si="23"/>
        <v>7100</v>
      </c>
      <c r="G174" s="181" t="str">
        <f t="shared" si="24"/>
        <v>No</v>
      </c>
      <c r="H174" s="3">
        <f t="shared" si="25"/>
        <v>40</v>
      </c>
      <c r="I174" s="3">
        <f t="shared" si="26"/>
        <v>0</v>
      </c>
      <c r="J174" s="3">
        <f t="shared" si="19"/>
        <v>7060</v>
      </c>
      <c r="K174" s="3">
        <f t="shared" si="20"/>
        <v>2118</v>
      </c>
      <c r="L174" s="3">
        <f t="shared" si="21"/>
        <v>710</v>
      </c>
      <c r="M174" s="3">
        <v>50</v>
      </c>
      <c r="N174" s="3">
        <f t="shared" si="27"/>
        <v>2118</v>
      </c>
      <c r="O174" s="182" cm="1">
        <f t="array" ref="O174">_xlfn.IFS($G$2=1,VLOOKUP('Total income package'!$B$3,'Location specific data'!$A$3:$W303,20,FALSE),$G$2=2,VLOOKUP('Total income package'!$B$3,'Location specific data'!$A$3:$W$135,21,FALSE),$G$2=3,VLOOKUP('Total income package'!$B$3,'Location specific data'!$A$3:$W$135,22,FALSE),$G$2=4,VLOOKUP('Total income package'!$B$3,'Location specific data'!$A$3:$W$135,23,FALSE),$G$2=5,VLOOKUP('Total income package'!$B$3,'Location specific data'!$A$3:$W$135,24,FALSE))</f>
        <v>851</v>
      </c>
      <c r="P174" s="182" cm="1">
        <f t="array" ref="P174">_xlfn.IFS($G$2=1,VLOOKUP('Total income package'!$B$3,'Location specific data'!$A$3:$AB$135,25,FALSE),$G$2=2,VLOOKUP('Total income package'!$B$3,'Location specific data'!$A$3:$AB$135,26,FALSE),$G$2=3,VLOOKUP('Total income package'!$B$3,'Location specific data'!$A$3:$AB$135,27,FALSE),$G$2=4,VLOOKUP('Total income package'!$B$3,'Location specific data'!$A$3:$AB$135,28,FALSE),$G$2=5,VLOOKUP('Total income package'!$B$3,'Location specific data'!$A$3:$AB$135,29,FALSE))</f>
        <v>995</v>
      </c>
      <c r="Q174" s="337">
        <f>IF(AND(G174="Yes",'Total income package'!$A$14=TRUE,P174-N174&gt;0),P174-N174,0)</f>
        <v>0</v>
      </c>
    </row>
    <row r="175" spans="1:17" x14ac:dyDescent="0.25">
      <c r="A175" s="182">
        <v>84500</v>
      </c>
      <c r="B175" s="4">
        <f t="shared" si="22"/>
        <v>7041.666666666667</v>
      </c>
      <c r="C175" s="4">
        <f>MAX('TANF-VIEW'!L178,'TANF-VIEW'!T178)</f>
        <v>0</v>
      </c>
      <c r="D175" s="4">
        <f>'Total income package'!$D$80</f>
        <v>0</v>
      </c>
      <c r="E175" s="4">
        <f>'Total income package'!$H$61+'Total income package'!$F$66</f>
        <v>100</v>
      </c>
      <c r="F175" s="4">
        <f t="shared" si="23"/>
        <v>7141.666666666667</v>
      </c>
      <c r="G175" s="181" t="str">
        <f t="shared" si="24"/>
        <v>No</v>
      </c>
      <c r="H175" s="3">
        <f t="shared" si="25"/>
        <v>40</v>
      </c>
      <c r="I175" s="3">
        <f t="shared" si="26"/>
        <v>0</v>
      </c>
      <c r="J175" s="3">
        <f t="shared" si="19"/>
        <v>7101.666666666667</v>
      </c>
      <c r="K175" s="3">
        <f t="shared" si="20"/>
        <v>2130.5</v>
      </c>
      <c r="L175" s="3">
        <f t="shared" si="21"/>
        <v>714.16666666666674</v>
      </c>
      <c r="M175" s="3">
        <v>50</v>
      </c>
      <c r="N175" s="3">
        <f t="shared" si="27"/>
        <v>2130.5</v>
      </c>
      <c r="O175" s="182" cm="1">
        <f t="array" ref="O175">_xlfn.IFS($G$2=1,VLOOKUP('Total income package'!$B$3,'Location specific data'!$A$3:$W304,20,FALSE),$G$2=2,VLOOKUP('Total income package'!$B$3,'Location specific data'!$A$3:$W$135,21,FALSE),$G$2=3,VLOOKUP('Total income package'!$B$3,'Location specific data'!$A$3:$W$135,22,FALSE),$G$2=4,VLOOKUP('Total income package'!$B$3,'Location specific data'!$A$3:$W$135,23,FALSE),$G$2=5,VLOOKUP('Total income package'!$B$3,'Location specific data'!$A$3:$W$135,24,FALSE))</f>
        <v>851</v>
      </c>
      <c r="P175" s="182" cm="1">
        <f t="array" ref="P175">_xlfn.IFS($G$2=1,VLOOKUP('Total income package'!$B$3,'Location specific data'!$A$3:$AB$135,25,FALSE),$G$2=2,VLOOKUP('Total income package'!$B$3,'Location specific data'!$A$3:$AB$135,26,FALSE),$G$2=3,VLOOKUP('Total income package'!$B$3,'Location specific data'!$A$3:$AB$135,27,FALSE),$G$2=4,VLOOKUP('Total income package'!$B$3,'Location specific data'!$A$3:$AB$135,28,FALSE),$G$2=5,VLOOKUP('Total income package'!$B$3,'Location specific data'!$A$3:$AB$135,29,FALSE))</f>
        <v>995</v>
      </c>
      <c r="Q175" s="337">
        <f>IF(AND(G175="Yes",'Total income package'!$A$14=TRUE,P175-N175&gt;0),P175-N175,0)</f>
        <v>0</v>
      </c>
    </row>
    <row r="176" spans="1:17" x14ac:dyDescent="0.25">
      <c r="A176" s="182">
        <v>85000</v>
      </c>
      <c r="B176" s="4">
        <f t="shared" si="22"/>
        <v>7083.333333333333</v>
      </c>
      <c r="C176" s="4">
        <f>MAX('TANF-VIEW'!L179,'TANF-VIEW'!T179)</f>
        <v>0</v>
      </c>
      <c r="D176" s="4">
        <f>'Total income package'!$D$80</f>
        <v>0</v>
      </c>
      <c r="E176" s="4">
        <f>'Total income package'!$H$61+'Total income package'!$F$66</f>
        <v>100</v>
      </c>
      <c r="F176" s="4">
        <f t="shared" si="23"/>
        <v>7183.333333333333</v>
      </c>
      <c r="G176" s="181" t="str">
        <f t="shared" si="24"/>
        <v>No</v>
      </c>
      <c r="H176" s="3">
        <f t="shared" si="25"/>
        <v>40</v>
      </c>
      <c r="I176" s="3">
        <f t="shared" si="26"/>
        <v>0</v>
      </c>
      <c r="J176" s="3">
        <f t="shared" si="19"/>
        <v>7143.333333333333</v>
      </c>
      <c r="K176" s="3">
        <f t="shared" si="20"/>
        <v>2143</v>
      </c>
      <c r="L176" s="3">
        <f t="shared" si="21"/>
        <v>718.33333333333337</v>
      </c>
      <c r="M176" s="3">
        <v>50</v>
      </c>
      <c r="N176" s="3">
        <f t="shared" si="27"/>
        <v>2143</v>
      </c>
      <c r="O176" s="182" cm="1">
        <f t="array" ref="O176">_xlfn.IFS($G$2=1,VLOOKUP('Total income package'!$B$3,'Location specific data'!$A$3:$W305,20,FALSE),$G$2=2,VLOOKUP('Total income package'!$B$3,'Location specific data'!$A$3:$W$135,21,FALSE),$G$2=3,VLOOKUP('Total income package'!$B$3,'Location specific data'!$A$3:$W$135,22,FALSE),$G$2=4,VLOOKUP('Total income package'!$B$3,'Location specific data'!$A$3:$W$135,23,FALSE),$G$2=5,VLOOKUP('Total income package'!$B$3,'Location specific data'!$A$3:$W$135,24,FALSE))</f>
        <v>851</v>
      </c>
      <c r="P176" s="182" cm="1">
        <f t="array" ref="P176">_xlfn.IFS($G$2=1,VLOOKUP('Total income package'!$B$3,'Location specific data'!$A$3:$AB$135,25,FALSE),$G$2=2,VLOOKUP('Total income package'!$B$3,'Location specific data'!$A$3:$AB$135,26,FALSE),$G$2=3,VLOOKUP('Total income package'!$B$3,'Location specific data'!$A$3:$AB$135,27,FALSE),$G$2=4,VLOOKUP('Total income package'!$B$3,'Location specific data'!$A$3:$AB$135,28,FALSE),$G$2=5,VLOOKUP('Total income package'!$B$3,'Location specific data'!$A$3:$AB$135,29,FALSE))</f>
        <v>995</v>
      </c>
      <c r="Q176" s="337">
        <f>IF(AND(G176="Yes",'Total income package'!$A$14=TRUE,P176-N176&gt;0),P176-N176,0)</f>
        <v>0</v>
      </c>
    </row>
    <row r="177" spans="1:17" x14ac:dyDescent="0.25">
      <c r="A177" s="182">
        <v>85500</v>
      </c>
      <c r="B177" s="4">
        <f t="shared" si="22"/>
        <v>7125</v>
      </c>
      <c r="C177" s="4">
        <f>MAX('TANF-VIEW'!L180,'TANF-VIEW'!T180)</f>
        <v>0</v>
      </c>
      <c r="D177" s="4">
        <f>'Total income package'!$D$80</f>
        <v>0</v>
      </c>
      <c r="E177" s="4">
        <f>'Total income package'!$H$61+'Total income package'!$F$66</f>
        <v>100</v>
      </c>
      <c r="F177" s="4">
        <f t="shared" si="23"/>
        <v>7225</v>
      </c>
      <c r="G177" s="181" t="str">
        <f t="shared" si="24"/>
        <v>No</v>
      </c>
      <c r="H177" s="3">
        <f t="shared" si="25"/>
        <v>40</v>
      </c>
      <c r="I177" s="3">
        <f t="shared" si="26"/>
        <v>0</v>
      </c>
      <c r="J177" s="3">
        <f t="shared" si="19"/>
        <v>7185</v>
      </c>
      <c r="K177" s="3">
        <f t="shared" si="20"/>
        <v>2155.5</v>
      </c>
      <c r="L177" s="3">
        <f t="shared" si="21"/>
        <v>722.5</v>
      </c>
      <c r="M177" s="3">
        <v>50</v>
      </c>
      <c r="N177" s="3">
        <f t="shared" si="27"/>
        <v>2155.5</v>
      </c>
      <c r="O177" s="182" cm="1">
        <f t="array" ref="O177">_xlfn.IFS($G$2=1,VLOOKUP('Total income package'!$B$3,'Location specific data'!$A$3:$W306,20,FALSE),$G$2=2,VLOOKUP('Total income package'!$B$3,'Location specific data'!$A$3:$W$135,21,FALSE),$G$2=3,VLOOKUP('Total income package'!$B$3,'Location specific data'!$A$3:$W$135,22,FALSE),$G$2=4,VLOOKUP('Total income package'!$B$3,'Location specific data'!$A$3:$W$135,23,FALSE),$G$2=5,VLOOKUP('Total income package'!$B$3,'Location specific data'!$A$3:$W$135,24,FALSE))</f>
        <v>851</v>
      </c>
      <c r="P177" s="182" cm="1">
        <f t="array" ref="P177">_xlfn.IFS($G$2=1,VLOOKUP('Total income package'!$B$3,'Location specific data'!$A$3:$AB$135,25,FALSE),$G$2=2,VLOOKUP('Total income package'!$B$3,'Location specific data'!$A$3:$AB$135,26,FALSE),$G$2=3,VLOOKUP('Total income package'!$B$3,'Location specific data'!$A$3:$AB$135,27,FALSE),$G$2=4,VLOOKUP('Total income package'!$B$3,'Location specific data'!$A$3:$AB$135,28,FALSE),$G$2=5,VLOOKUP('Total income package'!$B$3,'Location specific data'!$A$3:$AB$135,29,FALSE))</f>
        <v>995</v>
      </c>
      <c r="Q177" s="337">
        <f>IF(AND(G177="Yes",'Total income package'!$A$14=TRUE,P177-N177&gt;0),P177-N177,0)</f>
        <v>0</v>
      </c>
    </row>
    <row r="178" spans="1:17" x14ac:dyDescent="0.25">
      <c r="A178" s="182">
        <v>86000</v>
      </c>
      <c r="B178" s="4">
        <f t="shared" si="22"/>
        <v>7166.666666666667</v>
      </c>
      <c r="C178" s="4">
        <f>MAX('TANF-VIEW'!L181,'TANF-VIEW'!T181)</f>
        <v>0</v>
      </c>
      <c r="D178" s="4">
        <f>'Total income package'!$D$80</f>
        <v>0</v>
      </c>
      <c r="E178" s="4">
        <f>'Total income package'!$H$61+'Total income package'!$F$66</f>
        <v>100</v>
      </c>
      <c r="F178" s="4">
        <f t="shared" si="23"/>
        <v>7266.666666666667</v>
      </c>
      <c r="G178" s="181" t="str">
        <f t="shared" si="24"/>
        <v>No</v>
      </c>
      <c r="H178" s="3">
        <f t="shared" si="25"/>
        <v>40</v>
      </c>
      <c r="I178" s="3">
        <f t="shared" si="26"/>
        <v>0</v>
      </c>
      <c r="J178" s="3">
        <f t="shared" si="19"/>
        <v>7226.666666666667</v>
      </c>
      <c r="K178" s="3">
        <f t="shared" si="20"/>
        <v>2168</v>
      </c>
      <c r="L178" s="3">
        <f t="shared" si="21"/>
        <v>726.66666666666674</v>
      </c>
      <c r="M178" s="3">
        <v>50</v>
      </c>
      <c r="N178" s="3">
        <f t="shared" si="27"/>
        <v>2168</v>
      </c>
      <c r="O178" s="182" cm="1">
        <f t="array" ref="O178">_xlfn.IFS($G$2=1,VLOOKUP('Total income package'!$B$3,'Location specific data'!$A$3:$W307,20,FALSE),$G$2=2,VLOOKUP('Total income package'!$B$3,'Location specific data'!$A$3:$W$135,21,FALSE),$G$2=3,VLOOKUP('Total income package'!$B$3,'Location specific data'!$A$3:$W$135,22,FALSE),$G$2=4,VLOOKUP('Total income package'!$B$3,'Location specific data'!$A$3:$W$135,23,FALSE),$G$2=5,VLOOKUP('Total income package'!$B$3,'Location specific data'!$A$3:$W$135,24,FALSE))</f>
        <v>851</v>
      </c>
      <c r="P178" s="182" cm="1">
        <f t="array" ref="P178">_xlfn.IFS($G$2=1,VLOOKUP('Total income package'!$B$3,'Location specific data'!$A$3:$AB$135,25,FALSE),$G$2=2,VLOOKUP('Total income package'!$B$3,'Location specific data'!$A$3:$AB$135,26,FALSE),$G$2=3,VLOOKUP('Total income package'!$B$3,'Location specific data'!$A$3:$AB$135,27,FALSE),$G$2=4,VLOOKUP('Total income package'!$B$3,'Location specific data'!$A$3:$AB$135,28,FALSE),$G$2=5,VLOOKUP('Total income package'!$B$3,'Location specific data'!$A$3:$AB$135,29,FALSE))</f>
        <v>995</v>
      </c>
      <c r="Q178" s="337">
        <f>IF(AND(G178="Yes",'Total income package'!$A$14=TRUE,P178-N178&gt;0),P178-N178,0)</f>
        <v>0</v>
      </c>
    </row>
    <row r="179" spans="1:17" x14ac:dyDescent="0.25">
      <c r="A179" s="182">
        <v>86500</v>
      </c>
      <c r="B179" s="4">
        <f t="shared" si="22"/>
        <v>7208.333333333333</v>
      </c>
      <c r="C179" s="4">
        <f>MAX('TANF-VIEW'!L182,'TANF-VIEW'!T182)</f>
        <v>0</v>
      </c>
      <c r="D179" s="4">
        <f>'Total income package'!$D$80</f>
        <v>0</v>
      </c>
      <c r="E179" s="4">
        <f>'Total income package'!$H$61+'Total income package'!$F$66</f>
        <v>100</v>
      </c>
      <c r="F179" s="4">
        <f t="shared" si="23"/>
        <v>7308.333333333333</v>
      </c>
      <c r="G179" s="181" t="str">
        <f t="shared" si="24"/>
        <v>No</v>
      </c>
      <c r="H179" s="3">
        <f t="shared" si="25"/>
        <v>40</v>
      </c>
      <c r="I179" s="3">
        <f t="shared" si="26"/>
        <v>0</v>
      </c>
      <c r="J179" s="3">
        <f t="shared" si="19"/>
        <v>7268.333333333333</v>
      </c>
      <c r="K179" s="3">
        <f t="shared" si="20"/>
        <v>2180.5</v>
      </c>
      <c r="L179" s="3">
        <f t="shared" si="21"/>
        <v>730.83333333333337</v>
      </c>
      <c r="M179" s="3">
        <v>50</v>
      </c>
      <c r="N179" s="3">
        <f t="shared" si="27"/>
        <v>2180.5</v>
      </c>
      <c r="O179" s="182" cm="1">
        <f t="array" ref="O179">_xlfn.IFS($G$2=1,VLOOKUP('Total income package'!$B$3,'Location specific data'!$A$3:$W308,20,FALSE),$G$2=2,VLOOKUP('Total income package'!$B$3,'Location specific data'!$A$3:$W$135,21,FALSE),$G$2=3,VLOOKUP('Total income package'!$B$3,'Location specific data'!$A$3:$W$135,22,FALSE),$G$2=4,VLOOKUP('Total income package'!$B$3,'Location specific data'!$A$3:$W$135,23,FALSE),$G$2=5,VLOOKUP('Total income package'!$B$3,'Location specific data'!$A$3:$W$135,24,FALSE))</f>
        <v>851</v>
      </c>
      <c r="P179" s="182" cm="1">
        <f t="array" ref="P179">_xlfn.IFS($G$2=1,VLOOKUP('Total income package'!$B$3,'Location specific data'!$A$3:$AB$135,25,FALSE),$G$2=2,VLOOKUP('Total income package'!$B$3,'Location specific data'!$A$3:$AB$135,26,FALSE),$G$2=3,VLOOKUP('Total income package'!$B$3,'Location specific data'!$A$3:$AB$135,27,FALSE),$G$2=4,VLOOKUP('Total income package'!$B$3,'Location specific data'!$A$3:$AB$135,28,FALSE),$G$2=5,VLOOKUP('Total income package'!$B$3,'Location specific data'!$A$3:$AB$135,29,FALSE))</f>
        <v>995</v>
      </c>
      <c r="Q179" s="337">
        <f>IF(AND(G179="Yes",'Total income package'!$A$14=TRUE,P179-N179&gt;0),P179-N179,0)</f>
        <v>0</v>
      </c>
    </row>
    <row r="180" spans="1:17" x14ac:dyDescent="0.25">
      <c r="A180" s="182">
        <v>87000</v>
      </c>
      <c r="B180" s="4">
        <f t="shared" si="22"/>
        <v>7250</v>
      </c>
      <c r="C180" s="4">
        <f>MAX('TANF-VIEW'!L183,'TANF-VIEW'!T183)</f>
        <v>0</v>
      </c>
      <c r="D180" s="4">
        <f>'Total income package'!$D$80</f>
        <v>0</v>
      </c>
      <c r="E180" s="4">
        <f>'Total income package'!$H$61+'Total income package'!$F$66</f>
        <v>100</v>
      </c>
      <c r="F180" s="4">
        <f t="shared" si="23"/>
        <v>7350</v>
      </c>
      <c r="G180" s="181" t="str">
        <f t="shared" si="24"/>
        <v>No</v>
      </c>
      <c r="H180" s="3">
        <f t="shared" si="25"/>
        <v>40</v>
      </c>
      <c r="I180" s="3">
        <f t="shared" si="26"/>
        <v>0</v>
      </c>
      <c r="J180" s="3">
        <f t="shared" si="19"/>
        <v>7310</v>
      </c>
      <c r="K180" s="3">
        <f t="shared" si="20"/>
        <v>2193</v>
      </c>
      <c r="L180" s="3">
        <f t="shared" si="21"/>
        <v>735</v>
      </c>
      <c r="M180" s="3">
        <v>50</v>
      </c>
      <c r="N180" s="3">
        <f t="shared" si="27"/>
        <v>2193</v>
      </c>
      <c r="O180" s="182" cm="1">
        <f t="array" ref="O180">_xlfn.IFS($G$2=1,VLOOKUP('Total income package'!$B$3,'Location specific data'!$A$3:$W309,20,FALSE),$G$2=2,VLOOKUP('Total income package'!$B$3,'Location specific data'!$A$3:$W$135,21,FALSE),$G$2=3,VLOOKUP('Total income package'!$B$3,'Location specific data'!$A$3:$W$135,22,FALSE),$G$2=4,VLOOKUP('Total income package'!$B$3,'Location specific data'!$A$3:$W$135,23,FALSE),$G$2=5,VLOOKUP('Total income package'!$B$3,'Location specific data'!$A$3:$W$135,24,FALSE))</f>
        <v>851</v>
      </c>
      <c r="P180" s="182" cm="1">
        <f t="array" ref="P180">_xlfn.IFS($G$2=1,VLOOKUP('Total income package'!$B$3,'Location specific data'!$A$3:$AB$135,25,FALSE),$G$2=2,VLOOKUP('Total income package'!$B$3,'Location specific data'!$A$3:$AB$135,26,FALSE),$G$2=3,VLOOKUP('Total income package'!$B$3,'Location specific data'!$A$3:$AB$135,27,FALSE),$G$2=4,VLOOKUP('Total income package'!$B$3,'Location specific data'!$A$3:$AB$135,28,FALSE),$G$2=5,VLOOKUP('Total income package'!$B$3,'Location specific data'!$A$3:$AB$135,29,FALSE))</f>
        <v>995</v>
      </c>
      <c r="Q180" s="337">
        <f>IF(AND(G180="Yes",'Total income package'!$A$14=TRUE,P180-N180&gt;0),P180-N180,0)</f>
        <v>0</v>
      </c>
    </row>
    <row r="181" spans="1:17" x14ac:dyDescent="0.25">
      <c r="A181" s="182">
        <v>87500</v>
      </c>
      <c r="B181" s="4">
        <f t="shared" si="22"/>
        <v>7291.666666666667</v>
      </c>
      <c r="C181" s="4">
        <f>MAX('TANF-VIEW'!L184,'TANF-VIEW'!T184)</f>
        <v>0</v>
      </c>
      <c r="D181" s="4">
        <f>'Total income package'!$D$80</f>
        <v>0</v>
      </c>
      <c r="E181" s="4">
        <f>'Total income package'!$H$61+'Total income package'!$F$66</f>
        <v>100</v>
      </c>
      <c r="F181" s="4">
        <f t="shared" si="23"/>
        <v>7391.666666666667</v>
      </c>
      <c r="G181" s="181" t="str">
        <f t="shared" si="24"/>
        <v>No</v>
      </c>
      <c r="H181" s="3">
        <f t="shared" si="25"/>
        <v>40</v>
      </c>
      <c r="I181" s="3">
        <f t="shared" si="26"/>
        <v>0</v>
      </c>
      <c r="J181" s="3">
        <f t="shared" si="19"/>
        <v>7351.666666666667</v>
      </c>
      <c r="K181" s="3">
        <f t="shared" si="20"/>
        <v>2205.5</v>
      </c>
      <c r="L181" s="3">
        <f t="shared" si="21"/>
        <v>739.16666666666674</v>
      </c>
      <c r="M181" s="3">
        <v>50</v>
      </c>
      <c r="N181" s="3">
        <f t="shared" si="27"/>
        <v>2205.5</v>
      </c>
      <c r="O181" s="182" cm="1">
        <f t="array" ref="O181">_xlfn.IFS($G$2=1,VLOOKUP('Total income package'!$B$3,'Location specific data'!$A$3:$W310,20,FALSE),$G$2=2,VLOOKUP('Total income package'!$B$3,'Location specific data'!$A$3:$W$135,21,FALSE),$G$2=3,VLOOKUP('Total income package'!$B$3,'Location specific data'!$A$3:$W$135,22,FALSE),$G$2=4,VLOOKUP('Total income package'!$B$3,'Location specific data'!$A$3:$W$135,23,FALSE),$G$2=5,VLOOKUP('Total income package'!$B$3,'Location specific data'!$A$3:$W$135,24,FALSE))</f>
        <v>851</v>
      </c>
      <c r="P181" s="182" cm="1">
        <f t="array" ref="P181">_xlfn.IFS($G$2=1,VLOOKUP('Total income package'!$B$3,'Location specific data'!$A$3:$AB$135,25,FALSE),$G$2=2,VLOOKUP('Total income package'!$B$3,'Location specific data'!$A$3:$AB$135,26,FALSE),$G$2=3,VLOOKUP('Total income package'!$B$3,'Location specific data'!$A$3:$AB$135,27,FALSE),$G$2=4,VLOOKUP('Total income package'!$B$3,'Location specific data'!$A$3:$AB$135,28,FALSE),$G$2=5,VLOOKUP('Total income package'!$B$3,'Location specific data'!$A$3:$AB$135,29,FALSE))</f>
        <v>995</v>
      </c>
      <c r="Q181" s="337">
        <f>IF(AND(G181="Yes",'Total income package'!$A$14=TRUE,P181-N181&gt;0),P181-N181,0)</f>
        <v>0</v>
      </c>
    </row>
    <row r="182" spans="1:17" x14ac:dyDescent="0.25">
      <c r="A182" s="182">
        <v>88000</v>
      </c>
      <c r="B182" s="4">
        <f t="shared" si="22"/>
        <v>7333.333333333333</v>
      </c>
      <c r="C182" s="4">
        <f>MAX('TANF-VIEW'!L185,'TANF-VIEW'!T185)</f>
        <v>0</v>
      </c>
      <c r="D182" s="4">
        <f>'Total income package'!$D$80</f>
        <v>0</v>
      </c>
      <c r="E182" s="4">
        <f>'Total income package'!$H$61+'Total income package'!$F$66</f>
        <v>100</v>
      </c>
      <c r="F182" s="4">
        <f t="shared" si="23"/>
        <v>7433.333333333333</v>
      </c>
      <c r="G182" s="181" t="str">
        <f t="shared" si="24"/>
        <v>No</v>
      </c>
      <c r="H182" s="3">
        <f t="shared" si="25"/>
        <v>40</v>
      </c>
      <c r="I182" s="3">
        <f t="shared" si="26"/>
        <v>0</v>
      </c>
      <c r="J182" s="3">
        <f t="shared" si="19"/>
        <v>7393.333333333333</v>
      </c>
      <c r="K182" s="3">
        <f t="shared" si="20"/>
        <v>2218</v>
      </c>
      <c r="L182" s="3">
        <f t="shared" si="21"/>
        <v>743.33333333333337</v>
      </c>
      <c r="M182" s="3">
        <v>50</v>
      </c>
      <c r="N182" s="3">
        <f t="shared" si="27"/>
        <v>2218</v>
      </c>
      <c r="O182" s="182" cm="1">
        <f t="array" ref="O182">_xlfn.IFS($G$2=1,VLOOKUP('Total income package'!$B$3,'Location specific data'!$A$3:$W311,20,FALSE),$G$2=2,VLOOKUP('Total income package'!$B$3,'Location specific data'!$A$3:$W$135,21,FALSE),$G$2=3,VLOOKUP('Total income package'!$B$3,'Location specific data'!$A$3:$W$135,22,FALSE),$G$2=4,VLOOKUP('Total income package'!$B$3,'Location specific data'!$A$3:$W$135,23,FALSE),$G$2=5,VLOOKUP('Total income package'!$B$3,'Location specific data'!$A$3:$W$135,24,FALSE))</f>
        <v>851</v>
      </c>
      <c r="P182" s="182" cm="1">
        <f t="array" ref="P182">_xlfn.IFS($G$2=1,VLOOKUP('Total income package'!$B$3,'Location specific data'!$A$3:$AB$135,25,FALSE),$G$2=2,VLOOKUP('Total income package'!$B$3,'Location specific data'!$A$3:$AB$135,26,FALSE),$G$2=3,VLOOKUP('Total income package'!$B$3,'Location specific data'!$A$3:$AB$135,27,FALSE),$G$2=4,VLOOKUP('Total income package'!$B$3,'Location specific data'!$A$3:$AB$135,28,FALSE),$G$2=5,VLOOKUP('Total income package'!$B$3,'Location specific data'!$A$3:$AB$135,29,FALSE))</f>
        <v>995</v>
      </c>
      <c r="Q182" s="337">
        <f>IF(AND(G182="Yes",'Total income package'!$A$14=TRUE,P182-N182&gt;0),P182-N182,0)</f>
        <v>0</v>
      </c>
    </row>
    <row r="183" spans="1:17" x14ac:dyDescent="0.25">
      <c r="A183" s="182">
        <v>88500</v>
      </c>
      <c r="B183" s="4">
        <f t="shared" si="22"/>
        <v>7375</v>
      </c>
      <c r="C183" s="4">
        <f>MAX('TANF-VIEW'!L186,'TANF-VIEW'!T186)</f>
        <v>0</v>
      </c>
      <c r="D183" s="4">
        <f>'Total income package'!$D$80</f>
        <v>0</v>
      </c>
      <c r="E183" s="4">
        <f>'Total income package'!$H$61+'Total income package'!$F$66</f>
        <v>100</v>
      </c>
      <c r="F183" s="4">
        <f t="shared" si="23"/>
        <v>7475</v>
      </c>
      <c r="G183" s="181" t="str">
        <f t="shared" si="24"/>
        <v>No</v>
      </c>
      <c r="H183" s="3">
        <f t="shared" si="25"/>
        <v>40</v>
      </c>
      <c r="I183" s="3">
        <f t="shared" si="26"/>
        <v>0</v>
      </c>
      <c r="J183" s="3">
        <f t="shared" si="19"/>
        <v>7435</v>
      </c>
      <c r="K183" s="3">
        <f t="shared" si="20"/>
        <v>2230.5</v>
      </c>
      <c r="L183" s="3">
        <f t="shared" si="21"/>
        <v>747.5</v>
      </c>
      <c r="M183" s="3">
        <v>50</v>
      </c>
      <c r="N183" s="3">
        <f t="shared" si="27"/>
        <v>2230.5</v>
      </c>
      <c r="O183" s="182" cm="1">
        <f t="array" ref="O183">_xlfn.IFS($G$2=1,VLOOKUP('Total income package'!$B$3,'Location specific data'!$A$3:$W312,20,FALSE),$G$2=2,VLOOKUP('Total income package'!$B$3,'Location specific data'!$A$3:$W$135,21,FALSE),$G$2=3,VLOOKUP('Total income package'!$B$3,'Location specific data'!$A$3:$W$135,22,FALSE),$G$2=4,VLOOKUP('Total income package'!$B$3,'Location specific data'!$A$3:$W$135,23,FALSE),$G$2=5,VLOOKUP('Total income package'!$B$3,'Location specific data'!$A$3:$W$135,24,FALSE))</f>
        <v>851</v>
      </c>
      <c r="P183" s="182" cm="1">
        <f t="array" ref="P183">_xlfn.IFS($G$2=1,VLOOKUP('Total income package'!$B$3,'Location specific data'!$A$3:$AB$135,25,FALSE),$G$2=2,VLOOKUP('Total income package'!$B$3,'Location specific data'!$A$3:$AB$135,26,FALSE),$G$2=3,VLOOKUP('Total income package'!$B$3,'Location specific data'!$A$3:$AB$135,27,FALSE),$G$2=4,VLOOKUP('Total income package'!$B$3,'Location specific data'!$A$3:$AB$135,28,FALSE),$G$2=5,VLOOKUP('Total income package'!$B$3,'Location specific data'!$A$3:$AB$135,29,FALSE))</f>
        <v>995</v>
      </c>
      <c r="Q183" s="337">
        <f>IF(AND(G183="Yes",'Total income package'!$A$14=TRUE,P183-N183&gt;0),P183-N183,0)</f>
        <v>0</v>
      </c>
    </row>
    <row r="184" spans="1:17" x14ac:dyDescent="0.25">
      <c r="A184" s="182">
        <v>89000</v>
      </c>
      <c r="B184" s="4">
        <f t="shared" si="22"/>
        <v>7416.666666666667</v>
      </c>
      <c r="C184" s="4">
        <f>MAX('TANF-VIEW'!L187,'TANF-VIEW'!T187)</f>
        <v>0</v>
      </c>
      <c r="D184" s="4">
        <f>'Total income package'!$D$80</f>
        <v>0</v>
      </c>
      <c r="E184" s="4">
        <f>'Total income package'!$H$61+'Total income package'!$F$66</f>
        <v>100</v>
      </c>
      <c r="F184" s="4">
        <f t="shared" si="23"/>
        <v>7516.666666666667</v>
      </c>
      <c r="G184" s="181" t="str">
        <f t="shared" si="24"/>
        <v>No</v>
      </c>
      <c r="H184" s="3">
        <f t="shared" si="25"/>
        <v>40</v>
      </c>
      <c r="I184" s="3">
        <f t="shared" si="26"/>
        <v>0</v>
      </c>
      <c r="J184" s="3">
        <f t="shared" si="19"/>
        <v>7476.666666666667</v>
      </c>
      <c r="K184" s="3">
        <f t="shared" si="20"/>
        <v>2243</v>
      </c>
      <c r="L184" s="3">
        <f t="shared" si="21"/>
        <v>751.66666666666674</v>
      </c>
      <c r="M184" s="3">
        <v>50</v>
      </c>
      <c r="N184" s="3">
        <f t="shared" si="27"/>
        <v>2243</v>
      </c>
      <c r="O184" s="182" cm="1">
        <f t="array" ref="O184">_xlfn.IFS($G$2=1,VLOOKUP('Total income package'!$B$3,'Location specific data'!$A$3:$W313,20,FALSE),$G$2=2,VLOOKUP('Total income package'!$B$3,'Location specific data'!$A$3:$W$135,21,FALSE),$G$2=3,VLOOKUP('Total income package'!$B$3,'Location specific data'!$A$3:$W$135,22,FALSE),$G$2=4,VLOOKUP('Total income package'!$B$3,'Location specific data'!$A$3:$W$135,23,FALSE),$G$2=5,VLOOKUP('Total income package'!$B$3,'Location specific data'!$A$3:$W$135,24,FALSE))</f>
        <v>851</v>
      </c>
      <c r="P184" s="182" cm="1">
        <f t="array" ref="P184">_xlfn.IFS($G$2=1,VLOOKUP('Total income package'!$B$3,'Location specific data'!$A$3:$AB$135,25,FALSE),$G$2=2,VLOOKUP('Total income package'!$B$3,'Location specific data'!$A$3:$AB$135,26,FALSE),$G$2=3,VLOOKUP('Total income package'!$B$3,'Location specific data'!$A$3:$AB$135,27,FALSE),$G$2=4,VLOOKUP('Total income package'!$B$3,'Location specific data'!$A$3:$AB$135,28,FALSE),$G$2=5,VLOOKUP('Total income package'!$B$3,'Location specific data'!$A$3:$AB$135,29,FALSE))</f>
        <v>995</v>
      </c>
      <c r="Q184" s="337">
        <f>IF(AND(G184="Yes",'Total income package'!$A$14=TRUE,P184-N184&gt;0),P184-N184,0)</f>
        <v>0</v>
      </c>
    </row>
    <row r="185" spans="1:17" x14ac:dyDescent="0.25">
      <c r="A185" s="182">
        <v>89500</v>
      </c>
      <c r="B185" s="4">
        <f t="shared" si="22"/>
        <v>7458.333333333333</v>
      </c>
      <c r="C185" s="4">
        <f>MAX('TANF-VIEW'!L188,'TANF-VIEW'!T188)</f>
        <v>0</v>
      </c>
      <c r="D185" s="4">
        <f>'Total income package'!$D$80</f>
        <v>0</v>
      </c>
      <c r="E185" s="4">
        <f>'Total income package'!$H$61+'Total income package'!$F$66</f>
        <v>100</v>
      </c>
      <c r="F185" s="4">
        <f t="shared" si="23"/>
        <v>7558.333333333333</v>
      </c>
      <c r="G185" s="181" t="str">
        <f t="shared" si="24"/>
        <v>No</v>
      </c>
      <c r="H185" s="3">
        <f t="shared" si="25"/>
        <v>40</v>
      </c>
      <c r="I185" s="3">
        <f t="shared" si="26"/>
        <v>0</v>
      </c>
      <c r="J185" s="3">
        <f t="shared" si="19"/>
        <v>7518.333333333333</v>
      </c>
      <c r="K185" s="3">
        <f t="shared" si="20"/>
        <v>2255.5</v>
      </c>
      <c r="L185" s="3">
        <f t="shared" si="21"/>
        <v>755.83333333333337</v>
      </c>
      <c r="M185" s="3">
        <v>50</v>
      </c>
      <c r="N185" s="3">
        <f t="shared" si="27"/>
        <v>2255.5</v>
      </c>
      <c r="O185" s="182" cm="1">
        <f t="array" ref="O185">_xlfn.IFS($G$2=1,VLOOKUP('Total income package'!$B$3,'Location specific data'!$A$3:$W314,20,FALSE),$G$2=2,VLOOKUP('Total income package'!$B$3,'Location specific data'!$A$3:$W$135,21,FALSE),$G$2=3,VLOOKUP('Total income package'!$B$3,'Location specific data'!$A$3:$W$135,22,FALSE),$G$2=4,VLOOKUP('Total income package'!$B$3,'Location specific data'!$A$3:$W$135,23,FALSE),$G$2=5,VLOOKUP('Total income package'!$B$3,'Location specific data'!$A$3:$W$135,24,FALSE))</f>
        <v>851</v>
      </c>
      <c r="P185" s="182" cm="1">
        <f t="array" ref="P185">_xlfn.IFS($G$2=1,VLOOKUP('Total income package'!$B$3,'Location specific data'!$A$3:$AB$135,25,FALSE),$G$2=2,VLOOKUP('Total income package'!$B$3,'Location specific data'!$A$3:$AB$135,26,FALSE),$G$2=3,VLOOKUP('Total income package'!$B$3,'Location specific data'!$A$3:$AB$135,27,FALSE),$G$2=4,VLOOKUP('Total income package'!$B$3,'Location specific data'!$A$3:$AB$135,28,FALSE),$G$2=5,VLOOKUP('Total income package'!$B$3,'Location specific data'!$A$3:$AB$135,29,FALSE))</f>
        <v>995</v>
      </c>
      <c r="Q185" s="337">
        <f>IF(AND(G185="Yes",'Total income package'!$A$14=TRUE,P185-N185&gt;0),P185-N185,0)</f>
        <v>0</v>
      </c>
    </row>
    <row r="186" spans="1:17" x14ac:dyDescent="0.25">
      <c r="A186" s="182">
        <v>90000</v>
      </c>
      <c r="B186" s="4">
        <f t="shared" si="22"/>
        <v>7500</v>
      </c>
      <c r="C186" s="4">
        <f>MAX('TANF-VIEW'!L189,'TANF-VIEW'!T189)</f>
        <v>0</v>
      </c>
      <c r="D186" s="4">
        <f>'Total income package'!$D$80</f>
        <v>0</v>
      </c>
      <c r="E186" s="4">
        <f>'Total income package'!$H$61+'Total income package'!$F$66</f>
        <v>100</v>
      </c>
      <c r="F186" s="4">
        <f t="shared" si="23"/>
        <v>7600</v>
      </c>
      <c r="G186" s="181" t="str">
        <f t="shared" si="24"/>
        <v>No</v>
      </c>
      <c r="H186" s="3">
        <f t="shared" si="25"/>
        <v>40</v>
      </c>
      <c r="I186" s="3">
        <f t="shared" si="26"/>
        <v>0</v>
      </c>
      <c r="J186" s="3">
        <f t="shared" si="19"/>
        <v>7560</v>
      </c>
      <c r="K186" s="3">
        <f t="shared" si="20"/>
        <v>2268</v>
      </c>
      <c r="L186" s="3">
        <f t="shared" si="21"/>
        <v>760</v>
      </c>
      <c r="M186" s="3">
        <v>50</v>
      </c>
      <c r="N186" s="3">
        <f t="shared" si="27"/>
        <v>2268</v>
      </c>
      <c r="O186" s="182" cm="1">
        <f t="array" ref="O186">_xlfn.IFS($G$2=1,VLOOKUP('Total income package'!$B$3,'Location specific data'!$A$3:$W315,20,FALSE),$G$2=2,VLOOKUP('Total income package'!$B$3,'Location specific data'!$A$3:$W$135,21,FALSE),$G$2=3,VLOOKUP('Total income package'!$B$3,'Location specific data'!$A$3:$W$135,22,FALSE),$G$2=4,VLOOKUP('Total income package'!$B$3,'Location specific data'!$A$3:$W$135,23,FALSE),$G$2=5,VLOOKUP('Total income package'!$B$3,'Location specific data'!$A$3:$W$135,24,FALSE))</f>
        <v>851</v>
      </c>
      <c r="P186" s="182" cm="1">
        <f t="array" ref="P186">_xlfn.IFS($G$2=1,VLOOKUP('Total income package'!$B$3,'Location specific data'!$A$3:$AB$135,25,FALSE),$G$2=2,VLOOKUP('Total income package'!$B$3,'Location specific data'!$A$3:$AB$135,26,FALSE),$G$2=3,VLOOKUP('Total income package'!$B$3,'Location specific data'!$A$3:$AB$135,27,FALSE),$G$2=4,VLOOKUP('Total income package'!$B$3,'Location specific data'!$A$3:$AB$135,28,FALSE),$G$2=5,VLOOKUP('Total income package'!$B$3,'Location specific data'!$A$3:$AB$135,29,FALSE))</f>
        <v>995</v>
      </c>
      <c r="Q186" s="337">
        <f>IF(AND(G186="Yes",'Total income package'!$A$14=TRUE,P186-N186&gt;0),P186-N186,0)</f>
        <v>0</v>
      </c>
    </row>
    <row r="187" spans="1:17" x14ac:dyDescent="0.25">
      <c r="A187" s="182">
        <v>90500</v>
      </c>
      <c r="B187" s="4">
        <f t="shared" si="22"/>
        <v>7541.666666666667</v>
      </c>
      <c r="C187" s="4">
        <f>MAX('TANF-VIEW'!L190,'TANF-VIEW'!T190)</f>
        <v>0</v>
      </c>
      <c r="D187" s="4">
        <f>'Total income package'!$D$80</f>
        <v>0</v>
      </c>
      <c r="E187" s="4">
        <f>'Total income package'!$H$61+'Total income package'!$F$66</f>
        <v>100</v>
      </c>
      <c r="F187" s="4">
        <f t="shared" si="23"/>
        <v>7641.666666666667</v>
      </c>
      <c r="G187" s="181" t="str">
        <f t="shared" si="24"/>
        <v>No</v>
      </c>
      <c r="H187" s="3">
        <f t="shared" si="25"/>
        <v>40</v>
      </c>
      <c r="I187" s="3">
        <f t="shared" si="26"/>
        <v>0</v>
      </c>
      <c r="J187" s="3">
        <f t="shared" si="19"/>
        <v>7601.666666666667</v>
      </c>
      <c r="K187" s="3">
        <f t="shared" si="20"/>
        <v>2280.5</v>
      </c>
      <c r="L187" s="3">
        <f t="shared" si="21"/>
        <v>764.16666666666674</v>
      </c>
      <c r="M187" s="3">
        <v>50</v>
      </c>
      <c r="N187" s="3">
        <f t="shared" si="27"/>
        <v>2280.5</v>
      </c>
      <c r="O187" s="182" cm="1">
        <f t="array" ref="O187">_xlfn.IFS($G$2=1,VLOOKUP('Total income package'!$B$3,'Location specific data'!$A$3:$W316,20,FALSE),$G$2=2,VLOOKUP('Total income package'!$B$3,'Location specific data'!$A$3:$W$135,21,FALSE),$G$2=3,VLOOKUP('Total income package'!$B$3,'Location specific data'!$A$3:$W$135,22,FALSE),$G$2=4,VLOOKUP('Total income package'!$B$3,'Location specific data'!$A$3:$W$135,23,FALSE),$G$2=5,VLOOKUP('Total income package'!$B$3,'Location specific data'!$A$3:$W$135,24,FALSE))</f>
        <v>851</v>
      </c>
      <c r="P187" s="182" cm="1">
        <f t="array" ref="P187">_xlfn.IFS($G$2=1,VLOOKUP('Total income package'!$B$3,'Location specific data'!$A$3:$AB$135,25,FALSE),$G$2=2,VLOOKUP('Total income package'!$B$3,'Location specific data'!$A$3:$AB$135,26,FALSE),$G$2=3,VLOOKUP('Total income package'!$B$3,'Location specific data'!$A$3:$AB$135,27,FALSE),$G$2=4,VLOOKUP('Total income package'!$B$3,'Location specific data'!$A$3:$AB$135,28,FALSE),$G$2=5,VLOOKUP('Total income package'!$B$3,'Location specific data'!$A$3:$AB$135,29,FALSE))</f>
        <v>995</v>
      </c>
      <c r="Q187" s="337">
        <f>IF(AND(G187="Yes",'Total income package'!$A$14=TRUE,P187-N187&gt;0),P187-N187,0)</f>
        <v>0</v>
      </c>
    </row>
    <row r="188" spans="1:17" x14ac:dyDescent="0.25">
      <c r="A188" s="182">
        <v>91000</v>
      </c>
      <c r="B188" s="4">
        <f t="shared" si="22"/>
        <v>7583.333333333333</v>
      </c>
      <c r="C188" s="4">
        <f>MAX('TANF-VIEW'!L191,'TANF-VIEW'!T191)</f>
        <v>0</v>
      </c>
      <c r="D188" s="4">
        <f>'Total income package'!$D$80</f>
        <v>0</v>
      </c>
      <c r="E188" s="4">
        <f>'Total income package'!$H$61+'Total income package'!$F$66</f>
        <v>100</v>
      </c>
      <c r="F188" s="4">
        <f t="shared" si="23"/>
        <v>7683.333333333333</v>
      </c>
      <c r="G188" s="181" t="str">
        <f t="shared" si="24"/>
        <v>No</v>
      </c>
      <c r="H188" s="3">
        <f t="shared" si="25"/>
        <v>40</v>
      </c>
      <c r="I188" s="3">
        <f t="shared" si="26"/>
        <v>0</v>
      </c>
      <c r="J188" s="3">
        <f t="shared" si="19"/>
        <v>7643.333333333333</v>
      </c>
      <c r="K188" s="3">
        <f t="shared" si="20"/>
        <v>2293</v>
      </c>
      <c r="L188" s="3">
        <f t="shared" si="21"/>
        <v>768.33333333333337</v>
      </c>
      <c r="M188" s="3">
        <v>50</v>
      </c>
      <c r="N188" s="3">
        <f t="shared" si="27"/>
        <v>2293</v>
      </c>
      <c r="O188" s="182" cm="1">
        <f t="array" ref="O188">_xlfn.IFS($G$2=1,VLOOKUP('Total income package'!$B$3,'Location specific data'!$A$3:$W317,20,FALSE),$G$2=2,VLOOKUP('Total income package'!$B$3,'Location specific data'!$A$3:$W$135,21,FALSE),$G$2=3,VLOOKUP('Total income package'!$B$3,'Location specific data'!$A$3:$W$135,22,FALSE),$G$2=4,VLOOKUP('Total income package'!$B$3,'Location specific data'!$A$3:$W$135,23,FALSE),$G$2=5,VLOOKUP('Total income package'!$B$3,'Location specific data'!$A$3:$W$135,24,FALSE))</f>
        <v>851</v>
      </c>
      <c r="P188" s="182" cm="1">
        <f t="array" ref="P188">_xlfn.IFS($G$2=1,VLOOKUP('Total income package'!$B$3,'Location specific data'!$A$3:$AB$135,25,FALSE),$G$2=2,VLOOKUP('Total income package'!$B$3,'Location specific data'!$A$3:$AB$135,26,FALSE),$G$2=3,VLOOKUP('Total income package'!$B$3,'Location specific data'!$A$3:$AB$135,27,FALSE),$G$2=4,VLOOKUP('Total income package'!$B$3,'Location specific data'!$A$3:$AB$135,28,FALSE),$G$2=5,VLOOKUP('Total income package'!$B$3,'Location specific data'!$A$3:$AB$135,29,FALSE))</f>
        <v>995</v>
      </c>
      <c r="Q188" s="337">
        <f>IF(AND(G188="Yes",'Total income package'!$A$14=TRUE,P188-N188&gt;0),P188-N188,0)</f>
        <v>0</v>
      </c>
    </row>
    <row r="189" spans="1:17" x14ac:dyDescent="0.25">
      <c r="A189" s="182">
        <v>91500</v>
      </c>
      <c r="B189" s="4">
        <f t="shared" si="22"/>
        <v>7625</v>
      </c>
      <c r="C189" s="4">
        <f>MAX('TANF-VIEW'!L192,'TANF-VIEW'!T192)</f>
        <v>0</v>
      </c>
      <c r="D189" s="4">
        <f>'Total income package'!$D$80</f>
        <v>0</v>
      </c>
      <c r="E189" s="4">
        <f>'Total income package'!$H$61+'Total income package'!$F$66</f>
        <v>100</v>
      </c>
      <c r="F189" s="4">
        <f t="shared" si="23"/>
        <v>7725</v>
      </c>
      <c r="G189" s="181" t="str">
        <f t="shared" si="24"/>
        <v>No</v>
      </c>
      <c r="H189" s="3">
        <f t="shared" si="25"/>
        <v>40</v>
      </c>
      <c r="I189" s="3">
        <f t="shared" si="26"/>
        <v>0</v>
      </c>
      <c r="J189" s="3">
        <f t="shared" si="19"/>
        <v>7685</v>
      </c>
      <c r="K189" s="3">
        <f t="shared" si="20"/>
        <v>2305.5</v>
      </c>
      <c r="L189" s="3">
        <f t="shared" si="21"/>
        <v>772.5</v>
      </c>
      <c r="M189" s="3">
        <v>50</v>
      </c>
      <c r="N189" s="3">
        <f t="shared" si="27"/>
        <v>2305.5</v>
      </c>
      <c r="O189" s="182" cm="1">
        <f t="array" ref="O189">_xlfn.IFS($G$2=1,VLOOKUP('Total income package'!$B$3,'Location specific data'!$A$3:$W318,20,FALSE),$G$2=2,VLOOKUP('Total income package'!$B$3,'Location specific data'!$A$3:$W$135,21,FALSE),$G$2=3,VLOOKUP('Total income package'!$B$3,'Location specific data'!$A$3:$W$135,22,FALSE),$G$2=4,VLOOKUP('Total income package'!$B$3,'Location specific data'!$A$3:$W$135,23,FALSE),$G$2=5,VLOOKUP('Total income package'!$B$3,'Location specific data'!$A$3:$W$135,24,FALSE))</f>
        <v>851</v>
      </c>
      <c r="P189" s="182" cm="1">
        <f t="array" ref="P189">_xlfn.IFS($G$2=1,VLOOKUP('Total income package'!$B$3,'Location specific data'!$A$3:$AB$135,25,FALSE),$G$2=2,VLOOKUP('Total income package'!$B$3,'Location specific data'!$A$3:$AB$135,26,FALSE),$G$2=3,VLOOKUP('Total income package'!$B$3,'Location specific data'!$A$3:$AB$135,27,FALSE),$G$2=4,VLOOKUP('Total income package'!$B$3,'Location specific data'!$A$3:$AB$135,28,FALSE),$G$2=5,VLOOKUP('Total income package'!$B$3,'Location specific data'!$A$3:$AB$135,29,FALSE))</f>
        <v>995</v>
      </c>
      <c r="Q189" s="337">
        <f>IF(AND(G189="Yes",'Total income package'!$A$14=TRUE,P189-N189&gt;0),P189-N189,0)</f>
        <v>0</v>
      </c>
    </row>
    <row r="190" spans="1:17" x14ac:dyDescent="0.25">
      <c r="A190" s="182">
        <v>92000</v>
      </c>
      <c r="B190" s="4">
        <f t="shared" si="22"/>
        <v>7666.666666666667</v>
      </c>
      <c r="C190" s="4">
        <f>MAX('TANF-VIEW'!L193,'TANF-VIEW'!T193)</f>
        <v>0</v>
      </c>
      <c r="D190" s="4">
        <f>'Total income package'!$D$80</f>
        <v>0</v>
      </c>
      <c r="E190" s="4">
        <f>'Total income package'!$H$61+'Total income package'!$F$66</f>
        <v>100</v>
      </c>
      <c r="F190" s="4">
        <f t="shared" si="23"/>
        <v>7766.666666666667</v>
      </c>
      <c r="G190" s="181" t="str">
        <f t="shared" si="24"/>
        <v>No</v>
      </c>
      <c r="H190" s="3">
        <f t="shared" si="25"/>
        <v>40</v>
      </c>
      <c r="I190" s="3">
        <f t="shared" si="26"/>
        <v>0</v>
      </c>
      <c r="J190" s="3">
        <f t="shared" si="19"/>
        <v>7726.666666666667</v>
      </c>
      <c r="K190" s="3">
        <f t="shared" si="20"/>
        <v>2318</v>
      </c>
      <c r="L190" s="3">
        <f t="shared" si="21"/>
        <v>776.66666666666674</v>
      </c>
      <c r="M190" s="3">
        <v>50</v>
      </c>
      <c r="N190" s="3">
        <f t="shared" si="27"/>
        <v>2318</v>
      </c>
      <c r="O190" s="182" cm="1">
        <f t="array" ref="O190">_xlfn.IFS($G$2=1,VLOOKUP('Total income package'!$B$3,'Location specific data'!$A$3:$W319,20,FALSE),$G$2=2,VLOOKUP('Total income package'!$B$3,'Location specific data'!$A$3:$W$135,21,FALSE),$G$2=3,VLOOKUP('Total income package'!$B$3,'Location specific data'!$A$3:$W$135,22,FALSE),$G$2=4,VLOOKUP('Total income package'!$B$3,'Location specific data'!$A$3:$W$135,23,FALSE),$G$2=5,VLOOKUP('Total income package'!$B$3,'Location specific data'!$A$3:$W$135,24,FALSE))</f>
        <v>851</v>
      </c>
      <c r="P190" s="182" cm="1">
        <f t="array" ref="P190">_xlfn.IFS($G$2=1,VLOOKUP('Total income package'!$B$3,'Location specific data'!$A$3:$AB$135,25,FALSE),$G$2=2,VLOOKUP('Total income package'!$B$3,'Location specific data'!$A$3:$AB$135,26,FALSE),$G$2=3,VLOOKUP('Total income package'!$B$3,'Location specific data'!$A$3:$AB$135,27,FALSE),$G$2=4,VLOOKUP('Total income package'!$B$3,'Location specific data'!$A$3:$AB$135,28,FALSE),$G$2=5,VLOOKUP('Total income package'!$B$3,'Location specific data'!$A$3:$AB$135,29,FALSE))</f>
        <v>995</v>
      </c>
      <c r="Q190" s="337">
        <f>IF(AND(G190="Yes",'Total income package'!$A$14=TRUE,P190-N190&gt;0),P190-N190,0)</f>
        <v>0</v>
      </c>
    </row>
    <row r="191" spans="1:17" x14ac:dyDescent="0.25">
      <c r="A191" s="182">
        <v>92500</v>
      </c>
      <c r="B191" s="4">
        <f t="shared" si="22"/>
        <v>7708.333333333333</v>
      </c>
      <c r="C191" s="4">
        <f>MAX('TANF-VIEW'!L194,'TANF-VIEW'!T194)</f>
        <v>0</v>
      </c>
      <c r="D191" s="4">
        <f>'Total income package'!$D$80</f>
        <v>0</v>
      </c>
      <c r="E191" s="4">
        <f>'Total income package'!$H$61+'Total income package'!$F$66</f>
        <v>100</v>
      </c>
      <c r="F191" s="4">
        <f t="shared" si="23"/>
        <v>7808.333333333333</v>
      </c>
      <c r="G191" s="181" t="str">
        <f t="shared" si="24"/>
        <v>No</v>
      </c>
      <c r="H191" s="3">
        <f t="shared" si="25"/>
        <v>40</v>
      </c>
      <c r="I191" s="3">
        <f t="shared" si="26"/>
        <v>0</v>
      </c>
      <c r="J191" s="3">
        <f t="shared" si="19"/>
        <v>7768.333333333333</v>
      </c>
      <c r="K191" s="3">
        <f t="shared" si="20"/>
        <v>2330.5</v>
      </c>
      <c r="L191" s="3">
        <f t="shared" si="21"/>
        <v>780.83333333333337</v>
      </c>
      <c r="M191" s="3">
        <v>50</v>
      </c>
      <c r="N191" s="3">
        <f t="shared" si="27"/>
        <v>2330.5</v>
      </c>
      <c r="O191" s="182" cm="1">
        <f t="array" ref="O191">_xlfn.IFS($G$2=1,VLOOKUP('Total income package'!$B$3,'Location specific data'!$A$3:$W320,20,FALSE),$G$2=2,VLOOKUP('Total income package'!$B$3,'Location specific data'!$A$3:$W$135,21,FALSE),$G$2=3,VLOOKUP('Total income package'!$B$3,'Location specific data'!$A$3:$W$135,22,FALSE),$G$2=4,VLOOKUP('Total income package'!$B$3,'Location specific data'!$A$3:$W$135,23,FALSE),$G$2=5,VLOOKUP('Total income package'!$B$3,'Location specific data'!$A$3:$W$135,24,FALSE))</f>
        <v>851</v>
      </c>
      <c r="P191" s="182" cm="1">
        <f t="array" ref="P191">_xlfn.IFS($G$2=1,VLOOKUP('Total income package'!$B$3,'Location specific data'!$A$3:$AB$135,25,FALSE),$G$2=2,VLOOKUP('Total income package'!$B$3,'Location specific data'!$A$3:$AB$135,26,FALSE),$G$2=3,VLOOKUP('Total income package'!$B$3,'Location specific data'!$A$3:$AB$135,27,FALSE),$G$2=4,VLOOKUP('Total income package'!$B$3,'Location specific data'!$A$3:$AB$135,28,FALSE),$G$2=5,VLOOKUP('Total income package'!$B$3,'Location specific data'!$A$3:$AB$135,29,FALSE))</f>
        <v>995</v>
      </c>
      <c r="Q191" s="337">
        <f>IF(AND(G191="Yes",'Total income package'!$A$14=TRUE,P191-N191&gt;0),P191-N191,0)</f>
        <v>0</v>
      </c>
    </row>
    <row r="192" spans="1:17" x14ac:dyDescent="0.25">
      <c r="A192" s="182">
        <v>93000</v>
      </c>
      <c r="B192" s="4">
        <f t="shared" si="22"/>
        <v>7750</v>
      </c>
      <c r="C192" s="4">
        <f>MAX('TANF-VIEW'!L195,'TANF-VIEW'!T195)</f>
        <v>0</v>
      </c>
      <c r="D192" s="4">
        <f>'Total income package'!$D$80</f>
        <v>0</v>
      </c>
      <c r="E192" s="4">
        <f>'Total income package'!$H$61+'Total income package'!$F$66</f>
        <v>100</v>
      </c>
      <c r="F192" s="4">
        <f t="shared" si="23"/>
        <v>7850</v>
      </c>
      <c r="G192" s="181" t="str">
        <f t="shared" si="24"/>
        <v>No</v>
      </c>
      <c r="H192" s="3">
        <f t="shared" si="25"/>
        <v>40</v>
      </c>
      <c r="I192" s="3">
        <f t="shared" si="26"/>
        <v>0</v>
      </c>
      <c r="J192" s="3">
        <f t="shared" si="19"/>
        <v>7810</v>
      </c>
      <c r="K192" s="3">
        <f t="shared" si="20"/>
        <v>2343</v>
      </c>
      <c r="L192" s="3">
        <f t="shared" si="21"/>
        <v>785</v>
      </c>
      <c r="M192" s="3">
        <v>50</v>
      </c>
      <c r="N192" s="3">
        <f t="shared" si="27"/>
        <v>2343</v>
      </c>
      <c r="O192" s="182" cm="1">
        <f t="array" ref="O192">_xlfn.IFS($G$2=1,VLOOKUP('Total income package'!$B$3,'Location specific data'!$A$3:$W321,20,FALSE),$G$2=2,VLOOKUP('Total income package'!$B$3,'Location specific data'!$A$3:$W$135,21,FALSE),$G$2=3,VLOOKUP('Total income package'!$B$3,'Location specific data'!$A$3:$W$135,22,FALSE),$G$2=4,VLOOKUP('Total income package'!$B$3,'Location specific data'!$A$3:$W$135,23,FALSE),$G$2=5,VLOOKUP('Total income package'!$B$3,'Location specific data'!$A$3:$W$135,24,FALSE))</f>
        <v>851</v>
      </c>
      <c r="P192" s="182" cm="1">
        <f t="array" ref="P192">_xlfn.IFS($G$2=1,VLOOKUP('Total income package'!$B$3,'Location specific data'!$A$3:$AB$135,25,FALSE),$G$2=2,VLOOKUP('Total income package'!$B$3,'Location specific data'!$A$3:$AB$135,26,FALSE),$G$2=3,VLOOKUP('Total income package'!$B$3,'Location specific data'!$A$3:$AB$135,27,FALSE),$G$2=4,VLOOKUP('Total income package'!$B$3,'Location specific data'!$A$3:$AB$135,28,FALSE),$G$2=5,VLOOKUP('Total income package'!$B$3,'Location specific data'!$A$3:$AB$135,29,FALSE))</f>
        <v>995</v>
      </c>
      <c r="Q192" s="337">
        <f>IF(AND(G192="Yes",'Total income package'!$A$14=TRUE,P192-N192&gt;0),P192-N192,0)</f>
        <v>0</v>
      </c>
    </row>
    <row r="193" spans="1:17" x14ac:dyDescent="0.25">
      <c r="A193" s="182">
        <v>93500</v>
      </c>
      <c r="B193" s="4">
        <f t="shared" si="22"/>
        <v>7791.666666666667</v>
      </c>
      <c r="C193" s="4">
        <f>MAX('TANF-VIEW'!L196,'TANF-VIEW'!T196)</f>
        <v>0</v>
      </c>
      <c r="D193" s="4">
        <f>'Total income package'!$D$80</f>
        <v>0</v>
      </c>
      <c r="E193" s="4">
        <f>'Total income package'!$H$61+'Total income package'!$F$66</f>
        <v>100</v>
      </c>
      <c r="F193" s="4">
        <f t="shared" si="23"/>
        <v>7891.666666666667</v>
      </c>
      <c r="G193" s="181" t="str">
        <f t="shared" si="24"/>
        <v>No</v>
      </c>
      <c r="H193" s="3">
        <f t="shared" si="25"/>
        <v>40</v>
      </c>
      <c r="I193" s="3">
        <f t="shared" si="26"/>
        <v>0</v>
      </c>
      <c r="J193" s="3">
        <f t="shared" si="19"/>
        <v>7851.666666666667</v>
      </c>
      <c r="K193" s="3">
        <f t="shared" si="20"/>
        <v>2355.5</v>
      </c>
      <c r="L193" s="3">
        <f t="shared" si="21"/>
        <v>789.16666666666674</v>
      </c>
      <c r="M193" s="3">
        <v>50</v>
      </c>
      <c r="N193" s="3">
        <f t="shared" si="27"/>
        <v>2355.5</v>
      </c>
      <c r="O193" s="182" cm="1">
        <f t="array" ref="O193">_xlfn.IFS($G$2=1,VLOOKUP('Total income package'!$B$3,'Location specific data'!$A$3:$W322,20,FALSE),$G$2=2,VLOOKUP('Total income package'!$B$3,'Location specific data'!$A$3:$W$135,21,FALSE),$G$2=3,VLOOKUP('Total income package'!$B$3,'Location specific data'!$A$3:$W$135,22,FALSE),$G$2=4,VLOOKUP('Total income package'!$B$3,'Location specific data'!$A$3:$W$135,23,FALSE),$G$2=5,VLOOKUP('Total income package'!$B$3,'Location specific data'!$A$3:$W$135,24,FALSE))</f>
        <v>851</v>
      </c>
      <c r="P193" s="182" cm="1">
        <f t="array" ref="P193">_xlfn.IFS($G$2=1,VLOOKUP('Total income package'!$B$3,'Location specific data'!$A$3:$AB$135,25,FALSE),$G$2=2,VLOOKUP('Total income package'!$B$3,'Location specific data'!$A$3:$AB$135,26,FALSE),$G$2=3,VLOOKUP('Total income package'!$B$3,'Location specific data'!$A$3:$AB$135,27,FALSE),$G$2=4,VLOOKUP('Total income package'!$B$3,'Location specific data'!$A$3:$AB$135,28,FALSE),$G$2=5,VLOOKUP('Total income package'!$B$3,'Location specific data'!$A$3:$AB$135,29,FALSE))</f>
        <v>995</v>
      </c>
      <c r="Q193" s="337">
        <f>IF(AND(G193="Yes",'Total income package'!$A$14=TRUE,P193-N193&gt;0),P193-N193,0)</f>
        <v>0</v>
      </c>
    </row>
    <row r="194" spans="1:17" x14ac:dyDescent="0.25">
      <c r="A194" s="182">
        <v>94000</v>
      </c>
      <c r="B194" s="4">
        <f t="shared" si="22"/>
        <v>7833.333333333333</v>
      </c>
      <c r="C194" s="4">
        <f>MAX('TANF-VIEW'!L197,'TANF-VIEW'!T197)</f>
        <v>0</v>
      </c>
      <c r="D194" s="4">
        <f>'Total income package'!$D$80</f>
        <v>0</v>
      </c>
      <c r="E194" s="4">
        <f>'Total income package'!$H$61+'Total income package'!$F$66</f>
        <v>100</v>
      </c>
      <c r="F194" s="4">
        <f t="shared" si="23"/>
        <v>7933.333333333333</v>
      </c>
      <c r="G194" s="181" t="str">
        <f t="shared" si="24"/>
        <v>No</v>
      </c>
      <c r="H194" s="3">
        <f t="shared" si="25"/>
        <v>40</v>
      </c>
      <c r="I194" s="3">
        <f t="shared" si="26"/>
        <v>0</v>
      </c>
      <c r="J194" s="3">
        <f t="shared" si="19"/>
        <v>7893.333333333333</v>
      </c>
      <c r="K194" s="3">
        <f t="shared" si="20"/>
        <v>2368</v>
      </c>
      <c r="L194" s="3">
        <f t="shared" si="21"/>
        <v>793.33333333333337</v>
      </c>
      <c r="M194" s="3">
        <v>50</v>
      </c>
      <c r="N194" s="3">
        <f t="shared" si="27"/>
        <v>2368</v>
      </c>
      <c r="O194" s="182" cm="1">
        <f t="array" ref="O194">_xlfn.IFS($G$2=1,VLOOKUP('Total income package'!$B$3,'Location specific data'!$A$3:$W323,20,FALSE),$G$2=2,VLOOKUP('Total income package'!$B$3,'Location specific data'!$A$3:$W$135,21,FALSE),$G$2=3,VLOOKUP('Total income package'!$B$3,'Location specific data'!$A$3:$W$135,22,FALSE),$G$2=4,VLOOKUP('Total income package'!$B$3,'Location specific data'!$A$3:$W$135,23,FALSE),$G$2=5,VLOOKUP('Total income package'!$B$3,'Location specific data'!$A$3:$W$135,24,FALSE))</f>
        <v>851</v>
      </c>
      <c r="P194" s="182" cm="1">
        <f t="array" ref="P194">_xlfn.IFS($G$2=1,VLOOKUP('Total income package'!$B$3,'Location specific data'!$A$3:$AB$135,25,FALSE),$G$2=2,VLOOKUP('Total income package'!$B$3,'Location specific data'!$A$3:$AB$135,26,FALSE),$G$2=3,VLOOKUP('Total income package'!$B$3,'Location specific data'!$A$3:$AB$135,27,FALSE),$G$2=4,VLOOKUP('Total income package'!$B$3,'Location specific data'!$A$3:$AB$135,28,FALSE),$G$2=5,VLOOKUP('Total income package'!$B$3,'Location specific data'!$A$3:$AB$135,29,FALSE))</f>
        <v>995</v>
      </c>
      <c r="Q194" s="337">
        <f>IF(AND(G194="Yes",'Total income package'!$A$14=TRUE,P194-N194&gt;0),P194-N194,0)</f>
        <v>0</v>
      </c>
    </row>
    <row r="195" spans="1:17" x14ac:dyDescent="0.25">
      <c r="A195" s="182">
        <v>94500</v>
      </c>
      <c r="B195" s="4">
        <f t="shared" si="22"/>
        <v>7875</v>
      </c>
      <c r="C195" s="4">
        <f>MAX('TANF-VIEW'!L198,'TANF-VIEW'!T198)</f>
        <v>0</v>
      </c>
      <c r="D195" s="4">
        <f>'Total income package'!$D$80</f>
        <v>0</v>
      </c>
      <c r="E195" s="4">
        <f>'Total income package'!$H$61+'Total income package'!$F$66</f>
        <v>100</v>
      </c>
      <c r="F195" s="4">
        <f t="shared" si="23"/>
        <v>7975</v>
      </c>
      <c r="G195" s="181" t="str">
        <f t="shared" si="24"/>
        <v>No</v>
      </c>
      <c r="H195" s="3">
        <f t="shared" si="25"/>
        <v>40</v>
      </c>
      <c r="I195" s="3">
        <f t="shared" si="26"/>
        <v>0</v>
      </c>
      <c r="J195" s="3">
        <f t="shared" si="19"/>
        <v>7935</v>
      </c>
      <c r="K195" s="3">
        <f t="shared" si="20"/>
        <v>2380.5</v>
      </c>
      <c r="L195" s="3">
        <f t="shared" si="21"/>
        <v>797.5</v>
      </c>
      <c r="M195" s="3">
        <v>50</v>
      </c>
      <c r="N195" s="3">
        <f t="shared" si="27"/>
        <v>2380.5</v>
      </c>
      <c r="O195" s="182" cm="1">
        <f t="array" ref="O195">_xlfn.IFS($G$2=1,VLOOKUP('Total income package'!$B$3,'Location specific data'!$A$3:$W324,20,FALSE),$G$2=2,VLOOKUP('Total income package'!$B$3,'Location specific data'!$A$3:$W$135,21,FALSE),$G$2=3,VLOOKUP('Total income package'!$B$3,'Location specific data'!$A$3:$W$135,22,FALSE),$G$2=4,VLOOKUP('Total income package'!$B$3,'Location specific data'!$A$3:$W$135,23,FALSE),$G$2=5,VLOOKUP('Total income package'!$B$3,'Location specific data'!$A$3:$W$135,24,FALSE))</f>
        <v>851</v>
      </c>
      <c r="P195" s="182" cm="1">
        <f t="array" ref="P195">_xlfn.IFS($G$2=1,VLOOKUP('Total income package'!$B$3,'Location specific data'!$A$3:$AB$135,25,FALSE),$G$2=2,VLOOKUP('Total income package'!$B$3,'Location specific data'!$A$3:$AB$135,26,FALSE),$G$2=3,VLOOKUP('Total income package'!$B$3,'Location specific data'!$A$3:$AB$135,27,FALSE),$G$2=4,VLOOKUP('Total income package'!$B$3,'Location specific data'!$A$3:$AB$135,28,FALSE),$G$2=5,VLOOKUP('Total income package'!$B$3,'Location specific data'!$A$3:$AB$135,29,FALSE))</f>
        <v>995</v>
      </c>
      <c r="Q195" s="337">
        <f>IF(AND(G195="Yes",'Total income package'!$A$14=TRUE,P195-N195&gt;0),P195-N195,0)</f>
        <v>0</v>
      </c>
    </row>
    <row r="196" spans="1:17" x14ac:dyDescent="0.25">
      <c r="A196" s="182">
        <v>95000</v>
      </c>
      <c r="B196" s="4">
        <f t="shared" si="22"/>
        <v>7916.666666666667</v>
      </c>
      <c r="C196" s="4">
        <f>MAX('TANF-VIEW'!L199,'TANF-VIEW'!T199)</f>
        <v>0</v>
      </c>
      <c r="D196" s="4">
        <f>'Total income package'!$D$80</f>
        <v>0</v>
      </c>
      <c r="E196" s="4">
        <f>'Total income package'!$H$61+'Total income package'!$F$66</f>
        <v>100</v>
      </c>
      <c r="F196" s="4">
        <f t="shared" si="23"/>
        <v>8016.666666666667</v>
      </c>
      <c r="G196" s="181" t="str">
        <f t="shared" si="24"/>
        <v>No</v>
      </c>
      <c r="H196" s="3">
        <f t="shared" si="25"/>
        <v>40</v>
      </c>
      <c r="I196" s="3">
        <f t="shared" si="26"/>
        <v>0</v>
      </c>
      <c r="J196" s="3">
        <f t="shared" si="19"/>
        <v>7976.666666666667</v>
      </c>
      <c r="K196" s="3">
        <f t="shared" si="20"/>
        <v>2393</v>
      </c>
      <c r="L196" s="3">
        <f t="shared" si="21"/>
        <v>801.66666666666674</v>
      </c>
      <c r="M196" s="3">
        <v>50</v>
      </c>
      <c r="N196" s="3">
        <f t="shared" si="27"/>
        <v>2393</v>
      </c>
      <c r="O196" s="182" cm="1">
        <f t="array" ref="O196">_xlfn.IFS($G$2=1,VLOOKUP('Total income package'!$B$3,'Location specific data'!$A$3:$W325,20,FALSE),$G$2=2,VLOOKUP('Total income package'!$B$3,'Location specific data'!$A$3:$W$135,21,FALSE),$G$2=3,VLOOKUP('Total income package'!$B$3,'Location specific data'!$A$3:$W$135,22,FALSE),$G$2=4,VLOOKUP('Total income package'!$B$3,'Location specific data'!$A$3:$W$135,23,FALSE),$G$2=5,VLOOKUP('Total income package'!$B$3,'Location specific data'!$A$3:$W$135,24,FALSE))</f>
        <v>851</v>
      </c>
      <c r="P196" s="182" cm="1">
        <f t="array" ref="P196">_xlfn.IFS($G$2=1,VLOOKUP('Total income package'!$B$3,'Location specific data'!$A$3:$AB$135,25,FALSE),$G$2=2,VLOOKUP('Total income package'!$B$3,'Location specific data'!$A$3:$AB$135,26,FALSE),$G$2=3,VLOOKUP('Total income package'!$B$3,'Location specific data'!$A$3:$AB$135,27,FALSE),$G$2=4,VLOOKUP('Total income package'!$B$3,'Location specific data'!$A$3:$AB$135,28,FALSE),$G$2=5,VLOOKUP('Total income package'!$B$3,'Location specific data'!$A$3:$AB$135,29,FALSE))</f>
        <v>995</v>
      </c>
      <c r="Q196" s="337">
        <f>IF(AND(G196="Yes",'Total income package'!$A$14=TRUE,P196-N196&gt;0),P196-N196,0)</f>
        <v>0</v>
      </c>
    </row>
    <row r="197" spans="1:17" x14ac:dyDescent="0.25">
      <c r="A197" s="182">
        <v>95500</v>
      </c>
      <c r="B197" s="4">
        <f t="shared" si="22"/>
        <v>7958.333333333333</v>
      </c>
      <c r="C197" s="4">
        <f>MAX('TANF-VIEW'!L200,'TANF-VIEW'!T200)</f>
        <v>0</v>
      </c>
      <c r="D197" s="4">
        <f>'Total income package'!$D$80</f>
        <v>0</v>
      </c>
      <c r="E197" s="4">
        <f>'Total income package'!$H$61+'Total income package'!$F$66</f>
        <v>100</v>
      </c>
      <c r="F197" s="4">
        <f t="shared" si="23"/>
        <v>8058.333333333333</v>
      </c>
      <c r="G197" s="181" t="str">
        <f t="shared" si="24"/>
        <v>No</v>
      </c>
      <c r="H197" s="3">
        <f t="shared" si="25"/>
        <v>40</v>
      </c>
      <c r="I197" s="3">
        <f t="shared" si="26"/>
        <v>0</v>
      </c>
      <c r="J197" s="3">
        <f t="shared" si="19"/>
        <v>8018.333333333333</v>
      </c>
      <c r="K197" s="3">
        <f t="shared" si="20"/>
        <v>2405.5</v>
      </c>
      <c r="L197" s="3">
        <f t="shared" si="21"/>
        <v>805.83333333333337</v>
      </c>
      <c r="M197" s="3">
        <v>50</v>
      </c>
      <c r="N197" s="3">
        <f t="shared" si="27"/>
        <v>2405.5</v>
      </c>
      <c r="O197" s="182" cm="1">
        <f t="array" ref="O197">_xlfn.IFS($G$2=1,VLOOKUP('Total income package'!$B$3,'Location specific data'!$A$3:$W326,20,FALSE),$G$2=2,VLOOKUP('Total income package'!$B$3,'Location specific data'!$A$3:$W$135,21,FALSE),$G$2=3,VLOOKUP('Total income package'!$B$3,'Location specific data'!$A$3:$W$135,22,FALSE),$G$2=4,VLOOKUP('Total income package'!$B$3,'Location specific data'!$A$3:$W$135,23,FALSE),$G$2=5,VLOOKUP('Total income package'!$B$3,'Location specific data'!$A$3:$W$135,24,FALSE))</f>
        <v>851</v>
      </c>
      <c r="P197" s="182" cm="1">
        <f t="array" ref="P197">_xlfn.IFS($G$2=1,VLOOKUP('Total income package'!$B$3,'Location specific data'!$A$3:$AB$135,25,FALSE),$G$2=2,VLOOKUP('Total income package'!$B$3,'Location specific data'!$A$3:$AB$135,26,FALSE),$G$2=3,VLOOKUP('Total income package'!$B$3,'Location specific data'!$A$3:$AB$135,27,FALSE),$G$2=4,VLOOKUP('Total income package'!$B$3,'Location specific data'!$A$3:$AB$135,28,FALSE),$G$2=5,VLOOKUP('Total income package'!$B$3,'Location specific data'!$A$3:$AB$135,29,FALSE))</f>
        <v>995</v>
      </c>
      <c r="Q197" s="337">
        <f>IF(AND(G197="Yes",'Total income package'!$A$14=TRUE,P197-N197&gt;0),P197-N197,0)</f>
        <v>0</v>
      </c>
    </row>
    <row r="198" spans="1:17" x14ac:dyDescent="0.25">
      <c r="A198" s="182">
        <v>96000</v>
      </c>
      <c r="B198" s="4">
        <f t="shared" si="22"/>
        <v>8000</v>
      </c>
      <c r="C198" s="4">
        <f>MAX('TANF-VIEW'!L201,'TANF-VIEW'!T201)</f>
        <v>0</v>
      </c>
      <c r="D198" s="4">
        <f>'Total income package'!$D$80</f>
        <v>0</v>
      </c>
      <c r="E198" s="4">
        <f>'Total income package'!$H$61+'Total income package'!$F$66</f>
        <v>100</v>
      </c>
      <c r="F198" s="4">
        <f t="shared" si="23"/>
        <v>8100</v>
      </c>
      <c r="G198" s="181" t="str">
        <f t="shared" si="24"/>
        <v>No</v>
      </c>
      <c r="H198" s="3">
        <f t="shared" si="25"/>
        <v>40</v>
      </c>
      <c r="I198" s="3">
        <f t="shared" si="26"/>
        <v>0</v>
      </c>
      <c r="J198" s="3">
        <f t="shared" ref="J198:J206" si="28">IF(F198-H198-I198&lt;0,0,F198-H198-I198)</f>
        <v>8060</v>
      </c>
      <c r="K198" s="3">
        <f t="shared" ref="K198:K206" si="29">J198*0.3</f>
        <v>2418</v>
      </c>
      <c r="L198" s="3">
        <f t="shared" ref="L198:L206" si="30">F198*0.1</f>
        <v>810</v>
      </c>
      <c r="M198" s="3">
        <v>50</v>
      </c>
      <c r="N198" s="3">
        <f t="shared" si="27"/>
        <v>2418</v>
      </c>
      <c r="O198" s="182" cm="1">
        <f t="array" ref="O198">_xlfn.IFS($G$2=1,VLOOKUP('Total income package'!$B$3,'Location specific data'!$A$3:$W327,20,FALSE),$G$2=2,VLOOKUP('Total income package'!$B$3,'Location specific data'!$A$3:$W$135,21,FALSE),$G$2=3,VLOOKUP('Total income package'!$B$3,'Location specific data'!$A$3:$W$135,22,FALSE),$G$2=4,VLOOKUP('Total income package'!$B$3,'Location specific data'!$A$3:$W$135,23,FALSE),$G$2=5,VLOOKUP('Total income package'!$B$3,'Location specific data'!$A$3:$W$135,24,FALSE))</f>
        <v>851</v>
      </c>
      <c r="P198" s="182" cm="1">
        <f t="array" ref="P198">_xlfn.IFS($G$2=1,VLOOKUP('Total income package'!$B$3,'Location specific data'!$A$3:$AB$135,25,FALSE),$G$2=2,VLOOKUP('Total income package'!$B$3,'Location specific data'!$A$3:$AB$135,26,FALSE),$G$2=3,VLOOKUP('Total income package'!$B$3,'Location specific data'!$A$3:$AB$135,27,FALSE),$G$2=4,VLOOKUP('Total income package'!$B$3,'Location specific data'!$A$3:$AB$135,28,FALSE),$G$2=5,VLOOKUP('Total income package'!$B$3,'Location specific data'!$A$3:$AB$135,29,FALSE))</f>
        <v>995</v>
      </c>
      <c r="Q198" s="337">
        <f>IF(AND(G198="Yes",'Total income package'!$A$14=TRUE,P198-N198&gt;0),P198-N198,0)</f>
        <v>0</v>
      </c>
    </row>
    <row r="199" spans="1:17" x14ac:dyDescent="0.25">
      <c r="A199" s="182">
        <v>96500</v>
      </c>
      <c r="B199" s="4">
        <f t="shared" ref="B199:B206" si="31">A199/12</f>
        <v>8041.666666666667</v>
      </c>
      <c r="C199" s="4">
        <f>MAX('TANF-VIEW'!L202,'TANF-VIEW'!T202)</f>
        <v>0</v>
      </c>
      <c r="D199" s="4">
        <f>'Total income package'!$D$80</f>
        <v>0</v>
      </c>
      <c r="E199" s="4">
        <f>'Total income package'!$H$61+'Total income package'!$F$66</f>
        <v>100</v>
      </c>
      <c r="F199" s="4">
        <f t="shared" ref="F199:F206" si="32">B199+C199+D199+E199</f>
        <v>8141.666666666667</v>
      </c>
      <c r="G199" s="181" t="str">
        <f t="shared" ref="G199:G206" si="33">IF(F199&lt;$L$2,"Yes","No")</f>
        <v>No</v>
      </c>
      <c r="H199" s="3">
        <f t="shared" ref="H199:H206" si="34">40*($D$2+$I$2)</f>
        <v>40</v>
      </c>
      <c r="I199" s="3">
        <f t="shared" ref="I199:I211" si="35">IF($H$2+$I$2&gt;0,33.33,0)</f>
        <v>0</v>
      </c>
      <c r="J199" s="3">
        <f t="shared" si="28"/>
        <v>8101.666666666667</v>
      </c>
      <c r="K199" s="3">
        <f t="shared" si="29"/>
        <v>2430.5</v>
      </c>
      <c r="L199" s="3">
        <f t="shared" si="30"/>
        <v>814.16666666666674</v>
      </c>
      <c r="M199" s="3">
        <v>50</v>
      </c>
      <c r="N199" s="3">
        <f t="shared" si="27"/>
        <v>2430.5</v>
      </c>
      <c r="O199" s="182" cm="1">
        <f t="array" ref="O199">_xlfn.IFS($G$2=1,VLOOKUP('Total income package'!$B$3,'Location specific data'!$A$3:$W328,20,FALSE),$G$2=2,VLOOKUP('Total income package'!$B$3,'Location specific data'!$A$3:$W$135,21,FALSE),$G$2=3,VLOOKUP('Total income package'!$B$3,'Location specific data'!$A$3:$W$135,22,FALSE),$G$2=4,VLOOKUP('Total income package'!$B$3,'Location specific data'!$A$3:$W$135,23,FALSE),$G$2=5,VLOOKUP('Total income package'!$B$3,'Location specific data'!$A$3:$W$135,24,FALSE))</f>
        <v>851</v>
      </c>
      <c r="P199" s="182" cm="1">
        <f t="array" ref="P199">_xlfn.IFS($G$2=1,VLOOKUP('Total income package'!$B$3,'Location specific data'!$A$3:$AB$135,25,FALSE),$G$2=2,VLOOKUP('Total income package'!$B$3,'Location specific data'!$A$3:$AB$135,26,FALSE),$G$2=3,VLOOKUP('Total income package'!$B$3,'Location specific data'!$A$3:$AB$135,27,FALSE),$G$2=4,VLOOKUP('Total income package'!$B$3,'Location specific data'!$A$3:$AB$135,28,FALSE),$G$2=5,VLOOKUP('Total income package'!$B$3,'Location specific data'!$A$3:$AB$135,29,FALSE))</f>
        <v>995</v>
      </c>
      <c r="Q199" s="337">
        <f>IF(AND(G199="Yes",'Total income package'!$A$14=TRUE,P199-N199&gt;0),P199-N199,0)</f>
        <v>0</v>
      </c>
    </row>
    <row r="200" spans="1:17" x14ac:dyDescent="0.25">
      <c r="A200" s="182">
        <v>97000</v>
      </c>
      <c r="B200" s="4">
        <f t="shared" si="31"/>
        <v>8083.333333333333</v>
      </c>
      <c r="C200" s="4">
        <f>MAX('TANF-VIEW'!L203,'TANF-VIEW'!T203)</f>
        <v>0</v>
      </c>
      <c r="D200" s="4">
        <f>'Total income package'!$D$80</f>
        <v>0</v>
      </c>
      <c r="E200" s="4">
        <f>'Total income package'!$H$61+'Total income package'!$F$66</f>
        <v>100</v>
      </c>
      <c r="F200" s="4">
        <f t="shared" si="32"/>
        <v>8183.333333333333</v>
      </c>
      <c r="G200" s="181" t="str">
        <f t="shared" si="33"/>
        <v>No</v>
      </c>
      <c r="H200" s="3">
        <f t="shared" si="34"/>
        <v>40</v>
      </c>
      <c r="I200" s="3">
        <f t="shared" si="35"/>
        <v>0</v>
      </c>
      <c r="J200" s="3">
        <f t="shared" si="28"/>
        <v>8143.333333333333</v>
      </c>
      <c r="K200" s="3">
        <f t="shared" si="29"/>
        <v>2443</v>
      </c>
      <c r="L200" s="3">
        <f t="shared" si="30"/>
        <v>818.33333333333337</v>
      </c>
      <c r="M200" s="3">
        <v>50</v>
      </c>
      <c r="N200" s="3">
        <f t="shared" si="27"/>
        <v>2443</v>
      </c>
      <c r="O200" s="182" cm="1">
        <f t="array" ref="O200">_xlfn.IFS($G$2=1,VLOOKUP('Total income package'!$B$3,'Location specific data'!$A$3:$W329,20,FALSE),$G$2=2,VLOOKUP('Total income package'!$B$3,'Location specific data'!$A$3:$W$135,21,FALSE),$G$2=3,VLOOKUP('Total income package'!$B$3,'Location specific data'!$A$3:$W$135,22,FALSE),$G$2=4,VLOOKUP('Total income package'!$B$3,'Location specific data'!$A$3:$W$135,23,FALSE),$G$2=5,VLOOKUP('Total income package'!$B$3,'Location specific data'!$A$3:$W$135,24,FALSE))</f>
        <v>851</v>
      </c>
      <c r="P200" s="182" cm="1">
        <f t="array" ref="P200">_xlfn.IFS($G$2=1,VLOOKUP('Total income package'!$B$3,'Location specific data'!$A$3:$AB$135,25,FALSE),$G$2=2,VLOOKUP('Total income package'!$B$3,'Location specific data'!$A$3:$AB$135,26,FALSE),$G$2=3,VLOOKUP('Total income package'!$B$3,'Location specific data'!$A$3:$AB$135,27,FALSE),$G$2=4,VLOOKUP('Total income package'!$B$3,'Location specific data'!$A$3:$AB$135,28,FALSE),$G$2=5,VLOOKUP('Total income package'!$B$3,'Location specific data'!$A$3:$AB$135,29,FALSE))</f>
        <v>995</v>
      </c>
      <c r="Q200" s="337">
        <f>IF(AND(G200="Yes",'Total income package'!$A$14=TRUE,P200-N200&gt;0),P200-N200,0)</f>
        <v>0</v>
      </c>
    </row>
    <row r="201" spans="1:17" x14ac:dyDescent="0.25">
      <c r="A201" s="182">
        <v>97500</v>
      </c>
      <c r="B201" s="4">
        <f t="shared" si="31"/>
        <v>8125</v>
      </c>
      <c r="C201" s="4">
        <f>MAX('TANF-VIEW'!L204,'TANF-VIEW'!T204)</f>
        <v>0</v>
      </c>
      <c r="D201" s="4">
        <f>'Total income package'!$D$80</f>
        <v>0</v>
      </c>
      <c r="E201" s="4">
        <f>'Total income package'!$H$61+'Total income package'!$F$66</f>
        <v>100</v>
      </c>
      <c r="F201" s="4">
        <f t="shared" si="32"/>
        <v>8225</v>
      </c>
      <c r="G201" s="181" t="str">
        <f t="shared" si="33"/>
        <v>No</v>
      </c>
      <c r="H201" s="3">
        <f t="shared" si="34"/>
        <v>40</v>
      </c>
      <c r="I201" s="3">
        <f t="shared" si="35"/>
        <v>0</v>
      </c>
      <c r="J201" s="3">
        <f t="shared" si="28"/>
        <v>8185</v>
      </c>
      <c r="K201" s="3">
        <f t="shared" si="29"/>
        <v>2455.5</v>
      </c>
      <c r="L201" s="3">
        <f t="shared" si="30"/>
        <v>822.5</v>
      </c>
      <c r="M201" s="3">
        <v>50</v>
      </c>
      <c r="N201" s="3">
        <f t="shared" si="27"/>
        <v>2455.5</v>
      </c>
      <c r="O201" s="182" cm="1">
        <f t="array" ref="O201">_xlfn.IFS($G$2=1,VLOOKUP('Total income package'!$B$3,'Location specific data'!$A$3:$W330,20,FALSE),$G$2=2,VLOOKUP('Total income package'!$B$3,'Location specific data'!$A$3:$W$135,21,FALSE),$G$2=3,VLOOKUP('Total income package'!$B$3,'Location specific data'!$A$3:$W$135,22,FALSE),$G$2=4,VLOOKUP('Total income package'!$B$3,'Location specific data'!$A$3:$W$135,23,FALSE),$G$2=5,VLOOKUP('Total income package'!$B$3,'Location specific data'!$A$3:$W$135,24,FALSE))</f>
        <v>851</v>
      </c>
      <c r="P201" s="182" cm="1">
        <f t="array" ref="P201">_xlfn.IFS($G$2=1,VLOOKUP('Total income package'!$B$3,'Location specific data'!$A$3:$AB$135,25,FALSE),$G$2=2,VLOOKUP('Total income package'!$B$3,'Location specific data'!$A$3:$AB$135,26,FALSE),$G$2=3,VLOOKUP('Total income package'!$B$3,'Location specific data'!$A$3:$AB$135,27,FALSE),$G$2=4,VLOOKUP('Total income package'!$B$3,'Location specific data'!$A$3:$AB$135,28,FALSE),$G$2=5,VLOOKUP('Total income package'!$B$3,'Location specific data'!$A$3:$AB$135,29,FALSE))</f>
        <v>995</v>
      </c>
      <c r="Q201" s="337">
        <f>IF(AND(G201="Yes",'Total income package'!$A$14=TRUE,P201-N201&gt;0),P201-N201,0)</f>
        <v>0</v>
      </c>
    </row>
    <row r="202" spans="1:17" x14ac:dyDescent="0.25">
      <c r="A202" s="182">
        <v>98000</v>
      </c>
      <c r="B202" s="4">
        <f t="shared" si="31"/>
        <v>8166.666666666667</v>
      </c>
      <c r="C202" s="4">
        <f>MAX('TANF-VIEW'!L205,'TANF-VIEW'!T205)</f>
        <v>0</v>
      </c>
      <c r="D202" s="4">
        <f>'Total income package'!$D$80</f>
        <v>0</v>
      </c>
      <c r="E202" s="4">
        <f>'Total income package'!$H$61+'Total income package'!$F$66</f>
        <v>100</v>
      </c>
      <c r="F202" s="4">
        <f t="shared" si="32"/>
        <v>8266.6666666666679</v>
      </c>
      <c r="G202" s="181" t="str">
        <f t="shared" si="33"/>
        <v>No</v>
      </c>
      <c r="H202" s="3">
        <f t="shared" si="34"/>
        <v>40</v>
      </c>
      <c r="I202" s="3">
        <f t="shared" si="35"/>
        <v>0</v>
      </c>
      <c r="J202" s="3">
        <f t="shared" si="28"/>
        <v>8226.6666666666679</v>
      </c>
      <c r="K202" s="3">
        <f t="shared" si="29"/>
        <v>2468.0000000000005</v>
      </c>
      <c r="L202" s="3">
        <f t="shared" si="30"/>
        <v>826.66666666666686</v>
      </c>
      <c r="M202" s="3">
        <v>50</v>
      </c>
      <c r="N202" s="3">
        <f t="shared" si="27"/>
        <v>2468.0000000000005</v>
      </c>
      <c r="O202" s="182" cm="1">
        <f t="array" ref="O202">_xlfn.IFS($G$2=1,VLOOKUP('Total income package'!$B$3,'Location specific data'!$A$3:$W331,20,FALSE),$G$2=2,VLOOKUP('Total income package'!$B$3,'Location specific data'!$A$3:$W$135,21,FALSE),$G$2=3,VLOOKUP('Total income package'!$B$3,'Location specific data'!$A$3:$W$135,22,FALSE),$G$2=4,VLOOKUP('Total income package'!$B$3,'Location specific data'!$A$3:$W$135,23,FALSE),$G$2=5,VLOOKUP('Total income package'!$B$3,'Location specific data'!$A$3:$W$135,24,FALSE))</f>
        <v>851</v>
      </c>
      <c r="P202" s="182" cm="1">
        <f t="array" ref="P202">_xlfn.IFS($G$2=1,VLOOKUP('Total income package'!$B$3,'Location specific data'!$A$3:$AB$135,25,FALSE),$G$2=2,VLOOKUP('Total income package'!$B$3,'Location specific data'!$A$3:$AB$135,26,FALSE),$G$2=3,VLOOKUP('Total income package'!$B$3,'Location specific data'!$A$3:$AB$135,27,FALSE),$G$2=4,VLOOKUP('Total income package'!$B$3,'Location specific data'!$A$3:$AB$135,28,FALSE),$G$2=5,VLOOKUP('Total income package'!$B$3,'Location specific data'!$A$3:$AB$135,29,FALSE))</f>
        <v>995</v>
      </c>
      <c r="Q202" s="337">
        <f>IF(AND(G202="Yes",'Total income package'!$A$14=TRUE,P202-N202&gt;0),P202-N202,0)</f>
        <v>0</v>
      </c>
    </row>
    <row r="203" spans="1:17" x14ac:dyDescent="0.25">
      <c r="A203" s="182">
        <v>98500</v>
      </c>
      <c r="B203" s="4">
        <f t="shared" si="31"/>
        <v>8208.3333333333339</v>
      </c>
      <c r="C203" s="4">
        <f>MAX('TANF-VIEW'!L206,'TANF-VIEW'!T206)</f>
        <v>0</v>
      </c>
      <c r="D203" s="4">
        <f>'Total income package'!$D$80</f>
        <v>0</v>
      </c>
      <c r="E203" s="4">
        <f>'Total income package'!$H$61+'Total income package'!$F$66</f>
        <v>100</v>
      </c>
      <c r="F203" s="4">
        <f t="shared" si="32"/>
        <v>8308.3333333333339</v>
      </c>
      <c r="G203" s="181" t="str">
        <f t="shared" si="33"/>
        <v>No</v>
      </c>
      <c r="H203" s="3">
        <f t="shared" si="34"/>
        <v>40</v>
      </c>
      <c r="I203" s="3">
        <f t="shared" si="35"/>
        <v>0</v>
      </c>
      <c r="J203" s="3">
        <f t="shared" si="28"/>
        <v>8268.3333333333339</v>
      </c>
      <c r="K203" s="3">
        <f t="shared" si="29"/>
        <v>2480.5</v>
      </c>
      <c r="L203" s="3">
        <f t="shared" si="30"/>
        <v>830.83333333333348</v>
      </c>
      <c r="M203" s="3">
        <v>50</v>
      </c>
      <c r="N203" s="3">
        <f t="shared" si="27"/>
        <v>2480.5</v>
      </c>
      <c r="O203" s="182" cm="1">
        <f t="array" ref="O203">_xlfn.IFS($G$2=1,VLOOKUP('Total income package'!$B$3,'Location specific data'!$A$3:$W332,20,FALSE),$G$2=2,VLOOKUP('Total income package'!$B$3,'Location specific data'!$A$3:$W$135,21,FALSE),$G$2=3,VLOOKUP('Total income package'!$B$3,'Location specific data'!$A$3:$W$135,22,FALSE),$G$2=4,VLOOKUP('Total income package'!$B$3,'Location specific data'!$A$3:$W$135,23,FALSE),$G$2=5,VLOOKUP('Total income package'!$B$3,'Location specific data'!$A$3:$W$135,24,FALSE))</f>
        <v>851</v>
      </c>
      <c r="P203" s="182" cm="1">
        <f t="array" ref="P203">_xlfn.IFS($G$2=1,VLOOKUP('Total income package'!$B$3,'Location specific data'!$A$3:$AB$135,25,FALSE),$G$2=2,VLOOKUP('Total income package'!$B$3,'Location specific data'!$A$3:$AB$135,26,FALSE),$G$2=3,VLOOKUP('Total income package'!$B$3,'Location specific data'!$A$3:$AB$135,27,FALSE),$G$2=4,VLOOKUP('Total income package'!$B$3,'Location specific data'!$A$3:$AB$135,28,FALSE),$G$2=5,VLOOKUP('Total income package'!$B$3,'Location specific data'!$A$3:$AB$135,29,FALSE))</f>
        <v>995</v>
      </c>
      <c r="Q203" s="337">
        <f>IF(AND(G203="Yes",'Total income package'!$A$14=TRUE,P203-N203&gt;0),P203-N203,0)</f>
        <v>0</v>
      </c>
    </row>
    <row r="204" spans="1:17" x14ac:dyDescent="0.25">
      <c r="A204" s="182">
        <v>99000</v>
      </c>
      <c r="B204" s="4">
        <f t="shared" si="31"/>
        <v>8250</v>
      </c>
      <c r="C204" s="4">
        <f>MAX('TANF-VIEW'!L207,'TANF-VIEW'!T207)</f>
        <v>0</v>
      </c>
      <c r="D204" s="4">
        <f>'Total income package'!$D$80</f>
        <v>0</v>
      </c>
      <c r="E204" s="4">
        <f>'Total income package'!$H$61+'Total income package'!$F$66</f>
        <v>100</v>
      </c>
      <c r="F204" s="4">
        <f t="shared" si="32"/>
        <v>8350</v>
      </c>
      <c r="G204" s="181" t="str">
        <f t="shared" si="33"/>
        <v>No</v>
      </c>
      <c r="H204" s="3">
        <f t="shared" si="34"/>
        <v>40</v>
      </c>
      <c r="I204" s="3">
        <f t="shared" si="35"/>
        <v>0</v>
      </c>
      <c r="J204" s="3">
        <f t="shared" si="28"/>
        <v>8310</v>
      </c>
      <c r="K204" s="3">
        <f t="shared" si="29"/>
        <v>2493</v>
      </c>
      <c r="L204" s="3">
        <f t="shared" si="30"/>
        <v>835</v>
      </c>
      <c r="M204" s="3">
        <v>50</v>
      </c>
      <c r="N204" s="3">
        <f t="shared" si="27"/>
        <v>2493</v>
      </c>
      <c r="O204" s="182" cm="1">
        <f t="array" ref="O204">_xlfn.IFS($G$2=1,VLOOKUP('Total income package'!$B$3,'Location specific data'!$A$3:$W333,20,FALSE),$G$2=2,VLOOKUP('Total income package'!$B$3,'Location specific data'!$A$3:$W$135,21,FALSE),$G$2=3,VLOOKUP('Total income package'!$B$3,'Location specific data'!$A$3:$W$135,22,FALSE),$G$2=4,VLOOKUP('Total income package'!$B$3,'Location specific data'!$A$3:$W$135,23,FALSE),$G$2=5,VLOOKUP('Total income package'!$B$3,'Location specific data'!$A$3:$W$135,24,FALSE))</f>
        <v>851</v>
      </c>
      <c r="P204" s="182" cm="1">
        <f t="array" ref="P204">_xlfn.IFS($G$2=1,VLOOKUP('Total income package'!$B$3,'Location specific data'!$A$3:$AB$135,25,FALSE),$G$2=2,VLOOKUP('Total income package'!$B$3,'Location specific data'!$A$3:$AB$135,26,FALSE),$G$2=3,VLOOKUP('Total income package'!$B$3,'Location specific data'!$A$3:$AB$135,27,FALSE),$G$2=4,VLOOKUP('Total income package'!$B$3,'Location specific data'!$A$3:$AB$135,28,FALSE),$G$2=5,VLOOKUP('Total income package'!$B$3,'Location specific data'!$A$3:$AB$135,29,FALSE))</f>
        <v>995</v>
      </c>
      <c r="Q204" s="337">
        <f>IF(AND(G204="Yes",'Total income package'!$A$14=TRUE,P204-N204&gt;0),P204-N204,0)</f>
        <v>0</v>
      </c>
    </row>
    <row r="205" spans="1:17" x14ac:dyDescent="0.25">
      <c r="A205" s="182">
        <v>99500</v>
      </c>
      <c r="B205" s="4">
        <f t="shared" si="31"/>
        <v>8291.6666666666661</v>
      </c>
      <c r="C205" s="4">
        <f>MAX('TANF-VIEW'!L208,'TANF-VIEW'!T208)</f>
        <v>0</v>
      </c>
      <c r="D205" s="4">
        <f>'Total income package'!$D$80</f>
        <v>0</v>
      </c>
      <c r="E205" s="4">
        <f>'Total income package'!$H$61+'Total income package'!$F$66</f>
        <v>100</v>
      </c>
      <c r="F205" s="4">
        <f t="shared" si="32"/>
        <v>8391.6666666666661</v>
      </c>
      <c r="G205" s="181" t="str">
        <f t="shared" si="33"/>
        <v>No</v>
      </c>
      <c r="H205" s="3">
        <f t="shared" si="34"/>
        <v>40</v>
      </c>
      <c r="I205" s="3">
        <f t="shared" si="35"/>
        <v>0</v>
      </c>
      <c r="J205" s="3">
        <f t="shared" si="28"/>
        <v>8351.6666666666661</v>
      </c>
      <c r="K205" s="3">
        <f t="shared" si="29"/>
        <v>2505.4999999999995</v>
      </c>
      <c r="L205" s="3">
        <f t="shared" si="30"/>
        <v>839.16666666666663</v>
      </c>
      <c r="M205" s="3">
        <v>50</v>
      </c>
      <c r="N205" s="3">
        <f t="shared" si="27"/>
        <v>2505.4999999999995</v>
      </c>
      <c r="O205" s="182" cm="1">
        <f t="array" ref="O205">_xlfn.IFS($G$2=1,VLOOKUP('Total income package'!$B$3,'Location specific data'!$A$3:$W334,20,FALSE),$G$2=2,VLOOKUP('Total income package'!$B$3,'Location specific data'!$A$3:$W$135,21,FALSE),$G$2=3,VLOOKUP('Total income package'!$B$3,'Location specific data'!$A$3:$W$135,22,FALSE),$G$2=4,VLOOKUP('Total income package'!$B$3,'Location specific data'!$A$3:$W$135,23,FALSE),$G$2=5,VLOOKUP('Total income package'!$B$3,'Location specific data'!$A$3:$W$135,24,FALSE))</f>
        <v>851</v>
      </c>
      <c r="P205" s="182" cm="1">
        <f t="array" ref="P205">_xlfn.IFS($G$2=1,VLOOKUP('Total income package'!$B$3,'Location specific data'!$A$3:$AB$135,25,FALSE),$G$2=2,VLOOKUP('Total income package'!$B$3,'Location specific data'!$A$3:$AB$135,26,FALSE),$G$2=3,VLOOKUP('Total income package'!$B$3,'Location specific data'!$A$3:$AB$135,27,FALSE),$G$2=4,VLOOKUP('Total income package'!$B$3,'Location specific data'!$A$3:$AB$135,28,FALSE),$G$2=5,VLOOKUP('Total income package'!$B$3,'Location specific data'!$A$3:$AB$135,29,FALSE))</f>
        <v>995</v>
      </c>
      <c r="Q205" s="337">
        <f>IF(AND(G205="Yes",'Total income package'!$A$14=TRUE,P205-N205&gt;0),P205-N205,0)</f>
        <v>0</v>
      </c>
    </row>
    <row r="206" spans="1:17" x14ac:dyDescent="0.25">
      <c r="A206" s="182">
        <v>100000</v>
      </c>
      <c r="B206" s="4">
        <f t="shared" si="31"/>
        <v>8333.3333333333339</v>
      </c>
      <c r="C206" s="4">
        <f>MAX('TANF-VIEW'!L209,'TANF-VIEW'!T209)</f>
        <v>0</v>
      </c>
      <c r="D206" s="4">
        <f>'Total income package'!$D$80</f>
        <v>0</v>
      </c>
      <c r="E206" s="4">
        <f>'Total income package'!$H$61+'Total income package'!$F$66</f>
        <v>100</v>
      </c>
      <c r="F206" s="4">
        <f t="shared" si="32"/>
        <v>8433.3333333333339</v>
      </c>
      <c r="G206" s="181" t="str">
        <f t="shared" si="33"/>
        <v>No</v>
      </c>
      <c r="H206" s="3">
        <f t="shared" si="34"/>
        <v>40</v>
      </c>
      <c r="I206" s="3">
        <f t="shared" si="35"/>
        <v>0</v>
      </c>
      <c r="J206" s="3">
        <f t="shared" si="28"/>
        <v>8393.3333333333339</v>
      </c>
      <c r="K206" s="3">
        <f t="shared" si="29"/>
        <v>2518</v>
      </c>
      <c r="L206" s="3">
        <f t="shared" si="30"/>
        <v>843.33333333333348</v>
      </c>
      <c r="M206" s="3">
        <v>50</v>
      </c>
      <c r="N206" s="3">
        <f t="shared" si="27"/>
        <v>2518</v>
      </c>
      <c r="O206" s="182" cm="1">
        <f t="array" ref="O206">_xlfn.IFS($G$2=1,VLOOKUP('Total income package'!$B$3,'Location specific data'!$A$3:$W335,20,FALSE),$G$2=2,VLOOKUP('Total income package'!$B$3,'Location specific data'!$A$3:$W$135,21,FALSE),$G$2=3,VLOOKUP('Total income package'!$B$3,'Location specific data'!$A$3:$W$135,22,FALSE),$G$2=4,VLOOKUP('Total income package'!$B$3,'Location specific data'!$A$3:$W$135,23,FALSE),$G$2=5,VLOOKUP('Total income package'!$B$3,'Location specific data'!$A$3:$W$135,24,FALSE))</f>
        <v>851</v>
      </c>
      <c r="P206" s="182" cm="1">
        <f t="array" ref="P206">_xlfn.IFS($G$2=1,VLOOKUP('Total income package'!$B$3,'Location specific data'!$A$3:$AB$135,25,FALSE),$G$2=2,VLOOKUP('Total income package'!$B$3,'Location specific data'!$A$3:$AB$135,26,FALSE),$G$2=3,VLOOKUP('Total income package'!$B$3,'Location specific data'!$A$3:$AB$135,27,FALSE),$G$2=4,VLOOKUP('Total income package'!$B$3,'Location specific data'!$A$3:$AB$135,28,FALSE),$G$2=5,VLOOKUP('Total income package'!$B$3,'Location specific data'!$A$3:$AB$135,29,FALSE))</f>
        <v>995</v>
      </c>
      <c r="Q206" s="337">
        <f>IF(AND(G206="Yes",'Total income package'!$A$14=TRUE,P206-N206&gt;0),P206-N206,0)</f>
        <v>0</v>
      </c>
    </row>
    <row r="207" spans="1:17" x14ac:dyDescent="0.25">
      <c r="C207" s="4"/>
      <c r="D207" s="180"/>
      <c r="E207" s="4"/>
      <c r="F207" s="4"/>
      <c r="G207" s="181"/>
      <c r="H207" s="3"/>
      <c r="I207" s="3"/>
      <c r="J207" s="3"/>
    </row>
    <row r="208" spans="1:17" x14ac:dyDescent="0.25">
      <c r="A208" s="116" t="s">
        <v>302</v>
      </c>
      <c r="C208" s="4"/>
      <c r="D208" s="4"/>
      <c r="E208" s="4"/>
      <c r="F208" s="4"/>
      <c r="G208" s="181"/>
      <c r="H208" s="3"/>
      <c r="I208" s="3"/>
      <c r="J208" s="3"/>
    </row>
    <row r="209" spans="1:17" x14ac:dyDescent="0.25">
      <c r="B209" s="7">
        <f>'Total income package'!B90</f>
        <v>1289</v>
      </c>
      <c r="C209" s="4">
        <f>MAX('TANF-VIEW'!L212,'TANF-VIEW'!T212)</f>
        <v>0</v>
      </c>
      <c r="D209" s="4">
        <f>'Total income package'!$D$80</f>
        <v>0</v>
      </c>
      <c r="E209" s="4">
        <f>'Total income package'!$H$61+'Total income package'!$F$66</f>
        <v>100</v>
      </c>
      <c r="F209" s="4">
        <f t="shared" ref="F209:F211" si="36">B209+C209+D209+E209</f>
        <v>1389</v>
      </c>
      <c r="G209" s="181" t="str">
        <f t="shared" ref="G209:G211" si="37">IF(F209&lt;$L$2,"Yes","No")</f>
        <v>Yes</v>
      </c>
      <c r="H209" s="3">
        <f t="shared" ref="H209:H211" si="38">40*($D$2+$I$2)</f>
        <v>40</v>
      </c>
      <c r="I209" s="3">
        <f t="shared" si="35"/>
        <v>0</v>
      </c>
      <c r="J209" s="3">
        <f>IF(F209-H209-I209&lt;0,0,F209-H209-I209)</f>
        <v>1349</v>
      </c>
      <c r="K209" s="3">
        <f>J209*0.3</f>
        <v>404.7</v>
      </c>
      <c r="L209" s="3">
        <f>F209*0.1</f>
        <v>138.9</v>
      </c>
      <c r="M209" s="3">
        <v>50</v>
      </c>
      <c r="N209" s="3">
        <f>MAX(K209:M209)</f>
        <v>404.7</v>
      </c>
      <c r="O209" s="182" cm="1">
        <f t="array" ref="O209">_xlfn.IFS($G$2=1,VLOOKUP('Total income package'!$B$3,'Location specific data'!$A$3:$W338,20,FALSE),$G$2=2,VLOOKUP('Total income package'!$B$3,'Location specific data'!$A$3:$W$135,21,FALSE),$G$2=3,VLOOKUP('Total income package'!$B$3,'Location specific data'!$A$3:$W$135,22,FALSE),$G$2=4,VLOOKUP('Total income package'!$B$3,'Location specific data'!$A$3:$W$135,23,FALSE),$G$2=5,VLOOKUP('Total income package'!$B$3,'Location specific data'!$A$3:$W$135,24,FALSE))</f>
        <v>851</v>
      </c>
      <c r="P209" s="182" cm="1">
        <f t="array" ref="P209">_xlfn.IFS($G$2=1,VLOOKUP('Total income package'!$B$3,'Location specific data'!$A$3:$AB$135,25,FALSE),$G$2=2,VLOOKUP('Total income package'!$B$3,'Location specific data'!$A$3:$AB$135,26,FALSE),$G$2=3,VLOOKUP('Total income package'!$B$3,'Location specific data'!$A$3:$AB$135,27,FALSE),$G$2=4,VLOOKUP('Total income package'!$B$3,'Location specific data'!$A$3:$AB$135,28,FALSE),$G$2=5,VLOOKUP('Total income package'!$B$3,'Location specific data'!$A$3:$AB$135,29,FALSE))</f>
        <v>995</v>
      </c>
      <c r="Q209" s="337">
        <f>IF(AND(G209="Yes",'Total income package'!$A$14=TRUE,P209-N209&gt;0),P209-N209,0)</f>
        <v>590.29999999999995</v>
      </c>
    </row>
    <row r="210" spans="1:17" x14ac:dyDescent="0.25">
      <c r="A210" s="116" t="s">
        <v>303</v>
      </c>
      <c r="C210" s="4" t="s">
        <v>365</v>
      </c>
      <c r="D210" s="4"/>
      <c r="E210" s="4"/>
      <c r="F210" s="4"/>
      <c r="G210" s="181"/>
      <c r="H210" s="3"/>
      <c r="I210" s="3"/>
      <c r="J210" s="3"/>
    </row>
    <row r="211" spans="1:17" x14ac:dyDescent="0.25">
      <c r="B211" s="7">
        <f>'Total income package'!B91</f>
        <v>1289</v>
      </c>
      <c r="C211" s="4">
        <f>MAX('TANF-VIEW'!L214,'TANF-VIEW'!T214)</f>
        <v>0</v>
      </c>
      <c r="D211" s="4">
        <f>'Total income package'!$D$80</f>
        <v>0</v>
      </c>
      <c r="E211" s="4">
        <f>'Total income package'!$H$61+'Total income package'!$F$66</f>
        <v>100</v>
      </c>
      <c r="F211" s="4">
        <f t="shared" si="36"/>
        <v>1389</v>
      </c>
      <c r="G211" s="181" t="str">
        <f t="shared" si="37"/>
        <v>Yes</v>
      </c>
      <c r="H211" s="3">
        <f t="shared" si="38"/>
        <v>40</v>
      </c>
      <c r="I211" s="3">
        <f t="shared" si="35"/>
        <v>0</v>
      </c>
      <c r="J211" s="3">
        <f>IF(F211-H211-I211&lt;0,0,F211-H211-I211)</f>
        <v>1349</v>
      </c>
      <c r="K211" s="3">
        <f>J211*0.3</f>
        <v>404.7</v>
      </c>
      <c r="L211" s="3">
        <f>F211*0.1</f>
        <v>138.9</v>
      </c>
      <c r="M211" s="3">
        <v>50</v>
      </c>
      <c r="N211" s="3">
        <f>MAX(K211:M211)</f>
        <v>404.7</v>
      </c>
      <c r="O211" s="182" cm="1">
        <f t="array" ref="O211">_xlfn.IFS($G$2=1,VLOOKUP('Total income package'!$B$3,'Location specific data'!$A$3:$W340,20,FALSE),$G$2=2,VLOOKUP('Total income package'!$B$3,'Location specific data'!$A$3:$W$135,21,FALSE),$G$2=3,VLOOKUP('Total income package'!$B$3,'Location specific data'!$A$3:$W$135,22,FALSE),$G$2=4,VLOOKUP('Total income package'!$B$3,'Location specific data'!$A$3:$W$135,23,FALSE),$G$2=5,VLOOKUP('Total income package'!$B$3,'Location specific data'!$A$3:$W$135,24,FALSE))</f>
        <v>851</v>
      </c>
      <c r="P211" s="182" cm="1">
        <f t="array" ref="P211">_xlfn.IFS($G$2=1,VLOOKUP('Total income package'!$B$3,'Location specific data'!$A$3:$AB$135,25,FALSE),$G$2=2,VLOOKUP('Total income package'!$B$3,'Location specific data'!$A$3:$AB$135,26,FALSE),$G$2=3,VLOOKUP('Total income package'!$B$3,'Location specific data'!$A$3:$AB$135,27,FALSE),$G$2=4,VLOOKUP('Total income package'!$B$3,'Location specific data'!$A$3:$AB$135,28,FALSE),$G$2=5,VLOOKUP('Total income package'!$B$3,'Location specific data'!$A$3:$AB$135,29,FALSE))</f>
        <v>995</v>
      </c>
      <c r="Q211" s="337">
        <f>IF(AND(G211="Yes",'Total income package'!$A$14=TRUE,P211-N211&gt;0),P211-N211,0)</f>
        <v>590.29999999999995</v>
      </c>
    </row>
  </sheetData>
  <mergeCells count="1">
    <mergeCell ref="P1:U1"/>
  </mergeCells>
  <pageMargins left="0.7" right="0.7" top="0.75" bottom="0.75" header="0.3" footer="0.3"/>
</worksheet>
</file>

<file path=xl/worksheets/sheet1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1253C20-0636-43CF-A1CE-D3C9DF421D71}">
  <sheetPr codeName="Sheet5"/>
  <dimension ref="A1:R216"/>
  <sheetViews>
    <sheetView workbookViewId="0">
      <selection activeCell="F8" sqref="F8"/>
    </sheetView>
  </sheetViews>
  <sheetFormatPr defaultRowHeight="15" x14ac:dyDescent="0.25"/>
  <cols>
    <col min="1" max="1" width="19.140625" style="107" customWidth="1"/>
    <col min="2" max="2" width="14.85546875" customWidth="1"/>
    <col min="3" max="3" width="19.140625" customWidth="1"/>
    <col min="4" max="4" width="16.5703125" customWidth="1"/>
    <col min="5" max="5" width="20.140625" customWidth="1"/>
    <col min="6" max="6" width="20.28515625" customWidth="1"/>
    <col min="7" max="7" width="18.140625" customWidth="1"/>
    <col min="8" max="8" width="17.7109375" customWidth="1"/>
    <col min="9" max="9" width="16.42578125" customWidth="1"/>
    <col min="10" max="10" width="19.5703125" customWidth="1"/>
    <col min="11" max="11" width="15.7109375" style="7" customWidth="1"/>
    <col min="12" max="12" width="15.5703125" customWidth="1"/>
    <col min="13" max="13" width="13.5703125" customWidth="1"/>
    <col min="14" max="14" width="14.140625" customWidth="1"/>
    <col min="15" max="15" width="10.85546875" bestFit="1" customWidth="1"/>
  </cols>
  <sheetData>
    <row r="1" spans="1:18" s="24" customFormat="1" ht="75" x14ac:dyDescent="0.25">
      <c r="A1" s="313" t="s">
        <v>271</v>
      </c>
      <c r="B1" s="102" t="s">
        <v>272</v>
      </c>
      <c r="C1" s="80" t="s">
        <v>304</v>
      </c>
      <c r="D1" s="80" t="s">
        <v>366</v>
      </c>
      <c r="E1" s="80" t="s">
        <v>367</v>
      </c>
      <c r="F1" s="198" t="s">
        <v>305</v>
      </c>
      <c r="G1" s="80" t="s">
        <v>368</v>
      </c>
      <c r="H1" s="109" t="s">
        <v>369</v>
      </c>
      <c r="I1" s="109" t="s">
        <v>370</v>
      </c>
      <c r="J1" s="109" t="s">
        <v>371</v>
      </c>
      <c r="K1" s="109" t="s">
        <v>372</v>
      </c>
      <c r="L1" s="109" t="s">
        <v>373</v>
      </c>
      <c r="M1" s="80" t="s">
        <v>720</v>
      </c>
      <c r="P1" s="313" t="s">
        <v>374</v>
      </c>
      <c r="Q1" s="134"/>
      <c r="R1" t="s">
        <v>375</v>
      </c>
    </row>
    <row r="2" spans="1:18" x14ac:dyDescent="0.25">
      <c r="A2" s="127" t="str">
        <f>'Total income package'!B3</f>
        <v>Pittsylvania</v>
      </c>
      <c r="B2" s="77">
        <f>'Total income package'!B32</f>
        <v>2</v>
      </c>
      <c r="C2" s="77">
        <f>'Total income package'!B30</f>
        <v>1</v>
      </c>
      <c r="D2" s="77">
        <f>COUNTIF('Total income package'!B37:B44,"&gt;64")</f>
        <v>0</v>
      </c>
      <c r="E2" s="77">
        <f>'Total income package'!F61</f>
        <v>1</v>
      </c>
      <c r="F2" s="77">
        <f>'Total income package'!B31</f>
        <v>1</v>
      </c>
      <c r="G2" s="77">
        <f>'Total income package'!D66</f>
        <v>0</v>
      </c>
      <c r="H2" s="127">
        <f>VLOOKUP(Medicaid!B2,'Program specific data'!A5:J13,7,FALSE)</f>
        <v>91</v>
      </c>
      <c r="I2" s="155">
        <f>IF(A3=1,VLOOKUP(B2,'Program specific data'!A124:D131,2),IF(A3=2,VLOOKUP(B2,'Program specific data'!A124:D131,3),VLOOKUP(B2,'Program specific data'!A124:D131,4)))</f>
        <v>495</v>
      </c>
      <c r="J2" s="155">
        <f>VLOOKUP(B2,'Program specific data'!A5:N13,6,FALSE)</f>
        <v>2399</v>
      </c>
      <c r="K2" s="151">
        <f>VLOOKUP(B2,'Program specific data'!A5:M13,11,FALSE)</f>
        <v>2579</v>
      </c>
      <c r="L2" s="155">
        <f>VLOOKUP(B2,'Program specific data'!A5:N13,13,FALSE)</f>
        <v>3525</v>
      </c>
      <c r="M2" s="78">
        <f>C2*'Program specific data'!C148</f>
        <v>517.25</v>
      </c>
      <c r="P2" s="127">
        <f>F2*'Program specific data'!C152</f>
        <v>318.5</v>
      </c>
      <c r="Q2" s="1"/>
      <c r="R2" t="s">
        <v>376</v>
      </c>
    </row>
    <row r="3" spans="1:18" ht="45" x14ac:dyDescent="0.25">
      <c r="A3" s="148">
        <f>VLOOKUP('Total income package'!B3,'Location specific data'!A3:AL135,38,FALSE)</f>
        <v>1</v>
      </c>
      <c r="D3" s="80" t="s">
        <v>377</v>
      </c>
      <c r="E3" s="80" t="s">
        <v>378</v>
      </c>
      <c r="J3" s="148"/>
      <c r="K3"/>
      <c r="N3" s="7"/>
      <c r="Q3" s="1"/>
    </row>
    <row r="4" spans="1:18" x14ac:dyDescent="0.25">
      <c r="D4" s="77">
        <f>C2-D2</f>
        <v>1</v>
      </c>
      <c r="E4" s="77">
        <f>C2-E2</f>
        <v>0</v>
      </c>
      <c r="K4"/>
      <c r="N4" s="7"/>
      <c r="Q4" s="1"/>
    </row>
    <row r="5" spans="1:18" ht="45" x14ac:dyDescent="0.25">
      <c r="D5" s="80" t="s">
        <v>725</v>
      </c>
      <c r="K5"/>
      <c r="L5" s="7"/>
      <c r="O5" s="1"/>
    </row>
    <row r="6" spans="1:18" x14ac:dyDescent="0.25">
      <c r="N6" s="1"/>
    </row>
    <row r="7" spans="1:18" x14ac:dyDescent="0.25">
      <c r="N7" s="1"/>
    </row>
    <row r="8" spans="1:18" s="201" customFormat="1" ht="75" customHeight="1" x14ac:dyDescent="0.25">
      <c r="A8" s="199" t="s">
        <v>104</v>
      </c>
      <c r="B8" s="200" t="s">
        <v>105</v>
      </c>
      <c r="C8" s="338" t="s">
        <v>351</v>
      </c>
      <c r="D8" s="348" t="s">
        <v>379</v>
      </c>
      <c r="E8" s="200" t="s">
        <v>380</v>
      </c>
      <c r="F8" s="200" t="s">
        <v>381</v>
      </c>
      <c r="G8" s="200" t="s">
        <v>382</v>
      </c>
      <c r="H8" s="200" t="s">
        <v>383</v>
      </c>
      <c r="I8" s="200" t="s">
        <v>384</v>
      </c>
      <c r="J8" s="200" t="s">
        <v>385</v>
      </c>
      <c r="K8" s="200" t="s">
        <v>386</v>
      </c>
      <c r="L8" s="192" t="s">
        <v>387</v>
      </c>
      <c r="M8" s="202" t="s">
        <v>388</v>
      </c>
      <c r="N8" s="192" t="s">
        <v>389</v>
      </c>
    </row>
    <row r="9" spans="1:18" ht="15" customHeight="1" x14ac:dyDescent="0.25">
      <c r="A9" s="105">
        <v>0</v>
      </c>
      <c r="B9" s="4">
        <f t="shared" ref="B9:B74" si="0">A9/12</f>
        <v>0</v>
      </c>
      <c r="C9" s="4">
        <f>'Total income package'!$D$80</f>
        <v>0</v>
      </c>
      <c r="D9" s="4">
        <f>B9+C9</f>
        <v>0</v>
      </c>
      <c r="E9" s="4">
        <f>IF(D9-$H$2&lt;0,0,D9-$H$2)</f>
        <v>0</v>
      </c>
      <c r="F9" t="str">
        <f>IF(E9&lt;$I$2,"Yes","No")</f>
        <v>Yes</v>
      </c>
      <c r="G9" t="str">
        <f>IF(E9&lt;$J$2,"Yes","No")</f>
        <v>Yes</v>
      </c>
      <c r="I9" t="str">
        <f>IF($E$2&gt;0,"Yes","No")</f>
        <v>Yes</v>
      </c>
      <c r="J9" t="str">
        <f t="shared" ref="J9:J72" si="1">IF(E9&lt;$K$2,"Yes","No")</f>
        <v>Yes</v>
      </c>
      <c r="K9" t="str">
        <f t="shared" ref="K9:K72" si="2">IF(E9&lt;$L$2,"Yes","No")</f>
        <v>Yes</v>
      </c>
      <c r="L9" s="203">
        <f>IF(AND('Total income package'!$A$16=TRUE,E9&lt;$J$2),$M$2,0)</f>
        <v>517.25</v>
      </c>
      <c r="M9" s="179">
        <f>IF(AND('Total income package'!$A$16=TRUE,E9&lt;$L$2),$P$2,0)</f>
        <v>318.5</v>
      </c>
      <c r="N9" s="204">
        <f>L9+M9</f>
        <v>835.75</v>
      </c>
    </row>
    <row r="10" spans="1:18" ht="15" customHeight="1" x14ac:dyDescent="0.25">
      <c r="A10" s="105">
        <v>500</v>
      </c>
      <c r="B10" s="4">
        <f t="shared" si="0"/>
        <v>41.666666666666664</v>
      </c>
      <c r="C10" s="4">
        <f>'Total income package'!$D$80</f>
        <v>0</v>
      </c>
      <c r="D10" s="4">
        <f t="shared" ref="D10:D73" si="3">B10+C10</f>
        <v>41.666666666666664</v>
      </c>
      <c r="E10" s="4">
        <f t="shared" ref="E10:E73" si="4">IF(D10-$H$2&lt;0,0,D10-$H$2)</f>
        <v>0</v>
      </c>
      <c r="F10" t="str">
        <f t="shared" ref="F10:F73" si="5">IF(E10&lt;$I$2,"Yes","No")</f>
        <v>Yes</v>
      </c>
      <c r="G10" t="str">
        <f t="shared" ref="G10:G73" si="6">IF(E10&lt;$J$2,"Yes","No")</f>
        <v>Yes</v>
      </c>
      <c r="I10" t="str">
        <f t="shared" ref="I10:I73" si="7">IF($E$2&gt;0,"Yes","No")</f>
        <v>Yes</v>
      </c>
      <c r="J10" t="str">
        <f t="shared" si="1"/>
        <v>Yes</v>
      </c>
      <c r="K10" t="str">
        <f t="shared" si="2"/>
        <v>Yes</v>
      </c>
      <c r="L10" s="203">
        <f>IF(AND('Total income package'!$A$16=TRUE,E10&lt;$J$2),$M$2,0)</f>
        <v>517.25</v>
      </c>
      <c r="M10" s="179">
        <f>IF(AND('Total income package'!$A$16=TRUE,E10&lt;$L$2),$P$2,0)</f>
        <v>318.5</v>
      </c>
      <c r="N10" s="204">
        <f t="shared" ref="N10:N73" si="8">L10+M10</f>
        <v>835.75</v>
      </c>
    </row>
    <row r="11" spans="1:18" ht="15" customHeight="1" x14ac:dyDescent="0.25">
      <c r="A11" s="105">
        <v>1000</v>
      </c>
      <c r="B11" s="4">
        <f t="shared" si="0"/>
        <v>83.333333333333329</v>
      </c>
      <c r="C11" s="4">
        <f>'Total income package'!$D$80</f>
        <v>0</v>
      </c>
      <c r="D11" s="4">
        <f t="shared" si="3"/>
        <v>83.333333333333329</v>
      </c>
      <c r="E11" s="4">
        <f t="shared" si="4"/>
        <v>0</v>
      </c>
      <c r="F11" t="str">
        <f t="shared" si="5"/>
        <v>Yes</v>
      </c>
      <c r="G11" t="str">
        <f t="shared" si="6"/>
        <v>Yes</v>
      </c>
      <c r="I11" t="str">
        <f t="shared" si="7"/>
        <v>Yes</v>
      </c>
      <c r="J11" t="str">
        <f t="shared" si="1"/>
        <v>Yes</v>
      </c>
      <c r="K11" t="str">
        <f t="shared" si="2"/>
        <v>Yes</v>
      </c>
      <c r="L11" s="203">
        <f>IF(AND('Total income package'!$A$16=TRUE,E11&lt;$J$2),$M$2,0)</f>
        <v>517.25</v>
      </c>
      <c r="M11" s="179">
        <f>IF(AND('Total income package'!$A$16=TRUE,E11&lt;$L$2),$P$2,0)</f>
        <v>318.5</v>
      </c>
      <c r="N11" s="204">
        <f t="shared" si="8"/>
        <v>835.75</v>
      </c>
    </row>
    <row r="12" spans="1:18" x14ac:dyDescent="0.25">
      <c r="A12" s="105">
        <v>1500</v>
      </c>
      <c r="B12" s="4">
        <f t="shared" si="0"/>
        <v>125</v>
      </c>
      <c r="C12" s="4">
        <f>'Total income package'!$D$80</f>
        <v>0</v>
      </c>
      <c r="D12" s="4">
        <f t="shared" si="3"/>
        <v>125</v>
      </c>
      <c r="E12" s="4">
        <f>IF(D12-$H$2&lt;0,0,D12-$H$2)</f>
        <v>34</v>
      </c>
      <c r="F12" t="str">
        <f t="shared" si="5"/>
        <v>Yes</v>
      </c>
      <c r="G12" t="str">
        <f t="shared" si="6"/>
        <v>Yes</v>
      </c>
      <c r="I12" t="str">
        <f t="shared" si="7"/>
        <v>Yes</v>
      </c>
      <c r="J12" t="str">
        <f t="shared" si="1"/>
        <v>Yes</v>
      </c>
      <c r="K12" t="str">
        <f t="shared" si="2"/>
        <v>Yes</v>
      </c>
      <c r="L12" s="203">
        <f>IF(AND('Total income package'!$A$16=TRUE,E12&lt;$J$2),$M$2,0)</f>
        <v>517.25</v>
      </c>
      <c r="M12" s="179">
        <f>IF(AND('Total income package'!$A$16=TRUE,E12&lt;$L$2),$P$2,0)</f>
        <v>318.5</v>
      </c>
      <c r="N12" s="204">
        <f t="shared" si="8"/>
        <v>835.75</v>
      </c>
    </row>
    <row r="13" spans="1:18" x14ac:dyDescent="0.25">
      <c r="A13" s="105">
        <v>2000</v>
      </c>
      <c r="B13" s="4">
        <f t="shared" si="0"/>
        <v>166.66666666666666</v>
      </c>
      <c r="C13" s="4">
        <f>'Total income package'!$D$80</f>
        <v>0</v>
      </c>
      <c r="D13" s="4">
        <f t="shared" si="3"/>
        <v>166.66666666666666</v>
      </c>
      <c r="E13" s="4">
        <f t="shared" si="4"/>
        <v>75.666666666666657</v>
      </c>
      <c r="F13" t="str">
        <f t="shared" si="5"/>
        <v>Yes</v>
      </c>
      <c r="G13" t="str">
        <f t="shared" si="6"/>
        <v>Yes</v>
      </c>
      <c r="I13" t="str">
        <f t="shared" si="7"/>
        <v>Yes</v>
      </c>
      <c r="J13" t="str">
        <f t="shared" si="1"/>
        <v>Yes</v>
      </c>
      <c r="K13" t="str">
        <f t="shared" si="2"/>
        <v>Yes</v>
      </c>
      <c r="L13" s="203">
        <f>IF(AND('Total income package'!$A$16=TRUE,E13&lt;$J$2),$M$2,0)</f>
        <v>517.25</v>
      </c>
      <c r="M13" s="179">
        <f>IF(AND('Total income package'!$A$16=TRUE,E13&lt;$L$2),$P$2,0)</f>
        <v>318.5</v>
      </c>
      <c r="N13" s="204">
        <f t="shared" si="8"/>
        <v>835.75</v>
      </c>
    </row>
    <row r="14" spans="1:18" x14ac:dyDescent="0.25">
      <c r="A14" s="105">
        <v>2500</v>
      </c>
      <c r="B14" s="4">
        <f t="shared" si="0"/>
        <v>208.33333333333334</v>
      </c>
      <c r="C14" s="4">
        <f>'Total income package'!$D$80</f>
        <v>0</v>
      </c>
      <c r="D14" s="4">
        <f t="shared" si="3"/>
        <v>208.33333333333334</v>
      </c>
      <c r="E14" s="4">
        <f t="shared" si="4"/>
        <v>117.33333333333334</v>
      </c>
      <c r="F14" t="str">
        <f t="shared" si="5"/>
        <v>Yes</v>
      </c>
      <c r="G14" t="str">
        <f t="shared" si="6"/>
        <v>Yes</v>
      </c>
      <c r="I14" t="str">
        <f t="shared" si="7"/>
        <v>Yes</v>
      </c>
      <c r="J14" t="str">
        <f t="shared" si="1"/>
        <v>Yes</v>
      </c>
      <c r="K14" t="str">
        <f t="shared" si="2"/>
        <v>Yes</v>
      </c>
      <c r="L14" s="203">
        <f>IF(AND('Total income package'!$A$16=TRUE,E14&lt;$J$2),$M$2,0)</f>
        <v>517.25</v>
      </c>
      <c r="M14" s="179">
        <f>IF(AND('Total income package'!$A$16=TRUE,E14&lt;$L$2),$P$2,0)</f>
        <v>318.5</v>
      </c>
      <c r="N14" s="204">
        <f t="shared" si="8"/>
        <v>835.75</v>
      </c>
    </row>
    <row r="15" spans="1:18" x14ac:dyDescent="0.25">
      <c r="A15" s="105">
        <v>3000</v>
      </c>
      <c r="B15" s="4">
        <f t="shared" si="0"/>
        <v>250</v>
      </c>
      <c r="C15" s="4">
        <f>'Total income package'!$D$80</f>
        <v>0</v>
      </c>
      <c r="D15" s="4">
        <f t="shared" si="3"/>
        <v>250</v>
      </c>
      <c r="E15" s="4">
        <f t="shared" si="4"/>
        <v>159</v>
      </c>
      <c r="F15" t="str">
        <f t="shared" si="5"/>
        <v>Yes</v>
      </c>
      <c r="G15" t="str">
        <f t="shared" si="6"/>
        <v>Yes</v>
      </c>
      <c r="I15" t="str">
        <f t="shared" si="7"/>
        <v>Yes</v>
      </c>
      <c r="J15" t="str">
        <f t="shared" si="1"/>
        <v>Yes</v>
      </c>
      <c r="K15" t="str">
        <f t="shared" si="2"/>
        <v>Yes</v>
      </c>
      <c r="L15" s="203">
        <f>IF(AND('Total income package'!$A$16=TRUE,E15&lt;$J$2),$M$2,0)</f>
        <v>517.25</v>
      </c>
      <c r="M15" s="179">
        <f>IF(AND('Total income package'!$A$16=TRUE,E15&lt;$L$2),$P$2,0)</f>
        <v>318.5</v>
      </c>
      <c r="N15" s="204">
        <f t="shared" si="8"/>
        <v>835.75</v>
      </c>
    </row>
    <row r="16" spans="1:18" x14ac:dyDescent="0.25">
      <c r="A16" s="105">
        <v>3500</v>
      </c>
      <c r="B16" s="4">
        <f t="shared" si="0"/>
        <v>291.66666666666669</v>
      </c>
      <c r="C16" s="4">
        <f>'Total income package'!$D$80</f>
        <v>0</v>
      </c>
      <c r="D16" s="4">
        <f t="shared" si="3"/>
        <v>291.66666666666669</v>
      </c>
      <c r="E16" s="4">
        <f t="shared" si="4"/>
        <v>200.66666666666669</v>
      </c>
      <c r="F16" t="str">
        <f t="shared" si="5"/>
        <v>Yes</v>
      </c>
      <c r="G16" t="str">
        <f t="shared" si="6"/>
        <v>Yes</v>
      </c>
      <c r="I16" t="str">
        <f t="shared" si="7"/>
        <v>Yes</v>
      </c>
      <c r="J16" t="str">
        <f t="shared" si="1"/>
        <v>Yes</v>
      </c>
      <c r="K16" t="str">
        <f t="shared" si="2"/>
        <v>Yes</v>
      </c>
      <c r="L16" s="203">
        <f>IF(AND('Total income package'!$A$16=TRUE,E16&lt;$J$2),$M$2,0)</f>
        <v>517.25</v>
      </c>
      <c r="M16" s="179">
        <f>IF(AND('Total income package'!$A$16=TRUE,E16&lt;$L$2),$P$2,0)</f>
        <v>318.5</v>
      </c>
      <c r="N16" s="204">
        <f t="shared" si="8"/>
        <v>835.75</v>
      </c>
    </row>
    <row r="17" spans="1:14" x14ac:dyDescent="0.25">
      <c r="A17" s="105">
        <v>4000</v>
      </c>
      <c r="B17" s="4">
        <f t="shared" si="0"/>
        <v>333.33333333333331</v>
      </c>
      <c r="C17" s="4">
        <f>'Total income package'!$D$80</f>
        <v>0</v>
      </c>
      <c r="D17" s="4">
        <f t="shared" si="3"/>
        <v>333.33333333333331</v>
      </c>
      <c r="E17" s="4">
        <f t="shared" si="4"/>
        <v>242.33333333333331</v>
      </c>
      <c r="F17" t="str">
        <f t="shared" si="5"/>
        <v>Yes</v>
      </c>
      <c r="G17" t="str">
        <f t="shared" si="6"/>
        <v>Yes</v>
      </c>
      <c r="I17" t="str">
        <f t="shared" si="7"/>
        <v>Yes</v>
      </c>
      <c r="J17" t="str">
        <f t="shared" si="1"/>
        <v>Yes</v>
      </c>
      <c r="K17" t="str">
        <f t="shared" si="2"/>
        <v>Yes</v>
      </c>
      <c r="L17" s="203">
        <f>IF(AND('Total income package'!$A$16=TRUE,E17&lt;$J$2),$M$2,0)</f>
        <v>517.25</v>
      </c>
      <c r="M17" s="179">
        <f>IF(AND('Total income package'!$A$16=TRUE,E17&lt;$L$2),$P$2,0)</f>
        <v>318.5</v>
      </c>
      <c r="N17" s="204">
        <f t="shared" si="8"/>
        <v>835.75</v>
      </c>
    </row>
    <row r="18" spans="1:14" x14ac:dyDescent="0.25">
      <c r="A18" s="105">
        <v>4500</v>
      </c>
      <c r="B18" s="4">
        <f t="shared" si="0"/>
        <v>375</v>
      </c>
      <c r="C18" s="4">
        <f>'Total income package'!$D$80</f>
        <v>0</v>
      </c>
      <c r="D18" s="4">
        <f t="shared" si="3"/>
        <v>375</v>
      </c>
      <c r="E18" s="4">
        <f t="shared" si="4"/>
        <v>284</v>
      </c>
      <c r="F18" t="str">
        <f t="shared" si="5"/>
        <v>Yes</v>
      </c>
      <c r="G18" t="str">
        <f t="shared" si="6"/>
        <v>Yes</v>
      </c>
      <c r="I18" t="str">
        <f t="shared" si="7"/>
        <v>Yes</v>
      </c>
      <c r="J18" t="str">
        <f t="shared" si="1"/>
        <v>Yes</v>
      </c>
      <c r="K18" t="str">
        <f t="shared" si="2"/>
        <v>Yes</v>
      </c>
      <c r="L18" s="203">
        <f>IF(AND('Total income package'!$A$16=TRUE,E18&lt;$J$2),$M$2,0)</f>
        <v>517.25</v>
      </c>
      <c r="M18" s="179">
        <f>IF(AND('Total income package'!$A$16=TRUE,E18&lt;$L$2),$P$2,0)</f>
        <v>318.5</v>
      </c>
      <c r="N18" s="204">
        <f t="shared" si="8"/>
        <v>835.75</v>
      </c>
    </row>
    <row r="19" spans="1:14" x14ac:dyDescent="0.25">
      <c r="A19" s="105">
        <v>5000</v>
      </c>
      <c r="B19" s="4">
        <f t="shared" si="0"/>
        <v>416.66666666666669</v>
      </c>
      <c r="C19" s="4">
        <f>'Total income package'!$D$80</f>
        <v>0</v>
      </c>
      <c r="D19" s="4">
        <f t="shared" si="3"/>
        <v>416.66666666666669</v>
      </c>
      <c r="E19" s="4">
        <f t="shared" si="4"/>
        <v>325.66666666666669</v>
      </c>
      <c r="F19" t="str">
        <f t="shared" si="5"/>
        <v>Yes</v>
      </c>
      <c r="G19" t="str">
        <f t="shared" si="6"/>
        <v>Yes</v>
      </c>
      <c r="I19" t="str">
        <f t="shared" si="7"/>
        <v>Yes</v>
      </c>
      <c r="J19" t="str">
        <f t="shared" si="1"/>
        <v>Yes</v>
      </c>
      <c r="K19" t="str">
        <f t="shared" si="2"/>
        <v>Yes</v>
      </c>
      <c r="L19" s="203">
        <f>IF(AND('Total income package'!$A$16=TRUE,E19&lt;$J$2),$M$2,0)</f>
        <v>517.25</v>
      </c>
      <c r="M19" s="179">
        <f>IF(AND('Total income package'!$A$16=TRUE,E19&lt;$L$2),$P$2,0)</f>
        <v>318.5</v>
      </c>
      <c r="N19" s="204">
        <f t="shared" si="8"/>
        <v>835.75</v>
      </c>
    </row>
    <row r="20" spans="1:14" x14ac:dyDescent="0.25">
      <c r="A20" s="105">
        <v>5500</v>
      </c>
      <c r="B20" s="4">
        <f t="shared" si="0"/>
        <v>458.33333333333331</v>
      </c>
      <c r="C20" s="4">
        <f>'Total income package'!$D$80</f>
        <v>0</v>
      </c>
      <c r="D20" s="4">
        <f t="shared" si="3"/>
        <v>458.33333333333331</v>
      </c>
      <c r="E20" s="4">
        <f t="shared" si="4"/>
        <v>367.33333333333331</v>
      </c>
      <c r="F20" t="str">
        <f t="shared" si="5"/>
        <v>Yes</v>
      </c>
      <c r="G20" t="str">
        <f t="shared" si="6"/>
        <v>Yes</v>
      </c>
      <c r="I20" t="str">
        <f t="shared" si="7"/>
        <v>Yes</v>
      </c>
      <c r="J20" t="str">
        <f t="shared" si="1"/>
        <v>Yes</v>
      </c>
      <c r="K20" t="str">
        <f t="shared" si="2"/>
        <v>Yes</v>
      </c>
      <c r="L20" s="203">
        <f>IF(AND('Total income package'!$A$16=TRUE,E20&lt;$J$2),$M$2,0)</f>
        <v>517.25</v>
      </c>
      <c r="M20" s="179">
        <f>IF(AND('Total income package'!$A$16=TRUE,E20&lt;$L$2),$P$2,0)</f>
        <v>318.5</v>
      </c>
      <c r="N20" s="204">
        <f t="shared" si="8"/>
        <v>835.75</v>
      </c>
    </row>
    <row r="21" spans="1:14" x14ac:dyDescent="0.25">
      <c r="A21" s="105">
        <v>6000</v>
      </c>
      <c r="B21" s="4">
        <f t="shared" si="0"/>
        <v>500</v>
      </c>
      <c r="C21" s="4">
        <f>'Total income package'!$D$80</f>
        <v>0</v>
      </c>
      <c r="D21" s="4">
        <f t="shared" si="3"/>
        <v>500</v>
      </c>
      <c r="E21" s="4">
        <f t="shared" si="4"/>
        <v>409</v>
      </c>
      <c r="F21" t="str">
        <f t="shared" si="5"/>
        <v>Yes</v>
      </c>
      <c r="G21" t="str">
        <f t="shared" si="6"/>
        <v>Yes</v>
      </c>
      <c r="I21" t="str">
        <f t="shared" si="7"/>
        <v>Yes</v>
      </c>
      <c r="J21" t="str">
        <f t="shared" si="1"/>
        <v>Yes</v>
      </c>
      <c r="K21" t="str">
        <f t="shared" si="2"/>
        <v>Yes</v>
      </c>
      <c r="L21" s="203">
        <f>IF(AND('Total income package'!$A$16=TRUE,E21&lt;$J$2),$M$2,0)</f>
        <v>517.25</v>
      </c>
      <c r="M21" s="179">
        <f>IF(AND('Total income package'!$A$16=TRUE,E21&lt;$L$2),$P$2,0)</f>
        <v>318.5</v>
      </c>
      <c r="N21" s="204">
        <f t="shared" si="8"/>
        <v>835.75</v>
      </c>
    </row>
    <row r="22" spans="1:14" x14ac:dyDescent="0.25">
      <c r="A22" s="105">
        <v>6500</v>
      </c>
      <c r="B22" s="4">
        <f t="shared" si="0"/>
        <v>541.66666666666663</v>
      </c>
      <c r="C22" s="4">
        <f>'Total income package'!$D$80</f>
        <v>0</v>
      </c>
      <c r="D22" s="4">
        <f t="shared" si="3"/>
        <v>541.66666666666663</v>
      </c>
      <c r="E22" s="4">
        <f t="shared" si="4"/>
        <v>450.66666666666663</v>
      </c>
      <c r="F22" t="str">
        <f t="shared" si="5"/>
        <v>Yes</v>
      </c>
      <c r="G22" t="str">
        <f t="shared" si="6"/>
        <v>Yes</v>
      </c>
      <c r="I22" t="str">
        <f t="shared" si="7"/>
        <v>Yes</v>
      </c>
      <c r="J22" t="str">
        <f t="shared" si="1"/>
        <v>Yes</v>
      </c>
      <c r="K22" t="str">
        <f t="shared" si="2"/>
        <v>Yes</v>
      </c>
      <c r="L22" s="203">
        <f>IF(AND('Total income package'!$A$16=TRUE,E22&lt;$J$2),$M$2,0)</f>
        <v>517.25</v>
      </c>
      <c r="M22" s="179">
        <f>IF(AND('Total income package'!$A$16=TRUE,E22&lt;$L$2),$P$2,0)</f>
        <v>318.5</v>
      </c>
      <c r="N22" s="204">
        <f t="shared" si="8"/>
        <v>835.75</v>
      </c>
    </row>
    <row r="23" spans="1:14" x14ac:dyDescent="0.25">
      <c r="A23" s="105">
        <v>7000</v>
      </c>
      <c r="B23" s="4">
        <f t="shared" si="0"/>
        <v>583.33333333333337</v>
      </c>
      <c r="C23" s="4">
        <f>'Total income package'!$D$80</f>
        <v>0</v>
      </c>
      <c r="D23" s="4">
        <f t="shared" si="3"/>
        <v>583.33333333333337</v>
      </c>
      <c r="E23" s="4">
        <f t="shared" si="4"/>
        <v>492.33333333333337</v>
      </c>
      <c r="F23" t="str">
        <f t="shared" si="5"/>
        <v>Yes</v>
      </c>
      <c r="G23" t="str">
        <f t="shared" si="6"/>
        <v>Yes</v>
      </c>
      <c r="I23" t="str">
        <f t="shared" si="7"/>
        <v>Yes</v>
      </c>
      <c r="J23" t="str">
        <f t="shared" si="1"/>
        <v>Yes</v>
      </c>
      <c r="K23" t="str">
        <f t="shared" si="2"/>
        <v>Yes</v>
      </c>
      <c r="L23" s="203">
        <f>IF(AND('Total income package'!$A$16=TRUE,E23&lt;$J$2),$M$2,0)</f>
        <v>517.25</v>
      </c>
      <c r="M23" s="179">
        <f>IF(AND('Total income package'!$A$16=TRUE,E23&lt;$L$2),$P$2,0)</f>
        <v>318.5</v>
      </c>
      <c r="N23" s="204">
        <f t="shared" si="8"/>
        <v>835.75</v>
      </c>
    </row>
    <row r="24" spans="1:14" x14ac:dyDescent="0.25">
      <c r="A24" s="105">
        <v>7500</v>
      </c>
      <c r="B24" s="4">
        <f t="shared" si="0"/>
        <v>625</v>
      </c>
      <c r="C24" s="4">
        <f>'Total income package'!$D$80</f>
        <v>0</v>
      </c>
      <c r="D24" s="4">
        <f t="shared" si="3"/>
        <v>625</v>
      </c>
      <c r="E24" s="4">
        <f t="shared" si="4"/>
        <v>534</v>
      </c>
      <c r="F24" t="str">
        <f t="shared" si="5"/>
        <v>No</v>
      </c>
      <c r="G24" t="str">
        <f t="shared" si="6"/>
        <v>Yes</v>
      </c>
      <c r="I24" t="str">
        <f t="shared" si="7"/>
        <v>Yes</v>
      </c>
      <c r="J24" t="str">
        <f t="shared" si="1"/>
        <v>Yes</v>
      </c>
      <c r="K24" t="str">
        <f t="shared" si="2"/>
        <v>Yes</v>
      </c>
      <c r="L24" s="203">
        <f>IF(AND('Total income package'!$A$16=TRUE,E24&lt;$J$2),$M$2,0)</f>
        <v>517.25</v>
      </c>
      <c r="M24" s="179">
        <f>IF(AND('Total income package'!$A$16=TRUE,E24&lt;$L$2),$P$2,0)</f>
        <v>318.5</v>
      </c>
      <c r="N24" s="204">
        <f t="shared" si="8"/>
        <v>835.75</v>
      </c>
    </row>
    <row r="25" spans="1:14" x14ac:dyDescent="0.25">
      <c r="A25" s="105">
        <v>8000</v>
      </c>
      <c r="B25" s="4">
        <f t="shared" si="0"/>
        <v>666.66666666666663</v>
      </c>
      <c r="C25" s="4">
        <f>'Total income package'!$D$80</f>
        <v>0</v>
      </c>
      <c r="D25" s="4">
        <f t="shared" si="3"/>
        <v>666.66666666666663</v>
      </c>
      <c r="E25" s="4">
        <f t="shared" si="4"/>
        <v>575.66666666666663</v>
      </c>
      <c r="F25" t="str">
        <f t="shared" si="5"/>
        <v>No</v>
      </c>
      <c r="G25" t="str">
        <f t="shared" si="6"/>
        <v>Yes</v>
      </c>
      <c r="I25" t="str">
        <f t="shared" si="7"/>
        <v>Yes</v>
      </c>
      <c r="J25" t="str">
        <f t="shared" si="1"/>
        <v>Yes</v>
      </c>
      <c r="K25" t="str">
        <f t="shared" si="2"/>
        <v>Yes</v>
      </c>
      <c r="L25" s="203">
        <f>IF(AND('Total income package'!$A$16=TRUE,E25&lt;$J$2),$M$2,0)</f>
        <v>517.25</v>
      </c>
      <c r="M25" s="179">
        <f>IF(AND('Total income package'!$A$16=TRUE,E25&lt;$L$2),$P$2,0)</f>
        <v>318.5</v>
      </c>
      <c r="N25" s="204">
        <f t="shared" si="8"/>
        <v>835.75</v>
      </c>
    </row>
    <row r="26" spans="1:14" x14ac:dyDescent="0.25">
      <c r="A26" s="105">
        <v>8500</v>
      </c>
      <c r="B26" s="4">
        <f t="shared" si="0"/>
        <v>708.33333333333337</v>
      </c>
      <c r="C26" s="4">
        <f>'Total income package'!$D$80</f>
        <v>0</v>
      </c>
      <c r="D26" s="4">
        <f t="shared" si="3"/>
        <v>708.33333333333337</v>
      </c>
      <c r="E26" s="4">
        <f t="shared" si="4"/>
        <v>617.33333333333337</v>
      </c>
      <c r="F26" t="str">
        <f t="shared" si="5"/>
        <v>No</v>
      </c>
      <c r="G26" t="str">
        <f t="shared" si="6"/>
        <v>Yes</v>
      </c>
      <c r="I26" t="str">
        <f t="shared" si="7"/>
        <v>Yes</v>
      </c>
      <c r="J26" t="str">
        <f t="shared" si="1"/>
        <v>Yes</v>
      </c>
      <c r="K26" t="str">
        <f t="shared" si="2"/>
        <v>Yes</v>
      </c>
      <c r="L26" s="203">
        <f>IF(AND('Total income package'!$A$16=TRUE,E26&lt;$J$2),$M$2,0)</f>
        <v>517.25</v>
      </c>
      <c r="M26" s="179">
        <f>IF(AND('Total income package'!$A$16=TRUE,E26&lt;$L$2),$P$2,0)</f>
        <v>318.5</v>
      </c>
      <c r="N26" s="204">
        <f t="shared" si="8"/>
        <v>835.75</v>
      </c>
    </row>
    <row r="27" spans="1:14" x14ac:dyDescent="0.25">
      <c r="A27" s="105">
        <v>9000</v>
      </c>
      <c r="B27" s="4">
        <f t="shared" si="0"/>
        <v>750</v>
      </c>
      <c r="C27" s="4">
        <f>'Total income package'!$D$80</f>
        <v>0</v>
      </c>
      <c r="D27" s="4">
        <f t="shared" si="3"/>
        <v>750</v>
      </c>
      <c r="E27" s="4">
        <f t="shared" si="4"/>
        <v>659</v>
      </c>
      <c r="F27" t="str">
        <f t="shared" si="5"/>
        <v>No</v>
      </c>
      <c r="G27" t="str">
        <f t="shared" si="6"/>
        <v>Yes</v>
      </c>
      <c r="I27" t="str">
        <f t="shared" si="7"/>
        <v>Yes</v>
      </c>
      <c r="J27" t="str">
        <f t="shared" si="1"/>
        <v>Yes</v>
      </c>
      <c r="K27" t="str">
        <f t="shared" si="2"/>
        <v>Yes</v>
      </c>
      <c r="L27" s="203">
        <f>IF(AND('Total income package'!$A$16=TRUE,E27&lt;$J$2),$M$2,0)</f>
        <v>517.25</v>
      </c>
      <c r="M27" s="179">
        <f>IF(AND('Total income package'!$A$16=TRUE,E27&lt;$L$2),$P$2,0)</f>
        <v>318.5</v>
      </c>
      <c r="N27" s="204">
        <f t="shared" si="8"/>
        <v>835.75</v>
      </c>
    </row>
    <row r="28" spans="1:14" x14ac:dyDescent="0.25">
      <c r="A28" s="105">
        <v>9500</v>
      </c>
      <c r="B28" s="4">
        <f t="shared" si="0"/>
        <v>791.66666666666663</v>
      </c>
      <c r="C28" s="4">
        <f>'Total income package'!$D$80</f>
        <v>0</v>
      </c>
      <c r="D28" s="4">
        <f t="shared" si="3"/>
        <v>791.66666666666663</v>
      </c>
      <c r="E28" s="4">
        <f t="shared" si="4"/>
        <v>700.66666666666663</v>
      </c>
      <c r="F28" t="str">
        <f t="shared" si="5"/>
        <v>No</v>
      </c>
      <c r="G28" t="str">
        <f t="shared" si="6"/>
        <v>Yes</v>
      </c>
      <c r="I28" t="str">
        <f t="shared" si="7"/>
        <v>Yes</v>
      </c>
      <c r="J28" t="str">
        <f t="shared" si="1"/>
        <v>Yes</v>
      </c>
      <c r="K28" t="str">
        <f t="shared" si="2"/>
        <v>Yes</v>
      </c>
      <c r="L28" s="203">
        <f>IF(AND('Total income package'!$A$16=TRUE,E28&lt;$J$2),$M$2,0)</f>
        <v>517.25</v>
      </c>
      <c r="M28" s="179">
        <f>IF(AND('Total income package'!$A$16=TRUE,E28&lt;$L$2),$P$2,0)</f>
        <v>318.5</v>
      </c>
      <c r="N28" s="204">
        <f t="shared" si="8"/>
        <v>835.75</v>
      </c>
    </row>
    <row r="29" spans="1:14" x14ac:dyDescent="0.25">
      <c r="A29" s="105">
        <v>10000</v>
      </c>
      <c r="B29" s="4">
        <f t="shared" si="0"/>
        <v>833.33333333333337</v>
      </c>
      <c r="C29" s="4">
        <f>'Total income package'!$D$80</f>
        <v>0</v>
      </c>
      <c r="D29" s="4">
        <f t="shared" si="3"/>
        <v>833.33333333333337</v>
      </c>
      <c r="E29" s="4">
        <f t="shared" si="4"/>
        <v>742.33333333333337</v>
      </c>
      <c r="F29" t="str">
        <f t="shared" si="5"/>
        <v>No</v>
      </c>
      <c r="G29" t="str">
        <f t="shared" si="6"/>
        <v>Yes</v>
      </c>
      <c r="I29" t="str">
        <f t="shared" si="7"/>
        <v>Yes</v>
      </c>
      <c r="J29" t="str">
        <f t="shared" si="1"/>
        <v>Yes</v>
      </c>
      <c r="K29" t="str">
        <f t="shared" si="2"/>
        <v>Yes</v>
      </c>
      <c r="L29" s="203">
        <f>IF(AND('Total income package'!$A$16=TRUE,E29&lt;$J$2),$M$2,0)</f>
        <v>517.25</v>
      </c>
      <c r="M29" s="179">
        <f>IF(AND('Total income package'!$A$16=TRUE,E29&lt;$L$2),$P$2,0)</f>
        <v>318.5</v>
      </c>
      <c r="N29" s="204">
        <f t="shared" si="8"/>
        <v>835.75</v>
      </c>
    </row>
    <row r="30" spans="1:14" x14ac:dyDescent="0.25">
      <c r="A30" s="105">
        <v>10500</v>
      </c>
      <c r="B30" s="4">
        <f t="shared" si="0"/>
        <v>875</v>
      </c>
      <c r="C30" s="4">
        <f>'Total income package'!$D$80</f>
        <v>0</v>
      </c>
      <c r="D30" s="4">
        <f t="shared" si="3"/>
        <v>875</v>
      </c>
      <c r="E30" s="4">
        <f t="shared" si="4"/>
        <v>784</v>
      </c>
      <c r="F30" t="str">
        <f t="shared" si="5"/>
        <v>No</v>
      </c>
      <c r="G30" t="str">
        <f t="shared" si="6"/>
        <v>Yes</v>
      </c>
      <c r="I30" t="str">
        <f t="shared" si="7"/>
        <v>Yes</v>
      </c>
      <c r="J30" t="str">
        <f t="shared" si="1"/>
        <v>Yes</v>
      </c>
      <c r="K30" t="str">
        <f t="shared" si="2"/>
        <v>Yes</v>
      </c>
      <c r="L30" s="203">
        <f>IF(AND('Total income package'!$A$16=TRUE,E30&lt;$J$2),$M$2,0)</f>
        <v>517.25</v>
      </c>
      <c r="M30" s="179">
        <f>IF(AND('Total income package'!$A$16=TRUE,E30&lt;$L$2),$P$2,0)</f>
        <v>318.5</v>
      </c>
      <c r="N30" s="204">
        <f t="shared" si="8"/>
        <v>835.75</v>
      </c>
    </row>
    <row r="31" spans="1:14" x14ac:dyDescent="0.25">
      <c r="A31" s="105">
        <v>11000</v>
      </c>
      <c r="B31" s="4">
        <f t="shared" si="0"/>
        <v>916.66666666666663</v>
      </c>
      <c r="C31" s="4">
        <f>'Total income package'!$D$80</f>
        <v>0</v>
      </c>
      <c r="D31" s="4">
        <f t="shared" si="3"/>
        <v>916.66666666666663</v>
      </c>
      <c r="E31" s="4">
        <f t="shared" si="4"/>
        <v>825.66666666666663</v>
      </c>
      <c r="F31" t="str">
        <f t="shared" si="5"/>
        <v>No</v>
      </c>
      <c r="G31" t="str">
        <f t="shared" si="6"/>
        <v>Yes</v>
      </c>
      <c r="I31" t="str">
        <f t="shared" si="7"/>
        <v>Yes</v>
      </c>
      <c r="J31" t="str">
        <f t="shared" si="1"/>
        <v>Yes</v>
      </c>
      <c r="K31" t="str">
        <f t="shared" si="2"/>
        <v>Yes</v>
      </c>
      <c r="L31" s="203">
        <f>IF(AND('Total income package'!$A$16=TRUE,E31&lt;$J$2),$M$2,0)</f>
        <v>517.25</v>
      </c>
      <c r="M31" s="179">
        <f>IF(AND('Total income package'!$A$16=TRUE,E31&lt;$L$2),$P$2,0)</f>
        <v>318.5</v>
      </c>
      <c r="N31" s="204">
        <f t="shared" si="8"/>
        <v>835.75</v>
      </c>
    </row>
    <row r="32" spans="1:14" x14ac:dyDescent="0.25">
      <c r="A32" s="105">
        <v>11500</v>
      </c>
      <c r="B32" s="4">
        <f t="shared" si="0"/>
        <v>958.33333333333337</v>
      </c>
      <c r="C32" s="4">
        <f>'Total income package'!$D$80</f>
        <v>0</v>
      </c>
      <c r="D32" s="4">
        <f t="shared" si="3"/>
        <v>958.33333333333337</v>
      </c>
      <c r="E32" s="4">
        <f t="shared" si="4"/>
        <v>867.33333333333337</v>
      </c>
      <c r="F32" t="str">
        <f t="shared" si="5"/>
        <v>No</v>
      </c>
      <c r="G32" t="str">
        <f t="shared" si="6"/>
        <v>Yes</v>
      </c>
      <c r="I32" t="str">
        <f t="shared" si="7"/>
        <v>Yes</v>
      </c>
      <c r="J32" t="str">
        <f t="shared" si="1"/>
        <v>Yes</v>
      </c>
      <c r="K32" t="str">
        <f t="shared" si="2"/>
        <v>Yes</v>
      </c>
      <c r="L32" s="203">
        <f>IF(AND('Total income package'!$A$16=TRUE,E32&lt;$J$2),$M$2,0)</f>
        <v>517.25</v>
      </c>
      <c r="M32" s="179">
        <f>IF(AND('Total income package'!$A$16=TRUE,E32&lt;$L$2),$P$2,0)</f>
        <v>318.5</v>
      </c>
      <c r="N32" s="204">
        <f t="shared" si="8"/>
        <v>835.75</v>
      </c>
    </row>
    <row r="33" spans="1:17" x14ac:dyDescent="0.25">
      <c r="A33" s="105">
        <v>12000</v>
      </c>
      <c r="B33" s="4">
        <f t="shared" si="0"/>
        <v>1000</v>
      </c>
      <c r="C33" s="4">
        <f>'Total income package'!$D$80</f>
        <v>0</v>
      </c>
      <c r="D33" s="4">
        <f t="shared" si="3"/>
        <v>1000</v>
      </c>
      <c r="E33" s="4">
        <f t="shared" si="4"/>
        <v>909</v>
      </c>
      <c r="F33" t="str">
        <f t="shared" si="5"/>
        <v>No</v>
      </c>
      <c r="G33" t="str">
        <f t="shared" si="6"/>
        <v>Yes</v>
      </c>
      <c r="I33" t="str">
        <f t="shared" si="7"/>
        <v>Yes</v>
      </c>
      <c r="J33" t="str">
        <f t="shared" si="1"/>
        <v>Yes</v>
      </c>
      <c r="K33" t="str">
        <f t="shared" si="2"/>
        <v>Yes</v>
      </c>
      <c r="L33" s="203">
        <f>IF(AND('Total income package'!$A$16=TRUE,E33&lt;$J$2),$M$2,0)</f>
        <v>517.25</v>
      </c>
      <c r="M33" s="179">
        <f>IF(AND('Total income package'!$A$16=TRUE,E33&lt;$L$2),$P$2,0)</f>
        <v>318.5</v>
      </c>
      <c r="N33" s="204">
        <f t="shared" si="8"/>
        <v>835.75</v>
      </c>
    </row>
    <row r="34" spans="1:17" x14ac:dyDescent="0.25">
      <c r="A34" s="105">
        <v>12500</v>
      </c>
      <c r="B34" s="4">
        <f t="shared" si="0"/>
        <v>1041.6666666666667</v>
      </c>
      <c r="C34" s="4">
        <f>'Total income package'!$D$80</f>
        <v>0</v>
      </c>
      <c r="D34" s="4">
        <f t="shared" si="3"/>
        <v>1041.6666666666667</v>
      </c>
      <c r="E34" s="4">
        <f t="shared" si="4"/>
        <v>950.66666666666674</v>
      </c>
      <c r="F34" t="str">
        <f t="shared" si="5"/>
        <v>No</v>
      </c>
      <c r="G34" t="str">
        <f t="shared" si="6"/>
        <v>Yes</v>
      </c>
      <c r="I34" t="str">
        <f t="shared" si="7"/>
        <v>Yes</v>
      </c>
      <c r="J34" t="str">
        <f t="shared" si="1"/>
        <v>Yes</v>
      </c>
      <c r="K34" t="str">
        <f t="shared" si="2"/>
        <v>Yes</v>
      </c>
      <c r="L34" s="203">
        <f>IF(AND('Total income package'!$A$16=TRUE,E34&lt;$J$2),$M$2,0)</f>
        <v>517.25</v>
      </c>
      <c r="M34" s="179">
        <f>IF(AND('Total income package'!$A$16=TRUE,E34&lt;$L$2),$P$2,0)</f>
        <v>318.5</v>
      </c>
      <c r="N34" s="204">
        <f t="shared" si="8"/>
        <v>835.75</v>
      </c>
    </row>
    <row r="35" spans="1:17" x14ac:dyDescent="0.25">
      <c r="A35" s="105">
        <v>13000</v>
      </c>
      <c r="B35" s="4">
        <f t="shared" si="0"/>
        <v>1083.3333333333333</v>
      </c>
      <c r="C35" s="4">
        <f>'Total income package'!$D$80</f>
        <v>0</v>
      </c>
      <c r="D35" s="4">
        <f t="shared" si="3"/>
        <v>1083.3333333333333</v>
      </c>
      <c r="E35" s="4">
        <f t="shared" si="4"/>
        <v>992.33333333333326</v>
      </c>
      <c r="F35" t="str">
        <f t="shared" si="5"/>
        <v>No</v>
      </c>
      <c r="G35" t="str">
        <f t="shared" si="6"/>
        <v>Yes</v>
      </c>
      <c r="I35" t="str">
        <f t="shared" si="7"/>
        <v>Yes</v>
      </c>
      <c r="J35" t="str">
        <f t="shared" si="1"/>
        <v>Yes</v>
      </c>
      <c r="K35" t="str">
        <f t="shared" si="2"/>
        <v>Yes</v>
      </c>
      <c r="L35" s="203">
        <f>IF(AND('Total income package'!$A$16=TRUE,E35&lt;$J$2),$M$2,0)</f>
        <v>517.25</v>
      </c>
      <c r="M35" s="179">
        <f>IF(AND('Total income package'!$A$16=TRUE,E35&lt;$L$2),$P$2,0)</f>
        <v>318.5</v>
      </c>
      <c r="N35" s="204">
        <f t="shared" si="8"/>
        <v>835.75</v>
      </c>
    </row>
    <row r="36" spans="1:17" x14ac:dyDescent="0.25">
      <c r="A36" s="105">
        <v>13500</v>
      </c>
      <c r="B36" s="4">
        <f t="shared" si="0"/>
        <v>1125</v>
      </c>
      <c r="C36" s="4">
        <f>'Total income package'!$D$80</f>
        <v>0</v>
      </c>
      <c r="D36" s="4">
        <f t="shared" si="3"/>
        <v>1125</v>
      </c>
      <c r="E36" s="4">
        <f t="shared" si="4"/>
        <v>1034</v>
      </c>
      <c r="F36" t="str">
        <f t="shared" si="5"/>
        <v>No</v>
      </c>
      <c r="G36" t="str">
        <f t="shared" si="6"/>
        <v>Yes</v>
      </c>
      <c r="I36" t="str">
        <f t="shared" si="7"/>
        <v>Yes</v>
      </c>
      <c r="J36" t="str">
        <f t="shared" si="1"/>
        <v>Yes</v>
      </c>
      <c r="K36" t="str">
        <f t="shared" si="2"/>
        <v>Yes</v>
      </c>
      <c r="L36" s="203">
        <f>IF(AND('Total income package'!$A$16=TRUE,E36&lt;$J$2),$M$2,0)</f>
        <v>517.25</v>
      </c>
      <c r="M36" s="179">
        <f>IF(AND('Total income package'!$A$16=TRUE,E36&lt;$L$2),$P$2,0)</f>
        <v>318.5</v>
      </c>
      <c r="N36" s="204">
        <f t="shared" si="8"/>
        <v>835.75</v>
      </c>
    </row>
    <row r="37" spans="1:17" x14ac:dyDescent="0.25">
      <c r="A37" s="105">
        <v>14000</v>
      </c>
      <c r="B37" s="4">
        <f t="shared" si="0"/>
        <v>1166.6666666666667</v>
      </c>
      <c r="C37" s="4">
        <f>'Total income package'!$D$80</f>
        <v>0</v>
      </c>
      <c r="D37" s="4">
        <f t="shared" si="3"/>
        <v>1166.6666666666667</v>
      </c>
      <c r="E37" s="4">
        <f t="shared" si="4"/>
        <v>1075.6666666666667</v>
      </c>
      <c r="F37" t="str">
        <f t="shared" si="5"/>
        <v>No</v>
      </c>
      <c r="G37" t="str">
        <f t="shared" si="6"/>
        <v>Yes</v>
      </c>
      <c r="I37" t="str">
        <f t="shared" si="7"/>
        <v>Yes</v>
      </c>
      <c r="J37" t="str">
        <f t="shared" si="1"/>
        <v>Yes</v>
      </c>
      <c r="K37" t="str">
        <f t="shared" si="2"/>
        <v>Yes</v>
      </c>
      <c r="L37" s="203">
        <f>IF(AND('Total income package'!$A$16=TRUE,E37&lt;$J$2),$M$2,0)</f>
        <v>517.25</v>
      </c>
      <c r="M37" s="179">
        <f>IF(AND('Total income package'!$A$16=TRUE,E37&lt;$L$2),$P$2,0)</f>
        <v>318.5</v>
      </c>
      <c r="N37" s="204">
        <f t="shared" si="8"/>
        <v>835.75</v>
      </c>
    </row>
    <row r="38" spans="1:17" x14ac:dyDescent="0.25">
      <c r="A38" s="105">
        <v>14500</v>
      </c>
      <c r="B38" s="4">
        <f t="shared" si="0"/>
        <v>1208.3333333333333</v>
      </c>
      <c r="C38" s="4">
        <f>'Total income package'!$D$80</f>
        <v>0</v>
      </c>
      <c r="D38" s="4">
        <f t="shared" si="3"/>
        <v>1208.3333333333333</v>
      </c>
      <c r="E38" s="4">
        <f t="shared" si="4"/>
        <v>1117.3333333333333</v>
      </c>
      <c r="F38" t="str">
        <f t="shared" si="5"/>
        <v>No</v>
      </c>
      <c r="G38" t="str">
        <f t="shared" si="6"/>
        <v>Yes</v>
      </c>
      <c r="I38" t="str">
        <f t="shared" si="7"/>
        <v>Yes</v>
      </c>
      <c r="J38" t="str">
        <f t="shared" si="1"/>
        <v>Yes</v>
      </c>
      <c r="K38" t="str">
        <f t="shared" si="2"/>
        <v>Yes</v>
      </c>
      <c r="L38" s="203">
        <f>IF(AND('Total income package'!$A$16=TRUE,E38&lt;$J$2),$M$2,0)</f>
        <v>517.25</v>
      </c>
      <c r="M38" s="179">
        <f>IF(AND('Total income package'!$A$16=TRUE,E38&lt;$L$2),$P$2,0)</f>
        <v>318.5</v>
      </c>
      <c r="N38" s="204">
        <f t="shared" si="8"/>
        <v>835.75</v>
      </c>
    </row>
    <row r="39" spans="1:17" x14ac:dyDescent="0.25">
      <c r="A39" s="105">
        <v>15000</v>
      </c>
      <c r="B39" s="4">
        <f t="shared" si="0"/>
        <v>1250</v>
      </c>
      <c r="C39" s="4">
        <f>'Total income package'!$D$80</f>
        <v>0</v>
      </c>
      <c r="D39" s="4">
        <f t="shared" si="3"/>
        <v>1250</v>
      </c>
      <c r="E39" s="4">
        <f t="shared" si="4"/>
        <v>1159</v>
      </c>
      <c r="F39" t="str">
        <f t="shared" si="5"/>
        <v>No</v>
      </c>
      <c r="G39" t="str">
        <f t="shared" si="6"/>
        <v>Yes</v>
      </c>
      <c r="I39" t="str">
        <f t="shared" si="7"/>
        <v>Yes</v>
      </c>
      <c r="J39" t="str">
        <f t="shared" si="1"/>
        <v>Yes</v>
      </c>
      <c r="K39" t="str">
        <f t="shared" si="2"/>
        <v>Yes</v>
      </c>
      <c r="L39" s="203">
        <f>IF(AND('Total income package'!$A$16=TRUE,E39&lt;$J$2),$M$2,0)</f>
        <v>517.25</v>
      </c>
      <c r="M39" s="179">
        <f>IF(AND('Total income package'!$A$16=TRUE,E39&lt;$L$2),$P$2,0)</f>
        <v>318.5</v>
      </c>
      <c r="N39" s="204">
        <f t="shared" si="8"/>
        <v>835.75</v>
      </c>
    </row>
    <row r="40" spans="1:17" x14ac:dyDescent="0.25">
      <c r="A40" s="105">
        <v>15500</v>
      </c>
      <c r="B40" s="4">
        <f t="shared" si="0"/>
        <v>1291.6666666666667</v>
      </c>
      <c r="C40" s="4">
        <f>'Total income package'!$D$80</f>
        <v>0</v>
      </c>
      <c r="D40" s="4">
        <f t="shared" si="3"/>
        <v>1291.6666666666667</v>
      </c>
      <c r="E40" s="4">
        <f t="shared" si="4"/>
        <v>1200.6666666666667</v>
      </c>
      <c r="F40" t="str">
        <f t="shared" si="5"/>
        <v>No</v>
      </c>
      <c r="G40" t="str">
        <f t="shared" si="6"/>
        <v>Yes</v>
      </c>
      <c r="I40" t="str">
        <f t="shared" si="7"/>
        <v>Yes</v>
      </c>
      <c r="J40" t="str">
        <f t="shared" si="1"/>
        <v>Yes</v>
      </c>
      <c r="K40" t="str">
        <f t="shared" si="2"/>
        <v>Yes</v>
      </c>
      <c r="L40" s="203">
        <f>IF(AND('Total income package'!$A$16=TRUE,E40&lt;$J$2),$M$2,0)</f>
        <v>517.25</v>
      </c>
      <c r="M40" s="179">
        <f>IF(AND('Total income package'!$A$16=TRUE,E40&lt;$L$2),$P$2,0)</f>
        <v>318.5</v>
      </c>
      <c r="N40" s="204">
        <f t="shared" si="8"/>
        <v>835.75</v>
      </c>
    </row>
    <row r="41" spans="1:17" x14ac:dyDescent="0.25">
      <c r="A41" s="105">
        <v>16000</v>
      </c>
      <c r="B41" s="4">
        <f t="shared" si="0"/>
        <v>1333.3333333333333</v>
      </c>
      <c r="C41" s="4">
        <f>'Total income package'!$D$80</f>
        <v>0</v>
      </c>
      <c r="D41" s="4">
        <f t="shared" si="3"/>
        <v>1333.3333333333333</v>
      </c>
      <c r="E41" s="4">
        <f t="shared" si="4"/>
        <v>1242.3333333333333</v>
      </c>
      <c r="F41" t="str">
        <f t="shared" si="5"/>
        <v>No</v>
      </c>
      <c r="G41" t="str">
        <f t="shared" si="6"/>
        <v>Yes</v>
      </c>
      <c r="I41" t="str">
        <f t="shared" si="7"/>
        <v>Yes</v>
      </c>
      <c r="J41" t="str">
        <f t="shared" si="1"/>
        <v>Yes</v>
      </c>
      <c r="K41" t="str">
        <f t="shared" si="2"/>
        <v>Yes</v>
      </c>
      <c r="L41" s="203">
        <f>IF(AND('Total income package'!$A$16=TRUE,E41&lt;$J$2),$M$2,0)</f>
        <v>517.25</v>
      </c>
      <c r="M41" s="179">
        <f>IF(AND('Total income package'!$A$16=TRUE,E41&lt;$L$2),$P$2,0)</f>
        <v>318.5</v>
      </c>
      <c r="N41" s="204">
        <f t="shared" si="8"/>
        <v>835.75</v>
      </c>
    </row>
    <row r="42" spans="1:17" x14ac:dyDescent="0.25">
      <c r="A42" s="105">
        <v>16500</v>
      </c>
      <c r="B42" s="4">
        <f t="shared" si="0"/>
        <v>1375</v>
      </c>
      <c r="C42" s="4">
        <f>'Total income package'!$D$80</f>
        <v>0</v>
      </c>
      <c r="D42" s="4">
        <f t="shared" si="3"/>
        <v>1375</v>
      </c>
      <c r="E42" s="4">
        <f t="shared" si="4"/>
        <v>1284</v>
      </c>
      <c r="F42" t="str">
        <f t="shared" si="5"/>
        <v>No</v>
      </c>
      <c r="G42" t="str">
        <f t="shared" si="6"/>
        <v>Yes</v>
      </c>
      <c r="I42" t="str">
        <f t="shared" si="7"/>
        <v>Yes</v>
      </c>
      <c r="J42" t="str">
        <f t="shared" si="1"/>
        <v>Yes</v>
      </c>
      <c r="K42" t="str">
        <f t="shared" si="2"/>
        <v>Yes</v>
      </c>
      <c r="L42" s="203">
        <f>IF(AND('Total income package'!$A$16=TRUE,E42&lt;$J$2),$M$2,0)</f>
        <v>517.25</v>
      </c>
      <c r="M42" s="179">
        <f>IF(AND('Total income package'!$A$16=TRUE,E42&lt;$L$2),$P$2,0)</f>
        <v>318.5</v>
      </c>
      <c r="N42" s="204">
        <f t="shared" si="8"/>
        <v>835.75</v>
      </c>
    </row>
    <row r="43" spans="1:17" x14ac:dyDescent="0.25">
      <c r="A43" s="105">
        <v>17000</v>
      </c>
      <c r="B43" s="4">
        <f t="shared" si="0"/>
        <v>1416.6666666666667</v>
      </c>
      <c r="C43" s="4">
        <f>'Total income package'!$D$80</f>
        <v>0</v>
      </c>
      <c r="D43" s="4">
        <f t="shared" si="3"/>
        <v>1416.6666666666667</v>
      </c>
      <c r="E43" s="4">
        <f t="shared" si="4"/>
        <v>1325.6666666666667</v>
      </c>
      <c r="F43" t="str">
        <f t="shared" si="5"/>
        <v>No</v>
      </c>
      <c r="G43" t="str">
        <f t="shared" si="6"/>
        <v>Yes</v>
      </c>
      <c r="I43" t="str">
        <f t="shared" si="7"/>
        <v>Yes</v>
      </c>
      <c r="J43" t="str">
        <f t="shared" si="1"/>
        <v>Yes</v>
      </c>
      <c r="K43" t="str">
        <f t="shared" si="2"/>
        <v>Yes</v>
      </c>
      <c r="L43" s="203">
        <f>IF(AND('Total income package'!$A$16=TRUE,E43&lt;$J$2),$M$2,0)</f>
        <v>517.25</v>
      </c>
      <c r="M43" s="179">
        <f>IF(AND('Total income package'!$A$16=TRUE,E43&lt;$L$2),$P$2,0)</f>
        <v>318.5</v>
      </c>
      <c r="N43" s="204">
        <f t="shared" si="8"/>
        <v>835.75</v>
      </c>
    </row>
    <row r="44" spans="1:17" x14ac:dyDescent="0.25">
      <c r="A44" s="105">
        <v>17500</v>
      </c>
      <c r="B44" s="4">
        <f t="shared" si="0"/>
        <v>1458.3333333333333</v>
      </c>
      <c r="C44" s="4">
        <f>'Total income package'!$D$80</f>
        <v>0</v>
      </c>
      <c r="D44" s="4">
        <f t="shared" si="3"/>
        <v>1458.3333333333333</v>
      </c>
      <c r="E44" s="4">
        <f t="shared" si="4"/>
        <v>1367.3333333333333</v>
      </c>
      <c r="F44" t="str">
        <f t="shared" si="5"/>
        <v>No</v>
      </c>
      <c r="G44" t="str">
        <f t="shared" si="6"/>
        <v>Yes</v>
      </c>
      <c r="I44" t="str">
        <f t="shared" si="7"/>
        <v>Yes</v>
      </c>
      <c r="J44" t="str">
        <f t="shared" si="1"/>
        <v>Yes</v>
      </c>
      <c r="K44" t="str">
        <f t="shared" si="2"/>
        <v>Yes</v>
      </c>
      <c r="L44" s="203">
        <f>IF(AND('Total income package'!$A$16=TRUE,E44&lt;$J$2),$M$2,0)</f>
        <v>517.25</v>
      </c>
      <c r="M44" s="179">
        <f>IF(AND('Total income package'!$A$16=TRUE,E44&lt;$L$2),$P$2,0)</f>
        <v>318.5</v>
      </c>
      <c r="N44" s="204">
        <f t="shared" si="8"/>
        <v>835.75</v>
      </c>
    </row>
    <row r="45" spans="1:17" x14ac:dyDescent="0.25">
      <c r="A45" s="105">
        <v>18000</v>
      </c>
      <c r="B45" s="4">
        <f t="shared" si="0"/>
        <v>1500</v>
      </c>
      <c r="C45" s="4">
        <f>'Total income package'!$D$80</f>
        <v>0</v>
      </c>
      <c r="D45" s="4">
        <f t="shared" si="3"/>
        <v>1500</v>
      </c>
      <c r="E45" s="4">
        <f t="shared" si="4"/>
        <v>1409</v>
      </c>
      <c r="F45" t="str">
        <f t="shared" si="5"/>
        <v>No</v>
      </c>
      <c r="G45" t="str">
        <f t="shared" si="6"/>
        <v>Yes</v>
      </c>
      <c r="I45" t="str">
        <f t="shared" si="7"/>
        <v>Yes</v>
      </c>
      <c r="J45" t="str">
        <f t="shared" si="1"/>
        <v>Yes</v>
      </c>
      <c r="K45" t="str">
        <f t="shared" si="2"/>
        <v>Yes</v>
      </c>
      <c r="L45" s="203">
        <f>IF(AND('Total income package'!$A$16=TRUE,E45&lt;$J$2),$M$2,0)</f>
        <v>517.25</v>
      </c>
      <c r="M45" s="179">
        <f>IF(AND('Total income package'!$A$16=TRUE,E45&lt;$L$2),$P$2,0)</f>
        <v>318.5</v>
      </c>
      <c r="N45" s="204">
        <f t="shared" si="8"/>
        <v>835.75</v>
      </c>
      <c r="Q45" s="4"/>
    </row>
    <row r="46" spans="1:17" x14ac:dyDescent="0.25">
      <c r="A46" s="105">
        <v>18500</v>
      </c>
      <c r="B46" s="4">
        <f t="shared" si="0"/>
        <v>1541.6666666666667</v>
      </c>
      <c r="C46" s="4">
        <f>'Total income package'!$D$80</f>
        <v>0</v>
      </c>
      <c r="D46" s="4">
        <f t="shared" si="3"/>
        <v>1541.6666666666667</v>
      </c>
      <c r="E46" s="4">
        <f t="shared" si="4"/>
        <v>1450.6666666666667</v>
      </c>
      <c r="F46" t="str">
        <f t="shared" si="5"/>
        <v>No</v>
      </c>
      <c r="G46" t="str">
        <f t="shared" si="6"/>
        <v>Yes</v>
      </c>
      <c r="I46" t="str">
        <f t="shared" si="7"/>
        <v>Yes</v>
      </c>
      <c r="J46" t="str">
        <f t="shared" si="1"/>
        <v>Yes</v>
      </c>
      <c r="K46" t="str">
        <f t="shared" si="2"/>
        <v>Yes</v>
      </c>
      <c r="L46" s="203">
        <f>IF(AND('Total income package'!$A$16=TRUE,E46&lt;$J$2),$M$2,0)</f>
        <v>517.25</v>
      </c>
      <c r="M46" s="179">
        <f>IF(AND('Total income package'!$A$16=TRUE,E46&lt;$L$2),$P$2,0)</f>
        <v>318.5</v>
      </c>
      <c r="N46" s="204">
        <f t="shared" si="8"/>
        <v>835.75</v>
      </c>
      <c r="Q46" s="4"/>
    </row>
    <row r="47" spans="1:17" x14ac:dyDescent="0.25">
      <c r="A47" s="105">
        <v>19000</v>
      </c>
      <c r="B47" s="4">
        <f t="shared" si="0"/>
        <v>1583.3333333333333</v>
      </c>
      <c r="C47" s="4">
        <f>'Total income package'!$D$80</f>
        <v>0</v>
      </c>
      <c r="D47" s="4">
        <f t="shared" si="3"/>
        <v>1583.3333333333333</v>
      </c>
      <c r="E47" s="4">
        <f t="shared" si="4"/>
        <v>1492.3333333333333</v>
      </c>
      <c r="F47" t="str">
        <f t="shared" si="5"/>
        <v>No</v>
      </c>
      <c r="G47" t="str">
        <f t="shared" si="6"/>
        <v>Yes</v>
      </c>
      <c r="I47" t="str">
        <f t="shared" si="7"/>
        <v>Yes</v>
      </c>
      <c r="J47" t="str">
        <f t="shared" si="1"/>
        <v>Yes</v>
      </c>
      <c r="K47" t="str">
        <f t="shared" si="2"/>
        <v>Yes</v>
      </c>
      <c r="L47" s="203">
        <f>IF(AND('Total income package'!$A$16=TRUE,E47&lt;$J$2),$M$2,0)</f>
        <v>517.25</v>
      </c>
      <c r="M47" s="179">
        <f>IF(AND('Total income package'!$A$16=TRUE,E47&lt;$L$2),$P$2,0)</f>
        <v>318.5</v>
      </c>
      <c r="N47" s="204">
        <f t="shared" si="8"/>
        <v>835.75</v>
      </c>
      <c r="Q47" s="4"/>
    </row>
    <row r="48" spans="1:17" x14ac:dyDescent="0.25">
      <c r="A48" s="105">
        <v>19500</v>
      </c>
      <c r="B48" s="4">
        <f t="shared" si="0"/>
        <v>1625</v>
      </c>
      <c r="C48" s="4">
        <f>'Total income package'!$D$80</f>
        <v>0</v>
      </c>
      <c r="D48" s="4">
        <f t="shared" si="3"/>
        <v>1625</v>
      </c>
      <c r="E48" s="4">
        <f t="shared" si="4"/>
        <v>1534</v>
      </c>
      <c r="F48" t="str">
        <f t="shared" si="5"/>
        <v>No</v>
      </c>
      <c r="G48" t="str">
        <f t="shared" si="6"/>
        <v>Yes</v>
      </c>
      <c r="I48" t="str">
        <f t="shared" si="7"/>
        <v>Yes</v>
      </c>
      <c r="J48" t="str">
        <f t="shared" si="1"/>
        <v>Yes</v>
      </c>
      <c r="K48" t="str">
        <f t="shared" si="2"/>
        <v>Yes</v>
      </c>
      <c r="L48" s="203">
        <f>IF(AND('Total income package'!$A$16=TRUE,E48&lt;$J$2),$M$2,0)</f>
        <v>517.25</v>
      </c>
      <c r="M48" s="179">
        <f>IF(AND('Total income package'!$A$16=TRUE,E48&lt;$L$2),$P$2,0)</f>
        <v>318.5</v>
      </c>
      <c r="N48" s="204">
        <f t="shared" si="8"/>
        <v>835.75</v>
      </c>
    </row>
    <row r="49" spans="1:14" x14ac:dyDescent="0.25">
      <c r="A49" s="105">
        <v>20000</v>
      </c>
      <c r="B49" s="4">
        <f t="shared" si="0"/>
        <v>1666.6666666666667</v>
      </c>
      <c r="C49" s="4">
        <f>'Total income package'!$D$80</f>
        <v>0</v>
      </c>
      <c r="D49" s="4">
        <f t="shared" si="3"/>
        <v>1666.6666666666667</v>
      </c>
      <c r="E49" s="4">
        <f t="shared" si="4"/>
        <v>1575.6666666666667</v>
      </c>
      <c r="F49" t="str">
        <f t="shared" si="5"/>
        <v>No</v>
      </c>
      <c r="G49" t="str">
        <f t="shared" si="6"/>
        <v>Yes</v>
      </c>
      <c r="I49" t="str">
        <f t="shared" si="7"/>
        <v>Yes</v>
      </c>
      <c r="J49" t="str">
        <f t="shared" si="1"/>
        <v>Yes</v>
      </c>
      <c r="K49" t="str">
        <f t="shared" si="2"/>
        <v>Yes</v>
      </c>
      <c r="L49" s="203">
        <f>IF(AND('Total income package'!$A$16=TRUE,E49&lt;$J$2),$M$2,0)</f>
        <v>517.25</v>
      </c>
      <c r="M49" s="179">
        <f>IF(AND('Total income package'!$A$16=TRUE,E49&lt;$L$2),$P$2,0)</f>
        <v>318.5</v>
      </c>
      <c r="N49" s="204">
        <f t="shared" si="8"/>
        <v>835.75</v>
      </c>
    </row>
    <row r="50" spans="1:14" x14ac:dyDescent="0.25">
      <c r="A50" s="105">
        <v>20500</v>
      </c>
      <c r="B50" s="4">
        <f t="shared" si="0"/>
        <v>1708.3333333333333</v>
      </c>
      <c r="C50" s="4">
        <f>'Total income package'!$D$80</f>
        <v>0</v>
      </c>
      <c r="D50" s="4">
        <f t="shared" si="3"/>
        <v>1708.3333333333333</v>
      </c>
      <c r="E50" s="4">
        <f t="shared" si="4"/>
        <v>1617.3333333333333</v>
      </c>
      <c r="F50" t="str">
        <f t="shared" si="5"/>
        <v>No</v>
      </c>
      <c r="G50" t="str">
        <f t="shared" si="6"/>
        <v>Yes</v>
      </c>
      <c r="I50" t="str">
        <f t="shared" si="7"/>
        <v>Yes</v>
      </c>
      <c r="J50" t="str">
        <f t="shared" si="1"/>
        <v>Yes</v>
      </c>
      <c r="K50" t="str">
        <f t="shared" si="2"/>
        <v>Yes</v>
      </c>
      <c r="L50" s="203">
        <f>IF(AND('Total income package'!$A$16=TRUE,E50&lt;$J$2),$M$2,0)</f>
        <v>517.25</v>
      </c>
      <c r="M50" s="179">
        <f>IF(AND('Total income package'!$A$16=TRUE,E50&lt;$L$2),$P$2,0)</f>
        <v>318.5</v>
      </c>
      <c r="N50" s="204">
        <f t="shared" si="8"/>
        <v>835.75</v>
      </c>
    </row>
    <row r="51" spans="1:14" x14ac:dyDescent="0.25">
      <c r="A51" s="105">
        <v>21000</v>
      </c>
      <c r="B51" s="4">
        <f t="shared" si="0"/>
        <v>1750</v>
      </c>
      <c r="C51" s="4">
        <f>'Total income package'!$D$80</f>
        <v>0</v>
      </c>
      <c r="D51" s="4">
        <f t="shared" si="3"/>
        <v>1750</v>
      </c>
      <c r="E51" s="4">
        <f t="shared" si="4"/>
        <v>1659</v>
      </c>
      <c r="F51" t="str">
        <f t="shared" si="5"/>
        <v>No</v>
      </c>
      <c r="G51" t="str">
        <f t="shared" si="6"/>
        <v>Yes</v>
      </c>
      <c r="I51" t="str">
        <f t="shared" si="7"/>
        <v>Yes</v>
      </c>
      <c r="J51" t="str">
        <f t="shared" si="1"/>
        <v>Yes</v>
      </c>
      <c r="K51" t="str">
        <f t="shared" si="2"/>
        <v>Yes</v>
      </c>
      <c r="L51" s="203">
        <f>IF(AND('Total income package'!$A$16=TRUE,E51&lt;$J$2),$M$2,0)</f>
        <v>517.25</v>
      </c>
      <c r="M51" s="179">
        <f>IF(AND('Total income package'!$A$16=TRUE,E51&lt;$L$2),$P$2,0)</f>
        <v>318.5</v>
      </c>
      <c r="N51" s="204">
        <f t="shared" si="8"/>
        <v>835.75</v>
      </c>
    </row>
    <row r="52" spans="1:14" x14ac:dyDescent="0.25">
      <c r="A52" s="105">
        <v>21500</v>
      </c>
      <c r="B52" s="4">
        <f t="shared" si="0"/>
        <v>1791.6666666666667</v>
      </c>
      <c r="C52" s="4">
        <f>'Total income package'!$D$80</f>
        <v>0</v>
      </c>
      <c r="D52" s="4">
        <f t="shared" si="3"/>
        <v>1791.6666666666667</v>
      </c>
      <c r="E52" s="4">
        <f t="shared" si="4"/>
        <v>1700.6666666666667</v>
      </c>
      <c r="F52" t="str">
        <f t="shared" si="5"/>
        <v>No</v>
      </c>
      <c r="G52" t="str">
        <f t="shared" si="6"/>
        <v>Yes</v>
      </c>
      <c r="I52" t="str">
        <f t="shared" si="7"/>
        <v>Yes</v>
      </c>
      <c r="J52" t="str">
        <f t="shared" si="1"/>
        <v>Yes</v>
      </c>
      <c r="K52" t="str">
        <f t="shared" si="2"/>
        <v>Yes</v>
      </c>
      <c r="L52" s="203">
        <f>IF(AND('Total income package'!$A$16=TRUE,E52&lt;$J$2),$M$2,0)</f>
        <v>517.25</v>
      </c>
      <c r="M52" s="179">
        <f>IF(AND('Total income package'!$A$16=TRUE,E52&lt;$L$2),$P$2,0)</f>
        <v>318.5</v>
      </c>
      <c r="N52" s="204">
        <f t="shared" si="8"/>
        <v>835.75</v>
      </c>
    </row>
    <row r="53" spans="1:14" x14ac:dyDescent="0.25">
      <c r="A53" s="105">
        <v>22000</v>
      </c>
      <c r="B53" s="4">
        <f t="shared" si="0"/>
        <v>1833.3333333333333</v>
      </c>
      <c r="C53" s="4">
        <f>'Total income package'!$D$80</f>
        <v>0</v>
      </c>
      <c r="D53" s="4">
        <f t="shared" si="3"/>
        <v>1833.3333333333333</v>
      </c>
      <c r="E53" s="4">
        <f t="shared" si="4"/>
        <v>1742.3333333333333</v>
      </c>
      <c r="F53" t="str">
        <f t="shared" si="5"/>
        <v>No</v>
      </c>
      <c r="G53" t="str">
        <f t="shared" si="6"/>
        <v>Yes</v>
      </c>
      <c r="I53" t="str">
        <f t="shared" si="7"/>
        <v>Yes</v>
      </c>
      <c r="J53" t="str">
        <f t="shared" si="1"/>
        <v>Yes</v>
      </c>
      <c r="K53" t="str">
        <f t="shared" si="2"/>
        <v>Yes</v>
      </c>
      <c r="L53" s="203">
        <f>IF(AND('Total income package'!$A$16=TRUE,E53&lt;$J$2),$M$2,0)</f>
        <v>517.25</v>
      </c>
      <c r="M53" s="179">
        <f>IF(AND('Total income package'!$A$16=TRUE,E53&lt;$L$2),$P$2,0)</f>
        <v>318.5</v>
      </c>
      <c r="N53" s="204">
        <f t="shared" si="8"/>
        <v>835.75</v>
      </c>
    </row>
    <row r="54" spans="1:14" x14ac:dyDescent="0.25">
      <c r="A54" s="105">
        <v>22500</v>
      </c>
      <c r="B54" s="4">
        <f t="shared" si="0"/>
        <v>1875</v>
      </c>
      <c r="C54" s="4">
        <f>'Total income package'!$D$80</f>
        <v>0</v>
      </c>
      <c r="D54" s="4">
        <f t="shared" si="3"/>
        <v>1875</v>
      </c>
      <c r="E54" s="4">
        <f t="shared" si="4"/>
        <v>1784</v>
      </c>
      <c r="F54" t="str">
        <f t="shared" si="5"/>
        <v>No</v>
      </c>
      <c r="G54" t="str">
        <f t="shared" si="6"/>
        <v>Yes</v>
      </c>
      <c r="I54" t="str">
        <f t="shared" si="7"/>
        <v>Yes</v>
      </c>
      <c r="J54" t="str">
        <f t="shared" si="1"/>
        <v>Yes</v>
      </c>
      <c r="K54" t="str">
        <f t="shared" si="2"/>
        <v>Yes</v>
      </c>
      <c r="L54" s="203">
        <f>IF(AND('Total income package'!$A$16=TRUE,E54&lt;$J$2),$M$2,0)</f>
        <v>517.25</v>
      </c>
      <c r="M54" s="179">
        <f>IF(AND('Total income package'!$A$16=TRUE,E54&lt;$L$2),$P$2,0)</f>
        <v>318.5</v>
      </c>
      <c r="N54" s="204">
        <f t="shared" si="8"/>
        <v>835.75</v>
      </c>
    </row>
    <row r="55" spans="1:14" x14ac:dyDescent="0.25">
      <c r="A55" s="105">
        <v>23000</v>
      </c>
      <c r="B55" s="4">
        <f t="shared" si="0"/>
        <v>1916.6666666666667</v>
      </c>
      <c r="C55" s="4">
        <f>'Total income package'!$D$80</f>
        <v>0</v>
      </c>
      <c r="D55" s="4">
        <f t="shared" si="3"/>
        <v>1916.6666666666667</v>
      </c>
      <c r="E55" s="4">
        <f t="shared" si="4"/>
        <v>1825.6666666666667</v>
      </c>
      <c r="F55" t="str">
        <f t="shared" si="5"/>
        <v>No</v>
      </c>
      <c r="G55" t="str">
        <f t="shared" si="6"/>
        <v>Yes</v>
      </c>
      <c r="I55" t="str">
        <f t="shared" si="7"/>
        <v>Yes</v>
      </c>
      <c r="J55" t="str">
        <f t="shared" si="1"/>
        <v>Yes</v>
      </c>
      <c r="K55" t="str">
        <f t="shared" si="2"/>
        <v>Yes</v>
      </c>
      <c r="L55" s="203">
        <f>IF(AND('Total income package'!$A$16=TRUE,E55&lt;$J$2),$M$2,0)</f>
        <v>517.25</v>
      </c>
      <c r="M55" s="179">
        <f>IF(AND('Total income package'!$A$16=TRUE,E55&lt;$L$2),$P$2,0)</f>
        <v>318.5</v>
      </c>
      <c r="N55" s="204">
        <f t="shared" si="8"/>
        <v>835.75</v>
      </c>
    </row>
    <row r="56" spans="1:14" x14ac:dyDescent="0.25">
      <c r="A56" s="105">
        <v>23500</v>
      </c>
      <c r="B56" s="4">
        <f t="shared" si="0"/>
        <v>1958.3333333333333</v>
      </c>
      <c r="C56" s="4">
        <f>'Total income package'!$D$80</f>
        <v>0</v>
      </c>
      <c r="D56" s="4">
        <f t="shared" si="3"/>
        <v>1958.3333333333333</v>
      </c>
      <c r="E56" s="4">
        <f t="shared" si="4"/>
        <v>1867.3333333333333</v>
      </c>
      <c r="F56" t="str">
        <f t="shared" si="5"/>
        <v>No</v>
      </c>
      <c r="G56" t="str">
        <f t="shared" si="6"/>
        <v>Yes</v>
      </c>
      <c r="I56" t="str">
        <f t="shared" si="7"/>
        <v>Yes</v>
      </c>
      <c r="J56" t="str">
        <f t="shared" si="1"/>
        <v>Yes</v>
      </c>
      <c r="K56" t="str">
        <f t="shared" si="2"/>
        <v>Yes</v>
      </c>
      <c r="L56" s="203">
        <f>IF(AND('Total income package'!$A$16=TRUE,E56&lt;$J$2),$M$2,0)</f>
        <v>517.25</v>
      </c>
      <c r="M56" s="179">
        <f>IF(AND('Total income package'!$A$16=TRUE,E56&lt;$L$2),$P$2,0)</f>
        <v>318.5</v>
      </c>
      <c r="N56" s="204">
        <f t="shared" si="8"/>
        <v>835.75</v>
      </c>
    </row>
    <row r="57" spans="1:14" x14ac:dyDescent="0.25">
      <c r="A57" s="105">
        <v>24000</v>
      </c>
      <c r="B57" s="4">
        <f t="shared" si="0"/>
        <v>2000</v>
      </c>
      <c r="C57" s="4">
        <f>'Total income package'!$D$80</f>
        <v>0</v>
      </c>
      <c r="D57" s="4">
        <f t="shared" si="3"/>
        <v>2000</v>
      </c>
      <c r="E57" s="4">
        <f t="shared" si="4"/>
        <v>1909</v>
      </c>
      <c r="F57" t="str">
        <f t="shared" si="5"/>
        <v>No</v>
      </c>
      <c r="G57" t="str">
        <f t="shared" si="6"/>
        <v>Yes</v>
      </c>
      <c r="I57" t="str">
        <f t="shared" si="7"/>
        <v>Yes</v>
      </c>
      <c r="J57" t="str">
        <f t="shared" si="1"/>
        <v>Yes</v>
      </c>
      <c r="K57" t="str">
        <f t="shared" si="2"/>
        <v>Yes</v>
      </c>
      <c r="L57" s="203">
        <f>IF(AND('Total income package'!$A$16=TRUE,E57&lt;$J$2),$M$2,0)</f>
        <v>517.25</v>
      </c>
      <c r="M57" s="179">
        <f>IF(AND('Total income package'!$A$16=TRUE,E57&lt;$L$2),$P$2,0)</f>
        <v>318.5</v>
      </c>
      <c r="N57" s="204">
        <f t="shared" si="8"/>
        <v>835.75</v>
      </c>
    </row>
    <row r="58" spans="1:14" x14ac:dyDescent="0.25">
      <c r="A58" s="105">
        <v>24500</v>
      </c>
      <c r="B58" s="4">
        <f t="shared" si="0"/>
        <v>2041.6666666666667</v>
      </c>
      <c r="C58" s="4">
        <f>'Total income package'!$D$80</f>
        <v>0</v>
      </c>
      <c r="D58" s="4">
        <f t="shared" si="3"/>
        <v>2041.6666666666667</v>
      </c>
      <c r="E58" s="4">
        <f t="shared" si="4"/>
        <v>1950.6666666666667</v>
      </c>
      <c r="F58" t="str">
        <f t="shared" si="5"/>
        <v>No</v>
      </c>
      <c r="G58" t="str">
        <f t="shared" si="6"/>
        <v>Yes</v>
      </c>
      <c r="I58" t="str">
        <f t="shared" si="7"/>
        <v>Yes</v>
      </c>
      <c r="J58" t="str">
        <f t="shared" si="1"/>
        <v>Yes</v>
      </c>
      <c r="K58" t="str">
        <f t="shared" si="2"/>
        <v>Yes</v>
      </c>
      <c r="L58" s="203">
        <f>IF(AND('Total income package'!$A$16=TRUE,E58&lt;$J$2),$M$2,0)</f>
        <v>517.25</v>
      </c>
      <c r="M58" s="179">
        <f>IF(AND('Total income package'!$A$16=TRUE,E58&lt;$L$2),$P$2,0)</f>
        <v>318.5</v>
      </c>
      <c r="N58" s="204">
        <f t="shared" si="8"/>
        <v>835.75</v>
      </c>
    </row>
    <row r="59" spans="1:14" x14ac:dyDescent="0.25">
      <c r="A59" s="105">
        <v>25000</v>
      </c>
      <c r="B59" s="4">
        <f t="shared" si="0"/>
        <v>2083.3333333333335</v>
      </c>
      <c r="C59" s="4">
        <f>'Total income package'!$D$80</f>
        <v>0</v>
      </c>
      <c r="D59" s="4">
        <f t="shared" si="3"/>
        <v>2083.3333333333335</v>
      </c>
      <c r="E59" s="4">
        <f t="shared" si="4"/>
        <v>1992.3333333333335</v>
      </c>
      <c r="F59" t="str">
        <f t="shared" si="5"/>
        <v>No</v>
      </c>
      <c r="G59" t="str">
        <f t="shared" si="6"/>
        <v>Yes</v>
      </c>
      <c r="I59" t="str">
        <f t="shared" si="7"/>
        <v>Yes</v>
      </c>
      <c r="J59" t="str">
        <f t="shared" si="1"/>
        <v>Yes</v>
      </c>
      <c r="K59" t="str">
        <f t="shared" si="2"/>
        <v>Yes</v>
      </c>
      <c r="L59" s="203">
        <f>IF(AND('Total income package'!$A$16=TRUE,E59&lt;$J$2),$M$2,0)</f>
        <v>517.25</v>
      </c>
      <c r="M59" s="179">
        <f>IF(AND('Total income package'!$A$16=TRUE,E59&lt;$L$2),$P$2,0)</f>
        <v>318.5</v>
      </c>
      <c r="N59" s="204">
        <f t="shared" si="8"/>
        <v>835.75</v>
      </c>
    </row>
    <row r="60" spans="1:14" x14ac:dyDescent="0.25">
      <c r="A60" s="105">
        <v>25500</v>
      </c>
      <c r="B60" s="4">
        <f t="shared" si="0"/>
        <v>2125</v>
      </c>
      <c r="C60" s="4">
        <f>'Total income package'!$D$80</f>
        <v>0</v>
      </c>
      <c r="D60" s="4">
        <f t="shared" si="3"/>
        <v>2125</v>
      </c>
      <c r="E60" s="4">
        <f t="shared" si="4"/>
        <v>2034</v>
      </c>
      <c r="F60" t="str">
        <f t="shared" si="5"/>
        <v>No</v>
      </c>
      <c r="G60" t="str">
        <f t="shared" si="6"/>
        <v>Yes</v>
      </c>
      <c r="I60" t="str">
        <f t="shared" si="7"/>
        <v>Yes</v>
      </c>
      <c r="J60" t="str">
        <f t="shared" si="1"/>
        <v>Yes</v>
      </c>
      <c r="K60" t="str">
        <f t="shared" si="2"/>
        <v>Yes</v>
      </c>
      <c r="L60" s="203">
        <f>IF(AND('Total income package'!$A$16=TRUE,E60&lt;$J$2),$M$2,0)</f>
        <v>517.25</v>
      </c>
      <c r="M60" s="179">
        <f>IF(AND('Total income package'!$A$16=TRUE,E60&lt;$L$2),$P$2,0)</f>
        <v>318.5</v>
      </c>
      <c r="N60" s="204">
        <f t="shared" si="8"/>
        <v>835.75</v>
      </c>
    </row>
    <row r="61" spans="1:14" x14ac:dyDescent="0.25">
      <c r="A61" s="105">
        <v>26000</v>
      </c>
      <c r="B61" s="4">
        <f t="shared" si="0"/>
        <v>2166.6666666666665</v>
      </c>
      <c r="C61" s="4">
        <f>'Total income package'!$D$80</f>
        <v>0</v>
      </c>
      <c r="D61" s="4">
        <f t="shared" si="3"/>
        <v>2166.6666666666665</v>
      </c>
      <c r="E61" s="4">
        <f t="shared" si="4"/>
        <v>2075.6666666666665</v>
      </c>
      <c r="F61" t="str">
        <f t="shared" si="5"/>
        <v>No</v>
      </c>
      <c r="G61" t="str">
        <f t="shared" si="6"/>
        <v>Yes</v>
      </c>
      <c r="I61" t="str">
        <f t="shared" si="7"/>
        <v>Yes</v>
      </c>
      <c r="J61" t="str">
        <f t="shared" si="1"/>
        <v>Yes</v>
      </c>
      <c r="K61" t="str">
        <f t="shared" si="2"/>
        <v>Yes</v>
      </c>
      <c r="L61" s="203">
        <f>IF(AND('Total income package'!$A$16=TRUE,E61&lt;$J$2),$M$2,0)</f>
        <v>517.25</v>
      </c>
      <c r="M61" s="179">
        <f>IF(AND('Total income package'!$A$16=TRUE,E61&lt;$L$2),$P$2,0)</f>
        <v>318.5</v>
      </c>
      <c r="N61" s="204">
        <f t="shared" si="8"/>
        <v>835.75</v>
      </c>
    </row>
    <row r="62" spans="1:14" x14ac:dyDescent="0.25">
      <c r="A62" s="105">
        <v>26500</v>
      </c>
      <c r="B62" s="4">
        <f t="shared" si="0"/>
        <v>2208.3333333333335</v>
      </c>
      <c r="C62" s="4">
        <f>'Total income package'!$D$80</f>
        <v>0</v>
      </c>
      <c r="D62" s="4">
        <f t="shared" si="3"/>
        <v>2208.3333333333335</v>
      </c>
      <c r="E62" s="4">
        <f t="shared" si="4"/>
        <v>2117.3333333333335</v>
      </c>
      <c r="F62" t="str">
        <f t="shared" si="5"/>
        <v>No</v>
      </c>
      <c r="G62" t="str">
        <f t="shared" si="6"/>
        <v>Yes</v>
      </c>
      <c r="I62" t="str">
        <f t="shared" si="7"/>
        <v>Yes</v>
      </c>
      <c r="J62" t="str">
        <f t="shared" si="1"/>
        <v>Yes</v>
      </c>
      <c r="K62" t="str">
        <f t="shared" si="2"/>
        <v>Yes</v>
      </c>
      <c r="L62" s="203">
        <f>IF(AND('Total income package'!$A$16=TRUE,E62&lt;$J$2),$M$2,0)</f>
        <v>517.25</v>
      </c>
      <c r="M62" s="179">
        <f>IF(AND('Total income package'!$A$16=TRUE,E62&lt;$L$2),$P$2,0)</f>
        <v>318.5</v>
      </c>
      <c r="N62" s="204">
        <f t="shared" si="8"/>
        <v>835.75</v>
      </c>
    </row>
    <row r="63" spans="1:14" x14ac:dyDescent="0.25">
      <c r="A63" s="105">
        <v>27000</v>
      </c>
      <c r="B63" s="4">
        <f t="shared" si="0"/>
        <v>2250</v>
      </c>
      <c r="C63" s="4">
        <f>'Total income package'!$D$80</f>
        <v>0</v>
      </c>
      <c r="D63" s="4">
        <f t="shared" si="3"/>
        <v>2250</v>
      </c>
      <c r="E63" s="4">
        <f t="shared" si="4"/>
        <v>2159</v>
      </c>
      <c r="F63" t="str">
        <f t="shared" si="5"/>
        <v>No</v>
      </c>
      <c r="G63" t="str">
        <f t="shared" si="6"/>
        <v>Yes</v>
      </c>
      <c r="I63" t="str">
        <f t="shared" si="7"/>
        <v>Yes</v>
      </c>
      <c r="J63" t="str">
        <f t="shared" si="1"/>
        <v>Yes</v>
      </c>
      <c r="K63" t="str">
        <f t="shared" si="2"/>
        <v>Yes</v>
      </c>
      <c r="L63" s="203">
        <f>IF(AND('Total income package'!$A$16=TRUE,E63&lt;$J$2),$M$2,0)</f>
        <v>517.25</v>
      </c>
      <c r="M63" s="179">
        <f>IF(AND('Total income package'!$A$16=TRUE,E63&lt;$L$2),$P$2,0)</f>
        <v>318.5</v>
      </c>
      <c r="N63" s="204">
        <f t="shared" si="8"/>
        <v>835.75</v>
      </c>
    </row>
    <row r="64" spans="1:14" x14ac:dyDescent="0.25">
      <c r="A64" s="105">
        <v>27500</v>
      </c>
      <c r="B64" s="4">
        <f t="shared" si="0"/>
        <v>2291.6666666666665</v>
      </c>
      <c r="C64" s="4">
        <f>'Total income package'!$D$80</f>
        <v>0</v>
      </c>
      <c r="D64" s="4">
        <f t="shared" si="3"/>
        <v>2291.6666666666665</v>
      </c>
      <c r="E64" s="4">
        <f t="shared" si="4"/>
        <v>2200.6666666666665</v>
      </c>
      <c r="F64" t="str">
        <f t="shared" si="5"/>
        <v>No</v>
      </c>
      <c r="G64" t="str">
        <f t="shared" si="6"/>
        <v>Yes</v>
      </c>
      <c r="I64" t="str">
        <f t="shared" si="7"/>
        <v>Yes</v>
      </c>
      <c r="J64" t="str">
        <f t="shared" si="1"/>
        <v>Yes</v>
      </c>
      <c r="K64" t="str">
        <f t="shared" si="2"/>
        <v>Yes</v>
      </c>
      <c r="L64" s="203">
        <f>IF(AND('Total income package'!$A$16=TRUE,E64&lt;$J$2),$M$2,0)</f>
        <v>517.25</v>
      </c>
      <c r="M64" s="179">
        <f>IF(AND('Total income package'!$A$16=TRUE,E64&lt;$L$2),$P$2,0)</f>
        <v>318.5</v>
      </c>
      <c r="N64" s="204">
        <f t="shared" si="8"/>
        <v>835.75</v>
      </c>
    </row>
    <row r="65" spans="1:14" x14ac:dyDescent="0.25">
      <c r="A65" s="105">
        <v>28000</v>
      </c>
      <c r="B65" s="4">
        <f t="shared" si="0"/>
        <v>2333.3333333333335</v>
      </c>
      <c r="C65" s="4">
        <f>'Total income package'!$D$80</f>
        <v>0</v>
      </c>
      <c r="D65" s="4">
        <f t="shared" si="3"/>
        <v>2333.3333333333335</v>
      </c>
      <c r="E65" s="4">
        <f t="shared" si="4"/>
        <v>2242.3333333333335</v>
      </c>
      <c r="F65" t="str">
        <f t="shared" si="5"/>
        <v>No</v>
      </c>
      <c r="G65" t="str">
        <f t="shared" si="6"/>
        <v>Yes</v>
      </c>
      <c r="I65" t="str">
        <f t="shared" si="7"/>
        <v>Yes</v>
      </c>
      <c r="J65" t="str">
        <f t="shared" si="1"/>
        <v>Yes</v>
      </c>
      <c r="K65" t="str">
        <f t="shared" si="2"/>
        <v>Yes</v>
      </c>
      <c r="L65" s="203">
        <f>IF(AND('Total income package'!$A$16=TRUE,E65&lt;$J$2),$M$2,0)</f>
        <v>517.25</v>
      </c>
      <c r="M65" s="179">
        <f>IF(AND('Total income package'!$A$16=TRUE,E65&lt;$L$2),$P$2,0)</f>
        <v>318.5</v>
      </c>
      <c r="N65" s="204">
        <f t="shared" si="8"/>
        <v>835.75</v>
      </c>
    </row>
    <row r="66" spans="1:14" x14ac:dyDescent="0.25">
      <c r="A66" s="105">
        <v>28500</v>
      </c>
      <c r="B66" s="4">
        <f t="shared" si="0"/>
        <v>2375</v>
      </c>
      <c r="C66" s="4">
        <f>'Total income package'!$D$80</f>
        <v>0</v>
      </c>
      <c r="D66" s="4">
        <f t="shared" si="3"/>
        <v>2375</v>
      </c>
      <c r="E66" s="4">
        <f t="shared" si="4"/>
        <v>2284</v>
      </c>
      <c r="F66" t="str">
        <f t="shared" si="5"/>
        <v>No</v>
      </c>
      <c r="G66" t="str">
        <f t="shared" si="6"/>
        <v>Yes</v>
      </c>
      <c r="I66" t="str">
        <f t="shared" si="7"/>
        <v>Yes</v>
      </c>
      <c r="J66" t="str">
        <f t="shared" si="1"/>
        <v>Yes</v>
      </c>
      <c r="K66" t="str">
        <f t="shared" si="2"/>
        <v>Yes</v>
      </c>
      <c r="L66" s="203">
        <f>IF(AND('Total income package'!$A$16=TRUE,E66&lt;$J$2),$M$2,0)</f>
        <v>517.25</v>
      </c>
      <c r="M66" s="179">
        <f>IF(AND('Total income package'!$A$16=TRUE,E66&lt;$L$2),$P$2,0)</f>
        <v>318.5</v>
      </c>
      <c r="N66" s="204">
        <f t="shared" si="8"/>
        <v>835.75</v>
      </c>
    </row>
    <row r="67" spans="1:14" x14ac:dyDescent="0.25">
      <c r="A67" s="105">
        <v>29000</v>
      </c>
      <c r="B67" s="4">
        <f t="shared" si="0"/>
        <v>2416.6666666666665</v>
      </c>
      <c r="C67" s="4">
        <f>'Total income package'!$D$80</f>
        <v>0</v>
      </c>
      <c r="D67" s="4">
        <f t="shared" si="3"/>
        <v>2416.6666666666665</v>
      </c>
      <c r="E67" s="4">
        <f t="shared" si="4"/>
        <v>2325.6666666666665</v>
      </c>
      <c r="F67" t="str">
        <f t="shared" si="5"/>
        <v>No</v>
      </c>
      <c r="G67" t="str">
        <f t="shared" si="6"/>
        <v>Yes</v>
      </c>
      <c r="I67" t="str">
        <f t="shared" si="7"/>
        <v>Yes</v>
      </c>
      <c r="J67" t="str">
        <f t="shared" si="1"/>
        <v>Yes</v>
      </c>
      <c r="K67" t="str">
        <f t="shared" si="2"/>
        <v>Yes</v>
      </c>
      <c r="L67" s="203">
        <f>IF(AND('Total income package'!$A$16=TRUE,E67&lt;$J$2),$M$2,0)</f>
        <v>517.25</v>
      </c>
      <c r="M67" s="179">
        <f>IF(AND('Total income package'!$A$16=TRUE,E67&lt;$L$2),$P$2,0)</f>
        <v>318.5</v>
      </c>
      <c r="N67" s="204">
        <f t="shared" si="8"/>
        <v>835.75</v>
      </c>
    </row>
    <row r="68" spans="1:14" x14ac:dyDescent="0.25">
      <c r="A68" s="105">
        <v>29500</v>
      </c>
      <c r="B68" s="4">
        <f t="shared" si="0"/>
        <v>2458.3333333333335</v>
      </c>
      <c r="C68" s="4">
        <f>'Total income package'!$D$80</f>
        <v>0</v>
      </c>
      <c r="D68" s="4">
        <f t="shared" si="3"/>
        <v>2458.3333333333335</v>
      </c>
      <c r="E68" s="4">
        <f t="shared" si="4"/>
        <v>2367.3333333333335</v>
      </c>
      <c r="F68" t="str">
        <f t="shared" si="5"/>
        <v>No</v>
      </c>
      <c r="G68" t="str">
        <f t="shared" si="6"/>
        <v>Yes</v>
      </c>
      <c r="I68" t="str">
        <f t="shared" si="7"/>
        <v>Yes</v>
      </c>
      <c r="J68" t="str">
        <f t="shared" si="1"/>
        <v>Yes</v>
      </c>
      <c r="K68" t="str">
        <f t="shared" si="2"/>
        <v>Yes</v>
      </c>
      <c r="L68" s="203">
        <f>IF(AND('Total income package'!$A$16=TRUE,E68&lt;$J$2),$M$2,0)</f>
        <v>517.25</v>
      </c>
      <c r="M68" s="179">
        <f>IF(AND('Total income package'!$A$16=TRUE,E68&lt;$L$2),$P$2,0)</f>
        <v>318.5</v>
      </c>
      <c r="N68" s="204">
        <f t="shared" si="8"/>
        <v>835.75</v>
      </c>
    </row>
    <row r="69" spans="1:14" x14ac:dyDescent="0.25">
      <c r="A69" s="105">
        <v>30000</v>
      </c>
      <c r="B69" s="4">
        <f t="shared" si="0"/>
        <v>2500</v>
      </c>
      <c r="C69" s="4">
        <f>'Total income package'!$D$80</f>
        <v>0</v>
      </c>
      <c r="D69" s="4">
        <f t="shared" si="3"/>
        <v>2500</v>
      </c>
      <c r="E69" s="4">
        <f t="shared" si="4"/>
        <v>2409</v>
      </c>
      <c r="F69" t="str">
        <f t="shared" si="5"/>
        <v>No</v>
      </c>
      <c r="G69" t="str">
        <f t="shared" si="6"/>
        <v>No</v>
      </c>
      <c r="I69" t="str">
        <f t="shared" si="7"/>
        <v>Yes</v>
      </c>
      <c r="J69" t="str">
        <f t="shared" si="1"/>
        <v>Yes</v>
      </c>
      <c r="K69" t="str">
        <f t="shared" si="2"/>
        <v>Yes</v>
      </c>
      <c r="L69" s="203">
        <f>IF(AND('Total income package'!$A$16=TRUE,E69&lt;$J$2),$M$2,0)</f>
        <v>0</v>
      </c>
      <c r="M69" s="179">
        <f>IF(AND('Total income package'!$A$16=TRUE,E69&lt;$L$2),$P$2,0)</f>
        <v>318.5</v>
      </c>
      <c r="N69" s="204">
        <f t="shared" si="8"/>
        <v>318.5</v>
      </c>
    </row>
    <row r="70" spans="1:14" x14ac:dyDescent="0.25">
      <c r="A70" s="105">
        <v>30500</v>
      </c>
      <c r="B70" s="4">
        <f t="shared" si="0"/>
        <v>2541.6666666666665</v>
      </c>
      <c r="C70" s="4">
        <f>'Total income package'!$D$80</f>
        <v>0</v>
      </c>
      <c r="D70" s="4">
        <f t="shared" si="3"/>
        <v>2541.6666666666665</v>
      </c>
      <c r="E70" s="4">
        <f t="shared" si="4"/>
        <v>2450.6666666666665</v>
      </c>
      <c r="F70" t="str">
        <f t="shared" si="5"/>
        <v>No</v>
      </c>
      <c r="G70" t="str">
        <f t="shared" si="6"/>
        <v>No</v>
      </c>
      <c r="I70" t="str">
        <f t="shared" si="7"/>
        <v>Yes</v>
      </c>
      <c r="J70" t="str">
        <f t="shared" si="1"/>
        <v>Yes</v>
      </c>
      <c r="K70" t="str">
        <f t="shared" si="2"/>
        <v>Yes</v>
      </c>
      <c r="L70" s="203">
        <f>IF(AND('Total income package'!$A$16=TRUE,E70&lt;$J$2),$M$2,0)</f>
        <v>0</v>
      </c>
      <c r="M70" s="179">
        <f>IF(AND('Total income package'!$A$16=TRUE,E70&lt;$L$2),$P$2,0)</f>
        <v>318.5</v>
      </c>
      <c r="N70" s="204">
        <f t="shared" si="8"/>
        <v>318.5</v>
      </c>
    </row>
    <row r="71" spans="1:14" x14ac:dyDescent="0.25">
      <c r="A71" s="105">
        <v>31000</v>
      </c>
      <c r="B71" s="4">
        <f t="shared" si="0"/>
        <v>2583.3333333333335</v>
      </c>
      <c r="C71" s="4">
        <f>'Total income package'!$D$80</f>
        <v>0</v>
      </c>
      <c r="D71" s="4">
        <f t="shared" si="3"/>
        <v>2583.3333333333335</v>
      </c>
      <c r="E71" s="4">
        <f t="shared" si="4"/>
        <v>2492.3333333333335</v>
      </c>
      <c r="F71" t="str">
        <f t="shared" si="5"/>
        <v>No</v>
      </c>
      <c r="G71" t="str">
        <f t="shared" si="6"/>
        <v>No</v>
      </c>
      <c r="I71" t="str">
        <f t="shared" si="7"/>
        <v>Yes</v>
      </c>
      <c r="J71" t="str">
        <f t="shared" si="1"/>
        <v>Yes</v>
      </c>
      <c r="K71" t="str">
        <f t="shared" si="2"/>
        <v>Yes</v>
      </c>
      <c r="L71" s="203">
        <f>IF(AND('Total income package'!$A$16=TRUE,E71&lt;$J$2),$M$2,0)</f>
        <v>0</v>
      </c>
      <c r="M71" s="179">
        <f>IF(AND('Total income package'!$A$16=TRUE,E71&lt;$L$2),$P$2,0)</f>
        <v>318.5</v>
      </c>
      <c r="N71" s="204">
        <f t="shared" si="8"/>
        <v>318.5</v>
      </c>
    </row>
    <row r="72" spans="1:14" x14ac:dyDescent="0.25">
      <c r="A72" s="105">
        <v>31500</v>
      </c>
      <c r="B72" s="4">
        <f t="shared" si="0"/>
        <v>2625</v>
      </c>
      <c r="C72" s="4">
        <f>'Total income package'!$D$80</f>
        <v>0</v>
      </c>
      <c r="D72" s="4">
        <f t="shared" si="3"/>
        <v>2625</v>
      </c>
      <c r="E72" s="4">
        <f t="shared" si="4"/>
        <v>2534</v>
      </c>
      <c r="F72" t="str">
        <f t="shared" si="5"/>
        <v>No</v>
      </c>
      <c r="G72" t="str">
        <f t="shared" si="6"/>
        <v>No</v>
      </c>
      <c r="I72" t="str">
        <f t="shared" si="7"/>
        <v>Yes</v>
      </c>
      <c r="J72" t="str">
        <f t="shared" si="1"/>
        <v>Yes</v>
      </c>
      <c r="K72" t="str">
        <f t="shared" si="2"/>
        <v>Yes</v>
      </c>
      <c r="L72" s="203">
        <f>IF(AND('Total income package'!$A$16=TRUE,E72&lt;$J$2),$M$2,0)</f>
        <v>0</v>
      </c>
      <c r="M72" s="179">
        <f>IF(AND('Total income package'!$A$16=TRUE,E72&lt;$L$2),$P$2,0)</f>
        <v>318.5</v>
      </c>
      <c r="N72" s="204">
        <f t="shared" si="8"/>
        <v>318.5</v>
      </c>
    </row>
    <row r="73" spans="1:14" x14ac:dyDescent="0.25">
      <c r="A73" s="105">
        <v>32000</v>
      </c>
      <c r="B73" s="4">
        <f t="shared" si="0"/>
        <v>2666.6666666666665</v>
      </c>
      <c r="C73" s="4">
        <f>'Total income package'!$D$80</f>
        <v>0</v>
      </c>
      <c r="D73" s="4">
        <f t="shared" si="3"/>
        <v>2666.6666666666665</v>
      </c>
      <c r="E73" s="4">
        <f t="shared" si="4"/>
        <v>2575.6666666666665</v>
      </c>
      <c r="F73" t="str">
        <f t="shared" si="5"/>
        <v>No</v>
      </c>
      <c r="G73" t="str">
        <f t="shared" si="6"/>
        <v>No</v>
      </c>
      <c r="I73" t="str">
        <f t="shared" si="7"/>
        <v>Yes</v>
      </c>
      <c r="J73" t="str">
        <f t="shared" ref="J73:J136" si="9">IF(E73&lt;$K$2,"Yes","No")</f>
        <v>Yes</v>
      </c>
      <c r="K73" t="str">
        <f t="shared" ref="K73:K136" si="10">IF(E73&lt;$L$2,"Yes","No")</f>
        <v>Yes</v>
      </c>
      <c r="L73" s="203">
        <f>IF(AND('Total income package'!$A$16=TRUE,E73&lt;$J$2),$M$2,0)</f>
        <v>0</v>
      </c>
      <c r="M73" s="179">
        <f>IF(AND('Total income package'!$A$16=TRUE,E73&lt;$L$2),$P$2,0)</f>
        <v>318.5</v>
      </c>
      <c r="N73" s="204">
        <f t="shared" si="8"/>
        <v>318.5</v>
      </c>
    </row>
    <row r="74" spans="1:14" x14ac:dyDescent="0.25">
      <c r="A74" s="105">
        <v>32500</v>
      </c>
      <c r="B74" s="4">
        <f t="shared" si="0"/>
        <v>2708.3333333333335</v>
      </c>
      <c r="C74" s="4">
        <f>'Total income package'!$D$80</f>
        <v>0</v>
      </c>
      <c r="D74" s="4">
        <f t="shared" ref="D74:D137" si="11">B74+C74</f>
        <v>2708.3333333333335</v>
      </c>
      <c r="E74" s="4">
        <f t="shared" ref="E74:E137" si="12">IF(D74-$H$2&lt;0,0,D74-$H$2)</f>
        <v>2617.3333333333335</v>
      </c>
      <c r="F74" t="str">
        <f t="shared" ref="F74:F137" si="13">IF(E74&lt;$I$2,"Yes","No")</f>
        <v>No</v>
      </c>
      <c r="G74" t="str">
        <f t="shared" ref="G74:G137" si="14">IF(E74&lt;$J$2,"Yes","No")</f>
        <v>No</v>
      </c>
      <c r="I74" t="str">
        <f t="shared" ref="I74:I137" si="15">IF($E$2&gt;0,"Yes","No")</f>
        <v>Yes</v>
      </c>
      <c r="J74" t="str">
        <f t="shared" si="9"/>
        <v>No</v>
      </c>
      <c r="K74" t="str">
        <f t="shared" si="10"/>
        <v>Yes</v>
      </c>
      <c r="L74" s="203">
        <f>IF(AND('Total income package'!$A$16=TRUE,E74&lt;$J$2),$M$2,0)</f>
        <v>0</v>
      </c>
      <c r="M74" s="179">
        <f>IF(AND('Total income package'!$A$16=TRUE,E74&lt;$L$2),$P$2,0)</f>
        <v>318.5</v>
      </c>
      <c r="N74" s="204">
        <f t="shared" ref="N74:N137" si="16">L74+M74</f>
        <v>318.5</v>
      </c>
    </row>
    <row r="75" spans="1:14" x14ac:dyDescent="0.25">
      <c r="A75" s="105">
        <v>33000</v>
      </c>
      <c r="B75" s="4">
        <f t="shared" ref="B75:B138" si="17">A75/12</f>
        <v>2750</v>
      </c>
      <c r="C75" s="4">
        <f>'Total income package'!$D$80</f>
        <v>0</v>
      </c>
      <c r="D75" s="4">
        <f t="shared" si="11"/>
        <v>2750</v>
      </c>
      <c r="E75" s="4">
        <f t="shared" si="12"/>
        <v>2659</v>
      </c>
      <c r="F75" t="str">
        <f t="shared" si="13"/>
        <v>No</v>
      </c>
      <c r="G75" t="str">
        <f t="shared" si="14"/>
        <v>No</v>
      </c>
      <c r="I75" t="str">
        <f t="shared" si="15"/>
        <v>Yes</v>
      </c>
      <c r="J75" t="str">
        <f t="shared" si="9"/>
        <v>No</v>
      </c>
      <c r="K75" t="str">
        <f t="shared" si="10"/>
        <v>Yes</v>
      </c>
      <c r="L75" s="203">
        <f>IF(AND('Total income package'!$A$16=TRUE,E75&lt;$J$2),$M$2,0)</f>
        <v>0</v>
      </c>
      <c r="M75" s="179">
        <f>IF(AND('Total income package'!$A$16=TRUE,E75&lt;$L$2),$P$2,0)</f>
        <v>318.5</v>
      </c>
      <c r="N75" s="204">
        <f t="shared" si="16"/>
        <v>318.5</v>
      </c>
    </row>
    <row r="76" spans="1:14" x14ac:dyDescent="0.25">
      <c r="A76" s="105">
        <v>33500</v>
      </c>
      <c r="B76" s="4">
        <f t="shared" si="17"/>
        <v>2791.6666666666665</v>
      </c>
      <c r="C76" s="4">
        <f>'Total income package'!$D$80</f>
        <v>0</v>
      </c>
      <c r="D76" s="4">
        <f t="shared" si="11"/>
        <v>2791.6666666666665</v>
      </c>
      <c r="E76" s="4">
        <f t="shared" si="12"/>
        <v>2700.6666666666665</v>
      </c>
      <c r="F76" t="str">
        <f t="shared" si="13"/>
        <v>No</v>
      </c>
      <c r="G76" t="str">
        <f t="shared" si="14"/>
        <v>No</v>
      </c>
      <c r="I76" t="str">
        <f t="shared" si="15"/>
        <v>Yes</v>
      </c>
      <c r="J76" t="str">
        <f t="shared" si="9"/>
        <v>No</v>
      </c>
      <c r="K76" t="str">
        <f t="shared" si="10"/>
        <v>Yes</v>
      </c>
      <c r="L76" s="203">
        <f>IF(AND('Total income package'!$A$16=TRUE,E76&lt;$J$2),$M$2,0)</f>
        <v>0</v>
      </c>
      <c r="M76" s="179">
        <f>IF(AND('Total income package'!$A$16=TRUE,E76&lt;$L$2),$P$2,0)</f>
        <v>318.5</v>
      </c>
      <c r="N76" s="204">
        <f t="shared" si="16"/>
        <v>318.5</v>
      </c>
    </row>
    <row r="77" spans="1:14" x14ac:dyDescent="0.25">
      <c r="A77" s="105">
        <v>34000</v>
      </c>
      <c r="B77" s="4">
        <f t="shared" si="17"/>
        <v>2833.3333333333335</v>
      </c>
      <c r="C77" s="4">
        <f>'Total income package'!$D$80</f>
        <v>0</v>
      </c>
      <c r="D77" s="4">
        <f t="shared" si="11"/>
        <v>2833.3333333333335</v>
      </c>
      <c r="E77" s="4">
        <f t="shared" si="12"/>
        <v>2742.3333333333335</v>
      </c>
      <c r="F77" t="str">
        <f t="shared" si="13"/>
        <v>No</v>
      </c>
      <c r="G77" t="str">
        <f t="shared" si="14"/>
        <v>No</v>
      </c>
      <c r="I77" t="str">
        <f t="shared" si="15"/>
        <v>Yes</v>
      </c>
      <c r="J77" t="str">
        <f t="shared" si="9"/>
        <v>No</v>
      </c>
      <c r="K77" t="str">
        <f t="shared" si="10"/>
        <v>Yes</v>
      </c>
      <c r="L77" s="203">
        <f>IF(AND('Total income package'!$A$16=TRUE,E77&lt;$J$2),$M$2,0)</f>
        <v>0</v>
      </c>
      <c r="M77" s="179">
        <f>IF(AND('Total income package'!$A$16=TRUE,E77&lt;$L$2),$P$2,0)</f>
        <v>318.5</v>
      </c>
      <c r="N77" s="204">
        <f t="shared" si="16"/>
        <v>318.5</v>
      </c>
    </row>
    <row r="78" spans="1:14" x14ac:dyDescent="0.25">
      <c r="A78" s="105">
        <v>34500</v>
      </c>
      <c r="B78" s="4">
        <f t="shared" si="17"/>
        <v>2875</v>
      </c>
      <c r="C78" s="4">
        <f>'Total income package'!$D$80</f>
        <v>0</v>
      </c>
      <c r="D78" s="4">
        <f t="shared" si="11"/>
        <v>2875</v>
      </c>
      <c r="E78" s="4">
        <f t="shared" si="12"/>
        <v>2784</v>
      </c>
      <c r="F78" t="str">
        <f t="shared" si="13"/>
        <v>No</v>
      </c>
      <c r="G78" t="str">
        <f t="shared" si="14"/>
        <v>No</v>
      </c>
      <c r="I78" t="str">
        <f t="shared" si="15"/>
        <v>Yes</v>
      </c>
      <c r="J78" t="str">
        <f t="shared" si="9"/>
        <v>No</v>
      </c>
      <c r="K78" t="str">
        <f t="shared" si="10"/>
        <v>Yes</v>
      </c>
      <c r="L78" s="203">
        <f>IF(AND('Total income package'!$A$16=TRUE,E78&lt;$J$2),$M$2,0)</f>
        <v>0</v>
      </c>
      <c r="M78" s="179">
        <f>IF(AND('Total income package'!$A$16=TRUE,E78&lt;$L$2),$P$2,0)</f>
        <v>318.5</v>
      </c>
      <c r="N78" s="204">
        <f t="shared" si="16"/>
        <v>318.5</v>
      </c>
    </row>
    <row r="79" spans="1:14" x14ac:dyDescent="0.25">
      <c r="A79" s="105">
        <v>35000</v>
      </c>
      <c r="B79" s="4">
        <f t="shared" si="17"/>
        <v>2916.6666666666665</v>
      </c>
      <c r="C79" s="4">
        <f>'Total income package'!$D$80</f>
        <v>0</v>
      </c>
      <c r="D79" s="4">
        <f t="shared" si="11"/>
        <v>2916.6666666666665</v>
      </c>
      <c r="E79" s="4">
        <f t="shared" si="12"/>
        <v>2825.6666666666665</v>
      </c>
      <c r="F79" t="str">
        <f t="shared" si="13"/>
        <v>No</v>
      </c>
      <c r="G79" t="str">
        <f t="shared" si="14"/>
        <v>No</v>
      </c>
      <c r="I79" t="str">
        <f t="shared" si="15"/>
        <v>Yes</v>
      </c>
      <c r="J79" t="str">
        <f t="shared" si="9"/>
        <v>No</v>
      </c>
      <c r="K79" t="str">
        <f t="shared" si="10"/>
        <v>Yes</v>
      </c>
      <c r="L79" s="203">
        <f>IF(AND('Total income package'!$A$16=TRUE,E79&lt;$J$2),$M$2,0)</f>
        <v>0</v>
      </c>
      <c r="M79" s="179">
        <f>IF(AND('Total income package'!$A$16=TRUE,E79&lt;$L$2),$P$2,0)</f>
        <v>318.5</v>
      </c>
      <c r="N79" s="204">
        <f t="shared" si="16"/>
        <v>318.5</v>
      </c>
    </row>
    <row r="80" spans="1:14" x14ac:dyDescent="0.25">
      <c r="A80" s="105">
        <v>35500</v>
      </c>
      <c r="B80" s="4">
        <f t="shared" si="17"/>
        <v>2958.3333333333335</v>
      </c>
      <c r="C80" s="4">
        <f>'Total income package'!$D$80</f>
        <v>0</v>
      </c>
      <c r="D80" s="4">
        <f t="shared" si="11"/>
        <v>2958.3333333333335</v>
      </c>
      <c r="E80" s="4">
        <f t="shared" si="12"/>
        <v>2867.3333333333335</v>
      </c>
      <c r="F80" t="str">
        <f t="shared" si="13"/>
        <v>No</v>
      </c>
      <c r="G80" t="str">
        <f t="shared" si="14"/>
        <v>No</v>
      </c>
      <c r="I80" t="str">
        <f t="shared" si="15"/>
        <v>Yes</v>
      </c>
      <c r="J80" t="str">
        <f t="shared" si="9"/>
        <v>No</v>
      </c>
      <c r="K80" t="str">
        <f t="shared" si="10"/>
        <v>Yes</v>
      </c>
      <c r="L80" s="203">
        <f>IF(AND('Total income package'!$A$16=TRUE,E80&lt;$J$2),$M$2,0)</f>
        <v>0</v>
      </c>
      <c r="M80" s="179">
        <f>IF(AND('Total income package'!$A$16=TRUE,E80&lt;$L$2),$P$2,0)</f>
        <v>318.5</v>
      </c>
      <c r="N80" s="204">
        <f t="shared" si="16"/>
        <v>318.5</v>
      </c>
    </row>
    <row r="81" spans="1:14" x14ac:dyDescent="0.25">
      <c r="A81" s="105">
        <v>36000</v>
      </c>
      <c r="B81" s="4">
        <f t="shared" si="17"/>
        <v>3000</v>
      </c>
      <c r="C81" s="4">
        <f>'Total income package'!$D$80</f>
        <v>0</v>
      </c>
      <c r="D81" s="4">
        <f t="shared" si="11"/>
        <v>3000</v>
      </c>
      <c r="E81" s="4">
        <f t="shared" si="12"/>
        <v>2909</v>
      </c>
      <c r="F81" t="str">
        <f t="shared" si="13"/>
        <v>No</v>
      </c>
      <c r="G81" t="str">
        <f t="shared" si="14"/>
        <v>No</v>
      </c>
      <c r="I81" t="str">
        <f t="shared" si="15"/>
        <v>Yes</v>
      </c>
      <c r="J81" t="str">
        <f t="shared" si="9"/>
        <v>No</v>
      </c>
      <c r="K81" t="str">
        <f t="shared" si="10"/>
        <v>Yes</v>
      </c>
      <c r="L81" s="203">
        <f>IF(AND('Total income package'!$A$16=TRUE,E81&lt;$J$2),$M$2,0)</f>
        <v>0</v>
      </c>
      <c r="M81" s="179">
        <f>IF(AND('Total income package'!$A$16=TRUE,E81&lt;$L$2),$P$2,0)</f>
        <v>318.5</v>
      </c>
      <c r="N81" s="204">
        <f t="shared" si="16"/>
        <v>318.5</v>
      </c>
    </row>
    <row r="82" spans="1:14" x14ac:dyDescent="0.25">
      <c r="A82" s="105">
        <v>36500</v>
      </c>
      <c r="B82" s="4">
        <f t="shared" si="17"/>
        <v>3041.6666666666665</v>
      </c>
      <c r="C82" s="4">
        <f>'Total income package'!$D$80</f>
        <v>0</v>
      </c>
      <c r="D82" s="4">
        <f t="shared" si="11"/>
        <v>3041.6666666666665</v>
      </c>
      <c r="E82" s="4">
        <f t="shared" si="12"/>
        <v>2950.6666666666665</v>
      </c>
      <c r="F82" t="str">
        <f t="shared" si="13"/>
        <v>No</v>
      </c>
      <c r="G82" t="str">
        <f t="shared" si="14"/>
        <v>No</v>
      </c>
      <c r="I82" t="str">
        <f t="shared" si="15"/>
        <v>Yes</v>
      </c>
      <c r="J82" t="str">
        <f t="shared" si="9"/>
        <v>No</v>
      </c>
      <c r="K82" t="str">
        <f t="shared" si="10"/>
        <v>Yes</v>
      </c>
      <c r="L82" s="203">
        <f>IF(AND('Total income package'!$A$16=TRUE,E82&lt;$J$2),$M$2,0)</f>
        <v>0</v>
      </c>
      <c r="M82" s="179">
        <f>IF(AND('Total income package'!$A$16=TRUE,E82&lt;$L$2),$P$2,0)</f>
        <v>318.5</v>
      </c>
      <c r="N82" s="204">
        <f t="shared" si="16"/>
        <v>318.5</v>
      </c>
    </row>
    <row r="83" spans="1:14" x14ac:dyDescent="0.25">
      <c r="A83" s="105">
        <v>37000</v>
      </c>
      <c r="B83" s="4">
        <f t="shared" si="17"/>
        <v>3083.3333333333335</v>
      </c>
      <c r="C83" s="4">
        <f>'Total income package'!$D$80</f>
        <v>0</v>
      </c>
      <c r="D83" s="4">
        <f t="shared" si="11"/>
        <v>3083.3333333333335</v>
      </c>
      <c r="E83" s="4">
        <f t="shared" si="12"/>
        <v>2992.3333333333335</v>
      </c>
      <c r="F83" t="str">
        <f t="shared" si="13"/>
        <v>No</v>
      </c>
      <c r="G83" t="str">
        <f t="shared" si="14"/>
        <v>No</v>
      </c>
      <c r="I83" t="str">
        <f t="shared" si="15"/>
        <v>Yes</v>
      </c>
      <c r="J83" t="str">
        <f t="shared" si="9"/>
        <v>No</v>
      </c>
      <c r="K83" t="str">
        <f t="shared" si="10"/>
        <v>Yes</v>
      </c>
      <c r="L83" s="203">
        <f>IF(AND('Total income package'!$A$16=TRUE,E83&lt;$J$2),$M$2,0)</f>
        <v>0</v>
      </c>
      <c r="M83" s="179">
        <f>IF(AND('Total income package'!$A$16=TRUE,E83&lt;$L$2),$P$2,0)</f>
        <v>318.5</v>
      </c>
      <c r="N83" s="204">
        <f t="shared" si="16"/>
        <v>318.5</v>
      </c>
    </row>
    <row r="84" spans="1:14" x14ac:dyDescent="0.25">
      <c r="A84" s="105">
        <v>37500</v>
      </c>
      <c r="B84" s="4">
        <f t="shared" si="17"/>
        <v>3125</v>
      </c>
      <c r="C84" s="4">
        <f>'Total income package'!$D$80</f>
        <v>0</v>
      </c>
      <c r="D84" s="4">
        <f t="shared" si="11"/>
        <v>3125</v>
      </c>
      <c r="E84" s="4">
        <f t="shared" si="12"/>
        <v>3034</v>
      </c>
      <c r="F84" t="str">
        <f t="shared" si="13"/>
        <v>No</v>
      </c>
      <c r="G84" t="str">
        <f t="shared" si="14"/>
        <v>No</v>
      </c>
      <c r="I84" t="str">
        <f t="shared" si="15"/>
        <v>Yes</v>
      </c>
      <c r="J84" t="str">
        <f t="shared" si="9"/>
        <v>No</v>
      </c>
      <c r="K84" t="str">
        <f t="shared" si="10"/>
        <v>Yes</v>
      </c>
      <c r="L84" s="203">
        <f>IF(AND('Total income package'!$A$16=TRUE,E84&lt;$J$2),$M$2,0)</f>
        <v>0</v>
      </c>
      <c r="M84" s="179">
        <f>IF(AND('Total income package'!$A$16=TRUE,E84&lt;$L$2),$P$2,0)</f>
        <v>318.5</v>
      </c>
      <c r="N84" s="204">
        <f t="shared" si="16"/>
        <v>318.5</v>
      </c>
    </row>
    <row r="85" spans="1:14" x14ac:dyDescent="0.25">
      <c r="A85" s="105">
        <v>38000</v>
      </c>
      <c r="B85" s="4">
        <f t="shared" si="17"/>
        <v>3166.6666666666665</v>
      </c>
      <c r="C85" s="4">
        <f>'Total income package'!$D$80</f>
        <v>0</v>
      </c>
      <c r="D85" s="4">
        <f t="shared" si="11"/>
        <v>3166.6666666666665</v>
      </c>
      <c r="E85" s="4">
        <f t="shared" si="12"/>
        <v>3075.6666666666665</v>
      </c>
      <c r="F85" t="str">
        <f t="shared" si="13"/>
        <v>No</v>
      </c>
      <c r="G85" t="str">
        <f t="shared" si="14"/>
        <v>No</v>
      </c>
      <c r="I85" t="str">
        <f t="shared" si="15"/>
        <v>Yes</v>
      </c>
      <c r="J85" t="str">
        <f t="shared" si="9"/>
        <v>No</v>
      </c>
      <c r="K85" t="str">
        <f t="shared" si="10"/>
        <v>Yes</v>
      </c>
      <c r="L85" s="203">
        <f>IF(AND('Total income package'!$A$16=TRUE,E85&lt;$J$2),$M$2,0)</f>
        <v>0</v>
      </c>
      <c r="M85" s="179">
        <f>IF(AND('Total income package'!$A$16=TRUE,E85&lt;$L$2),$P$2,0)</f>
        <v>318.5</v>
      </c>
      <c r="N85" s="204">
        <f t="shared" si="16"/>
        <v>318.5</v>
      </c>
    </row>
    <row r="86" spans="1:14" x14ac:dyDescent="0.25">
      <c r="A86" s="105">
        <v>38500</v>
      </c>
      <c r="B86" s="4">
        <f t="shared" si="17"/>
        <v>3208.3333333333335</v>
      </c>
      <c r="C86" s="4">
        <f>'Total income package'!$D$80</f>
        <v>0</v>
      </c>
      <c r="D86" s="4">
        <f t="shared" si="11"/>
        <v>3208.3333333333335</v>
      </c>
      <c r="E86" s="4">
        <f t="shared" si="12"/>
        <v>3117.3333333333335</v>
      </c>
      <c r="F86" t="str">
        <f t="shared" si="13"/>
        <v>No</v>
      </c>
      <c r="G86" t="str">
        <f t="shared" si="14"/>
        <v>No</v>
      </c>
      <c r="I86" t="str">
        <f t="shared" si="15"/>
        <v>Yes</v>
      </c>
      <c r="J86" t="str">
        <f t="shared" si="9"/>
        <v>No</v>
      </c>
      <c r="K86" t="str">
        <f t="shared" si="10"/>
        <v>Yes</v>
      </c>
      <c r="L86" s="203">
        <f>IF(AND('Total income package'!$A$16=TRUE,E86&lt;$J$2),$M$2,0)</f>
        <v>0</v>
      </c>
      <c r="M86" s="179">
        <f>IF(AND('Total income package'!$A$16=TRUE,E86&lt;$L$2),$P$2,0)</f>
        <v>318.5</v>
      </c>
      <c r="N86" s="204">
        <f t="shared" si="16"/>
        <v>318.5</v>
      </c>
    </row>
    <row r="87" spans="1:14" x14ac:dyDescent="0.25">
      <c r="A87" s="105">
        <v>39000</v>
      </c>
      <c r="B87" s="4">
        <f t="shared" si="17"/>
        <v>3250</v>
      </c>
      <c r="C87" s="4">
        <f>'Total income package'!$D$80</f>
        <v>0</v>
      </c>
      <c r="D87" s="4">
        <f t="shared" si="11"/>
        <v>3250</v>
      </c>
      <c r="E87" s="4">
        <f t="shared" si="12"/>
        <v>3159</v>
      </c>
      <c r="F87" t="str">
        <f t="shared" si="13"/>
        <v>No</v>
      </c>
      <c r="G87" t="str">
        <f t="shared" si="14"/>
        <v>No</v>
      </c>
      <c r="I87" t="str">
        <f t="shared" si="15"/>
        <v>Yes</v>
      </c>
      <c r="J87" t="str">
        <f t="shared" si="9"/>
        <v>No</v>
      </c>
      <c r="K87" t="str">
        <f t="shared" si="10"/>
        <v>Yes</v>
      </c>
      <c r="L87" s="203">
        <f>IF(AND('Total income package'!$A$16=TRUE,E87&lt;$J$2),$M$2,0)</f>
        <v>0</v>
      </c>
      <c r="M87" s="179">
        <f>IF(AND('Total income package'!$A$16=TRUE,E87&lt;$L$2),$P$2,0)</f>
        <v>318.5</v>
      </c>
      <c r="N87" s="204">
        <f t="shared" si="16"/>
        <v>318.5</v>
      </c>
    </row>
    <row r="88" spans="1:14" x14ac:dyDescent="0.25">
      <c r="A88" s="105">
        <v>39500</v>
      </c>
      <c r="B88" s="4">
        <f t="shared" si="17"/>
        <v>3291.6666666666665</v>
      </c>
      <c r="C88" s="4">
        <f>'Total income package'!$D$80</f>
        <v>0</v>
      </c>
      <c r="D88" s="4">
        <f t="shared" si="11"/>
        <v>3291.6666666666665</v>
      </c>
      <c r="E88" s="4">
        <f t="shared" si="12"/>
        <v>3200.6666666666665</v>
      </c>
      <c r="F88" t="str">
        <f t="shared" si="13"/>
        <v>No</v>
      </c>
      <c r="G88" t="str">
        <f t="shared" si="14"/>
        <v>No</v>
      </c>
      <c r="I88" t="str">
        <f t="shared" si="15"/>
        <v>Yes</v>
      </c>
      <c r="J88" t="str">
        <f t="shared" si="9"/>
        <v>No</v>
      </c>
      <c r="K88" t="str">
        <f t="shared" si="10"/>
        <v>Yes</v>
      </c>
      <c r="L88" s="203">
        <f>IF(AND('Total income package'!$A$16=TRUE,E88&lt;$J$2),$M$2,0)</f>
        <v>0</v>
      </c>
      <c r="M88" s="179">
        <f>IF(AND('Total income package'!$A$16=TRUE,E88&lt;$L$2),$P$2,0)</f>
        <v>318.5</v>
      </c>
      <c r="N88" s="204">
        <f t="shared" si="16"/>
        <v>318.5</v>
      </c>
    </row>
    <row r="89" spans="1:14" x14ac:dyDescent="0.25">
      <c r="A89" s="105">
        <v>40000</v>
      </c>
      <c r="B89" s="4">
        <f t="shared" si="17"/>
        <v>3333.3333333333335</v>
      </c>
      <c r="C89" s="4">
        <f>'Total income package'!$D$80</f>
        <v>0</v>
      </c>
      <c r="D89" s="4">
        <f t="shared" si="11"/>
        <v>3333.3333333333335</v>
      </c>
      <c r="E89" s="4">
        <f t="shared" si="12"/>
        <v>3242.3333333333335</v>
      </c>
      <c r="F89" t="str">
        <f t="shared" si="13"/>
        <v>No</v>
      </c>
      <c r="G89" t="str">
        <f t="shared" si="14"/>
        <v>No</v>
      </c>
      <c r="I89" t="str">
        <f t="shared" si="15"/>
        <v>Yes</v>
      </c>
      <c r="J89" t="str">
        <f t="shared" si="9"/>
        <v>No</v>
      </c>
      <c r="K89" t="str">
        <f t="shared" si="10"/>
        <v>Yes</v>
      </c>
      <c r="L89" s="203">
        <f>IF(AND('Total income package'!$A$16=TRUE,E89&lt;$J$2),$M$2,0)</f>
        <v>0</v>
      </c>
      <c r="M89" s="179">
        <f>IF(AND('Total income package'!$A$16=TRUE,E89&lt;$L$2),$P$2,0)</f>
        <v>318.5</v>
      </c>
      <c r="N89" s="204">
        <f t="shared" si="16"/>
        <v>318.5</v>
      </c>
    </row>
    <row r="90" spans="1:14" x14ac:dyDescent="0.25">
      <c r="A90" s="105">
        <v>40500</v>
      </c>
      <c r="B90" s="4">
        <f t="shared" si="17"/>
        <v>3375</v>
      </c>
      <c r="C90" s="4">
        <f>'Total income package'!$D$80</f>
        <v>0</v>
      </c>
      <c r="D90" s="4">
        <f t="shared" si="11"/>
        <v>3375</v>
      </c>
      <c r="E90" s="4">
        <f t="shared" si="12"/>
        <v>3284</v>
      </c>
      <c r="F90" t="str">
        <f t="shared" si="13"/>
        <v>No</v>
      </c>
      <c r="G90" t="str">
        <f t="shared" si="14"/>
        <v>No</v>
      </c>
      <c r="I90" t="str">
        <f t="shared" si="15"/>
        <v>Yes</v>
      </c>
      <c r="J90" t="str">
        <f t="shared" si="9"/>
        <v>No</v>
      </c>
      <c r="K90" t="str">
        <f t="shared" si="10"/>
        <v>Yes</v>
      </c>
      <c r="L90" s="203">
        <f>IF(AND('Total income package'!$A$16=TRUE,E90&lt;$J$2),$M$2,0)</f>
        <v>0</v>
      </c>
      <c r="M90" s="179">
        <f>IF(AND('Total income package'!$A$16=TRUE,E90&lt;$L$2),$P$2,0)</f>
        <v>318.5</v>
      </c>
      <c r="N90" s="204">
        <f t="shared" si="16"/>
        <v>318.5</v>
      </c>
    </row>
    <row r="91" spans="1:14" x14ac:dyDescent="0.25">
      <c r="A91" s="105">
        <v>41000</v>
      </c>
      <c r="B91" s="4">
        <f t="shared" si="17"/>
        <v>3416.6666666666665</v>
      </c>
      <c r="C91" s="4">
        <f>'Total income package'!$D$80</f>
        <v>0</v>
      </c>
      <c r="D91" s="4">
        <f t="shared" si="11"/>
        <v>3416.6666666666665</v>
      </c>
      <c r="E91" s="4">
        <f t="shared" si="12"/>
        <v>3325.6666666666665</v>
      </c>
      <c r="F91" t="str">
        <f t="shared" si="13"/>
        <v>No</v>
      </c>
      <c r="G91" t="str">
        <f t="shared" si="14"/>
        <v>No</v>
      </c>
      <c r="I91" t="str">
        <f t="shared" si="15"/>
        <v>Yes</v>
      </c>
      <c r="J91" t="str">
        <f t="shared" si="9"/>
        <v>No</v>
      </c>
      <c r="K91" t="str">
        <f t="shared" si="10"/>
        <v>Yes</v>
      </c>
      <c r="L91" s="203">
        <f>IF(AND('Total income package'!$A$16=TRUE,E91&lt;$J$2),$M$2,0)</f>
        <v>0</v>
      </c>
      <c r="M91" s="179">
        <f>IF(AND('Total income package'!$A$16=TRUE,E91&lt;$L$2),$P$2,0)</f>
        <v>318.5</v>
      </c>
      <c r="N91" s="204">
        <f t="shared" si="16"/>
        <v>318.5</v>
      </c>
    </row>
    <row r="92" spans="1:14" x14ac:dyDescent="0.25">
      <c r="A92" s="105">
        <v>41500</v>
      </c>
      <c r="B92" s="4">
        <f t="shared" si="17"/>
        <v>3458.3333333333335</v>
      </c>
      <c r="C92" s="4">
        <f>'Total income package'!$D$80</f>
        <v>0</v>
      </c>
      <c r="D92" s="4">
        <f t="shared" si="11"/>
        <v>3458.3333333333335</v>
      </c>
      <c r="E92" s="4">
        <f t="shared" si="12"/>
        <v>3367.3333333333335</v>
      </c>
      <c r="F92" t="str">
        <f t="shared" si="13"/>
        <v>No</v>
      </c>
      <c r="G92" t="str">
        <f t="shared" si="14"/>
        <v>No</v>
      </c>
      <c r="I92" t="str">
        <f t="shared" si="15"/>
        <v>Yes</v>
      </c>
      <c r="J92" t="str">
        <f t="shared" si="9"/>
        <v>No</v>
      </c>
      <c r="K92" t="str">
        <f t="shared" si="10"/>
        <v>Yes</v>
      </c>
      <c r="L92" s="203">
        <f>IF(AND('Total income package'!$A$16=TRUE,E92&lt;$J$2),$M$2,0)</f>
        <v>0</v>
      </c>
      <c r="M92" s="179">
        <f>IF(AND('Total income package'!$A$16=TRUE,E92&lt;$L$2),$P$2,0)</f>
        <v>318.5</v>
      </c>
      <c r="N92" s="204">
        <f t="shared" si="16"/>
        <v>318.5</v>
      </c>
    </row>
    <row r="93" spans="1:14" x14ac:dyDescent="0.25">
      <c r="A93" s="105">
        <v>42000</v>
      </c>
      <c r="B93" s="4">
        <f t="shared" si="17"/>
        <v>3500</v>
      </c>
      <c r="C93" s="4">
        <f>'Total income package'!$D$80</f>
        <v>0</v>
      </c>
      <c r="D93" s="4">
        <f t="shared" si="11"/>
        <v>3500</v>
      </c>
      <c r="E93" s="4">
        <f t="shared" si="12"/>
        <v>3409</v>
      </c>
      <c r="F93" t="str">
        <f t="shared" si="13"/>
        <v>No</v>
      </c>
      <c r="G93" t="str">
        <f t="shared" si="14"/>
        <v>No</v>
      </c>
      <c r="I93" t="str">
        <f t="shared" si="15"/>
        <v>Yes</v>
      </c>
      <c r="J93" t="str">
        <f t="shared" si="9"/>
        <v>No</v>
      </c>
      <c r="K93" t="str">
        <f t="shared" si="10"/>
        <v>Yes</v>
      </c>
      <c r="L93" s="203">
        <f>IF(AND('Total income package'!$A$16=TRUE,E93&lt;$J$2),$M$2,0)</f>
        <v>0</v>
      </c>
      <c r="M93" s="179">
        <f>IF(AND('Total income package'!$A$16=TRUE,E93&lt;$L$2),$P$2,0)</f>
        <v>318.5</v>
      </c>
      <c r="N93" s="204">
        <f t="shared" si="16"/>
        <v>318.5</v>
      </c>
    </row>
    <row r="94" spans="1:14" x14ac:dyDescent="0.25">
      <c r="A94" s="105">
        <v>42500</v>
      </c>
      <c r="B94" s="4">
        <f t="shared" si="17"/>
        <v>3541.6666666666665</v>
      </c>
      <c r="C94" s="4">
        <f>'Total income package'!$D$80</f>
        <v>0</v>
      </c>
      <c r="D94" s="4">
        <f t="shared" si="11"/>
        <v>3541.6666666666665</v>
      </c>
      <c r="E94" s="4">
        <f t="shared" si="12"/>
        <v>3450.6666666666665</v>
      </c>
      <c r="F94" t="str">
        <f t="shared" si="13"/>
        <v>No</v>
      </c>
      <c r="G94" t="str">
        <f t="shared" si="14"/>
        <v>No</v>
      </c>
      <c r="I94" t="str">
        <f t="shared" si="15"/>
        <v>Yes</v>
      </c>
      <c r="J94" t="str">
        <f t="shared" si="9"/>
        <v>No</v>
      </c>
      <c r="K94" t="str">
        <f t="shared" si="10"/>
        <v>Yes</v>
      </c>
      <c r="L94" s="203">
        <f>IF(AND('Total income package'!$A$16=TRUE,E94&lt;$J$2),$M$2,0)</f>
        <v>0</v>
      </c>
      <c r="M94" s="179">
        <f>IF(AND('Total income package'!$A$16=TRUE,E94&lt;$L$2),$P$2,0)</f>
        <v>318.5</v>
      </c>
      <c r="N94" s="204">
        <f t="shared" si="16"/>
        <v>318.5</v>
      </c>
    </row>
    <row r="95" spans="1:14" x14ac:dyDescent="0.25">
      <c r="A95" s="105">
        <v>43000</v>
      </c>
      <c r="B95" s="4">
        <f t="shared" si="17"/>
        <v>3583.3333333333335</v>
      </c>
      <c r="C95" s="4">
        <f>'Total income package'!$D$80</f>
        <v>0</v>
      </c>
      <c r="D95" s="4">
        <f t="shared" si="11"/>
        <v>3583.3333333333335</v>
      </c>
      <c r="E95" s="4">
        <f t="shared" si="12"/>
        <v>3492.3333333333335</v>
      </c>
      <c r="F95" t="str">
        <f t="shared" si="13"/>
        <v>No</v>
      </c>
      <c r="G95" t="str">
        <f t="shared" si="14"/>
        <v>No</v>
      </c>
      <c r="I95" t="str">
        <f t="shared" si="15"/>
        <v>Yes</v>
      </c>
      <c r="J95" t="str">
        <f t="shared" si="9"/>
        <v>No</v>
      </c>
      <c r="K95" t="str">
        <f t="shared" si="10"/>
        <v>Yes</v>
      </c>
      <c r="L95" s="203">
        <f>IF(AND('Total income package'!$A$16=TRUE,E95&lt;$J$2),$M$2,0)</f>
        <v>0</v>
      </c>
      <c r="M95" s="179">
        <f>IF(AND('Total income package'!$A$16=TRUE,E95&lt;$L$2),$P$2,0)</f>
        <v>318.5</v>
      </c>
      <c r="N95" s="204">
        <f t="shared" si="16"/>
        <v>318.5</v>
      </c>
    </row>
    <row r="96" spans="1:14" x14ac:dyDescent="0.25">
      <c r="A96" s="105">
        <v>43500</v>
      </c>
      <c r="B96" s="4">
        <f t="shared" si="17"/>
        <v>3625</v>
      </c>
      <c r="C96" s="4">
        <f>'Total income package'!$D$80</f>
        <v>0</v>
      </c>
      <c r="D96" s="4">
        <f t="shared" si="11"/>
        <v>3625</v>
      </c>
      <c r="E96" s="4">
        <f t="shared" si="12"/>
        <v>3534</v>
      </c>
      <c r="F96" t="str">
        <f t="shared" si="13"/>
        <v>No</v>
      </c>
      <c r="G96" t="str">
        <f t="shared" si="14"/>
        <v>No</v>
      </c>
      <c r="I96" t="str">
        <f t="shared" si="15"/>
        <v>Yes</v>
      </c>
      <c r="J96" t="str">
        <f t="shared" si="9"/>
        <v>No</v>
      </c>
      <c r="K96" t="str">
        <f t="shared" si="10"/>
        <v>No</v>
      </c>
      <c r="L96" s="203">
        <f>IF(AND('Total income package'!$A$16=TRUE,E96&lt;$J$2),$M$2,0)</f>
        <v>0</v>
      </c>
      <c r="M96" s="179">
        <f>IF(AND('Total income package'!$A$16=TRUE,E96&lt;$L$2),$P$2,0)</f>
        <v>0</v>
      </c>
      <c r="N96" s="204">
        <f t="shared" si="16"/>
        <v>0</v>
      </c>
    </row>
    <row r="97" spans="1:14" x14ac:dyDescent="0.25">
      <c r="A97" s="105">
        <v>44000</v>
      </c>
      <c r="B97" s="4">
        <f t="shared" si="17"/>
        <v>3666.6666666666665</v>
      </c>
      <c r="C97" s="4">
        <f>'Total income package'!$D$80</f>
        <v>0</v>
      </c>
      <c r="D97" s="4">
        <f t="shared" si="11"/>
        <v>3666.6666666666665</v>
      </c>
      <c r="E97" s="4">
        <f t="shared" si="12"/>
        <v>3575.6666666666665</v>
      </c>
      <c r="F97" t="str">
        <f t="shared" si="13"/>
        <v>No</v>
      </c>
      <c r="G97" t="str">
        <f t="shared" si="14"/>
        <v>No</v>
      </c>
      <c r="I97" t="str">
        <f t="shared" si="15"/>
        <v>Yes</v>
      </c>
      <c r="J97" t="str">
        <f t="shared" si="9"/>
        <v>No</v>
      </c>
      <c r="K97" t="str">
        <f t="shared" si="10"/>
        <v>No</v>
      </c>
      <c r="L97" s="203">
        <f>IF(AND('Total income package'!$A$16=TRUE,E97&lt;$J$2),$M$2,0)</f>
        <v>0</v>
      </c>
      <c r="M97" s="179">
        <f>IF(AND('Total income package'!$A$16=TRUE,E97&lt;$L$2),$P$2,0)</f>
        <v>0</v>
      </c>
      <c r="N97" s="204">
        <f t="shared" si="16"/>
        <v>0</v>
      </c>
    </row>
    <row r="98" spans="1:14" x14ac:dyDescent="0.25">
      <c r="A98" s="105">
        <v>44500</v>
      </c>
      <c r="B98" s="4">
        <f t="shared" si="17"/>
        <v>3708.3333333333335</v>
      </c>
      <c r="C98" s="4">
        <f>'Total income package'!$D$80</f>
        <v>0</v>
      </c>
      <c r="D98" s="4">
        <f t="shared" si="11"/>
        <v>3708.3333333333335</v>
      </c>
      <c r="E98" s="4">
        <f t="shared" si="12"/>
        <v>3617.3333333333335</v>
      </c>
      <c r="F98" t="str">
        <f t="shared" si="13"/>
        <v>No</v>
      </c>
      <c r="G98" t="str">
        <f t="shared" si="14"/>
        <v>No</v>
      </c>
      <c r="I98" t="str">
        <f t="shared" si="15"/>
        <v>Yes</v>
      </c>
      <c r="J98" t="str">
        <f t="shared" si="9"/>
        <v>No</v>
      </c>
      <c r="K98" t="str">
        <f t="shared" si="10"/>
        <v>No</v>
      </c>
      <c r="L98" s="203">
        <f>IF(AND('Total income package'!$A$16=TRUE,E98&lt;$J$2),$M$2,0)</f>
        <v>0</v>
      </c>
      <c r="M98" s="179">
        <f>IF(AND('Total income package'!$A$16=TRUE,E98&lt;$L$2),$P$2,0)</f>
        <v>0</v>
      </c>
      <c r="N98" s="204">
        <f t="shared" si="16"/>
        <v>0</v>
      </c>
    </row>
    <row r="99" spans="1:14" x14ac:dyDescent="0.25">
      <c r="A99" s="105">
        <v>45000</v>
      </c>
      <c r="B99" s="4">
        <f t="shared" si="17"/>
        <v>3750</v>
      </c>
      <c r="C99" s="4">
        <f>'Total income package'!$D$80</f>
        <v>0</v>
      </c>
      <c r="D99" s="4">
        <f t="shared" si="11"/>
        <v>3750</v>
      </c>
      <c r="E99" s="4">
        <f t="shared" si="12"/>
        <v>3659</v>
      </c>
      <c r="F99" t="str">
        <f t="shared" si="13"/>
        <v>No</v>
      </c>
      <c r="G99" t="str">
        <f t="shared" si="14"/>
        <v>No</v>
      </c>
      <c r="I99" t="str">
        <f t="shared" si="15"/>
        <v>Yes</v>
      </c>
      <c r="J99" t="str">
        <f t="shared" si="9"/>
        <v>No</v>
      </c>
      <c r="K99" t="str">
        <f t="shared" si="10"/>
        <v>No</v>
      </c>
      <c r="L99" s="203">
        <f>IF(AND('Total income package'!$A$16=TRUE,E99&lt;$J$2),$M$2,0)</f>
        <v>0</v>
      </c>
      <c r="M99" s="179">
        <f>IF(AND('Total income package'!$A$16=TRUE,E99&lt;$L$2),$P$2,0)</f>
        <v>0</v>
      </c>
      <c r="N99" s="204">
        <f t="shared" si="16"/>
        <v>0</v>
      </c>
    </row>
    <row r="100" spans="1:14" x14ac:dyDescent="0.25">
      <c r="A100" s="105">
        <v>45500</v>
      </c>
      <c r="B100" s="4">
        <f t="shared" si="17"/>
        <v>3791.6666666666665</v>
      </c>
      <c r="C100" s="4">
        <f>'Total income package'!$D$80</f>
        <v>0</v>
      </c>
      <c r="D100" s="4">
        <f t="shared" si="11"/>
        <v>3791.6666666666665</v>
      </c>
      <c r="E100" s="4">
        <f t="shared" si="12"/>
        <v>3700.6666666666665</v>
      </c>
      <c r="F100" t="str">
        <f t="shared" si="13"/>
        <v>No</v>
      </c>
      <c r="G100" t="str">
        <f t="shared" si="14"/>
        <v>No</v>
      </c>
      <c r="I100" t="str">
        <f t="shared" si="15"/>
        <v>Yes</v>
      </c>
      <c r="J100" t="str">
        <f t="shared" si="9"/>
        <v>No</v>
      </c>
      <c r="K100" t="str">
        <f t="shared" si="10"/>
        <v>No</v>
      </c>
      <c r="L100" s="203">
        <f>IF(AND('Total income package'!$A$16=TRUE,E100&lt;$J$2),$M$2,0)</f>
        <v>0</v>
      </c>
      <c r="M100" s="179">
        <f>IF(AND('Total income package'!$A$16=TRUE,E100&lt;$L$2),$P$2,0)</f>
        <v>0</v>
      </c>
      <c r="N100" s="204">
        <f t="shared" si="16"/>
        <v>0</v>
      </c>
    </row>
    <row r="101" spans="1:14" x14ac:dyDescent="0.25">
      <c r="A101" s="105">
        <v>46000</v>
      </c>
      <c r="B101" s="4">
        <f t="shared" si="17"/>
        <v>3833.3333333333335</v>
      </c>
      <c r="C101" s="4">
        <f>'Total income package'!$D$80</f>
        <v>0</v>
      </c>
      <c r="D101" s="4">
        <f t="shared" si="11"/>
        <v>3833.3333333333335</v>
      </c>
      <c r="E101" s="4">
        <f t="shared" si="12"/>
        <v>3742.3333333333335</v>
      </c>
      <c r="F101" t="str">
        <f t="shared" si="13"/>
        <v>No</v>
      </c>
      <c r="G101" t="str">
        <f t="shared" si="14"/>
        <v>No</v>
      </c>
      <c r="I101" t="str">
        <f t="shared" si="15"/>
        <v>Yes</v>
      </c>
      <c r="J101" t="str">
        <f t="shared" si="9"/>
        <v>No</v>
      </c>
      <c r="K101" t="str">
        <f t="shared" si="10"/>
        <v>No</v>
      </c>
      <c r="L101" s="203">
        <f>IF(AND('Total income package'!$A$16=TRUE,E101&lt;$J$2),$M$2,0)</f>
        <v>0</v>
      </c>
      <c r="M101" s="179">
        <f>IF(AND('Total income package'!$A$16=TRUE,E101&lt;$L$2),$P$2,0)</f>
        <v>0</v>
      </c>
      <c r="N101" s="204">
        <f t="shared" si="16"/>
        <v>0</v>
      </c>
    </row>
    <row r="102" spans="1:14" x14ac:dyDescent="0.25">
      <c r="A102" s="105">
        <v>46500</v>
      </c>
      <c r="B102" s="4">
        <f t="shared" si="17"/>
        <v>3875</v>
      </c>
      <c r="C102" s="4">
        <f>'Total income package'!$D$80</f>
        <v>0</v>
      </c>
      <c r="D102" s="4">
        <f t="shared" si="11"/>
        <v>3875</v>
      </c>
      <c r="E102" s="4">
        <f t="shared" si="12"/>
        <v>3784</v>
      </c>
      <c r="F102" t="str">
        <f t="shared" si="13"/>
        <v>No</v>
      </c>
      <c r="G102" t="str">
        <f t="shared" si="14"/>
        <v>No</v>
      </c>
      <c r="I102" t="str">
        <f t="shared" si="15"/>
        <v>Yes</v>
      </c>
      <c r="J102" t="str">
        <f t="shared" si="9"/>
        <v>No</v>
      </c>
      <c r="K102" t="str">
        <f t="shared" si="10"/>
        <v>No</v>
      </c>
      <c r="L102" s="203">
        <f>IF(AND('Total income package'!$A$16=TRUE,E102&lt;$J$2),$M$2,0)</f>
        <v>0</v>
      </c>
      <c r="M102" s="179">
        <f>IF(AND('Total income package'!$A$16=TRUE,E102&lt;$L$2),$P$2,0)</f>
        <v>0</v>
      </c>
      <c r="N102" s="204">
        <f t="shared" si="16"/>
        <v>0</v>
      </c>
    </row>
    <row r="103" spans="1:14" x14ac:dyDescent="0.25">
      <c r="A103" s="105">
        <v>47000</v>
      </c>
      <c r="B103" s="4">
        <f t="shared" si="17"/>
        <v>3916.6666666666665</v>
      </c>
      <c r="C103" s="4">
        <f>'Total income package'!$D$80</f>
        <v>0</v>
      </c>
      <c r="D103" s="4">
        <f t="shared" si="11"/>
        <v>3916.6666666666665</v>
      </c>
      <c r="E103" s="4">
        <f t="shared" si="12"/>
        <v>3825.6666666666665</v>
      </c>
      <c r="F103" t="str">
        <f t="shared" si="13"/>
        <v>No</v>
      </c>
      <c r="G103" t="str">
        <f t="shared" si="14"/>
        <v>No</v>
      </c>
      <c r="I103" t="str">
        <f t="shared" si="15"/>
        <v>Yes</v>
      </c>
      <c r="J103" t="str">
        <f t="shared" si="9"/>
        <v>No</v>
      </c>
      <c r="K103" t="str">
        <f t="shared" si="10"/>
        <v>No</v>
      </c>
      <c r="L103" s="203">
        <f>IF(AND('Total income package'!$A$16=TRUE,E103&lt;$J$2),$M$2,0)</f>
        <v>0</v>
      </c>
      <c r="M103" s="179">
        <f>IF(AND('Total income package'!$A$16=TRUE,E103&lt;$L$2),$P$2,0)</f>
        <v>0</v>
      </c>
      <c r="N103" s="204">
        <f t="shared" si="16"/>
        <v>0</v>
      </c>
    </row>
    <row r="104" spans="1:14" x14ac:dyDescent="0.25">
      <c r="A104" s="105">
        <v>47500</v>
      </c>
      <c r="B104" s="4">
        <f t="shared" si="17"/>
        <v>3958.3333333333335</v>
      </c>
      <c r="C104" s="4">
        <f>'Total income package'!$D$80</f>
        <v>0</v>
      </c>
      <c r="D104" s="4">
        <f t="shared" si="11"/>
        <v>3958.3333333333335</v>
      </c>
      <c r="E104" s="4">
        <f t="shared" si="12"/>
        <v>3867.3333333333335</v>
      </c>
      <c r="F104" t="str">
        <f t="shared" si="13"/>
        <v>No</v>
      </c>
      <c r="G104" t="str">
        <f t="shared" si="14"/>
        <v>No</v>
      </c>
      <c r="I104" t="str">
        <f t="shared" si="15"/>
        <v>Yes</v>
      </c>
      <c r="J104" t="str">
        <f t="shared" si="9"/>
        <v>No</v>
      </c>
      <c r="K104" t="str">
        <f t="shared" si="10"/>
        <v>No</v>
      </c>
      <c r="L104" s="203">
        <f>IF(AND('Total income package'!$A$16=TRUE,E104&lt;$J$2),$M$2,0)</f>
        <v>0</v>
      </c>
      <c r="M104" s="179">
        <f>IF(AND('Total income package'!$A$16=TRUE,E104&lt;$L$2),$P$2,0)</f>
        <v>0</v>
      </c>
      <c r="N104" s="204">
        <f t="shared" si="16"/>
        <v>0</v>
      </c>
    </row>
    <row r="105" spans="1:14" x14ac:dyDescent="0.25">
      <c r="A105" s="105">
        <v>48000</v>
      </c>
      <c r="B105" s="4">
        <f t="shared" si="17"/>
        <v>4000</v>
      </c>
      <c r="C105" s="4">
        <f>'Total income package'!$D$80</f>
        <v>0</v>
      </c>
      <c r="D105" s="4">
        <f t="shared" si="11"/>
        <v>4000</v>
      </c>
      <c r="E105" s="4">
        <f t="shared" si="12"/>
        <v>3909</v>
      </c>
      <c r="F105" t="str">
        <f t="shared" si="13"/>
        <v>No</v>
      </c>
      <c r="G105" t="str">
        <f t="shared" si="14"/>
        <v>No</v>
      </c>
      <c r="I105" t="str">
        <f t="shared" si="15"/>
        <v>Yes</v>
      </c>
      <c r="J105" t="str">
        <f t="shared" si="9"/>
        <v>No</v>
      </c>
      <c r="K105" t="str">
        <f t="shared" si="10"/>
        <v>No</v>
      </c>
      <c r="L105" s="203">
        <f>IF(AND('Total income package'!$A$16=TRUE,E105&lt;$J$2),$M$2,0)</f>
        <v>0</v>
      </c>
      <c r="M105" s="179">
        <f>IF(AND('Total income package'!$A$16=TRUE,E105&lt;$L$2),$P$2,0)</f>
        <v>0</v>
      </c>
      <c r="N105" s="204">
        <f t="shared" si="16"/>
        <v>0</v>
      </c>
    </row>
    <row r="106" spans="1:14" x14ac:dyDescent="0.25">
      <c r="A106" s="105">
        <v>48500</v>
      </c>
      <c r="B106" s="4">
        <f t="shared" si="17"/>
        <v>4041.6666666666665</v>
      </c>
      <c r="C106" s="4">
        <f>'Total income package'!$D$80</f>
        <v>0</v>
      </c>
      <c r="D106" s="4">
        <f t="shared" si="11"/>
        <v>4041.6666666666665</v>
      </c>
      <c r="E106" s="4">
        <f t="shared" si="12"/>
        <v>3950.6666666666665</v>
      </c>
      <c r="F106" t="str">
        <f t="shared" si="13"/>
        <v>No</v>
      </c>
      <c r="G106" t="str">
        <f t="shared" si="14"/>
        <v>No</v>
      </c>
      <c r="I106" t="str">
        <f t="shared" si="15"/>
        <v>Yes</v>
      </c>
      <c r="J106" t="str">
        <f t="shared" si="9"/>
        <v>No</v>
      </c>
      <c r="K106" t="str">
        <f t="shared" si="10"/>
        <v>No</v>
      </c>
      <c r="L106" s="203">
        <f>IF(AND('Total income package'!$A$16=TRUE,E106&lt;$J$2),$M$2,0)</f>
        <v>0</v>
      </c>
      <c r="M106" s="179">
        <f>IF(AND('Total income package'!$A$16=TRUE,E106&lt;$L$2),$P$2,0)</f>
        <v>0</v>
      </c>
      <c r="N106" s="204">
        <f t="shared" si="16"/>
        <v>0</v>
      </c>
    </row>
    <row r="107" spans="1:14" x14ac:dyDescent="0.25">
      <c r="A107" s="105">
        <v>49000</v>
      </c>
      <c r="B107" s="4">
        <f t="shared" si="17"/>
        <v>4083.3333333333335</v>
      </c>
      <c r="C107" s="4">
        <f>'Total income package'!$D$80</f>
        <v>0</v>
      </c>
      <c r="D107" s="4">
        <f t="shared" si="11"/>
        <v>4083.3333333333335</v>
      </c>
      <c r="E107" s="4">
        <f t="shared" si="12"/>
        <v>3992.3333333333335</v>
      </c>
      <c r="F107" t="str">
        <f t="shared" si="13"/>
        <v>No</v>
      </c>
      <c r="G107" t="str">
        <f t="shared" si="14"/>
        <v>No</v>
      </c>
      <c r="I107" t="str">
        <f t="shared" si="15"/>
        <v>Yes</v>
      </c>
      <c r="J107" t="str">
        <f t="shared" si="9"/>
        <v>No</v>
      </c>
      <c r="K107" t="str">
        <f t="shared" si="10"/>
        <v>No</v>
      </c>
      <c r="L107" s="203">
        <f>IF(AND('Total income package'!$A$16=TRUE,E107&lt;$J$2),$M$2,0)</f>
        <v>0</v>
      </c>
      <c r="M107" s="179">
        <f>IF(AND('Total income package'!$A$16=TRUE,E107&lt;$L$2),$P$2,0)</f>
        <v>0</v>
      </c>
      <c r="N107" s="204">
        <f t="shared" si="16"/>
        <v>0</v>
      </c>
    </row>
    <row r="108" spans="1:14" x14ac:dyDescent="0.25">
      <c r="A108" s="105">
        <v>49500</v>
      </c>
      <c r="B108" s="4">
        <f t="shared" si="17"/>
        <v>4125</v>
      </c>
      <c r="C108" s="4">
        <f>'Total income package'!$D$80</f>
        <v>0</v>
      </c>
      <c r="D108" s="4">
        <f t="shared" si="11"/>
        <v>4125</v>
      </c>
      <c r="E108" s="4">
        <f t="shared" si="12"/>
        <v>4034</v>
      </c>
      <c r="F108" t="str">
        <f t="shared" si="13"/>
        <v>No</v>
      </c>
      <c r="G108" t="str">
        <f t="shared" si="14"/>
        <v>No</v>
      </c>
      <c r="I108" t="str">
        <f t="shared" si="15"/>
        <v>Yes</v>
      </c>
      <c r="J108" t="str">
        <f t="shared" si="9"/>
        <v>No</v>
      </c>
      <c r="K108" t="str">
        <f t="shared" si="10"/>
        <v>No</v>
      </c>
      <c r="L108" s="203">
        <f>IF(AND('Total income package'!$A$16=TRUE,E108&lt;$J$2),$M$2,0)</f>
        <v>0</v>
      </c>
      <c r="M108" s="179">
        <f>IF(AND('Total income package'!$A$16=TRUE,E108&lt;$L$2),$P$2,0)</f>
        <v>0</v>
      </c>
      <c r="N108" s="204">
        <f t="shared" si="16"/>
        <v>0</v>
      </c>
    </row>
    <row r="109" spans="1:14" x14ac:dyDescent="0.25">
      <c r="A109" s="105">
        <v>50000</v>
      </c>
      <c r="B109" s="4">
        <f t="shared" si="17"/>
        <v>4166.666666666667</v>
      </c>
      <c r="C109" s="4">
        <f>'Total income package'!$D$80</f>
        <v>0</v>
      </c>
      <c r="D109" s="4">
        <f t="shared" si="11"/>
        <v>4166.666666666667</v>
      </c>
      <c r="E109" s="4">
        <f t="shared" si="12"/>
        <v>4075.666666666667</v>
      </c>
      <c r="F109" t="str">
        <f t="shared" si="13"/>
        <v>No</v>
      </c>
      <c r="G109" t="str">
        <f t="shared" si="14"/>
        <v>No</v>
      </c>
      <c r="I109" t="str">
        <f t="shared" si="15"/>
        <v>Yes</v>
      </c>
      <c r="J109" t="str">
        <f t="shared" si="9"/>
        <v>No</v>
      </c>
      <c r="K109" t="str">
        <f t="shared" si="10"/>
        <v>No</v>
      </c>
      <c r="L109" s="203">
        <f>IF(AND('Total income package'!$A$16=TRUE,E109&lt;$J$2),$M$2,0)</f>
        <v>0</v>
      </c>
      <c r="M109" s="179">
        <f>IF(AND('Total income package'!$A$16=TRUE,E109&lt;$L$2),$P$2,0)</f>
        <v>0</v>
      </c>
      <c r="N109" s="204">
        <f t="shared" si="16"/>
        <v>0</v>
      </c>
    </row>
    <row r="110" spans="1:14" x14ac:dyDescent="0.25">
      <c r="A110" s="105">
        <v>50500</v>
      </c>
      <c r="B110" s="4">
        <f t="shared" si="17"/>
        <v>4208.333333333333</v>
      </c>
      <c r="C110" s="4">
        <f>'Total income package'!$D$80</f>
        <v>0</v>
      </c>
      <c r="D110" s="4">
        <f t="shared" si="11"/>
        <v>4208.333333333333</v>
      </c>
      <c r="E110" s="4">
        <f t="shared" si="12"/>
        <v>4117.333333333333</v>
      </c>
      <c r="F110" t="str">
        <f t="shared" si="13"/>
        <v>No</v>
      </c>
      <c r="G110" t="str">
        <f t="shared" si="14"/>
        <v>No</v>
      </c>
      <c r="I110" t="str">
        <f t="shared" si="15"/>
        <v>Yes</v>
      </c>
      <c r="J110" t="str">
        <f t="shared" si="9"/>
        <v>No</v>
      </c>
      <c r="K110" t="str">
        <f t="shared" si="10"/>
        <v>No</v>
      </c>
      <c r="L110" s="203">
        <f>IF(AND('Total income package'!$A$16=TRUE,E110&lt;$J$2),$M$2,0)</f>
        <v>0</v>
      </c>
      <c r="M110" s="179">
        <f>IF(AND('Total income package'!$A$16=TRUE,E110&lt;$L$2),$P$2,0)</f>
        <v>0</v>
      </c>
      <c r="N110" s="204">
        <f t="shared" si="16"/>
        <v>0</v>
      </c>
    </row>
    <row r="111" spans="1:14" x14ac:dyDescent="0.25">
      <c r="A111" s="105">
        <v>51000</v>
      </c>
      <c r="B111" s="4">
        <f t="shared" si="17"/>
        <v>4250</v>
      </c>
      <c r="C111" s="4">
        <f>'Total income package'!$D$80</f>
        <v>0</v>
      </c>
      <c r="D111" s="4">
        <f t="shared" si="11"/>
        <v>4250</v>
      </c>
      <c r="E111" s="4">
        <f t="shared" si="12"/>
        <v>4159</v>
      </c>
      <c r="F111" t="str">
        <f t="shared" si="13"/>
        <v>No</v>
      </c>
      <c r="G111" t="str">
        <f t="shared" si="14"/>
        <v>No</v>
      </c>
      <c r="I111" t="str">
        <f t="shared" si="15"/>
        <v>Yes</v>
      </c>
      <c r="J111" t="str">
        <f t="shared" si="9"/>
        <v>No</v>
      </c>
      <c r="K111" t="str">
        <f t="shared" si="10"/>
        <v>No</v>
      </c>
      <c r="L111" s="203">
        <f>IF(AND('Total income package'!$A$16=TRUE,E111&lt;$J$2),$M$2,0)</f>
        <v>0</v>
      </c>
      <c r="M111" s="179">
        <f>IF(AND('Total income package'!$A$16=TRUE,E111&lt;$L$2),$P$2,0)</f>
        <v>0</v>
      </c>
      <c r="N111" s="204">
        <f t="shared" si="16"/>
        <v>0</v>
      </c>
    </row>
    <row r="112" spans="1:14" x14ac:dyDescent="0.25">
      <c r="A112" s="105">
        <v>51500</v>
      </c>
      <c r="B112" s="4">
        <f t="shared" si="17"/>
        <v>4291.666666666667</v>
      </c>
      <c r="C112" s="4">
        <f>'Total income package'!$D$80</f>
        <v>0</v>
      </c>
      <c r="D112" s="4">
        <f t="shared" si="11"/>
        <v>4291.666666666667</v>
      </c>
      <c r="E112" s="4">
        <f t="shared" si="12"/>
        <v>4200.666666666667</v>
      </c>
      <c r="F112" t="str">
        <f t="shared" si="13"/>
        <v>No</v>
      </c>
      <c r="G112" t="str">
        <f t="shared" si="14"/>
        <v>No</v>
      </c>
      <c r="I112" t="str">
        <f t="shared" si="15"/>
        <v>Yes</v>
      </c>
      <c r="J112" t="str">
        <f t="shared" si="9"/>
        <v>No</v>
      </c>
      <c r="K112" t="str">
        <f t="shared" si="10"/>
        <v>No</v>
      </c>
      <c r="L112" s="203">
        <f>IF(AND('Total income package'!$A$16=TRUE,E112&lt;$J$2),$M$2,0)</f>
        <v>0</v>
      </c>
      <c r="M112" s="179">
        <f>IF(AND('Total income package'!$A$16=TRUE,E112&lt;$L$2),$P$2,0)</f>
        <v>0</v>
      </c>
      <c r="N112" s="204">
        <f t="shared" si="16"/>
        <v>0</v>
      </c>
    </row>
    <row r="113" spans="1:14" x14ac:dyDescent="0.25">
      <c r="A113" s="105">
        <v>52000</v>
      </c>
      <c r="B113" s="4">
        <f t="shared" si="17"/>
        <v>4333.333333333333</v>
      </c>
      <c r="C113" s="4">
        <f>'Total income package'!$D$80</f>
        <v>0</v>
      </c>
      <c r="D113" s="4">
        <f t="shared" si="11"/>
        <v>4333.333333333333</v>
      </c>
      <c r="E113" s="4">
        <f t="shared" si="12"/>
        <v>4242.333333333333</v>
      </c>
      <c r="F113" t="str">
        <f t="shared" si="13"/>
        <v>No</v>
      </c>
      <c r="G113" t="str">
        <f t="shared" si="14"/>
        <v>No</v>
      </c>
      <c r="I113" t="str">
        <f t="shared" si="15"/>
        <v>Yes</v>
      </c>
      <c r="J113" t="str">
        <f t="shared" si="9"/>
        <v>No</v>
      </c>
      <c r="K113" t="str">
        <f t="shared" si="10"/>
        <v>No</v>
      </c>
      <c r="L113" s="203">
        <f>IF(AND('Total income package'!$A$16=TRUE,E113&lt;$J$2),$M$2,0)</f>
        <v>0</v>
      </c>
      <c r="M113" s="179">
        <f>IF(AND('Total income package'!$A$16=TRUE,E113&lt;$L$2),$P$2,0)</f>
        <v>0</v>
      </c>
      <c r="N113" s="204">
        <f t="shared" si="16"/>
        <v>0</v>
      </c>
    </row>
    <row r="114" spans="1:14" x14ac:dyDescent="0.25">
      <c r="A114" s="105">
        <v>52500</v>
      </c>
      <c r="B114" s="4">
        <f t="shared" si="17"/>
        <v>4375</v>
      </c>
      <c r="C114" s="4">
        <f>'Total income package'!$D$80</f>
        <v>0</v>
      </c>
      <c r="D114" s="4">
        <f t="shared" si="11"/>
        <v>4375</v>
      </c>
      <c r="E114" s="4">
        <f t="shared" si="12"/>
        <v>4284</v>
      </c>
      <c r="F114" t="str">
        <f t="shared" si="13"/>
        <v>No</v>
      </c>
      <c r="G114" t="str">
        <f t="shared" si="14"/>
        <v>No</v>
      </c>
      <c r="I114" t="str">
        <f t="shared" si="15"/>
        <v>Yes</v>
      </c>
      <c r="J114" t="str">
        <f t="shared" si="9"/>
        <v>No</v>
      </c>
      <c r="K114" t="str">
        <f t="shared" si="10"/>
        <v>No</v>
      </c>
      <c r="L114" s="203">
        <f>IF(AND('Total income package'!$A$16=TRUE,E114&lt;$J$2),$M$2,0)</f>
        <v>0</v>
      </c>
      <c r="M114" s="179">
        <f>IF(AND('Total income package'!$A$16=TRUE,E114&lt;$L$2),$P$2,0)</f>
        <v>0</v>
      </c>
      <c r="N114" s="204">
        <f t="shared" si="16"/>
        <v>0</v>
      </c>
    </row>
    <row r="115" spans="1:14" x14ac:dyDescent="0.25">
      <c r="A115" s="105">
        <v>53000</v>
      </c>
      <c r="B115" s="4">
        <f t="shared" si="17"/>
        <v>4416.666666666667</v>
      </c>
      <c r="C115" s="4">
        <f>'Total income package'!$D$80</f>
        <v>0</v>
      </c>
      <c r="D115" s="4">
        <f t="shared" si="11"/>
        <v>4416.666666666667</v>
      </c>
      <c r="E115" s="4">
        <f t="shared" si="12"/>
        <v>4325.666666666667</v>
      </c>
      <c r="F115" t="str">
        <f t="shared" si="13"/>
        <v>No</v>
      </c>
      <c r="G115" t="str">
        <f t="shared" si="14"/>
        <v>No</v>
      </c>
      <c r="I115" t="str">
        <f t="shared" si="15"/>
        <v>Yes</v>
      </c>
      <c r="J115" t="str">
        <f t="shared" si="9"/>
        <v>No</v>
      </c>
      <c r="K115" t="str">
        <f t="shared" si="10"/>
        <v>No</v>
      </c>
      <c r="L115" s="203">
        <f>IF(AND('Total income package'!$A$16=TRUE,E115&lt;$J$2),$M$2,0)</f>
        <v>0</v>
      </c>
      <c r="M115" s="179">
        <f>IF(AND('Total income package'!$A$16=TRUE,E115&lt;$L$2),$P$2,0)</f>
        <v>0</v>
      </c>
      <c r="N115" s="204">
        <f t="shared" si="16"/>
        <v>0</v>
      </c>
    </row>
    <row r="116" spans="1:14" x14ac:dyDescent="0.25">
      <c r="A116" s="105">
        <v>53500</v>
      </c>
      <c r="B116" s="4">
        <f t="shared" si="17"/>
        <v>4458.333333333333</v>
      </c>
      <c r="C116" s="4">
        <f>'Total income package'!$D$80</f>
        <v>0</v>
      </c>
      <c r="D116" s="4">
        <f t="shared" si="11"/>
        <v>4458.333333333333</v>
      </c>
      <c r="E116" s="4">
        <f t="shared" si="12"/>
        <v>4367.333333333333</v>
      </c>
      <c r="F116" t="str">
        <f t="shared" si="13"/>
        <v>No</v>
      </c>
      <c r="G116" t="str">
        <f t="shared" si="14"/>
        <v>No</v>
      </c>
      <c r="I116" t="str">
        <f t="shared" si="15"/>
        <v>Yes</v>
      </c>
      <c r="J116" t="str">
        <f t="shared" si="9"/>
        <v>No</v>
      </c>
      <c r="K116" t="str">
        <f t="shared" si="10"/>
        <v>No</v>
      </c>
      <c r="L116" s="203">
        <f>IF(AND('Total income package'!$A$16=TRUE,E116&lt;$J$2),$M$2,0)</f>
        <v>0</v>
      </c>
      <c r="M116" s="179">
        <f>IF(AND('Total income package'!$A$16=TRUE,E116&lt;$L$2),$P$2,0)</f>
        <v>0</v>
      </c>
      <c r="N116" s="204">
        <f t="shared" si="16"/>
        <v>0</v>
      </c>
    </row>
    <row r="117" spans="1:14" x14ac:dyDescent="0.25">
      <c r="A117" s="105">
        <v>54000</v>
      </c>
      <c r="B117" s="4">
        <f t="shared" si="17"/>
        <v>4500</v>
      </c>
      <c r="C117" s="4">
        <f>'Total income package'!$D$80</f>
        <v>0</v>
      </c>
      <c r="D117" s="4">
        <f t="shared" si="11"/>
        <v>4500</v>
      </c>
      <c r="E117" s="4">
        <f t="shared" si="12"/>
        <v>4409</v>
      </c>
      <c r="F117" t="str">
        <f t="shared" si="13"/>
        <v>No</v>
      </c>
      <c r="G117" t="str">
        <f t="shared" si="14"/>
        <v>No</v>
      </c>
      <c r="I117" t="str">
        <f t="shared" si="15"/>
        <v>Yes</v>
      </c>
      <c r="J117" t="str">
        <f t="shared" si="9"/>
        <v>No</v>
      </c>
      <c r="K117" t="str">
        <f t="shared" si="10"/>
        <v>No</v>
      </c>
      <c r="L117" s="203">
        <f>IF(AND('Total income package'!$A$16=TRUE,E117&lt;$J$2),$M$2,0)</f>
        <v>0</v>
      </c>
      <c r="M117" s="179">
        <f>IF(AND('Total income package'!$A$16=TRUE,E117&lt;$L$2),$P$2,0)</f>
        <v>0</v>
      </c>
      <c r="N117" s="204">
        <f t="shared" si="16"/>
        <v>0</v>
      </c>
    </row>
    <row r="118" spans="1:14" x14ac:dyDescent="0.25">
      <c r="A118" s="105">
        <v>54500</v>
      </c>
      <c r="B118" s="4">
        <f t="shared" si="17"/>
        <v>4541.666666666667</v>
      </c>
      <c r="C118" s="4">
        <f>'Total income package'!$D$80</f>
        <v>0</v>
      </c>
      <c r="D118" s="4">
        <f t="shared" si="11"/>
        <v>4541.666666666667</v>
      </c>
      <c r="E118" s="4">
        <f t="shared" si="12"/>
        <v>4450.666666666667</v>
      </c>
      <c r="F118" t="str">
        <f t="shared" si="13"/>
        <v>No</v>
      </c>
      <c r="G118" t="str">
        <f t="shared" si="14"/>
        <v>No</v>
      </c>
      <c r="I118" t="str">
        <f t="shared" si="15"/>
        <v>Yes</v>
      </c>
      <c r="J118" t="str">
        <f t="shared" si="9"/>
        <v>No</v>
      </c>
      <c r="K118" t="str">
        <f t="shared" si="10"/>
        <v>No</v>
      </c>
      <c r="L118" s="203">
        <f>IF(AND('Total income package'!$A$16=TRUE,E118&lt;$J$2),$M$2,0)</f>
        <v>0</v>
      </c>
      <c r="M118" s="179">
        <f>IF(AND('Total income package'!$A$16=TRUE,E118&lt;$L$2),$P$2,0)</f>
        <v>0</v>
      </c>
      <c r="N118" s="204">
        <f t="shared" si="16"/>
        <v>0</v>
      </c>
    </row>
    <row r="119" spans="1:14" x14ac:dyDescent="0.25">
      <c r="A119" s="105">
        <v>55000</v>
      </c>
      <c r="B119" s="4">
        <f t="shared" si="17"/>
        <v>4583.333333333333</v>
      </c>
      <c r="C119" s="4">
        <f>'Total income package'!$D$80</f>
        <v>0</v>
      </c>
      <c r="D119" s="4">
        <f t="shared" si="11"/>
        <v>4583.333333333333</v>
      </c>
      <c r="E119" s="4">
        <f t="shared" si="12"/>
        <v>4492.333333333333</v>
      </c>
      <c r="F119" t="str">
        <f t="shared" si="13"/>
        <v>No</v>
      </c>
      <c r="G119" t="str">
        <f t="shared" si="14"/>
        <v>No</v>
      </c>
      <c r="I119" t="str">
        <f t="shared" si="15"/>
        <v>Yes</v>
      </c>
      <c r="J119" t="str">
        <f t="shared" si="9"/>
        <v>No</v>
      </c>
      <c r="K119" t="str">
        <f t="shared" si="10"/>
        <v>No</v>
      </c>
      <c r="L119" s="203">
        <f>IF(AND('Total income package'!$A$16=TRUE,E119&lt;$J$2),$M$2,0)</f>
        <v>0</v>
      </c>
      <c r="M119" s="179">
        <f>IF(AND('Total income package'!$A$16=TRUE,E119&lt;$L$2),$P$2,0)</f>
        <v>0</v>
      </c>
      <c r="N119" s="204">
        <f t="shared" si="16"/>
        <v>0</v>
      </c>
    </row>
    <row r="120" spans="1:14" x14ac:dyDescent="0.25">
      <c r="A120" s="105">
        <v>55500</v>
      </c>
      <c r="B120" s="4">
        <f t="shared" si="17"/>
        <v>4625</v>
      </c>
      <c r="C120" s="4">
        <f>'Total income package'!$D$80</f>
        <v>0</v>
      </c>
      <c r="D120" s="4">
        <f t="shared" si="11"/>
        <v>4625</v>
      </c>
      <c r="E120" s="4">
        <f t="shared" si="12"/>
        <v>4534</v>
      </c>
      <c r="F120" t="str">
        <f t="shared" si="13"/>
        <v>No</v>
      </c>
      <c r="G120" t="str">
        <f t="shared" si="14"/>
        <v>No</v>
      </c>
      <c r="I120" t="str">
        <f t="shared" si="15"/>
        <v>Yes</v>
      </c>
      <c r="J120" t="str">
        <f t="shared" si="9"/>
        <v>No</v>
      </c>
      <c r="K120" t="str">
        <f t="shared" si="10"/>
        <v>No</v>
      </c>
      <c r="L120" s="203">
        <f>IF(AND('Total income package'!$A$16=TRUE,E120&lt;$J$2),$M$2,0)</f>
        <v>0</v>
      </c>
      <c r="M120" s="179">
        <f>IF(AND('Total income package'!$A$16=TRUE,E120&lt;$L$2),$P$2,0)</f>
        <v>0</v>
      </c>
      <c r="N120" s="204">
        <f t="shared" si="16"/>
        <v>0</v>
      </c>
    </row>
    <row r="121" spans="1:14" x14ac:dyDescent="0.25">
      <c r="A121" s="105">
        <v>56000</v>
      </c>
      <c r="B121" s="4">
        <f t="shared" si="17"/>
        <v>4666.666666666667</v>
      </c>
      <c r="C121" s="4">
        <f>'Total income package'!$D$80</f>
        <v>0</v>
      </c>
      <c r="D121" s="4">
        <f t="shared" si="11"/>
        <v>4666.666666666667</v>
      </c>
      <c r="E121" s="4">
        <f t="shared" si="12"/>
        <v>4575.666666666667</v>
      </c>
      <c r="F121" t="str">
        <f t="shared" si="13"/>
        <v>No</v>
      </c>
      <c r="G121" t="str">
        <f t="shared" si="14"/>
        <v>No</v>
      </c>
      <c r="I121" t="str">
        <f t="shared" si="15"/>
        <v>Yes</v>
      </c>
      <c r="J121" t="str">
        <f t="shared" si="9"/>
        <v>No</v>
      </c>
      <c r="K121" t="str">
        <f t="shared" si="10"/>
        <v>No</v>
      </c>
      <c r="L121" s="203">
        <f>IF(AND('Total income package'!$A$16=TRUE,E121&lt;$J$2),$M$2,0)</f>
        <v>0</v>
      </c>
      <c r="M121" s="179">
        <f>IF(AND('Total income package'!$A$16=TRUE,E121&lt;$L$2),$P$2,0)</f>
        <v>0</v>
      </c>
      <c r="N121" s="204">
        <f t="shared" si="16"/>
        <v>0</v>
      </c>
    </row>
    <row r="122" spans="1:14" x14ac:dyDescent="0.25">
      <c r="A122" s="105">
        <v>56500</v>
      </c>
      <c r="B122" s="4">
        <f t="shared" si="17"/>
        <v>4708.333333333333</v>
      </c>
      <c r="C122" s="4">
        <f>'Total income package'!$D$80</f>
        <v>0</v>
      </c>
      <c r="D122" s="4">
        <f t="shared" si="11"/>
        <v>4708.333333333333</v>
      </c>
      <c r="E122" s="4">
        <f t="shared" si="12"/>
        <v>4617.333333333333</v>
      </c>
      <c r="F122" t="str">
        <f t="shared" si="13"/>
        <v>No</v>
      </c>
      <c r="G122" t="str">
        <f t="shared" si="14"/>
        <v>No</v>
      </c>
      <c r="I122" t="str">
        <f t="shared" si="15"/>
        <v>Yes</v>
      </c>
      <c r="J122" t="str">
        <f t="shared" si="9"/>
        <v>No</v>
      </c>
      <c r="K122" t="str">
        <f t="shared" si="10"/>
        <v>No</v>
      </c>
      <c r="L122" s="203">
        <f>IF(AND('Total income package'!$A$16=TRUE,E122&lt;$J$2),$M$2,0)</f>
        <v>0</v>
      </c>
      <c r="M122" s="179">
        <f>IF(AND('Total income package'!$A$16=TRUE,E122&lt;$L$2),$P$2,0)</f>
        <v>0</v>
      </c>
      <c r="N122" s="204">
        <f t="shared" si="16"/>
        <v>0</v>
      </c>
    </row>
    <row r="123" spans="1:14" x14ac:dyDescent="0.25">
      <c r="A123" s="105">
        <v>57000</v>
      </c>
      <c r="B123" s="4">
        <f t="shared" si="17"/>
        <v>4750</v>
      </c>
      <c r="C123" s="4">
        <f>'Total income package'!$D$80</f>
        <v>0</v>
      </c>
      <c r="D123" s="4">
        <f t="shared" si="11"/>
        <v>4750</v>
      </c>
      <c r="E123" s="4">
        <f t="shared" si="12"/>
        <v>4659</v>
      </c>
      <c r="F123" t="str">
        <f t="shared" si="13"/>
        <v>No</v>
      </c>
      <c r="G123" t="str">
        <f t="shared" si="14"/>
        <v>No</v>
      </c>
      <c r="I123" t="str">
        <f t="shared" si="15"/>
        <v>Yes</v>
      </c>
      <c r="J123" t="str">
        <f t="shared" si="9"/>
        <v>No</v>
      </c>
      <c r="K123" t="str">
        <f t="shared" si="10"/>
        <v>No</v>
      </c>
      <c r="L123" s="203">
        <f>IF(AND('Total income package'!$A$16=TRUE,E123&lt;$J$2),$M$2,0)</f>
        <v>0</v>
      </c>
      <c r="M123" s="179">
        <f>IF(AND('Total income package'!$A$16=TRUE,E123&lt;$L$2),$P$2,0)</f>
        <v>0</v>
      </c>
      <c r="N123" s="204">
        <f t="shared" si="16"/>
        <v>0</v>
      </c>
    </row>
    <row r="124" spans="1:14" x14ac:dyDescent="0.25">
      <c r="A124" s="105">
        <v>57500</v>
      </c>
      <c r="B124" s="4">
        <f t="shared" si="17"/>
        <v>4791.666666666667</v>
      </c>
      <c r="C124" s="4">
        <f>'Total income package'!$D$80</f>
        <v>0</v>
      </c>
      <c r="D124" s="4">
        <f t="shared" si="11"/>
        <v>4791.666666666667</v>
      </c>
      <c r="E124" s="4">
        <f t="shared" si="12"/>
        <v>4700.666666666667</v>
      </c>
      <c r="F124" t="str">
        <f t="shared" si="13"/>
        <v>No</v>
      </c>
      <c r="G124" t="str">
        <f t="shared" si="14"/>
        <v>No</v>
      </c>
      <c r="I124" t="str">
        <f t="shared" si="15"/>
        <v>Yes</v>
      </c>
      <c r="J124" t="str">
        <f t="shared" si="9"/>
        <v>No</v>
      </c>
      <c r="K124" t="str">
        <f t="shared" si="10"/>
        <v>No</v>
      </c>
      <c r="L124" s="203">
        <f>IF(AND('Total income package'!$A$16=TRUE,E124&lt;$J$2),$M$2,0)</f>
        <v>0</v>
      </c>
      <c r="M124" s="179">
        <f>IF(AND('Total income package'!$A$16=TRUE,E124&lt;$L$2),$P$2,0)</f>
        <v>0</v>
      </c>
      <c r="N124" s="204">
        <f t="shared" si="16"/>
        <v>0</v>
      </c>
    </row>
    <row r="125" spans="1:14" x14ac:dyDescent="0.25">
      <c r="A125" s="105">
        <v>58000</v>
      </c>
      <c r="B125" s="4">
        <f t="shared" si="17"/>
        <v>4833.333333333333</v>
      </c>
      <c r="C125" s="4">
        <f>'Total income package'!$D$80</f>
        <v>0</v>
      </c>
      <c r="D125" s="4">
        <f t="shared" si="11"/>
        <v>4833.333333333333</v>
      </c>
      <c r="E125" s="4">
        <f t="shared" si="12"/>
        <v>4742.333333333333</v>
      </c>
      <c r="F125" t="str">
        <f t="shared" si="13"/>
        <v>No</v>
      </c>
      <c r="G125" t="str">
        <f t="shared" si="14"/>
        <v>No</v>
      </c>
      <c r="I125" t="str">
        <f t="shared" si="15"/>
        <v>Yes</v>
      </c>
      <c r="J125" t="str">
        <f t="shared" si="9"/>
        <v>No</v>
      </c>
      <c r="K125" t="str">
        <f t="shared" si="10"/>
        <v>No</v>
      </c>
      <c r="L125" s="203">
        <f>IF(AND('Total income package'!$A$16=TRUE,E125&lt;$J$2),$M$2,0)</f>
        <v>0</v>
      </c>
      <c r="M125" s="179">
        <f>IF(AND('Total income package'!$A$16=TRUE,E125&lt;$L$2),$P$2,0)</f>
        <v>0</v>
      </c>
      <c r="N125" s="204">
        <f t="shared" si="16"/>
        <v>0</v>
      </c>
    </row>
    <row r="126" spans="1:14" x14ac:dyDescent="0.25">
      <c r="A126" s="105">
        <v>58500</v>
      </c>
      <c r="B126" s="4">
        <f t="shared" si="17"/>
        <v>4875</v>
      </c>
      <c r="C126" s="4">
        <f>'Total income package'!$D$80</f>
        <v>0</v>
      </c>
      <c r="D126" s="4">
        <f t="shared" si="11"/>
        <v>4875</v>
      </c>
      <c r="E126" s="4">
        <f t="shared" si="12"/>
        <v>4784</v>
      </c>
      <c r="F126" t="str">
        <f t="shared" si="13"/>
        <v>No</v>
      </c>
      <c r="G126" t="str">
        <f t="shared" si="14"/>
        <v>No</v>
      </c>
      <c r="I126" t="str">
        <f t="shared" si="15"/>
        <v>Yes</v>
      </c>
      <c r="J126" t="str">
        <f t="shared" si="9"/>
        <v>No</v>
      </c>
      <c r="K126" t="str">
        <f t="shared" si="10"/>
        <v>No</v>
      </c>
      <c r="L126" s="203">
        <f>IF(AND('Total income package'!$A$16=TRUE,E126&lt;$J$2),$M$2,0)</f>
        <v>0</v>
      </c>
      <c r="M126" s="179">
        <f>IF(AND('Total income package'!$A$16=TRUE,E126&lt;$L$2),$P$2,0)</f>
        <v>0</v>
      </c>
      <c r="N126" s="204">
        <f t="shared" si="16"/>
        <v>0</v>
      </c>
    </row>
    <row r="127" spans="1:14" x14ac:dyDescent="0.25">
      <c r="A127" s="105">
        <v>59000</v>
      </c>
      <c r="B127" s="4">
        <f t="shared" si="17"/>
        <v>4916.666666666667</v>
      </c>
      <c r="C127" s="4">
        <f>'Total income package'!$D$80</f>
        <v>0</v>
      </c>
      <c r="D127" s="4">
        <f t="shared" si="11"/>
        <v>4916.666666666667</v>
      </c>
      <c r="E127" s="4">
        <f t="shared" si="12"/>
        <v>4825.666666666667</v>
      </c>
      <c r="F127" t="str">
        <f t="shared" si="13"/>
        <v>No</v>
      </c>
      <c r="G127" t="str">
        <f t="shared" si="14"/>
        <v>No</v>
      </c>
      <c r="I127" t="str">
        <f t="shared" si="15"/>
        <v>Yes</v>
      </c>
      <c r="J127" t="str">
        <f t="shared" si="9"/>
        <v>No</v>
      </c>
      <c r="K127" t="str">
        <f t="shared" si="10"/>
        <v>No</v>
      </c>
      <c r="L127" s="203">
        <f>IF(AND('Total income package'!$A$16=TRUE,E127&lt;$J$2),$M$2,0)</f>
        <v>0</v>
      </c>
      <c r="M127" s="179">
        <f>IF(AND('Total income package'!$A$16=TRUE,E127&lt;$L$2),$P$2,0)</f>
        <v>0</v>
      </c>
      <c r="N127" s="204">
        <f t="shared" si="16"/>
        <v>0</v>
      </c>
    </row>
    <row r="128" spans="1:14" x14ac:dyDescent="0.25">
      <c r="A128" s="105">
        <v>59500</v>
      </c>
      <c r="B128" s="4">
        <f t="shared" si="17"/>
        <v>4958.333333333333</v>
      </c>
      <c r="C128" s="4">
        <f>'Total income package'!$D$80</f>
        <v>0</v>
      </c>
      <c r="D128" s="4">
        <f t="shared" si="11"/>
        <v>4958.333333333333</v>
      </c>
      <c r="E128" s="4">
        <f t="shared" si="12"/>
        <v>4867.333333333333</v>
      </c>
      <c r="F128" t="str">
        <f t="shared" si="13"/>
        <v>No</v>
      </c>
      <c r="G128" t="str">
        <f t="shared" si="14"/>
        <v>No</v>
      </c>
      <c r="I128" t="str">
        <f t="shared" si="15"/>
        <v>Yes</v>
      </c>
      <c r="J128" t="str">
        <f t="shared" si="9"/>
        <v>No</v>
      </c>
      <c r="K128" t="str">
        <f t="shared" si="10"/>
        <v>No</v>
      </c>
      <c r="L128" s="203">
        <f>IF(AND('Total income package'!$A$16=TRUE,E128&lt;$J$2),$M$2,0)</f>
        <v>0</v>
      </c>
      <c r="M128" s="179">
        <f>IF(AND('Total income package'!$A$16=TRUE,E128&lt;$L$2),$P$2,0)</f>
        <v>0</v>
      </c>
      <c r="N128" s="204">
        <f t="shared" si="16"/>
        <v>0</v>
      </c>
    </row>
    <row r="129" spans="1:14" x14ac:dyDescent="0.25">
      <c r="A129" s="105">
        <v>60000</v>
      </c>
      <c r="B129" s="4">
        <f t="shared" si="17"/>
        <v>5000</v>
      </c>
      <c r="C129" s="4">
        <f>'Total income package'!$D$80</f>
        <v>0</v>
      </c>
      <c r="D129" s="4">
        <f t="shared" si="11"/>
        <v>5000</v>
      </c>
      <c r="E129" s="4">
        <f t="shared" si="12"/>
        <v>4909</v>
      </c>
      <c r="F129" t="str">
        <f t="shared" si="13"/>
        <v>No</v>
      </c>
      <c r="G129" t="str">
        <f t="shared" si="14"/>
        <v>No</v>
      </c>
      <c r="I129" t="str">
        <f t="shared" si="15"/>
        <v>Yes</v>
      </c>
      <c r="J129" t="str">
        <f t="shared" si="9"/>
        <v>No</v>
      </c>
      <c r="K129" t="str">
        <f t="shared" si="10"/>
        <v>No</v>
      </c>
      <c r="L129" s="203">
        <f>IF(AND('Total income package'!$A$16=TRUE,E129&lt;$J$2),$M$2,0)</f>
        <v>0</v>
      </c>
      <c r="M129" s="179">
        <f>IF(AND('Total income package'!$A$16=TRUE,E129&lt;$L$2),$P$2,0)</f>
        <v>0</v>
      </c>
      <c r="N129" s="204">
        <f t="shared" si="16"/>
        <v>0</v>
      </c>
    </row>
    <row r="130" spans="1:14" x14ac:dyDescent="0.25">
      <c r="A130" s="105">
        <v>60500</v>
      </c>
      <c r="B130" s="4">
        <f t="shared" si="17"/>
        <v>5041.666666666667</v>
      </c>
      <c r="C130" s="4">
        <f>'Total income package'!$D$80</f>
        <v>0</v>
      </c>
      <c r="D130" s="4">
        <f t="shared" si="11"/>
        <v>5041.666666666667</v>
      </c>
      <c r="E130" s="4">
        <f t="shared" si="12"/>
        <v>4950.666666666667</v>
      </c>
      <c r="F130" t="str">
        <f t="shared" si="13"/>
        <v>No</v>
      </c>
      <c r="G130" t="str">
        <f t="shared" si="14"/>
        <v>No</v>
      </c>
      <c r="I130" t="str">
        <f t="shared" si="15"/>
        <v>Yes</v>
      </c>
      <c r="J130" t="str">
        <f t="shared" si="9"/>
        <v>No</v>
      </c>
      <c r="K130" t="str">
        <f t="shared" si="10"/>
        <v>No</v>
      </c>
      <c r="L130" s="203">
        <f>IF(AND('Total income package'!$A$16=TRUE,E130&lt;$J$2),$M$2,0)</f>
        <v>0</v>
      </c>
      <c r="M130" s="179">
        <f>IF(AND('Total income package'!$A$16=TRUE,E130&lt;$L$2),$P$2,0)</f>
        <v>0</v>
      </c>
      <c r="N130" s="204">
        <f t="shared" si="16"/>
        <v>0</v>
      </c>
    </row>
    <row r="131" spans="1:14" x14ac:dyDescent="0.25">
      <c r="A131" s="105">
        <v>61000</v>
      </c>
      <c r="B131" s="4">
        <f t="shared" si="17"/>
        <v>5083.333333333333</v>
      </c>
      <c r="C131" s="4">
        <f>'Total income package'!$D$80</f>
        <v>0</v>
      </c>
      <c r="D131" s="4">
        <f t="shared" si="11"/>
        <v>5083.333333333333</v>
      </c>
      <c r="E131" s="4">
        <f t="shared" si="12"/>
        <v>4992.333333333333</v>
      </c>
      <c r="F131" t="str">
        <f t="shared" si="13"/>
        <v>No</v>
      </c>
      <c r="G131" t="str">
        <f t="shared" si="14"/>
        <v>No</v>
      </c>
      <c r="I131" t="str">
        <f t="shared" si="15"/>
        <v>Yes</v>
      </c>
      <c r="J131" t="str">
        <f t="shared" si="9"/>
        <v>No</v>
      </c>
      <c r="K131" t="str">
        <f t="shared" si="10"/>
        <v>No</v>
      </c>
      <c r="L131" s="203">
        <f>IF(AND('Total income package'!$A$16=TRUE,E131&lt;$J$2),$M$2,0)</f>
        <v>0</v>
      </c>
      <c r="M131" s="179">
        <f>IF(AND('Total income package'!$A$16=TRUE,E131&lt;$L$2),$P$2,0)</f>
        <v>0</v>
      </c>
      <c r="N131" s="204">
        <f t="shared" si="16"/>
        <v>0</v>
      </c>
    </row>
    <row r="132" spans="1:14" x14ac:dyDescent="0.25">
      <c r="A132" s="105">
        <v>61500</v>
      </c>
      <c r="B132" s="4">
        <f t="shared" si="17"/>
        <v>5125</v>
      </c>
      <c r="C132" s="4">
        <f>'Total income package'!$D$80</f>
        <v>0</v>
      </c>
      <c r="D132" s="4">
        <f t="shared" si="11"/>
        <v>5125</v>
      </c>
      <c r="E132" s="4">
        <f t="shared" si="12"/>
        <v>5034</v>
      </c>
      <c r="F132" t="str">
        <f t="shared" si="13"/>
        <v>No</v>
      </c>
      <c r="G132" t="str">
        <f t="shared" si="14"/>
        <v>No</v>
      </c>
      <c r="I132" t="str">
        <f t="shared" si="15"/>
        <v>Yes</v>
      </c>
      <c r="J132" t="str">
        <f t="shared" si="9"/>
        <v>No</v>
      </c>
      <c r="K132" t="str">
        <f t="shared" si="10"/>
        <v>No</v>
      </c>
      <c r="L132" s="203">
        <f>IF(AND('Total income package'!$A$16=TRUE,E132&lt;$J$2),$M$2,0)</f>
        <v>0</v>
      </c>
      <c r="M132" s="179">
        <f>IF(AND('Total income package'!$A$16=TRUE,E132&lt;$L$2),$P$2,0)</f>
        <v>0</v>
      </c>
      <c r="N132" s="204">
        <f t="shared" si="16"/>
        <v>0</v>
      </c>
    </row>
    <row r="133" spans="1:14" x14ac:dyDescent="0.25">
      <c r="A133" s="105">
        <v>62000</v>
      </c>
      <c r="B133" s="4">
        <f t="shared" si="17"/>
        <v>5166.666666666667</v>
      </c>
      <c r="C133" s="4">
        <f>'Total income package'!$D$80</f>
        <v>0</v>
      </c>
      <c r="D133" s="4">
        <f t="shared" si="11"/>
        <v>5166.666666666667</v>
      </c>
      <c r="E133" s="4">
        <f t="shared" si="12"/>
        <v>5075.666666666667</v>
      </c>
      <c r="F133" t="str">
        <f t="shared" si="13"/>
        <v>No</v>
      </c>
      <c r="G133" t="str">
        <f t="shared" si="14"/>
        <v>No</v>
      </c>
      <c r="I133" t="str">
        <f t="shared" si="15"/>
        <v>Yes</v>
      </c>
      <c r="J133" t="str">
        <f t="shared" si="9"/>
        <v>No</v>
      </c>
      <c r="K133" t="str">
        <f t="shared" si="10"/>
        <v>No</v>
      </c>
      <c r="L133" s="203">
        <f>IF(AND('Total income package'!$A$16=TRUE,E133&lt;$J$2),$M$2,0)</f>
        <v>0</v>
      </c>
      <c r="M133" s="179">
        <f>IF(AND('Total income package'!$A$16=TRUE,E133&lt;$L$2),$P$2,0)</f>
        <v>0</v>
      </c>
      <c r="N133" s="204">
        <f t="shared" si="16"/>
        <v>0</v>
      </c>
    </row>
    <row r="134" spans="1:14" x14ac:dyDescent="0.25">
      <c r="A134" s="105">
        <v>62500</v>
      </c>
      <c r="B134" s="4">
        <f t="shared" si="17"/>
        <v>5208.333333333333</v>
      </c>
      <c r="C134" s="4">
        <f>'Total income package'!$D$80</f>
        <v>0</v>
      </c>
      <c r="D134" s="4">
        <f t="shared" si="11"/>
        <v>5208.333333333333</v>
      </c>
      <c r="E134" s="4">
        <f t="shared" si="12"/>
        <v>5117.333333333333</v>
      </c>
      <c r="F134" t="str">
        <f t="shared" si="13"/>
        <v>No</v>
      </c>
      <c r="G134" t="str">
        <f t="shared" si="14"/>
        <v>No</v>
      </c>
      <c r="I134" t="str">
        <f t="shared" si="15"/>
        <v>Yes</v>
      </c>
      <c r="J134" t="str">
        <f t="shared" si="9"/>
        <v>No</v>
      </c>
      <c r="K134" t="str">
        <f t="shared" si="10"/>
        <v>No</v>
      </c>
      <c r="L134" s="203">
        <f>IF(AND('Total income package'!$A$16=TRUE,E134&lt;$J$2),$M$2,0)</f>
        <v>0</v>
      </c>
      <c r="M134" s="179">
        <f>IF(AND('Total income package'!$A$16=TRUE,E134&lt;$L$2),$P$2,0)</f>
        <v>0</v>
      </c>
      <c r="N134" s="204">
        <f t="shared" si="16"/>
        <v>0</v>
      </c>
    </row>
    <row r="135" spans="1:14" x14ac:dyDescent="0.25">
      <c r="A135" s="105">
        <v>63000</v>
      </c>
      <c r="B135" s="4">
        <f t="shared" si="17"/>
        <v>5250</v>
      </c>
      <c r="C135" s="4">
        <f>'Total income package'!$D$80</f>
        <v>0</v>
      </c>
      <c r="D135" s="4">
        <f t="shared" si="11"/>
        <v>5250</v>
      </c>
      <c r="E135" s="4">
        <f t="shared" si="12"/>
        <v>5159</v>
      </c>
      <c r="F135" t="str">
        <f t="shared" si="13"/>
        <v>No</v>
      </c>
      <c r="G135" t="str">
        <f t="shared" si="14"/>
        <v>No</v>
      </c>
      <c r="I135" t="str">
        <f t="shared" si="15"/>
        <v>Yes</v>
      </c>
      <c r="J135" t="str">
        <f t="shared" si="9"/>
        <v>No</v>
      </c>
      <c r="K135" t="str">
        <f t="shared" si="10"/>
        <v>No</v>
      </c>
      <c r="L135" s="203">
        <f>IF(AND('Total income package'!$A$16=TRUE,E135&lt;$J$2),$M$2,0)</f>
        <v>0</v>
      </c>
      <c r="M135" s="179">
        <f>IF(AND('Total income package'!$A$16=TRUE,E135&lt;$L$2),$P$2,0)</f>
        <v>0</v>
      </c>
      <c r="N135" s="204">
        <f t="shared" si="16"/>
        <v>0</v>
      </c>
    </row>
    <row r="136" spans="1:14" x14ac:dyDescent="0.25">
      <c r="A136" s="105">
        <v>63500</v>
      </c>
      <c r="B136" s="4">
        <f t="shared" si="17"/>
        <v>5291.666666666667</v>
      </c>
      <c r="C136" s="4">
        <f>'Total income package'!$D$80</f>
        <v>0</v>
      </c>
      <c r="D136" s="4">
        <f t="shared" si="11"/>
        <v>5291.666666666667</v>
      </c>
      <c r="E136" s="4">
        <f t="shared" si="12"/>
        <v>5200.666666666667</v>
      </c>
      <c r="F136" t="str">
        <f t="shared" si="13"/>
        <v>No</v>
      </c>
      <c r="G136" t="str">
        <f t="shared" si="14"/>
        <v>No</v>
      </c>
      <c r="I136" t="str">
        <f t="shared" si="15"/>
        <v>Yes</v>
      </c>
      <c r="J136" t="str">
        <f t="shared" si="9"/>
        <v>No</v>
      </c>
      <c r="K136" t="str">
        <f t="shared" si="10"/>
        <v>No</v>
      </c>
      <c r="L136" s="203">
        <f>IF(AND('Total income package'!$A$16=TRUE,E136&lt;$J$2),$M$2,0)</f>
        <v>0</v>
      </c>
      <c r="M136" s="179">
        <f>IF(AND('Total income package'!$A$16=TRUE,E136&lt;$L$2),$P$2,0)</f>
        <v>0</v>
      </c>
      <c r="N136" s="204">
        <f t="shared" si="16"/>
        <v>0</v>
      </c>
    </row>
    <row r="137" spans="1:14" x14ac:dyDescent="0.25">
      <c r="A137" s="105">
        <v>64000</v>
      </c>
      <c r="B137" s="4">
        <f t="shared" si="17"/>
        <v>5333.333333333333</v>
      </c>
      <c r="C137" s="4">
        <f>'Total income package'!$D$80</f>
        <v>0</v>
      </c>
      <c r="D137" s="4">
        <f t="shared" si="11"/>
        <v>5333.333333333333</v>
      </c>
      <c r="E137" s="4">
        <f t="shared" si="12"/>
        <v>5242.333333333333</v>
      </c>
      <c r="F137" t="str">
        <f t="shared" si="13"/>
        <v>No</v>
      </c>
      <c r="G137" t="str">
        <f t="shared" si="14"/>
        <v>No</v>
      </c>
      <c r="I137" t="str">
        <f t="shared" si="15"/>
        <v>Yes</v>
      </c>
      <c r="J137" t="str">
        <f t="shared" ref="J137:J200" si="18">IF(E137&lt;$K$2,"Yes","No")</f>
        <v>No</v>
      </c>
      <c r="K137" t="str">
        <f t="shared" ref="K137:K200" si="19">IF(E137&lt;$L$2,"Yes","No")</f>
        <v>No</v>
      </c>
      <c r="L137" s="203">
        <f>IF(AND('Total income package'!$A$16=TRUE,E137&lt;$J$2),$M$2,0)</f>
        <v>0</v>
      </c>
      <c r="M137" s="179">
        <f>IF(AND('Total income package'!$A$16=TRUE,E137&lt;$L$2),$P$2,0)</f>
        <v>0</v>
      </c>
      <c r="N137" s="204">
        <f t="shared" si="16"/>
        <v>0</v>
      </c>
    </row>
    <row r="138" spans="1:14" x14ac:dyDescent="0.25">
      <c r="A138" s="105">
        <v>64500</v>
      </c>
      <c r="B138" s="4">
        <f t="shared" si="17"/>
        <v>5375</v>
      </c>
      <c r="C138" s="4">
        <f>'Total income package'!$D$80</f>
        <v>0</v>
      </c>
      <c r="D138" s="4">
        <f t="shared" ref="D138:D201" si="20">B138+C138</f>
        <v>5375</v>
      </c>
      <c r="E138" s="4">
        <f t="shared" ref="E138:E201" si="21">IF(D138-$H$2&lt;0,0,D138-$H$2)</f>
        <v>5284</v>
      </c>
      <c r="F138" t="str">
        <f t="shared" ref="F138:F201" si="22">IF(E138&lt;$I$2,"Yes","No")</f>
        <v>No</v>
      </c>
      <c r="G138" t="str">
        <f t="shared" ref="G138:G201" si="23">IF(E138&lt;$J$2,"Yes","No")</f>
        <v>No</v>
      </c>
      <c r="I138" t="str">
        <f t="shared" ref="I138:I201" si="24">IF($E$2&gt;0,"Yes","No")</f>
        <v>Yes</v>
      </c>
      <c r="J138" t="str">
        <f t="shared" si="18"/>
        <v>No</v>
      </c>
      <c r="K138" t="str">
        <f t="shared" si="19"/>
        <v>No</v>
      </c>
      <c r="L138" s="203">
        <f>IF(AND('Total income package'!$A$16=TRUE,E138&lt;$J$2),$M$2,0)</f>
        <v>0</v>
      </c>
      <c r="M138" s="179">
        <f>IF(AND('Total income package'!$A$16=TRUE,E138&lt;$L$2),$P$2,0)</f>
        <v>0</v>
      </c>
      <c r="N138" s="204">
        <f t="shared" ref="N138:N201" si="25">L138+M138</f>
        <v>0</v>
      </c>
    </row>
    <row r="139" spans="1:14" x14ac:dyDescent="0.25">
      <c r="A139" s="105">
        <v>65000</v>
      </c>
      <c r="B139" s="4">
        <f t="shared" ref="B139:B202" si="26">A139/12</f>
        <v>5416.666666666667</v>
      </c>
      <c r="C139" s="4">
        <f>'Total income package'!$D$80</f>
        <v>0</v>
      </c>
      <c r="D139" s="4">
        <f t="shared" si="20"/>
        <v>5416.666666666667</v>
      </c>
      <c r="E139" s="4">
        <f t="shared" si="21"/>
        <v>5325.666666666667</v>
      </c>
      <c r="F139" t="str">
        <f t="shared" si="22"/>
        <v>No</v>
      </c>
      <c r="G139" t="str">
        <f t="shared" si="23"/>
        <v>No</v>
      </c>
      <c r="I139" t="str">
        <f t="shared" si="24"/>
        <v>Yes</v>
      </c>
      <c r="J139" t="str">
        <f t="shared" si="18"/>
        <v>No</v>
      </c>
      <c r="K139" t="str">
        <f t="shared" si="19"/>
        <v>No</v>
      </c>
      <c r="L139" s="203">
        <f>IF(AND('Total income package'!$A$16=TRUE,E139&lt;$J$2),$M$2,0)</f>
        <v>0</v>
      </c>
      <c r="M139" s="179">
        <f>IF(AND('Total income package'!$A$16=TRUE,E139&lt;$L$2),$P$2,0)</f>
        <v>0</v>
      </c>
      <c r="N139" s="204">
        <f t="shared" si="25"/>
        <v>0</v>
      </c>
    </row>
    <row r="140" spans="1:14" x14ac:dyDescent="0.25">
      <c r="A140" s="105">
        <v>65500</v>
      </c>
      <c r="B140" s="4">
        <f t="shared" si="26"/>
        <v>5458.333333333333</v>
      </c>
      <c r="C140" s="4">
        <f>'Total income package'!$D$80</f>
        <v>0</v>
      </c>
      <c r="D140" s="4">
        <f t="shared" si="20"/>
        <v>5458.333333333333</v>
      </c>
      <c r="E140" s="4">
        <f t="shared" si="21"/>
        <v>5367.333333333333</v>
      </c>
      <c r="F140" t="str">
        <f t="shared" si="22"/>
        <v>No</v>
      </c>
      <c r="G140" t="str">
        <f t="shared" si="23"/>
        <v>No</v>
      </c>
      <c r="I140" t="str">
        <f t="shared" si="24"/>
        <v>Yes</v>
      </c>
      <c r="J140" t="str">
        <f t="shared" si="18"/>
        <v>No</v>
      </c>
      <c r="K140" t="str">
        <f t="shared" si="19"/>
        <v>No</v>
      </c>
      <c r="L140" s="203">
        <f>IF(AND('Total income package'!$A$16=TRUE,E140&lt;$J$2),$M$2,0)</f>
        <v>0</v>
      </c>
      <c r="M140" s="179">
        <f>IF(AND('Total income package'!$A$16=TRUE,E140&lt;$L$2),$P$2,0)</f>
        <v>0</v>
      </c>
      <c r="N140" s="204">
        <f t="shared" si="25"/>
        <v>0</v>
      </c>
    </row>
    <row r="141" spans="1:14" x14ac:dyDescent="0.25">
      <c r="A141" s="105">
        <v>66000</v>
      </c>
      <c r="B141" s="4">
        <f t="shared" si="26"/>
        <v>5500</v>
      </c>
      <c r="C141" s="4">
        <f>'Total income package'!$D$80</f>
        <v>0</v>
      </c>
      <c r="D141" s="4">
        <f t="shared" si="20"/>
        <v>5500</v>
      </c>
      <c r="E141" s="4">
        <f t="shared" si="21"/>
        <v>5409</v>
      </c>
      <c r="F141" t="str">
        <f t="shared" si="22"/>
        <v>No</v>
      </c>
      <c r="G141" t="str">
        <f t="shared" si="23"/>
        <v>No</v>
      </c>
      <c r="I141" t="str">
        <f t="shared" si="24"/>
        <v>Yes</v>
      </c>
      <c r="J141" t="str">
        <f t="shared" si="18"/>
        <v>No</v>
      </c>
      <c r="K141" t="str">
        <f t="shared" si="19"/>
        <v>No</v>
      </c>
      <c r="L141" s="203">
        <f>IF(AND('Total income package'!$A$16=TRUE,E141&lt;$J$2),$M$2,0)</f>
        <v>0</v>
      </c>
      <c r="M141" s="179">
        <f>IF(AND('Total income package'!$A$16=TRUE,E141&lt;$L$2),$P$2,0)</f>
        <v>0</v>
      </c>
      <c r="N141" s="204">
        <f t="shared" si="25"/>
        <v>0</v>
      </c>
    </row>
    <row r="142" spans="1:14" x14ac:dyDescent="0.25">
      <c r="A142" s="105">
        <v>66500</v>
      </c>
      <c r="B142" s="4">
        <f t="shared" si="26"/>
        <v>5541.666666666667</v>
      </c>
      <c r="C142" s="4">
        <f>'Total income package'!$D$80</f>
        <v>0</v>
      </c>
      <c r="D142" s="4">
        <f t="shared" si="20"/>
        <v>5541.666666666667</v>
      </c>
      <c r="E142" s="4">
        <f t="shared" si="21"/>
        <v>5450.666666666667</v>
      </c>
      <c r="F142" t="str">
        <f t="shared" si="22"/>
        <v>No</v>
      </c>
      <c r="G142" t="str">
        <f t="shared" si="23"/>
        <v>No</v>
      </c>
      <c r="I142" t="str">
        <f t="shared" si="24"/>
        <v>Yes</v>
      </c>
      <c r="J142" t="str">
        <f t="shared" si="18"/>
        <v>No</v>
      </c>
      <c r="K142" t="str">
        <f t="shared" si="19"/>
        <v>No</v>
      </c>
      <c r="L142" s="203">
        <f>IF(AND('Total income package'!$A$16=TRUE,E142&lt;$J$2),$M$2,0)</f>
        <v>0</v>
      </c>
      <c r="M142" s="179">
        <f>IF(AND('Total income package'!$A$16=TRUE,E142&lt;$L$2),$P$2,0)</f>
        <v>0</v>
      </c>
      <c r="N142" s="204">
        <f t="shared" si="25"/>
        <v>0</v>
      </c>
    </row>
    <row r="143" spans="1:14" x14ac:dyDescent="0.25">
      <c r="A143" s="105">
        <v>67000</v>
      </c>
      <c r="B143" s="4">
        <f t="shared" si="26"/>
        <v>5583.333333333333</v>
      </c>
      <c r="C143" s="4">
        <f>'Total income package'!$D$80</f>
        <v>0</v>
      </c>
      <c r="D143" s="4">
        <f t="shared" si="20"/>
        <v>5583.333333333333</v>
      </c>
      <c r="E143" s="4">
        <f t="shared" si="21"/>
        <v>5492.333333333333</v>
      </c>
      <c r="F143" t="str">
        <f t="shared" si="22"/>
        <v>No</v>
      </c>
      <c r="G143" t="str">
        <f t="shared" si="23"/>
        <v>No</v>
      </c>
      <c r="I143" t="str">
        <f t="shared" si="24"/>
        <v>Yes</v>
      </c>
      <c r="J143" t="str">
        <f t="shared" si="18"/>
        <v>No</v>
      </c>
      <c r="K143" t="str">
        <f t="shared" si="19"/>
        <v>No</v>
      </c>
      <c r="L143" s="203">
        <f>IF(AND('Total income package'!$A$16=TRUE,E143&lt;$J$2),$M$2,0)</f>
        <v>0</v>
      </c>
      <c r="M143" s="179">
        <f>IF(AND('Total income package'!$A$16=TRUE,E143&lt;$L$2),$P$2,0)</f>
        <v>0</v>
      </c>
      <c r="N143" s="204">
        <f t="shared" si="25"/>
        <v>0</v>
      </c>
    </row>
    <row r="144" spans="1:14" x14ac:dyDescent="0.25">
      <c r="A144" s="105">
        <v>67500</v>
      </c>
      <c r="B144" s="4">
        <f t="shared" si="26"/>
        <v>5625</v>
      </c>
      <c r="C144" s="4">
        <f>'Total income package'!$D$80</f>
        <v>0</v>
      </c>
      <c r="D144" s="4">
        <f t="shared" si="20"/>
        <v>5625</v>
      </c>
      <c r="E144" s="4">
        <f t="shared" si="21"/>
        <v>5534</v>
      </c>
      <c r="F144" t="str">
        <f t="shared" si="22"/>
        <v>No</v>
      </c>
      <c r="G144" t="str">
        <f t="shared" si="23"/>
        <v>No</v>
      </c>
      <c r="I144" t="str">
        <f t="shared" si="24"/>
        <v>Yes</v>
      </c>
      <c r="J144" t="str">
        <f t="shared" si="18"/>
        <v>No</v>
      </c>
      <c r="K144" t="str">
        <f t="shared" si="19"/>
        <v>No</v>
      </c>
      <c r="L144" s="203">
        <f>IF(AND('Total income package'!$A$16=TRUE,E144&lt;$J$2),$M$2,0)</f>
        <v>0</v>
      </c>
      <c r="M144" s="179">
        <f>IF(AND('Total income package'!$A$16=TRUE,E144&lt;$L$2),$P$2,0)</f>
        <v>0</v>
      </c>
      <c r="N144" s="204">
        <f t="shared" si="25"/>
        <v>0</v>
      </c>
    </row>
    <row r="145" spans="1:14" x14ac:dyDescent="0.25">
      <c r="A145" s="105">
        <v>68000</v>
      </c>
      <c r="B145" s="4">
        <f t="shared" si="26"/>
        <v>5666.666666666667</v>
      </c>
      <c r="C145" s="4">
        <f>'Total income package'!$D$80</f>
        <v>0</v>
      </c>
      <c r="D145" s="4">
        <f t="shared" si="20"/>
        <v>5666.666666666667</v>
      </c>
      <c r="E145" s="4">
        <f t="shared" si="21"/>
        <v>5575.666666666667</v>
      </c>
      <c r="F145" t="str">
        <f t="shared" si="22"/>
        <v>No</v>
      </c>
      <c r="G145" t="str">
        <f t="shared" si="23"/>
        <v>No</v>
      </c>
      <c r="I145" t="str">
        <f t="shared" si="24"/>
        <v>Yes</v>
      </c>
      <c r="J145" t="str">
        <f t="shared" si="18"/>
        <v>No</v>
      </c>
      <c r="K145" t="str">
        <f t="shared" si="19"/>
        <v>No</v>
      </c>
      <c r="L145" s="203">
        <f>IF(AND('Total income package'!$A$16=TRUE,E145&lt;$J$2),$M$2,0)</f>
        <v>0</v>
      </c>
      <c r="M145" s="179">
        <f>IF(AND('Total income package'!$A$16=TRUE,E145&lt;$L$2),$P$2,0)</f>
        <v>0</v>
      </c>
      <c r="N145" s="204">
        <f t="shared" si="25"/>
        <v>0</v>
      </c>
    </row>
    <row r="146" spans="1:14" x14ac:dyDescent="0.25">
      <c r="A146" s="105">
        <v>68500</v>
      </c>
      <c r="B146" s="4">
        <f t="shared" si="26"/>
        <v>5708.333333333333</v>
      </c>
      <c r="C146" s="4">
        <f>'Total income package'!$D$80</f>
        <v>0</v>
      </c>
      <c r="D146" s="4">
        <f t="shared" si="20"/>
        <v>5708.333333333333</v>
      </c>
      <c r="E146" s="4">
        <f t="shared" si="21"/>
        <v>5617.333333333333</v>
      </c>
      <c r="F146" t="str">
        <f t="shared" si="22"/>
        <v>No</v>
      </c>
      <c r="G146" t="str">
        <f t="shared" si="23"/>
        <v>No</v>
      </c>
      <c r="I146" t="str">
        <f t="shared" si="24"/>
        <v>Yes</v>
      </c>
      <c r="J146" t="str">
        <f t="shared" si="18"/>
        <v>No</v>
      </c>
      <c r="K146" t="str">
        <f t="shared" si="19"/>
        <v>No</v>
      </c>
      <c r="L146" s="203">
        <f>IF(AND('Total income package'!$A$16=TRUE,E146&lt;$J$2),$M$2,0)</f>
        <v>0</v>
      </c>
      <c r="M146" s="179">
        <f>IF(AND('Total income package'!$A$16=TRUE,E146&lt;$L$2),$P$2,0)</f>
        <v>0</v>
      </c>
      <c r="N146" s="204">
        <f t="shared" si="25"/>
        <v>0</v>
      </c>
    </row>
    <row r="147" spans="1:14" x14ac:dyDescent="0.25">
      <c r="A147" s="105">
        <v>69000</v>
      </c>
      <c r="B147" s="4">
        <f t="shared" si="26"/>
        <v>5750</v>
      </c>
      <c r="C147" s="4">
        <f>'Total income package'!$D$80</f>
        <v>0</v>
      </c>
      <c r="D147" s="4">
        <f t="shared" si="20"/>
        <v>5750</v>
      </c>
      <c r="E147" s="4">
        <f t="shared" si="21"/>
        <v>5659</v>
      </c>
      <c r="F147" t="str">
        <f t="shared" si="22"/>
        <v>No</v>
      </c>
      <c r="G147" t="str">
        <f t="shared" si="23"/>
        <v>No</v>
      </c>
      <c r="I147" t="str">
        <f t="shared" si="24"/>
        <v>Yes</v>
      </c>
      <c r="J147" t="str">
        <f t="shared" si="18"/>
        <v>No</v>
      </c>
      <c r="K147" t="str">
        <f t="shared" si="19"/>
        <v>No</v>
      </c>
      <c r="L147" s="203">
        <f>IF(AND('Total income package'!$A$16=TRUE,E147&lt;$J$2),$M$2,0)</f>
        <v>0</v>
      </c>
      <c r="M147" s="179">
        <f>IF(AND('Total income package'!$A$16=TRUE,E147&lt;$L$2),$P$2,0)</f>
        <v>0</v>
      </c>
      <c r="N147" s="204">
        <f t="shared" si="25"/>
        <v>0</v>
      </c>
    </row>
    <row r="148" spans="1:14" x14ac:dyDescent="0.25">
      <c r="A148" s="105">
        <v>69500</v>
      </c>
      <c r="B148" s="4">
        <f t="shared" si="26"/>
        <v>5791.666666666667</v>
      </c>
      <c r="C148" s="4">
        <f>'Total income package'!$D$80</f>
        <v>0</v>
      </c>
      <c r="D148" s="4">
        <f t="shared" si="20"/>
        <v>5791.666666666667</v>
      </c>
      <c r="E148" s="4">
        <f t="shared" si="21"/>
        <v>5700.666666666667</v>
      </c>
      <c r="F148" t="str">
        <f t="shared" si="22"/>
        <v>No</v>
      </c>
      <c r="G148" t="str">
        <f t="shared" si="23"/>
        <v>No</v>
      </c>
      <c r="I148" t="str">
        <f t="shared" si="24"/>
        <v>Yes</v>
      </c>
      <c r="J148" t="str">
        <f t="shared" si="18"/>
        <v>No</v>
      </c>
      <c r="K148" t="str">
        <f t="shared" si="19"/>
        <v>No</v>
      </c>
      <c r="L148" s="203">
        <f>IF(AND('Total income package'!$A$16=TRUE,E148&lt;$J$2),$M$2,0)</f>
        <v>0</v>
      </c>
      <c r="M148" s="179">
        <f>IF(AND('Total income package'!$A$16=TRUE,E148&lt;$L$2),$P$2,0)</f>
        <v>0</v>
      </c>
      <c r="N148" s="204">
        <f t="shared" si="25"/>
        <v>0</v>
      </c>
    </row>
    <row r="149" spans="1:14" x14ac:dyDescent="0.25">
      <c r="A149" s="105">
        <v>70000</v>
      </c>
      <c r="B149" s="4">
        <f t="shared" si="26"/>
        <v>5833.333333333333</v>
      </c>
      <c r="C149" s="4">
        <f>'Total income package'!$D$80</f>
        <v>0</v>
      </c>
      <c r="D149" s="4">
        <f t="shared" si="20"/>
        <v>5833.333333333333</v>
      </c>
      <c r="E149" s="4">
        <f t="shared" si="21"/>
        <v>5742.333333333333</v>
      </c>
      <c r="F149" t="str">
        <f t="shared" si="22"/>
        <v>No</v>
      </c>
      <c r="G149" t="str">
        <f t="shared" si="23"/>
        <v>No</v>
      </c>
      <c r="I149" t="str">
        <f t="shared" si="24"/>
        <v>Yes</v>
      </c>
      <c r="J149" t="str">
        <f t="shared" si="18"/>
        <v>No</v>
      </c>
      <c r="K149" t="str">
        <f t="shared" si="19"/>
        <v>No</v>
      </c>
      <c r="L149" s="203">
        <f>IF(AND('Total income package'!$A$16=TRUE,E149&lt;$J$2),$M$2,0)</f>
        <v>0</v>
      </c>
      <c r="M149" s="179">
        <f>IF(AND('Total income package'!$A$16=TRUE,E149&lt;$L$2),$P$2,0)</f>
        <v>0</v>
      </c>
      <c r="N149" s="204">
        <f t="shared" si="25"/>
        <v>0</v>
      </c>
    </row>
    <row r="150" spans="1:14" x14ac:dyDescent="0.25">
      <c r="A150" s="105">
        <v>70500</v>
      </c>
      <c r="B150" s="4">
        <f t="shared" si="26"/>
        <v>5875</v>
      </c>
      <c r="C150" s="4">
        <f>'Total income package'!$D$80</f>
        <v>0</v>
      </c>
      <c r="D150" s="4">
        <f t="shared" si="20"/>
        <v>5875</v>
      </c>
      <c r="E150" s="4">
        <f t="shared" si="21"/>
        <v>5784</v>
      </c>
      <c r="F150" t="str">
        <f t="shared" si="22"/>
        <v>No</v>
      </c>
      <c r="G150" t="str">
        <f t="shared" si="23"/>
        <v>No</v>
      </c>
      <c r="I150" t="str">
        <f t="shared" si="24"/>
        <v>Yes</v>
      </c>
      <c r="J150" t="str">
        <f t="shared" si="18"/>
        <v>No</v>
      </c>
      <c r="K150" t="str">
        <f t="shared" si="19"/>
        <v>No</v>
      </c>
      <c r="L150" s="203">
        <f>IF(AND('Total income package'!$A$16=TRUE,E150&lt;$J$2),$M$2,0)</f>
        <v>0</v>
      </c>
      <c r="M150" s="179">
        <f>IF(AND('Total income package'!$A$16=TRUE,E150&lt;$L$2),$P$2,0)</f>
        <v>0</v>
      </c>
      <c r="N150" s="204">
        <f t="shared" si="25"/>
        <v>0</v>
      </c>
    </row>
    <row r="151" spans="1:14" x14ac:dyDescent="0.25">
      <c r="A151" s="105">
        <v>71000</v>
      </c>
      <c r="B151" s="4">
        <f t="shared" si="26"/>
        <v>5916.666666666667</v>
      </c>
      <c r="C151" s="4">
        <f>'Total income package'!$D$80</f>
        <v>0</v>
      </c>
      <c r="D151" s="4">
        <f t="shared" si="20"/>
        <v>5916.666666666667</v>
      </c>
      <c r="E151" s="4">
        <f t="shared" si="21"/>
        <v>5825.666666666667</v>
      </c>
      <c r="F151" t="str">
        <f t="shared" si="22"/>
        <v>No</v>
      </c>
      <c r="G151" t="str">
        <f t="shared" si="23"/>
        <v>No</v>
      </c>
      <c r="I151" t="str">
        <f t="shared" si="24"/>
        <v>Yes</v>
      </c>
      <c r="J151" t="str">
        <f t="shared" si="18"/>
        <v>No</v>
      </c>
      <c r="K151" t="str">
        <f t="shared" si="19"/>
        <v>No</v>
      </c>
      <c r="L151" s="203">
        <f>IF(AND('Total income package'!$A$16=TRUE,E151&lt;$J$2),$M$2,0)</f>
        <v>0</v>
      </c>
      <c r="M151" s="179">
        <f>IF(AND('Total income package'!$A$16=TRUE,E151&lt;$L$2),$P$2,0)</f>
        <v>0</v>
      </c>
      <c r="N151" s="204">
        <f t="shared" si="25"/>
        <v>0</v>
      </c>
    </row>
    <row r="152" spans="1:14" x14ac:dyDescent="0.25">
      <c r="A152" s="105">
        <v>71500</v>
      </c>
      <c r="B152" s="4">
        <f t="shared" si="26"/>
        <v>5958.333333333333</v>
      </c>
      <c r="C152" s="4">
        <f>'Total income package'!$D$80</f>
        <v>0</v>
      </c>
      <c r="D152" s="4">
        <f t="shared" si="20"/>
        <v>5958.333333333333</v>
      </c>
      <c r="E152" s="4">
        <f t="shared" si="21"/>
        <v>5867.333333333333</v>
      </c>
      <c r="F152" t="str">
        <f t="shared" si="22"/>
        <v>No</v>
      </c>
      <c r="G152" t="str">
        <f t="shared" si="23"/>
        <v>No</v>
      </c>
      <c r="I152" t="str">
        <f t="shared" si="24"/>
        <v>Yes</v>
      </c>
      <c r="J152" t="str">
        <f t="shared" si="18"/>
        <v>No</v>
      </c>
      <c r="K152" t="str">
        <f t="shared" si="19"/>
        <v>No</v>
      </c>
      <c r="L152" s="203">
        <f>IF(AND('Total income package'!$A$16=TRUE,E152&lt;$J$2),$M$2,0)</f>
        <v>0</v>
      </c>
      <c r="M152" s="179">
        <f>IF(AND('Total income package'!$A$16=TRUE,E152&lt;$L$2),$P$2,0)</f>
        <v>0</v>
      </c>
      <c r="N152" s="204">
        <f t="shared" si="25"/>
        <v>0</v>
      </c>
    </row>
    <row r="153" spans="1:14" x14ac:dyDescent="0.25">
      <c r="A153" s="105">
        <v>72000</v>
      </c>
      <c r="B153" s="4">
        <f t="shared" si="26"/>
        <v>6000</v>
      </c>
      <c r="C153" s="4">
        <f>'Total income package'!$D$80</f>
        <v>0</v>
      </c>
      <c r="D153" s="4">
        <f t="shared" si="20"/>
        <v>6000</v>
      </c>
      <c r="E153" s="4">
        <f t="shared" si="21"/>
        <v>5909</v>
      </c>
      <c r="F153" t="str">
        <f t="shared" si="22"/>
        <v>No</v>
      </c>
      <c r="G153" t="str">
        <f t="shared" si="23"/>
        <v>No</v>
      </c>
      <c r="I153" t="str">
        <f t="shared" si="24"/>
        <v>Yes</v>
      </c>
      <c r="J153" t="str">
        <f t="shared" si="18"/>
        <v>No</v>
      </c>
      <c r="K153" t="str">
        <f t="shared" si="19"/>
        <v>No</v>
      </c>
      <c r="L153" s="203">
        <f>IF(AND('Total income package'!$A$16=TRUE,E153&lt;$J$2),$M$2,0)</f>
        <v>0</v>
      </c>
      <c r="M153" s="179">
        <f>IF(AND('Total income package'!$A$16=TRUE,E153&lt;$L$2),$P$2,0)</f>
        <v>0</v>
      </c>
      <c r="N153" s="204">
        <f t="shared" si="25"/>
        <v>0</v>
      </c>
    </row>
    <row r="154" spans="1:14" x14ac:dyDescent="0.25">
      <c r="A154" s="105">
        <v>72500</v>
      </c>
      <c r="B154" s="4">
        <f t="shared" si="26"/>
        <v>6041.666666666667</v>
      </c>
      <c r="C154" s="4">
        <f>'Total income package'!$D$80</f>
        <v>0</v>
      </c>
      <c r="D154" s="4">
        <f t="shared" si="20"/>
        <v>6041.666666666667</v>
      </c>
      <c r="E154" s="4">
        <f t="shared" si="21"/>
        <v>5950.666666666667</v>
      </c>
      <c r="F154" t="str">
        <f t="shared" si="22"/>
        <v>No</v>
      </c>
      <c r="G154" t="str">
        <f t="shared" si="23"/>
        <v>No</v>
      </c>
      <c r="I154" t="str">
        <f t="shared" si="24"/>
        <v>Yes</v>
      </c>
      <c r="J154" t="str">
        <f t="shared" si="18"/>
        <v>No</v>
      </c>
      <c r="K154" t="str">
        <f t="shared" si="19"/>
        <v>No</v>
      </c>
      <c r="L154" s="203">
        <f>IF(AND('Total income package'!$A$16=TRUE,E154&lt;$J$2),$M$2,0)</f>
        <v>0</v>
      </c>
      <c r="M154" s="179">
        <f>IF(AND('Total income package'!$A$16=TRUE,E154&lt;$L$2),$P$2,0)</f>
        <v>0</v>
      </c>
      <c r="N154" s="204">
        <f t="shared" si="25"/>
        <v>0</v>
      </c>
    </row>
    <row r="155" spans="1:14" x14ac:dyDescent="0.25">
      <c r="A155" s="105">
        <v>73000</v>
      </c>
      <c r="B155" s="4">
        <f t="shared" si="26"/>
        <v>6083.333333333333</v>
      </c>
      <c r="C155" s="4">
        <f>'Total income package'!$D$80</f>
        <v>0</v>
      </c>
      <c r="D155" s="4">
        <f t="shared" si="20"/>
        <v>6083.333333333333</v>
      </c>
      <c r="E155" s="4">
        <f t="shared" si="21"/>
        <v>5992.333333333333</v>
      </c>
      <c r="F155" t="str">
        <f t="shared" si="22"/>
        <v>No</v>
      </c>
      <c r="G155" t="str">
        <f t="shared" si="23"/>
        <v>No</v>
      </c>
      <c r="I155" t="str">
        <f t="shared" si="24"/>
        <v>Yes</v>
      </c>
      <c r="J155" t="str">
        <f t="shared" si="18"/>
        <v>No</v>
      </c>
      <c r="K155" t="str">
        <f t="shared" si="19"/>
        <v>No</v>
      </c>
      <c r="L155" s="203">
        <f>IF(AND('Total income package'!$A$16=TRUE,E155&lt;$J$2),$M$2,0)</f>
        <v>0</v>
      </c>
      <c r="M155" s="179">
        <f>IF(AND('Total income package'!$A$16=TRUE,E155&lt;$L$2),$P$2,0)</f>
        <v>0</v>
      </c>
      <c r="N155" s="204">
        <f t="shared" si="25"/>
        <v>0</v>
      </c>
    </row>
    <row r="156" spans="1:14" x14ac:dyDescent="0.25">
      <c r="A156" s="105">
        <v>73500</v>
      </c>
      <c r="B156" s="4">
        <f t="shared" si="26"/>
        <v>6125</v>
      </c>
      <c r="C156" s="4">
        <f>'Total income package'!$D$80</f>
        <v>0</v>
      </c>
      <c r="D156" s="4">
        <f t="shared" si="20"/>
        <v>6125</v>
      </c>
      <c r="E156" s="4">
        <f t="shared" si="21"/>
        <v>6034</v>
      </c>
      <c r="F156" t="str">
        <f t="shared" si="22"/>
        <v>No</v>
      </c>
      <c r="G156" t="str">
        <f t="shared" si="23"/>
        <v>No</v>
      </c>
      <c r="I156" t="str">
        <f t="shared" si="24"/>
        <v>Yes</v>
      </c>
      <c r="J156" t="str">
        <f t="shared" si="18"/>
        <v>No</v>
      </c>
      <c r="K156" t="str">
        <f t="shared" si="19"/>
        <v>No</v>
      </c>
      <c r="L156" s="203">
        <f>IF(AND('Total income package'!$A$16=TRUE,E156&lt;$J$2),$M$2,0)</f>
        <v>0</v>
      </c>
      <c r="M156" s="179">
        <f>IF(AND('Total income package'!$A$16=TRUE,E156&lt;$L$2),$P$2,0)</f>
        <v>0</v>
      </c>
      <c r="N156" s="204">
        <f t="shared" si="25"/>
        <v>0</v>
      </c>
    </row>
    <row r="157" spans="1:14" x14ac:dyDescent="0.25">
      <c r="A157" s="105">
        <v>74000</v>
      </c>
      <c r="B157" s="4">
        <f t="shared" si="26"/>
        <v>6166.666666666667</v>
      </c>
      <c r="C157" s="4">
        <f>'Total income package'!$D$80</f>
        <v>0</v>
      </c>
      <c r="D157" s="4">
        <f t="shared" si="20"/>
        <v>6166.666666666667</v>
      </c>
      <c r="E157" s="4">
        <f t="shared" si="21"/>
        <v>6075.666666666667</v>
      </c>
      <c r="F157" t="str">
        <f t="shared" si="22"/>
        <v>No</v>
      </c>
      <c r="G157" t="str">
        <f t="shared" si="23"/>
        <v>No</v>
      </c>
      <c r="I157" t="str">
        <f t="shared" si="24"/>
        <v>Yes</v>
      </c>
      <c r="J157" t="str">
        <f t="shared" si="18"/>
        <v>No</v>
      </c>
      <c r="K157" t="str">
        <f t="shared" si="19"/>
        <v>No</v>
      </c>
      <c r="L157" s="203">
        <f>IF(AND('Total income package'!$A$16=TRUE,E157&lt;$J$2),$M$2,0)</f>
        <v>0</v>
      </c>
      <c r="M157" s="179">
        <f>IF(AND('Total income package'!$A$16=TRUE,E157&lt;$L$2),$P$2,0)</f>
        <v>0</v>
      </c>
      <c r="N157" s="204">
        <f t="shared" si="25"/>
        <v>0</v>
      </c>
    </row>
    <row r="158" spans="1:14" x14ac:dyDescent="0.25">
      <c r="A158" s="105">
        <v>74500</v>
      </c>
      <c r="B158" s="4">
        <f t="shared" si="26"/>
        <v>6208.333333333333</v>
      </c>
      <c r="C158" s="4">
        <f>'Total income package'!$D$80</f>
        <v>0</v>
      </c>
      <c r="D158" s="4">
        <f t="shared" si="20"/>
        <v>6208.333333333333</v>
      </c>
      <c r="E158" s="4">
        <f t="shared" si="21"/>
        <v>6117.333333333333</v>
      </c>
      <c r="F158" t="str">
        <f t="shared" si="22"/>
        <v>No</v>
      </c>
      <c r="G158" t="str">
        <f t="shared" si="23"/>
        <v>No</v>
      </c>
      <c r="I158" t="str">
        <f t="shared" si="24"/>
        <v>Yes</v>
      </c>
      <c r="J158" t="str">
        <f t="shared" si="18"/>
        <v>No</v>
      </c>
      <c r="K158" t="str">
        <f t="shared" si="19"/>
        <v>No</v>
      </c>
      <c r="L158" s="203">
        <f>IF(AND('Total income package'!$A$16=TRUE,E158&lt;$J$2),$M$2,0)</f>
        <v>0</v>
      </c>
      <c r="M158" s="179">
        <f>IF(AND('Total income package'!$A$16=TRUE,E158&lt;$L$2),$P$2,0)</f>
        <v>0</v>
      </c>
      <c r="N158" s="204">
        <f t="shared" si="25"/>
        <v>0</v>
      </c>
    </row>
    <row r="159" spans="1:14" x14ac:dyDescent="0.25">
      <c r="A159" s="105">
        <v>75000</v>
      </c>
      <c r="B159" s="4">
        <f t="shared" si="26"/>
        <v>6250</v>
      </c>
      <c r="C159" s="4">
        <f>'Total income package'!$D$80</f>
        <v>0</v>
      </c>
      <c r="D159" s="4">
        <f t="shared" si="20"/>
        <v>6250</v>
      </c>
      <c r="E159" s="4">
        <f t="shared" si="21"/>
        <v>6159</v>
      </c>
      <c r="F159" t="str">
        <f t="shared" si="22"/>
        <v>No</v>
      </c>
      <c r="G159" t="str">
        <f t="shared" si="23"/>
        <v>No</v>
      </c>
      <c r="I159" t="str">
        <f t="shared" si="24"/>
        <v>Yes</v>
      </c>
      <c r="J159" t="str">
        <f t="shared" si="18"/>
        <v>No</v>
      </c>
      <c r="K159" t="str">
        <f t="shared" si="19"/>
        <v>No</v>
      </c>
      <c r="L159" s="203">
        <f>IF(AND('Total income package'!$A$16=TRUE,E159&lt;$J$2),$M$2,0)</f>
        <v>0</v>
      </c>
      <c r="M159" s="179">
        <f>IF(AND('Total income package'!$A$16=TRUE,E159&lt;$L$2),$P$2,0)</f>
        <v>0</v>
      </c>
      <c r="N159" s="204">
        <f t="shared" si="25"/>
        <v>0</v>
      </c>
    </row>
    <row r="160" spans="1:14" x14ac:dyDescent="0.25">
      <c r="A160" s="105">
        <v>75500</v>
      </c>
      <c r="B160" s="4">
        <f t="shared" si="26"/>
        <v>6291.666666666667</v>
      </c>
      <c r="C160" s="4">
        <f>'Total income package'!$D$80</f>
        <v>0</v>
      </c>
      <c r="D160" s="4">
        <f t="shared" si="20"/>
        <v>6291.666666666667</v>
      </c>
      <c r="E160" s="4">
        <f t="shared" si="21"/>
        <v>6200.666666666667</v>
      </c>
      <c r="F160" t="str">
        <f t="shared" si="22"/>
        <v>No</v>
      </c>
      <c r="G160" t="str">
        <f t="shared" si="23"/>
        <v>No</v>
      </c>
      <c r="I160" t="str">
        <f t="shared" si="24"/>
        <v>Yes</v>
      </c>
      <c r="J160" t="str">
        <f t="shared" si="18"/>
        <v>No</v>
      </c>
      <c r="K160" t="str">
        <f t="shared" si="19"/>
        <v>No</v>
      </c>
      <c r="L160" s="203">
        <f>IF(AND('Total income package'!$A$16=TRUE,E160&lt;$J$2),$M$2,0)</f>
        <v>0</v>
      </c>
      <c r="M160" s="179">
        <f>IF(AND('Total income package'!$A$16=TRUE,E160&lt;$L$2),$P$2,0)</f>
        <v>0</v>
      </c>
      <c r="N160" s="204">
        <f t="shared" si="25"/>
        <v>0</v>
      </c>
    </row>
    <row r="161" spans="1:14" x14ac:dyDescent="0.25">
      <c r="A161" s="105">
        <v>76000</v>
      </c>
      <c r="B161" s="4">
        <f t="shared" si="26"/>
        <v>6333.333333333333</v>
      </c>
      <c r="C161" s="4">
        <f>'Total income package'!$D$80</f>
        <v>0</v>
      </c>
      <c r="D161" s="4">
        <f t="shared" si="20"/>
        <v>6333.333333333333</v>
      </c>
      <c r="E161" s="4">
        <f t="shared" si="21"/>
        <v>6242.333333333333</v>
      </c>
      <c r="F161" t="str">
        <f t="shared" si="22"/>
        <v>No</v>
      </c>
      <c r="G161" t="str">
        <f t="shared" si="23"/>
        <v>No</v>
      </c>
      <c r="I161" t="str">
        <f t="shared" si="24"/>
        <v>Yes</v>
      </c>
      <c r="J161" t="str">
        <f t="shared" si="18"/>
        <v>No</v>
      </c>
      <c r="K161" t="str">
        <f t="shared" si="19"/>
        <v>No</v>
      </c>
      <c r="L161" s="203">
        <f>IF(AND('Total income package'!$A$16=TRUE,E161&lt;$J$2),$M$2,0)</f>
        <v>0</v>
      </c>
      <c r="M161" s="179">
        <f>IF(AND('Total income package'!$A$16=TRUE,E161&lt;$L$2),$P$2,0)</f>
        <v>0</v>
      </c>
      <c r="N161" s="204">
        <f t="shared" si="25"/>
        <v>0</v>
      </c>
    </row>
    <row r="162" spans="1:14" x14ac:dyDescent="0.25">
      <c r="A162" s="105">
        <v>76500</v>
      </c>
      <c r="B162" s="4">
        <f t="shared" si="26"/>
        <v>6375</v>
      </c>
      <c r="C162" s="4">
        <f>'Total income package'!$D$80</f>
        <v>0</v>
      </c>
      <c r="D162" s="4">
        <f t="shared" si="20"/>
        <v>6375</v>
      </c>
      <c r="E162" s="4">
        <f t="shared" si="21"/>
        <v>6284</v>
      </c>
      <c r="F162" t="str">
        <f t="shared" si="22"/>
        <v>No</v>
      </c>
      <c r="G162" t="str">
        <f t="shared" si="23"/>
        <v>No</v>
      </c>
      <c r="I162" t="str">
        <f t="shared" si="24"/>
        <v>Yes</v>
      </c>
      <c r="J162" t="str">
        <f t="shared" si="18"/>
        <v>No</v>
      </c>
      <c r="K162" t="str">
        <f t="shared" si="19"/>
        <v>No</v>
      </c>
      <c r="L162" s="203">
        <f>IF(AND('Total income package'!$A$16=TRUE,E162&lt;$J$2),$M$2,0)</f>
        <v>0</v>
      </c>
      <c r="M162" s="179">
        <f>IF(AND('Total income package'!$A$16=TRUE,E162&lt;$L$2),$P$2,0)</f>
        <v>0</v>
      </c>
      <c r="N162" s="204">
        <f t="shared" si="25"/>
        <v>0</v>
      </c>
    </row>
    <row r="163" spans="1:14" x14ac:dyDescent="0.25">
      <c r="A163" s="105">
        <v>77000</v>
      </c>
      <c r="B163" s="4">
        <f t="shared" si="26"/>
        <v>6416.666666666667</v>
      </c>
      <c r="C163" s="4">
        <f>'Total income package'!$D$80</f>
        <v>0</v>
      </c>
      <c r="D163" s="4">
        <f t="shared" si="20"/>
        <v>6416.666666666667</v>
      </c>
      <c r="E163" s="4">
        <f t="shared" si="21"/>
        <v>6325.666666666667</v>
      </c>
      <c r="F163" t="str">
        <f t="shared" si="22"/>
        <v>No</v>
      </c>
      <c r="G163" t="str">
        <f t="shared" si="23"/>
        <v>No</v>
      </c>
      <c r="I163" t="str">
        <f t="shared" si="24"/>
        <v>Yes</v>
      </c>
      <c r="J163" t="str">
        <f t="shared" si="18"/>
        <v>No</v>
      </c>
      <c r="K163" t="str">
        <f t="shared" si="19"/>
        <v>No</v>
      </c>
      <c r="L163" s="203">
        <f>IF(AND('Total income package'!$A$16=TRUE,E163&lt;$J$2),$M$2,0)</f>
        <v>0</v>
      </c>
      <c r="M163" s="179">
        <f>IF(AND('Total income package'!$A$16=TRUE,E163&lt;$L$2),$P$2,0)</f>
        <v>0</v>
      </c>
      <c r="N163" s="204">
        <f t="shared" si="25"/>
        <v>0</v>
      </c>
    </row>
    <row r="164" spans="1:14" x14ac:dyDescent="0.25">
      <c r="A164" s="105">
        <v>77500</v>
      </c>
      <c r="B164" s="4">
        <f t="shared" si="26"/>
        <v>6458.333333333333</v>
      </c>
      <c r="C164" s="4">
        <f>'Total income package'!$D$80</f>
        <v>0</v>
      </c>
      <c r="D164" s="4">
        <f t="shared" si="20"/>
        <v>6458.333333333333</v>
      </c>
      <c r="E164" s="4">
        <f t="shared" si="21"/>
        <v>6367.333333333333</v>
      </c>
      <c r="F164" t="str">
        <f t="shared" si="22"/>
        <v>No</v>
      </c>
      <c r="G164" t="str">
        <f t="shared" si="23"/>
        <v>No</v>
      </c>
      <c r="I164" t="str">
        <f t="shared" si="24"/>
        <v>Yes</v>
      </c>
      <c r="J164" t="str">
        <f t="shared" si="18"/>
        <v>No</v>
      </c>
      <c r="K164" t="str">
        <f t="shared" si="19"/>
        <v>No</v>
      </c>
      <c r="L164" s="203">
        <f>IF(AND('Total income package'!$A$16=TRUE,E164&lt;$J$2),$M$2,0)</f>
        <v>0</v>
      </c>
      <c r="M164" s="179">
        <f>IF(AND('Total income package'!$A$16=TRUE,E164&lt;$L$2),$P$2,0)</f>
        <v>0</v>
      </c>
      <c r="N164" s="204">
        <f t="shared" si="25"/>
        <v>0</v>
      </c>
    </row>
    <row r="165" spans="1:14" x14ac:dyDescent="0.25">
      <c r="A165" s="105">
        <v>78000</v>
      </c>
      <c r="B165" s="4">
        <f t="shared" si="26"/>
        <v>6500</v>
      </c>
      <c r="C165" s="4">
        <f>'Total income package'!$D$80</f>
        <v>0</v>
      </c>
      <c r="D165" s="4">
        <f t="shared" si="20"/>
        <v>6500</v>
      </c>
      <c r="E165" s="4">
        <f t="shared" si="21"/>
        <v>6409</v>
      </c>
      <c r="F165" t="str">
        <f t="shared" si="22"/>
        <v>No</v>
      </c>
      <c r="G165" t="str">
        <f t="shared" si="23"/>
        <v>No</v>
      </c>
      <c r="I165" t="str">
        <f t="shared" si="24"/>
        <v>Yes</v>
      </c>
      <c r="J165" t="str">
        <f t="shared" si="18"/>
        <v>No</v>
      </c>
      <c r="K165" t="str">
        <f t="shared" si="19"/>
        <v>No</v>
      </c>
      <c r="L165" s="203">
        <f>IF(AND('Total income package'!$A$16=TRUE,E165&lt;$J$2),$M$2,0)</f>
        <v>0</v>
      </c>
      <c r="M165" s="179">
        <f>IF(AND('Total income package'!$A$16=TRUE,E165&lt;$L$2),$P$2,0)</f>
        <v>0</v>
      </c>
      <c r="N165" s="204">
        <f t="shared" si="25"/>
        <v>0</v>
      </c>
    </row>
    <row r="166" spans="1:14" x14ac:dyDescent="0.25">
      <c r="A166" s="105">
        <v>78500</v>
      </c>
      <c r="B166" s="4">
        <f t="shared" si="26"/>
        <v>6541.666666666667</v>
      </c>
      <c r="C166" s="4">
        <f>'Total income package'!$D$80</f>
        <v>0</v>
      </c>
      <c r="D166" s="4">
        <f t="shared" si="20"/>
        <v>6541.666666666667</v>
      </c>
      <c r="E166" s="4">
        <f t="shared" si="21"/>
        <v>6450.666666666667</v>
      </c>
      <c r="F166" t="str">
        <f t="shared" si="22"/>
        <v>No</v>
      </c>
      <c r="G166" t="str">
        <f t="shared" si="23"/>
        <v>No</v>
      </c>
      <c r="I166" t="str">
        <f t="shared" si="24"/>
        <v>Yes</v>
      </c>
      <c r="J166" t="str">
        <f t="shared" si="18"/>
        <v>No</v>
      </c>
      <c r="K166" t="str">
        <f t="shared" si="19"/>
        <v>No</v>
      </c>
      <c r="L166" s="203">
        <f>IF(AND('Total income package'!$A$16=TRUE,E166&lt;$J$2),$M$2,0)</f>
        <v>0</v>
      </c>
      <c r="M166" s="179">
        <f>IF(AND('Total income package'!$A$16=TRUE,E166&lt;$L$2),$P$2,0)</f>
        <v>0</v>
      </c>
      <c r="N166" s="204">
        <f t="shared" si="25"/>
        <v>0</v>
      </c>
    </row>
    <row r="167" spans="1:14" x14ac:dyDescent="0.25">
      <c r="A167" s="105">
        <v>79000</v>
      </c>
      <c r="B167" s="4">
        <f t="shared" si="26"/>
        <v>6583.333333333333</v>
      </c>
      <c r="C167" s="4">
        <f>'Total income package'!$D$80</f>
        <v>0</v>
      </c>
      <c r="D167" s="4">
        <f t="shared" si="20"/>
        <v>6583.333333333333</v>
      </c>
      <c r="E167" s="4">
        <f t="shared" si="21"/>
        <v>6492.333333333333</v>
      </c>
      <c r="F167" t="str">
        <f t="shared" si="22"/>
        <v>No</v>
      </c>
      <c r="G167" t="str">
        <f t="shared" si="23"/>
        <v>No</v>
      </c>
      <c r="I167" t="str">
        <f t="shared" si="24"/>
        <v>Yes</v>
      </c>
      <c r="J167" t="str">
        <f t="shared" si="18"/>
        <v>No</v>
      </c>
      <c r="K167" t="str">
        <f t="shared" si="19"/>
        <v>No</v>
      </c>
      <c r="L167" s="203">
        <f>IF(AND('Total income package'!$A$16=TRUE,E167&lt;$J$2),$M$2,0)</f>
        <v>0</v>
      </c>
      <c r="M167" s="179">
        <f>IF(AND('Total income package'!$A$16=TRUE,E167&lt;$L$2),$P$2,0)</f>
        <v>0</v>
      </c>
      <c r="N167" s="204">
        <f t="shared" si="25"/>
        <v>0</v>
      </c>
    </row>
    <row r="168" spans="1:14" x14ac:dyDescent="0.25">
      <c r="A168" s="105">
        <v>79500</v>
      </c>
      <c r="B168" s="4">
        <f t="shared" si="26"/>
        <v>6625</v>
      </c>
      <c r="C168" s="4">
        <f>'Total income package'!$D$80</f>
        <v>0</v>
      </c>
      <c r="D168" s="4">
        <f t="shared" si="20"/>
        <v>6625</v>
      </c>
      <c r="E168" s="4">
        <f t="shared" si="21"/>
        <v>6534</v>
      </c>
      <c r="F168" t="str">
        <f t="shared" si="22"/>
        <v>No</v>
      </c>
      <c r="G168" t="str">
        <f t="shared" si="23"/>
        <v>No</v>
      </c>
      <c r="I168" t="str">
        <f t="shared" si="24"/>
        <v>Yes</v>
      </c>
      <c r="J168" t="str">
        <f t="shared" si="18"/>
        <v>No</v>
      </c>
      <c r="K168" t="str">
        <f t="shared" si="19"/>
        <v>No</v>
      </c>
      <c r="L168" s="203">
        <f>IF(AND('Total income package'!$A$16=TRUE,E168&lt;$J$2),$M$2,0)</f>
        <v>0</v>
      </c>
      <c r="M168" s="179">
        <f>IF(AND('Total income package'!$A$16=TRUE,E168&lt;$L$2),$P$2,0)</f>
        <v>0</v>
      </c>
      <c r="N168" s="204">
        <f t="shared" si="25"/>
        <v>0</v>
      </c>
    </row>
    <row r="169" spans="1:14" x14ac:dyDescent="0.25">
      <c r="A169" s="105">
        <v>80000</v>
      </c>
      <c r="B169" s="4">
        <f t="shared" si="26"/>
        <v>6666.666666666667</v>
      </c>
      <c r="C169" s="4">
        <f>'Total income package'!$D$80</f>
        <v>0</v>
      </c>
      <c r="D169" s="4">
        <f t="shared" si="20"/>
        <v>6666.666666666667</v>
      </c>
      <c r="E169" s="4">
        <f t="shared" si="21"/>
        <v>6575.666666666667</v>
      </c>
      <c r="F169" t="str">
        <f t="shared" si="22"/>
        <v>No</v>
      </c>
      <c r="G169" t="str">
        <f t="shared" si="23"/>
        <v>No</v>
      </c>
      <c r="I169" t="str">
        <f t="shared" si="24"/>
        <v>Yes</v>
      </c>
      <c r="J169" t="str">
        <f t="shared" si="18"/>
        <v>No</v>
      </c>
      <c r="K169" t="str">
        <f t="shared" si="19"/>
        <v>No</v>
      </c>
      <c r="L169" s="203">
        <f>IF(AND('Total income package'!$A$16=TRUE,E169&lt;$J$2),$M$2,0)</f>
        <v>0</v>
      </c>
      <c r="M169" s="179">
        <f>IF(AND('Total income package'!$A$16=TRUE,E169&lt;$L$2),$P$2,0)</f>
        <v>0</v>
      </c>
      <c r="N169" s="204">
        <f t="shared" si="25"/>
        <v>0</v>
      </c>
    </row>
    <row r="170" spans="1:14" x14ac:dyDescent="0.25">
      <c r="A170" s="105">
        <v>80500</v>
      </c>
      <c r="B170" s="4">
        <f t="shared" si="26"/>
        <v>6708.333333333333</v>
      </c>
      <c r="C170" s="4">
        <f>'Total income package'!$D$80</f>
        <v>0</v>
      </c>
      <c r="D170" s="4">
        <f t="shared" si="20"/>
        <v>6708.333333333333</v>
      </c>
      <c r="E170" s="4">
        <f t="shared" si="21"/>
        <v>6617.333333333333</v>
      </c>
      <c r="F170" t="str">
        <f t="shared" si="22"/>
        <v>No</v>
      </c>
      <c r="G170" t="str">
        <f t="shared" si="23"/>
        <v>No</v>
      </c>
      <c r="I170" t="str">
        <f t="shared" si="24"/>
        <v>Yes</v>
      </c>
      <c r="J170" t="str">
        <f t="shared" si="18"/>
        <v>No</v>
      </c>
      <c r="K170" t="str">
        <f t="shared" si="19"/>
        <v>No</v>
      </c>
      <c r="L170" s="203">
        <f>IF(AND('Total income package'!$A$16=TRUE,E170&lt;$J$2),$M$2,0)</f>
        <v>0</v>
      </c>
      <c r="M170" s="179">
        <f>IF(AND('Total income package'!$A$16=TRUE,E170&lt;$L$2),$P$2,0)</f>
        <v>0</v>
      </c>
      <c r="N170" s="204">
        <f t="shared" si="25"/>
        <v>0</v>
      </c>
    </row>
    <row r="171" spans="1:14" x14ac:dyDescent="0.25">
      <c r="A171" s="105">
        <v>81000</v>
      </c>
      <c r="B171" s="4">
        <f t="shared" si="26"/>
        <v>6750</v>
      </c>
      <c r="C171" s="4">
        <f>'Total income package'!$D$80</f>
        <v>0</v>
      </c>
      <c r="D171" s="4">
        <f t="shared" si="20"/>
        <v>6750</v>
      </c>
      <c r="E171" s="4">
        <f t="shared" si="21"/>
        <v>6659</v>
      </c>
      <c r="F171" t="str">
        <f t="shared" si="22"/>
        <v>No</v>
      </c>
      <c r="G171" t="str">
        <f t="shared" si="23"/>
        <v>No</v>
      </c>
      <c r="I171" t="str">
        <f t="shared" si="24"/>
        <v>Yes</v>
      </c>
      <c r="J171" t="str">
        <f t="shared" si="18"/>
        <v>No</v>
      </c>
      <c r="K171" t="str">
        <f t="shared" si="19"/>
        <v>No</v>
      </c>
      <c r="L171" s="203">
        <f>IF(AND('Total income package'!$A$16=TRUE,E171&lt;$J$2),$M$2,0)</f>
        <v>0</v>
      </c>
      <c r="M171" s="179">
        <f>IF(AND('Total income package'!$A$16=TRUE,E171&lt;$L$2),$P$2,0)</f>
        <v>0</v>
      </c>
      <c r="N171" s="204">
        <f t="shared" si="25"/>
        <v>0</v>
      </c>
    </row>
    <row r="172" spans="1:14" x14ac:dyDescent="0.25">
      <c r="A172" s="105">
        <v>81500</v>
      </c>
      <c r="B172" s="4">
        <f t="shared" si="26"/>
        <v>6791.666666666667</v>
      </c>
      <c r="C172" s="4">
        <f>'Total income package'!$D$80</f>
        <v>0</v>
      </c>
      <c r="D172" s="4">
        <f t="shared" si="20"/>
        <v>6791.666666666667</v>
      </c>
      <c r="E172" s="4">
        <f t="shared" si="21"/>
        <v>6700.666666666667</v>
      </c>
      <c r="F172" t="str">
        <f t="shared" si="22"/>
        <v>No</v>
      </c>
      <c r="G172" t="str">
        <f t="shared" si="23"/>
        <v>No</v>
      </c>
      <c r="I172" t="str">
        <f t="shared" si="24"/>
        <v>Yes</v>
      </c>
      <c r="J172" t="str">
        <f t="shared" si="18"/>
        <v>No</v>
      </c>
      <c r="K172" t="str">
        <f t="shared" si="19"/>
        <v>No</v>
      </c>
      <c r="L172" s="203">
        <f>IF(AND('Total income package'!$A$16=TRUE,E172&lt;$J$2),$M$2,0)</f>
        <v>0</v>
      </c>
      <c r="M172" s="179">
        <f>IF(AND('Total income package'!$A$16=TRUE,E172&lt;$L$2),$P$2,0)</f>
        <v>0</v>
      </c>
      <c r="N172" s="204">
        <f t="shared" si="25"/>
        <v>0</v>
      </c>
    </row>
    <row r="173" spans="1:14" x14ac:dyDescent="0.25">
      <c r="A173" s="105">
        <v>82000</v>
      </c>
      <c r="B173" s="4">
        <f t="shared" si="26"/>
        <v>6833.333333333333</v>
      </c>
      <c r="C173" s="4">
        <f>'Total income package'!$D$80</f>
        <v>0</v>
      </c>
      <c r="D173" s="4">
        <f t="shared" si="20"/>
        <v>6833.333333333333</v>
      </c>
      <c r="E173" s="4">
        <f t="shared" si="21"/>
        <v>6742.333333333333</v>
      </c>
      <c r="F173" t="str">
        <f t="shared" si="22"/>
        <v>No</v>
      </c>
      <c r="G173" t="str">
        <f t="shared" si="23"/>
        <v>No</v>
      </c>
      <c r="I173" t="str">
        <f t="shared" si="24"/>
        <v>Yes</v>
      </c>
      <c r="J173" t="str">
        <f t="shared" si="18"/>
        <v>No</v>
      </c>
      <c r="K173" t="str">
        <f t="shared" si="19"/>
        <v>No</v>
      </c>
      <c r="L173" s="203">
        <f>IF(AND('Total income package'!$A$16=TRUE,E173&lt;$J$2),$M$2,0)</f>
        <v>0</v>
      </c>
      <c r="M173" s="179">
        <f>IF(AND('Total income package'!$A$16=TRUE,E173&lt;$L$2),$P$2,0)</f>
        <v>0</v>
      </c>
      <c r="N173" s="204">
        <f t="shared" si="25"/>
        <v>0</v>
      </c>
    </row>
    <row r="174" spans="1:14" x14ac:dyDescent="0.25">
      <c r="A174" s="105">
        <v>82500</v>
      </c>
      <c r="B174" s="4">
        <f t="shared" si="26"/>
        <v>6875</v>
      </c>
      <c r="C174" s="4">
        <f>'Total income package'!$D$80</f>
        <v>0</v>
      </c>
      <c r="D174" s="4">
        <f t="shared" si="20"/>
        <v>6875</v>
      </c>
      <c r="E174" s="4">
        <f t="shared" si="21"/>
        <v>6784</v>
      </c>
      <c r="F174" t="str">
        <f t="shared" si="22"/>
        <v>No</v>
      </c>
      <c r="G174" t="str">
        <f t="shared" si="23"/>
        <v>No</v>
      </c>
      <c r="I174" t="str">
        <f t="shared" si="24"/>
        <v>Yes</v>
      </c>
      <c r="J174" t="str">
        <f t="shared" si="18"/>
        <v>No</v>
      </c>
      <c r="K174" t="str">
        <f t="shared" si="19"/>
        <v>No</v>
      </c>
      <c r="L174" s="203">
        <f>IF(AND('Total income package'!$A$16=TRUE,E174&lt;$J$2),$M$2,0)</f>
        <v>0</v>
      </c>
      <c r="M174" s="179">
        <f>IF(AND('Total income package'!$A$16=TRUE,E174&lt;$L$2),$P$2,0)</f>
        <v>0</v>
      </c>
      <c r="N174" s="204">
        <f t="shared" si="25"/>
        <v>0</v>
      </c>
    </row>
    <row r="175" spans="1:14" x14ac:dyDescent="0.25">
      <c r="A175" s="105">
        <v>83000</v>
      </c>
      <c r="B175" s="4">
        <f t="shared" si="26"/>
        <v>6916.666666666667</v>
      </c>
      <c r="C175" s="4">
        <f>'Total income package'!$D$80</f>
        <v>0</v>
      </c>
      <c r="D175" s="4">
        <f t="shared" si="20"/>
        <v>6916.666666666667</v>
      </c>
      <c r="E175" s="4">
        <f t="shared" si="21"/>
        <v>6825.666666666667</v>
      </c>
      <c r="F175" t="str">
        <f t="shared" si="22"/>
        <v>No</v>
      </c>
      <c r="G175" t="str">
        <f t="shared" si="23"/>
        <v>No</v>
      </c>
      <c r="I175" t="str">
        <f t="shared" si="24"/>
        <v>Yes</v>
      </c>
      <c r="J175" t="str">
        <f t="shared" si="18"/>
        <v>No</v>
      </c>
      <c r="K175" t="str">
        <f t="shared" si="19"/>
        <v>No</v>
      </c>
      <c r="L175" s="203">
        <f>IF(AND('Total income package'!$A$16=TRUE,E175&lt;$J$2),$M$2,0)</f>
        <v>0</v>
      </c>
      <c r="M175" s="179">
        <f>IF(AND('Total income package'!$A$16=TRUE,E175&lt;$L$2),$P$2,0)</f>
        <v>0</v>
      </c>
      <c r="N175" s="204">
        <f t="shared" si="25"/>
        <v>0</v>
      </c>
    </row>
    <row r="176" spans="1:14" x14ac:dyDescent="0.25">
      <c r="A176" s="105">
        <v>83500</v>
      </c>
      <c r="B176" s="4">
        <f t="shared" si="26"/>
        <v>6958.333333333333</v>
      </c>
      <c r="C176" s="4">
        <f>'Total income package'!$D$80</f>
        <v>0</v>
      </c>
      <c r="D176" s="4">
        <f t="shared" si="20"/>
        <v>6958.333333333333</v>
      </c>
      <c r="E176" s="4">
        <f t="shared" si="21"/>
        <v>6867.333333333333</v>
      </c>
      <c r="F176" t="str">
        <f t="shared" si="22"/>
        <v>No</v>
      </c>
      <c r="G176" t="str">
        <f t="shared" si="23"/>
        <v>No</v>
      </c>
      <c r="I176" t="str">
        <f t="shared" si="24"/>
        <v>Yes</v>
      </c>
      <c r="J176" t="str">
        <f t="shared" si="18"/>
        <v>No</v>
      </c>
      <c r="K176" t="str">
        <f t="shared" si="19"/>
        <v>No</v>
      </c>
      <c r="L176" s="203">
        <f>IF(AND('Total income package'!$A$16=TRUE,E176&lt;$J$2),$M$2,0)</f>
        <v>0</v>
      </c>
      <c r="M176" s="179">
        <f>IF(AND('Total income package'!$A$16=TRUE,E176&lt;$L$2),$P$2,0)</f>
        <v>0</v>
      </c>
      <c r="N176" s="204">
        <f t="shared" si="25"/>
        <v>0</v>
      </c>
    </row>
    <row r="177" spans="1:14" x14ac:dyDescent="0.25">
      <c r="A177" s="105">
        <v>84000</v>
      </c>
      <c r="B177" s="4">
        <f t="shared" si="26"/>
        <v>7000</v>
      </c>
      <c r="C177" s="4">
        <f>'Total income package'!$D$80</f>
        <v>0</v>
      </c>
      <c r="D177" s="4">
        <f t="shared" si="20"/>
        <v>7000</v>
      </c>
      <c r="E177" s="4">
        <f t="shared" si="21"/>
        <v>6909</v>
      </c>
      <c r="F177" t="str">
        <f t="shared" si="22"/>
        <v>No</v>
      </c>
      <c r="G177" t="str">
        <f t="shared" si="23"/>
        <v>No</v>
      </c>
      <c r="I177" t="str">
        <f t="shared" si="24"/>
        <v>Yes</v>
      </c>
      <c r="J177" t="str">
        <f t="shared" si="18"/>
        <v>No</v>
      </c>
      <c r="K177" t="str">
        <f t="shared" si="19"/>
        <v>No</v>
      </c>
      <c r="L177" s="203">
        <f>IF(AND('Total income package'!$A$16=TRUE,E177&lt;$J$2),$M$2,0)</f>
        <v>0</v>
      </c>
      <c r="M177" s="179">
        <f>IF(AND('Total income package'!$A$16=TRUE,E177&lt;$L$2),$P$2,0)</f>
        <v>0</v>
      </c>
      <c r="N177" s="204">
        <f t="shared" si="25"/>
        <v>0</v>
      </c>
    </row>
    <row r="178" spans="1:14" x14ac:dyDescent="0.25">
      <c r="A178" s="105">
        <v>84500</v>
      </c>
      <c r="B178" s="4">
        <f t="shared" si="26"/>
        <v>7041.666666666667</v>
      </c>
      <c r="C178" s="4">
        <f>'Total income package'!$D$80</f>
        <v>0</v>
      </c>
      <c r="D178" s="4">
        <f t="shared" si="20"/>
        <v>7041.666666666667</v>
      </c>
      <c r="E178" s="4">
        <f t="shared" si="21"/>
        <v>6950.666666666667</v>
      </c>
      <c r="F178" t="str">
        <f t="shared" si="22"/>
        <v>No</v>
      </c>
      <c r="G178" t="str">
        <f t="shared" si="23"/>
        <v>No</v>
      </c>
      <c r="I178" t="str">
        <f t="shared" si="24"/>
        <v>Yes</v>
      </c>
      <c r="J178" t="str">
        <f t="shared" si="18"/>
        <v>No</v>
      </c>
      <c r="K178" t="str">
        <f t="shared" si="19"/>
        <v>No</v>
      </c>
      <c r="L178" s="203">
        <f>IF(AND('Total income package'!$A$16=TRUE,E178&lt;$J$2),$M$2,0)</f>
        <v>0</v>
      </c>
      <c r="M178" s="179">
        <f>IF(AND('Total income package'!$A$16=TRUE,E178&lt;$L$2),$P$2,0)</f>
        <v>0</v>
      </c>
      <c r="N178" s="204">
        <f t="shared" si="25"/>
        <v>0</v>
      </c>
    </row>
    <row r="179" spans="1:14" x14ac:dyDescent="0.25">
      <c r="A179" s="105">
        <v>85000</v>
      </c>
      <c r="B179" s="4">
        <f t="shared" si="26"/>
        <v>7083.333333333333</v>
      </c>
      <c r="C179" s="4">
        <f>'Total income package'!$D$80</f>
        <v>0</v>
      </c>
      <c r="D179" s="4">
        <f t="shared" si="20"/>
        <v>7083.333333333333</v>
      </c>
      <c r="E179" s="4">
        <f t="shared" si="21"/>
        <v>6992.333333333333</v>
      </c>
      <c r="F179" t="str">
        <f t="shared" si="22"/>
        <v>No</v>
      </c>
      <c r="G179" t="str">
        <f t="shared" si="23"/>
        <v>No</v>
      </c>
      <c r="I179" t="str">
        <f t="shared" si="24"/>
        <v>Yes</v>
      </c>
      <c r="J179" t="str">
        <f t="shared" si="18"/>
        <v>No</v>
      </c>
      <c r="K179" t="str">
        <f t="shared" si="19"/>
        <v>No</v>
      </c>
      <c r="L179" s="203">
        <f>IF(AND('Total income package'!$A$16=TRUE,E179&lt;$J$2),$M$2,0)</f>
        <v>0</v>
      </c>
      <c r="M179" s="179">
        <f>IF(AND('Total income package'!$A$16=TRUE,E179&lt;$L$2),$P$2,0)</f>
        <v>0</v>
      </c>
      <c r="N179" s="204">
        <f t="shared" si="25"/>
        <v>0</v>
      </c>
    </row>
    <row r="180" spans="1:14" x14ac:dyDescent="0.25">
      <c r="A180" s="105">
        <v>85500</v>
      </c>
      <c r="B180" s="4">
        <f t="shared" si="26"/>
        <v>7125</v>
      </c>
      <c r="C180" s="4">
        <f>'Total income package'!$D$80</f>
        <v>0</v>
      </c>
      <c r="D180" s="4">
        <f t="shared" si="20"/>
        <v>7125</v>
      </c>
      <c r="E180" s="4">
        <f t="shared" si="21"/>
        <v>7034</v>
      </c>
      <c r="F180" t="str">
        <f t="shared" si="22"/>
        <v>No</v>
      </c>
      <c r="G180" t="str">
        <f t="shared" si="23"/>
        <v>No</v>
      </c>
      <c r="I180" t="str">
        <f t="shared" si="24"/>
        <v>Yes</v>
      </c>
      <c r="J180" t="str">
        <f t="shared" si="18"/>
        <v>No</v>
      </c>
      <c r="K180" t="str">
        <f t="shared" si="19"/>
        <v>No</v>
      </c>
      <c r="L180" s="203">
        <f>IF(AND('Total income package'!$A$16=TRUE,E180&lt;$J$2),$M$2,0)</f>
        <v>0</v>
      </c>
      <c r="M180" s="179">
        <f>IF(AND('Total income package'!$A$16=TRUE,E180&lt;$L$2),$P$2,0)</f>
        <v>0</v>
      </c>
      <c r="N180" s="204">
        <f t="shared" si="25"/>
        <v>0</v>
      </c>
    </row>
    <row r="181" spans="1:14" x14ac:dyDescent="0.25">
      <c r="A181" s="105">
        <v>86000</v>
      </c>
      <c r="B181" s="4">
        <f t="shared" si="26"/>
        <v>7166.666666666667</v>
      </c>
      <c r="C181" s="4">
        <f>'Total income package'!$D$80</f>
        <v>0</v>
      </c>
      <c r="D181" s="4">
        <f t="shared" si="20"/>
        <v>7166.666666666667</v>
      </c>
      <c r="E181" s="4">
        <f t="shared" si="21"/>
        <v>7075.666666666667</v>
      </c>
      <c r="F181" t="str">
        <f t="shared" si="22"/>
        <v>No</v>
      </c>
      <c r="G181" t="str">
        <f t="shared" si="23"/>
        <v>No</v>
      </c>
      <c r="I181" t="str">
        <f t="shared" si="24"/>
        <v>Yes</v>
      </c>
      <c r="J181" t="str">
        <f t="shared" si="18"/>
        <v>No</v>
      </c>
      <c r="K181" t="str">
        <f t="shared" si="19"/>
        <v>No</v>
      </c>
      <c r="L181" s="203">
        <f>IF(AND('Total income package'!$A$16=TRUE,E181&lt;$J$2),$M$2,0)</f>
        <v>0</v>
      </c>
      <c r="M181" s="179">
        <f>IF(AND('Total income package'!$A$16=TRUE,E181&lt;$L$2),$P$2,0)</f>
        <v>0</v>
      </c>
      <c r="N181" s="204">
        <f t="shared" si="25"/>
        <v>0</v>
      </c>
    </row>
    <row r="182" spans="1:14" x14ac:dyDescent="0.25">
      <c r="A182" s="105">
        <v>86500</v>
      </c>
      <c r="B182" s="4">
        <f t="shared" si="26"/>
        <v>7208.333333333333</v>
      </c>
      <c r="C182" s="4">
        <f>'Total income package'!$D$80</f>
        <v>0</v>
      </c>
      <c r="D182" s="4">
        <f t="shared" si="20"/>
        <v>7208.333333333333</v>
      </c>
      <c r="E182" s="4">
        <f t="shared" si="21"/>
        <v>7117.333333333333</v>
      </c>
      <c r="F182" t="str">
        <f t="shared" si="22"/>
        <v>No</v>
      </c>
      <c r="G182" t="str">
        <f t="shared" si="23"/>
        <v>No</v>
      </c>
      <c r="I182" t="str">
        <f t="shared" si="24"/>
        <v>Yes</v>
      </c>
      <c r="J182" t="str">
        <f t="shared" si="18"/>
        <v>No</v>
      </c>
      <c r="K182" t="str">
        <f t="shared" si="19"/>
        <v>No</v>
      </c>
      <c r="L182" s="203">
        <f>IF(AND('Total income package'!$A$16=TRUE,E182&lt;$J$2),$M$2,0)</f>
        <v>0</v>
      </c>
      <c r="M182" s="179">
        <f>IF(AND('Total income package'!$A$16=TRUE,E182&lt;$L$2),$P$2,0)</f>
        <v>0</v>
      </c>
      <c r="N182" s="204">
        <f t="shared" si="25"/>
        <v>0</v>
      </c>
    </row>
    <row r="183" spans="1:14" x14ac:dyDescent="0.25">
      <c r="A183" s="105">
        <v>87000</v>
      </c>
      <c r="B183" s="4">
        <f t="shared" si="26"/>
        <v>7250</v>
      </c>
      <c r="C183" s="4">
        <f>'Total income package'!$D$80</f>
        <v>0</v>
      </c>
      <c r="D183" s="4">
        <f t="shared" si="20"/>
        <v>7250</v>
      </c>
      <c r="E183" s="4">
        <f t="shared" si="21"/>
        <v>7159</v>
      </c>
      <c r="F183" t="str">
        <f t="shared" si="22"/>
        <v>No</v>
      </c>
      <c r="G183" t="str">
        <f t="shared" si="23"/>
        <v>No</v>
      </c>
      <c r="I183" t="str">
        <f t="shared" si="24"/>
        <v>Yes</v>
      </c>
      <c r="J183" t="str">
        <f t="shared" si="18"/>
        <v>No</v>
      </c>
      <c r="K183" t="str">
        <f t="shared" si="19"/>
        <v>No</v>
      </c>
      <c r="L183" s="203">
        <f>IF(AND('Total income package'!$A$16=TRUE,E183&lt;$J$2),$M$2,0)</f>
        <v>0</v>
      </c>
      <c r="M183" s="179">
        <f>IF(AND('Total income package'!$A$16=TRUE,E183&lt;$L$2),$P$2,0)</f>
        <v>0</v>
      </c>
      <c r="N183" s="204">
        <f t="shared" si="25"/>
        <v>0</v>
      </c>
    </row>
    <row r="184" spans="1:14" x14ac:dyDescent="0.25">
      <c r="A184" s="105">
        <v>87500</v>
      </c>
      <c r="B184" s="4">
        <f t="shared" si="26"/>
        <v>7291.666666666667</v>
      </c>
      <c r="C184" s="4">
        <f>'Total income package'!$D$80</f>
        <v>0</v>
      </c>
      <c r="D184" s="4">
        <f t="shared" si="20"/>
        <v>7291.666666666667</v>
      </c>
      <c r="E184" s="4">
        <f t="shared" si="21"/>
        <v>7200.666666666667</v>
      </c>
      <c r="F184" t="str">
        <f t="shared" si="22"/>
        <v>No</v>
      </c>
      <c r="G184" t="str">
        <f t="shared" si="23"/>
        <v>No</v>
      </c>
      <c r="I184" t="str">
        <f t="shared" si="24"/>
        <v>Yes</v>
      </c>
      <c r="J184" t="str">
        <f t="shared" si="18"/>
        <v>No</v>
      </c>
      <c r="K184" t="str">
        <f t="shared" si="19"/>
        <v>No</v>
      </c>
      <c r="L184" s="203">
        <f>IF(AND('Total income package'!$A$16=TRUE,E184&lt;$J$2),$M$2,0)</f>
        <v>0</v>
      </c>
      <c r="M184" s="179">
        <f>IF(AND('Total income package'!$A$16=TRUE,E184&lt;$L$2),$P$2,0)</f>
        <v>0</v>
      </c>
      <c r="N184" s="204">
        <f t="shared" si="25"/>
        <v>0</v>
      </c>
    </row>
    <row r="185" spans="1:14" x14ac:dyDescent="0.25">
      <c r="A185" s="105">
        <v>88000</v>
      </c>
      <c r="B185" s="4">
        <f t="shared" si="26"/>
        <v>7333.333333333333</v>
      </c>
      <c r="C185" s="4">
        <f>'Total income package'!$D$80</f>
        <v>0</v>
      </c>
      <c r="D185" s="4">
        <f t="shared" si="20"/>
        <v>7333.333333333333</v>
      </c>
      <c r="E185" s="4">
        <f t="shared" si="21"/>
        <v>7242.333333333333</v>
      </c>
      <c r="F185" t="str">
        <f t="shared" si="22"/>
        <v>No</v>
      </c>
      <c r="G185" t="str">
        <f t="shared" si="23"/>
        <v>No</v>
      </c>
      <c r="I185" t="str">
        <f t="shared" si="24"/>
        <v>Yes</v>
      </c>
      <c r="J185" t="str">
        <f t="shared" si="18"/>
        <v>No</v>
      </c>
      <c r="K185" t="str">
        <f t="shared" si="19"/>
        <v>No</v>
      </c>
      <c r="L185" s="203">
        <f>IF(AND('Total income package'!$A$16=TRUE,E185&lt;$J$2),$M$2,0)</f>
        <v>0</v>
      </c>
      <c r="M185" s="179">
        <f>IF(AND('Total income package'!$A$16=TRUE,E185&lt;$L$2),$P$2,0)</f>
        <v>0</v>
      </c>
      <c r="N185" s="204">
        <f t="shared" si="25"/>
        <v>0</v>
      </c>
    </row>
    <row r="186" spans="1:14" x14ac:dyDescent="0.25">
      <c r="A186" s="105">
        <v>88500</v>
      </c>
      <c r="B186" s="4">
        <f t="shared" si="26"/>
        <v>7375</v>
      </c>
      <c r="C186" s="4">
        <f>'Total income package'!$D$80</f>
        <v>0</v>
      </c>
      <c r="D186" s="4">
        <f t="shared" si="20"/>
        <v>7375</v>
      </c>
      <c r="E186" s="4">
        <f t="shared" si="21"/>
        <v>7284</v>
      </c>
      <c r="F186" t="str">
        <f t="shared" si="22"/>
        <v>No</v>
      </c>
      <c r="G186" t="str">
        <f t="shared" si="23"/>
        <v>No</v>
      </c>
      <c r="I186" t="str">
        <f t="shared" si="24"/>
        <v>Yes</v>
      </c>
      <c r="J186" t="str">
        <f t="shared" si="18"/>
        <v>No</v>
      </c>
      <c r="K186" t="str">
        <f t="shared" si="19"/>
        <v>No</v>
      </c>
      <c r="L186" s="203">
        <f>IF(AND('Total income package'!$A$16=TRUE,E186&lt;$J$2),$M$2,0)</f>
        <v>0</v>
      </c>
      <c r="M186" s="179">
        <f>IF(AND('Total income package'!$A$16=TRUE,E186&lt;$L$2),$P$2,0)</f>
        <v>0</v>
      </c>
      <c r="N186" s="204">
        <f t="shared" si="25"/>
        <v>0</v>
      </c>
    </row>
    <row r="187" spans="1:14" x14ac:dyDescent="0.25">
      <c r="A187" s="105">
        <v>89000</v>
      </c>
      <c r="B187" s="4">
        <f t="shared" si="26"/>
        <v>7416.666666666667</v>
      </c>
      <c r="C187" s="4">
        <f>'Total income package'!$D$80</f>
        <v>0</v>
      </c>
      <c r="D187" s="4">
        <f t="shared" si="20"/>
        <v>7416.666666666667</v>
      </c>
      <c r="E187" s="4">
        <f t="shared" si="21"/>
        <v>7325.666666666667</v>
      </c>
      <c r="F187" t="str">
        <f t="shared" si="22"/>
        <v>No</v>
      </c>
      <c r="G187" t="str">
        <f t="shared" si="23"/>
        <v>No</v>
      </c>
      <c r="I187" t="str">
        <f t="shared" si="24"/>
        <v>Yes</v>
      </c>
      <c r="J187" t="str">
        <f t="shared" si="18"/>
        <v>No</v>
      </c>
      <c r="K187" t="str">
        <f t="shared" si="19"/>
        <v>No</v>
      </c>
      <c r="L187" s="203">
        <f>IF(AND('Total income package'!$A$16=TRUE,E187&lt;$J$2),$M$2,0)</f>
        <v>0</v>
      </c>
      <c r="M187" s="179">
        <f>IF(AND('Total income package'!$A$16=TRUE,E187&lt;$L$2),$P$2,0)</f>
        <v>0</v>
      </c>
      <c r="N187" s="204">
        <f t="shared" si="25"/>
        <v>0</v>
      </c>
    </row>
    <row r="188" spans="1:14" x14ac:dyDescent="0.25">
      <c r="A188" s="105">
        <v>89500</v>
      </c>
      <c r="B188" s="4">
        <f t="shared" si="26"/>
        <v>7458.333333333333</v>
      </c>
      <c r="C188" s="4">
        <f>'Total income package'!$D$80</f>
        <v>0</v>
      </c>
      <c r="D188" s="4">
        <f t="shared" si="20"/>
        <v>7458.333333333333</v>
      </c>
      <c r="E188" s="4">
        <f t="shared" si="21"/>
        <v>7367.333333333333</v>
      </c>
      <c r="F188" t="str">
        <f t="shared" si="22"/>
        <v>No</v>
      </c>
      <c r="G188" t="str">
        <f t="shared" si="23"/>
        <v>No</v>
      </c>
      <c r="I188" t="str">
        <f t="shared" si="24"/>
        <v>Yes</v>
      </c>
      <c r="J188" t="str">
        <f t="shared" si="18"/>
        <v>No</v>
      </c>
      <c r="K188" t="str">
        <f t="shared" si="19"/>
        <v>No</v>
      </c>
      <c r="L188" s="203">
        <f>IF(AND('Total income package'!$A$16=TRUE,E188&lt;$J$2),$M$2,0)</f>
        <v>0</v>
      </c>
      <c r="M188" s="179">
        <f>IF(AND('Total income package'!$A$16=TRUE,E188&lt;$L$2),$P$2,0)</f>
        <v>0</v>
      </c>
      <c r="N188" s="204">
        <f t="shared" si="25"/>
        <v>0</v>
      </c>
    </row>
    <row r="189" spans="1:14" x14ac:dyDescent="0.25">
      <c r="A189" s="105">
        <v>90000</v>
      </c>
      <c r="B189" s="4">
        <f t="shared" si="26"/>
        <v>7500</v>
      </c>
      <c r="C189" s="4">
        <f>'Total income package'!$D$80</f>
        <v>0</v>
      </c>
      <c r="D189" s="4">
        <f t="shared" si="20"/>
        <v>7500</v>
      </c>
      <c r="E189" s="4">
        <f t="shared" si="21"/>
        <v>7409</v>
      </c>
      <c r="F189" t="str">
        <f t="shared" si="22"/>
        <v>No</v>
      </c>
      <c r="G189" t="str">
        <f t="shared" si="23"/>
        <v>No</v>
      </c>
      <c r="I189" t="str">
        <f t="shared" si="24"/>
        <v>Yes</v>
      </c>
      <c r="J189" t="str">
        <f t="shared" si="18"/>
        <v>No</v>
      </c>
      <c r="K189" t="str">
        <f t="shared" si="19"/>
        <v>No</v>
      </c>
      <c r="L189" s="203">
        <f>IF(AND('Total income package'!$A$16=TRUE,E189&lt;$J$2),$M$2,0)</f>
        <v>0</v>
      </c>
      <c r="M189" s="179">
        <f>IF(AND('Total income package'!$A$16=TRUE,E189&lt;$L$2),$P$2,0)</f>
        <v>0</v>
      </c>
      <c r="N189" s="204">
        <f t="shared" si="25"/>
        <v>0</v>
      </c>
    </row>
    <row r="190" spans="1:14" x14ac:dyDescent="0.25">
      <c r="A190" s="105">
        <v>90500</v>
      </c>
      <c r="B190" s="4">
        <f t="shared" si="26"/>
        <v>7541.666666666667</v>
      </c>
      <c r="C190" s="4">
        <f>'Total income package'!$D$80</f>
        <v>0</v>
      </c>
      <c r="D190" s="4">
        <f t="shared" si="20"/>
        <v>7541.666666666667</v>
      </c>
      <c r="E190" s="4">
        <f t="shared" si="21"/>
        <v>7450.666666666667</v>
      </c>
      <c r="F190" t="str">
        <f t="shared" si="22"/>
        <v>No</v>
      </c>
      <c r="G190" t="str">
        <f t="shared" si="23"/>
        <v>No</v>
      </c>
      <c r="I190" t="str">
        <f t="shared" si="24"/>
        <v>Yes</v>
      </c>
      <c r="J190" t="str">
        <f t="shared" si="18"/>
        <v>No</v>
      </c>
      <c r="K190" t="str">
        <f t="shared" si="19"/>
        <v>No</v>
      </c>
      <c r="L190" s="203">
        <f>IF(AND('Total income package'!$A$16=TRUE,E190&lt;$J$2),$M$2,0)</f>
        <v>0</v>
      </c>
      <c r="M190" s="179">
        <f>IF(AND('Total income package'!$A$16=TRUE,E190&lt;$L$2),$P$2,0)</f>
        <v>0</v>
      </c>
      <c r="N190" s="204">
        <f t="shared" si="25"/>
        <v>0</v>
      </c>
    </row>
    <row r="191" spans="1:14" x14ac:dyDescent="0.25">
      <c r="A191" s="105">
        <v>91000</v>
      </c>
      <c r="B191" s="4">
        <f t="shared" si="26"/>
        <v>7583.333333333333</v>
      </c>
      <c r="C191" s="4">
        <f>'Total income package'!$D$80</f>
        <v>0</v>
      </c>
      <c r="D191" s="4">
        <f t="shared" si="20"/>
        <v>7583.333333333333</v>
      </c>
      <c r="E191" s="4">
        <f t="shared" si="21"/>
        <v>7492.333333333333</v>
      </c>
      <c r="F191" t="str">
        <f t="shared" si="22"/>
        <v>No</v>
      </c>
      <c r="G191" t="str">
        <f t="shared" si="23"/>
        <v>No</v>
      </c>
      <c r="I191" t="str">
        <f t="shared" si="24"/>
        <v>Yes</v>
      </c>
      <c r="J191" t="str">
        <f t="shared" si="18"/>
        <v>No</v>
      </c>
      <c r="K191" t="str">
        <f t="shared" si="19"/>
        <v>No</v>
      </c>
      <c r="L191" s="203">
        <f>IF(AND('Total income package'!$A$16=TRUE,E191&lt;$J$2),$M$2,0)</f>
        <v>0</v>
      </c>
      <c r="M191" s="179">
        <f>IF(AND('Total income package'!$A$16=TRUE,E191&lt;$L$2),$P$2,0)</f>
        <v>0</v>
      </c>
      <c r="N191" s="204">
        <f t="shared" si="25"/>
        <v>0</v>
      </c>
    </row>
    <row r="192" spans="1:14" x14ac:dyDescent="0.25">
      <c r="A192" s="105">
        <v>91500</v>
      </c>
      <c r="B192" s="4">
        <f t="shared" si="26"/>
        <v>7625</v>
      </c>
      <c r="C192" s="4">
        <f>'Total income package'!$D$80</f>
        <v>0</v>
      </c>
      <c r="D192" s="4">
        <f t="shared" si="20"/>
        <v>7625</v>
      </c>
      <c r="E192" s="4">
        <f t="shared" si="21"/>
        <v>7534</v>
      </c>
      <c r="F192" t="str">
        <f t="shared" si="22"/>
        <v>No</v>
      </c>
      <c r="G192" t="str">
        <f t="shared" si="23"/>
        <v>No</v>
      </c>
      <c r="I192" t="str">
        <f t="shared" si="24"/>
        <v>Yes</v>
      </c>
      <c r="J192" t="str">
        <f t="shared" si="18"/>
        <v>No</v>
      </c>
      <c r="K192" t="str">
        <f t="shared" si="19"/>
        <v>No</v>
      </c>
      <c r="L192" s="203">
        <f>IF(AND('Total income package'!$A$16=TRUE,E192&lt;$J$2),$M$2,0)</f>
        <v>0</v>
      </c>
      <c r="M192" s="179">
        <f>IF(AND('Total income package'!$A$16=TRUE,E192&lt;$L$2),$P$2,0)</f>
        <v>0</v>
      </c>
      <c r="N192" s="204">
        <f t="shared" si="25"/>
        <v>0</v>
      </c>
    </row>
    <row r="193" spans="1:14" x14ac:dyDescent="0.25">
      <c r="A193" s="105">
        <v>92000</v>
      </c>
      <c r="B193" s="4">
        <f t="shared" si="26"/>
        <v>7666.666666666667</v>
      </c>
      <c r="C193" s="4">
        <f>'Total income package'!$D$80</f>
        <v>0</v>
      </c>
      <c r="D193" s="4">
        <f t="shared" si="20"/>
        <v>7666.666666666667</v>
      </c>
      <c r="E193" s="4">
        <f t="shared" si="21"/>
        <v>7575.666666666667</v>
      </c>
      <c r="F193" t="str">
        <f t="shared" si="22"/>
        <v>No</v>
      </c>
      <c r="G193" t="str">
        <f t="shared" si="23"/>
        <v>No</v>
      </c>
      <c r="I193" t="str">
        <f t="shared" si="24"/>
        <v>Yes</v>
      </c>
      <c r="J193" t="str">
        <f t="shared" si="18"/>
        <v>No</v>
      </c>
      <c r="K193" t="str">
        <f t="shared" si="19"/>
        <v>No</v>
      </c>
      <c r="L193" s="203">
        <f>IF(AND('Total income package'!$A$16=TRUE,E193&lt;$J$2),$M$2,0)</f>
        <v>0</v>
      </c>
      <c r="M193" s="179">
        <f>IF(AND('Total income package'!$A$16=TRUE,E193&lt;$L$2),$P$2,0)</f>
        <v>0</v>
      </c>
      <c r="N193" s="204">
        <f t="shared" si="25"/>
        <v>0</v>
      </c>
    </row>
    <row r="194" spans="1:14" x14ac:dyDescent="0.25">
      <c r="A194" s="105">
        <v>92500</v>
      </c>
      <c r="B194" s="4">
        <f t="shared" si="26"/>
        <v>7708.333333333333</v>
      </c>
      <c r="C194" s="4">
        <f>'Total income package'!$D$80</f>
        <v>0</v>
      </c>
      <c r="D194" s="4">
        <f t="shared" si="20"/>
        <v>7708.333333333333</v>
      </c>
      <c r="E194" s="4">
        <f t="shared" si="21"/>
        <v>7617.333333333333</v>
      </c>
      <c r="F194" t="str">
        <f t="shared" si="22"/>
        <v>No</v>
      </c>
      <c r="G194" t="str">
        <f t="shared" si="23"/>
        <v>No</v>
      </c>
      <c r="I194" t="str">
        <f t="shared" si="24"/>
        <v>Yes</v>
      </c>
      <c r="J194" t="str">
        <f t="shared" si="18"/>
        <v>No</v>
      </c>
      <c r="K194" t="str">
        <f t="shared" si="19"/>
        <v>No</v>
      </c>
      <c r="L194" s="203">
        <f>IF(AND('Total income package'!$A$16=TRUE,E194&lt;$J$2),$M$2,0)</f>
        <v>0</v>
      </c>
      <c r="M194" s="179">
        <f>IF(AND('Total income package'!$A$16=TRUE,E194&lt;$L$2),$P$2,0)</f>
        <v>0</v>
      </c>
      <c r="N194" s="204">
        <f t="shared" si="25"/>
        <v>0</v>
      </c>
    </row>
    <row r="195" spans="1:14" x14ac:dyDescent="0.25">
      <c r="A195" s="105">
        <v>93000</v>
      </c>
      <c r="B195" s="4">
        <f t="shared" si="26"/>
        <v>7750</v>
      </c>
      <c r="C195" s="4">
        <f>'Total income package'!$D$80</f>
        <v>0</v>
      </c>
      <c r="D195" s="4">
        <f t="shared" si="20"/>
        <v>7750</v>
      </c>
      <c r="E195" s="4">
        <f t="shared" si="21"/>
        <v>7659</v>
      </c>
      <c r="F195" t="str">
        <f t="shared" si="22"/>
        <v>No</v>
      </c>
      <c r="G195" t="str">
        <f t="shared" si="23"/>
        <v>No</v>
      </c>
      <c r="I195" t="str">
        <f t="shared" si="24"/>
        <v>Yes</v>
      </c>
      <c r="J195" t="str">
        <f t="shared" si="18"/>
        <v>No</v>
      </c>
      <c r="K195" t="str">
        <f t="shared" si="19"/>
        <v>No</v>
      </c>
      <c r="L195" s="203">
        <f>IF(AND('Total income package'!$A$16=TRUE,E195&lt;$J$2),$M$2,0)</f>
        <v>0</v>
      </c>
      <c r="M195" s="179">
        <f>IF(AND('Total income package'!$A$16=TRUE,E195&lt;$L$2),$P$2,0)</f>
        <v>0</v>
      </c>
      <c r="N195" s="204">
        <f t="shared" si="25"/>
        <v>0</v>
      </c>
    </row>
    <row r="196" spans="1:14" x14ac:dyDescent="0.25">
      <c r="A196" s="105">
        <v>93500</v>
      </c>
      <c r="B196" s="4">
        <f t="shared" si="26"/>
        <v>7791.666666666667</v>
      </c>
      <c r="C196" s="4">
        <f>'Total income package'!$D$80</f>
        <v>0</v>
      </c>
      <c r="D196" s="4">
        <f t="shared" si="20"/>
        <v>7791.666666666667</v>
      </c>
      <c r="E196" s="4">
        <f t="shared" si="21"/>
        <v>7700.666666666667</v>
      </c>
      <c r="F196" t="str">
        <f t="shared" si="22"/>
        <v>No</v>
      </c>
      <c r="G196" t="str">
        <f t="shared" si="23"/>
        <v>No</v>
      </c>
      <c r="I196" t="str">
        <f t="shared" si="24"/>
        <v>Yes</v>
      </c>
      <c r="J196" t="str">
        <f t="shared" si="18"/>
        <v>No</v>
      </c>
      <c r="K196" t="str">
        <f t="shared" si="19"/>
        <v>No</v>
      </c>
      <c r="L196" s="203">
        <f>IF(AND('Total income package'!$A$16=TRUE,E196&lt;$J$2),$M$2,0)</f>
        <v>0</v>
      </c>
      <c r="M196" s="179">
        <f>IF(AND('Total income package'!$A$16=TRUE,E196&lt;$L$2),$P$2,0)</f>
        <v>0</v>
      </c>
      <c r="N196" s="204">
        <f t="shared" si="25"/>
        <v>0</v>
      </c>
    </row>
    <row r="197" spans="1:14" x14ac:dyDescent="0.25">
      <c r="A197" s="105">
        <v>94000</v>
      </c>
      <c r="B197" s="4">
        <f t="shared" si="26"/>
        <v>7833.333333333333</v>
      </c>
      <c r="C197" s="4">
        <f>'Total income package'!$D$80</f>
        <v>0</v>
      </c>
      <c r="D197" s="4">
        <f t="shared" si="20"/>
        <v>7833.333333333333</v>
      </c>
      <c r="E197" s="4">
        <f t="shared" si="21"/>
        <v>7742.333333333333</v>
      </c>
      <c r="F197" t="str">
        <f t="shared" si="22"/>
        <v>No</v>
      </c>
      <c r="G197" t="str">
        <f t="shared" si="23"/>
        <v>No</v>
      </c>
      <c r="I197" t="str">
        <f t="shared" si="24"/>
        <v>Yes</v>
      </c>
      <c r="J197" t="str">
        <f t="shared" si="18"/>
        <v>No</v>
      </c>
      <c r="K197" t="str">
        <f t="shared" si="19"/>
        <v>No</v>
      </c>
      <c r="L197" s="203">
        <f>IF(AND('Total income package'!$A$16=TRUE,E197&lt;$J$2),$M$2,0)</f>
        <v>0</v>
      </c>
      <c r="M197" s="179">
        <f>IF(AND('Total income package'!$A$16=TRUE,E197&lt;$L$2),$P$2,0)</f>
        <v>0</v>
      </c>
      <c r="N197" s="204">
        <f t="shared" si="25"/>
        <v>0</v>
      </c>
    </row>
    <row r="198" spans="1:14" x14ac:dyDescent="0.25">
      <c r="A198" s="105">
        <v>94500</v>
      </c>
      <c r="B198" s="4">
        <f t="shared" si="26"/>
        <v>7875</v>
      </c>
      <c r="C198" s="4">
        <f>'Total income package'!$D$80</f>
        <v>0</v>
      </c>
      <c r="D198" s="4">
        <f t="shared" si="20"/>
        <v>7875</v>
      </c>
      <c r="E198" s="4">
        <f t="shared" si="21"/>
        <v>7784</v>
      </c>
      <c r="F198" t="str">
        <f t="shared" si="22"/>
        <v>No</v>
      </c>
      <c r="G198" t="str">
        <f t="shared" si="23"/>
        <v>No</v>
      </c>
      <c r="I198" t="str">
        <f t="shared" si="24"/>
        <v>Yes</v>
      </c>
      <c r="J198" t="str">
        <f t="shared" si="18"/>
        <v>No</v>
      </c>
      <c r="K198" t="str">
        <f t="shared" si="19"/>
        <v>No</v>
      </c>
      <c r="L198" s="203">
        <f>IF(AND('Total income package'!$A$16=TRUE,E198&lt;$J$2),$M$2,0)</f>
        <v>0</v>
      </c>
      <c r="M198" s="179">
        <f>IF(AND('Total income package'!$A$16=TRUE,E198&lt;$L$2),$P$2,0)</f>
        <v>0</v>
      </c>
      <c r="N198" s="204">
        <f t="shared" si="25"/>
        <v>0</v>
      </c>
    </row>
    <row r="199" spans="1:14" x14ac:dyDescent="0.25">
      <c r="A199" s="105">
        <v>95000</v>
      </c>
      <c r="B199" s="4">
        <f t="shared" si="26"/>
        <v>7916.666666666667</v>
      </c>
      <c r="C199" s="4">
        <f>'Total income package'!$D$80</f>
        <v>0</v>
      </c>
      <c r="D199" s="4">
        <f t="shared" si="20"/>
        <v>7916.666666666667</v>
      </c>
      <c r="E199" s="4">
        <f t="shared" si="21"/>
        <v>7825.666666666667</v>
      </c>
      <c r="F199" t="str">
        <f t="shared" si="22"/>
        <v>No</v>
      </c>
      <c r="G199" t="str">
        <f t="shared" si="23"/>
        <v>No</v>
      </c>
      <c r="I199" t="str">
        <f t="shared" si="24"/>
        <v>Yes</v>
      </c>
      <c r="J199" t="str">
        <f t="shared" si="18"/>
        <v>No</v>
      </c>
      <c r="K199" t="str">
        <f t="shared" si="19"/>
        <v>No</v>
      </c>
      <c r="L199" s="203">
        <f>IF(AND('Total income package'!$A$16=TRUE,E199&lt;$J$2),$M$2,0)</f>
        <v>0</v>
      </c>
      <c r="M199" s="179">
        <f>IF(AND('Total income package'!$A$16=TRUE,E199&lt;$L$2),$P$2,0)</f>
        <v>0</v>
      </c>
      <c r="N199" s="204">
        <f t="shared" si="25"/>
        <v>0</v>
      </c>
    </row>
    <row r="200" spans="1:14" x14ac:dyDescent="0.25">
      <c r="A200" s="105">
        <v>95500</v>
      </c>
      <c r="B200" s="4">
        <f t="shared" si="26"/>
        <v>7958.333333333333</v>
      </c>
      <c r="C200" s="4">
        <f>'Total income package'!$D$80</f>
        <v>0</v>
      </c>
      <c r="D200" s="4">
        <f t="shared" si="20"/>
        <v>7958.333333333333</v>
      </c>
      <c r="E200" s="4">
        <f t="shared" si="21"/>
        <v>7867.333333333333</v>
      </c>
      <c r="F200" t="str">
        <f t="shared" si="22"/>
        <v>No</v>
      </c>
      <c r="G200" t="str">
        <f t="shared" si="23"/>
        <v>No</v>
      </c>
      <c r="I200" t="str">
        <f t="shared" si="24"/>
        <v>Yes</v>
      </c>
      <c r="J200" t="str">
        <f t="shared" si="18"/>
        <v>No</v>
      </c>
      <c r="K200" t="str">
        <f t="shared" si="19"/>
        <v>No</v>
      </c>
      <c r="L200" s="203">
        <f>IF(AND('Total income package'!$A$16=TRUE,E200&lt;$J$2),$M$2,0)</f>
        <v>0</v>
      </c>
      <c r="M200" s="179">
        <f>IF(AND('Total income package'!$A$16=TRUE,E200&lt;$L$2),$P$2,0)</f>
        <v>0</v>
      </c>
      <c r="N200" s="204">
        <f t="shared" si="25"/>
        <v>0</v>
      </c>
    </row>
    <row r="201" spans="1:14" x14ac:dyDescent="0.25">
      <c r="A201" s="105">
        <v>96000</v>
      </c>
      <c r="B201" s="4">
        <f t="shared" si="26"/>
        <v>8000</v>
      </c>
      <c r="C201" s="4">
        <f>'Total income package'!$D$80</f>
        <v>0</v>
      </c>
      <c r="D201" s="4">
        <f t="shared" si="20"/>
        <v>8000</v>
      </c>
      <c r="E201" s="4">
        <f t="shared" si="21"/>
        <v>7909</v>
      </c>
      <c r="F201" t="str">
        <f t="shared" si="22"/>
        <v>No</v>
      </c>
      <c r="G201" t="str">
        <f t="shared" si="23"/>
        <v>No</v>
      </c>
      <c r="I201" t="str">
        <f t="shared" si="24"/>
        <v>Yes</v>
      </c>
      <c r="J201" t="str">
        <f t="shared" ref="J201:J209" si="27">IF(E201&lt;$K$2,"Yes","No")</f>
        <v>No</v>
      </c>
      <c r="K201" t="str">
        <f t="shared" ref="K201:K209" si="28">IF(E201&lt;$L$2,"Yes","No")</f>
        <v>No</v>
      </c>
      <c r="L201" s="203">
        <f>IF(AND('Total income package'!$A$16=TRUE,E201&lt;$J$2),$M$2,0)</f>
        <v>0</v>
      </c>
      <c r="M201" s="179">
        <f>IF(AND('Total income package'!$A$16=TRUE,E201&lt;$L$2),$P$2,0)</f>
        <v>0</v>
      </c>
      <c r="N201" s="204">
        <f t="shared" si="25"/>
        <v>0</v>
      </c>
    </row>
    <row r="202" spans="1:14" x14ac:dyDescent="0.25">
      <c r="A202" s="105">
        <v>96500</v>
      </c>
      <c r="B202" s="4">
        <f t="shared" si="26"/>
        <v>8041.666666666667</v>
      </c>
      <c r="C202" s="4">
        <f>'Total income package'!$D$80</f>
        <v>0</v>
      </c>
      <c r="D202" s="4">
        <f t="shared" ref="D202:D214" si="29">B202+C202</f>
        <v>8041.666666666667</v>
      </c>
      <c r="E202" s="4">
        <f t="shared" ref="E202:E209" si="30">IF(D202-$H$2&lt;0,0,D202-$H$2)</f>
        <v>7950.666666666667</v>
      </c>
      <c r="F202" t="str">
        <f t="shared" ref="F202:F209" si="31">IF(E202&lt;$I$2,"Yes","No")</f>
        <v>No</v>
      </c>
      <c r="G202" t="str">
        <f t="shared" ref="G202:G209" si="32">IF(E202&lt;$J$2,"Yes","No")</f>
        <v>No</v>
      </c>
      <c r="I202" t="str">
        <f t="shared" ref="I202:I214" si="33">IF($E$2&gt;0,"Yes","No")</f>
        <v>Yes</v>
      </c>
      <c r="J202" t="str">
        <f t="shared" si="27"/>
        <v>No</v>
      </c>
      <c r="K202" t="str">
        <f t="shared" si="28"/>
        <v>No</v>
      </c>
      <c r="L202" s="203">
        <f>IF(AND('Total income package'!$A$16=TRUE,E202&lt;$J$2),$M$2,0)</f>
        <v>0</v>
      </c>
      <c r="M202" s="179">
        <f>IF(AND('Total income package'!$A$16=TRUE,E202&lt;$L$2),$P$2,0)</f>
        <v>0</v>
      </c>
      <c r="N202" s="204">
        <f t="shared" ref="N202:N209" si="34">L202+M202</f>
        <v>0</v>
      </c>
    </row>
    <row r="203" spans="1:14" x14ac:dyDescent="0.25">
      <c r="A203" s="105">
        <v>97000</v>
      </c>
      <c r="B203" s="4">
        <f t="shared" ref="B203:B209" si="35">A203/12</f>
        <v>8083.333333333333</v>
      </c>
      <c r="C203" s="4">
        <f>'Total income package'!$D$80</f>
        <v>0</v>
      </c>
      <c r="D203" s="4">
        <f t="shared" si="29"/>
        <v>8083.333333333333</v>
      </c>
      <c r="E203" s="4">
        <f t="shared" si="30"/>
        <v>7992.333333333333</v>
      </c>
      <c r="F203" t="str">
        <f t="shared" si="31"/>
        <v>No</v>
      </c>
      <c r="G203" t="str">
        <f t="shared" si="32"/>
        <v>No</v>
      </c>
      <c r="I203" t="str">
        <f t="shared" si="33"/>
        <v>Yes</v>
      </c>
      <c r="J203" t="str">
        <f t="shared" si="27"/>
        <v>No</v>
      </c>
      <c r="K203" t="str">
        <f t="shared" si="28"/>
        <v>No</v>
      </c>
      <c r="L203" s="203">
        <f>IF(AND('Total income package'!$A$16=TRUE,E203&lt;$J$2),$M$2,0)</f>
        <v>0</v>
      </c>
      <c r="M203" s="179">
        <f>IF(AND('Total income package'!$A$16=TRUE,E203&lt;$L$2),$P$2,0)</f>
        <v>0</v>
      </c>
      <c r="N203" s="204">
        <f t="shared" si="34"/>
        <v>0</v>
      </c>
    </row>
    <row r="204" spans="1:14" x14ac:dyDescent="0.25">
      <c r="A204" s="105">
        <v>97500</v>
      </c>
      <c r="B204" s="4">
        <f t="shared" si="35"/>
        <v>8125</v>
      </c>
      <c r="C204" s="4">
        <f>'Total income package'!$D$80</f>
        <v>0</v>
      </c>
      <c r="D204" s="4">
        <f t="shared" si="29"/>
        <v>8125</v>
      </c>
      <c r="E204" s="4">
        <f t="shared" si="30"/>
        <v>8034</v>
      </c>
      <c r="F204" t="str">
        <f t="shared" si="31"/>
        <v>No</v>
      </c>
      <c r="G204" t="str">
        <f t="shared" si="32"/>
        <v>No</v>
      </c>
      <c r="I204" t="str">
        <f t="shared" si="33"/>
        <v>Yes</v>
      </c>
      <c r="J204" t="str">
        <f t="shared" si="27"/>
        <v>No</v>
      </c>
      <c r="K204" t="str">
        <f t="shared" si="28"/>
        <v>No</v>
      </c>
      <c r="L204" s="203">
        <f>IF(AND('Total income package'!$A$16=TRUE,E204&lt;$J$2),$M$2,0)</f>
        <v>0</v>
      </c>
      <c r="M204" s="179">
        <f>IF(AND('Total income package'!$A$16=TRUE,E204&lt;$L$2),$P$2,0)</f>
        <v>0</v>
      </c>
      <c r="N204" s="204">
        <f t="shared" si="34"/>
        <v>0</v>
      </c>
    </row>
    <row r="205" spans="1:14" x14ac:dyDescent="0.25">
      <c r="A205" s="105">
        <v>98000</v>
      </c>
      <c r="B205" s="4">
        <f t="shared" si="35"/>
        <v>8166.666666666667</v>
      </c>
      <c r="C205" s="4">
        <f>'Total income package'!$D$80</f>
        <v>0</v>
      </c>
      <c r="D205" s="4">
        <f t="shared" si="29"/>
        <v>8166.666666666667</v>
      </c>
      <c r="E205" s="4">
        <f t="shared" si="30"/>
        <v>8075.666666666667</v>
      </c>
      <c r="F205" t="str">
        <f t="shared" si="31"/>
        <v>No</v>
      </c>
      <c r="G205" t="str">
        <f t="shared" si="32"/>
        <v>No</v>
      </c>
      <c r="I205" t="str">
        <f t="shared" si="33"/>
        <v>Yes</v>
      </c>
      <c r="J205" t="str">
        <f t="shared" si="27"/>
        <v>No</v>
      </c>
      <c r="K205" t="str">
        <f t="shared" si="28"/>
        <v>No</v>
      </c>
      <c r="L205" s="203">
        <f>IF(AND('Total income package'!$A$16=TRUE,E205&lt;$J$2),$M$2,0)</f>
        <v>0</v>
      </c>
      <c r="M205" s="179">
        <f>IF(AND('Total income package'!$A$16=TRUE,E205&lt;$L$2),$P$2,0)</f>
        <v>0</v>
      </c>
      <c r="N205" s="204">
        <f t="shared" si="34"/>
        <v>0</v>
      </c>
    </row>
    <row r="206" spans="1:14" x14ac:dyDescent="0.25">
      <c r="A206" s="105">
        <v>98500</v>
      </c>
      <c r="B206" s="4">
        <f t="shared" si="35"/>
        <v>8208.3333333333339</v>
      </c>
      <c r="C206" s="4">
        <f>'Total income package'!$D$80</f>
        <v>0</v>
      </c>
      <c r="D206" s="4">
        <f t="shared" si="29"/>
        <v>8208.3333333333339</v>
      </c>
      <c r="E206" s="4">
        <f t="shared" si="30"/>
        <v>8117.3333333333339</v>
      </c>
      <c r="F206" t="str">
        <f t="shared" si="31"/>
        <v>No</v>
      </c>
      <c r="G206" t="str">
        <f t="shared" si="32"/>
        <v>No</v>
      </c>
      <c r="I206" t="str">
        <f t="shared" si="33"/>
        <v>Yes</v>
      </c>
      <c r="J206" t="str">
        <f t="shared" si="27"/>
        <v>No</v>
      </c>
      <c r="K206" t="str">
        <f t="shared" si="28"/>
        <v>No</v>
      </c>
      <c r="L206" s="203">
        <f>IF(AND('Total income package'!$A$16=TRUE,E206&lt;$J$2),$M$2,0)</f>
        <v>0</v>
      </c>
      <c r="M206" s="179">
        <f>IF(AND('Total income package'!$A$16=TRUE,E206&lt;$L$2),$P$2,0)</f>
        <v>0</v>
      </c>
      <c r="N206" s="204">
        <f t="shared" si="34"/>
        <v>0</v>
      </c>
    </row>
    <row r="207" spans="1:14" x14ac:dyDescent="0.25">
      <c r="A207" s="105">
        <v>99000</v>
      </c>
      <c r="B207" s="4">
        <f t="shared" si="35"/>
        <v>8250</v>
      </c>
      <c r="C207" s="4">
        <f>'Total income package'!$D$80</f>
        <v>0</v>
      </c>
      <c r="D207" s="4">
        <f t="shared" si="29"/>
        <v>8250</v>
      </c>
      <c r="E207" s="4">
        <f t="shared" si="30"/>
        <v>8159</v>
      </c>
      <c r="F207" t="str">
        <f t="shared" si="31"/>
        <v>No</v>
      </c>
      <c r="G207" t="str">
        <f t="shared" si="32"/>
        <v>No</v>
      </c>
      <c r="I207" t="str">
        <f t="shared" si="33"/>
        <v>Yes</v>
      </c>
      <c r="J207" t="str">
        <f t="shared" si="27"/>
        <v>No</v>
      </c>
      <c r="K207" t="str">
        <f t="shared" si="28"/>
        <v>No</v>
      </c>
      <c r="L207" s="203">
        <f>IF(AND('Total income package'!$A$16=TRUE,E207&lt;$J$2),$M$2,0)</f>
        <v>0</v>
      </c>
      <c r="M207" s="179">
        <f>IF(AND('Total income package'!$A$16=TRUE,E207&lt;$L$2),$P$2,0)</f>
        <v>0</v>
      </c>
      <c r="N207" s="204">
        <f t="shared" si="34"/>
        <v>0</v>
      </c>
    </row>
    <row r="208" spans="1:14" x14ac:dyDescent="0.25">
      <c r="A208" s="105">
        <v>99500</v>
      </c>
      <c r="B208" s="4">
        <f t="shared" si="35"/>
        <v>8291.6666666666661</v>
      </c>
      <c r="C208" s="4">
        <f>'Total income package'!$D$80</f>
        <v>0</v>
      </c>
      <c r="D208" s="4">
        <f t="shared" si="29"/>
        <v>8291.6666666666661</v>
      </c>
      <c r="E208" s="4">
        <f t="shared" si="30"/>
        <v>8200.6666666666661</v>
      </c>
      <c r="F208" t="str">
        <f t="shared" si="31"/>
        <v>No</v>
      </c>
      <c r="G208" t="str">
        <f t="shared" si="32"/>
        <v>No</v>
      </c>
      <c r="I208" t="str">
        <f t="shared" si="33"/>
        <v>Yes</v>
      </c>
      <c r="J208" t="str">
        <f t="shared" si="27"/>
        <v>No</v>
      </c>
      <c r="K208" t="str">
        <f t="shared" si="28"/>
        <v>No</v>
      </c>
      <c r="L208" s="203">
        <f>IF(AND('Total income package'!$A$16=TRUE,E208&lt;$J$2),$M$2,0)</f>
        <v>0</v>
      </c>
      <c r="M208" s="179">
        <f>IF(AND('Total income package'!$A$16=TRUE,E208&lt;$L$2),$P$2,0)</f>
        <v>0</v>
      </c>
      <c r="N208" s="204">
        <f t="shared" si="34"/>
        <v>0</v>
      </c>
    </row>
    <row r="209" spans="1:15" x14ac:dyDescent="0.25">
      <c r="A209" s="105">
        <v>100000</v>
      </c>
      <c r="B209" s="4">
        <f t="shared" si="35"/>
        <v>8333.3333333333339</v>
      </c>
      <c r="C209" s="4">
        <f>'Total income package'!$D$80</f>
        <v>0</v>
      </c>
      <c r="D209" s="4">
        <f t="shared" si="29"/>
        <v>8333.3333333333339</v>
      </c>
      <c r="E209" s="4">
        <f t="shared" si="30"/>
        <v>8242.3333333333339</v>
      </c>
      <c r="F209" t="str">
        <f t="shared" si="31"/>
        <v>No</v>
      </c>
      <c r="G209" t="str">
        <f t="shared" si="32"/>
        <v>No</v>
      </c>
      <c r="I209" t="str">
        <f t="shared" si="33"/>
        <v>Yes</v>
      </c>
      <c r="J209" t="str">
        <f t="shared" si="27"/>
        <v>No</v>
      </c>
      <c r="K209" t="str">
        <f t="shared" si="28"/>
        <v>No</v>
      </c>
      <c r="L209" s="203">
        <f>IF(AND('Total income package'!$A$16=TRUE,E209&lt;$J$2),$M$2,0)</f>
        <v>0</v>
      </c>
      <c r="M209" s="179">
        <f>IF(AND('Total income package'!$A$16=TRUE,E209&lt;$L$2),$P$2,0)</f>
        <v>0</v>
      </c>
      <c r="N209" s="204">
        <f t="shared" si="34"/>
        <v>0</v>
      </c>
    </row>
    <row r="210" spans="1:15" x14ac:dyDescent="0.25">
      <c r="C210" s="4">
        <f>'Total income package'!$D$80</f>
        <v>0</v>
      </c>
      <c r="D210" s="4">
        <f t="shared" si="29"/>
        <v>0</v>
      </c>
      <c r="I210" t="str">
        <f t="shared" si="33"/>
        <v>Yes</v>
      </c>
      <c r="K210"/>
      <c r="O210" s="7"/>
    </row>
    <row r="211" spans="1:15" x14ac:dyDescent="0.25">
      <c r="A211" s="116" t="s">
        <v>302</v>
      </c>
      <c r="C211" s="4">
        <f>'Total income package'!$D$80</f>
        <v>0</v>
      </c>
      <c r="D211" s="4">
        <f t="shared" si="29"/>
        <v>0</v>
      </c>
      <c r="I211" t="str">
        <f t="shared" si="33"/>
        <v>Yes</v>
      </c>
      <c r="K211"/>
      <c r="O211" s="7"/>
    </row>
    <row r="212" spans="1:15" x14ac:dyDescent="0.25">
      <c r="A212"/>
      <c r="B212" s="7">
        <f>'Total income package'!$B$90</f>
        <v>1289</v>
      </c>
      <c r="C212" s="4">
        <f>'Total income package'!$D$80</f>
        <v>0</v>
      </c>
      <c r="D212" s="4">
        <f t="shared" si="29"/>
        <v>1289</v>
      </c>
      <c r="E212" s="4">
        <f>IF(B212-$H$2&lt;0,0,B212-$H$2)</f>
        <v>1198</v>
      </c>
      <c r="F212" t="str">
        <f>IF(E212&lt;$I$2,"Yes","No")</f>
        <v>No</v>
      </c>
      <c r="G212" t="str">
        <f>IF(E212&lt;$J$2,"Yes","No")</f>
        <v>Yes</v>
      </c>
      <c r="I212" t="str">
        <f t="shared" si="33"/>
        <v>Yes</v>
      </c>
      <c r="J212" t="str">
        <f>IF(E212&lt;$K$2,"Yes","No")</f>
        <v>Yes</v>
      </c>
      <c r="K212" t="str">
        <f>IF(E212&lt;$L$2,"Yes","No")</f>
        <v>Yes</v>
      </c>
      <c r="L212" s="203">
        <f>IF(AND('Total income package'!$A$16=TRUE,E212&lt;$J$2),$M$2,0)</f>
        <v>517.25</v>
      </c>
      <c r="M212" s="179">
        <f>IF(AND('Total income package'!$A$16=TRUE,E212&lt;$L$2),$P$2,0)</f>
        <v>318.5</v>
      </c>
      <c r="N212" s="204">
        <f>L212+M212</f>
        <v>835.75</v>
      </c>
      <c r="O212" s="7"/>
    </row>
    <row r="213" spans="1:15" x14ac:dyDescent="0.25">
      <c r="A213" s="116" t="s">
        <v>303</v>
      </c>
      <c r="C213" s="4">
        <f>'Total income package'!$D$80</f>
        <v>0</v>
      </c>
      <c r="D213" s="4">
        <f t="shared" si="29"/>
        <v>0</v>
      </c>
      <c r="I213" t="str">
        <f t="shared" si="33"/>
        <v>Yes</v>
      </c>
      <c r="K213"/>
      <c r="O213" s="7"/>
    </row>
    <row r="214" spans="1:15" x14ac:dyDescent="0.25">
      <c r="A214"/>
      <c r="B214" s="7">
        <f>'Total income package'!$B$91</f>
        <v>1289</v>
      </c>
      <c r="C214" s="4">
        <f>'Total income package'!$D$80</f>
        <v>0</v>
      </c>
      <c r="D214" s="4">
        <f t="shared" si="29"/>
        <v>1289</v>
      </c>
      <c r="E214" s="4">
        <f>IF(B214-$H$2&lt;0,0,B214-$H$2)</f>
        <v>1198</v>
      </c>
      <c r="F214" t="str">
        <f>IF(E214&lt;$I$2,"Yes","No")</f>
        <v>No</v>
      </c>
      <c r="G214" t="str">
        <f>IF(E214&lt;$J$2,"Yes","No")</f>
        <v>Yes</v>
      </c>
      <c r="I214" t="str">
        <f t="shared" si="33"/>
        <v>Yes</v>
      </c>
      <c r="J214" t="str">
        <f>IF(E214&lt;$K$2,"Yes","No")</f>
        <v>Yes</v>
      </c>
      <c r="K214" t="str">
        <f>IF(E214&lt;$L$2,"Yes","No")</f>
        <v>Yes</v>
      </c>
      <c r="L214" s="203">
        <f>IF(AND('Total income package'!$A$16=TRUE,E214&lt;$J$2),$M$2,0)</f>
        <v>517.25</v>
      </c>
      <c r="M214" s="179">
        <f>IF(AND('Total income package'!$A$16=TRUE,E214&lt;$L$2),$P$2,0)</f>
        <v>318.5</v>
      </c>
      <c r="N214" s="204">
        <f>L214+M214</f>
        <v>835.75</v>
      </c>
      <c r="O214" s="7"/>
    </row>
    <row r="215" spans="1:15" x14ac:dyDescent="0.25">
      <c r="K215"/>
      <c r="O215" s="7"/>
    </row>
    <row r="216" spans="1:15" x14ac:dyDescent="0.25">
      <c r="K216"/>
      <c r="N216" s="7"/>
    </row>
  </sheetData>
  <conditionalFormatting sqref="F9:K9 F10:H209 J10:K209 I10:I214 F212:H212 J212:K212 F214:H214 J214:K214">
    <cfRule type="containsText" dxfId="0" priority="3" stopIfTrue="1" operator="containsText" text="Yes">
      <formula>NOT(ISERROR(SEARCH("Yes",F9)))</formula>
    </cfRule>
  </conditionalFormatting>
  <pageMargins left="0.7" right="0.7" top="0.75" bottom="0.75" header="0.3" footer="0.3"/>
</worksheet>
</file>

<file path=xl/worksheets/sheet1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05757E3-E5C0-4F4A-8B82-0E71691D09B5}">
  <sheetPr codeName="Sheet7"/>
  <dimension ref="B1:Y218"/>
  <sheetViews>
    <sheetView zoomScaleNormal="100" workbookViewId="0">
      <pane xSplit="2" ySplit="5" topLeftCell="C193" activePane="bottomRight" state="frozen"/>
      <selection pane="topRight" sqref="A1:XFD1048576"/>
      <selection pane="bottomLeft" sqref="A1:XFD1048576"/>
      <selection pane="bottomRight" activeCell="M209" sqref="M209"/>
    </sheetView>
  </sheetViews>
  <sheetFormatPr defaultRowHeight="15" customHeight="1" x14ac:dyDescent="0.25"/>
  <cols>
    <col min="2" max="2" width="20.5703125" customWidth="1"/>
    <col min="3" max="3" width="16" customWidth="1"/>
    <col min="4" max="4" width="20" customWidth="1"/>
    <col min="5" max="5" width="18.140625" customWidth="1"/>
    <col min="6" max="6" width="16.28515625" customWidth="1"/>
    <col min="7" max="7" width="17" customWidth="1"/>
    <col min="8" max="8" width="19.140625" customWidth="1"/>
    <col min="9" max="9" width="15.85546875" customWidth="1"/>
    <col min="10" max="10" width="18.28515625" customWidth="1"/>
    <col min="11" max="11" width="13.7109375" customWidth="1"/>
    <col min="12" max="15" width="23.42578125" customWidth="1"/>
    <col min="16" max="18" width="17.28515625" customWidth="1"/>
    <col min="19" max="19" width="21.140625" customWidth="1"/>
    <col min="20" max="21" width="21.42578125" customWidth="1"/>
    <col min="22" max="22" width="27.5703125" style="5" customWidth="1"/>
    <col min="23" max="23" width="21.28515625" customWidth="1"/>
  </cols>
  <sheetData>
    <row r="1" spans="2:25" ht="63.75" customHeight="1" x14ac:dyDescent="0.25">
      <c r="B1" s="313" t="s">
        <v>271</v>
      </c>
      <c r="C1" s="313" t="s">
        <v>272</v>
      </c>
      <c r="D1" s="313" t="s">
        <v>400</v>
      </c>
      <c r="E1" s="313" t="s">
        <v>401</v>
      </c>
      <c r="F1" s="109" t="s">
        <v>402</v>
      </c>
      <c r="G1" s="109" t="s">
        <v>403</v>
      </c>
      <c r="H1" s="109" t="s">
        <v>404</v>
      </c>
      <c r="I1" s="198" t="s">
        <v>678</v>
      </c>
      <c r="J1" s="109" t="s">
        <v>405</v>
      </c>
      <c r="K1" s="198" t="s">
        <v>406</v>
      </c>
      <c r="L1" s="198" t="s">
        <v>407</v>
      </c>
      <c r="M1" s="198"/>
      <c r="N1" s="198"/>
      <c r="O1" s="198"/>
      <c r="P1" s="21"/>
      <c r="Q1" s="21">
        <f>869-139</f>
        <v>730</v>
      </c>
      <c r="R1" s="21"/>
      <c r="S1" s="21"/>
      <c r="T1" s="21"/>
      <c r="U1" s="21"/>
      <c r="V1" s="21"/>
      <c r="X1" s="22"/>
      <c r="Y1" s="9"/>
    </row>
    <row r="2" spans="2:25" ht="15" customHeight="1" x14ac:dyDescent="0.25">
      <c r="B2" s="127" t="str">
        <f>'Total income package'!B3</f>
        <v>Pittsylvania</v>
      </c>
      <c r="C2" s="77">
        <f>'Total income package'!B32</f>
        <v>2</v>
      </c>
      <c r="D2" s="77">
        <f>COUNTIF('Total income package'!B37:B44,"&gt;59")</f>
        <v>0</v>
      </c>
      <c r="E2" s="77">
        <f>'Total income package'!F59+'Total income package'!D59+'Total income package'!H59+'Total income package'!D64</f>
        <v>1</v>
      </c>
      <c r="F2" s="78">
        <f>VLOOKUP($C$2,'Program specific data'!$A$85:$D$92,3)</f>
        <v>2291.9</v>
      </c>
      <c r="G2" s="78">
        <f>VLOOKUP($C$2,'Program specific data'!$A$85:$D$92,2)</f>
        <v>3526</v>
      </c>
      <c r="H2" s="78">
        <f>VLOOKUP($C$2,'Program specific data'!$A$72:$B$79,2)</f>
        <v>209</v>
      </c>
      <c r="I2" s="78">
        <f>IF('Total income package'!B70="Standard Utility Allowance (SUA)",VLOOKUP($C$2,'Program specific data'!$A$72:$C$79,3),'Total income package'!D70)</f>
        <v>500</v>
      </c>
      <c r="J2" s="78">
        <f>VLOOKUP($C$2,'Program specific data'!$A$85:$D$92,4)</f>
        <v>1763</v>
      </c>
      <c r="K2" s="78">
        <f>VLOOKUP($C$2,'Program specific data'!A97:B104,2)</f>
        <v>546</v>
      </c>
      <c r="L2" s="78">
        <v>712</v>
      </c>
      <c r="M2" s="78"/>
      <c r="N2" s="78"/>
      <c r="O2" s="78"/>
      <c r="V2"/>
      <c r="X2" s="22"/>
    </row>
    <row r="3" spans="2:25" ht="15" customHeight="1" x14ac:dyDescent="0.25">
      <c r="V3"/>
      <c r="X3" s="22"/>
    </row>
    <row r="4" spans="2:25" ht="15" customHeight="1" x14ac:dyDescent="0.25">
      <c r="V4" s="22"/>
    </row>
    <row r="5" spans="2:25" ht="72" customHeight="1" x14ac:dyDescent="0.25">
      <c r="B5" s="18" t="s">
        <v>348</v>
      </c>
      <c r="C5" s="18" t="s">
        <v>408</v>
      </c>
      <c r="D5" s="18" t="s">
        <v>105</v>
      </c>
      <c r="E5" s="18" t="s">
        <v>285</v>
      </c>
      <c r="F5" s="18" t="s">
        <v>409</v>
      </c>
      <c r="G5" s="18" t="s">
        <v>410</v>
      </c>
      <c r="H5" s="18" t="s">
        <v>411</v>
      </c>
      <c r="I5" s="18" t="s">
        <v>412</v>
      </c>
      <c r="J5" s="18" t="s">
        <v>404</v>
      </c>
      <c r="K5" s="18" t="s">
        <v>413</v>
      </c>
      <c r="L5" s="18" t="s">
        <v>677</v>
      </c>
      <c r="M5" s="18" t="s">
        <v>670</v>
      </c>
      <c r="N5" s="18" t="s">
        <v>671</v>
      </c>
      <c r="O5" s="18" t="s">
        <v>414</v>
      </c>
      <c r="P5" s="18" t="s">
        <v>415</v>
      </c>
      <c r="Q5" s="18" t="s">
        <v>416</v>
      </c>
      <c r="R5" s="18" t="s">
        <v>417</v>
      </c>
      <c r="S5" s="18" t="s">
        <v>418</v>
      </c>
      <c r="T5" s="18" t="s">
        <v>419</v>
      </c>
      <c r="U5" s="18" t="s">
        <v>420</v>
      </c>
      <c r="V5" s="175" t="s">
        <v>729</v>
      </c>
      <c r="W5" s="23"/>
      <c r="X5" s="24"/>
    </row>
    <row r="6" spans="2:25" x14ac:dyDescent="0.25">
      <c r="B6" s="72">
        <v>0</v>
      </c>
      <c r="C6" s="19">
        <f>MAX('TANF-VIEW'!L9,'TANF-VIEW'!T9)</f>
        <v>385</v>
      </c>
      <c r="D6" s="20">
        <f>B6/12</f>
        <v>0</v>
      </c>
      <c r="E6" s="20">
        <f>'Total income package'!$D$80</f>
        <v>0</v>
      </c>
      <c r="F6" s="20">
        <f>'Total income package'!$H$61+'Total income package'!$F$66</f>
        <v>100</v>
      </c>
      <c r="G6" s="20">
        <f>D6+C6+E6+F6</f>
        <v>485</v>
      </c>
      <c r="H6" s="20" t="str">
        <f t="shared" ref="H6:H69" si="0">IF(G6&lt;$G$2,"Yes","No")</f>
        <v>Yes</v>
      </c>
      <c r="I6" s="20">
        <f t="shared" ref="I6:I69" si="1">D6*0.2</f>
        <v>0</v>
      </c>
      <c r="J6" s="20">
        <f t="shared" ref="J6:J69" si="2">$H$2</f>
        <v>209</v>
      </c>
      <c r="K6" s="20">
        <f>IF(G6-I6-J6&gt;0,G6-I6-J6,0)</f>
        <v>276</v>
      </c>
      <c r="L6" s="20">
        <f>$I$2</f>
        <v>500</v>
      </c>
      <c r="M6" s="20">
        <f>'Total income package'!$B$69</f>
        <v>500</v>
      </c>
      <c r="N6" s="20">
        <f>L6+M6</f>
        <v>1000</v>
      </c>
      <c r="O6" s="344" t="str">
        <f>IF(AND($D$2+$E$2&gt;0,K6&lt;$J$2),"Yes","No")</f>
        <v>Yes</v>
      </c>
      <c r="P6" s="20">
        <f>K6/2</f>
        <v>138</v>
      </c>
      <c r="Q6" s="346">
        <f>IF(AND(D$2+$E$2=0,N6&lt;$L$2,N6-P6&gt;0),N6-P6,IF(AND(D$2+$E$2=0,N6&gt;$L$2),$L$2,0))</f>
        <v>0</v>
      </c>
      <c r="R6" s="20">
        <f>IF(AND(D$2+$E$2&gt;0,N6-SNAP!P6&gt;0),N6-SNAP!P6,0)</f>
        <v>862</v>
      </c>
      <c r="S6" s="20">
        <f>IF(AND($D$2+$E$2&gt;0,K6-R6&gt;0),K6-R6,IF(AND($D$2+$E$2=0,K6-Q6&gt;0),K6-Q6,0))</f>
        <v>0</v>
      </c>
      <c r="T6" s="20">
        <f t="shared" ref="T6:T69" si="3">S6*0.3</f>
        <v>0</v>
      </c>
      <c r="U6" s="20">
        <f>IF(AND('Total income package'!$A$18=TRUE,OR(H6="Yes",O6="Yes"),G6&lt;$G$2,$K$2-T6&gt;10),ROUNDDOWN($K$2-T6,0),0)</f>
        <v>546</v>
      </c>
      <c r="V6" s="176">
        <f>IF(AND(C2&lt;3,U6&gt;10,U6&lt;24),24,U6)</f>
        <v>546</v>
      </c>
      <c r="W6" s="71"/>
      <c r="X6" s="24"/>
    </row>
    <row r="7" spans="2:25" x14ac:dyDescent="0.25">
      <c r="B7" s="72">
        <v>500</v>
      </c>
      <c r="C7" s="19">
        <f>MAX('TANF-VIEW'!L10,'TANF-VIEW'!T10)</f>
        <v>385</v>
      </c>
      <c r="D7" s="20">
        <f>B7/12</f>
        <v>41.666666666666664</v>
      </c>
      <c r="E7" s="20">
        <f>'Total income package'!$D$80</f>
        <v>0</v>
      </c>
      <c r="F7" s="20">
        <f>'Total income package'!$H$61+'Total income package'!$F$66</f>
        <v>100</v>
      </c>
      <c r="G7" s="20">
        <f t="shared" ref="G7:G70" si="4">D7+C7+E7+F7</f>
        <v>526.66666666666674</v>
      </c>
      <c r="H7" s="20" t="str">
        <f t="shared" si="0"/>
        <v>Yes</v>
      </c>
      <c r="I7" s="20">
        <f t="shared" si="1"/>
        <v>8.3333333333333339</v>
      </c>
      <c r="J7" s="20">
        <f t="shared" si="2"/>
        <v>209</v>
      </c>
      <c r="K7" s="20">
        <f t="shared" ref="K7:K69" si="5">IF(G7-I7-J7&gt;0,G7-I7-J7,0)</f>
        <v>309.33333333333337</v>
      </c>
      <c r="L7" s="20">
        <f t="shared" ref="L7:L70" si="6">$I$2</f>
        <v>500</v>
      </c>
      <c r="M7" s="20">
        <f>'Total income package'!$B$69</f>
        <v>500</v>
      </c>
      <c r="N7" s="20">
        <f t="shared" ref="N7:N70" si="7">L7+M7</f>
        <v>1000</v>
      </c>
      <c r="O7" s="344" t="str">
        <f t="shared" ref="O7:O70" si="8">IF(AND($D$2+$E$2&gt;0,K7&lt;$J$2),"Yes","No")</f>
        <v>Yes</v>
      </c>
      <c r="P7" s="20">
        <f t="shared" ref="P7:P70" si="9">K7/2</f>
        <v>154.66666666666669</v>
      </c>
      <c r="Q7" s="346">
        <f t="shared" ref="Q7:Q69" si="10">IF(AND(D$2+$E$2=0,N7&lt;$L$2,N7-P7&gt;0),N7-P7,IF(AND(D$2+$E$2=0,N7&gt;$L$2),$L$2,0))</f>
        <v>0</v>
      </c>
      <c r="R7" s="20">
        <f>IF(AND(D$2+$E$2&gt;0,N7-SNAP!P7&gt;0),N7-SNAP!P7,0)</f>
        <v>845.33333333333326</v>
      </c>
      <c r="S7" s="20">
        <f t="shared" ref="S7:S70" si="11">IF(AND($D$2+$E$2&gt;0,K7-R7&gt;0),K7-R7,IF(AND($D$2+$E$2=0,K7-Q7&gt;0),K7-Q7,0))</f>
        <v>0</v>
      </c>
      <c r="T7" s="20">
        <f t="shared" si="3"/>
        <v>0</v>
      </c>
      <c r="U7" s="20">
        <f>IF(AND('Total income package'!$A$18=TRUE,OR(H7="Yes",O7="Yes"),G7&lt;$G$2,$K$2-T7&gt;10),ROUNDDOWN($K$2-T7,0),0)</f>
        <v>546</v>
      </c>
      <c r="V7" s="176">
        <f t="shared" ref="V7:V70" si="12">IF(AND(C3&lt;3,U7&gt;10,U7&lt;24),24,U7)</f>
        <v>546</v>
      </c>
      <c r="W7" s="71"/>
      <c r="X7" s="24"/>
    </row>
    <row r="8" spans="2:25" x14ac:dyDescent="0.25">
      <c r="B8" s="72">
        <v>1000</v>
      </c>
      <c r="C8" s="19">
        <f>MAX('TANF-VIEW'!L11,'TANF-VIEW'!T11)</f>
        <v>385</v>
      </c>
      <c r="D8" s="20">
        <f>B8/12</f>
        <v>83.333333333333329</v>
      </c>
      <c r="E8" s="20">
        <f>'Total income package'!$D$80</f>
        <v>0</v>
      </c>
      <c r="F8" s="20">
        <f>'Total income package'!$H$61+'Total income package'!$F$66</f>
        <v>100</v>
      </c>
      <c r="G8" s="20">
        <f t="shared" si="4"/>
        <v>568.33333333333326</v>
      </c>
      <c r="H8" s="20" t="str">
        <f t="shared" si="0"/>
        <v>Yes</v>
      </c>
      <c r="I8" s="20">
        <f t="shared" si="1"/>
        <v>16.666666666666668</v>
      </c>
      <c r="J8" s="20">
        <f t="shared" si="2"/>
        <v>209</v>
      </c>
      <c r="K8" s="20">
        <f t="shared" si="5"/>
        <v>342.66666666666663</v>
      </c>
      <c r="L8" s="20">
        <f t="shared" si="6"/>
        <v>500</v>
      </c>
      <c r="M8" s="20">
        <f>'Total income package'!$B$69</f>
        <v>500</v>
      </c>
      <c r="N8" s="20">
        <f t="shared" si="7"/>
        <v>1000</v>
      </c>
      <c r="O8" s="344" t="str">
        <f t="shared" si="8"/>
        <v>Yes</v>
      </c>
      <c r="P8" s="20">
        <f t="shared" si="9"/>
        <v>171.33333333333331</v>
      </c>
      <c r="Q8" s="346">
        <f t="shared" si="10"/>
        <v>0</v>
      </c>
      <c r="R8" s="20">
        <f>IF(AND(D$2+$E$2&gt;0,N8-SNAP!P8&gt;0),N8-SNAP!P8,0)</f>
        <v>828.66666666666674</v>
      </c>
      <c r="S8" s="20">
        <f t="shared" si="11"/>
        <v>0</v>
      </c>
      <c r="T8" s="20">
        <f t="shared" si="3"/>
        <v>0</v>
      </c>
      <c r="U8" s="20">
        <f>IF(AND('Total income package'!$A$18=TRUE,OR(H8="Yes",O8="Yes"),G8&lt;$G$2,$K$2-T8&gt;10),ROUNDDOWN($K$2-T8,0),0)</f>
        <v>546</v>
      </c>
      <c r="V8" s="176">
        <f t="shared" si="12"/>
        <v>546</v>
      </c>
      <c r="W8" s="5"/>
    </row>
    <row r="9" spans="2:25" x14ac:dyDescent="0.25">
      <c r="B9" s="72">
        <v>1500</v>
      </c>
      <c r="C9" s="19">
        <f>MAX('TANF-VIEW'!L12,'TANF-VIEW'!T12)</f>
        <v>385</v>
      </c>
      <c r="D9" s="20">
        <f t="shared" ref="D9:D72" si="13">B9/12</f>
        <v>125</v>
      </c>
      <c r="E9" s="20">
        <f>'Total income package'!$D$80</f>
        <v>0</v>
      </c>
      <c r="F9" s="20">
        <f>'Total income package'!$H$61+'Total income package'!$F$66</f>
        <v>100</v>
      </c>
      <c r="G9" s="20">
        <f t="shared" si="4"/>
        <v>610</v>
      </c>
      <c r="H9" s="20" t="str">
        <f t="shared" si="0"/>
        <v>Yes</v>
      </c>
      <c r="I9" s="20">
        <f t="shared" si="1"/>
        <v>25</v>
      </c>
      <c r="J9" s="20">
        <f t="shared" si="2"/>
        <v>209</v>
      </c>
      <c r="K9" s="20">
        <f t="shared" si="5"/>
        <v>376</v>
      </c>
      <c r="L9" s="20">
        <f t="shared" si="6"/>
        <v>500</v>
      </c>
      <c r="M9" s="20">
        <f>'Total income package'!$B$69</f>
        <v>500</v>
      </c>
      <c r="N9" s="20">
        <f t="shared" si="7"/>
        <v>1000</v>
      </c>
      <c r="O9" s="344" t="str">
        <f t="shared" si="8"/>
        <v>Yes</v>
      </c>
      <c r="P9" s="20">
        <f t="shared" si="9"/>
        <v>188</v>
      </c>
      <c r="Q9" s="346">
        <f t="shared" si="10"/>
        <v>0</v>
      </c>
      <c r="R9" s="20">
        <f>IF(AND(D$2+$E$2&gt;0,N9-SNAP!P9&gt;0),N9-SNAP!P9,0)</f>
        <v>812</v>
      </c>
      <c r="S9" s="20">
        <f t="shared" si="11"/>
        <v>0</v>
      </c>
      <c r="T9" s="20">
        <f t="shared" si="3"/>
        <v>0</v>
      </c>
      <c r="U9" s="20">
        <f>IF(AND('Total income package'!$A$18=TRUE,OR(H9="Yes",O9="Yes"),G9&lt;$G$2,$K$2-T9&gt;10),ROUNDDOWN($K$2-T9,0),0)</f>
        <v>546</v>
      </c>
      <c r="V9" s="176">
        <f t="shared" si="12"/>
        <v>546</v>
      </c>
      <c r="W9" s="5"/>
    </row>
    <row r="10" spans="2:25" x14ac:dyDescent="0.25">
      <c r="B10" s="72">
        <v>2000</v>
      </c>
      <c r="C10" s="19">
        <f>MAX('TANF-VIEW'!L13,'TANF-VIEW'!T13)</f>
        <v>385</v>
      </c>
      <c r="D10" s="20">
        <f t="shared" si="13"/>
        <v>166.66666666666666</v>
      </c>
      <c r="E10" s="20">
        <f>'Total income package'!$D$80</f>
        <v>0</v>
      </c>
      <c r="F10" s="20">
        <f>'Total income package'!$H$61+'Total income package'!$F$66</f>
        <v>100</v>
      </c>
      <c r="G10" s="20">
        <f t="shared" si="4"/>
        <v>651.66666666666663</v>
      </c>
      <c r="H10" s="20" t="str">
        <f t="shared" si="0"/>
        <v>Yes</v>
      </c>
      <c r="I10" s="20">
        <f t="shared" si="1"/>
        <v>33.333333333333336</v>
      </c>
      <c r="J10" s="20">
        <f t="shared" si="2"/>
        <v>209</v>
      </c>
      <c r="K10" s="20">
        <f t="shared" si="5"/>
        <v>409.33333333333326</v>
      </c>
      <c r="L10" s="20">
        <f t="shared" si="6"/>
        <v>500</v>
      </c>
      <c r="M10" s="20">
        <f>'Total income package'!$B$69</f>
        <v>500</v>
      </c>
      <c r="N10" s="20">
        <f t="shared" si="7"/>
        <v>1000</v>
      </c>
      <c r="O10" s="344" t="str">
        <f t="shared" si="8"/>
        <v>Yes</v>
      </c>
      <c r="P10" s="20">
        <f t="shared" si="9"/>
        <v>204.66666666666663</v>
      </c>
      <c r="Q10" s="346">
        <f t="shared" si="10"/>
        <v>0</v>
      </c>
      <c r="R10" s="20">
        <f>IF(AND(D$2+$E$2&gt;0,N10-SNAP!P10&gt;0),N10-SNAP!P10,0)</f>
        <v>795.33333333333337</v>
      </c>
      <c r="S10" s="20">
        <f t="shared" si="11"/>
        <v>0</v>
      </c>
      <c r="T10" s="20">
        <f t="shared" si="3"/>
        <v>0</v>
      </c>
      <c r="U10" s="20">
        <f>IF(AND('Total income package'!$A$18=TRUE,OR(H10="Yes",O10="Yes"),G10&lt;$G$2,$K$2-T10&gt;10),ROUNDDOWN($K$2-T10,0),0)</f>
        <v>546</v>
      </c>
      <c r="V10" s="176">
        <f t="shared" si="12"/>
        <v>546</v>
      </c>
      <c r="W10" s="5"/>
    </row>
    <row r="11" spans="2:25" x14ac:dyDescent="0.25">
      <c r="B11" s="72">
        <v>2500</v>
      </c>
      <c r="C11" s="19">
        <f>MAX('TANF-VIEW'!L14,'TANF-VIEW'!T14)</f>
        <v>385</v>
      </c>
      <c r="D11" s="20">
        <f t="shared" si="13"/>
        <v>208.33333333333334</v>
      </c>
      <c r="E11" s="20">
        <f>'Total income package'!$D$80</f>
        <v>0</v>
      </c>
      <c r="F11" s="20">
        <f>'Total income package'!$H$61+'Total income package'!$F$66</f>
        <v>100</v>
      </c>
      <c r="G11" s="20">
        <f t="shared" si="4"/>
        <v>693.33333333333337</v>
      </c>
      <c r="H11" s="20" t="str">
        <f t="shared" si="0"/>
        <v>Yes</v>
      </c>
      <c r="I11" s="20">
        <f t="shared" si="1"/>
        <v>41.666666666666671</v>
      </c>
      <c r="J11" s="20">
        <f t="shared" si="2"/>
        <v>209</v>
      </c>
      <c r="K11" s="20">
        <f t="shared" si="5"/>
        <v>442.66666666666674</v>
      </c>
      <c r="L11" s="20">
        <f t="shared" si="6"/>
        <v>500</v>
      </c>
      <c r="M11" s="20">
        <f>'Total income package'!$B$69</f>
        <v>500</v>
      </c>
      <c r="N11" s="20">
        <f t="shared" si="7"/>
        <v>1000</v>
      </c>
      <c r="O11" s="344" t="str">
        <f t="shared" si="8"/>
        <v>Yes</v>
      </c>
      <c r="P11" s="20">
        <f t="shared" si="9"/>
        <v>221.33333333333337</v>
      </c>
      <c r="Q11" s="346">
        <f t="shared" si="10"/>
        <v>0</v>
      </c>
      <c r="R11" s="20">
        <f>IF(AND(D$2+$E$2&gt;0,N11-SNAP!P11&gt;0),N11-SNAP!P11,0)</f>
        <v>778.66666666666663</v>
      </c>
      <c r="S11" s="20">
        <f t="shared" si="11"/>
        <v>0</v>
      </c>
      <c r="T11" s="20">
        <f t="shared" si="3"/>
        <v>0</v>
      </c>
      <c r="U11" s="20">
        <f>IF(AND('Total income package'!$A$18=TRUE,OR(H11="Yes",O11="Yes"),G11&lt;$G$2,$K$2-T11&gt;10),ROUNDDOWN($K$2-T11,0),0)</f>
        <v>546</v>
      </c>
      <c r="V11" s="176">
        <f t="shared" si="12"/>
        <v>546</v>
      </c>
      <c r="W11" s="5"/>
    </row>
    <row r="12" spans="2:25" x14ac:dyDescent="0.25">
      <c r="B12" s="72">
        <v>3000</v>
      </c>
      <c r="C12" s="19">
        <f>MAX('TANF-VIEW'!L15,'TANF-VIEW'!T15)</f>
        <v>352.2</v>
      </c>
      <c r="D12" s="20">
        <f t="shared" si="13"/>
        <v>250</v>
      </c>
      <c r="E12" s="20">
        <f>'Total income package'!$D$80</f>
        <v>0</v>
      </c>
      <c r="F12" s="20">
        <f>'Total income package'!$H$61+'Total income package'!$F$66</f>
        <v>100</v>
      </c>
      <c r="G12" s="20">
        <f t="shared" si="4"/>
        <v>702.2</v>
      </c>
      <c r="H12" s="20" t="str">
        <f t="shared" si="0"/>
        <v>Yes</v>
      </c>
      <c r="I12" s="20">
        <f t="shared" si="1"/>
        <v>50</v>
      </c>
      <c r="J12" s="20">
        <f t="shared" si="2"/>
        <v>209</v>
      </c>
      <c r="K12" s="20">
        <f t="shared" si="5"/>
        <v>443.20000000000005</v>
      </c>
      <c r="L12" s="20">
        <f t="shared" si="6"/>
        <v>500</v>
      </c>
      <c r="M12" s="20">
        <f>'Total income package'!$B$69</f>
        <v>500</v>
      </c>
      <c r="N12" s="20">
        <f t="shared" si="7"/>
        <v>1000</v>
      </c>
      <c r="O12" s="344" t="str">
        <f t="shared" si="8"/>
        <v>Yes</v>
      </c>
      <c r="P12" s="20">
        <f t="shared" si="9"/>
        <v>221.60000000000002</v>
      </c>
      <c r="Q12" s="346">
        <f t="shared" si="10"/>
        <v>0</v>
      </c>
      <c r="R12" s="20">
        <f>IF(AND(D$2+$E$2&gt;0,N12-SNAP!P12&gt;0),N12-SNAP!P12,0)</f>
        <v>778.4</v>
      </c>
      <c r="S12" s="20">
        <f t="shared" si="11"/>
        <v>0</v>
      </c>
      <c r="T12" s="20">
        <f t="shared" si="3"/>
        <v>0</v>
      </c>
      <c r="U12" s="20">
        <f>IF(AND('Total income package'!$A$18=TRUE,OR(H12="Yes",O12="Yes"),G12&lt;$G$2,$K$2-T12&gt;10),ROUNDDOWN($K$2-T12,0),0)</f>
        <v>546</v>
      </c>
      <c r="V12" s="176">
        <f t="shared" si="12"/>
        <v>546</v>
      </c>
      <c r="W12" s="5"/>
    </row>
    <row r="13" spans="2:25" x14ac:dyDescent="0.25">
      <c r="B13" s="72">
        <v>3500</v>
      </c>
      <c r="C13" s="19">
        <f>MAX('TANF-VIEW'!L16,'TANF-VIEW'!T16)</f>
        <v>318.86666666666667</v>
      </c>
      <c r="D13" s="20">
        <f t="shared" si="13"/>
        <v>291.66666666666669</v>
      </c>
      <c r="E13" s="20">
        <f>'Total income package'!$D$80</f>
        <v>0</v>
      </c>
      <c r="F13" s="20">
        <f>'Total income package'!$H$61+'Total income package'!$F$66</f>
        <v>100</v>
      </c>
      <c r="G13" s="20">
        <f t="shared" si="4"/>
        <v>710.5333333333333</v>
      </c>
      <c r="H13" s="20" t="str">
        <f t="shared" si="0"/>
        <v>Yes</v>
      </c>
      <c r="I13" s="20">
        <f t="shared" si="1"/>
        <v>58.333333333333343</v>
      </c>
      <c r="J13" s="20">
        <f t="shared" si="2"/>
        <v>209</v>
      </c>
      <c r="K13" s="20">
        <f t="shared" si="5"/>
        <v>443.19999999999993</v>
      </c>
      <c r="L13" s="20">
        <f t="shared" si="6"/>
        <v>500</v>
      </c>
      <c r="M13" s="20">
        <f>'Total income package'!$B$69</f>
        <v>500</v>
      </c>
      <c r="N13" s="20">
        <f t="shared" si="7"/>
        <v>1000</v>
      </c>
      <c r="O13" s="344" t="str">
        <f t="shared" si="8"/>
        <v>Yes</v>
      </c>
      <c r="P13" s="20">
        <f t="shared" si="9"/>
        <v>221.59999999999997</v>
      </c>
      <c r="Q13" s="346">
        <f t="shared" si="10"/>
        <v>0</v>
      </c>
      <c r="R13" s="20">
        <f>IF(AND(D$2+$E$2&gt;0,N13-SNAP!P13&gt;0),N13-SNAP!P13,0)</f>
        <v>778.40000000000009</v>
      </c>
      <c r="S13" s="20">
        <f t="shared" si="11"/>
        <v>0</v>
      </c>
      <c r="T13" s="20">
        <f t="shared" si="3"/>
        <v>0</v>
      </c>
      <c r="U13" s="20">
        <f>IF(AND('Total income package'!$A$18=TRUE,OR(H13="Yes",O13="Yes"),G13&lt;$G$2,$K$2-T13&gt;10),ROUNDDOWN($K$2-T13,0),0)</f>
        <v>546</v>
      </c>
      <c r="V13" s="176">
        <f t="shared" si="12"/>
        <v>546</v>
      </c>
      <c r="W13" s="5"/>
    </row>
    <row r="14" spans="2:25" x14ac:dyDescent="0.25">
      <c r="B14" s="72">
        <v>4000</v>
      </c>
      <c r="C14" s="19">
        <f>MAX('TANF-VIEW'!L17,'TANF-VIEW'!T17)</f>
        <v>285.53333333333336</v>
      </c>
      <c r="D14" s="20">
        <f t="shared" si="13"/>
        <v>333.33333333333331</v>
      </c>
      <c r="E14" s="20">
        <f>'Total income package'!$D$80</f>
        <v>0</v>
      </c>
      <c r="F14" s="20">
        <f>'Total income package'!$H$61+'Total income package'!$F$66</f>
        <v>100</v>
      </c>
      <c r="G14" s="20">
        <f t="shared" si="4"/>
        <v>718.86666666666667</v>
      </c>
      <c r="H14" s="20" t="str">
        <f t="shared" si="0"/>
        <v>Yes</v>
      </c>
      <c r="I14" s="20">
        <f t="shared" si="1"/>
        <v>66.666666666666671</v>
      </c>
      <c r="J14" s="20">
        <f t="shared" si="2"/>
        <v>209</v>
      </c>
      <c r="K14" s="20">
        <f t="shared" si="5"/>
        <v>443.20000000000005</v>
      </c>
      <c r="L14" s="20">
        <f t="shared" si="6"/>
        <v>500</v>
      </c>
      <c r="M14" s="20">
        <f>'Total income package'!$B$69</f>
        <v>500</v>
      </c>
      <c r="N14" s="20">
        <f t="shared" si="7"/>
        <v>1000</v>
      </c>
      <c r="O14" s="344" t="str">
        <f t="shared" si="8"/>
        <v>Yes</v>
      </c>
      <c r="P14" s="20">
        <f t="shared" si="9"/>
        <v>221.60000000000002</v>
      </c>
      <c r="Q14" s="346">
        <f t="shared" si="10"/>
        <v>0</v>
      </c>
      <c r="R14" s="20">
        <f>IF(AND(D$2+$E$2&gt;0,N14-SNAP!P14&gt;0),N14-SNAP!P14,0)</f>
        <v>778.4</v>
      </c>
      <c r="S14" s="20">
        <f t="shared" si="11"/>
        <v>0</v>
      </c>
      <c r="T14" s="20">
        <f t="shared" si="3"/>
        <v>0</v>
      </c>
      <c r="U14" s="20">
        <f>IF(AND('Total income package'!$A$18=TRUE,OR(H14="Yes",O14="Yes"),G14&lt;$G$2,$K$2-T14&gt;10),ROUNDDOWN($K$2-T14,0),0)</f>
        <v>546</v>
      </c>
      <c r="V14" s="176">
        <f t="shared" si="12"/>
        <v>546</v>
      </c>
      <c r="W14" s="5"/>
    </row>
    <row r="15" spans="2:25" x14ac:dyDescent="0.25">
      <c r="B15" s="72">
        <v>4500</v>
      </c>
      <c r="C15" s="19">
        <f>MAX('TANF-VIEW'!L18,'TANF-VIEW'!T18)</f>
        <v>252.2</v>
      </c>
      <c r="D15" s="20">
        <f t="shared" si="13"/>
        <v>375</v>
      </c>
      <c r="E15" s="20">
        <f>'Total income package'!$D$80</f>
        <v>0</v>
      </c>
      <c r="F15" s="20">
        <f>'Total income package'!$H$61+'Total income package'!$F$66</f>
        <v>100</v>
      </c>
      <c r="G15" s="20">
        <f t="shared" si="4"/>
        <v>727.2</v>
      </c>
      <c r="H15" s="20" t="str">
        <f t="shared" si="0"/>
        <v>Yes</v>
      </c>
      <c r="I15" s="20">
        <f t="shared" si="1"/>
        <v>75</v>
      </c>
      <c r="J15" s="20">
        <f t="shared" si="2"/>
        <v>209</v>
      </c>
      <c r="K15" s="20">
        <f t="shared" si="5"/>
        <v>443.20000000000005</v>
      </c>
      <c r="L15" s="20">
        <f t="shared" si="6"/>
        <v>500</v>
      </c>
      <c r="M15" s="20">
        <f>'Total income package'!$B$69</f>
        <v>500</v>
      </c>
      <c r="N15" s="20">
        <f t="shared" si="7"/>
        <v>1000</v>
      </c>
      <c r="O15" s="344" t="str">
        <f t="shared" si="8"/>
        <v>Yes</v>
      </c>
      <c r="P15" s="20">
        <f t="shared" si="9"/>
        <v>221.60000000000002</v>
      </c>
      <c r="Q15" s="346">
        <f t="shared" si="10"/>
        <v>0</v>
      </c>
      <c r="R15" s="20">
        <f>IF(AND(D$2+$E$2&gt;0,N15-SNAP!P15&gt;0),N15-SNAP!P15,0)</f>
        <v>778.4</v>
      </c>
      <c r="S15" s="20">
        <f t="shared" si="11"/>
        <v>0</v>
      </c>
      <c r="T15" s="20">
        <f t="shared" si="3"/>
        <v>0</v>
      </c>
      <c r="U15" s="20">
        <f>IF(AND('Total income package'!$A$18=TRUE,OR(H15="Yes",O15="Yes"),G15&lt;$G$2,$K$2-T15&gt;10),ROUNDDOWN($K$2-T15,0),0)</f>
        <v>546</v>
      </c>
      <c r="V15" s="176">
        <f t="shared" si="12"/>
        <v>546</v>
      </c>
      <c r="W15" s="5"/>
    </row>
    <row r="16" spans="2:25" x14ac:dyDescent="0.25">
      <c r="B16" s="72">
        <v>5000</v>
      </c>
      <c r="C16" s="19">
        <f>MAX('TANF-VIEW'!L19,'TANF-VIEW'!T19)</f>
        <v>218.86666666666665</v>
      </c>
      <c r="D16" s="20">
        <f t="shared" si="13"/>
        <v>416.66666666666669</v>
      </c>
      <c r="E16" s="20">
        <f>'Total income package'!$D$80</f>
        <v>0</v>
      </c>
      <c r="F16" s="20">
        <f>'Total income package'!$H$61+'Total income package'!$F$66</f>
        <v>100</v>
      </c>
      <c r="G16" s="20">
        <f t="shared" si="4"/>
        <v>735.5333333333333</v>
      </c>
      <c r="H16" s="20" t="str">
        <f t="shared" si="0"/>
        <v>Yes</v>
      </c>
      <c r="I16" s="20">
        <f t="shared" si="1"/>
        <v>83.333333333333343</v>
      </c>
      <c r="J16" s="20">
        <f t="shared" si="2"/>
        <v>209</v>
      </c>
      <c r="K16" s="20">
        <f t="shared" si="5"/>
        <v>443.19999999999993</v>
      </c>
      <c r="L16" s="20">
        <f t="shared" si="6"/>
        <v>500</v>
      </c>
      <c r="M16" s="20">
        <f>'Total income package'!$B$69</f>
        <v>500</v>
      </c>
      <c r="N16" s="20">
        <f t="shared" si="7"/>
        <v>1000</v>
      </c>
      <c r="O16" s="344" t="str">
        <f t="shared" si="8"/>
        <v>Yes</v>
      </c>
      <c r="P16" s="20">
        <f t="shared" si="9"/>
        <v>221.59999999999997</v>
      </c>
      <c r="Q16" s="346">
        <f t="shared" si="10"/>
        <v>0</v>
      </c>
      <c r="R16" s="20">
        <f>IF(AND(D$2+$E$2&gt;0,N16-SNAP!P16&gt;0),N16-SNAP!P16,0)</f>
        <v>778.40000000000009</v>
      </c>
      <c r="S16" s="20">
        <f t="shared" si="11"/>
        <v>0</v>
      </c>
      <c r="T16" s="20">
        <f t="shared" si="3"/>
        <v>0</v>
      </c>
      <c r="U16" s="20">
        <f>IF(AND('Total income package'!$A$18=TRUE,OR(H16="Yes",O16="Yes"),G16&lt;$G$2,$K$2-T16&gt;10),ROUNDDOWN($K$2-T16,0),0)</f>
        <v>546</v>
      </c>
      <c r="V16" s="176">
        <f t="shared" si="12"/>
        <v>546</v>
      </c>
      <c r="W16" s="5"/>
    </row>
    <row r="17" spans="2:23" x14ac:dyDescent="0.25">
      <c r="B17" s="72">
        <v>5500</v>
      </c>
      <c r="C17" s="19">
        <f>MAX('TANF-VIEW'!L20,'TANF-VIEW'!T20)</f>
        <v>185.53333333333336</v>
      </c>
      <c r="D17" s="20">
        <f t="shared" si="13"/>
        <v>458.33333333333331</v>
      </c>
      <c r="E17" s="20">
        <f>'Total income package'!$D$80</f>
        <v>0</v>
      </c>
      <c r="F17" s="20">
        <f>'Total income package'!$H$61+'Total income package'!$F$66</f>
        <v>100</v>
      </c>
      <c r="G17" s="20">
        <f t="shared" si="4"/>
        <v>743.86666666666667</v>
      </c>
      <c r="H17" s="20" t="str">
        <f t="shared" si="0"/>
        <v>Yes</v>
      </c>
      <c r="I17" s="20">
        <f t="shared" si="1"/>
        <v>91.666666666666671</v>
      </c>
      <c r="J17" s="20">
        <f t="shared" si="2"/>
        <v>209</v>
      </c>
      <c r="K17" s="20">
        <f t="shared" si="5"/>
        <v>443.20000000000005</v>
      </c>
      <c r="L17" s="20">
        <f t="shared" si="6"/>
        <v>500</v>
      </c>
      <c r="M17" s="20">
        <f>'Total income package'!$B$69</f>
        <v>500</v>
      </c>
      <c r="N17" s="20">
        <f t="shared" si="7"/>
        <v>1000</v>
      </c>
      <c r="O17" s="344" t="str">
        <f t="shared" si="8"/>
        <v>Yes</v>
      </c>
      <c r="P17" s="20">
        <f t="shared" si="9"/>
        <v>221.60000000000002</v>
      </c>
      <c r="Q17" s="346">
        <f t="shared" si="10"/>
        <v>0</v>
      </c>
      <c r="R17" s="20">
        <f>IF(AND(D$2+$E$2&gt;0,N17-SNAP!P17&gt;0),N17-SNAP!P17,0)</f>
        <v>778.4</v>
      </c>
      <c r="S17" s="20">
        <f t="shared" si="11"/>
        <v>0</v>
      </c>
      <c r="T17" s="20">
        <f t="shared" si="3"/>
        <v>0</v>
      </c>
      <c r="U17" s="20">
        <f>IF(AND('Total income package'!$A$18=TRUE,OR(H17="Yes",O17="Yes"),G17&lt;$G$2,$K$2-T17&gt;10),ROUNDDOWN($K$2-T17,0),0)</f>
        <v>546</v>
      </c>
      <c r="V17" s="176">
        <f t="shared" si="12"/>
        <v>546</v>
      </c>
      <c r="W17" s="5"/>
    </row>
    <row r="18" spans="2:23" x14ac:dyDescent="0.25">
      <c r="B18" s="72">
        <v>6000</v>
      </c>
      <c r="C18" s="19">
        <f>MAX('TANF-VIEW'!L21,'TANF-VIEW'!T21)</f>
        <v>152.19999999999999</v>
      </c>
      <c r="D18" s="20">
        <f t="shared" si="13"/>
        <v>500</v>
      </c>
      <c r="E18" s="20">
        <f>'Total income package'!$D$80</f>
        <v>0</v>
      </c>
      <c r="F18" s="20">
        <f>'Total income package'!$H$61+'Total income package'!$F$66</f>
        <v>100</v>
      </c>
      <c r="G18" s="20">
        <f t="shared" si="4"/>
        <v>752.2</v>
      </c>
      <c r="H18" s="20" t="str">
        <f t="shared" si="0"/>
        <v>Yes</v>
      </c>
      <c r="I18" s="20">
        <f t="shared" si="1"/>
        <v>100</v>
      </c>
      <c r="J18" s="20">
        <f t="shared" si="2"/>
        <v>209</v>
      </c>
      <c r="K18" s="20">
        <f>IF(G18-I18-J18&gt;0,G18-I18-J18,0)</f>
        <v>443.20000000000005</v>
      </c>
      <c r="L18" s="20">
        <f t="shared" si="6"/>
        <v>500</v>
      </c>
      <c r="M18" s="20">
        <f>'Total income package'!$B$69</f>
        <v>500</v>
      </c>
      <c r="N18" s="20">
        <f t="shared" si="7"/>
        <v>1000</v>
      </c>
      <c r="O18" s="344" t="str">
        <f t="shared" si="8"/>
        <v>Yes</v>
      </c>
      <c r="P18" s="20">
        <f t="shared" si="9"/>
        <v>221.60000000000002</v>
      </c>
      <c r="Q18" s="346">
        <f t="shared" si="10"/>
        <v>0</v>
      </c>
      <c r="R18" s="20">
        <f>IF(AND(D$2+$E$2&gt;0,N18-SNAP!P18&gt;0),N18-SNAP!P18,0)</f>
        <v>778.4</v>
      </c>
      <c r="S18" s="20">
        <f t="shared" si="11"/>
        <v>0</v>
      </c>
      <c r="T18" s="20">
        <f t="shared" si="3"/>
        <v>0</v>
      </c>
      <c r="U18" s="20">
        <f>IF(AND('Total income package'!$A$18=TRUE,OR(H18="Yes",O18="Yes"),G18&lt;$G$2,$K$2-T18&gt;10),ROUNDDOWN($K$2-T18,0),0)</f>
        <v>546</v>
      </c>
      <c r="V18" s="176">
        <f t="shared" si="12"/>
        <v>546</v>
      </c>
      <c r="W18" s="5"/>
    </row>
    <row r="19" spans="2:23" x14ac:dyDescent="0.25">
      <c r="B19" s="72">
        <v>6500</v>
      </c>
      <c r="C19" s="19">
        <f>MAX('TANF-VIEW'!L22,'TANF-VIEW'!T22)</f>
        <v>118.86666666666667</v>
      </c>
      <c r="D19" s="20">
        <f t="shared" si="13"/>
        <v>541.66666666666663</v>
      </c>
      <c r="E19" s="20">
        <f>'Total income package'!$D$80</f>
        <v>0</v>
      </c>
      <c r="F19" s="20">
        <f>'Total income package'!$H$61+'Total income package'!$F$66</f>
        <v>100</v>
      </c>
      <c r="G19" s="20">
        <f t="shared" si="4"/>
        <v>760.5333333333333</v>
      </c>
      <c r="H19" s="20" t="str">
        <f t="shared" si="0"/>
        <v>Yes</v>
      </c>
      <c r="I19" s="20">
        <f t="shared" si="1"/>
        <v>108.33333333333333</v>
      </c>
      <c r="J19" s="20">
        <f t="shared" si="2"/>
        <v>209</v>
      </c>
      <c r="K19" s="20">
        <f t="shared" si="5"/>
        <v>443.19999999999993</v>
      </c>
      <c r="L19" s="20">
        <f t="shared" si="6"/>
        <v>500</v>
      </c>
      <c r="M19" s="20">
        <f>'Total income package'!$B$69</f>
        <v>500</v>
      </c>
      <c r="N19" s="20">
        <f t="shared" si="7"/>
        <v>1000</v>
      </c>
      <c r="O19" s="344" t="str">
        <f t="shared" si="8"/>
        <v>Yes</v>
      </c>
      <c r="P19" s="20">
        <f t="shared" si="9"/>
        <v>221.59999999999997</v>
      </c>
      <c r="Q19" s="346">
        <f t="shared" si="10"/>
        <v>0</v>
      </c>
      <c r="R19" s="20">
        <f>IF(AND(D$2+$E$2&gt;0,N19-SNAP!P19&gt;0),N19-SNAP!P19,0)</f>
        <v>778.40000000000009</v>
      </c>
      <c r="S19" s="20">
        <f t="shared" si="11"/>
        <v>0</v>
      </c>
      <c r="T19" s="20">
        <f t="shared" si="3"/>
        <v>0</v>
      </c>
      <c r="U19" s="20">
        <f>IF(AND('Total income package'!$A$18=TRUE,OR(H19="Yes",O19="Yes"),G19&lt;$G$2,$K$2-T19&gt;10),ROUNDDOWN($K$2-T19,0),0)</f>
        <v>546</v>
      </c>
      <c r="V19" s="176">
        <f t="shared" si="12"/>
        <v>546</v>
      </c>
      <c r="W19" s="5"/>
    </row>
    <row r="20" spans="2:23" x14ac:dyDescent="0.25">
      <c r="B20" s="72">
        <v>7000</v>
      </c>
      <c r="C20" s="19">
        <f>MAX('TANF-VIEW'!L23,'TANF-VIEW'!T23)</f>
        <v>85.533333333333303</v>
      </c>
      <c r="D20" s="20">
        <f t="shared" si="13"/>
        <v>583.33333333333337</v>
      </c>
      <c r="E20" s="20">
        <f>'Total income package'!$D$80</f>
        <v>0</v>
      </c>
      <c r="F20" s="20">
        <f>'Total income package'!$H$61+'Total income package'!$F$66</f>
        <v>100</v>
      </c>
      <c r="G20" s="20">
        <f t="shared" si="4"/>
        <v>768.86666666666667</v>
      </c>
      <c r="H20" s="20" t="str">
        <f t="shared" si="0"/>
        <v>Yes</v>
      </c>
      <c r="I20" s="20">
        <f t="shared" si="1"/>
        <v>116.66666666666669</v>
      </c>
      <c r="J20" s="20">
        <f t="shared" si="2"/>
        <v>209</v>
      </c>
      <c r="K20" s="20">
        <f t="shared" si="5"/>
        <v>443.20000000000005</v>
      </c>
      <c r="L20" s="20">
        <f t="shared" si="6"/>
        <v>500</v>
      </c>
      <c r="M20" s="20">
        <f>'Total income package'!$B$69</f>
        <v>500</v>
      </c>
      <c r="N20" s="20">
        <f t="shared" si="7"/>
        <v>1000</v>
      </c>
      <c r="O20" s="344" t="str">
        <f t="shared" si="8"/>
        <v>Yes</v>
      </c>
      <c r="P20" s="20">
        <f t="shared" si="9"/>
        <v>221.60000000000002</v>
      </c>
      <c r="Q20" s="346">
        <f t="shared" si="10"/>
        <v>0</v>
      </c>
      <c r="R20" s="20">
        <f>IF(AND(D$2+$E$2&gt;0,N20-SNAP!P20&gt;0),N20-SNAP!P20,0)</f>
        <v>778.4</v>
      </c>
      <c r="S20" s="20">
        <f t="shared" si="11"/>
        <v>0</v>
      </c>
      <c r="T20" s="20">
        <f t="shared" si="3"/>
        <v>0</v>
      </c>
      <c r="U20" s="20">
        <f>IF(AND('Total income package'!$A$18=TRUE,OR(H20="Yes",O20="Yes"),G20&lt;$G$2,$K$2-T20&gt;10),ROUNDDOWN($K$2-T20,0),0)</f>
        <v>546</v>
      </c>
      <c r="V20" s="176">
        <f t="shared" si="12"/>
        <v>546</v>
      </c>
      <c r="W20" s="5"/>
    </row>
    <row r="21" spans="2:23" x14ac:dyDescent="0.25">
      <c r="B21" s="72">
        <v>7500</v>
      </c>
      <c r="C21" s="19">
        <f>MAX('TANF-VIEW'!L24,'TANF-VIEW'!T24)</f>
        <v>52.199999999999989</v>
      </c>
      <c r="D21" s="20">
        <f t="shared" si="13"/>
        <v>625</v>
      </c>
      <c r="E21" s="20">
        <f>'Total income package'!$D$80</f>
        <v>0</v>
      </c>
      <c r="F21" s="20">
        <f>'Total income package'!$H$61+'Total income package'!$F$66</f>
        <v>100</v>
      </c>
      <c r="G21" s="20">
        <f t="shared" si="4"/>
        <v>777.2</v>
      </c>
      <c r="H21" s="20" t="str">
        <f t="shared" si="0"/>
        <v>Yes</v>
      </c>
      <c r="I21" s="20">
        <f t="shared" si="1"/>
        <v>125</v>
      </c>
      <c r="J21" s="20">
        <f t="shared" si="2"/>
        <v>209</v>
      </c>
      <c r="K21" s="20">
        <f t="shared" si="5"/>
        <v>443.20000000000005</v>
      </c>
      <c r="L21" s="20">
        <f t="shared" si="6"/>
        <v>500</v>
      </c>
      <c r="M21" s="20">
        <f>'Total income package'!$B$69</f>
        <v>500</v>
      </c>
      <c r="N21" s="20">
        <f t="shared" si="7"/>
        <v>1000</v>
      </c>
      <c r="O21" s="344" t="str">
        <f t="shared" si="8"/>
        <v>Yes</v>
      </c>
      <c r="P21" s="20">
        <f t="shared" si="9"/>
        <v>221.60000000000002</v>
      </c>
      <c r="Q21" s="346">
        <f t="shared" si="10"/>
        <v>0</v>
      </c>
      <c r="R21" s="20">
        <f>IF(AND(D$2+$E$2&gt;0,N21-SNAP!P21&gt;0),N21-SNAP!P21,0)</f>
        <v>778.4</v>
      </c>
      <c r="S21" s="20">
        <f t="shared" si="11"/>
        <v>0</v>
      </c>
      <c r="T21" s="20">
        <f t="shared" si="3"/>
        <v>0</v>
      </c>
      <c r="U21" s="20">
        <f>IF(AND('Total income package'!$A$18=TRUE,OR(H21="Yes",O21="Yes"),G21&lt;$G$2,$K$2-T21&gt;10),ROUNDDOWN($K$2-T21,0),0)</f>
        <v>546</v>
      </c>
      <c r="V21" s="176">
        <f t="shared" si="12"/>
        <v>546</v>
      </c>
      <c r="W21" s="5"/>
    </row>
    <row r="22" spans="2:23" x14ac:dyDescent="0.25">
      <c r="B22" s="72">
        <v>8000</v>
      </c>
      <c r="C22" s="19">
        <f>MAX('TANF-VIEW'!L25,'TANF-VIEW'!T25)</f>
        <v>18.866666666666674</v>
      </c>
      <c r="D22" s="20">
        <f t="shared" si="13"/>
        <v>666.66666666666663</v>
      </c>
      <c r="E22" s="20">
        <f>'Total income package'!$D$80</f>
        <v>0</v>
      </c>
      <c r="F22" s="20">
        <f>'Total income package'!$H$61+'Total income package'!$F$66</f>
        <v>100</v>
      </c>
      <c r="G22" s="20">
        <f t="shared" si="4"/>
        <v>785.5333333333333</v>
      </c>
      <c r="H22" s="20" t="str">
        <f t="shared" si="0"/>
        <v>Yes</v>
      </c>
      <c r="I22" s="20">
        <f t="shared" si="1"/>
        <v>133.33333333333334</v>
      </c>
      <c r="J22" s="20">
        <f t="shared" si="2"/>
        <v>209</v>
      </c>
      <c r="K22" s="20">
        <f t="shared" si="5"/>
        <v>443.19999999999993</v>
      </c>
      <c r="L22" s="20">
        <f t="shared" si="6"/>
        <v>500</v>
      </c>
      <c r="M22" s="20">
        <f>'Total income package'!$B$69</f>
        <v>500</v>
      </c>
      <c r="N22" s="20">
        <f t="shared" si="7"/>
        <v>1000</v>
      </c>
      <c r="O22" s="344" t="str">
        <f t="shared" si="8"/>
        <v>Yes</v>
      </c>
      <c r="P22" s="20">
        <f t="shared" si="9"/>
        <v>221.59999999999997</v>
      </c>
      <c r="Q22" s="346">
        <f t="shared" si="10"/>
        <v>0</v>
      </c>
      <c r="R22" s="20">
        <f>IF(AND(D$2+$E$2&gt;0,N22-SNAP!P22&gt;0),N22-SNAP!P22,0)</f>
        <v>778.40000000000009</v>
      </c>
      <c r="S22" s="20">
        <f t="shared" si="11"/>
        <v>0</v>
      </c>
      <c r="T22" s="20">
        <f t="shared" si="3"/>
        <v>0</v>
      </c>
      <c r="U22" s="20">
        <f>IF(AND('Total income package'!$A$18=TRUE,OR(H22="Yes",O22="Yes"),G22&lt;$G$2,$K$2-T22&gt;10),ROUNDDOWN($K$2-T22,0),0)</f>
        <v>546</v>
      </c>
      <c r="V22" s="176">
        <f t="shared" si="12"/>
        <v>546</v>
      </c>
      <c r="W22" s="5"/>
    </row>
    <row r="23" spans="2:23" x14ac:dyDescent="0.25">
      <c r="B23" s="72">
        <v>8500</v>
      </c>
      <c r="C23" s="19">
        <f>MAX('TANF-VIEW'!L26,'TANF-VIEW'!T26)</f>
        <v>0</v>
      </c>
      <c r="D23" s="20">
        <f t="shared" si="13"/>
        <v>708.33333333333337</v>
      </c>
      <c r="E23" s="20">
        <f>'Total income package'!$D$80</f>
        <v>0</v>
      </c>
      <c r="F23" s="20">
        <f>'Total income package'!$H$61+'Total income package'!$F$66</f>
        <v>100</v>
      </c>
      <c r="G23" s="20">
        <f t="shared" si="4"/>
        <v>808.33333333333337</v>
      </c>
      <c r="H23" s="20" t="str">
        <f t="shared" si="0"/>
        <v>Yes</v>
      </c>
      <c r="I23" s="20">
        <f t="shared" si="1"/>
        <v>141.66666666666669</v>
      </c>
      <c r="J23" s="20">
        <f t="shared" si="2"/>
        <v>209</v>
      </c>
      <c r="K23" s="20">
        <f t="shared" si="5"/>
        <v>457.66666666666674</v>
      </c>
      <c r="L23" s="20">
        <f t="shared" si="6"/>
        <v>500</v>
      </c>
      <c r="M23" s="20">
        <f>'Total income package'!$B$69</f>
        <v>500</v>
      </c>
      <c r="N23" s="20">
        <f t="shared" si="7"/>
        <v>1000</v>
      </c>
      <c r="O23" s="344" t="str">
        <f t="shared" si="8"/>
        <v>Yes</v>
      </c>
      <c r="P23" s="20">
        <f t="shared" si="9"/>
        <v>228.83333333333337</v>
      </c>
      <c r="Q23" s="346">
        <f t="shared" si="10"/>
        <v>0</v>
      </c>
      <c r="R23" s="20">
        <f>IF(AND(D$2+$E$2&gt;0,N23-SNAP!P23&gt;0),N23-SNAP!P23,0)</f>
        <v>771.16666666666663</v>
      </c>
      <c r="S23" s="20">
        <f t="shared" si="11"/>
        <v>0</v>
      </c>
      <c r="T23" s="20">
        <f t="shared" si="3"/>
        <v>0</v>
      </c>
      <c r="U23" s="20">
        <f>IF(AND('Total income package'!$A$18=TRUE,OR(H23="Yes",O23="Yes"),G23&lt;$G$2,$K$2-T23&gt;10),ROUNDDOWN($K$2-T23,0),0)</f>
        <v>546</v>
      </c>
      <c r="V23" s="176">
        <f t="shared" si="12"/>
        <v>546</v>
      </c>
      <c r="W23" s="5"/>
    </row>
    <row r="24" spans="2:23" x14ac:dyDescent="0.25">
      <c r="B24" s="72">
        <v>9000</v>
      </c>
      <c r="C24" s="19">
        <f>MAX('TANF-VIEW'!L27,'TANF-VIEW'!T27)</f>
        <v>0</v>
      </c>
      <c r="D24" s="20">
        <f t="shared" si="13"/>
        <v>750</v>
      </c>
      <c r="E24" s="20">
        <f>'Total income package'!$D$80</f>
        <v>0</v>
      </c>
      <c r="F24" s="20">
        <f>'Total income package'!$H$61+'Total income package'!$F$66</f>
        <v>100</v>
      </c>
      <c r="G24" s="20">
        <f t="shared" si="4"/>
        <v>850</v>
      </c>
      <c r="H24" s="20" t="str">
        <f t="shared" si="0"/>
        <v>Yes</v>
      </c>
      <c r="I24" s="20">
        <f t="shared" si="1"/>
        <v>150</v>
      </c>
      <c r="J24" s="20">
        <f t="shared" si="2"/>
        <v>209</v>
      </c>
      <c r="K24" s="20">
        <f t="shared" si="5"/>
        <v>491</v>
      </c>
      <c r="L24" s="20">
        <f t="shared" si="6"/>
        <v>500</v>
      </c>
      <c r="M24" s="20">
        <f>'Total income package'!$B$69</f>
        <v>500</v>
      </c>
      <c r="N24" s="20">
        <f t="shared" si="7"/>
        <v>1000</v>
      </c>
      <c r="O24" s="344" t="str">
        <f t="shared" si="8"/>
        <v>Yes</v>
      </c>
      <c r="P24" s="20">
        <f t="shared" si="9"/>
        <v>245.5</v>
      </c>
      <c r="Q24" s="346">
        <f t="shared" si="10"/>
        <v>0</v>
      </c>
      <c r="R24" s="20">
        <f>IF(AND(D$2+$E$2&gt;0,N24-SNAP!P24&gt;0),N24-SNAP!P24,0)</f>
        <v>754.5</v>
      </c>
      <c r="S24" s="20">
        <f t="shared" si="11"/>
        <v>0</v>
      </c>
      <c r="T24" s="20">
        <f t="shared" si="3"/>
        <v>0</v>
      </c>
      <c r="U24" s="20">
        <f>IF(AND('Total income package'!$A$18=TRUE,OR(H24="Yes",O24="Yes"),G24&lt;$G$2,$K$2-T24&gt;10),ROUNDDOWN($K$2-T24,0),0)</f>
        <v>546</v>
      </c>
      <c r="V24" s="176">
        <f t="shared" si="12"/>
        <v>546</v>
      </c>
      <c r="W24" s="5"/>
    </row>
    <row r="25" spans="2:23" x14ac:dyDescent="0.25">
      <c r="B25" s="72">
        <v>9500</v>
      </c>
      <c r="C25" s="19">
        <f>MAX('TANF-VIEW'!L28,'TANF-VIEW'!T28)</f>
        <v>0</v>
      </c>
      <c r="D25" s="20">
        <f t="shared" si="13"/>
        <v>791.66666666666663</v>
      </c>
      <c r="E25" s="20">
        <f>'Total income package'!$D$80</f>
        <v>0</v>
      </c>
      <c r="F25" s="20">
        <f>'Total income package'!$H$61+'Total income package'!$F$66</f>
        <v>100</v>
      </c>
      <c r="G25" s="20">
        <f t="shared" si="4"/>
        <v>891.66666666666663</v>
      </c>
      <c r="H25" s="20" t="str">
        <f t="shared" si="0"/>
        <v>Yes</v>
      </c>
      <c r="I25" s="20">
        <f t="shared" si="1"/>
        <v>158.33333333333334</v>
      </c>
      <c r="J25" s="20">
        <f t="shared" si="2"/>
        <v>209</v>
      </c>
      <c r="K25" s="20">
        <f t="shared" si="5"/>
        <v>524.33333333333326</v>
      </c>
      <c r="L25" s="20">
        <f t="shared" si="6"/>
        <v>500</v>
      </c>
      <c r="M25" s="20">
        <f>'Total income package'!$B$69</f>
        <v>500</v>
      </c>
      <c r="N25" s="20">
        <f t="shared" si="7"/>
        <v>1000</v>
      </c>
      <c r="O25" s="344" t="str">
        <f t="shared" si="8"/>
        <v>Yes</v>
      </c>
      <c r="P25" s="20">
        <f t="shared" si="9"/>
        <v>262.16666666666663</v>
      </c>
      <c r="Q25" s="346">
        <f t="shared" si="10"/>
        <v>0</v>
      </c>
      <c r="R25" s="20">
        <f>IF(AND(D$2+$E$2&gt;0,N25-SNAP!P25&gt;0),N25-SNAP!P25,0)</f>
        <v>737.83333333333337</v>
      </c>
      <c r="S25" s="20">
        <f t="shared" si="11"/>
        <v>0</v>
      </c>
      <c r="T25" s="20">
        <f t="shared" si="3"/>
        <v>0</v>
      </c>
      <c r="U25" s="20">
        <f>IF(AND('Total income package'!$A$18=TRUE,OR(H25="Yes",O25="Yes"),G25&lt;$G$2,$K$2-T25&gt;10),ROUNDDOWN($K$2-T25,0),0)</f>
        <v>546</v>
      </c>
      <c r="V25" s="176">
        <f t="shared" si="12"/>
        <v>546</v>
      </c>
      <c r="W25" s="5"/>
    </row>
    <row r="26" spans="2:23" x14ac:dyDescent="0.25">
      <c r="B26" s="72">
        <v>10000</v>
      </c>
      <c r="C26" s="19">
        <f>MAX('TANF-VIEW'!L29,'TANF-VIEW'!T29)</f>
        <v>0</v>
      </c>
      <c r="D26" s="20">
        <f t="shared" si="13"/>
        <v>833.33333333333337</v>
      </c>
      <c r="E26" s="20">
        <f>'Total income package'!$D$80</f>
        <v>0</v>
      </c>
      <c r="F26" s="20">
        <f>'Total income package'!$H$61+'Total income package'!$F$66</f>
        <v>100</v>
      </c>
      <c r="G26" s="20">
        <f t="shared" si="4"/>
        <v>933.33333333333337</v>
      </c>
      <c r="H26" s="20" t="str">
        <f t="shared" si="0"/>
        <v>Yes</v>
      </c>
      <c r="I26" s="20">
        <f t="shared" si="1"/>
        <v>166.66666666666669</v>
      </c>
      <c r="J26" s="20">
        <f t="shared" si="2"/>
        <v>209</v>
      </c>
      <c r="K26" s="20">
        <f t="shared" si="5"/>
        <v>557.66666666666674</v>
      </c>
      <c r="L26" s="20">
        <f t="shared" si="6"/>
        <v>500</v>
      </c>
      <c r="M26" s="20">
        <f>'Total income package'!$B$69</f>
        <v>500</v>
      </c>
      <c r="N26" s="20">
        <f t="shared" si="7"/>
        <v>1000</v>
      </c>
      <c r="O26" s="344" t="str">
        <f t="shared" si="8"/>
        <v>Yes</v>
      </c>
      <c r="P26" s="20">
        <f t="shared" si="9"/>
        <v>278.83333333333337</v>
      </c>
      <c r="Q26" s="346">
        <f t="shared" si="10"/>
        <v>0</v>
      </c>
      <c r="R26" s="20">
        <f>IF(AND(D$2+$E$2&gt;0,N26-SNAP!P26&gt;0),N26-SNAP!P26,0)</f>
        <v>721.16666666666663</v>
      </c>
      <c r="S26" s="20">
        <f t="shared" si="11"/>
        <v>0</v>
      </c>
      <c r="T26" s="20">
        <f t="shared" si="3"/>
        <v>0</v>
      </c>
      <c r="U26" s="20">
        <f>IF(AND('Total income package'!$A$18=TRUE,OR(H26="Yes",O26="Yes"),G26&lt;$G$2,$K$2-T26&gt;10),ROUNDDOWN($K$2-T26,0),0)</f>
        <v>546</v>
      </c>
      <c r="V26" s="176">
        <f t="shared" si="12"/>
        <v>546</v>
      </c>
      <c r="W26" s="5"/>
    </row>
    <row r="27" spans="2:23" x14ac:dyDescent="0.25">
      <c r="B27" s="72">
        <v>10500</v>
      </c>
      <c r="C27" s="19">
        <f>MAX('TANF-VIEW'!L30,'TANF-VIEW'!T30)</f>
        <v>0</v>
      </c>
      <c r="D27" s="20">
        <f t="shared" si="13"/>
        <v>875</v>
      </c>
      <c r="E27" s="20">
        <f>'Total income package'!$D$80</f>
        <v>0</v>
      </c>
      <c r="F27" s="20">
        <f>'Total income package'!$H$61+'Total income package'!$F$66</f>
        <v>100</v>
      </c>
      <c r="G27" s="20">
        <f t="shared" si="4"/>
        <v>975</v>
      </c>
      <c r="H27" s="20" t="str">
        <f t="shared" si="0"/>
        <v>Yes</v>
      </c>
      <c r="I27" s="20">
        <f t="shared" si="1"/>
        <v>175</v>
      </c>
      <c r="J27" s="20">
        <f t="shared" si="2"/>
        <v>209</v>
      </c>
      <c r="K27" s="20">
        <f t="shared" si="5"/>
        <v>591</v>
      </c>
      <c r="L27" s="20">
        <f t="shared" si="6"/>
        <v>500</v>
      </c>
      <c r="M27" s="20">
        <f>'Total income package'!$B$69</f>
        <v>500</v>
      </c>
      <c r="N27" s="20">
        <f t="shared" si="7"/>
        <v>1000</v>
      </c>
      <c r="O27" s="344" t="str">
        <f t="shared" si="8"/>
        <v>Yes</v>
      </c>
      <c r="P27" s="20">
        <f t="shared" si="9"/>
        <v>295.5</v>
      </c>
      <c r="Q27" s="346">
        <f t="shared" si="10"/>
        <v>0</v>
      </c>
      <c r="R27" s="20">
        <f>IF(AND(D$2+$E$2&gt;0,N27-SNAP!P27&gt;0),N27-SNAP!P27,0)</f>
        <v>704.5</v>
      </c>
      <c r="S27" s="20">
        <f t="shared" si="11"/>
        <v>0</v>
      </c>
      <c r="T27" s="20">
        <f t="shared" si="3"/>
        <v>0</v>
      </c>
      <c r="U27" s="20">
        <f>IF(AND('Total income package'!$A$18=TRUE,OR(H27="Yes",O27="Yes"),G27&lt;$G$2,$K$2-T27&gt;10),ROUNDDOWN($K$2-T27,0),0)</f>
        <v>546</v>
      </c>
      <c r="V27" s="176">
        <f t="shared" si="12"/>
        <v>546</v>
      </c>
      <c r="W27" s="5"/>
    </row>
    <row r="28" spans="2:23" x14ac:dyDescent="0.25">
      <c r="B28" s="72">
        <v>11000</v>
      </c>
      <c r="C28" s="19">
        <f>MAX('TANF-VIEW'!L31,'TANF-VIEW'!T31)</f>
        <v>0</v>
      </c>
      <c r="D28" s="20">
        <f t="shared" si="13"/>
        <v>916.66666666666663</v>
      </c>
      <c r="E28" s="20">
        <f>'Total income package'!$D$80</f>
        <v>0</v>
      </c>
      <c r="F28" s="20">
        <f>'Total income package'!$H$61+'Total income package'!$F$66</f>
        <v>100</v>
      </c>
      <c r="G28" s="20">
        <f t="shared" si="4"/>
        <v>1016.6666666666666</v>
      </c>
      <c r="H28" s="20" t="str">
        <f t="shared" si="0"/>
        <v>Yes</v>
      </c>
      <c r="I28" s="20">
        <f t="shared" si="1"/>
        <v>183.33333333333334</v>
      </c>
      <c r="J28" s="20">
        <f t="shared" si="2"/>
        <v>209</v>
      </c>
      <c r="K28" s="20">
        <f t="shared" si="5"/>
        <v>624.33333333333326</v>
      </c>
      <c r="L28" s="20">
        <f t="shared" si="6"/>
        <v>500</v>
      </c>
      <c r="M28" s="20">
        <f>'Total income package'!$B$69</f>
        <v>500</v>
      </c>
      <c r="N28" s="20">
        <f t="shared" si="7"/>
        <v>1000</v>
      </c>
      <c r="O28" s="344" t="str">
        <f t="shared" si="8"/>
        <v>Yes</v>
      </c>
      <c r="P28" s="20">
        <f t="shared" si="9"/>
        <v>312.16666666666663</v>
      </c>
      <c r="Q28" s="346">
        <f t="shared" si="10"/>
        <v>0</v>
      </c>
      <c r="R28" s="20">
        <f>IF(AND(D$2+$E$2&gt;0,N28-SNAP!P28&gt;0),N28-SNAP!P28,0)</f>
        <v>687.83333333333337</v>
      </c>
      <c r="S28" s="20">
        <f t="shared" si="11"/>
        <v>0</v>
      </c>
      <c r="T28" s="20">
        <f t="shared" si="3"/>
        <v>0</v>
      </c>
      <c r="U28" s="20">
        <f>IF(AND('Total income package'!$A$18=TRUE,OR(H28="Yes",O28="Yes"),G28&lt;$G$2,$K$2-T28&gt;10),ROUNDDOWN($K$2-T28,0),0)</f>
        <v>546</v>
      </c>
      <c r="V28" s="176">
        <f t="shared" si="12"/>
        <v>546</v>
      </c>
      <c r="W28" s="5"/>
    </row>
    <row r="29" spans="2:23" x14ac:dyDescent="0.25">
      <c r="B29" s="72">
        <v>11500</v>
      </c>
      <c r="C29" s="19">
        <f>MAX('TANF-VIEW'!L32,'TANF-VIEW'!T32)</f>
        <v>0</v>
      </c>
      <c r="D29" s="20">
        <f t="shared" si="13"/>
        <v>958.33333333333337</v>
      </c>
      <c r="E29" s="20">
        <f>'Total income package'!$D$80</f>
        <v>0</v>
      </c>
      <c r="F29" s="20">
        <f>'Total income package'!$H$61+'Total income package'!$F$66</f>
        <v>100</v>
      </c>
      <c r="G29" s="20">
        <f t="shared" si="4"/>
        <v>1058.3333333333335</v>
      </c>
      <c r="H29" s="20" t="str">
        <f t="shared" si="0"/>
        <v>Yes</v>
      </c>
      <c r="I29" s="20">
        <f t="shared" si="1"/>
        <v>191.66666666666669</v>
      </c>
      <c r="J29" s="20">
        <f t="shared" si="2"/>
        <v>209</v>
      </c>
      <c r="K29" s="20">
        <f t="shared" si="5"/>
        <v>657.66666666666674</v>
      </c>
      <c r="L29" s="20">
        <f t="shared" si="6"/>
        <v>500</v>
      </c>
      <c r="M29" s="20">
        <f>'Total income package'!$B$69</f>
        <v>500</v>
      </c>
      <c r="N29" s="20">
        <f t="shared" si="7"/>
        <v>1000</v>
      </c>
      <c r="O29" s="344" t="str">
        <f t="shared" si="8"/>
        <v>Yes</v>
      </c>
      <c r="P29" s="20">
        <f t="shared" si="9"/>
        <v>328.83333333333337</v>
      </c>
      <c r="Q29" s="346">
        <f t="shared" si="10"/>
        <v>0</v>
      </c>
      <c r="R29" s="20">
        <f>IF(AND(D$2+$E$2&gt;0,N29-SNAP!P29&gt;0),N29-SNAP!P29,0)</f>
        <v>671.16666666666663</v>
      </c>
      <c r="S29" s="20">
        <f t="shared" si="11"/>
        <v>0</v>
      </c>
      <c r="T29" s="20">
        <f t="shared" si="3"/>
        <v>0</v>
      </c>
      <c r="U29" s="20">
        <f>IF(AND('Total income package'!$A$18=TRUE,OR(H29="Yes",O29="Yes"),G29&lt;$G$2,$K$2-T29&gt;10),ROUNDDOWN($K$2-T29,0),0)</f>
        <v>546</v>
      </c>
      <c r="V29" s="176">
        <f t="shared" si="12"/>
        <v>546</v>
      </c>
      <c r="W29" s="5"/>
    </row>
    <row r="30" spans="2:23" x14ac:dyDescent="0.25">
      <c r="B30" s="72">
        <v>12000</v>
      </c>
      <c r="C30" s="19">
        <f>MAX('TANF-VIEW'!L33,'TANF-VIEW'!T33)</f>
        <v>0</v>
      </c>
      <c r="D30" s="20">
        <f t="shared" si="13"/>
        <v>1000</v>
      </c>
      <c r="E30" s="20">
        <f>'Total income package'!$D$80</f>
        <v>0</v>
      </c>
      <c r="F30" s="20">
        <f>'Total income package'!$H$61+'Total income package'!$F$66</f>
        <v>100</v>
      </c>
      <c r="G30" s="20">
        <f t="shared" si="4"/>
        <v>1100</v>
      </c>
      <c r="H30" s="20" t="str">
        <f t="shared" si="0"/>
        <v>Yes</v>
      </c>
      <c r="I30" s="20">
        <f t="shared" si="1"/>
        <v>200</v>
      </c>
      <c r="J30" s="20">
        <f t="shared" si="2"/>
        <v>209</v>
      </c>
      <c r="K30" s="20">
        <f t="shared" si="5"/>
        <v>691</v>
      </c>
      <c r="L30" s="20">
        <f t="shared" si="6"/>
        <v>500</v>
      </c>
      <c r="M30" s="20">
        <f>'Total income package'!$B$69</f>
        <v>500</v>
      </c>
      <c r="N30" s="20">
        <f t="shared" si="7"/>
        <v>1000</v>
      </c>
      <c r="O30" s="344" t="str">
        <f t="shared" si="8"/>
        <v>Yes</v>
      </c>
      <c r="P30" s="20">
        <f t="shared" si="9"/>
        <v>345.5</v>
      </c>
      <c r="Q30" s="346">
        <f t="shared" si="10"/>
        <v>0</v>
      </c>
      <c r="R30" s="20">
        <f>IF(AND(D$2+$E$2&gt;0,N30-SNAP!P30&gt;0),N30-SNAP!P30,0)</f>
        <v>654.5</v>
      </c>
      <c r="S30" s="20">
        <f t="shared" si="11"/>
        <v>36.5</v>
      </c>
      <c r="T30" s="20">
        <f t="shared" si="3"/>
        <v>10.95</v>
      </c>
      <c r="U30" s="20">
        <f>IF(AND('Total income package'!$A$18=TRUE,OR(H30="Yes",O30="Yes"),G30&lt;$G$2,$K$2-T30&gt;10),ROUNDDOWN($K$2-T30,0),0)</f>
        <v>535</v>
      </c>
      <c r="V30" s="176">
        <f t="shared" si="12"/>
        <v>535</v>
      </c>
      <c r="W30" s="5"/>
    </row>
    <row r="31" spans="2:23" x14ac:dyDescent="0.25">
      <c r="B31" s="72">
        <v>12500</v>
      </c>
      <c r="C31" s="19">
        <f>MAX('TANF-VIEW'!L34,'TANF-VIEW'!T34)</f>
        <v>0</v>
      </c>
      <c r="D31" s="20">
        <f t="shared" si="13"/>
        <v>1041.6666666666667</v>
      </c>
      <c r="E31" s="20">
        <f>'Total income package'!$D$80</f>
        <v>0</v>
      </c>
      <c r="F31" s="20">
        <f>'Total income package'!$H$61+'Total income package'!$F$66</f>
        <v>100</v>
      </c>
      <c r="G31" s="20">
        <f t="shared" si="4"/>
        <v>1141.6666666666667</v>
      </c>
      <c r="H31" s="20" t="str">
        <f t="shared" si="0"/>
        <v>Yes</v>
      </c>
      <c r="I31" s="20">
        <f t="shared" si="1"/>
        <v>208.33333333333337</v>
      </c>
      <c r="J31" s="20">
        <f t="shared" si="2"/>
        <v>209</v>
      </c>
      <c r="K31" s="20">
        <f t="shared" si="5"/>
        <v>724.33333333333337</v>
      </c>
      <c r="L31" s="20">
        <f t="shared" si="6"/>
        <v>500</v>
      </c>
      <c r="M31" s="20">
        <f>'Total income package'!$B$69</f>
        <v>500</v>
      </c>
      <c r="N31" s="20">
        <f t="shared" si="7"/>
        <v>1000</v>
      </c>
      <c r="O31" s="344" t="str">
        <f t="shared" si="8"/>
        <v>Yes</v>
      </c>
      <c r="P31" s="20">
        <f t="shared" si="9"/>
        <v>362.16666666666669</v>
      </c>
      <c r="Q31" s="346">
        <f t="shared" si="10"/>
        <v>0</v>
      </c>
      <c r="R31" s="20">
        <f>IF(AND(D$2+$E$2&gt;0,N31-SNAP!P31&gt;0),N31-SNAP!P31,0)</f>
        <v>637.83333333333326</v>
      </c>
      <c r="S31" s="20">
        <f t="shared" si="11"/>
        <v>86.500000000000114</v>
      </c>
      <c r="T31" s="20">
        <f t="shared" si="3"/>
        <v>25.950000000000035</v>
      </c>
      <c r="U31" s="20">
        <f>IF(AND('Total income package'!$A$18=TRUE,OR(H31="Yes",O31="Yes"),G31&lt;$G$2,$K$2-T31&gt;10),ROUNDDOWN($K$2-T31,0),0)</f>
        <v>520</v>
      </c>
      <c r="V31" s="176">
        <f t="shared" si="12"/>
        <v>520</v>
      </c>
      <c r="W31" s="5"/>
    </row>
    <row r="32" spans="2:23" x14ac:dyDescent="0.25">
      <c r="B32" s="72">
        <v>13000</v>
      </c>
      <c r="C32" s="19">
        <f>MAX('TANF-VIEW'!L35,'TANF-VIEW'!T35)</f>
        <v>0</v>
      </c>
      <c r="D32" s="20">
        <f t="shared" si="13"/>
        <v>1083.3333333333333</v>
      </c>
      <c r="E32" s="20">
        <f>'Total income package'!$D$80</f>
        <v>0</v>
      </c>
      <c r="F32" s="20">
        <f>'Total income package'!$H$61+'Total income package'!$F$66</f>
        <v>100</v>
      </c>
      <c r="G32" s="20">
        <f t="shared" si="4"/>
        <v>1183.3333333333333</v>
      </c>
      <c r="H32" s="20" t="str">
        <f t="shared" si="0"/>
        <v>Yes</v>
      </c>
      <c r="I32" s="20">
        <f t="shared" si="1"/>
        <v>216.66666666666666</v>
      </c>
      <c r="J32" s="20">
        <f t="shared" si="2"/>
        <v>209</v>
      </c>
      <c r="K32" s="20">
        <f t="shared" si="5"/>
        <v>757.66666666666663</v>
      </c>
      <c r="L32" s="20">
        <f t="shared" si="6"/>
        <v>500</v>
      </c>
      <c r="M32" s="20">
        <f>'Total income package'!$B$69</f>
        <v>500</v>
      </c>
      <c r="N32" s="20">
        <f t="shared" si="7"/>
        <v>1000</v>
      </c>
      <c r="O32" s="344" t="str">
        <f t="shared" si="8"/>
        <v>Yes</v>
      </c>
      <c r="P32" s="20">
        <f t="shared" si="9"/>
        <v>378.83333333333331</v>
      </c>
      <c r="Q32" s="346">
        <f t="shared" si="10"/>
        <v>0</v>
      </c>
      <c r="R32" s="20">
        <f>IF(AND(D$2+$E$2&gt;0,N32-SNAP!P32&gt;0),N32-SNAP!P32,0)</f>
        <v>621.16666666666674</v>
      </c>
      <c r="S32" s="20">
        <f t="shared" si="11"/>
        <v>136.49999999999989</v>
      </c>
      <c r="T32" s="20">
        <f t="shared" si="3"/>
        <v>40.949999999999967</v>
      </c>
      <c r="U32" s="20">
        <f>IF(AND('Total income package'!$A$18=TRUE,OR(H32="Yes",O32="Yes"),G32&lt;$G$2,$K$2-T32&gt;10),ROUNDDOWN($K$2-T32,0),0)</f>
        <v>505</v>
      </c>
      <c r="V32" s="176">
        <f t="shared" si="12"/>
        <v>505</v>
      </c>
      <c r="W32" s="5"/>
    </row>
    <row r="33" spans="2:23" x14ac:dyDescent="0.25">
      <c r="B33" s="72">
        <v>13500</v>
      </c>
      <c r="C33" s="19">
        <f>MAX('TANF-VIEW'!L36,'TANF-VIEW'!T36)</f>
        <v>0</v>
      </c>
      <c r="D33" s="20">
        <f t="shared" si="13"/>
        <v>1125</v>
      </c>
      <c r="E33" s="20">
        <f>'Total income package'!$D$80</f>
        <v>0</v>
      </c>
      <c r="F33" s="20">
        <f>'Total income package'!$H$61+'Total income package'!$F$66</f>
        <v>100</v>
      </c>
      <c r="G33" s="20">
        <f t="shared" si="4"/>
        <v>1225</v>
      </c>
      <c r="H33" s="20" t="str">
        <f t="shared" si="0"/>
        <v>Yes</v>
      </c>
      <c r="I33" s="20">
        <f t="shared" si="1"/>
        <v>225</v>
      </c>
      <c r="J33" s="20">
        <f t="shared" si="2"/>
        <v>209</v>
      </c>
      <c r="K33" s="20">
        <f t="shared" si="5"/>
        <v>791</v>
      </c>
      <c r="L33" s="20">
        <f t="shared" si="6"/>
        <v>500</v>
      </c>
      <c r="M33" s="20">
        <f>'Total income package'!$B$69</f>
        <v>500</v>
      </c>
      <c r="N33" s="20">
        <f t="shared" si="7"/>
        <v>1000</v>
      </c>
      <c r="O33" s="344" t="str">
        <f t="shared" si="8"/>
        <v>Yes</v>
      </c>
      <c r="P33" s="20">
        <f t="shared" si="9"/>
        <v>395.5</v>
      </c>
      <c r="Q33" s="346">
        <f t="shared" si="10"/>
        <v>0</v>
      </c>
      <c r="R33" s="20">
        <f>IF(AND(D$2+$E$2&gt;0,N33-SNAP!P33&gt;0),N33-SNAP!P33,0)</f>
        <v>604.5</v>
      </c>
      <c r="S33" s="20">
        <f t="shared" si="11"/>
        <v>186.5</v>
      </c>
      <c r="T33" s="20">
        <f t="shared" si="3"/>
        <v>55.949999999999996</v>
      </c>
      <c r="U33" s="20">
        <f>IF(AND('Total income package'!$A$18=TRUE,OR(H33="Yes",O33="Yes"),G33&lt;$G$2,$K$2-T33&gt;10),ROUNDDOWN($K$2-T33,0),0)</f>
        <v>490</v>
      </c>
      <c r="V33" s="176">
        <f t="shared" si="12"/>
        <v>490</v>
      </c>
      <c r="W33" s="5"/>
    </row>
    <row r="34" spans="2:23" x14ac:dyDescent="0.25">
      <c r="B34" s="72">
        <v>14000</v>
      </c>
      <c r="C34" s="19">
        <f>MAX('TANF-VIEW'!L37,'TANF-VIEW'!T37)</f>
        <v>0</v>
      </c>
      <c r="D34" s="20">
        <f t="shared" si="13"/>
        <v>1166.6666666666667</v>
      </c>
      <c r="E34" s="20">
        <f>'Total income package'!$D$80</f>
        <v>0</v>
      </c>
      <c r="F34" s="20">
        <f>'Total income package'!$H$61+'Total income package'!$F$66</f>
        <v>100</v>
      </c>
      <c r="G34" s="20">
        <f t="shared" si="4"/>
        <v>1266.6666666666667</v>
      </c>
      <c r="H34" s="20" t="str">
        <f t="shared" si="0"/>
        <v>Yes</v>
      </c>
      <c r="I34" s="20">
        <f t="shared" si="1"/>
        <v>233.33333333333337</v>
      </c>
      <c r="J34" s="20">
        <f t="shared" si="2"/>
        <v>209</v>
      </c>
      <c r="K34" s="20">
        <f t="shared" si="5"/>
        <v>824.33333333333348</v>
      </c>
      <c r="L34" s="20">
        <f t="shared" si="6"/>
        <v>500</v>
      </c>
      <c r="M34" s="20">
        <f>'Total income package'!$B$69</f>
        <v>500</v>
      </c>
      <c r="N34" s="20">
        <f t="shared" si="7"/>
        <v>1000</v>
      </c>
      <c r="O34" s="344" t="str">
        <f t="shared" si="8"/>
        <v>Yes</v>
      </c>
      <c r="P34" s="20">
        <f t="shared" si="9"/>
        <v>412.16666666666674</v>
      </c>
      <c r="Q34" s="346">
        <f t="shared" si="10"/>
        <v>0</v>
      </c>
      <c r="R34" s="20">
        <f>IF(AND(D$2+$E$2&gt;0,N34-SNAP!P34&gt;0),N34-SNAP!P34,0)</f>
        <v>587.83333333333326</v>
      </c>
      <c r="S34" s="20">
        <f t="shared" si="11"/>
        <v>236.50000000000023</v>
      </c>
      <c r="T34" s="20">
        <f t="shared" si="3"/>
        <v>70.95000000000006</v>
      </c>
      <c r="U34" s="20">
        <f>IF(AND('Total income package'!$A$18=TRUE,OR(H34="Yes",O34="Yes"),G34&lt;$G$2,$K$2-T34&gt;10),ROUNDDOWN($K$2-T34,0),0)</f>
        <v>475</v>
      </c>
      <c r="V34" s="176">
        <f t="shared" si="12"/>
        <v>475</v>
      </c>
      <c r="W34" s="5"/>
    </row>
    <row r="35" spans="2:23" x14ac:dyDescent="0.25">
      <c r="B35" s="72">
        <v>14500</v>
      </c>
      <c r="C35" s="19">
        <f>MAX('TANF-VIEW'!L38,'TANF-VIEW'!T38)</f>
        <v>0</v>
      </c>
      <c r="D35" s="20">
        <f t="shared" si="13"/>
        <v>1208.3333333333333</v>
      </c>
      <c r="E35" s="20">
        <f>'Total income package'!$D$80</f>
        <v>0</v>
      </c>
      <c r="F35" s="20">
        <f>'Total income package'!$H$61+'Total income package'!$F$66</f>
        <v>100</v>
      </c>
      <c r="G35" s="20">
        <f t="shared" si="4"/>
        <v>1308.3333333333333</v>
      </c>
      <c r="H35" s="20" t="str">
        <f t="shared" si="0"/>
        <v>Yes</v>
      </c>
      <c r="I35" s="20">
        <f t="shared" si="1"/>
        <v>241.66666666666666</v>
      </c>
      <c r="J35" s="20">
        <f t="shared" si="2"/>
        <v>209</v>
      </c>
      <c r="K35" s="20">
        <f t="shared" si="5"/>
        <v>857.66666666666652</v>
      </c>
      <c r="L35" s="20">
        <f t="shared" si="6"/>
        <v>500</v>
      </c>
      <c r="M35" s="20">
        <f>'Total income package'!$B$69</f>
        <v>500</v>
      </c>
      <c r="N35" s="20">
        <f t="shared" si="7"/>
        <v>1000</v>
      </c>
      <c r="O35" s="344" t="str">
        <f t="shared" si="8"/>
        <v>Yes</v>
      </c>
      <c r="P35" s="20">
        <f t="shared" si="9"/>
        <v>428.83333333333326</v>
      </c>
      <c r="Q35" s="346">
        <f t="shared" si="10"/>
        <v>0</v>
      </c>
      <c r="R35" s="20">
        <f>IF(AND(D$2+$E$2&gt;0,N35-SNAP!P35&gt;0),N35-SNAP!P35,0)</f>
        <v>571.16666666666674</v>
      </c>
      <c r="S35" s="20">
        <f t="shared" si="11"/>
        <v>286.49999999999977</v>
      </c>
      <c r="T35" s="20">
        <f t="shared" si="3"/>
        <v>85.949999999999932</v>
      </c>
      <c r="U35" s="20">
        <f>IF(AND('Total income package'!$A$18=TRUE,OR(H35="Yes",O35="Yes"),G35&lt;$G$2,$K$2-T35&gt;10),ROUNDDOWN($K$2-T35,0),0)</f>
        <v>460</v>
      </c>
      <c r="V35" s="176">
        <f t="shared" si="12"/>
        <v>460</v>
      </c>
      <c r="W35" s="5"/>
    </row>
    <row r="36" spans="2:23" x14ac:dyDescent="0.25">
      <c r="B36" s="72">
        <v>15000</v>
      </c>
      <c r="C36" s="19">
        <f>MAX('TANF-VIEW'!L39,'TANF-VIEW'!T39)</f>
        <v>0</v>
      </c>
      <c r="D36" s="20">
        <f t="shared" si="13"/>
        <v>1250</v>
      </c>
      <c r="E36" s="20">
        <f>'Total income package'!$D$80</f>
        <v>0</v>
      </c>
      <c r="F36" s="20">
        <f>'Total income package'!$H$61+'Total income package'!$F$66</f>
        <v>100</v>
      </c>
      <c r="G36" s="20">
        <f t="shared" si="4"/>
        <v>1350</v>
      </c>
      <c r="H36" s="20" t="str">
        <f t="shared" si="0"/>
        <v>Yes</v>
      </c>
      <c r="I36" s="20">
        <f t="shared" si="1"/>
        <v>250</v>
      </c>
      <c r="J36" s="20">
        <f t="shared" si="2"/>
        <v>209</v>
      </c>
      <c r="K36" s="20">
        <f t="shared" si="5"/>
        <v>891</v>
      </c>
      <c r="L36" s="20">
        <f t="shared" si="6"/>
        <v>500</v>
      </c>
      <c r="M36" s="20">
        <f>'Total income package'!$B$69</f>
        <v>500</v>
      </c>
      <c r="N36" s="20">
        <f t="shared" si="7"/>
        <v>1000</v>
      </c>
      <c r="O36" s="344" t="str">
        <f t="shared" si="8"/>
        <v>Yes</v>
      </c>
      <c r="P36" s="20">
        <f t="shared" si="9"/>
        <v>445.5</v>
      </c>
      <c r="Q36" s="346">
        <f t="shared" si="10"/>
        <v>0</v>
      </c>
      <c r="R36" s="20">
        <f>IF(AND(D$2+$E$2&gt;0,N36-SNAP!P36&gt;0),N36-SNAP!P36,0)</f>
        <v>554.5</v>
      </c>
      <c r="S36" s="20">
        <f t="shared" si="11"/>
        <v>336.5</v>
      </c>
      <c r="T36" s="20">
        <f t="shared" si="3"/>
        <v>100.95</v>
      </c>
      <c r="U36" s="20">
        <f>IF(AND('Total income package'!$A$18=TRUE,OR(H36="Yes",O36="Yes"),G36&lt;$G$2,$K$2-T36&gt;10),ROUNDDOWN($K$2-T36,0),0)</f>
        <v>445</v>
      </c>
      <c r="V36" s="176">
        <f t="shared" si="12"/>
        <v>445</v>
      </c>
      <c r="W36" s="5"/>
    </row>
    <row r="37" spans="2:23" x14ac:dyDescent="0.25">
      <c r="B37" s="72">
        <v>15500</v>
      </c>
      <c r="C37" s="19">
        <f>MAX('TANF-VIEW'!L40,'TANF-VIEW'!T40)</f>
        <v>0</v>
      </c>
      <c r="D37" s="20">
        <f t="shared" si="13"/>
        <v>1291.6666666666667</v>
      </c>
      <c r="E37" s="20">
        <f>'Total income package'!$D$80</f>
        <v>0</v>
      </c>
      <c r="F37" s="20">
        <f>'Total income package'!$H$61+'Total income package'!$F$66</f>
        <v>100</v>
      </c>
      <c r="G37" s="20">
        <f t="shared" si="4"/>
        <v>1391.6666666666667</v>
      </c>
      <c r="H37" s="20" t="str">
        <f t="shared" si="0"/>
        <v>Yes</v>
      </c>
      <c r="I37" s="20">
        <f t="shared" si="1"/>
        <v>258.33333333333337</v>
      </c>
      <c r="J37" s="20">
        <f t="shared" si="2"/>
        <v>209</v>
      </c>
      <c r="K37" s="20">
        <f t="shared" si="5"/>
        <v>924.33333333333348</v>
      </c>
      <c r="L37" s="20">
        <f t="shared" si="6"/>
        <v>500</v>
      </c>
      <c r="M37" s="20">
        <f>'Total income package'!$B$69</f>
        <v>500</v>
      </c>
      <c r="N37" s="20">
        <f t="shared" si="7"/>
        <v>1000</v>
      </c>
      <c r="O37" s="344" t="str">
        <f t="shared" si="8"/>
        <v>Yes</v>
      </c>
      <c r="P37" s="20">
        <f t="shared" si="9"/>
        <v>462.16666666666674</v>
      </c>
      <c r="Q37" s="346">
        <f t="shared" si="10"/>
        <v>0</v>
      </c>
      <c r="R37" s="20">
        <f>IF(AND(D$2+$E$2&gt;0,N37-SNAP!P37&gt;0),N37-SNAP!P37,0)</f>
        <v>537.83333333333326</v>
      </c>
      <c r="S37" s="20">
        <f t="shared" si="11"/>
        <v>386.50000000000023</v>
      </c>
      <c r="T37" s="20">
        <f t="shared" si="3"/>
        <v>115.95000000000006</v>
      </c>
      <c r="U37" s="20">
        <f>IF(AND('Total income package'!$A$18=TRUE,OR(H37="Yes",O37="Yes"),G37&lt;$G$2,$K$2-T37&gt;10),ROUNDDOWN($K$2-T37,0),0)</f>
        <v>430</v>
      </c>
      <c r="V37" s="176">
        <f t="shared" si="12"/>
        <v>430</v>
      </c>
      <c r="W37" s="5"/>
    </row>
    <row r="38" spans="2:23" x14ac:dyDescent="0.25">
      <c r="B38" s="72">
        <v>16000</v>
      </c>
      <c r="C38" s="19">
        <f>MAX('TANF-VIEW'!L41,'TANF-VIEW'!T41)</f>
        <v>0</v>
      </c>
      <c r="D38" s="20">
        <f t="shared" si="13"/>
        <v>1333.3333333333333</v>
      </c>
      <c r="E38" s="20">
        <f>'Total income package'!$D$80</f>
        <v>0</v>
      </c>
      <c r="F38" s="20">
        <f>'Total income package'!$H$61+'Total income package'!$F$66</f>
        <v>100</v>
      </c>
      <c r="G38" s="20">
        <f t="shared" si="4"/>
        <v>1433.3333333333333</v>
      </c>
      <c r="H38" s="20" t="str">
        <f t="shared" si="0"/>
        <v>Yes</v>
      </c>
      <c r="I38" s="20">
        <f t="shared" si="1"/>
        <v>266.66666666666669</v>
      </c>
      <c r="J38" s="20">
        <f t="shared" si="2"/>
        <v>209</v>
      </c>
      <c r="K38" s="20">
        <f t="shared" si="5"/>
        <v>957.66666666666652</v>
      </c>
      <c r="L38" s="20">
        <f t="shared" si="6"/>
        <v>500</v>
      </c>
      <c r="M38" s="20">
        <f>'Total income package'!$B$69</f>
        <v>500</v>
      </c>
      <c r="N38" s="20">
        <f t="shared" si="7"/>
        <v>1000</v>
      </c>
      <c r="O38" s="344" t="str">
        <f t="shared" si="8"/>
        <v>Yes</v>
      </c>
      <c r="P38" s="20">
        <f t="shared" si="9"/>
        <v>478.83333333333326</v>
      </c>
      <c r="Q38" s="346">
        <f t="shared" si="10"/>
        <v>0</v>
      </c>
      <c r="R38" s="20">
        <f>IF(AND(D$2+$E$2&gt;0,N38-SNAP!P38&gt;0),N38-SNAP!P38,0)</f>
        <v>521.16666666666674</v>
      </c>
      <c r="S38" s="20">
        <f t="shared" si="11"/>
        <v>436.49999999999977</v>
      </c>
      <c r="T38" s="20">
        <f t="shared" si="3"/>
        <v>130.94999999999993</v>
      </c>
      <c r="U38" s="20">
        <f>IF(AND('Total income package'!$A$18=TRUE,OR(H38="Yes",O38="Yes"),G38&lt;$G$2,$K$2-T38&gt;10),ROUNDDOWN($K$2-T38,0),0)</f>
        <v>415</v>
      </c>
      <c r="V38" s="176">
        <f t="shared" si="12"/>
        <v>415</v>
      </c>
      <c r="W38" s="5"/>
    </row>
    <row r="39" spans="2:23" x14ac:dyDescent="0.25">
      <c r="B39" s="72">
        <v>16500</v>
      </c>
      <c r="C39" s="19">
        <f>MAX('TANF-VIEW'!L42,'TANF-VIEW'!T42)</f>
        <v>0</v>
      </c>
      <c r="D39" s="20">
        <f t="shared" si="13"/>
        <v>1375</v>
      </c>
      <c r="E39" s="20">
        <f>'Total income package'!$D$80</f>
        <v>0</v>
      </c>
      <c r="F39" s="20">
        <f>'Total income package'!$H$61+'Total income package'!$F$66</f>
        <v>100</v>
      </c>
      <c r="G39" s="20">
        <f t="shared" si="4"/>
        <v>1475</v>
      </c>
      <c r="H39" s="20" t="str">
        <f t="shared" si="0"/>
        <v>Yes</v>
      </c>
      <c r="I39" s="20">
        <f t="shared" si="1"/>
        <v>275</v>
      </c>
      <c r="J39" s="20">
        <f t="shared" si="2"/>
        <v>209</v>
      </c>
      <c r="K39" s="20">
        <f t="shared" si="5"/>
        <v>991</v>
      </c>
      <c r="L39" s="20">
        <f t="shared" si="6"/>
        <v>500</v>
      </c>
      <c r="M39" s="20">
        <f>'Total income package'!$B$69</f>
        <v>500</v>
      </c>
      <c r="N39" s="20">
        <f t="shared" si="7"/>
        <v>1000</v>
      </c>
      <c r="O39" s="344" t="str">
        <f t="shared" si="8"/>
        <v>Yes</v>
      </c>
      <c r="P39" s="20">
        <f t="shared" si="9"/>
        <v>495.5</v>
      </c>
      <c r="Q39" s="346">
        <f t="shared" si="10"/>
        <v>0</v>
      </c>
      <c r="R39" s="20">
        <f>IF(AND(D$2+$E$2&gt;0,N39-SNAP!P39&gt;0),N39-SNAP!P39,0)</f>
        <v>504.5</v>
      </c>
      <c r="S39" s="20">
        <f t="shared" si="11"/>
        <v>486.5</v>
      </c>
      <c r="T39" s="20">
        <f t="shared" si="3"/>
        <v>145.94999999999999</v>
      </c>
      <c r="U39" s="20">
        <f>IF(AND('Total income package'!$A$18=TRUE,OR(H39="Yes",O39="Yes"),G39&lt;$G$2,$K$2-T39&gt;10),ROUNDDOWN($K$2-T39,0),0)</f>
        <v>400</v>
      </c>
      <c r="V39" s="176">
        <f t="shared" si="12"/>
        <v>400</v>
      </c>
      <c r="W39" s="5"/>
    </row>
    <row r="40" spans="2:23" x14ac:dyDescent="0.25">
      <c r="B40" s="72">
        <v>17000</v>
      </c>
      <c r="C40" s="19">
        <f>MAX('TANF-VIEW'!L43,'TANF-VIEW'!T43)</f>
        <v>0</v>
      </c>
      <c r="D40" s="20">
        <f t="shared" si="13"/>
        <v>1416.6666666666667</v>
      </c>
      <c r="E40" s="20">
        <f>'Total income package'!$D$80</f>
        <v>0</v>
      </c>
      <c r="F40" s="20">
        <f>'Total income package'!$H$61+'Total income package'!$F$66</f>
        <v>100</v>
      </c>
      <c r="G40" s="20">
        <f t="shared" si="4"/>
        <v>1516.6666666666667</v>
      </c>
      <c r="H40" s="20" t="str">
        <f t="shared" si="0"/>
        <v>Yes</v>
      </c>
      <c r="I40" s="20">
        <f t="shared" si="1"/>
        <v>283.33333333333337</v>
      </c>
      <c r="J40" s="20">
        <f t="shared" si="2"/>
        <v>209</v>
      </c>
      <c r="K40" s="20">
        <f t="shared" si="5"/>
        <v>1024.3333333333335</v>
      </c>
      <c r="L40" s="20">
        <f t="shared" si="6"/>
        <v>500</v>
      </c>
      <c r="M40" s="20">
        <f>'Total income package'!$B$69</f>
        <v>500</v>
      </c>
      <c r="N40" s="20">
        <f t="shared" si="7"/>
        <v>1000</v>
      </c>
      <c r="O40" s="344" t="str">
        <f t="shared" si="8"/>
        <v>Yes</v>
      </c>
      <c r="P40" s="20">
        <f t="shared" si="9"/>
        <v>512.16666666666674</v>
      </c>
      <c r="Q40" s="346">
        <f t="shared" si="10"/>
        <v>0</v>
      </c>
      <c r="R40" s="20">
        <f>IF(AND(D$2+$E$2&gt;0,N40-SNAP!P40&gt;0),N40-SNAP!P40,0)</f>
        <v>487.83333333333326</v>
      </c>
      <c r="S40" s="20">
        <f t="shared" si="11"/>
        <v>536.50000000000023</v>
      </c>
      <c r="T40" s="20">
        <f t="shared" si="3"/>
        <v>160.95000000000007</v>
      </c>
      <c r="U40" s="20">
        <f>IF(AND('Total income package'!$A$18=TRUE,OR(H40="Yes",O40="Yes"),G40&lt;$G$2,$K$2-T40&gt;10),ROUNDDOWN($K$2-T40,0),0)</f>
        <v>385</v>
      </c>
      <c r="V40" s="176">
        <f t="shared" si="12"/>
        <v>385</v>
      </c>
      <c r="W40" s="5"/>
    </row>
    <row r="41" spans="2:23" x14ac:dyDescent="0.25">
      <c r="B41" s="72">
        <v>17500</v>
      </c>
      <c r="C41" s="19">
        <f>MAX('TANF-VIEW'!L44,'TANF-VIEW'!T44)</f>
        <v>0</v>
      </c>
      <c r="D41" s="20">
        <f t="shared" si="13"/>
        <v>1458.3333333333333</v>
      </c>
      <c r="E41" s="20">
        <f>'Total income package'!$D$80</f>
        <v>0</v>
      </c>
      <c r="F41" s="20">
        <f>'Total income package'!$H$61+'Total income package'!$F$66</f>
        <v>100</v>
      </c>
      <c r="G41" s="20">
        <f t="shared" si="4"/>
        <v>1558.3333333333333</v>
      </c>
      <c r="H41" s="20" t="str">
        <f t="shared" si="0"/>
        <v>Yes</v>
      </c>
      <c r="I41" s="20">
        <f t="shared" si="1"/>
        <v>291.66666666666669</v>
      </c>
      <c r="J41" s="20">
        <f t="shared" si="2"/>
        <v>209</v>
      </c>
      <c r="K41" s="20">
        <f t="shared" si="5"/>
        <v>1057.6666666666665</v>
      </c>
      <c r="L41" s="20">
        <f t="shared" si="6"/>
        <v>500</v>
      </c>
      <c r="M41" s="20">
        <f>'Total income package'!$B$69</f>
        <v>500</v>
      </c>
      <c r="N41" s="20">
        <f t="shared" si="7"/>
        <v>1000</v>
      </c>
      <c r="O41" s="344" t="str">
        <f t="shared" si="8"/>
        <v>Yes</v>
      </c>
      <c r="P41" s="20">
        <f t="shared" si="9"/>
        <v>528.83333333333326</v>
      </c>
      <c r="Q41" s="346">
        <f t="shared" si="10"/>
        <v>0</v>
      </c>
      <c r="R41" s="20">
        <f>IF(AND(D$2+$E$2&gt;0,N41-SNAP!P41&gt;0),N41-SNAP!P41,0)</f>
        <v>471.16666666666674</v>
      </c>
      <c r="S41" s="20">
        <f t="shared" si="11"/>
        <v>586.49999999999977</v>
      </c>
      <c r="T41" s="20">
        <f t="shared" si="3"/>
        <v>175.94999999999993</v>
      </c>
      <c r="U41" s="20">
        <f>IF(AND('Total income package'!$A$18=TRUE,OR(H41="Yes",O41="Yes"),G41&lt;$G$2,$K$2-T41&gt;10),ROUNDDOWN($K$2-T41,0),0)</f>
        <v>370</v>
      </c>
      <c r="V41" s="176">
        <f t="shared" si="12"/>
        <v>370</v>
      </c>
      <c r="W41" s="5"/>
    </row>
    <row r="42" spans="2:23" x14ac:dyDescent="0.25">
      <c r="B42" s="72">
        <v>18000</v>
      </c>
      <c r="C42" s="19">
        <f>MAX('TANF-VIEW'!L45,'TANF-VIEW'!T45)</f>
        <v>0</v>
      </c>
      <c r="D42" s="20">
        <f t="shared" si="13"/>
        <v>1500</v>
      </c>
      <c r="E42" s="20">
        <f>'Total income package'!$D$80</f>
        <v>0</v>
      </c>
      <c r="F42" s="20">
        <f>'Total income package'!$H$61+'Total income package'!$F$66</f>
        <v>100</v>
      </c>
      <c r="G42" s="20">
        <f t="shared" si="4"/>
        <v>1600</v>
      </c>
      <c r="H42" s="20" t="str">
        <f t="shared" si="0"/>
        <v>Yes</v>
      </c>
      <c r="I42" s="20">
        <f t="shared" si="1"/>
        <v>300</v>
      </c>
      <c r="J42" s="20">
        <f t="shared" si="2"/>
        <v>209</v>
      </c>
      <c r="K42" s="20">
        <f t="shared" si="5"/>
        <v>1091</v>
      </c>
      <c r="L42" s="20">
        <f t="shared" si="6"/>
        <v>500</v>
      </c>
      <c r="M42" s="20">
        <f>'Total income package'!$B$69</f>
        <v>500</v>
      </c>
      <c r="N42" s="20">
        <f t="shared" si="7"/>
        <v>1000</v>
      </c>
      <c r="O42" s="344" t="str">
        <f t="shared" si="8"/>
        <v>Yes</v>
      </c>
      <c r="P42" s="20">
        <f t="shared" si="9"/>
        <v>545.5</v>
      </c>
      <c r="Q42" s="346">
        <f t="shared" si="10"/>
        <v>0</v>
      </c>
      <c r="R42" s="20">
        <f>IF(AND(D$2+$E$2&gt;0,N42-SNAP!P42&gt;0),N42-SNAP!P42,0)</f>
        <v>454.5</v>
      </c>
      <c r="S42" s="20">
        <f t="shared" si="11"/>
        <v>636.5</v>
      </c>
      <c r="T42" s="20">
        <f t="shared" si="3"/>
        <v>190.95</v>
      </c>
      <c r="U42" s="20">
        <f>IF(AND('Total income package'!$A$18=TRUE,OR(H42="Yes",O42="Yes"),G42&lt;$G$2,$K$2-T42&gt;10),ROUNDDOWN($K$2-T42,0),0)</f>
        <v>355</v>
      </c>
      <c r="V42" s="176">
        <f t="shared" si="12"/>
        <v>355</v>
      </c>
      <c r="W42" s="5"/>
    </row>
    <row r="43" spans="2:23" x14ac:dyDescent="0.25">
      <c r="B43" s="72">
        <v>18500</v>
      </c>
      <c r="C43" s="19">
        <f>MAX('TANF-VIEW'!L46,'TANF-VIEW'!T46)</f>
        <v>0</v>
      </c>
      <c r="D43" s="20">
        <f t="shared" si="13"/>
        <v>1541.6666666666667</v>
      </c>
      <c r="E43" s="20">
        <f>'Total income package'!$D$80</f>
        <v>0</v>
      </c>
      <c r="F43" s="20">
        <f>'Total income package'!$H$61+'Total income package'!$F$66</f>
        <v>100</v>
      </c>
      <c r="G43" s="20">
        <f t="shared" si="4"/>
        <v>1641.6666666666667</v>
      </c>
      <c r="H43" s="20" t="str">
        <f t="shared" si="0"/>
        <v>Yes</v>
      </c>
      <c r="I43" s="20">
        <f t="shared" si="1"/>
        <v>308.33333333333337</v>
      </c>
      <c r="J43" s="20">
        <f t="shared" si="2"/>
        <v>209</v>
      </c>
      <c r="K43" s="20">
        <f t="shared" si="5"/>
        <v>1124.3333333333335</v>
      </c>
      <c r="L43" s="20">
        <f t="shared" si="6"/>
        <v>500</v>
      </c>
      <c r="M43" s="20">
        <f>'Total income package'!$B$69</f>
        <v>500</v>
      </c>
      <c r="N43" s="20">
        <f t="shared" si="7"/>
        <v>1000</v>
      </c>
      <c r="O43" s="344" t="str">
        <f t="shared" si="8"/>
        <v>Yes</v>
      </c>
      <c r="P43" s="20">
        <f t="shared" si="9"/>
        <v>562.16666666666674</v>
      </c>
      <c r="Q43" s="346">
        <f t="shared" si="10"/>
        <v>0</v>
      </c>
      <c r="R43" s="20">
        <f>IF(AND(D$2+$E$2&gt;0,N43-SNAP!P43&gt;0),N43-SNAP!P43,0)</f>
        <v>437.83333333333326</v>
      </c>
      <c r="S43" s="20">
        <f t="shared" si="11"/>
        <v>686.50000000000023</v>
      </c>
      <c r="T43" s="20">
        <f t="shared" si="3"/>
        <v>205.95000000000007</v>
      </c>
      <c r="U43" s="20">
        <f>IF(AND('Total income package'!$A$18=TRUE,OR(H43="Yes",O43="Yes"),G43&lt;$G$2,$K$2-T43&gt;10),ROUNDDOWN($K$2-T43,0),0)</f>
        <v>340</v>
      </c>
      <c r="V43" s="176">
        <f t="shared" si="12"/>
        <v>340</v>
      </c>
      <c r="W43" s="5"/>
    </row>
    <row r="44" spans="2:23" x14ac:dyDescent="0.25">
      <c r="B44" s="72">
        <v>19000</v>
      </c>
      <c r="C44" s="19">
        <f>MAX('TANF-VIEW'!L47,'TANF-VIEW'!T47)</f>
        <v>0</v>
      </c>
      <c r="D44" s="20">
        <f t="shared" si="13"/>
        <v>1583.3333333333333</v>
      </c>
      <c r="E44" s="20">
        <f>'Total income package'!$D$80</f>
        <v>0</v>
      </c>
      <c r="F44" s="20">
        <f>'Total income package'!$H$61+'Total income package'!$F$66</f>
        <v>100</v>
      </c>
      <c r="G44" s="20">
        <f t="shared" si="4"/>
        <v>1683.3333333333333</v>
      </c>
      <c r="H44" s="20" t="str">
        <f t="shared" si="0"/>
        <v>Yes</v>
      </c>
      <c r="I44" s="20">
        <f t="shared" si="1"/>
        <v>316.66666666666669</v>
      </c>
      <c r="J44" s="20">
        <f t="shared" si="2"/>
        <v>209</v>
      </c>
      <c r="K44" s="20">
        <f t="shared" si="5"/>
        <v>1157.6666666666665</v>
      </c>
      <c r="L44" s="20">
        <f t="shared" si="6"/>
        <v>500</v>
      </c>
      <c r="M44" s="20">
        <f>'Total income package'!$B$69</f>
        <v>500</v>
      </c>
      <c r="N44" s="20">
        <f t="shared" si="7"/>
        <v>1000</v>
      </c>
      <c r="O44" s="344" t="str">
        <f t="shared" si="8"/>
        <v>Yes</v>
      </c>
      <c r="P44" s="20">
        <f t="shared" si="9"/>
        <v>578.83333333333326</v>
      </c>
      <c r="Q44" s="346">
        <f t="shared" si="10"/>
        <v>0</v>
      </c>
      <c r="R44" s="20">
        <f>IF(AND(D$2+$E$2&gt;0,N44-SNAP!P44&gt;0),N44-SNAP!P44,0)</f>
        <v>421.16666666666674</v>
      </c>
      <c r="S44" s="20">
        <f t="shared" si="11"/>
        <v>736.49999999999977</v>
      </c>
      <c r="T44" s="20">
        <f t="shared" si="3"/>
        <v>220.94999999999993</v>
      </c>
      <c r="U44" s="20">
        <f>IF(AND('Total income package'!$A$18=TRUE,OR(H44="Yes",O44="Yes"),G44&lt;$G$2,$K$2-T44&gt;10),ROUNDDOWN($K$2-T44,0),0)</f>
        <v>325</v>
      </c>
      <c r="V44" s="176">
        <f t="shared" si="12"/>
        <v>325</v>
      </c>
      <c r="W44" s="5"/>
    </row>
    <row r="45" spans="2:23" x14ac:dyDescent="0.25">
      <c r="B45" s="72">
        <v>19500</v>
      </c>
      <c r="C45" s="19">
        <f>MAX('TANF-VIEW'!L48,'TANF-VIEW'!T48)</f>
        <v>0</v>
      </c>
      <c r="D45" s="20">
        <f t="shared" si="13"/>
        <v>1625</v>
      </c>
      <c r="E45" s="20">
        <f>'Total income package'!$D$80</f>
        <v>0</v>
      </c>
      <c r="F45" s="20">
        <f>'Total income package'!$H$61+'Total income package'!$F$66</f>
        <v>100</v>
      </c>
      <c r="G45" s="20">
        <f t="shared" si="4"/>
        <v>1725</v>
      </c>
      <c r="H45" s="20" t="str">
        <f t="shared" si="0"/>
        <v>Yes</v>
      </c>
      <c r="I45" s="20">
        <f t="shared" si="1"/>
        <v>325</v>
      </c>
      <c r="J45" s="20">
        <f t="shared" si="2"/>
        <v>209</v>
      </c>
      <c r="K45" s="20">
        <f t="shared" si="5"/>
        <v>1191</v>
      </c>
      <c r="L45" s="20">
        <f t="shared" si="6"/>
        <v>500</v>
      </c>
      <c r="M45" s="20">
        <f>'Total income package'!$B$69</f>
        <v>500</v>
      </c>
      <c r="N45" s="20">
        <f t="shared" si="7"/>
        <v>1000</v>
      </c>
      <c r="O45" s="344" t="str">
        <f t="shared" si="8"/>
        <v>Yes</v>
      </c>
      <c r="P45" s="20">
        <f t="shared" si="9"/>
        <v>595.5</v>
      </c>
      <c r="Q45" s="346">
        <f t="shared" si="10"/>
        <v>0</v>
      </c>
      <c r="R45" s="20">
        <f>IF(AND(D$2+$E$2&gt;0,N45-SNAP!P45&gt;0),N45-SNAP!P45,0)</f>
        <v>404.5</v>
      </c>
      <c r="S45" s="20">
        <f t="shared" si="11"/>
        <v>786.5</v>
      </c>
      <c r="T45" s="20">
        <f t="shared" si="3"/>
        <v>235.95</v>
      </c>
      <c r="U45" s="20">
        <f>IF(AND('Total income package'!$A$18=TRUE,OR(H45="Yes",O45="Yes"),G45&lt;$G$2,$K$2-T45&gt;10),ROUNDDOWN($K$2-T45,0),0)</f>
        <v>310</v>
      </c>
      <c r="V45" s="176">
        <f t="shared" si="12"/>
        <v>310</v>
      </c>
      <c r="W45" s="5"/>
    </row>
    <row r="46" spans="2:23" x14ac:dyDescent="0.25">
      <c r="B46" s="72">
        <v>20000</v>
      </c>
      <c r="C46" s="19">
        <f>MAX('TANF-VIEW'!L49,'TANF-VIEW'!T49)</f>
        <v>0</v>
      </c>
      <c r="D46" s="20">
        <f t="shared" si="13"/>
        <v>1666.6666666666667</v>
      </c>
      <c r="E46" s="20">
        <f>'Total income package'!$D$80</f>
        <v>0</v>
      </c>
      <c r="F46" s="20">
        <f>'Total income package'!$H$61+'Total income package'!$F$66</f>
        <v>100</v>
      </c>
      <c r="G46" s="20">
        <f t="shared" si="4"/>
        <v>1766.6666666666667</v>
      </c>
      <c r="H46" s="20" t="str">
        <f t="shared" si="0"/>
        <v>Yes</v>
      </c>
      <c r="I46" s="20">
        <f t="shared" si="1"/>
        <v>333.33333333333337</v>
      </c>
      <c r="J46" s="20">
        <f t="shared" si="2"/>
        <v>209</v>
      </c>
      <c r="K46" s="20">
        <f t="shared" si="5"/>
        <v>1224.3333333333335</v>
      </c>
      <c r="L46" s="20">
        <f t="shared" si="6"/>
        <v>500</v>
      </c>
      <c r="M46" s="20">
        <f>'Total income package'!$B$69</f>
        <v>500</v>
      </c>
      <c r="N46" s="20">
        <f t="shared" si="7"/>
        <v>1000</v>
      </c>
      <c r="O46" s="344" t="str">
        <f t="shared" si="8"/>
        <v>Yes</v>
      </c>
      <c r="P46" s="20">
        <f t="shared" si="9"/>
        <v>612.16666666666674</v>
      </c>
      <c r="Q46" s="346">
        <f t="shared" si="10"/>
        <v>0</v>
      </c>
      <c r="R46" s="20">
        <f>IF(AND(D$2+$E$2&gt;0,N46-SNAP!P46&gt;0),N46-SNAP!P46,0)</f>
        <v>387.83333333333326</v>
      </c>
      <c r="S46" s="20">
        <f t="shared" si="11"/>
        <v>836.50000000000023</v>
      </c>
      <c r="T46" s="20">
        <f t="shared" si="3"/>
        <v>250.95000000000005</v>
      </c>
      <c r="U46" s="20">
        <f>IF(AND('Total income package'!$A$18=TRUE,OR(H46="Yes",O46="Yes"),G46&lt;$G$2,$K$2-T46&gt;10),ROUNDDOWN($K$2-T46,0),0)</f>
        <v>295</v>
      </c>
      <c r="V46" s="176">
        <f t="shared" si="12"/>
        <v>295</v>
      </c>
      <c r="W46" s="5"/>
    </row>
    <row r="47" spans="2:23" x14ac:dyDescent="0.25">
      <c r="B47" s="72">
        <v>20500</v>
      </c>
      <c r="C47" s="19">
        <f>MAX('TANF-VIEW'!L50,'TANF-VIEW'!T50)</f>
        <v>0</v>
      </c>
      <c r="D47" s="20">
        <f t="shared" si="13"/>
        <v>1708.3333333333333</v>
      </c>
      <c r="E47" s="20">
        <f>'Total income package'!$D$80</f>
        <v>0</v>
      </c>
      <c r="F47" s="20">
        <f>'Total income package'!$H$61+'Total income package'!$F$66</f>
        <v>100</v>
      </c>
      <c r="G47" s="20">
        <f t="shared" si="4"/>
        <v>1808.3333333333333</v>
      </c>
      <c r="H47" s="20" t="str">
        <f t="shared" si="0"/>
        <v>Yes</v>
      </c>
      <c r="I47" s="20">
        <f t="shared" si="1"/>
        <v>341.66666666666669</v>
      </c>
      <c r="J47" s="20">
        <f t="shared" si="2"/>
        <v>209</v>
      </c>
      <c r="K47" s="20">
        <f t="shared" si="5"/>
        <v>1257.6666666666665</v>
      </c>
      <c r="L47" s="20">
        <f t="shared" si="6"/>
        <v>500</v>
      </c>
      <c r="M47" s="20">
        <f>'Total income package'!$B$69</f>
        <v>500</v>
      </c>
      <c r="N47" s="20">
        <f t="shared" si="7"/>
        <v>1000</v>
      </c>
      <c r="O47" s="344" t="str">
        <f t="shared" si="8"/>
        <v>Yes</v>
      </c>
      <c r="P47" s="20">
        <f t="shared" si="9"/>
        <v>628.83333333333326</v>
      </c>
      <c r="Q47" s="346">
        <f t="shared" si="10"/>
        <v>0</v>
      </c>
      <c r="R47" s="20">
        <f>IF(AND(D$2+$E$2&gt;0,N47-SNAP!P47&gt;0),N47-SNAP!P47,0)</f>
        <v>371.16666666666674</v>
      </c>
      <c r="S47" s="20">
        <f t="shared" si="11"/>
        <v>886.49999999999977</v>
      </c>
      <c r="T47" s="20">
        <f t="shared" si="3"/>
        <v>265.94999999999993</v>
      </c>
      <c r="U47" s="20">
        <f>IF(AND('Total income package'!$A$18=TRUE,OR(H47="Yes",O47="Yes"),G47&lt;$G$2,$K$2-T47&gt;10),ROUNDDOWN($K$2-T47,0),0)</f>
        <v>280</v>
      </c>
      <c r="V47" s="176">
        <f t="shared" si="12"/>
        <v>280</v>
      </c>
      <c r="W47" s="5"/>
    </row>
    <row r="48" spans="2:23" x14ac:dyDescent="0.25">
      <c r="B48" s="72">
        <v>21000</v>
      </c>
      <c r="C48" s="19">
        <f>MAX('TANF-VIEW'!L51,'TANF-VIEW'!T51)</f>
        <v>0</v>
      </c>
      <c r="D48" s="20">
        <f t="shared" si="13"/>
        <v>1750</v>
      </c>
      <c r="E48" s="20">
        <f>'Total income package'!$D$80</f>
        <v>0</v>
      </c>
      <c r="F48" s="20">
        <f>'Total income package'!$H$61+'Total income package'!$F$66</f>
        <v>100</v>
      </c>
      <c r="G48" s="20">
        <f t="shared" si="4"/>
        <v>1850</v>
      </c>
      <c r="H48" s="20" t="str">
        <f t="shared" si="0"/>
        <v>Yes</v>
      </c>
      <c r="I48" s="20">
        <f t="shared" si="1"/>
        <v>350</v>
      </c>
      <c r="J48" s="20">
        <f t="shared" si="2"/>
        <v>209</v>
      </c>
      <c r="K48" s="20">
        <f t="shared" si="5"/>
        <v>1291</v>
      </c>
      <c r="L48" s="20">
        <f t="shared" si="6"/>
        <v>500</v>
      </c>
      <c r="M48" s="20">
        <f>'Total income package'!$B$69</f>
        <v>500</v>
      </c>
      <c r="N48" s="20">
        <f t="shared" si="7"/>
        <v>1000</v>
      </c>
      <c r="O48" s="344" t="str">
        <f t="shared" si="8"/>
        <v>Yes</v>
      </c>
      <c r="P48" s="20">
        <f t="shared" si="9"/>
        <v>645.5</v>
      </c>
      <c r="Q48" s="346">
        <f t="shared" si="10"/>
        <v>0</v>
      </c>
      <c r="R48" s="20">
        <f>IF(AND(D$2+$E$2&gt;0,N48-SNAP!P48&gt;0),N48-SNAP!P48,0)</f>
        <v>354.5</v>
      </c>
      <c r="S48" s="20">
        <f t="shared" si="11"/>
        <v>936.5</v>
      </c>
      <c r="T48" s="20">
        <f t="shared" si="3"/>
        <v>280.95</v>
      </c>
      <c r="U48" s="20">
        <f>IF(AND('Total income package'!$A$18=TRUE,OR(H48="Yes",O48="Yes"),G48&lt;$G$2,$K$2-T48&gt;10),ROUNDDOWN($K$2-T48,0),0)</f>
        <v>265</v>
      </c>
      <c r="V48" s="176">
        <f t="shared" si="12"/>
        <v>265</v>
      </c>
      <c r="W48" s="25"/>
    </row>
    <row r="49" spans="2:23" x14ac:dyDescent="0.25">
      <c r="B49" s="72">
        <v>21500</v>
      </c>
      <c r="C49" s="19">
        <f>MAX('TANF-VIEW'!L52,'TANF-VIEW'!T52)</f>
        <v>0</v>
      </c>
      <c r="D49" s="20">
        <f t="shared" si="13"/>
        <v>1791.6666666666667</v>
      </c>
      <c r="E49" s="20">
        <f>'Total income package'!$D$80</f>
        <v>0</v>
      </c>
      <c r="F49" s="20">
        <f>'Total income package'!$H$61+'Total income package'!$F$66</f>
        <v>100</v>
      </c>
      <c r="G49" s="20">
        <f t="shared" si="4"/>
        <v>1891.6666666666667</v>
      </c>
      <c r="H49" s="20" t="str">
        <f t="shared" si="0"/>
        <v>Yes</v>
      </c>
      <c r="I49" s="20">
        <f t="shared" si="1"/>
        <v>358.33333333333337</v>
      </c>
      <c r="J49" s="20">
        <f t="shared" si="2"/>
        <v>209</v>
      </c>
      <c r="K49" s="20">
        <f t="shared" si="5"/>
        <v>1324.3333333333335</v>
      </c>
      <c r="L49" s="20">
        <f t="shared" si="6"/>
        <v>500</v>
      </c>
      <c r="M49" s="20">
        <f>'Total income package'!$B$69</f>
        <v>500</v>
      </c>
      <c r="N49" s="20">
        <f t="shared" si="7"/>
        <v>1000</v>
      </c>
      <c r="O49" s="344" t="str">
        <f t="shared" si="8"/>
        <v>Yes</v>
      </c>
      <c r="P49" s="20">
        <f t="shared" si="9"/>
        <v>662.16666666666674</v>
      </c>
      <c r="Q49" s="346">
        <f t="shared" si="10"/>
        <v>0</v>
      </c>
      <c r="R49" s="20">
        <f>IF(AND(D$2+$E$2&gt;0,N49-SNAP!P49&gt;0),N49-SNAP!P49,0)</f>
        <v>337.83333333333326</v>
      </c>
      <c r="S49" s="20">
        <f t="shared" si="11"/>
        <v>986.50000000000023</v>
      </c>
      <c r="T49" s="20">
        <f t="shared" si="3"/>
        <v>295.95000000000005</v>
      </c>
      <c r="U49" s="20">
        <f>IF(AND('Total income package'!$A$18=TRUE,OR(H49="Yes",O49="Yes"),G49&lt;$G$2,$K$2-T49&gt;10),ROUNDDOWN($K$2-T49,0),0)</f>
        <v>250</v>
      </c>
      <c r="V49" s="176">
        <f t="shared" si="12"/>
        <v>250</v>
      </c>
      <c r="W49" s="5"/>
    </row>
    <row r="50" spans="2:23" x14ac:dyDescent="0.25">
      <c r="B50" s="72">
        <v>22000</v>
      </c>
      <c r="C50" s="19">
        <f>MAX('TANF-VIEW'!L53,'TANF-VIEW'!T53)</f>
        <v>0</v>
      </c>
      <c r="D50" s="20">
        <f t="shared" si="13"/>
        <v>1833.3333333333333</v>
      </c>
      <c r="E50" s="20">
        <f>'Total income package'!$D$80</f>
        <v>0</v>
      </c>
      <c r="F50" s="20">
        <f>'Total income package'!$H$61+'Total income package'!$F$66</f>
        <v>100</v>
      </c>
      <c r="G50" s="20">
        <f t="shared" si="4"/>
        <v>1933.3333333333333</v>
      </c>
      <c r="H50" s="20" t="str">
        <f t="shared" si="0"/>
        <v>Yes</v>
      </c>
      <c r="I50" s="20">
        <f t="shared" si="1"/>
        <v>366.66666666666669</v>
      </c>
      <c r="J50" s="20">
        <f t="shared" si="2"/>
        <v>209</v>
      </c>
      <c r="K50" s="20">
        <f t="shared" si="5"/>
        <v>1357.6666666666665</v>
      </c>
      <c r="L50" s="20">
        <f t="shared" si="6"/>
        <v>500</v>
      </c>
      <c r="M50" s="20">
        <f>'Total income package'!$B$69</f>
        <v>500</v>
      </c>
      <c r="N50" s="20">
        <f t="shared" si="7"/>
        <v>1000</v>
      </c>
      <c r="O50" s="344" t="str">
        <f t="shared" si="8"/>
        <v>Yes</v>
      </c>
      <c r="P50" s="20">
        <f t="shared" si="9"/>
        <v>678.83333333333326</v>
      </c>
      <c r="Q50" s="346">
        <f t="shared" si="10"/>
        <v>0</v>
      </c>
      <c r="R50" s="20">
        <f>IF(AND(D$2+$E$2&gt;0,N50-SNAP!P50&gt;0),N50-SNAP!P50,0)</f>
        <v>321.16666666666674</v>
      </c>
      <c r="S50" s="20">
        <f t="shared" si="11"/>
        <v>1036.4999999999998</v>
      </c>
      <c r="T50" s="20">
        <f t="shared" si="3"/>
        <v>310.94999999999993</v>
      </c>
      <c r="U50" s="20">
        <f>IF(AND('Total income package'!$A$18=TRUE,OR(H50="Yes",O50="Yes"),G50&lt;$G$2,$K$2-T50&gt;10),ROUNDDOWN($K$2-T50,0),0)</f>
        <v>235</v>
      </c>
      <c r="V50" s="176">
        <f t="shared" si="12"/>
        <v>235</v>
      </c>
      <c r="W50" s="5"/>
    </row>
    <row r="51" spans="2:23" x14ac:dyDescent="0.25">
      <c r="B51" s="72">
        <v>22500</v>
      </c>
      <c r="C51" s="19">
        <f>MAX('TANF-VIEW'!L54,'TANF-VIEW'!T54)</f>
        <v>0</v>
      </c>
      <c r="D51" s="20">
        <f t="shared" si="13"/>
        <v>1875</v>
      </c>
      <c r="E51" s="20">
        <f>'Total income package'!$D$80</f>
        <v>0</v>
      </c>
      <c r="F51" s="20">
        <f>'Total income package'!$H$61+'Total income package'!$F$66</f>
        <v>100</v>
      </c>
      <c r="G51" s="20">
        <f t="shared" si="4"/>
        <v>1975</v>
      </c>
      <c r="H51" s="20" t="str">
        <f t="shared" si="0"/>
        <v>Yes</v>
      </c>
      <c r="I51" s="20">
        <f t="shared" si="1"/>
        <v>375</v>
      </c>
      <c r="J51" s="20">
        <f t="shared" si="2"/>
        <v>209</v>
      </c>
      <c r="K51" s="20">
        <f t="shared" si="5"/>
        <v>1391</v>
      </c>
      <c r="L51" s="20">
        <f t="shared" si="6"/>
        <v>500</v>
      </c>
      <c r="M51" s="20">
        <f>'Total income package'!$B$69</f>
        <v>500</v>
      </c>
      <c r="N51" s="20">
        <f t="shared" si="7"/>
        <v>1000</v>
      </c>
      <c r="O51" s="344" t="str">
        <f t="shared" si="8"/>
        <v>Yes</v>
      </c>
      <c r="P51" s="20">
        <f t="shared" si="9"/>
        <v>695.5</v>
      </c>
      <c r="Q51" s="346">
        <f t="shared" si="10"/>
        <v>0</v>
      </c>
      <c r="R51" s="20">
        <f>IF(AND(D$2+$E$2&gt;0,N51-SNAP!P51&gt;0),N51-SNAP!P51,0)</f>
        <v>304.5</v>
      </c>
      <c r="S51" s="20">
        <f t="shared" si="11"/>
        <v>1086.5</v>
      </c>
      <c r="T51" s="20">
        <f t="shared" si="3"/>
        <v>325.95</v>
      </c>
      <c r="U51" s="20">
        <f>IF(AND('Total income package'!$A$18=TRUE,OR(H51="Yes",O51="Yes"),G51&lt;$G$2,$K$2-T51&gt;10),ROUNDDOWN($K$2-T51,0),0)</f>
        <v>220</v>
      </c>
      <c r="V51" s="176">
        <f t="shared" si="12"/>
        <v>220</v>
      </c>
      <c r="W51" s="5"/>
    </row>
    <row r="52" spans="2:23" x14ac:dyDescent="0.25">
      <c r="B52" s="72">
        <v>23000</v>
      </c>
      <c r="C52" s="19">
        <f>MAX('TANF-VIEW'!L55,'TANF-VIEW'!T55)</f>
        <v>0</v>
      </c>
      <c r="D52" s="20">
        <f t="shared" si="13"/>
        <v>1916.6666666666667</v>
      </c>
      <c r="E52" s="20">
        <f>'Total income package'!$D$80</f>
        <v>0</v>
      </c>
      <c r="F52" s="20">
        <f>'Total income package'!$H$61+'Total income package'!$F$66</f>
        <v>100</v>
      </c>
      <c r="G52" s="20">
        <f t="shared" si="4"/>
        <v>2016.6666666666667</v>
      </c>
      <c r="H52" s="20" t="str">
        <f t="shared" si="0"/>
        <v>Yes</v>
      </c>
      <c r="I52" s="20">
        <f t="shared" si="1"/>
        <v>383.33333333333337</v>
      </c>
      <c r="J52" s="20">
        <f t="shared" si="2"/>
        <v>209</v>
      </c>
      <c r="K52" s="20">
        <f t="shared" si="5"/>
        <v>1424.3333333333335</v>
      </c>
      <c r="L52" s="20">
        <f t="shared" si="6"/>
        <v>500</v>
      </c>
      <c r="M52" s="20">
        <f>'Total income package'!$B$69</f>
        <v>500</v>
      </c>
      <c r="N52" s="20">
        <f t="shared" si="7"/>
        <v>1000</v>
      </c>
      <c r="O52" s="344" t="str">
        <f t="shared" si="8"/>
        <v>Yes</v>
      </c>
      <c r="P52" s="20">
        <f t="shared" si="9"/>
        <v>712.16666666666674</v>
      </c>
      <c r="Q52" s="346">
        <f t="shared" si="10"/>
        <v>0</v>
      </c>
      <c r="R52" s="20">
        <f>IF(AND(D$2+$E$2&gt;0,N52-SNAP!P52&gt;0),N52-SNAP!P52,0)</f>
        <v>287.83333333333326</v>
      </c>
      <c r="S52" s="20">
        <f t="shared" si="11"/>
        <v>1136.5000000000002</v>
      </c>
      <c r="T52" s="20">
        <f t="shared" si="3"/>
        <v>340.95000000000005</v>
      </c>
      <c r="U52" s="20">
        <f>IF(AND('Total income package'!$A$18=TRUE,OR(H52="Yes",O52="Yes"),G52&lt;$G$2,$K$2-T52&gt;10),ROUNDDOWN($K$2-T52,0),0)</f>
        <v>205</v>
      </c>
      <c r="V52" s="176">
        <f t="shared" si="12"/>
        <v>205</v>
      </c>
      <c r="W52" s="5"/>
    </row>
    <row r="53" spans="2:23" x14ac:dyDescent="0.25">
      <c r="B53" s="72">
        <v>23500</v>
      </c>
      <c r="C53" s="19">
        <f>MAX('TANF-VIEW'!L56,'TANF-VIEW'!T56)</f>
        <v>0</v>
      </c>
      <c r="D53" s="20">
        <f t="shared" si="13"/>
        <v>1958.3333333333333</v>
      </c>
      <c r="E53" s="20">
        <f>'Total income package'!$D$80</f>
        <v>0</v>
      </c>
      <c r="F53" s="20">
        <f>'Total income package'!$H$61+'Total income package'!$F$66</f>
        <v>100</v>
      </c>
      <c r="G53" s="20">
        <f t="shared" si="4"/>
        <v>2058.333333333333</v>
      </c>
      <c r="H53" s="20" t="str">
        <f t="shared" si="0"/>
        <v>Yes</v>
      </c>
      <c r="I53" s="20">
        <f t="shared" si="1"/>
        <v>391.66666666666669</v>
      </c>
      <c r="J53" s="20">
        <f t="shared" si="2"/>
        <v>209</v>
      </c>
      <c r="K53" s="20">
        <f t="shared" si="5"/>
        <v>1457.6666666666663</v>
      </c>
      <c r="L53" s="20">
        <f t="shared" si="6"/>
        <v>500</v>
      </c>
      <c r="M53" s="20">
        <f>'Total income package'!$B$69</f>
        <v>500</v>
      </c>
      <c r="N53" s="20">
        <f t="shared" si="7"/>
        <v>1000</v>
      </c>
      <c r="O53" s="344" t="str">
        <f t="shared" si="8"/>
        <v>Yes</v>
      </c>
      <c r="P53" s="20">
        <f t="shared" si="9"/>
        <v>728.83333333333314</v>
      </c>
      <c r="Q53" s="346">
        <f t="shared" si="10"/>
        <v>0</v>
      </c>
      <c r="R53" s="20">
        <f>IF(AND(D$2+$E$2&gt;0,N53-SNAP!P53&gt;0),N53-SNAP!P53,0)</f>
        <v>271.16666666666686</v>
      </c>
      <c r="S53" s="20">
        <f t="shared" si="11"/>
        <v>1186.4999999999995</v>
      </c>
      <c r="T53" s="20">
        <f t="shared" si="3"/>
        <v>355.94999999999987</v>
      </c>
      <c r="U53" s="20">
        <f>IF(AND('Total income package'!$A$18=TRUE,OR(H53="Yes",O53="Yes"),G53&lt;$G$2,$K$2-T53&gt;10),ROUNDDOWN($K$2-T53,0),0)</f>
        <v>190</v>
      </c>
      <c r="V53" s="176">
        <f t="shared" si="12"/>
        <v>190</v>
      </c>
      <c r="W53" s="5"/>
    </row>
    <row r="54" spans="2:23" x14ac:dyDescent="0.25">
      <c r="B54" s="72">
        <v>24000</v>
      </c>
      <c r="C54" s="19">
        <f>MAX('TANF-VIEW'!L57,'TANF-VIEW'!T57)</f>
        <v>0</v>
      </c>
      <c r="D54" s="20">
        <f t="shared" si="13"/>
        <v>2000</v>
      </c>
      <c r="E54" s="20">
        <f>'Total income package'!$D$80</f>
        <v>0</v>
      </c>
      <c r="F54" s="20">
        <f>'Total income package'!$H$61+'Total income package'!$F$66</f>
        <v>100</v>
      </c>
      <c r="G54" s="20">
        <f t="shared" si="4"/>
        <v>2100</v>
      </c>
      <c r="H54" s="20" t="str">
        <f t="shared" si="0"/>
        <v>Yes</v>
      </c>
      <c r="I54" s="20">
        <f t="shared" si="1"/>
        <v>400</v>
      </c>
      <c r="J54" s="20">
        <f t="shared" si="2"/>
        <v>209</v>
      </c>
      <c r="K54" s="20">
        <f t="shared" si="5"/>
        <v>1491</v>
      </c>
      <c r="L54" s="20">
        <f t="shared" si="6"/>
        <v>500</v>
      </c>
      <c r="M54" s="20">
        <f>'Total income package'!$B$69</f>
        <v>500</v>
      </c>
      <c r="N54" s="20">
        <f t="shared" si="7"/>
        <v>1000</v>
      </c>
      <c r="O54" s="344" t="str">
        <f t="shared" si="8"/>
        <v>Yes</v>
      </c>
      <c r="P54" s="20">
        <f t="shared" si="9"/>
        <v>745.5</v>
      </c>
      <c r="Q54" s="346">
        <f t="shared" si="10"/>
        <v>0</v>
      </c>
      <c r="R54" s="20">
        <f>IF(AND(D$2+$E$2&gt;0,N54-SNAP!P54&gt;0),N54-SNAP!P54,0)</f>
        <v>254.5</v>
      </c>
      <c r="S54" s="20">
        <f t="shared" si="11"/>
        <v>1236.5</v>
      </c>
      <c r="T54" s="20">
        <f t="shared" si="3"/>
        <v>370.95</v>
      </c>
      <c r="U54" s="20">
        <f>IF(AND('Total income package'!$A$18=TRUE,OR(H54="Yes",O54="Yes"),G54&lt;$G$2,$K$2-T54&gt;10),ROUNDDOWN($K$2-T54,0),0)</f>
        <v>175</v>
      </c>
      <c r="V54" s="176">
        <f t="shared" si="12"/>
        <v>175</v>
      </c>
      <c r="W54" s="5"/>
    </row>
    <row r="55" spans="2:23" x14ac:dyDescent="0.25">
      <c r="B55" s="72">
        <v>24500</v>
      </c>
      <c r="C55" s="19">
        <f>MAX('TANF-VIEW'!L58,'TANF-VIEW'!T58)</f>
        <v>0</v>
      </c>
      <c r="D55" s="20">
        <f t="shared" si="13"/>
        <v>2041.6666666666667</v>
      </c>
      <c r="E55" s="20">
        <f>'Total income package'!$D$80</f>
        <v>0</v>
      </c>
      <c r="F55" s="20">
        <f>'Total income package'!$H$61+'Total income package'!$F$66</f>
        <v>100</v>
      </c>
      <c r="G55" s="20">
        <f t="shared" si="4"/>
        <v>2141.666666666667</v>
      </c>
      <c r="H55" s="20" t="str">
        <f t="shared" si="0"/>
        <v>Yes</v>
      </c>
      <c r="I55" s="20">
        <f t="shared" si="1"/>
        <v>408.33333333333337</v>
      </c>
      <c r="J55" s="20">
        <f t="shared" si="2"/>
        <v>209</v>
      </c>
      <c r="K55" s="20">
        <f t="shared" si="5"/>
        <v>1524.3333333333335</v>
      </c>
      <c r="L55" s="20">
        <f t="shared" si="6"/>
        <v>500</v>
      </c>
      <c r="M55" s="20">
        <f>'Total income package'!$B$69</f>
        <v>500</v>
      </c>
      <c r="N55" s="20">
        <f t="shared" si="7"/>
        <v>1000</v>
      </c>
      <c r="O55" s="344" t="str">
        <f t="shared" si="8"/>
        <v>Yes</v>
      </c>
      <c r="P55" s="20">
        <f t="shared" si="9"/>
        <v>762.16666666666674</v>
      </c>
      <c r="Q55" s="346">
        <f t="shared" si="10"/>
        <v>0</v>
      </c>
      <c r="R55" s="20">
        <f>IF(AND(D$2+$E$2&gt;0,N55-SNAP!P55&gt;0),N55-SNAP!P55,0)</f>
        <v>237.83333333333326</v>
      </c>
      <c r="S55" s="20">
        <f t="shared" si="11"/>
        <v>1286.5000000000002</v>
      </c>
      <c r="T55" s="20">
        <f t="shared" si="3"/>
        <v>385.95000000000005</v>
      </c>
      <c r="U55" s="20">
        <f>IF(AND('Total income package'!$A$18=TRUE,OR(H55="Yes",O55="Yes"),G55&lt;$G$2,$K$2-T55&gt;10),ROUNDDOWN($K$2-T55,0),0)</f>
        <v>160</v>
      </c>
      <c r="V55" s="176">
        <f t="shared" si="12"/>
        <v>160</v>
      </c>
      <c r="W55" s="5"/>
    </row>
    <row r="56" spans="2:23" x14ac:dyDescent="0.25">
      <c r="B56" s="72">
        <v>25000</v>
      </c>
      <c r="C56" s="19">
        <f>MAX('TANF-VIEW'!L59,'TANF-VIEW'!T59)</f>
        <v>0</v>
      </c>
      <c r="D56" s="20">
        <f t="shared" si="13"/>
        <v>2083.3333333333335</v>
      </c>
      <c r="E56" s="20">
        <f>'Total income package'!$D$80</f>
        <v>0</v>
      </c>
      <c r="F56" s="20">
        <f>'Total income package'!$H$61+'Total income package'!$F$66</f>
        <v>100</v>
      </c>
      <c r="G56" s="20">
        <f t="shared" si="4"/>
        <v>2183.3333333333335</v>
      </c>
      <c r="H56" s="20" t="str">
        <f t="shared" si="0"/>
        <v>Yes</v>
      </c>
      <c r="I56" s="20">
        <f t="shared" si="1"/>
        <v>416.66666666666674</v>
      </c>
      <c r="J56" s="20">
        <f t="shared" si="2"/>
        <v>209</v>
      </c>
      <c r="K56" s="20">
        <f t="shared" si="5"/>
        <v>1557.6666666666667</v>
      </c>
      <c r="L56" s="20">
        <f t="shared" si="6"/>
        <v>500</v>
      </c>
      <c r="M56" s="20">
        <f>'Total income package'!$B$69</f>
        <v>500</v>
      </c>
      <c r="N56" s="20">
        <f t="shared" si="7"/>
        <v>1000</v>
      </c>
      <c r="O56" s="344" t="str">
        <f t="shared" si="8"/>
        <v>Yes</v>
      </c>
      <c r="P56" s="20">
        <f t="shared" si="9"/>
        <v>778.83333333333337</v>
      </c>
      <c r="Q56" s="346">
        <f t="shared" si="10"/>
        <v>0</v>
      </c>
      <c r="R56" s="20">
        <f>IF(AND(D$2+$E$2&gt;0,N56-SNAP!P56&gt;0),N56-SNAP!P56,0)</f>
        <v>221.16666666666663</v>
      </c>
      <c r="S56" s="20">
        <f t="shared" si="11"/>
        <v>1336.5</v>
      </c>
      <c r="T56" s="20">
        <f t="shared" si="3"/>
        <v>400.95</v>
      </c>
      <c r="U56" s="20">
        <f>IF(AND('Total income package'!$A$18=TRUE,OR(H56="Yes",O56="Yes"),G56&lt;$G$2,$K$2-T56&gt;10),ROUNDDOWN($K$2-T56,0),0)</f>
        <v>145</v>
      </c>
      <c r="V56" s="176">
        <f t="shared" si="12"/>
        <v>145</v>
      </c>
      <c r="W56" s="5"/>
    </row>
    <row r="57" spans="2:23" x14ac:dyDescent="0.25">
      <c r="B57" s="72">
        <v>25500</v>
      </c>
      <c r="C57" s="19">
        <f>MAX('TANF-VIEW'!L60,'TANF-VIEW'!T60)</f>
        <v>0</v>
      </c>
      <c r="D57" s="20">
        <f t="shared" si="13"/>
        <v>2125</v>
      </c>
      <c r="E57" s="20">
        <f>'Total income package'!$D$80</f>
        <v>0</v>
      </c>
      <c r="F57" s="20">
        <f>'Total income package'!$H$61+'Total income package'!$F$66</f>
        <v>100</v>
      </c>
      <c r="G57" s="20">
        <f t="shared" si="4"/>
        <v>2225</v>
      </c>
      <c r="H57" s="20" t="str">
        <f t="shared" si="0"/>
        <v>Yes</v>
      </c>
      <c r="I57" s="20">
        <f t="shared" si="1"/>
        <v>425</v>
      </c>
      <c r="J57" s="20">
        <f t="shared" si="2"/>
        <v>209</v>
      </c>
      <c r="K57" s="20">
        <f t="shared" si="5"/>
        <v>1591</v>
      </c>
      <c r="L57" s="20">
        <f t="shared" si="6"/>
        <v>500</v>
      </c>
      <c r="M57" s="20">
        <f>'Total income package'!$B$69</f>
        <v>500</v>
      </c>
      <c r="N57" s="20">
        <f t="shared" si="7"/>
        <v>1000</v>
      </c>
      <c r="O57" s="344" t="str">
        <f t="shared" si="8"/>
        <v>Yes</v>
      </c>
      <c r="P57" s="20">
        <f t="shared" si="9"/>
        <v>795.5</v>
      </c>
      <c r="Q57" s="346">
        <f t="shared" si="10"/>
        <v>0</v>
      </c>
      <c r="R57" s="20">
        <f>IF(AND(D$2+$E$2&gt;0,N57-SNAP!P57&gt;0),N57-SNAP!P57,0)</f>
        <v>204.5</v>
      </c>
      <c r="S57" s="20">
        <f t="shared" si="11"/>
        <v>1386.5</v>
      </c>
      <c r="T57" s="20">
        <f t="shared" si="3"/>
        <v>415.95</v>
      </c>
      <c r="U57" s="20">
        <f>IF(AND('Total income package'!$A$18=TRUE,OR(H57="Yes",O57="Yes"),G57&lt;$G$2,$K$2-T57&gt;10),ROUNDDOWN($K$2-T57,0),0)</f>
        <v>130</v>
      </c>
      <c r="V57" s="176">
        <f t="shared" si="12"/>
        <v>130</v>
      </c>
      <c r="W57" s="5"/>
    </row>
    <row r="58" spans="2:23" x14ac:dyDescent="0.25">
      <c r="B58" s="72">
        <v>26000</v>
      </c>
      <c r="C58" s="19">
        <f>MAX('TANF-VIEW'!L61,'TANF-VIEW'!T61)</f>
        <v>0</v>
      </c>
      <c r="D58" s="20">
        <f t="shared" si="13"/>
        <v>2166.6666666666665</v>
      </c>
      <c r="E58" s="20">
        <f>'Total income package'!$D$80</f>
        <v>0</v>
      </c>
      <c r="F58" s="20">
        <f>'Total income package'!$H$61+'Total income package'!$F$66</f>
        <v>100</v>
      </c>
      <c r="G58" s="20">
        <f t="shared" si="4"/>
        <v>2266.6666666666665</v>
      </c>
      <c r="H58" s="20" t="str">
        <f t="shared" si="0"/>
        <v>Yes</v>
      </c>
      <c r="I58" s="20">
        <f t="shared" si="1"/>
        <v>433.33333333333331</v>
      </c>
      <c r="J58" s="20">
        <f t="shared" si="2"/>
        <v>209</v>
      </c>
      <c r="K58" s="20">
        <f t="shared" si="5"/>
        <v>1624.3333333333333</v>
      </c>
      <c r="L58" s="20">
        <f t="shared" si="6"/>
        <v>500</v>
      </c>
      <c r="M58" s="20">
        <f>'Total income package'!$B$69</f>
        <v>500</v>
      </c>
      <c r="N58" s="20">
        <f t="shared" si="7"/>
        <v>1000</v>
      </c>
      <c r="O58" s="344" t="str">
        <f t="shared" si="8"/>
        <v>Yes</v>
      </c>
      <c r="P58" s="20">
        <f t="shared" si="9"/>
        <v>812.16666666666663</v>
      </c>
      <c r="Q58" s="346">
        <f t="shared" si="10"/>
        <v>0</v>
      </c>
      <c r="R58" s="20">
        <f>IF(AND(D$2+$E$2&gt;0,N58-SNAP!P58&gt;0),N58-SNAP!P58,0)</f>
        <v>187.83333333333337</v>
      </c>
      <c r="S58" s="20">
        <f t="shared" si="11"/>
        <v>1436.5</v>
      </c>
      <c r="T58" s="20">
        <f t="shared" si="3"/>
        <v>430.95</v>
      </c>
      <c r="U58" s="20">
        <f>IF(AND('Total income package'!$A$18=TRUE,OR(H58="Yes",O58="Yes"),G58&lt;$G$2,$K$2-T58&gt;10),ROUNDDOWN($K$2-T58,0),0)</f>
        <v>115</v>
      </c>
      <c r="V58" s="176">
        <f t="shared" si="12"/>
        <v>115</v>
      </c>
      <c r="W58" s="5"/>
    </row>
    <row r="59" spans="2:23" x14ac:dyDescent="0.25">
      <c r="B59" s="72">
        <v>26500</v>
      </c>
      <c r="C59" s="19">
        <f>MAX('TANF-VIEW'!L62,'TANF-VIEW'!T62)</f>
        <v>0</v>
      </c>
      <c r="D59" s="20">
        <f t="shared" si="13"/>
        <v>2208.3333333333335</v>
      </c>
      <c r="E59" s="20">
        <f>'Total income package'!$D$80</f>
        <v>0</v>
      </c>
      <c r="F59" s="20">
        <f>'Total income package'!$H$61+'Total income package'!$F$66</f>
        <v>100</v>
      </c>
      <c r="G59" s="20">
        <f t="shared" si="4"/>
        <v>2308.3333333333335</v>
      </c>
      <c r="H59" s="20" t="str">
        <f t="shared" si="0"/>
        <v>Yes</v>
      </c>
      <c r="I59" s="20">
        <f t="shared" si="1"/>
        <v>441.66666666666674</v>
      </c>
      <c r="J59" s="20">
        <f t="shared" si="2"/>
        <v>209</v>
      </c>
      <c r="K59" s="20">
        <f t="shared" si="5"/>
        <v>1657.6666666666667</v>
      </c>
      <c r="L59" s="20">
        <f t="shared" si="6"/>
        <v>500</v>
      </c>
      <c r="M59" s="20">
        <f>'Total income package'!$B$69</f>
        <v>500</v>
      </c>
      <c r="N59" s="20">
        <f t="shared" si="7"/>
        <v>1000</v>
      </c>
      <c r="O59" s="344" t="str">
        <f t="shared" si="8"/>
        <v>Yes</v>
      </c>
      <c r="P59" s="20">
        <f t="shared" si="9"/>
        <v>828.83333333333337</v>
      </c>
      <c r="Q59" s="346">
        <f t="shared" si="10"/>
        <v>0</v>
      </c>
      <c r="R59" s="20">
        <f>IF(AND(D$2+$E$2&gt;0,N59-SNAP!P59&gt;0),N59-SNAP!P59,0)</f>
        <v>171.16666666666663</v>
      </c>
      <c r="S59" s="20">
        <f t="shared" si="11"/>
        <v>1486.5</v>
      </c>
      <c r="T59" s="20">
        <f t="shared" si="3"/>
        <v>445.95</v>
      </c>
      <c r="U59" s="20">
        <f>IF(AND('Total income package'!$A$18=TRUE,OR(H59="Yes",O59="Yes"),G59&lt;$G$2,$K$2-T59&gt;10),ROUNDDOWN($K$2-T59,0),0)</f>
        <v>100</v>
      </c>
      <c r="V59" s="176">
        <f t="shared" si="12"/>
        <v>100</v>
      </c>
      <c r="W59" s="5"/>
    </row>
    <row r="60" spans="2:23" x14ac:dyDescent="0.25">
      <c r="B60" s="72">
        <v>27000</v>
      </c>
      <c r="C60" s="19">
        <f>MAX('TANF-VIEW'!L63,'TANF-VIEW'!T63)</f>
        <v>0</v>
      </c>
      <c r="D60" s="20">
        <f t="shared" si="13"/>
        <v>2250</v>
      </c>
      <c r="E60" s="20">
        <f>'Total income package'!$D$80</f>
        <v>0</v>
      </c>
      <c r="F60" s="20">
        <f>'Total income package'!$H$61+'Total income package'!$F$66</f>
        <v>100</v>
      </c>
      <c r="G60" s="20">
        <f t="shared" si="4"/>
        <v>2350</v>
      </c>
      <c r="H60" s="20" t="str">
        <f t="shared" si="0"/>
        <v>Yes</v>
      </c>
      <c r="I60" s="20">
        <f t="shared" si="1"/>
        <v>450</v>
      </c>
      <c r="J60" s="20">
        <f t="shared" si="2"/>
        <v>209</v>
      </c>
      <c r="K60" s="20">
        <f t="shared" si="5"/>
        <v>1691</v>
      </c>
      <c r="L60" s="20">
        <f t="shared" si="6"/>
        <v>500</v>
      </c>
      <c r="M60" s="20">
        <f>'Total income package'!$B$69</f>
        <v>500</v>
      </c>
      <c r="N60" s="20">
        <f t="shared" si="7"/>
        <v>1000</v>
      </c>
      <c r="O60" s="344" t="str">
        <f t="shared" si="8"/>
        <v>Yes</v>
      </c>
      <c r="P60" s="20">
        <f t="shared" si="9"/>
        <v>845.5</v>
      </c>
      <c r="Q60" s="346">
        <f t="shared" si="10"/>
        <v>0</v>
      </c>
      <c r="R60" s="20">
        <f>IF(AND(D$2+$E$2&gt;0,N60-SNAP!P60&gt;0),N60-SNAP!P60,0)</f>
        <v>154.5</v>
      </c>
      <c r="S60" s="20">
        <f t="shared" si="11"/>
        <v>1536.5</v>
      </c>
      <c r="T60" s="20">
        <f t="shared" si="3"/>
        <v>460.95</v>
      </c>
      <c r="U60" s="20">
        <f>IF(AND('Total income package'!$A$18=TRUE,OR(H60="Yes",O60="Yes"),G60&lt;$G$2,$K$2-T60&gt;10),ROUNDDOWN($K$2-T60,0),0)</f>
        <v>85</v>
      </c>
      <c r="V60" s="176">
        <f t="shared" si="12"/>
        <v>85</v>
      </c>
      <c r="W60" s="5"/>
    </row>
    <row r="61" spans="2:23" x14ac:dyDescent="0.25">
      <c r="B61" s="72">
        <v>27500</v>
      </c>
      <c r="C61" s="19">
        <f>MAX('TANF-VIEW'!L64,'TANF-VIEW'!T64)</f>
        <v>0</v>
      </c>
      <c r="D61" s="20">
        <f t="shared" si="13"/>
        <v>2291.6666666666665</v>
      </c>
      <c r="E61" s="20">
        <f>'Total income package'!$D$80</f>
        <v>0</v>
      </c>
      <c r="F61" s="20">
        <f>'Total income package'!$H$61+'Total income package'!$F$66</f>
        <v>100</v>
      </c>
      <c r="G61" s="20">
        <f t="shared" si="4"/>
        <v>2391.6666666666665</v>
      </c>
      <c r="H61" s="20" t="str">
        <f t="shared" si="0"/>
        <v>Yes</v>
      </c>
      <c r="I61" s="20">
        <f t="shared" si="1"/>
        <v>458.33333333333331</v>
      </c>
      <c r="J61" s="20">
        <f t="shared" si="2"/>
        <v>209</v>
      </c>
      <c r="K61" s="20">
        <f t="shared" si="5"/>
        <v>1724.3333333333333</v>
      </c>
      <c r="L61" s="20">
        <f t="shared" si="6"/>
        <v>500</v>
      </c>
      <c r="M61" s="20">
        <f>'Total income package'!$B$69</f>
        <v>500</v>
      </c>
      <c r="N61" s="20">
        <f t="shared" si="7"/>
        <v>1000</v>
      </c>
      <c r="O61" s="344" t="str">
        <f t="shared" si="8"/>
        <v>Yes</v>
      </c>
      <c r="P61" s="20">
        <f t="shared" si="9"/>
        <v>862.16666666666663</v>
      </c>
      <c r="Q61" s="346">
        <f t="shared" si="10"/>
        <v>0</v>
      </c>
      <c r="R61" s="20">
        <f>IF(AND(D$2+$E$2&gt;0,N61-SNAP!P61&gt;0),N61-SNAP!P61,0)</f>
        <v>137.83333333333337</v>
      </c>
      <c r="S61" s="20">
        <f t="shared" si="11"/>
        <v>1586.5</v>
      </c>
      <c r="T61" s="20">
        <f t="shared" si="3"/>
        <v>475.95</v>
      </c>
      <c r="U61" s="20">
        <f>IF(AND('Total income package'!$A$18=TRUE,OR(H61="Yes",O61="Yes"),G61&lt;$G$2,$K$2-T61&gt;10),ROUNDDOWN($K$2-T61,0),0)</f>
        <v>70</v>
      </c>
      <c r="V61" s="176">
        <f t="shared" si="12"/>
        <v>70</v>
      </c>
      <c r="W61" s="5"/>
    </row>
    <row r="62" spans="2:23" x14ac:dyDescent="0.25">
      <c r="B62" s="72">
        <v>28000</v>
      </c>
      <c r="C62" s="19">
        <f>MAX('TANF-VIEW'!L65,'TANF-VIEW'!T65)</f>
        <v>0</v>
      </c>
      <c r="D62" s="20">
        <f t="shared" si="13"/>
        <v>2333.3333333333335</v>
      </c>
      <c r="E62" s="20">
        <f>'Total income package'!$D$80</f>
        <v>0</v>
      </c>
      <c r="F62" s="20">
        <f>'Total income package'!$H$61+'Total income package'!$F$66</f>
        <v>100</v>
      </c>
      <c r="G62" s="20">
        <f t="shared" si="4"/>
        <v>2433.3333333333335</v>
      </c>
      <c r="H62" s="20" t="str">
        <f t="shared" si="0"/>
        <v>Yes</v>
      </c>
      <c r="I62" s="20">
        <f t="shared" si="1"/>
        <v>466.66666666666674</v>
      </c>
      <c r="J62" s="20">
        <f t="shared" si="2"/>
        <v>209</v>
      </c>
      <c r="K62" s="20">
        <f t="shared" si="5"/>
        <v>1757.6666666666667</v>
      </c>
      <c r="L62" s="20">
        <f t="shared" si="6"/>
        <v>500</v>
      </c>
      <c r="M62" s="20">
        <f>'Total income package'!$B$69</f>
        <v>500</v>
      </c>
      <c r="N62" s="20">
        <f t="shared" si="7"/>
        <v>1000</v>
      </c>
      <c r="O62" s="344" t="str">
        <f t="shared" si="8"/>
        <v>Yes</v>
      </c>
      <c r="P62" s="20">
        <f t="shared" si="9"/>
        <v>878.83333333333337</v>
      </c>
      <c r="Q62" s="346">
        <f t="shared" si="10"/>
        <v>0</v>
      </c>
      <c r="R62" s="20">
        <f>IF(AND(D$2+$E$2&gt;0,N62-SNAP!P62&gt;0),N62-SNAP!P62,0)</f>
        <v>121.16666666666663</v>
      </c>
      <c r="S62" s="20">
        <f t="shared" si="11"/>
        <v>1636.5</v>
      </c>
      <c r="T62" s="20">
        <f t="shared" si="3"/>
        <v>490.95</v>
      </c>
      <c r="U62" s="20">
        <f>IF(AND('Total income package'!$A$18=TRUE,OR(H62="Yes",O62="Yes"),G62&lt;$G$2,$K$2-T62&gt;10),ROUNDDOWN($K$2-T62,0),0)</f>
        <v>55</v>
      </c>
      <c r="V62" s="176">
        <f t="shared" si="12"/>
        <v>55</v>
      </c>
      <c r="W62" s="5"/>
    </row>
    <row r="63" spans="2:23" x14ac:dyDescent="0.25">
      <c r="B63" s="72">
        <v>28500</v>
      </c>
      <c r="C63" s="19">
        <f>MAX('TANF-VIEW'!L66,'TANF-VIEW'!T66)</f>
        <v>0</v>
      </c>
      <c r="D63" s="20">
        <f t="shared" si="13"/>
        <v>2375</v>
      </c>
      <c r="E63" s="20">
        <f>'Total income package'!$D$80</f>
        <v>0</v>
      </c>
      <c r="F63" s="20">
        <f>'Total income package'!$H$61+'Total income package'!$F$66</f>
        <v>100</v>
      </c>
      <c r="G63" s="20">
        <f t="shared" si="4"/>
        <v>2475</v>
      </c>
      <c r="H63" s="20" t="str">
        <f t="shared" si="0"/>
        <v>Yes</v>
      </c>
      <c r="I63" s="20">
        <f t="shared" si="1"/>
        <v>475</v>
      </c>
      <c r="J63" s="20">
        <f t="shared" si="2"/>
        <v>209</v>
      </c>
      <c r="K63" s="20">
        <f t="shared" si="5"/>
        <v>1791</v>
      </c>
      <c r="L63" s="20">
        <f t="shared" si="6"/>
        <v>500</v>
      </c>
      <c r="M63" s="20">
        <f>'Total income package'!$B$69</f>
        <v>500</v>
      </c>
      <c r="N63" s="20">
        <f t="shared" si="7"/>
        <v>1000</v>
      </c>
      <c r="O63" s="344" t="str">
        <f t="shared" si="8"/>
        <v>No</v>
      </c>
      <c r="P63" s="20">
        <f t="shared" si="9"/>
        <v>895.5</v>
      </c>
      <c r="Q63" s="346">
        <f t="shared" si="10"/>
        <v>0</v>
      </c>
      <c r="R63" s="20">
        <f>IF(AND(D$2+$E$2&gt;0,N63-SNAP!P63&gt;0),N63-SNAP!P63,0)</f>
        <v>104.5</v>
      </c>
      <c r="S63" s="20">
        <f t="shared" si="11"/>
        <v>1686.5</v>
      </c>
      <c r="T63" s="20">
        <f t="shared" si="3"/>
        <v>505.95</v>
      </c>
      <c r="U63" s="20">
        <f>IF(AND('Total income package'!$A$18=TRUE,OR(H63="Yes",O63="Yes"),G63&lt;$G$2,$K$2-T63&gt;10),ROUNDDOWN($K$2-T63,0),0)</f>
        <v>40</v>
      </c>
      <c r="V63" s="176">
        <f t="shared" si="12"/>
        <v>40</v>
      </c>
      <c r="W63" s="5"/>
    </row>
    <row r="64" spans="2:23" x14ac:dyDescent="0.25">
      <c r="B64" s="72">
        <v>29000</v>
      </c>
      <c r="C64" s="19">
        <f>MAX('TANF-VIEW'!L67,'TANF-VIEW'!T67)</f>
        <v>0</v>
      </c>
      <c r="D64" s="20">
        <f t="shared" si="13"/>
        <v>2416.6666666666665</v>
      </c>
      <c r="E64" s="20">
        <f>'Total income package'!$D$80</f>
        <v>0</v>
      </c>
      <c r="F64" s="20">
        <f>'Total income package'!$H$61+'Total income package'!$F$66</f>
        <v>100</v>
      </c>
      <c r="G64" s="20">
        <f t="shared" si="4"/>
        <v>2516.6666666666665</v>
      </c>
      <c r="H64" s="20" t="str">
        <f t="shared" si="0"/>
        <v>Yes</v>
      </c>
      <c r="I64" s="20">
        <f t="shared" si="1"/>
        <v>483.33333333333331</v>
      </c>
      <c r="J64" s="20">
        <f t="shared" si="2"/>
        <v>209</v>
      </c>
      <c r="K64" s="20">
        <f t="shared" si="5"/>
        <v>1824.3333333333333</v>
      </c>
      <c r="L64" s="20">
        <f t="shared" si="6"/>
        <v>500</v>
      </c>
      <c r="M64" s="20">
        <f>'Total income package'!$B$69</f>
        <v>500</v>
      </c>
      <c r="N64" s="20">
        <f t="shared" si="7"/>
        <v>1000</v>
      </c>
      <c r="O64" s="344" t="str">
        <f t="shared" si="8"/>
        <v>No</v>
      </c>
      <c r="P64" s="20">
        <f t="shared" si="9"/>
        <v>912.16666666666663</v>
      </c>
      <c r="Q64" s="346">
        <f t="shared" si="10"/>
        <v>0</v>
      </c>
      <c r="R64" s="20">
        <f>IF(AND(D$2+$E$2&gt;0,N64-SNAP!P64&gt;0),N64-SNAP!P64,0)</f>
        <v>87.833333333333371</v>
      </c>
      <c r="S64" s="20">
        <f t="shared" si="11"/>
        <v>1736.5</v>
      </c>
      <c r="T64" s="20">
        <f t="shared" si="3"/>
        <v>520.94999999999993</v>
      </c>
      <c r="U64" s="20">
        <f>IF(AND('Total income package'!$A$18=TRUE,OR(H64="Yes",O64="Yes"),G64&lt;$G$2,$K$2-T64&gt;10),ROUNDDOWN($K$2-T64,0),0)</f>
        <v>25</v>
      </c>
      <c r="V64" s="176">
        <f t="shared" si="12"/>
        <v>25</v>
      </c>
      <c r="W64" s="5"/>
    </row>
    <row r="65" spans="2:23" x14ac:dyDescent="0.25">
      <c r="B65" s="72">
        <v>29500</v>
      </c>
      <c r="C65" s="19">
        <f>MAX('TANF-VIEW'!L68,'TANF-VIEW'!T68)</f>
        <v>0</v>
      </c>
      <c r="D65" s="20">
        <f t="shared" si="13"/>
        <v>2458.3333333333335</v>
      </c>
      <c r="E65" s="20">
        <f>'Total income package'!$D$80</f>
        <v>0</v>
      </c>
      <c r="F65" s="20">
        <f>'Total income package'!$H$61+'Total income package'!$F$66</f>
        <v>100</v>
      </c>
      <c r="G65" s="20">
        <f t="shared" si="4"/>
        <v>2558.3333333333335</v>
      </c>
      <c r="H65" s="20" t="str">
        <f t="shared" si="0"/>
        <v>Yes</v>
      </c>
      <c r="I65" s="20">
        <f t="shared" si="1"/>
        <v>491.66666666666674</v>
      </c>
      <c r="J65" s="20">
        <f t="shared" si="2"/>
        <v>209</v>
      </c>
      <c r="K65" s="20">
        <f t="shared" si="5"/>
        <v>1857.666666666667</v>
      </c>
      <c r="L65" s="20">
        <f t="shared" si="6"/>
        <v>500</v>
      </c>
      <c r="M65" s="20">
        <f>'Total income package'!$B$69</f>
        <v>500</v>
      </c>
      <c r="N65" s="20">
        <f t="shared" si="7"/>
        <v>1000</v>
      </c>
      <c r="O65" s="344" t="str">
        <f t="shared" si="8"/>
        <v>No</v>
      </c>
      <c r="P65" s="20">
        <f t="shared" si="9"/>
        <v>928.83333333333348</v>
      </c>
      <c r="Q65" s="346">
        <f t="shared" si="10"/>
        <v>0</v>
      </c>
      <c r="R65" s="20">
        <f>IF(AND(D$2+$E$2&gt;0,N65-SNAP!P65&gt;0),N65-SNAP!P65,0)</f>
        <v>71.166666666666515</v>
      </c>
      <c r="S65" s="20">
        <f t="shared" si="11"/>
        <v>1786.5000000000005</v>
      </c>
      <c r="T65" s="20">
        <f t="shared" si="3"/>
        <v>535.95000000000016</v>
      </c>
      <c r="U65" s="20">
        <f>IF(AND('Total income package'!$A$18=TRUE,OR(H65="Yes",O65="Yes"),G65&lt;$G$2,$K$2-T65&gt;10),ROUNDDOWN($K$2-T65,0),0)</f>
        <v>10</v>
      </c>
      <c r="V65" s="176">
        <f t="shared" si="12"/>
        <v>10</v>
      </c>
      <c r="W65" s="5"/>
    </row>
    <row r="66" spans="2:23" x14ac:dyDescent="0.25">
      <c r="B66" s="72">
        <v>30000</v>
      </c>
      <c r="C66" s="19">
        <f>MAX('TANF-VIEW'!L69,'TANF-VIEW'!T69)</f>
        <v>0</v>
      </c>
      <c r="D66" s="20">
        <f t="shared" si="13"/>
        <v>2500</v>
      </c>
      <c r="E66" s="20">
        <f>'Total income package'!$D$80</f>
        <v>0</v>
      </c>
      <c r="F66" s="20">
        <f>'Total income package'!$H$61+'Total income package'!$F$66</f>
        <v>100</v>
      </c>
      <c r="G66" s="20">
        <f t="shared" si="4"/>
        <v>2600</v>
      </c>
      <c r="H66" s="20" t="str">
        <f t="shared" si="0"/>
        <v>Yes</v>
      </c>
      <c r="I66" s="20">
        <f t="shared" si="1"/>
        <v>500</v>
      </c>
      <c r="J66" s="20">
        <f t="shared" si="2"/>
        <v>209</v>
      </c>
      <c r="K66" s="20">
        <f t="shared" si="5"/>
        <v>1891</v>
      </c>
      <c r="L66" s="20">
        <f t="shared" si="6"/>
        <v>500</v>
      </c>
      <c r="M66" s="20">
        <f>'Total income package'!$B$69</f>
        <v>500</v>
      </c>
      <c r="N66" s="20">
        <f t="shared" si="7"/>
        <v>1000</v>
      </c>
      <c r="O66" s="344" t="str">
        <f t="shared" si="8"/>
        <v>No</v>
      </c>
      <c r="P66" s="20">
        <f t="shared" si="9"/>
        <v>945.5</v>
      </c>
      <c r="Q66" s="346">
        <f t="shared" si="10"/>
        <v>0</v>
      </c>
      <c r="R66" s="20">
        <f>IF(AND(D$2+$E$2&gt;0,N66-SNAP!P66&gt;0),N66-SNAP!P66,0)</f>
        <v>54.5</v>
      </c>
      <c r="S66" s="20">
        <f t="shared" si="11"/>
        <v>1836.5</v>
      </c>
      <c r="T66" s="20">
        <f t="shared" si="3"/>
        <v>550.94999999999993</v>
      </c>
      <c r="U66" s="20">
        <f>IF(AND('Total income package'!$A$18=TRUE,OR(H66="Yes",O66="Yes"),G66&lt;$G$2,$K$2-T66&gt;10),ROUNDDOWN($K$2-T66,0),0)</f>
        <v>0</v>
      </c>
      <c r="V66" s="176">
        <f>IF(AND(C62&lt;3,U66&gt;10,U66&lt;24),24,U66)</f>
        <v>0</v>
      </c>
      <c r="W66" s="5"/>
    </row>
    <row r="67" spans="2:23" x14ac:dyDescent="0.25">
      <c r="B67" s="72">
        <v>30500</v>
      </c>
      <c r="C67" s="19">
        <f>MAX('TANF-VIEW'!L70,'TANF-VIEW'!T70)</f>
        <v>0</v>
      </c>
      <c r="D67" s="20">
        <f t="shared" si="13"/>
        <v>2541.6666666666665</v>
      </c>
      <c r="E67" s="20">
        <f>'Total income package'!$D$80</f>
        <v>0</v>
      </c>
      <c r="F67" s="20">
        <f>'Total income package'!$H$61+'Total income package'!$F$66</f>
        <v>100</v>
      </c>
      <c r="G67" s="20">
        <f t="shared" si="4"/>
        <v>2641.6666666666665</v>
      </c>
      <c r="H67" s="20" t="str">
        <f t="shared" si="0"/>
        <v>Yes</v>
      </c>
      <c r="I67" s="20">
        <f t="shared" si="1"/>
        <v>508.33333333333331</v>
      </c>
      <c r="J67" s="20">
        <f t="shared" si="2"/>
        <v>209</v>
      </c>
      <c r="K67" s="20">
        <f t="shared" si="5"/>
        <v>1924.333333333333</v>
      </c>
      <c r="L67" s="20">
        <f t="shared" si="6"/>
        <v>500</v>
      </c>
      <c r="M67" s="20">
        <f>'Total income package'!$B$69</f>
        <v>500</v>
      </c>
      <c r="N67" s="20">
        <f t="shared" si="7"/>
        <v>1000</v>
      </c>
      <c r="O67" s="344" t="str">
        <f t="shared" si="8"/>
        <v>No</v>
      </c>
      <c r="P67" s="20">
        <f t="shared" si="9"/>
        <v>962.16666666666652</v>
      </c>
      <c r="Q67" s="346">
        <f t="shared" si="10"/>
        <v>0</v>
      </c>
      <c r="R67" s="20">
        <f>IF(AND(D$2+$E$2&gt;0,N67-SNAP!P67&gt;0),N67-SNAP!P67,0)</f>
        <v>37.833333333333485</v>
      </c>
      <c r="S67" s="20">
        <f t="shared" si="11"/>
        <v>1886.4999999999995</v>
      </c>
      <c r="T67" s="20">
        <f t="shared" si="3"/>
        <v>565.94999999999982</v>
      </c>
      <c r="U67" s="20">
        <f>IF(AND('Total income package'!$A$18=TRUE,OR(H67="Yes",O67="Yes"),G67&lt;$G$2,$K$2-T67&gt;10),ROUNDDOWN($K$2-T67,0),0)</f>
        <v>0</v>
      </c>
      <c r="V67" s="176">
        <f t="shared" si="12"/>
        <v>0</v>
      </c>
      <c r="W67" s="5"/>
    </row>
    <row r="68" spans="2:23" x14ac:dyDescent="0.25">
      <c r="B68" s="72">
        <v>31000</v>
      </c>
      <c r="C68" s="19">
        <f>MAX('TANF-VIEW'!L71,'TANF-VIEW'!T71)</f>
        <v>0</v>
      </c>
      <c r="D68" s="20">
        <f t="shared" si="13"/>
        <v>2583.3333333333335</v>
      </c>
      <c r="E68" s="20">
        <f>'Total income package'!$D$80</f>
        <v>0</v>
      </c>
      <c r="F68" s="20">
        <f>'Total income package'!$H$61+'Total income package'!$F$66</f>
        <v>100</v>
      </c>
      <c r="G68" s="20">
        <f t="shared" si="4"/>
        <v>2683.3333333333335</v>
      </c>
      <c r="H68" s="20" t="str">
        <f t="shared" si="0"/>
        <v>Yes</v>
      </c>
      <c r="I68" s="20">
        <f t="shared" si="1"/>
        <v>516.66666666666674</v>
      </c>
      <c r="J68" s="20">
        <f t="shared" si="2"/>
        <v>209</v>
      </c>
      <c r="K68" s="20">
        <f t="shared" si="5"/>
        <v>1957.666666666667</v>
      </c>
      <c r="L68" s="20">
        <f t="shared" si="6"/>
        <v>500</v>
      </c>
      <c r="M68" s="20">
        <f>'Total income package'!$B$69</f>
        <v>500</v>
      </c>
      <c r="N68" s="20">
        <f t="shared" si="7"/>
        <v>1000</v>
      </c>
      <c r="O68" s="344" t="str">
        <f t="shared" si="8"/>
        <v>No</v>
      </c>
      <c r="P68" s="20">
        <f t="shared" si="9"/>
        <v>978.83333333333348</v>
      </c>
      <c r="Q68" s="346">
        <f t="shared" si="10"/>
        <v>0</v>
      </c>
      <c r="R68" s="20">
        <f>IF(AND(D$2+$E$2&gt;0,N68-SNAP!P68&gt;0),N68-SNAP!P68,0)</f>
        <v>21.166666666666515</v>
      </c>
      <c r="S68" s="20">
        <f t="shared" si="11"/>
        <v>1936.5000000000005</v>
      </c>
      <c r="T68" s="20">
        <f t="shared" si="3"/>
        <v>580.95000000000016</v>
      </c>
      <c r="U68" s="20">
        <f>IF(AND('Total income package'!$A$18=TRUE,OR(H68="Yes",O68="Yes"),G68&lt;$G$2,$K$2-T68&gt;10),ROUNDDOWN($K$2-T68,0),0)</f>
        <v>0</v>
      </c>
      <c r="V68" s="176">
        <f t="shared" si="12"/>
        <v>0</v>
      </c>
      <c r="W68" s="5"/>
    </row>
    <row r="69" spans="2:23" x14ac:dyDescent="0.25">
      <c r="B69" s="72">
        <v>31500</v>
      </c>
      <c r="C69" s="19">
        <f>MAX('TANF-VIEW'!L72,'TANF-VIEW'!T72)</f>
        <v>0</v>
      </c>
      <c r="D69" s="20">
        <f t="shared" si="13"/>
        <v>2625</v>
      </c>
      <c r="E69" s="20">
        <f>'Total income package'!$D$80</f>
        <v>0</v>
      </c>
      <c r="F69" s="20">
        <f>'Total income package'!$H$61+'Total income package'!$F$66</f>
        <v>100</v>
      </c>
      <c r="G69" s="20">
        <f t="shared" si="4"/>
        <v>2725</v>
      </c>
      <c r="H69" s="20" t="str">
        <f t="shared" si="0"/>
        <v>Yes</v>
      </c>
      <c r="I69" s="20">
        <f t="shared" si="1"/>
        <v>525</v>
      </c>
      <c r="J69" s="20">
        <f t="shared" si="2"/>
        <v>209</v>
      </c>
      <c r="K69" s="20">
        <f t="shared" si="5"/>
        <v>1991</v>
      </c>
      <c r="L69" s="20">
        <f t="shared" si="6"/>
        <v>500</v>
      </c>
      <c r="M69" s="20">
        <f>'Total income package'!$B$69</f>
        <v>500</v>
      </c>
      <c r="N69" s="20">
        <f t="shared" si="7"/>
        <v>1000</v>
      </c>
      <c r="O69" s="344" t="str">
        <f t="shared" si="8"/>
        <v>No</v>
      </c>
      <c r="P69" s="20">
        <f t="shared" si="9"/>
        <v>995.5</v>
      </c>
      <c r="Q69" s="346">
        <f t="shared" si="10"/>
        <v>0</v>
      </c>
      <c r="R69" s="20">
        <f>IF(AND(D$2+$E$2&gt;0,N69-SNAP!P69&gt;0),N69-SNAP!P69,0)</f>
        <v>4.5</v>
      </c>
      <c r="S69" s="20">
        <f t="shared" si="11"/>
        <v>1986.5</v>
      </c>
      <c r="T69" s="20">
        <f t="shared" si="3"/>
        <v>595.94999999999993</v>
      </c>
      <c r="U69" s="20">
        <f>IF(AND('Total income package'!$A$18=TRUE,OR(H69="Yes",O69="Yes"),G69&lt;$G$2,$K$2-T69&gt;10),ROUNDDOWN($K$2-T69,0),0)</f>
        <v>0</v>
      </c>
      <c r="V69" s="176">
        <f t="shared" si="12"/>
        <v>0</v>
      </c>
      <c r="W69" s="5"/>
    </row>
    <row r="70" spans="2:23" x14ac:dyDescent="0.25">
      <c r="B70" s="72">
        <v>32000</v>
      </c>
      <c r="C70" s="19">
        <f>MAX('TANF-VIEW'!L73,'TANF-VIEW'!T73)</f>
        <v>0</v>
      </c>
      <c r="D70" s="20">
        <f t="shared" si="13"/>
        <v>2666.6666666666665</v>
      </c>
      <c r="E70" s="20">
        <f>'Total income package'!$D$80</f>
        <v>0</v>
      </c>
      <c r="F70" s="20">
        <f>'Total income package'!$H$61+'Total income package'!$F$66</f>
        <v>100</v>
      </c>
      <c r="G70" s="20">
        <f t="shared" si="4"/>
        <v>2766.6666666666665</v>
      </c>
      <c r="H70" s="20" t="str">
        <f t="shared" ref="H70:H133" si="14">IF(G70&lt;$G$2,"Yes","No")</f>
        <v>Yes</v>
      </c>
      <c r="I70" s="20">
        <f t="shared" ref="I70:I133" si="15">D70*0.2</f>
        <v>533.33333333333337</v>
      </c>
      <c r="J70" s="20">
        <f t="shared" ref="J70:J133" si="16">$H$2</f>
        <v>209</v>
      </c>
      <c r="K70" s="20">
        <f t="shared" ref="K70:K133" si="17">IF(G70-I70-J70&gt;0,G70-I70-J70,0)</f>
        <v>2024.333333333333</v>
      </c>
      <c r="L70" s="20">
        <f t="shared" si="6"/>
        <v>500</v>
      </c>
      <c r="M70" s="20">
        <f>'Total income package'!$B$69</f>
        <v>500</v>
      </c>
      <c r="N70" s="20">
        <f t="shared" si="7"/>
        <v>1000</v>
      </c>
      <c r="O70" s="344" t="str">
        <f t="shared" si="8"/>
        <v>No</v>
      </c>
      <c r="P70" s="20">
        <f t="shared" si="9"/>
        <v>1012.1666666666665</v>
      </c>
      <c r="Q70" s="346">
        <f t="shared" ref="Q70:Q133" si="18">IF(AND(D$2+$E$2=0,N70&lt;$L$2,N70-P70&gt;0),N70-P70,IF(AND(D$2+$E$2=0,N70&gt;$L$2),$L$2,0))</f>
        <v>0</v>
      </c>
      <c r="R70" s="20">
        <f>IF(AND(D$2+$E$2&gt;0,N70-SNAP!P70&gt;0),N70-SNAP!P70,0)</f>
        <v>0</v>
      </c>
      <c r="S70" s="20">
        <f t="shared" si="11"/>
        <v>2024.333333333333</v>
      </c>
      <c r="T70" s="20">
        <f t="shared" ref="T70:T133" si="19">S70*0.3</f>
        <v>607.29999999999984</v>
      </c>
      <c r="U70" s="20">
        <f>IF(AND('Total income package'!$A$18=TRUE,OR(H70="Yes",O70="Yes"),G70&lt;$G$2,$K$2-T70&gt;10),ROUNDDOWN($K$2-T70,0),0)</f>
        <v>0</v>
      </c>
      <c r="V70" s="176">
        <f t="shared" si="12"/>
        <v>0</v>
      </c>
      <c r="W70" s="5"/>
    </row>
    <row r="71" spans="2:23" x14ac:dyDescent="0.25">
      <c r="B71" s="72">
        <v>32500</v>
      </c>
      <c r="C71" s="19">
        <f>MAX('TANF-VIEW'!L74,'TANF-VIEW'!T74)</f>
        <v>0</v>
      </c>
      <c r="D71" s="20">
        <f t="shared" si="13"/>
        <v>2708.3333333333335</v>
      </c>
      <c r="E71" s="20">
        <f>'Total income package'!$D$80</f>
        <v>0</v>
      </c>
      <c r="F71" s="20">
        <f>'Total income package'!$H$61+'Total income package'!$F$66</f>
        <v>100</v>
      </c>
      <c r="G71" s="20">
        <f t="shared" ref="G71:G134" si="20">D71+C71+E71+F71</f>
        <v>2808.3333333333335</v>
      </c>
      <c r="H71" s="20" t="str">
        <f t="shared" si="14"/>
        <v>Yes</v>
      </c>
      <c r="I71" s="20">
        <f t="shared" si="15"/>
        <v>541.66666666666674</v>
      </c>
      <c r="J71" s="20">
        <f t="shared" si="16"/>
        <v>209</v>
      </c>
      <c r="K71" s="20">
        <f t="shared" si="17"/>
        <v>2057.666666666667</v>
      </c>
      <c r="L71" s="20">
        <f t="shared" ref="L71:L134" si="21">$I$2</f>
        <v>500</v>
      </c>
      <c r="M71" s="20">
        <f>'Total income package'!$B$69</f>
        <v>500</v>
      </c>
      <c r="N71" s="20">
        <f t="shared" ref="N71:N134" si="22">L71+M71</f>
        <v>1000</v>
      </c>
      <c r="O71" s="344" t="str">
        <f t="shared" ref="O71:O134" si="23">IF(AND($D$2+$E$2&gt;0,K71&lt;$J$2),"Yes","No")</f>
        <v>No</v>
      </c>
      <c r="P71" s="20">
        <f t="shared" ref="P71:P134" si="24">K71/2</f>
        <v>1028.8333333333335</v>
      </c>
      <c r="Q71" s="346">
        <f t="shared" si="18"/>
        <v>0</v>
      </c>
      <c r="R71" s="20">
        <f>IF(AND(D$2+$E$2&gt;0,N71-SNAP!P71&gt;0),N71-SNAP!P71,0)</f>
        <v>0</v>
      </c>
      <c r="S71" s="20">
        <f t="shared" ref="S71:S134" si="25">IF(AND($D$2+$E$2&gt;0,K71-R71&gt;0),K71-R71,IF(AND($D$2+$E$2=0,K71-Q71&gt;0),K71-Q71,0))</f>
        <v>2057.666666666667</v>
      </c>
      <c r="T71" s="20">
        <f t="shared" si="19"/>
        <v>617.30000000000007</v>
      </c>
      <c r="U71" s="20">
        <f>IF(AND('Total income package'!$A$18=TRUE,OR(H71="Yes",O71="Yes"),G71&lt;$G$2,$K$2-T71&gt;10),ROUNDDOWN($K$2-T71,0),0)</f>
        <v>0</v>
      </c>
      <c r="V71" s="176">
        <f t="shared" ref="V71:V134" si="26">IF(AND(C67&lt;3,U71&gt;10,U71&lt;24),24,U71)</f>
        <v>0</v>
      </c>
      <c r="W71" s="5"/>
    </row>
    <row r="72" spans="2:23" x14ac:dyDescent="0.25">
      <c r="B72" s="72">
        <v>33000</v>
      </c>
      <c r="C72" s="19">
        <f>MAX('TANF-VIEW'!L75,'TANF-VIEW'!T75)</f>
        <v>0</v>
      </c>
      <c r="D72" s="20">
        <f t="shared" si="13"/>
        <v>2750</v>
      </c>
      <c r="E72" s="20">
        <f>'Total income package'!$D$80</f>
        <v>0</v>
      </c>
      <c r="F72" s="20">
        <f>'Total income package'!$H$61+'Total income package'!$F$66</f>
        <v>100</v>
      </c>
      <c r="G72" s="20">
        <f t="shared" si="20"/>
        <v>2850</v>
      </c>
      <c r="H72" s="20" t="str">
        <f t="shared" si="14"/>
        <v>Yes</v>
      </c>
      <c r="I72" s="20">
        <f t="shared" si="15"/>
        <v>550</v>
      </c>
      <c r="J72" s="20">
        <f t="shared" si="16"/>
        <v>209</v>
      </c>
      <c r="K72" s="20">
        <f t="shared" si="17"/>
        <v>2091</v>
      </c>
      <c r="L72" s="20">
        <f t="shared" si="21"/>
        <v>500</v>
      </c>
      <c r="M72" s="20">
        <f>'Total income package'!$B$69</f>
        <v>500</v>
      </c>
      <c r="N72" s="20">
        <f t="shared" si="22"/>
        <v>1000</v>
      </c>
      <c r="O72" s="344" t="str">
        <f t="shared" si="23"/>
        <v>No</v>
      </c>
      <c r="P72" s="20">
        <f t="shared" si="24"/>
        <v>1045.5</v>
      </c>
      <c r="Q72" s="346">
        <f t="shared" si="18"/>
        <v>0</v>
      </c>
      <c r="R72" s="20">
        <f>IF(AND(D$2+$E$2&gt;0,N72-SNAP!P72&gt;0),N72-SNAP!P72,0)</f>
        <v>0</v>
      </c>
      <c r="S72" s="20">
        <f t="shared" si="25"/>
        <v>2091</v>
      </c>
      <c r="T72" s="20">
        <f t="shared" si="19"/>
        <v>627.29999999999995</v>
      </c>
      <c r="U72" s="20">
        <f>IF(AND('Total income package'!$A$18=TRUE,OR(H72="Yes",O72="Yes"),G72&lt;$G$2,$K$2-T72&gt;10),ROUNDDOWN($K$2-T72,0),0)</f>
        <v>0</v>
      </c>
      <c r="V72" s="176">
        <f t="shared" si="26"/>
        <v>0</v>
      </c>
      <c r="W72" s="5"/>
    </row>
    <row r="73" spans="2:23" x14ac:dyDescent="0.25">
      <c r="B73" s="72">
        <v>33500</v>
      </c>
      <c r="C73" s="19">
        <f>MAX('TANF-VIEW'!L76,'TANF-VIEW'!T76)</f>
        <v>0</v>
      </c>
      <c r="D73" s="20">
        <f t="shared" ref="D73:D136" si="27">B73/12</f>
        <v>2791.6666666666665</v>
      </c>
      <c r="E73" s="20">
        <f>'Total income package'!$D$80</f>
        <v>0</v>
      </c>
      <c r="F73" s="20">
        <f>'Total income package'!$H$61+'Total income package'!$F$66</f>
        <v>100</v>
      </c>
      <c r="G73" s="20">
        <f t="shared" si="20"/>
        <v>2891.6666666666665</v>
      </c>
      <c r="H73" s="20" t="str">
        <f t="shared" si="14"/>
        <v>Yes</v>
      </c>
      <c r="I73" s="20">
        <f t="shared" si="15"/>
        <v>558.33333333333337</v>
      </c>
      <c r="J73" s="20">
        <f t="shared" si="16"/>
        <v>209</v>
      </c>
      <c r="K73" s="20">
        <f t="shared" si="17"/>
        <v>2124.333333333333</v>
      </c>
      <c r="L73" s="20">
        <f t="shared" si="21"/>
        <v>500</v>
      </c>
      <c r="M73" s="20">
        <f>'Total income package'!$B$69</f>
        <v>500</v>
      </c>
      <c r="N73" s="20">
        <f t="shared" si="22"/>
        <v>1000</v>
      </c>
      <c r="O73" s="344" t="str">
        <f t="shared" si="23"/>
        <v>No</v>
      </c>
      <c r="P73" s="20">
        <f t="shared" si="24"/>
        <v>1062.1666666666665</v>
      </c>
      <c r="Q73" s="346">
        <f t="shared" si="18"/>
        <v>0</v>
      </c>
      <c r="R73" s="20">
        <f>IF(AND(D$2+$E$2&gt;0,N73-SNAP!P73&gt;0),N73-SNAP!P73,0)</f>
        <v>0</v>
      </c>
      <c r="S73" s="20">
        <f t="shared" si="25"/>
        <v>2124.333333333333</v>
      </c>
      <c r="T73" s="20">
        <f t="shared" si="19"/>
        <v>637.29999999999984</v>
      </c>
      <c r="U73" s="20">
        <f>IF(AND('Total income package'!$A$18=TRUE,OR(H73="Yes",O73="Yes"),G73&lt;$G$2,$K$2-T73&gt;10),ROUNDDOWN($K$2-T73,0),0)</f>
        <v>0</v>
      </c>
      <c r="V73" s="176">
        <f t="shared" si="26"/>
        <v>0</v>
      </c>
      <c r="W73" s="5"/>
    </row>
    <row r="74" spans="2:23" x14ac:dyDescent="0.25">
      <c r="B74" s="72">
        <v>34000</v>
      </c>
      <c r="C74" s="19">
        <f>MAX('TANF-VIEW'!L77,'TANF-VIEW'!T77)</f>
        <v>0</v>
      </c>
      <c r="D74" s="20">
        <f t="shared" si="27"/>
        <v>2833.3333333333335</v>
      </c>
      <c r="E74" s="20">
        <f>'Total income package'!$D$80</f>
        <v>0</v>
      </c>
      <c r="F74" s="20">
        <f>'Total income package'!$H$61+'Total income package'!$F$66</f>
        <v>100</v>
      </c>
      <c r="G74" s="20">
        <f t="shared" si="20"/>
        <v>2933.3333333333335</v>
      </c>
      <c r="H74" s="20" t="str">
        <f t="shared" si="14"/>
        <v>Yes</v>
      </c>
      <c r="I74" s="20">
        <f t="shared" si="15"/>
        <v>566.66666666666674</v>
      </c>
      <c r="J74" s="20">
        <f t="shared" si="16"/>
        <v>209</v>
      </c>
      <c r="K74" s="20">
        <f t="shared" si="17"/>
        <v>2157.666666666667</v>
      </c>
      <c r="L74" s="20">
        <f t="shared" si="21"/>
        <v>500</v>
      </c>
      <c r="M74" s="20">
        <f>'Total income package'!$B$69</f>
        <v>500</v>
      </c>
      <c r="N74" s="20">
        <f t="shared" si="22"/>
        <v>1000</v>
      </c>
      <c r="O74" s="344" t="str">
        <f t="shared" si="23"/>
        <v>No</v>
      </c>
      <c r="P74" s="20">
        <f t="shared" si="24"/>
        <v>1078.8333333333335</v>
      </c>
      <c r="Q74" s="346">
        <f t="shared" si="18"/>
        <v>0</v>
      </c>
      <c r="R74" s="20">
        <f>IF(AND(D$2+$E$2&gt;0,N74-SNAP!P74&gt;0),N74-SNAP!P74,0)</f>
        <v>0</v>
      </c>
      <c r="S74" s="20">
        <f t="shared" si="25"/>
        <v>2157.666666666667</v>
      </c>
      <c r="T74" s="20">
        <f t="shared" si="19"/>
        <v>647.30000000000007</v>
      </c>
      <c r="U74" s="20">
        <f>IF(AND('Total income package'!$A$18=TRUE,OR(H74="Yes",O74="Yes"),G74&lt;$G$2,$K$2-T74&gt;10),ROUNDDOWN($K$2-T74,0),0)</f>
        <v>0</v>
      </c>
      <c r="V74" s="176">
        <f t="shared" si="26"/>
        <v>0</v>
      </c>
      <c r="W74" s="5"/>
    </row>
    <row r="75" spans="2:23" x14ac:dyDescent="0.25">
      <c r="B75" s="72">
        <v>34500</v>
      </c>
      <c r="C75" s="19">
        <f>MAX('TANF-VIEW'!L78,'TANF-VIEW'!T78)</f>
        <v>0</v>
      </c>
      <c r="D75" s="20">
        <f t="shared" si="27"/>
        <v>2875</v>
      </c>
      <c r="E75" s="20">
        <f>'Total income package'!$D$80</f>
        <v>0</v>
      </c>
      <c r="F75" s="20">
        <f>'Total income package'!$H$61+'Total income package'!$F$66</f>
        <v>100</v>
      </c>
      <c r="G75" s="20">
        <f t="shared" si="20"/>
        <v>2975</v>
      </c>
      <c r="H75" s="20" t="str">
        <f t="shared" si="14"/>
        <v>Yes</v>
      </c>
      <c r="I75" s="20">
        <f t="shared" si="15"/>
        <v>575</v>
      </c>
      <c r="J75" s="20">
        <f t="shared" si="16"/>
        <v>209</v>
      </c>
      <c r="K75" s="20">
        <f t="shared" si="17"/>
        <v>2191</v>
      </c>
      <c r="L75" s="20">
        <f t="shared" si="21"/>
        <v>500</v>
      </c>
      <c r="M75" s="20">
        <f>'Total income package'!$B$69</f>
        <v>500</v>
      </c>
      <c r="N75" s="20">
        <f t="shared" si="22"/>
        <v>1000</v>
      </c>
      <c r="O75" s="344" t="str">
        <f t="shared" si="23"/>
        <v>No</v>
      </c>
      <c r="P75" s="20">
        <f t="shared" si="24"/>
        <v>1095.5</v>
      </c>
      <c r="Q75" s="346">
        <f t="shared" si="18"/>
        <v>0</v>
      </c>
      <c r="R75" s="20">
        <f>IF(AND(D$2+$E$2&gt;0,N75-SNAP!P75&gt;0),N75-SNAP!P75,0)</f>
        <v>0</v>
      </c>
      <c r="S75" s="20">
        <f t="shared" si="25"/>
        <v>2191</v>
      </c>
      <c r="T75" s="20">
        <f t="shared" si="19"/>
        <v>657.3</v>
      </c>
      <c r="U75" s="20">
        <f>IF(AND('Total income package'!$A$18=TRUE,OR(H75="Yes",O75="Yes"),G75&lt;$G$2,$K$2-T75&gt;10),ROUNDDOWN($K$2-T75,0),0)</f>
        <v>0</v>
      </c>
      <c r="V75" s="176">
        <f t="shared" si="26"/>
        <v>0</v>
      </c>
      <c r="W75" s="5"/>
    </row>
    <row r="76" spans="2:23" x14ac:dyDescent="0.25">
      <c r="B76" s="72">
        <v>35000</v>
      </c>
      <c r="C76" s="19">
        <f>MAX('TANF-VIEW'!L79,'TANF-VIEW'!T79)</f>
        <v>0</v>
      </c>
      <c r="D76" s="20">
        <f t="shared" si="27"/>
        <v>2916.6666666666665</v>
      </c>
      <c r="E76" s="20">
        <f>'Total income package'!$D$80</f>
        <v>0</v>
      </c>
      <c r="F76" s="20">
        <f>'Total income package'!$H$61+'Total income package'!$F$66</f>
        <v>100</v>
      </c>
      <c r="G76" s="20">
        <f t="shared" si="20"/>
        <v>3016.6666666666665</v>
      </c>
      <c r="H76" s="20" t="str">
        <f t="shared" si="14"/>
        <v>Yes</v>
      </c>
      <c r="I76" s="20">
        <f t="shared" si="15"/>
        <v>583.33333333333337</v>
      </c>
      <c r="J76" s="20">
        <f t="shared" si="16"/>
        <v>209</v>
      </c>
      <c r="K76" s="20">
        <f t="shared" si="17"/>
        <v>2224.333333333333</v>
      </c>
      <c r="L76" s="20">
        <f t="shared" si="21"/>
        <v>500</v>
      </c>
      <c r="M76" s="20">
        <f>'Total income package'!$B$69</f>
        <v>500</v>
      </c>
      <c r="N76" s="20">
        <f t="shared" si="22"/>
        <v>1000</v>
      </c>
      <c r="O76" s="344" t="str">
        <f t="shared" si="23"/>
        <v>No</v>
      </c>
      <c r="P76" s="20">
        <f t="shared" si="24"/>
        <v>1112.1666666666665</v>
      </c>
      <c r="Q76" s="346">
        <f t="shared" si="18"/>
        <v>0</v>
      </c>
      <c r="R76" s="20">
        <f>IF(AND(D$2+$E$2&gt;0,N76-SNAP!P76&gt;0),N76-SNAP!P76,0)</f>
        <v>0</v>
      </c>
      <c r="S76" s="20">
        <f t="shared" si="25"/>
        <v>2224.333333333333</v>
      </c>
      <c r="T76" s="20">
        <f t="shared" si="19"/>
        <v>667.29999999999984</v>
      </c>
      <c r="U76" s="20">
        <f>IF(AND('Total income package'!$A$18=TRUE,OR(H76="Yes",O76="Yes"),G76&lt;$G$2,$K$2-T76&gt;10),ROUNDDOWN($K$2-T76,0),0)</f>
        <v>0</v>
      </c>
      <c r="V76" s="176">
        <f t="shared" si="26"/>
        <v>0</v>
      </c>
      <c r="W76" s="5"/>
    </row>
    <row r="77" spans="2:23" x14ac:dyDescent="0.25">
      <c r="B77" s="72">
        <v>35500</v>
      </c>
      <c r="C77" s="19">
        <f>MAX('TANF-VIEW'!L80,'TANF-VIEW'!T80)</f>
        <v>0</v>
      </c>
      <c r="D77" s="20">
        <f t="shared" si="27"/>
        <v>2958.3333333333335</v>
      </c>
      <c r="E77" s="20">
        <f>'Total income package'!$D$80</f>
        <v>0</v>
      </c>
      <c r="F77" s="20">
        <f>'Total income package'!$H$61+'Total income package'!$F$66</f>
        <v>100</v>
      </c>
      <c r="G77" s="20">
        <f t="shared" si="20"/>
        <v>3058.3333333333335</v>
      </c>
      <c r="H77" s="20" t="str">
        <f t="shared" si="14"/>
        <v>Yes</v>
      </c>
      <c r="I77" s="20">
        <f t="shared" si="15"/>
        <v>591.66666666666674</v>
      </c>
      <c r="J77" s="20">
        <f t="shared" si="16"/>
        <v>209</v>
      </c>
      <c r="K77" s="20">
        <f t="shared" si="17"/>
        <v>2257.666666666667</v>
      </c>
      <c r="L77" s="20">
        <f t="shared" si="21"/>
        <v>500</v>
      </c>
      <c r="M77" s="20">
        <f>'Total income package'!$B$69</f>
        <v>500</v>
      </c>
      <c r="N77" s="20">
        <f t="shared" si="22"/>
        <v>1000</v>
      </c>
      <c r="O77" s="344" t="str">
        <f t="shared" si="23"/>
        <v>No</v>
      </c>
      <c r="P77" s="20">
        <f t="shared" si="24"/>
        <v>1128.8333333333335</v>
      </c>
      <c r="Q77" s="346">
        <f t="shared" si="18"/>
        <v>0</v>
      </c>
      <c r="R77" s="20">
        <f>IF(AND(D$2+$E$2&gt;0,N77-SNAP!P77&gt;0),N77-SNAP!P77,0)</f>
        <v>0</v>
      </c>
      <c r="S77" s="20">
        <f t="shared" si="25"/>
        <v>2257.666666666667</v>
      </c>
      <c r="T77" s="20">
        <f t="shared" si="19"/>
        <v>677.30000000000007</v>
      </c>
      <c r="U77" s="20">
        <f>IF(AND('Total income package'!$A$18=TRUE,OR(H77="Yes",O77="Yes"),G77&lt;$G$2,$K$2-T77&gt;10),ROUNDDOWN($K$2-T77,0),0)</f>
        <v>0</v>
      </c>
      <c r="V77" s="176">
        <f t="shared" si="26"/>
        <v>0</v>
      </c>
      <c r="W77" s="5"/>
    </row>
    <row r="78" spans="2:23" x14ac:dyDescent="0.25">
      <c r="B78" s="72">
        <v>36000</v>
      </c>
      <c r="C78" s="19">
        <f>MAX('TANF-VIEW'!L81,'TANF-VIEW'!T81)</f>
        <v>0</v>
      </c>
      <c r="D78" s="20">
        <f t="shared" si="27"/>
        <v>3000</v>
      </c>
      <c r="E78" s="20">
        <f>'Total income package'!$D$80</f>
        <v>0</v>
      </c>
      <c r="F78" s="20">
        <f>'Total income package'!$H$61+'Total income package'!$F$66</f>
        <v>100</v>
      </c>
      <c r="G78" s="20">
        <f t="shared" si="20"/>
        <v>3100</v>
      </c>
      <c r="H78" s="20" t="str">
        <f t="shared" si="14"/>
        <v>Yes</v>
      </c>
      <c r="I78" s="20">
        <f t="shared" si="15"/>
        <v>600</v>
      </c>
      <c r="J78" s="20">
        <f t="shared" si="16"/>
        <v>209</v>
      </c>
      <c r="K78" s="20">
        <f t="shared" si="17"/>
        <v>2291</v>
      </c>
      <c r="L78" s="20">
        <f t="shared" si="21"/>
        <v>500</v>
      </c>
      <c r="M78" s="20">
        <f>'Total income package'!$B$69</f>
        <v>500</v>
      </c>
      <c r="N78" s="20">
        <f t="shared" si="22"/>
        <v>1000</v>
      </c>
      <c r="O78" s="344" t="str">
        <f t="shared" si="23"/>
        <v>No</v>
      </c>
      <c r="P78" s="20">
        <f t="shared" si="24"/>
        <v>1145.5</v>
      </c>
      <c r="Q78" s="346">
        <f t="shared" si="18"/>
        <v>0</v>
      </c>
      <c r="R78" s="20">
        <f>IF(AND(D$2+$E$2&gt;0,N78-SNAP!P78&gt;0),N78-SNAP!P78,0)</f>
        <v>0</v>
      </c>
      <c r="S78" s="20">
        <f t="shared" si="25"/>
        <v>2291</v>
      </c>
      <c r="T78" s="20">
        <f t="shared" si="19"/>
        <v>687.3</v>
      </c>
      <c r="U78" s="20">
        <f>IF(AND('Total income package'!$A$18=TRUE,OR(H78="Yes",O78="Yes"),G78&lt;$G$2,$K$2-T78&gt;10),ROUNDDOWN($K$2-T78,0),0)</f>
        <v>0</v>
      </c>
      <c r="V78" s="176">
        <f t="shared" si="26"/>
        <v>0</v>
      </c>
      <c r="W78" s="5"/>
    </row>
    <row r="79" spans="2:23" x14ac:dyDescent="0.25">
      <c r="B79" s="72">
        <v>36500</v>
      </c>
      <c r="C79" s="19">
        <f>MAX('TANF-VIEW'!L82,'TANF-VIEW'!T82)</f>
        <v>0</v>
      </c>
      <c r="D79" s="20">
        <f t="shared" si="27"/>
        <v>3041.6666666666665</v>
      </c>
      <c r="E79" s="20">
        <f>'Total income package'!$D$80</f>
        <v>0</v>
      </c>
      <c r="F79" s="20">
        <f>'Total income package'!$H$61+'Total income package'!$F$66</f>
        <v>100</v>
      </c>
      <c r="G79" s="20">
        <f t="shared" si="20"/>
        <v>3141.6666666666665</v>
      </c>
      <c r="H79" s="20" t="str">
        <f t="shared" si="14"/>
        <v>Yes</v>
      </c>
      <c r="I79" s="20">
        <f t="shared" si="15"/>
        <v>608.33333333333337</v>
      </c>
      <c r="J79" s="20">
        <f t="shared" si="16"/>
        <v>209</v>
      </c>
      <c r="K79" s="20">
        <f t="shared" si="17"/>
        <v>2324.333333333333</v>
      </c>
      <c r="L79" s="20">
        <f t="shared" si="21"/>
        <v>500</v>
      </c>
      <c r="M79" s="20">
        <f>'Total income package'!$B$69</f>
        <v>500</v>
      </c>
      <c r="N79" s="20">
        <f t="shared" si="22"/>
        <v>1000</v>
      </c>
      <c r="O79" s="344" t="str">
        <f t="shared" si="23"/>
        <v>No</v>
      </c>
      <c r="P79" s="20">
        <f t="shared" si="24"/>
        <v>1162.1666666666665</v>
      </c>
      <c r="Q79" s="346">
        <f t="shared" si="18"/>
        <v>0</v>
      </c>
      <c r="R79" s="20">
        <f>IF(AND(D$2+$E$2&gt;0,N79-SNAP!P79&gt;0),N79-SNAP!P79,0)</f>
        <v>0</v>
      </c>
      <c r="S79" s="20">
        <f t="shared" si="25"/>
        <v>2324.333333333333</v>
      </c>
      <c r="T79" s="20">
        <f t="shared" si="19"/>
        <v>697.29999999999984</v>
      </c>
      <c r="U79" s="20">
        <f>IF(AND('Total income package'!$A$18=TRUE,OR(H79="Yes",O79="Yes"),G79&lt;$G$2,$K$2-T79&gt;10),ROUNDDOWN($K$2-T79,0),0)</f>
        <v>0</v>
      </c>
      <c r="V79" s="176">
        <f t="shared" si="26"/>
        <v>0</v>
      </c>
      <c r="W79" s="5"/>
    </row>
    <row r="80" spans="2:23" x14ac:dyDescent="0.25">
      <c r="B80" s="72">
        <v>37000</v>
      </c>
      <c r="C80" s="19">
        <f>MAX('TANF-VIEW'!L83,'TANF-VIEW'!T83)</f>
        <v>0</v>
      </c>
      <c r="D80" s="20">
        <f t="shared" si="27"/>
        <v>3083.3333333333335</v>
      </c>
      <c r="E80" s="20">
        <f>'Total income package'!$D$80</f>
        <v>0</v>
      </c>
      <c r="F80" s="20">
        <f>'Total income package'!$H$61+'Total income package'!$F$66</f>
        <v>100</v>
      </c>
      <c r="G80" s="20">
        <f t="shared" si="20"/>
        <v>3183.3333333333335</v>
      </c>
      <c r="H80" s="20" t="str">
        <f t="shared" si="14"/>
        <v>Yes</v>
      </c>
      <c r="I80" s="20">
        <f t="shared" si="15"/>
        <v>616.66666666666674</v>
      </c>
      <c r="J80" s="20">
        <f t="shared" si="16"/>
        <v>209</v>
      </c>
      <c r="K80" s="20">
        <f t="shared" si="17"/>
        <v>2357.666666666667</v>
      </c>
      <c r="L80" s="20">
        <f t="shared" si="21"/>
        <v>500</v>
      </c>
      <c r="M80" s="20">
        <f>'Total income package'!$B$69</f>
        <v>500</v>
      </c>
      <c r="N80" s="20">
        <f t="shared" si="22"/>
        <v>1000</v>
      </c>
      <c r="O80" s="344" t="str">
        <f t="shared" si="23"/>
        <v>No</v>
      </c>
      <c r="P80" s="20">
        <f t="shared" si="24"/>
        <v>1178.8333333333335</v>
      </c>
      <c r="Q80" s="346">
        <f t="shared" si="18"/>
        <v>0</v>
      </c>
      <c r="R80" s="20">
        <f>IF(AND(D$2+$E$2&gt;0,N80-SNAP!P80&gt;0),N80-SNAP!P80,0)</f>
        <v>0</v>
      </c>
      <c r="S80" s="20">
        <f t="shared" si="25"/>
        <v>2357.666666666667</v>
      </c>
      <c r="T80" s="20">
        <f t="shared" si="19"/>
        <v>707.30000000000007</v>
      </c>
      <c r="U80" s="20">
        <f>IF(AND('Total income package'!$A$18=TRUE,OR(H80="Yes",O80="Yes"),G80&lt;$G$2,$K$2-T80&gt;10),ROUNDDOWN($K$2-T80,0),0)</f>
        <v>0</v>
      </c>
      <c r="V80" s="176">
        <f t="shared" si="26"/>
        <v>0</v>
      </c>
      <c r="W80" s="5"/>
    </row>
    <row r="81" spans="2:23" x14ac:dyDescent="0.25">
      <c r="B81" s="72">
        <v>37500</v>
      </c>
      <c r="C81" s="19">
        <f>MAX('TANF-VIEW'!L84,'TANF-VIEW'!T84)</f>
        <v>0</v>
      </c>
      <c r="D81" s="20">
        <f t="shared" si="27"/>
        <v>3125</v>
      </c>
      <c r="E81" s="20">
        <f>'Total income package'!$D$80</f>
        <v>0</v>
      </c>
      <c r="F81" s="20">
        <f>'Total income package'!$H$61+'Total income package'!$F$66</f>
        <v>100</v>
      </c>
      <c r="G81" s="20">
        <f t="shared" si="20"/>
        <v>3225</v>
      </c>
      <c r="H81" s="20" t="str">
        <f t="shared" si="14"/>
        <v>Yes</v>
      </c>
      <c r="I81" s="20">
        <f t="shared" si="15"/>
        <v>625</v>
      </c>
      <c r="J81" s="20">
        <f t="shared" si="16"/>
        <v>209</v>
      </c>
      <c r="K81" s="20">
        <f t="shared" si="17"/>
        <v>2391</v>
      </c>
      <c r="L81" s="20">
        <f t="shared" si="21"/>
        <v>500</v>
      </c>
      <c r="M81" s="20">
        <f>'Total income package'!$B$69</f>
        <v>500</v>
      </c>
      <c r="N81" s="20">
        <f t="shared" si="22"/>
        <v>1000</v>
      </c>
      <c r="O81" s="344" t="str">
        <f t="shared" si="23"/>
        <v>No</v>
      </c>
      <c r="P81" s="20">
        <f t="shared" si="24"/>
        <v>1195.5</v>
      </c>
      <c r="Q81" s="346">
        <f t="shared" si="18"/>
        <v>0</v>
      </c>
      <c r="R81" s="20">
        <f>IF(AND(D$2+$E$2&gt;0,N81-SNAP!P81&gt;0),N81-SNAP!P81,0)</f>
        <v>0</v>
      </c>
      <c r="S81" s="20">
        <f t="shared" si="25"/>
        <v>2391</v>
      </c>
      <c r="T81" s="20">
        <f t="shared" si="19"/>
        <v>717.3</v>
      </c>
      <c r="U81" s="20">
        <f>IF(AND('Total income package'!$A$18=TRUE,OR(H81="Yes",O81="Yes"),G81&lt;$G$2,$K$2-T81&gt;10),ROUNDDOWN($K$2-T81,0),0)</f>
        <v>0</v>
      </c>
      <c r="V81" s="176">
        <f t="shared" si="26"/>
        <v>0</v>
      </c>
      <c r="W81" s="5"/>
    </row>
    <row r="82" spans="2:23" x14ac:dyDescent="0.25">
      <c r="B82" s="72">
        <v>38000</v>
      </c>
      <c r="C82" s="19">
        <f>MAX('TANF-VIEW'!L85,'TANF-VIEW'!T85)</f>
        <v>0</v>
      </c>
      <c r="D82" s="20">
        <f t="shared" si="27"/>
        <v>3166.6666666666665</v>
      </c>
      <c r="E82" s="20">
        <f>'Total income package'!$D$80</f>
        <v>0</v>
      </c>
      <c r="F82" s="20">
        <f>'Total income package'!$H$61+'Total income package'!$F$66</f>
        <v>100</v>
      </c>
      <c r="G82" s="20">
        <f t="shared" si="20"/>
        <v>3266.6666666666665</v>
      </c>
      <c r="H82" s="20" t="str">
        <f t="shared" si="14"/>
        <v>Yes</v>
      </c>
      <c r="I82" s="20">
        <f t="shared" si="15"/>
        <v>633.33333333333337</v>
      </c>
      <c r="J82" s="20">
        <f t="shared" si="16"/>
        <v>209</v>
      </c>
      <c r="K82" s="20">
        <f t="shared" si="17"/>
        <v>2424.333333333333</v>
      </c>
      <c r="L82" s="20">
        <f t="shared" si="21"/>
        <v>500</v>
      </c>
      <c r="M82" s="20">
        <f>'Total income package'!$B$69</f>
        <v>500</v>
      </c>
      <c r="N82" s="20">
        <f t="shared" si="22"/>
        <v>1000</v>
      </c>
      <c r="O82" s="344" t="str">
        <f t="shared" si="23"/>
        <v>No</v>
      </c>
      <c r="P82" s="20">
        <f t="shared" si="24"/>
        <v>1212.1666666666665</v>
      </c>
      <c r="Q82" s="346">
        <f t="shared" si="18"/>
        <v>0</v>
      </c>
      <c r="R82" s="20">
        <f>IF(AND(D$2+$E$2&gt;0,N82-SNAP!P82&gt;0),N82-SNAP!P82,0)</f>
        <v>0</v>
      </c>
      <c r="S82" s="20">
        <f t="shared" si="25"/>
        <v>2424.333333333333</v>
      </c>
      <c r="T82" s="20">
        <f t="shared" si="19"/>
        <v>727.29999999999984</v>
      </c>
      <c r="U82" s="20">
        <f>IF(AND('Total income package'!$A$18=TRUE,OR(H82="Yes",O82="Yes"),G82&lt;$G$2,$K$2-T82&gt;10),ROUNDDOWN($K$2-T82,0),0)</f>
        <v>0</v>
      </c>
      <c r="V82" s="176">
        <f t="shared" si="26"/>
        <v>0</v>
      </c>
      <c r="W82" s="5"/>
    </row>
    <row r="83" spans="2:23" x14ac:dyDescent="0.25">
      <c r="B83" s="72">
        <v>38500</v>
      </c>
      <c r="C83" s="19">
        <f>MAX('TANF-VIEW'!L86,'TANF-VIEW'!T86)</f>
        <v>0</v>
      </c>
      <c r="D83" s="20">
        <f t="shared" si="27"/>
        <v>3208.3333333333335</v>
      </c>
      <c r="E83" s="20">
        <f>'Total income package'!$D$80</f>
        <v>0</v>
      </c>
      <c r="F83" s="20">
        <f>'Total income package'!$H$61+'Total income package'!$F$66</f>
        <v>100</v>
      </c>
      <c r="G83" s="20">
        <f t="shared" si="20"/>
        <v>3308.3333333333335</v>
      </c>
      <c r="H83" s="20" t="str">
        <f t="shared" si="14"/>
        <v>Yes</v>
      </c>
      <c r="I83" s="20">
        <f t="shared" si="15"/>
        <v>641.66666666666674</v>
      </c>
      <c r="J83" s="20">
        <f t="shared" si="16"/>
        <v>209</v>
      </c>
      <c r="K83" s="20">
        <f t="shared" si="17"/>
        <v>2457.666666666667</v>
      </c>
      <c r="L83" s="20">
        <f t="shared" si="21"/>
        <v>500</v>
      </c>
      <c r="M83" s="20">
        <f>'Total income package'!$B$69</f>
        <v>500</v>
      </c>
      <c r="N83" s="20">
        <f t="shared" si="22"/>
        <v>1000</v>
      </c>
      <c r="O83" s="344" t="str">
        <f t="shared" si="23"/>
        <v>No</v>
      </c>
      <c r="P83" s="20">
        <f t="shared" si="24"/>
        <v>1228.8333333333335</v>
      </c>
      <c r="Q83" s="346">
        <f t="shared" si="18"/>
        <v>0</v>
      </c>
      <c r="R83" s="20">
        <f>IF(AND(D$2+$E$2&gt;0,N83-SNAP!P83&gt;0),N83-SNAP!P83,0)</f>
        <v>0</v>
      </c>
      <c r="S83" s="20">
        <f t="shared" si="25"/>
        <v>2457.666666666667</v>
      </c>
      <c r="T83" s="20">
        <f t="shared" si="19"/>
        <v>737.30000000000007</v>
      </c>
      <c r="U83" s="20">
        <f>IF(AND('Total income package'!$A$18=TRUE,OR(H83="Yes",O83="Yes"),G83&lt;$G$2,$K$2-T83&gt;10),ROUNDDOWN($K$2-T83,0),0)</f>
        <v>0</v>
      </c>
      <c r="V83" s="176">
        <f t="shared" si="26"/>
        <v>0</v>
      </c>
      <c r="W83" s="5"/>
    </row>
    <row r="84" spans="2:23" x14ac:dyDescent="0.25">
      <c r="B84" s="72">
        <v>39000</v>
      </c>
      <c r="C84" s="19">
        <f>MAX('TANF-VIEW'!L87,'TANF-VIEW'!T87)</f>
        <v>0</v>
      </c>
      <c r="D84" s="20">
        <f t="shared" si="27"/>
        <v>3250</v>
      </c>
      <c r="E84" s="20">
        <f>'Total income package'!$D$80</f>
        <v>0</v>
      </c>
      <c r="F84" s="20">
        <f>'Total income package'!$H$61+'Total income package'!$F$66</f>
        <v>100</v>
      </c>
      <c r="G84" s="20">
        <f t="shared" si="20"/>
        <v>3350</v>
      </c>
      <c r="H84" s="20" t="str">
        <f t="shared" si="14"/>
        <v>Yes</v>
      </c>
      <c r="I84" s="20">
        <f t="shared" si="15"/>
        <v>650</v>
      </c>
      <c r="J84" s="20">
        <f t="shared" si="16"/>
        <v>209</v>
      </c>
      <c r="K84" s="20">
        <f t="shared" si="17"/>
        <v>2491</v>
      </c>
      <c r="L84" s="20">
        <f t="shared" si="21"/>
        <v>500</v>
      </c>
      <c r="M84" s="20">
        <f>'Total income package'!$B$69</f>
        <v>500</v>
      </c>
      <c r="N84" s="20">
        <f t="shared" si="22"/>
        <v>1000</v>
      </c>
      <c r="O84" s="344" t="str">
        <f t="shared" si="23"/>
        <v>No</v>
      </c>
      <c r="P84" s="20">
        <f t="shared" si="24"/>
        <v>1245.5</v>
      </c>
      <c r="Q84" s="346">
        <f t="shared" si="18"/>
        <v>0</v>
      </c>
      <c r="R84" s="20">
        <f>IF(AND(D$2+$E$2&gt;0,N84-SNAP!P84&gt;0),N84-SNAP!P84,0)</f>
        <v>0</v>
      </c>
      <c r="S84" s="20">
        <f t="shared" si="25"/>
        <v>2491</v>
      </c>
      <c r="T84" s="20">
        <f t="shared" si="19"/>
        <v>747.3</v>
      </c>
      <c r="U84" s="20">
        <f>IF(AND('Total income package'!$A$18=TRUE,OR(H84="Yes",O84="Yes"),G84&lt;$G$2,$K$2-T84&gt;10),ROUNDDOWN($K$2-T84,0),0)</f>
        <v>0</v>
      </c>
      <c r="V84" s="176">
        <f t="shared" si="26"/>
        <v>0</v>
      </c>
      <c r="W84" s="5"/>
    </row>
    <row r="85" spans="2:23" x14ac:dyDescent="0.25">
      <c r="B85" s="72">
        <v>39500</v>
      </c>
      <c r="C85" s="19">
        <f>MAX('TANF-VIEW'!L88,'TANF-VIEW'!T88)</f>
        <v>0</v>
      </c>
      <c r="D85" s="20">
        <f t="shared" si="27"/>
        <v>3291.6666666666665</v>
      </c>
      <c r="E85" s="20">
        <f>'Total income package'!$D$80</f>
        <v>0</v>
      </c>
      <c r="F85" s="20">
        <f>'Total income package'!$H$61+'Total income package'!$F$66</f>
        <v>100</v>
      </c>
      <c r="G85" s="20">
        <f t="shared" si="20"/>
        <v>3391.6666666666665</v>
      </c>
      <c r="H85" s="20" t="str">
        <f t="shared" si="14"/>
        <v>Yes</v>
      </c>
      <c r="I85" s="20">
        <f t="shared" si="15"/>
        <v>658.33333333333337</v>
      </c>
      <c r="J85" s="20">
        <f t="shared" si="16"/>
        <v>209</v>
      </c>
      <c r="K85" s="20">
        <f t="shared" si="17"/>
        <v>2524.333333333333</v>
      </c>
      <c r="L85" s="20">
        <f t="shared" si="21"/>
        <v>500</v>
      </c>
      <c r="M85" s="20">
        <f>'Total income package'!$B$69</f>
        <v>500</v>
      </c>
      <c r="N85" s="20">
        <f t="shared" si="22"/>
        <v>1000</v>
      </c>
      <c r="O85" s="344" t="str">
        <f t="shared" si="23"/>
        <v>No</v>
      </c>
      <c r="P85" s="20">
        <f t="shared" si="24"/>
        <v>1262.1666666666665</v>
      </c>
      <c r="Q85" s="346">
        <f t="shared" si="18"/>
        <v>0</v>
      </c>
      <c r="R85" s="20">
        <f>IF(AND(D$2+$E$2&gt;0,N85-SNAP!P85&gt;0),N85-SNAP!P85,0)</f>
        <v>0</v>
      </c>
      <c r="S85" s="20">
        <f t="shared" si="25"/>
        <v>2524.333333333333</v>
      </c>
      <c r="T85" s="20">
        <f t="shared" si="19"/>
        <v>757.29999999999984</v>
      </c>
      <c r="U85" s="20">
        <f>IF(AND('Total income package'!$A$18=TRUE,OR(H85="Yes",O85="Yes"),G85&lt;$G$2,$K$2-T85&gt;10),ROUNDDOWN($K$2-T85,0),0)</f>
        <v>0</v>
      </c>
      <c r="V85" s="176">
        <f t="shared" si="26"/>
        <v>0</v>
      </c>
      <c r="W85" s="5"/>
    </row>
    <row r="86" spans="2:23" x14ac:dyDescent="0.25">
      <c r="B86" s="72">
        <v>40000</v>
      </c>
      <c r="C86" s="19">
        <f>MAX('TANF-VIEW'!L89,'TANF-VIEW'!T89)</f>
        <v>0</v>
      </c>
      <c r="D86" s="20">
        <f t="shared" si="27"/>
        <v>3333.3333333333335</v>
      </c>
      <c r="E86" s="20">
        <f>'Total income package'!$D$80</f>
        <v>0</v>
      </c>
      <c r="F86" s="20">
        <f>'Total income package'!$H$61+'Total income package'!$F$66</f>
        <v>100</v>
      </c>
      <c r="G86" s="20">
        <f t="shared" si="20"/>
        <v>3433.3333333333335</v>
      </c>
      <c r="H86" s="20" t="str">
        <f t="shared" si="14"/>
        <v>Yes</v>
      </c>
      <c r="I86" s="20">
        <f t="shared" si="15"/>
        <v>666.66666666666674</v>
      </c>
      <c r="J86" s="20">
        <f t="shared" si="16"/>
        <v>209</v>
      </c>
      <c r="K86" s="20">
        <f t="shared" si="17"/>
        <v>2557.666666666667</v>
      </c>
      <c r="L86" s="20">
        <f t="shared" si="21"/>
        <v>500</v>
      </c>
      <c r="M86" s="20">
        <f>'Total income package'!$B$69</f>
        <v>500</v>
      </c>
      <c r="N86" s="20">
        <f t="shared" si="22"/>
        <v>1000</v>
      </c>
      <c r="O86" s="344" t="str">
        <f t="shared" si="23"/>
        <v>No</v>
      </c>
      <c r="P86" s="20">
        <f t="shared" si="24"/>
        <v>1278.8333333333335</v>
      </c>
      <c r="Q86" s="346">
        <f t="shared" si="18"/>
        <v>0</v>
      </c>
      <c r="R86" s="20">
        <f>IF(AND(D$2+$E$2&gt;0,N86-SNAP!P86&gt;0),N86-SNAP!P86,0)</f>
        <v>0</v>
      </c>
      <c r="S86" s="20">
        <f t="shared" si="25"/>
        <v>2557.666666666667</v>
      </c>
      <c r="T86" s="20">
        <f t="shared" si="19"/>
        <v>767.30000000000007</v>
      </c>
      <c r="U86" s="20">
        <f>IF(AND('Total income package'!$A$18=TRUE,OR(H86="Yes",O86="Yes"),G86&lt;$G$2,$K$2-T86&gt;10),ROUNDDOWN($K$2-T86,0),0)</f>
        <v>0</v>
      </c>
      <c r="V86" s="176">
        <f t="shared" si="26"/>
        <v>0</v>
      </c>
      <c r="W86" s="5"/>
    </row>
    <row r="87" spans="2:23" x14ac:dyDescent="0.25">
      <c r="B87" s="72">
        <v>40500</v>
      </c>
      <c r="C87" s="19">
        <f>MAX('TANF-VIEW'!L90,'TANF-VIEW'!T90)</f>
        <v>0</v>
      </c>
      <c r="D87" s="20">
        <f t="shared" si="27"/>
        <v>3375</v>
      </c>
      <c r="E87" s="20">
        <f>'Total income package'!$D$80</f>
        <v>0</v>
      </c>
      <c r="F87" s="20">
        <f>'Total income package'!$H$61+'Total income package'!$F$66</f>
        <v>100</v>
      </c>
      <c r="G87" s="20">
        <f t="shared" si="20"/>
        <v>3475</v>
      </c>
      <c r="H87" s="20" t="str">
        <f t="shared" si="14"/>
        <v>Yes</v>
      </c>
      <c r="I87" s="20">
        <f t="shared" si="15"/>
        <v>675</v>
      </c>
      <c r="J87" s="20">
        <f t="shared" si="16"/>
        <v>209</v>
      </c>
      <c r="K87" s="20">
        <f t="shared" si="17"/>
        <v>2591</v>
      </c>
      <c r="L87" s="20">
        <f t="shared" si="21"/>
        <v>500</v>
      </c>
      <c r="M87" s="20">
        <f>'Total income package'!$B$69</f>
        <v>500</v>
      </c>
      <c r="N87" s="20">
        <f t="shared" si="22"/>
        <v>1000</v>
      </c>
      <c r="O87" s="344" t="str">
        <f t="shared" si="23"/>
        <v>No</v>
      </c>
      <c r="P87" s="20">
        <f t="shared" si="24"/>
        <v>1295.5</v>
      </c>
      <c r="Q87" s="346">
        <f t="shared" si="18"/>
        <v>0</v>
      </c>
      <c r="R87" s="20">
        <f>IF(AND(D$2+$E$2&gt;0,N87-SNAP!P87&gt;0),N87-SNAP!P87,0)</f>
        <v>0</v>
      </c>
      <c r="S87" s="20">
        <f t="shared" si="25"/>
        <v>2591</v>
      </c>
      <c r="T87" s="20">
        <f t="shared" si="19"/>
        <v>777.3</v>
      </c>
      <c r="U87" s="20">
        <f>IF(AND('Total income package'!$A$18=TRUE,OR(H87="Yes",O87="Yes"),G87&lt;$G$2,$K$2-T87&gt;10),ROUNDDOWN($K$2-T87,0),0)</f>
        <v>0</v>
      </c>
      <c r="V87" s="176">
        <f t="shared" si="26"/>
        <v>0</v>
      </c>
      <c r="W87" s="5"/>
    </row>
    <row r="88" spans="2:23" x14ac:dyDescent="0.25">
      <c r="B88" s="72">
        <v>41000</v>
      </c>
      <c r="C88" s="19">
        <f>MAX('TANF-VIEW'!L91,'TANF-VIEW'!T91)</f>
        <v>0</v>
      </c>
      <c r="D88" s="20">
        <f t="shared" si="27"/>
        <v>3416.6666666666665</v>
      </c>
      <c r="E88" s="20">
        <f>'Total income package'!$D$80</f>
        <v>0</v>
      </c>
      <c r="F88" s="20">
        <f>'Total income package'!$H$61+'Total income package'!$F$66</f>
        <v>100</v>
      </c>
      <c r="G88" s="20">
        <f t="shared" si="20"/>
        <v>3516.6666666666665</v>
      </c>
      <c r="H88" s="20" t="str">
        <f t="shared" si="14"/>
        <v>Yes</v>
      </c>
      <c r="I88" s="20">
        <f t="shared" si="15"/>
        <v>683.33333333333337</v>
      </c>
      <c r="J88" s="20">
        <f t="shared" si="16"/>
        <v>209</v>
      </c>
      <c r="K88" s="20">
        <f t="shared" si="17"/>
        <v>2624.333333333333</v>
      </c>
      <c r="L88" s="20">
        <f t="shared" si="21"/>
        <v>500</v>
      </c>
      <c r="M88" s="20">
        <f>'Total income package'!$B$69</f>
        <v>500</v>
      </c>
      <c r="N88" s="20">
        <f t="shared" si="22"/>
        <v>1000</v>
      </c>
      <c r="O88" s="344" t="str">
        <f t="shared" si="23"/>
        <v>No</v>
      </c>
      <c r="P88" s="20">
        <f t="shared" si="24"/>
        <v>1312.1666666666665</v>
      </c>
      <c r="Q88" s="346">
        <f t="shared" si="18"/>
        <v>0</v>
      </c>
      <c r="R88" s="20">
        <f>IF(AND(D$2+$E$2&gt;0,N88-SNAP!P88&gt;0),N88-SNAP!P88,0)</f>
        <v>0</v>
      </c>
      <c r="S88" s="20">
        <f t="shared" si="25"/>
        <v>2624.333333333333</v>
      </c>
      <c r="T88" s="20">
        <f t="shared" si="19"/>
        <v>787.29999999999984</v>
      </c>
      <c r="U88" s="20">
        <f>IF(AND('Total income package'!$A$18=TRUE,OR(H88="Yes",O88="Yes"),G88&lt;$G$2,$K$2-T88&gt;10),ROUNDDOWN($K$2-T88,0),0)</f>
        <v>0</v>
      </c>
      <c r="V88" s="176">
        <f t="shared" si="26"/>
        <v>0</v>
      </c>
      <c r="W88" s="5"/>
    </row>
    <row r="89" spans="2:23" x14ac:dyDescent="0.25">
      <c r="B89" s="72">
        <v>41500</v>
      </c>
      <c r="C89" s="19">
        <f>MAX('TANF-VIEW'!L92,'TANF-VIEW'!T92)</f>
        <v>0</v>
      </c>
      <c r="D89" s="20">
        <f t="shared" si="27"/>
        <v>3458.3333333333335</v>
      </c>
      <c r="E89" s="20">
        <f>'Total income package'!$D$80</f>
        <v>0</v>
      </c>
      <c r="F89" s="20">
        <f>'Total income package'!$H$61+'Total income package'!$F$66</f>
        <v>100</v>
      </c>
      <c r="G89" s="20">
        <f t="shared" si="20"/>
        <v>3558.3333333333335</v>
      </c>
      <c r="H89" s="20" t="str">
        <f t="shared" si="14"/>
        <v>No</v>
      </c>
      <c r="I89" s="20">
        <f t="shared" si="15"/>
        <v>691.66666666666674</v>
      </c>
      <c r="J89" s="20">
        <f t="shared" si="16"/>
        <v>209</v>
      </c>
      <c r="K89" s="20">
        <f t="shared" si="17"/>
        <v>2657.666666666667</v>
      </c>
      <c r="L89" s="20">
        <f t="shared" si="21"/>
        <v>500</v>
      </c>
      <c r="M89" s="20">
        <f>'Total income package'!$B$69</f>
        <v>500</v>
      </c>
      <c r="N89" s="20">
        <f t="shared" si="22"/>
        <v>1000</v>
      </c>
      <c r="O89" s="344" t="str">
        <f t="shared" si="23"/>
        <v>No</v>
      </c>
      <c r="P89" s="20">
        <f t="shared" si="24"/>
        <v>1328.8333333333335</v>
      </c>
      <c r="Q89" s="346">
        <f t="shared" si="18"/>
        <v>0</v>
      </c>
      <c r="R89" s="20">
        <f>IF(AND(D$2+$E$2&gt;0,N89-SNAP!P89&gt;0),N89-SNAP!P89,0)</f>
        <v>0</v>
      </c>
      <c r="S89" s="20">
        <f t="shared" si="25"/>
        <v>2657.666666666667</v>
      </c>
      <c r="T89" s="20">
        <f t="shared" si="19"/>
        <v>797.30000000000007</v>
      </c>
      <c r="U89" s="20">
        <f>IF(AND('Total income package'!$A$18=TRUE,OR(H89="Yes",O89="Yes"),G89&lt;$G$2,$K$2-T89&gt;10),ROUNDDOWN($K$2-T89,0),0)</f>
        <v>0</v>
      </c>
      <c r="V89" s="176">
        <f t="shared" si="26"/>
        <v>0</v>
      </c>
      <c r="W89" s="5"/>
    </row>
    <row r="90" spans="2:23" x14ac:dyDescent="0.25">
      <c r="B90" s="72">
        <v>42000</v>
      </c>
      <c r="C90" s="19">
        <f>MAX('TANF-VIEW'!L93,'TANF-VIEW'!T93)</f>
        <v>0</v>
      </c>
      <c r="D90" s="20">
        <f t="shared" si="27"/>
        <v>3500</v>
      </c>
      <c r="E90" s="20">
        <f>'Total income package'!$D$80</f>
        <v>0</v>
      </c>
      <c r="F90" s="20">
        <f>'Total income package'!$H$61+'Total income package'!$F$66</f>
        <v>100</v>
      </c>
      <c r="G90" s="20">
        <f t="shared" si="20"/>
        <v>3600</v>
      </c>
      <c r="H90" s="20" t="str">
        <f t="shared" si="14"/>
        <v>No</v>
      </c>
      <c r="I90" s="20">
        <f t="shared" si="15"/>
        <v>700</v>
      </c>
      <c r="J90" s="20">
        <f t="shared" si="16"/>
        <v>209</v>
      </c>
      <c r="K90" s="20">
        <f t="shared" si="17"/>
        <v>2691</v>
      </c>
      <c r="L90" s="20">
        <f t="shared" si="21"/>
        <v>500</v>
      </c>
      <c r="M90" s="20">
        <f>'Total income package'!$B$69</f>
        <v>500</v>
      </c>
      <c r="N90" s="20">
        <f t="shared" si="22"/>
        <v>1000</v>
      </c>
      <c r="O90" s="344" t="str">
        <f t="shared" si="23"/>
        <v>No</v>
      </c>
      <c r="P90" s="20">
        <f t="shared" si="24"/>
        <v>1345.5</v>
      </c>
      <c r="Q90" s="346">
        <f t="shared" si="18"/>
        <v>0</v>
      </c>
      <c r="R90" s="20">
        <f>IF(AND(D$2+$E$2&gt;0,N90-SNAP!P90&gt;0),N90-SNAP!P90,0)</f>
        <v>0</v>
      </c>
      <c r="S90" s="20">
        <f t="shared" si="25"/>
        <v>2691</v>
      </c>
      <c r="T90" s="20">
        <f t="shared" si="19"/>
        <v>807.3</v>
      </c>
      <c r="U90" s="20">
        <f>IF(AND('Total income package'!$A$18=TRUE,OR(H90="Yes",O90="Yes"),G90&lt;$G$2,$K$2-T90&gt;10),ROUNDDOWN($K$2-T90,0),0)</f>
        <v>0</v>
      </c>
      <c r="V90" s="176">
        <f t="shared" si="26"/>
        <v>0</v>
      </c>
      <c r="W90" s="5"/>
    </row>
    <row r="91" spans="2:23" x14ac:dyDescent="0.25">
      <c r="B91" s="72">
        <v>42500</v>
      </c>
      <c r="C91" s="19">
        <f>MAX('TANF-VIEW'!L94,'TANF-VIEW'!T94)</f>
        <v>0</v>
      </c>
      <c r="D91" s="20">
        <f t="shared" si="27"/>
        <v>3541.6666666666665</v>
      </c>
      <c r="E91" s="20">
        <f>'Total income package'!$D$80</f>
        <v>0</v>
      </c>
      <c r="F91" s="20">
        <f>'Total income package'!$H$61+'Total income package'!$F$66</f>
        <v>100</v>
      </c>
      <c r="G91" s="20">
        <f t="shared" si="20"/>
        <v>3641.6666666666665</v>
      </c>
      <c r="H91" s="20" t="str">
        <f t="shared" si="14"/>
        <v>No</v>
      </c>
      <c r="I91" s="20">
        <f t="shared" si="15"/>
        <v>708.33333333333337</v>
      </c>
      <c r="J91" s="20">
        <f t="shared" si="16"/>
        <v>209</v>
      </c>
      <c r="K91" s="20">
        <f t="shared" si="17"/>
        <v>2724.333333333333</v>
      </c>
      <c r="L91" s="20">
        <f t="shared" si="21"/>
        <v>500</v>
      </c>
      <c r="M91" s="20">
        <f>'Total income package'!$B$69</f>
        <v>500</v>
      </c>
      <c r="N91" s="20">
        <f t="shared" si="22"/>
        <v>1000</v>
      </c>
      <c r="O91" s="344" t="str">
        <f t="shared" si="23"/>
        <v>No</v>
      </c>
      <c r="P91" s="20">
        <f t="shared" si="24"/>
        <v>1362.1666666666665</v>
      </c>
      <c r="Q91" s="346">
        <f t="shared" si="18"/>
        <v>0</v>
      </c>
      <c r="R91" s="20">
        <f>IF(AND(D$2+$E$2&gt;0,N91-SNAP!P91&gt;0),N91-SNAP!P91,0)</f>
        <v>0</v>
      </c>
      <c r="S91" s="20">
        <f t="shared" si="25"/>
        <v>2724.333333333333</v>
      </c>
      <c r="T91" s="20">
        <f t="shared" si="19"/>
        <v>817.29999999999984</v>
      </c>
      <c r="U91" s="20">
        <f>IF(AND('Total income package'!$A$18=TRUE,OR(H91="Yes",O91="Yes"),G91&lt;$G$2,$K$2-T91&gt;10),ROUNDDOWN($K$2-T91,0),0)</f>
        <v>0</v>
      </c>
      <c r="V91" s="176">
        <f t="shared" si="26"/>
        <v>0</v>
      </c>
      <c r="W91" s="5"/>
    </row>
    <row r="92" spans="2:23" x14ac:dyDescent="0.25">
      <c r="B92" s="72">
        <v>43000</v>
      </c>
      <c r="C92" s="19">
        <f>MAX('TANF-VIEW'!L95,'TANF-VIEW'!T95)</f>
        <v>0</v>
      </c>
      <c r="D92" s="20">
        <f t="shared" si="27"/>
        <v>3583.3333333333335</v>
      </c>
      <c r="E92" s="20">
        <f>'Total income package'!$D$80</f>
        <v>0</v>
      </c>
      <c r="F92" s="20">
        <f>'Total income package'!$H$61+'Total income package'!$F$66</f>
        <v>100</v>
      </c>
      <c r="G92" s="20">
        <f t="shared" si="20"/>
        <v>3683.3333333333335</v>
      </c>
      <c r="H92" s="20" t="str">
        <f t="shared" si="14"/>
        <v>No</v>
      </c>
      <c r="I92" s="20">
        <f t="shared" si="15"/>
        <v>716.66666666666674</v>
      </c>
      <c r="J92" s="20">
        <f t="shared" si="16"/>
        <v>209</v>
      </c>
      <c r="K92" s="20">
        <f t="shared" si="17"/>
        <v>2757.666666666667</v>
      </c>
      <c r="L92" s="20">
        <f t="shared" si="21"/>
        <v>500</v>
      </c>
      <c r="M92" s="20">
        <f>'Total income package'!$B$69</f>
        <v>500</v>
      </c>
      <c r="N92" s="20">
        <f t="shared" si="22"/>
        <v>1000</v>
      </c>
      <c r="O92" s="344" t="str">
        <f t="shared" si="23"/>
        <v>No</v>
      </c>
      <c r="P92" s="20">
        <f t="shared" si="24"/>
        <v>1378.8333333333335</v>
      </c>
      <c r="Q92" s="346">
        <f t="shared" si="18"/>
        <v>0</v>
      </c>
      <c r="R92" s="20">
        <f>IF(AND(D$2+$E$2&gt;0,N92-SNAP!P92&gt;0),N92-SNAP!P92,0)</f>
        <v>0</v>
      </c>
      <c r="S92" s="20">
        <f t="shared" si="25"/>
        <v>2757.666666666667</v>
      </c>
      <c r="T92" s="20">
        <f t="shared" si="19"/>
        <v>827.30000000000007</v>
      </c>
      <c r="U92" s="20">
        <f>IF(AND('Total income package'!$A$18=TRUE,OR(H92="Yes",O92="Yes"),G92&lt;$G$2,$K$2-T92&gt;10),ROUNDDOWN($K$2-T92,0),0)</f>
        <v>0</v>
      </c>
      <c r="V92" s="176">
        <f t="shared" si="26"/>
        <v>0</v>
      </c>
      <c r="W92" s="5"/>
    </row>
    <row r="93" spans="2:23" x14ac:dyDescent="0.25">
      <c r="B93" s="72">
        <v>43500</v>
      </c>
      <c r="C93" s="19">
        <f>MAX('TANF-VIEW'!L96,'TANF-VIEW'!T96)</f>
        <v>0</v>
      </c>
      <c r="D93" s="20">
        <f t="shared" si="27"/>
        <v>3625</v>
      </c>
      <c r="E93" s="20">
        <f>'Total income package'!$D$80</f>
        <v>0</v>
      </c>
      <c r="F93" s="20">
        <f>'Total income package'!$H$61+'Total income package'!$F$66</f>
        <v>100</v>
      </c>
      <c r="G93" s="20">
        <f t="shared" si="20"/>
        <v>3725</v>
      </c>
      <c r="H93" s="20" t="str">
        <f t="shared" si="14"/>
        <v>No</v>
      </c>
      <c r="I93" s="20">
        <f t="shared" si="15"/>
        <v>725</v>
      </c>
      <c r="J93" s="20">
        <f t="shared" si="16"/>
        <v>209</v>
      </c>
      <c r="K93" s="20">
        <f t="shared" si="17"/>
        <v>2791</v>
      </c>
      <c r="L93" s="20">
        <f t="shared" si="21"/>
        <v>500</v>
      </c>
      <c r="M93" s="20">
        <f>'Total income package'!$B$69</f>
        <v>500</v>
      </c>
      <c r="N93" s="20">
        <f t="shared" si="22"/>
        <v>1000</v>
      </c>
      <c r="O93" s="344" t="str">
        <f t="shared" si="23"/>
        <v>No</v>
      </c>
      <c r="P93" s="20">
        <f t="shared" si="24"/>
        <v>1395.5</v>
      </c>
      <c r="Q93" s="346">
        <f t="shared" si="18"/>
        <v>0</v>
      </c>
      <c r="R93" s="20">
        <f>IF(AND(D$2+$E$2&gt;0,N93-SNAP!P93&gt;0),N93-SNAP!P93,0)</f>
        <v>0</v>
      </c>
      <c r="S93" s="20">
        <f t="shared" si="25"/>
        <v>2791</v>
      </c>
      <c r="T93" s="20">
        <f t="shared" si="19"/>
        <v>837.3</v>
      </c>
      <c r="U93" s="20">
        <f>IF(AND('Total income package'!$A$18=TRUE,OR(H93="Yes",O93="Yes"),G93&lt;$G$2,$K$2-T93&gt;10),ROUNDDOWN($K$2-T93,0),0)</f>
        <v>0</v>
      </c>
      <c r="V93" s="176">
        <f t="shared" si="26"/>
        <v>0</v>
      </c>
      <c r="W93" s="5"/>
    </row>
    <row r="94" spans="2:23" x14ac:dyDescent="0.25">
      <c r="B94" s="72">
        <v>44000</v>
      </c>
      <c r="C94" s="19">
        <f>MAX('TANF-VIEW'!L97,'TANF-VIEW'!T97)</f>
        <v>0</v>
      </c>
      <c r="D94" s="20">
        <f t="shared" si="27"/>
        <v>3666.6666666666665</v>
      </c>
      <c r="E94" s="20">
        <f>'Total income package'!$D$80</f>
        <v>0</v>
      </c>
      <c r="F94" s="20">
        <f>'Total income package'!$H$61+'Total income package'!$F$66</f>
        <v>100</v>
      </c>
      <c r="G94" s="20">
        <f t="shared" si="20"/>
        <v>3766.6666666666665</v>
      </c>
      <c r="H94" s="20" t="str">
        <f t="shared" si="14"/>
        <v>No</v>
      </c>
      <c r="I94" s="20">
        <f t="shared" si="15"/>
        <v>733.33333333333337</v>
      </c>
      <c r="J94" s="20">
        <f t="shared" si="16"/>
        <v>209</v>
      </c>
      <c r="K94" s="20">
        <f t="shared" si="17"/>
        <v>2824.333333333333</v>
      </c>
      <c r="L94" s="20">
        <f t="shared" si="21"/>
        <v>500</v>
      </c>
      <c r="M94" s="20">
        <f>'Total income package'!$B$69</f>
        <v>500</v>
      </c>
      <c r="N94" s="20">
        <f t="shared" si="22"/>
        <v>1000</v>
      </c>
      <c r="O94" s="344" t="str">
        <f t="shared" si="23"/>
        <v>No</v>
      </c>
      <c r="P94" s="20">
        <f t="shared" si="24"/>
        <v>1412.1666666666665</v>
      </c>
      <c r="Q94" s="346">
        <f t="shared" si="18"/>
        <v>0</v>
      </c>
      <c r="R94" s="20">
        <f>IF(AND(D$2+$E$2&gt;0,N94-SNAP!P94&gt;0),N94-SNAP!P94,0)</f>
        <v>0</v>
      </c>
      <c r="S94" s="20">
        <f t="shared" si="25"/>
        <v>2824.333333333333</v>
      </c>
      <c r="T94" s="20">
        <f t="shared" si="19"/>
        <v>847.29999999999984</v>
      </c>
      <c r="U94" s="20">
        <f>IF(AND('Total income package'!$A$18=TRUE,OR(H94="Yes",O94="Yes"),G94&lt;$G$2,$K$2-T94&gt;10),ROUNDDOWN($K$2-T94,0),0)</f>
        <v>0</v>
      </c>
      <c r="V94" s="176">
        <f t="shared" si="26"/>
        <v>0</v>
      </c>
      <c r="W94" s="5"/>
    </row>
    <row r="95" spans="2:23" x14ac:dyDescent="0.25">
      <c r="B95" s="72">
        <v>44500</v>
      </c>
      <c r="C95" s="19">
        <f>MAX('TANF-VIEW'!L98,'TANF-VIEW'!T98)</f>
        <v>0</v>
      </c>
      <c r="D95" s="20">
        <f t="shared" si="27"/>
        <v>3708.3333333333335</v>
      </c>
      <c r="E95" s="20">
        <f>'Total income package'!$D$80</f>
        <v>0</v>
      </c>
      <c r="F95" s="20">
        <f>'Total income package'!$H$61+'Total income package'!$F$66</f>
        <v>100</v>
      </c>
      <c r="G95" s="20">
        <f t="shared" si="20"/>
        <v>3808.3333333333335</v>
      </c>
      <c r="H95" s="20" t="str">
        <f t="shared" si="14"/>
        <v>No</v>
      </c>
      <c r="I95" s="20">
        <f t="shared" si="15"/>
        <v>741.66666666666674</v>
      </c>
      <c r="J95" s="20">
        <f t="shared" si="16"/>
        <v>209</v>
      </c>
      <c r="K95" s="20">
        <f t="shared" si="17"/>
        <v>2857.666666666667</v>
      </c>
      <c r="L95" s="20">
        <f t="shared" si="21"/>
        <v>500</v>
      </c>
      <c r="M95" s="20">
        <f>'Total income package'!$B$69</f>
        <v>500</v>
      </c>
      <c r="N95" s="20">
        <f t="shared" si="22"/>
        <v>1000</v>
      </c>
      <c r="O95" s="344" t="str">
        <f t="shared" si="23"/>
        <v>No</v>
      </c>
      <c r="P95" s="20">
        <f t="shared" si="24"/>
        <v>1428.8333333333335</v>
      </c>
      <c r="Q95" s="346">
        <f t="shared" si="18"/>
        <v>0</v>
      </c>
      <c r="R95" s="20">
        <f>IF(AND(D$2+$E$2&gt;0,N95-SNAP!P95&gt;0),N95-SNAP!P95,0)</f>
        <v>0</v>
      </c>
      <c r="S95" s="20">
        <f t="shared" si="25"/>
        <v>2857.666666666667</v>
      </c>
      <c r="T95" s="20">
        <f t="shared" si="19"/>
        <v>857.30000000000007</v>
      </c>
      <c r="U95" s="20">
        <f>IF(AND('Total income package'!$A$18=TRUE,OR(H95="Yes",O95="Yes"),G95&lt;$G$2,$K$2-T95&gt;10),ROUNDDOWN($K$2-T95,0),0)</f>
        <v>0</v>
      </c>
      <c r="V95" s="176">
        <f t="shared" si="26"/>
        <v>0</v>
      </c>
      <c r="W95" s="5"/>
    </row>
    <row r="96" spans="2:23" x14ac:dyDescent="0.25">
      <c r="B96" s="72">
        <v>45000</v>
      </c>
      <c r="C96" s="19">
        <f>MAX('TANF-VIEW'!L99,'TANF-VIEW'!T99)</f>
        <v>0</v>
      </c>
      <c r="D96" s="20">
        <f t="shared" si="27"/>
        <v>3750</v>
      </c>
      <c r="E96" s="20">
        <f>'Total income package'!$D$80</f>
        <v>0</v>
      </c>
      <c r="F96" s="20">
        <f>'Total income package'!$H$61+'Total income package'!$F$66</f>
        <v>100</v>
      </c>
      <c r="G96" s="20">
        <f t="shared" si="20"/>
        <v>3850</v>
      </c>
      <c r="H96" s="20" t="str">
        <f t="shared" si="14"/>
        <v>No</v>
      </c>
      <c r="I96" s="20">
        <f t="shared" si="15"/>
        <v>750</v>
      </c>
      <c r="J96" s="20">
        <f t="shared" si="16"/>
        <v>209</v>
      </c>
      <c r="K96" s="20">
        <f t="shared" si="17"/>
        <v>2891</v>
      </c>
      <c r="L96" s="20">
        <f t="shared" si="21"/>
        <v>500</v>
      </c>
      <c r="M96" s="20">
        <f>'Total income package'!$B$69</f>
        <v>500</v>
      </c>
      <c r="N96" s="20">
        <f t="shared" si="22"/>
        <v>1000</v>
      </c>
      <c r="O96" s="344" t="str">
        <f t="shared" si="23"/>
        <v>No</v>
      </c>
      <c r="P96" s="20">
        <f t="shared" si="24"/>
        <v>1445.5</v>
      </c>
      <c r="Q96" s="346">
        <f t="shared" si="18"/>
        <v>0</v>
      </c>
      <c r="R96" s="20">
        <f>IF(AND(D$2+$E$2&gt;0,N96-SNAP!P96&gt;0),N96-SNAP!P96,0)</f>
        <v>0</v>
      </c>
      <c r="S96" s="20">
        <f t="shared" si="25"/>
        <v>2891</v>
      </c>
      <c r="T96" s="20">
        <f t="shared" si="19"/>
        <v>867.3</v>
      </c>
      <c r="U96" s="20">
        <f>IF(AND('Total income package'!$A$18=TRUE,OR(H96="Yes",O96="Yes"),G96&lt;$G$2,$K$2-T96&gt;10),ROUNDDOWN($K$2-T96,0),0)</f>
        <v>0</v>
      </c>
      <c r="V96" s="176">
        <f t="shared" si="26"/>
        <v>0</v>
      </c>
      <c r="W96" s="5"/>
    </row>
    <row r="97" spans="2:23" x14ac:dyDescent="0.25">
      <c r="B97" s="72">
        <v>45500</v>
      </c>
      <c r="C97" s="19">
        <f>MAX('TANF-VIEW'!L100,'TANF-VIEW'!T100)</f>
        <v>0</v>
      </c>
      <c r="D97" s="20">
        <f t="shared" si="27"/>
        <v>3791.6666666666665</v>
      </c>
      <c r="E97" s="20">
        <f>'Total income package'!$D$80</f>
        <v>0</v>
      </c>
      <c r="F97" s="20">
        <f>'Total income package'!$H$61+'Total income package'!$F$66</f>
        <v>100</v>
      </c>
      <c r="G97" s="20">
        <f t="shared" si="20"/>
        <v>3891.6666666666665</v>
      </c>
      <c r="H97" s="20" t="str">
        <f t="shared" si="14"/>
        <v>No</v>
      </c>
      <c r="I97" s="20">
        <f t="shared" si="15"/>
        <v>758.33333333333337</v>
      </c>
      <c r="J97" s="20">
        <f t="shared" si="16"/>
        <v>209</v>
      </c>
      <c r="K97" s="20">
        <f t="shared" si="17"/>
        <v>2924.333333333333</v>
      </c>
      <c r="L97" s="20">
        <f t="shared" si="21"/>
        <v>500</v>
      </c>
      <c r="M97" s="20">
        <f>'Total income package'!$B$69</f>
        <v>500</v>
      </c>
      <c r="N97" s="20">
        <f t="shared" si="22"/>
        <v>1000</v>
      </c>
      <c r="O97" s="344" t="str">
        <f t="shared" si="23"/>
        <v>No</v>
      </c>
      <c r="P97" s="20">
        <f t="shared" si="24"/>
        <v>1462.1666666666665</v>
      </c>
      <c r="Q97" s="346">
        <f t="shared" si="18"/>
        <v>0</v>
      </c>
      <c r="R97" s="20">
        <f>IF(AND(D$2+$E$2&gt;0,N97-SNAP!P97&gt;0),N97-SNAP!P97,0)</f>
        <v>0</v>
      </c>
      <c r="S97" s="20">
        <f t="shared" si="25"/>
        <v>2924.333333333333</v>
      </c>
      <c r="T97" s="20">
        <f t="shared" si="19"/>
        <v>877.29999999999984</v>
      </c>
      <c r="U97" s="20">
        <f>IF(AND('Total income package'!$A$18=TRUE,OR(H97="Yes",O97="Yes"),G97&lt;$G$2,$K$2-T97&gt;10),ROUNDDOWN($K$2-T97,0),0)</f>
        <v>0</v>
      </c>
      <c r="V97" s="176">
        <f t="shared" si="26"/>
        <v>0</v>
      </c>
      <c r="W97" s="5"/>
    </row>
    <row r="98" spans="2:23" x14ac:dyDescent="0.25">
      <c r="B98" s="72">
        <v>46000</v>
      </c>
      <c r="C98" s="19">
        <f>MAX('TANF-VIEW'!L101,'TANF-VIEW'!T101)</f>
        <v>0</v>
      </c>
      <c r="D98" s="20">
        <f t="shared" si="27"/>
        <v>3833.3333333333335</v>
      </c>
      <c r="E98" s="20">
        <f>'Total income package'!$D$80</f>
        <v>0</v>
      </c>
      <c r="F98" s="20">
        <f>'Total income package'!$H$61+'Total income package'!$F$66</f>
        <v>100</v>
      </c>
      <c r="G98" s="20">
        <f t="shared" si="20"/>
        <v>3933.3333333333335</v>
      </c>
      <c r="H98" s="20" t="str">
        <f t="shared" si="14"/>
        <v>No</v>
      </c>
      <c r="I98" s="20">
        <f t="shared" si="15"/>
        <v>766.66666666666674</v>
      </c>
      <c r="J98" s="20">
        <f t="shared" si="16"/>
        <v>209</v>
      </c>
      <c r="K98" s="20">
        <f t="shared" si="17"/>
        <v>2957.666666666667</v>
      </c>
      <c r="L98" s="20">
        <f t="shared" si="21"/>
        <v>500</v>
      </c>
      <c r="M98" s="20">
        <f>'Total income package'!$B$69</f>
        <v>500</v>
      </c>
      <c r="N98" s="20">
        <f t="shared" si="22"/>
        <v>1000</v>
      </c>
      <c r="O98" s="344" t="str">
        <f t="shared" si="23"/>
        <v>No</v>
      </c>
      <c r="P98" s="20">
        <f t="shared" si="24"/>
        <v>1478.8333333333335</v>
      </c>
      <c r="Q98" s="346">
        <f t="shared" si="18"/>
        <v>0</v>
      </c>
      <c r="R98" s="20">
        <f>IF(AND(D$2+$E$2&gt;0,N98-SNAP!P98&gt;0),N98-SNAP!P98,0)</f>
        <v>0</v>
      </c>
      <c r="S98" s="20">
        <f t="shared" si="25"/>
        <v>2957.666666666667</v>
      </c>
      <c r="T98" s="20">
        <f t="shared" si="19"/>
        <v>887.30000000000007</v>
      </c>
      <c r="U98" s="20">
        <f>IF(AND('Total income package'!$A$18=TRUE,OR(H98="Yes",O98="Yes"),G98&lt;$G$2,$K$2-T98&gt;10),ROUNDDOWN($K$2-T98,0),0)</f>
        <v>0</v>
      </c>
      <c r="V98" s="176">
        <f t="shared" si="26"/>
        <v>0</v>
      </c>
      <c r="W98" s="5"/>
    </row>
    <row r="99" spans="2:23" x14ac:dyDescent="0.25">
      <c r="B99" s="72">
        <v>46500</v>
      </c>
      <c r="C99" s="19">
        <f>MAX('TANF-VIEW'!L102,'TANF-VIEW'!T102)</f>
        <v>0</v>
      </c>
      <c r="D99" s="20">
        <f t="shared" si="27"/>
        <v>3875</v>
      </c>
      <c r="E99" s="20">
        <f>'Total income package'!$D$80</f>
        <v>0</v>
      </c>
      <c r="F99" s="20">
        <f>'Total income package'!$H$61+'Total income package'!$F$66</f>
        <v>100</v>
      </c>
      <c r="G99" s="20">
        <f t="shared" si="20"/>
        <v>3975</v>
      </c>
      <c r="H99" s="20" t="str">
        <f t="shared" si="14"/>
        <v>No</v>
      </c>
      <c r="I99" s="20">
        <f t="shared" si="15"/>
        <v>775</v>
      </c>
      <c r="J99" s="20">
        <f t="shared" si="16"/>
        <v>209</v>
      </c>
      <c r="K99" s="20">
        <f t="shared" si="17"/>
        <v>2991</v>
      </c>
      <c r="L99" s="20">
        <f t="shared" si="21"/>
        <v>500</v>
      </c>
      <c r="M99" s="20">
        <f>'Total income package'!$B$69</f>
        <v>500</v>
      </c>
      <c r="N99" s="20">
        <f t="shared" si="22"/>
        <v>1000</v>
      </c>
      <c r="O99" s="344" t="str">
        <f t="shared" si="23"/>
        <v>No</v>
      </c>
      <c r="P99" s="20">
        <f t="shared" si="24"/>
        <v>1495.5</v>
      </c>
      <c r="Q99" s="346">
        <f t="shared" si="18"/>
        <v>0</v>
      </c>
      <c r="R99" s="20">
        <f>IF(AND(D$2+$E$2&gt;0,N99-SNAP!P99&gt;0),N99-SNAP!P99,0)</f>
        <v>0</v>
      </c>
      <c r="S99" s="20">
        <f t="shared" si="25"/>
        <v>2991</v>
      </c>
      <c r="T99" s="20">
        <f t="shared" si="19"/>
        <v>897.3</v>
      </c>
      <c r="U99" s="20">
        <f>IF(AND('Total income package'!$A$18=TRUE,OR(H99="Yes",O99="Yes"),G99&lt;$G$2,$K$2-T99&gt;10),ROUNDDOWN($K$2-T99,0),0)</f>
        <v>0</v>
      </c>
      <c r="V99" s="176">
        <f t="shared" si="26"/>
        <v>0</v>
      </c>
      <c r="W99" s="5"/>
    </row>
    <row r="100" spans="2:23" x14ac:dyDescent="0.25">
      <c r="B100" s="72">
        <v>47000</v>
      </c>
      <c r="C100" s="19">
        <f>MAX('TANF-VIEW'!L103,'TANF-VIEW'!T103)</f>
        <v>0</v>
      </c>
      <c r="D100" s="20">
        <f t="shared" si="27"/>
        <v>3916.6666666666665</v>
      </c>
      <c r="E100" s="20">
        <f>'Total income package'!$D$80</f>
        <v>0</v>
      </c>
      <c r="F100" s="20">
        <f>'Total income package'!$H$61+'Total income package'!$F$66</f>
        <v>100</v>
      </c>
      <c r="G100" s="20">
        <f t="shared" si="20"/>
        <v>4016.6666666666665</v>
      </c>
      <c r="H100" s="20" t="str">
        <f t="shared" si="14"/>
        <v>No</v>
      </c>
      <c r="I100" s="20">
        <f t="shared" si="15"/>
        <v>783.33333333333337</v>
      </c>
      <c r="J100" s="20">
        <f t="shared" si="16"/>
        <v>209</v>
      </c>
      <c r="K100" s="20">
        <f t="shared" si="17"/>
        <v>3024.333333333333</v>
      </c>
      <c r="L100" s="20">
        <f t="shared" si="21"/>
        <v>500</v>
      </c>
      <c r="M100" s="20">
        <f>'Total income package'!$B$69</f>
        <v>500</v>
      </c>
      <c r="N100" s="20">
        <f t="shared" si="22"/>
        <v>1000</v>
      </c>
      <c r="O100" s="344" t="str">
        <f t="shared" si="23"/>
        <v>No</v>
      </c>
      <c r="P100" s="20">
        <f t="shared" si="24"/>
        <v>1512.1666666666665</v>
      </c>
      <c r="Q100" s="346">
        <f t="shared" si="18"/>
        <v>0</v>
      </c>
      <c r="R100" s="20">
        <f>IF(AND(D$2+$E$2&gt;0,N100-SNAP!P100&gt;0),N100-SNAP!P100,0)</f>
        <v>0</v>
      </c>
      <c r="S100" s="20">
        <f t="shared" si="25"/>
        <v>3024.333333333333</v>
      </c>
      <c r="T100" s="20">
        <f t="shared" si="19"/>
        <v>907.29999999999984</v>
      </c>
      <c r="U100" s="20">
        <f>IF(AND('Total income package'!$A$18=TRUE,OR(H100="Yes",O100="Yes"),G100&lt;$G$2,$K$2-T100&gt;10),ROUNDDOWN($K$2-T100,0),0)</f>
        <v>0</v>
      </c>
      <c r="V100" s="176">
        <f t="shared" si="26"/>
        <v>0</v>
      </c>
      <c r="W100" s="5"/>
    </row>
    <row r="101" spans="2:23" x14ac:dyDescent="0.25">
      <c r="B101" s="72">
        <v>47500</v>
      </c>
      <c r="C101" s="19">
        <f>MAX('TANF-VIEW'!L104,'TANF-VIEW'!T104)</f>
        <v>0</v>
      </c>
      <c r="D101" s="20">
        <f t="shared" si="27"/>
        <v>3958.3333333333335</v>
      </c>
      <c r="E101" s="20">
        <f>'Total income package'!$D$80</f>
        <v>0</v>
      </c>
      <c r="F101" s="20">
        <f>'Total income package'!$H$61+'Total income package'!$F$66</f>
        <v>100</v>
      </c>
      <c r="G101" s="20">
        <f t="shared" si="20"/>
        <v>4058.3333333333335</v>
      </c>
      <c r="H101" s="20" t="str">
        <f t="shared" si="14"/>
        <v>No</v>
      </c>
      <c r="I101" s="20">
        <f t="shared" si="15"/>
        <v>791.66666666666674</v>
      </c>
      <c r="J101" s="20">
        <f t="shared" si="16"/>
        <v>209</v>
      </c>
      <c r="K101" s="20">
        <f t="shared" si="17"/>
        <v>3057.666666666667</v>
      </c>
      <c r="L101" s="20">
        <f t="shared" si="21"/>
        <v>500</v>
      </c>
      <c r="M101" s="20">
        <f>'Total income package'!$B$69</f>
        <v>500</v>
      </c>
      <c r="N101" s="20">
        <f t="shared" si="22"/>
        <v>1000</v>
      </c>
      <c r="O101" s="344" t="str">
        <f t="shared" si="23"/>
        <v>No</v>
      </c>
      <c r="P101" s="20">
        <f t="shared" si="24"/>
        <v>1528.8333333333335</v>
      </c>
      <c r="Q101" s="346">
        <f t="shared" si="18"/>
        <v>0</v>
      </c>
      <c r="R101" s="20">
        <f>IF(AND(D$2+$E$2&gt;0,N101-SNAP!P101&gt;0),N101-SNAP!P101,0)</f>
        <v>0</v>
      </c>
      <c r="S101" s="20">
        <f t="shared" si="25"/>
        <v>3057.666666666667</v>
      </c>
      <c r="T101" s="20">
        <f t="shared" si="19"/>
        <v>917.30000000000007</v>
      </c>
      <c r="U101" s="20">
        <f>IF(AND('Total income package'!$A$18=TRUE,OR(H101="Yes",O101="Yes"),G101&lt;$G$2,$K$2-T101&gt;10),ROUNDDOWN($K$2-T101,0),0)</f>
        <v>0</v>
      </c>
      <c r="V101" s="176">
        <f t="shared" si="26"/>
        <v>0</v>
      </c>
      <c r="W101" s="5"/>
    </row>
    <row r="102" spans="2:23" x14ac:dyDescent="0.25">
      <c r="B102" s="72">
        <v>48000</v>
      </c>
      <c r="C102" s="19">
        <f>MAX('TANF-VIEW'!L105,'TANF-VIEW'!T105)</f>
        <v>0</v>
      </c>
      <c r="D102" s="20">
        <f t="shared" si="27"/>
        <v>4000</v>
      </c>
      <c r="E102" s="20">
        <f>'Total income package'!$D$80</f>
        <v>0</v>
      </c>
      <c r="F102" s="20">
        <f>'Total income package'!$H$61+'Total income package'!$F$66</f>
        <v>100</v>
      </c>
      <c r="G102" s="20">
        <f t="shared" si="20"/>
        <v>4100</v>
      </c>
      <c r="H102" s="20" t="str">
        <f t="shared" si="14"/>
        <v>No</v>
      </c>
      <c r="I102" s="20">
        <f t="shared" si="15"/>
        <v>800</v>
      </c>
      <c r="J102" s="20">
        <f t="shared" si="16"/>
        <v>209</v>
      </c>
      <c r="K102" s="20">
        <f t="shared" si="17"/>
        <v>3091</v>
      </c>
      <c r="L102" s="20">
        <f t="shared" si="21"/>
        <v>500</v>
      </c>
      <c r="M102" s="20">
        <f>'Total income package'!$B$69</f>
        <v>500</v>
      </c>
      <c r="N102" s="20">
        <f t="shared" si="22"/>
        <v>1000</v>
      </c>
      <c r="O102" s="344" t="str">
        <f t="shared" si="23"/>
        <v>No</v>
      </c>
      <c r="P102" s="20">
        <f t="shared" si="24"/>
        <v>1545.5</v>
      </c>
      <c r="Q102" s="346">
        <f t="shared" si="18"/>
        <v>0</v>
      </c>
      <c r="R102" s="20">
        <f>IF(AND(D$2+$E$2&gt;0,N102-SNAP!P102&gt;0),N102-SNAP!P102,0)</f>
        <v>0</v>
      </c>
      <c r="S102" s="20">
        <f t="shared" si="25"/>
        <v>3091</v>
      </c>
      <c r="T102" s="20">
        <f t="shared" si="19"/>
        <v>927.3</v>
      </c>
      <c r="U102" s="20">
        <f>IF(AND('Total income package'!$A$18=TRUE,OR(H102="Yes",O102="Yes"),G102&lt;$G$2,$K$2-T102&gt;10),ROUNDDOWN($K$2-T102,0),0)</f>
        <v>0</v>
      </c>
      <c r="V102" s="176">
        <f t="shared" si="26"/>
        <v>0</v>
      </c>
      <c r="W102" s="5"/>
    </row>
    <row r="103" spans="2:23" x14ac:dyDescent="0.25">
      <c r="B103" s="72">
        <v>48500</v>
      </c>
      <c r="C103" s="19">
        <f>MAX('TANF-VIEW'!L106,'TANF-VIEW'!T106)</f>
        <v>0</v>
      </c>
      <c r="D103" s="20">
        <f t="shared" si="27"/>
        <v>4041.6666666666665</v>
      </c>
      <c r="E103" s="20">
        <f>'Total income package'!$D$80</f>
        <v>0</v>
      </c>
      <c r="F103" s="20">
        <f>'Total income package'!$H$61+'Total income package'!$F$66</f>
        <v>100</v>
      </c>
      <c r="G103" s="20">
        <f t="shared" si="20"/>
        <v>4141.6666666666661</v>
      </c>
      <c r="H103" s="20" t="str">
        <f t="shared" si="14"/>
        <v>No</v>
      </c>
      <c r="I103" s="20">
        <f t="shared" si="15"/>
        <v>808.33333333333337</v>
      </c>
      <c r="J103" s="20">
        <f t="shared" si="16"/>
        <v>209</v>
      </c>
      <c r="K103" s="20">
        <f t="shared" si="17"/>
        <v>3124.3333333333326</v>
      </c>
      <c r="L103" s="20">
        <f t="shared" si="21"/>
        <v>500</v>
      </c>
      <c r="M103" s="20">
        <f>'Total income package'!$B$69</f>
        <v>500</v>
      </c>
      <c r="N103" s="20">
        <f t="shared" si="22"/>
        <v>1000</v>
      </c>
      <c r="O103" s="344" t="str">
        <f t="shared" si="23"/>
        <v>No</v>
      </c>
      <c r="P103" s="20">
        <f t="shared" si="24"/>
        <v>1562.1666666666663</v>
      </c>
      <c r="Q103" s="346">
        <f t="shared" si="18"/>
        <v>0</v>
      </c>
      <c r="R103" s="20">
        <f>IF(AND(D$2+$E$2&gt;0,N103-SNAP!P103&gt;0),N103-SNAP!P103,0)</f>
        <v>0</v>
      </c>
      <c r="S103" s="20">
        <f t="shared" si="25"/>
        <v>3124.3333333333326</v>
      </c>
      <c r="T103" s="20">
        <f t="shared" si="19"/>
        <v>937.29999999999973</v>
      </c>
      <c r="U103" s="20">
        <f>IF(AND('Total income package'!$A$18=TRUE,OR(H103="Yes",O103="Yes"),G103&lt;$G$2,$K$2-T103&gt;10),ROUNDDOWN($K$2-T103,0),0)</f>
        <v>0</v>
      </c>
      <c r="V103" s="176">
        <f t="shared" si="26"/>
        <v>0</v>
      </c>
      <c r="W103" s="5"/>
    </row>
    <row r="104" spans="2:23" x14ac:dyDescent="0.25">
      <c r="B104" s="72">
        <v>49000</v>
      </c>
      <c r="C104" s="19">
        <f>MAX('TANF-VIEW'!L107,'TANF-VIEW'!T107)</f>
        <v>0</v>
      </c>
      <c r="D104" s="20">
        <f t="shared" si="27"/>
        <v>4083.3333333333335</v>
      </c>
      <c r="E104" s="20">
        <f>'Total income package'!$D$80</f>
        <v>0</v>
      </c>
      <c r="F104" s="20">
        <f>'Total income package'!$H$61+'Total income package'!$F$66</f>
        <v>100</v>
      </c>
      <c r="G104" s="20">
        <f t="shared" si="20"/>
        <v>4183.3333333333339</v>
      </c>
      <c r="H104" s="20" t="str">
        <f t="shared" si="14"/>
        <v>No</v>
      </c>
      <c r="I104" s="20">
        <f t="shared" si="15"/>
        <v>816.66666666666674</v>
      </c>
      <c r="J104" s="20">
        <f t="shared" si="16"/>
        <v>209</v>
      </c>
      <c r="K104" s="20">
        <f t="shared" si="17"/>
        <v>3157.666666666667</v>
      </c>
      <c r="L104" s="20">
        <f t="shared" si="21"/>
        <v>500</v>
      </c>
      <c r="M104" s="20">
        <f>'Total income package'!$B$69</f>
        <v>500</v>
      </c>
      <c r="N104" s="20">
        <f t="shared" si="22"/>
        <v>1000</v>
      </c>
      <c r="O104" s="344" t="str">
        <f t="shared" si="23"/>
        <v>No</v>
      </c>
      <c r="P104" s="20">
        <f t="shared" si="24"/>
        <v>1578.8333333333335</v>
      </c>
      <c r="Q104" s="346">
        <f t="shared" si="18"/>
        <v>0</v>
      </c>
      <c r="R104" s="20">
        <f>IF(AND(D$2+$E$2&gt;0,N104-SNAP!P104&gt;0),N104-SNAP!P104,0)</f>
        <v>0</v>
      </c>
      <c r="S104" s="20">
        <f t="shared" si="25"/>
        <v>3157.666666666667</v>
      </c>
      <c r="T104" s="20">
        <f t="shared" si="19"/>
        <v>947.30000000000007</v>
      </c>
      <c r="U104" s="20">
        <f>IF(AND('Total income package'!$A$18=TRUE,OR(H104="Yes",O104="Yes"),G104&lt;$G$2,$K$2-T104&gt;10),ROUNDDOWN($K$2-T104,0),0)</f>
        <v>0</v>
      </c>
      <c r="V104" s="176">
        <f t="shared" si="26"/>
        <v>0</v>
      </c>
      <c r="W104" s="5"/>
    </row>
    <row r="105" spans="2:23" x14ac:dyDescent="0.25">
      <c r="B105" s="72">
        <v>49500</v>
      </c>
      <c r="C105" s="19">
        <f>MAX('TANF-VIEW'!L108,'TANF-VIEW'!T108)</f>
        <v>0</v>
      </c>
      <c r="D105" s="20">
        <f t="shared" si="27"/>
        <v>4125</v>
      </c>
      <c r="E105" s="20">
        <f>'Total income package'!$D$80</f>
        <v>0</v>
      </c>
      <c r="F105" s="20">
        <f>'Total income package'!$H$61+'Total income package'!$F$66</f>
        <v>100</v>
      </c>
      <c r="G105" s="20">
        <f t="shared" si="20"/>
        <v>4225</v>
      </c>
      <c r="H105" s="20" t="str">
        <f t="shared" si="14"/>
        <v>No</v>
      </c>
      <c r="I105" s="20">
        <f t="shared" si="15"/>
        <v>825</v>
      </c>
      <c r="J105" s="20">
        <f t="shared" si="16"/>
        <v>209</v>
      </c>
      <c r="K105" s="20">
        <f t="shared" si="17"/>
        <v>3191</v>
      </c>
      <c r="L105" s="20">
        <f t="shared" si="21"/>
        <v>500</v>
      </c>
      <c r="M105" s="20">
        <f>'Total income package'!$B$69</f>
        <v>500</v>
      </c>
      <c r="N105" s="20">
        <f t="shared" si="22"/>
        <v>1000</v>
      </c>
      <c r="O105" s="344" t="str">
        <f t="shared" si="23"/>
        <v>No</v>
      </c>
      <c r="P105" s="20">
        <f t="shared" si="24"/>
        <v>1595.5</v>
      </c>
      <c r="Q105" s="346">
        <f t="shared" si="18"/>
        <v>0</v>
      </c>
      <c r="R105" s="20">
        <f>IF(AND(D$2+$E$2&gt;0,N105-SNAP!P105&gt;0),N105-SNAP!P105,0)</f>
        <v>0</v>
      </c>
      <c r="S105" s="20">
        <f t="shared" si="25"/>
        <v>3191</v>
      </c>
      <c r="T105" s="20">
        <f t="shared" si="19"/>
        <v>957.3</v>
      </c>
      <c r="U105" s="20">
        <f>IF(AND('Total income package'!$A$18=TRUE,OR(H105="Yes",O105="Yes"),G105&lt;$G$2,$K$2-T105&gt;10),ROUNDDOWN($K$2-T105,0),0)</f>
        <v>0</v>
      </c>
      <c r="V105" s="176">
        <f t="shared" si="26"/>
        <v>0</v>
      </c>
      <c r="W105" s="5"/>
    </row>
    <row r="106" spans="2:23" x14ac:dyDescent="0.25">
      <c r="B106" s="72">
        <v>50000</v>
      </c>
      <c r="C106" s="19">
        <f>MAX('TANF-VIEW'!L109,'TANF-VIEW'!T109)</f>
        <v>0</v>
      </c>
      <c r="D106" s="20">
        <f t="shared" si="27"/>
        <v>4166.666666666667</v>
      </c>
      <c r="E106" s="20">
        <f>'Total income package'!$D$80</f>
        <v>0</v>
      </c>
      <c r="F106" s="20">
        <f>'Total income package'!$H$61+'Total income package'!$F$66</f>
        <v>100</v>
      </c>
      <c r="G106" s="20">
        <f t="shared" si="20"/>
        <v>4266.666666666667</v>
      </c>
      <c r="H106" s="20" t="str">
        <f t="shared" si="14"/>
        <v>No</v>
      </c>
      <c r="I106" s="20">
        <f t="shared" si="15"/>
        <v>833.33333333333348</v>
      </c>
      <c r="J106" s="20">
        <f t="shared" si="16"/>
        <v>209</v>
      </c>
      <c r="K106" s="20">
        <f t="shared" si="17"/>
        <v>3224.3333333333335</v>
      </c>
      <c r="L106" s="20">
        <f t="shared" si="21"/>
        <v>500</v>
      </c>
      <c r="M106" s="20">
        <f>'Total income package'!$B$69</f>
        <v>500</v>
      </c>
      <c r="N106" s="20">
        <f t="shared" si="22"/>
        <v>1000</v>
      </c>
      <c r="O106" s="344" t="str">
        <f t="shared" si="23"/>
        <v>No</v>
      </c>
      <c r="P106" s="20">
        <f t="shared" si="24"/>
        <v>1612.1666666666667</v>
      </c>
      <c r="Q106" s="346">
        <f t="shared" si="18"/>
        <v>0</v>
      </c>
      <c r="R106" s="20">
        <f>IF(AND(D$2+$E$2&gt;0,N106-SNAP!P106&gt;0),N106-SNAP!P106,0)</f>
        <v>0</v>
      </c>
      <c r="S106" s="20">
        <f t="shared" si="25"/>
        <v>3224.3333333333335</v>
      </c>
      <c r="T106" s="20">
        <f t="shared" si="19"/>
        <v>967.3</v>
      </c>
      <c r="U106" s="20">
        <f>IF(AND('Total income package'!$A$18=TRUE,OR(H106="Yes",O106="Yes"),G106&lt;$G$2,$K$2-T106&gt;10),ROUNDDOWN($K$2-T106,0),0)</f>
        <v>0</v>
      </c>
      <c r="V106" s="176">
        <f t="shared" si="26"/>
        <v>0</v>
      </c>
      <c r="W106" s="5"/>
    </row>
    <row r="107" spans="2:23" x14ac:dyDescent="0.25">
      <c r="B107" s="72">
        <v>50500</v>
      </c>
      <c r="C107" s="19">
        <f>MAX('TANF-VIEW'!L110,'TANF-VIEW'!T110)</f>
        <v>0</v>
      </c>
      <c r="D107" s="20">
        <f t="shared" si="27"/>
        <v>4208.333333333333</v>
      </c>
      <c r="E107" s="20">
        <f>'Total income package'!$D$80</f>
        <v>0</v>
      </c>
      <c r="F107" s="20">
        <f>'Total income package'!$H$61+'Total income package'!$F$66</f>
        <v>100</v>
      </c>
      <c r="G107" s="20">
        <f t="shared" si="20"/>
        <v>4308.333333333333</v>
      </c>
      <c r="H107" s="20" t="str">
        <f t="shared" si="14"/>
        <v>No</v>
      </c>
      <c r="I107" s="20">
        <f t="shared" si="15"/>
        <v>841.66666666666663</v>
      </c>
      <c r="J107" s="20">
        <f t="shared" si="16"/>
        <v>209</v>
      </c>
      <c r="K107" s="20">
        <f t="shared" si="17"/>
        <v>3257.6666666666665</v>
      </c>
      <c r="L107" s="20">
        <f t="shared" si="21"/>
        <v>500</v>
      </c>
      <c r="M107" s="20">
        <f>'Total income package'!$B$69</f>
        <v>500</v>
      </c>
      <c r="N107" s="20">
        <f t="shared" si="22"/>
        <v>1000</v>
      </c>
      <c r="O107" s="344" t="str">
        <f t="shared" si="23"/>
        <v>No</v>
      </c>
      <c r="P107" s="20">
        <f t="shared" si="24"/>
        <v>1628.8333333333333</v>
      </c>
      <c r="Q107" s="346">
        <f t="shared" si="18"/>
        <v>0</v>
      </c>
      <c r="R107" s="20">
        <f>IF(AND(D$2+$E$2&gt;0,N107-SNAP!P107&gt;0),N107-SNAP!P107,0)</f>
        <v>0</v>
      </c>
      <c r="S107" s="20">
        <f t="shared" si="25"/>
        <v>3257.6666666666665</v>
      </c>
      <c r="T107" s="20">
        <f t="shared" si="19"/>
        <v>977.3</v>
      </c>
      <c r="U107" s="20">
        <f>IF(AND('Total income package'!$A$18=TRUE,OR(H107="Yes",O107="Yes"),G107&lt;$G$2,$K$2-T107&gt;10),ROUNDDOWN($K$2-T107,0),0)</f>
        <v>0</v>
      </c>
      <c r="V107" s="176">
        <f t="shared" si="26"/>
        <v>0</v>
      </c>
      <c r="W107" s="5"/>
    </row>
    <row r="108" spans="2:23" ht="15" customHeight="1" x14ac:dyDescent="0.25">
      <c r="B108" s="72">
        <v>51000</v>
      </c>
      <c r="C108" s="19">
        <f>MAX('TANF-VIEW'!L111,'TANF-VIEW'!T111)</f>
        <v>0</v>
      </c>
      <c r="D108" s="20">
        <f t="shared" si="27"/>
        <v>4250</v>
      </c>
      <c r="E108" s="20">
        <f>'Total income package'!$D$80</f>
        <v>0</v>
      </c>
      <c r="F108" s="20">
        <f>'Total income package'!$H$61+'Total income package'!$F$66</f>
        <v>100</v>
      </c>
      <c r="G108" s="20">
        <f t="shared" si="20"/>
        <v>4350</v>
      </c>
      <c r="H108" s="20" t="str">
        <f t="shared" si="14"/>
        <v>No</v>
      </c>
      <c r="I108" s="20">
        <f t="shared" si="15"/>
        <v>850</v>
      </c>
      <c r="J108" s="20">
        <f t="shared" si="16"/>
        <v>209</v>
      </c>
      <c r="K108" s="20">
        <f t="shared" si="17"/>
        <v>3291</v>
      </c>
      <c r="L108" s="20">
        <f t="shared" si="21"/>
        <v>500</v>
      </c>
      <c r="M108" s="20">
        <f>'Total income package'!$B$69</f>
        <v>500</v>
      </c>
      <c r="N108" s="20">
        <f t="shared" si="22"/>
        <v>1000</v>
      </c>
      <c r="O108" s="344" t="str">
        <f t="shared" si="23"/>
        <v>No</v>
      </c>
      <c r="P108" s="20">
        <f t="shared" si="24"/>
        <v>1645.5</v>
      </c>
      <c r="Q108" s="346">
        <f t="shared" si="18"/>
        <v>0</v>
      </c>
      <c r="R108" s="20">
        <f>IF(AND(D$2+$E$2&gt;0,N108-SNAP!P108&gt;0),N108-SNAP!P108,0)</f>
        <v>0</v>
      </c>
      <c r="S108" s="20">
        <f t="shared" si="25"/>
        <v>3291</v>
      </c>
      <c r="T108" s="20">
        <f t="shared" si="19"/>
        <v>987.3</v>
      </c>
      <c r="U108" s="20">
        <f>IF(AND('Total income package'!$A$18=TRUE,OR(H108="Yes",O108="Yes"),G108&lt;$G$2,$K$2-T108&gt;10),ROUNDDOWN($K$2-T108,0),0)</f>
        <v>0</v>
      </c>
      <c r="V108" s="176">
        <f t="shared" si="26"/>
        <v>0</v>
      </c>
      <c r="W108" s="5"/>
    </row>
    <row r="109" spans="2:23" ht="15" customHeight="1" x14ac:dyDescent="0.25">
      <c r="B109" s="72">
        <v>51500</v>
      </c>
      <c r="C109" s="19">
        <f>MAX('TANF-VIEW'!L112,'TANF-VIEW'!T112)</f>
        <v>0</v>
      </c>
      <c r="D109" s="20">
        <f t="shared" si="27"/>
        <v>4291.666666666667</v>
      </c>
      <c r="E109" s="20">
        <f>'Total income package'!$D$80</f>
        <v>0</v>
      </c>
      <c r="F109" s="20">
        <f>'Total income package'!$H$61+'Total income package'!$F$66</f>
        <v>100</v>
      </c>
      <c r="G109" s="20">
        <f t="shared" si="20"/>
        <v>4391.666666666667</v>
      </c>
      <c r="H109" s="20" t="str">
        <f t="shared" si="14"/>
        <v>No</v>
      </c>
      <c r="I109" s="20">
        <f t="shared" si="15"/>
        <v>858.33333333333348</v>
      </c>
      <c r="J109" s="20">
        <f t="shared" si="16"/>
        <v>209</v>
      </c>
      <c r="K109" s="20">
        <f t="shared" si="17"/>
        <v>3324.3333333333335</v>
      </c>
      <c r="L109" s="20">
        <f t="shared" si="21"/>
        <v>500</v>
      </c>
      <c r="M109" s="20">
        <f>'Total income package'!$B$69</f>
        <v>500</v>
      </c>
      <c r="N109" s="20">
        <f t="shared" si="22"/>
        <v>1000</v>
      </c>
      <c r="O109" s="344" t="str">
        <f t="shared" si="23"/>
        <v>No</v>
      </c>
      <c r="P109" s="20">
        <f t="shared" si="24"/>
        <v>1662.1666666666667</v>
      </c>
      <c r="Q109" s="346">
        <f t="shared" si="18"/>
        <v>0</v>
      </c>
      <c r="R109" s="20">
        <f>IF(AND(D$2+$E$2&gt;0,N109-SNAP!P109&gt;0),N109-SNAP!P109,0)</f>
        <v>0</v>
      </c>
      <c r="S109" s="20">
        <f t="shared" si="25"/>
        <v>3324.3333333333335</v>
      </c>
      <c r="T109" s="20">
        <f t="shared" si="19"/>
        <v>997.3</v>
      </c>
      <c r="U109" s="20">
        <f>IF(AND('Total income package'!$A$18=TRUE,OR(H109="Yes",O109="Yes"),G109&lt;$G$2,$K$2-T109&gt;10),ROUNDDOWN($K$2-T109,0),0)</f>
        <v>0</v>
      </c>
      <c r="V109" s="176">
        <f t="shared" si="26"/>
        <v>0</v>
      </c>
      <c r="W109" s="5"/>
    </row>
    <row r="110" spans="2:23" ht="15" customHeight="1" x14ac:dyDescent="0.25">
      <c r="B110" s="72">
        <v>52000</v>
      </c>
      <c r="C110" s="19">
        <f>MAX('TANF-VIEW'!L113,'TANF-VIEW'!T113)</f>
        <v>0</v>
      </c>
      <c r="D110" s="20">
        <f t="shared" si="27"/>
        <v>4333.333333333333</v>
      </c>
      <c r="E110" s="20">
        <f>'Total income package'!$D$80</f>
        <v>0</v>
      </c>
      <c r="F110" s="20">
        <f>'Total income package'!$H$61+'Total income package'!$F$66</f>
        <v>100</v>
      </c>
      <c r="G110" s="20">
        <f t="shared" si="20"/>
        <v>4433.333333333333</v>
      </c>
      <c r="H110" s="20" t="str">
        <f t="shared" si="14"/>
        <v>No</v>
      </c>
      <c r="I110" s="20">
        <f t="shared" si="15"/>
        <v>866.66666666666663</v>
      </c>
      <c r="J110" s="20">
        <f t="shared" si="16"/>
        <v>209</v>
      </c>
      <c r="K110" s="20">
        <f t="shared" si="17"/>
        <v>3357.6666666666665</v>
      </c>
      <c r="L110" s="20">
        <f t="shared" si="21"/>
        <v>500</v>
      </c>
      <c r="M110" s="20">
        <f>'Total income package'!$B$69</f>
        <v>500</v>
      </c>
      <c r="N110" s="20">
        <f t="shared" si="22"/>
        <v>1000</v>
      </c>
      <c r="O110" s="344" t="str">
        <f t="shared" si="23"/>
        <v>No</v>
      </c>
      <c r="P110" s="20">
        <f t="shared" si="24"/>
        <v>1678.8333333333333</v>
      </c>
      <c r="Q110" s="346">
        <f t="shared" si="18"/>
        <v>0</v>
      </c>
      <c r="R110" s="20">
        <f>IF(AND(D$2+$E$2&gt;0,N110-SNAP!P110&gt;0),N110-SNAP!P110,0)</f>
        <v>0</v>
      </c>
      <c r="S110" s="20">
        <f t="shared" si="25"/>
        <v>3357.6666666666665</v>
      </c>
      <c r="T110" s="20">
        <f t="shared" si="19"/>
        <v>1007.3</v>
      </c>
      <c r="U110" s="20">
        <f>IF(AND('Total income package'!$A$18=TRUE,OR(H110="Yes",O110="Yes"),G110&lt;$G$2,$K$2-T110&gt;10),ROUNDDOWN($K$2-T110,0),0)</f>
        <v>0</v>
      </c>
      <c r="V110" s="176">
        <f>IF(AND(C106&lt;3,U110&gt;10,U110&lt;24),24,U110)</f>
        <v>0</v>
      </c>
      <c r="W110" s="5"/>
    </row>
    <row r="111" spans="2:23" ht="15" customHeight="1" x14ac:dyDescent="0.25">
      <c r="B111" s="72">
        <v>52500</v>
      </c>
      <c r="C111" s="19">
        <f>MAX('TANF-VIEW'!L114,'TANF-VIEW'!T114)</f>
        <v>0</v>
      </c>
      <c r="D111" s="20">
        <f t="shared" si="27"/>
        <v>4375</v>
      </c>
      <c r="E111" s="20">
        <f>'Total income package'!$D$80</f>
        <v>0</v>
      </c>
      <c r="F111" s="20">
        <f>'Total income package'!$H$61+'Total income package'!$F$66</f>
        <v>100</v>
      </c>
      <c r="G111" s="20">
        <f t="shared" si="20"/>
        <v>4475</v>
      </c>
      <c r="H111" s="20" t="str">
        <f t="shared" si="14"/>
        <v>No</v>
      </c>
      <c r="I111" s="20">
        <f t="shared" si="15"/>
        <v>875</v>
      </c>
      <c r="J111" s="20">
        <f t="shared" si="16"/>
        <v>209</v>
      </c>
      <c r="K111" s="20">
        <f t="shared" si="17"/>
        <v>3391</v>
      </c>
      <c r="L111" s="20">
        <f t="shared" si="21"/>
        <v>500</v>
      </c>
      <c r="M111" s="20">
        <f>'Total income package'!$B$69</f>
        <v>500</v>
      </c>
      <c r="N111" s="20">
        <f t="shared" si="22"/>
        <v>1000</v>
      </c>
      <c r="O111" s="344" t="str">
        <f t="shared" si="23"/>
        <v>No</v>
      </c>
      <c r="P111" s="20">
        <f t="shared" si="24"/>
        <v>1695.5</v>
      </c>
      <c r="Q111" s="346">
        <f t="shared" si="18"/>
        <v>0</v>
      </c>
      <c r="R111" s="20">
        <f>IF(AND(D$2+$E$2&gt;0,N111-SNAP!P111&gt;0),N111-SNAP!P111,0)</f>
        <v>0</v>
      </c>
      <c r="S111" s="20">
        <f t="shared" si="25"/>
        <v>3391</v>
      </c>
      <c r="T111" s="20">
        <f t="shared" si="19"/>
        <v>1017.3</v>
      </c>
      <c r="U111" s="20">
        <f>IF(AND('Total income package'!$A$18=TRUE,OR(H111="Yes",O111="Yes"),G111&lt;$G$2,$K$2-T111&gt;10),ROUNDDOWN($K$2-T111,0),0)</f>
        <v>0</v>
      </c>
      <c r="V111" s="176">
        <f t="shared" si="26"/>
        <v>0</v>
      </c>
      <c r="W111" s="5"/>
    </row>
    <row r="112" spans="2:23" ht="15" customHeight="1" x14ac:dyDescent="0.25">
      <c r="B112" s="72">
        <v>53000</v>
      </c>
      <c r="C112" s="19">
        <f>MAX('TANF-VIEW'!L115,'TANF-VIEW'!T115)</f>
        <v>0</v>
      </c>
      <c r="D112" s="20">
        <f t="shared" si="27"/>
        <v>4416.666666666667</v>
      </c>
      <c r="E112" s="20">
        <f>'Total income package'!$D$80</f>
        <v>0</v>
      </c>
      <c r="F112" s="20">
        <f>'Total income package'!$H$61+'Total income package'!$F$66</f>
        <v>100</v>
      </c>
      <c r="G112" s="20">
        <f t="shared" si="20"/>
        <v>4516.666666666667</v>
      </c>
      <c r="H112" s="20" t="str">
        <f t="shared" si="14"/>
        <v>No</v>
      </c>
      <c r="I112" s="20">
        <f t="shared" si="15"/>
        <v>883.33333333333348</v>
      </c>
      <c r="J112" s="20">
        <f t="shared" si="16"/>
        <v>209</v>
      </c>
      <c r="K112" s="20">
        <f t="shared" si="17"/>
        <v>3424.3333333333335</v>
      </c>
      <c r="L112" s="20">
        <f t="shared" si="21"/>
        <v>500</v>
      </c>
      <c r="M112" s="20">
        <f>'Total income package'!$B$69</f>
        <v>500</v>
      </c>
      <c r="N112" s="20">
        <f t="shared" si="22"/>
        <v>1000</v>
      </c>
      <c r="O112" s="344" t="str">
        <f t="shared" si="23"/>
        <v>No</v>
      </c>
      <c r="P112" s="20">
        <f t="shared" si="24"/>
        <v>1712.1666666666667</v>
      </c>
      <c r="Q112" s="346">
        <f t="shared" si="18"/>
        <v>0</v>
      </c>
      <c r="R112" s="20">
        <f>IF(AND(D$2+$E$2&gt;0,N112-SNAP!P112&gt;0),N112-SNAP!P112,0)</f>
        <v>0</v>
      </c>
      <c r="S112" s="20">
        <f t="shared" si="25"/>
        <v>3424.3333333333335</v>
      </c>
      <c r="T112" s="20">
        <f t="shared" si="19"/>
        <v>1027.3</v>
      </c>
      <c r="U112" s="20">
        <f>IF(AND('Total income package'!$A$18=TRUE,OR(H112="Yes",O112="Yes"),G112&lt;$G$2,$K$2-T112&gt;10),ROUNDDOWN($K$2-T112,0),0)</f>
        <v>0</v>
      </c>
      <c r="V112" s="176">
        <f t="shared" si="26"/>
        <v>0</v>
      </c>
      <c r="W112" s="5"/>
    </row>
    <row r="113" spans="2:23" ht="15" customHeight="1" x14ac:dyDescent="0.25">
      <c r="B113" s="72">
        <v>53500</v>
      </c>
      <c r="C113" s="19">
        <f>MAX('TANF-VIEW'!L116,'TANF-VIEW'!T116)</f>
        <v>0</v>
      </c>
      <c r="D113" s="20">
        <f t="shared" si="27"/>
        <v>4458.333333333333</v>
      </c>
      <c r="E113" s="20">
        <f>'Total income package'!$D$80</f>
        <v>0</v>
      </c>
      <c r="F113" s="20">
        <f>'Total income package'!$H$61+'Total income package'!$F$66</f>
        <v>100</v>
      </c>
      <c r="G113" s="20">
        <f t="shared" si="20"/>
        <v>4558.333333333333</v>
      </c>
      <c r="H113" s="20" t="str">
        <f t="shared" si="14"/>
        <v>No</v>
      </c>
      <c r="I113" s="20">
        <f t="shared" si="15"/>
        <v>891.66666666666663</v>
      </c>
      <c r="J113" s="20">
        <f t="shared" si="16"/>
        <v>209</v>
      </c>
      <c r="K113" s="20">
        <f t="shared" si="17"/>
        <v>3457.6666666666665</v>
      </c>
      <c r="L113" s="20">
        <f t="shared" si="21"/>
        <v>500</v>
      </c>
      <c r="M113" s="20">
        <f>'Total income package'!$B$69</f>
        <v>500</v>
      </c>
      <c r="N113" s="20">
        <f t="shared" si="22"/>
        <v>1000</v>
      </c>
      <c r="O113" s="344" t="str">
        <f t="shared" si="23"/>
        <v>No</v>
      </c>
      <c r="P113" s="20">
        <f t="shared" si="24"/>
        <v>1728.8333333333333</v>
      </c>
      <c r="Q113" s="346">
        <f t="shared" si="18"/>
        <v>0</v>
      </c>
      <c r="R113" s="20">
        <f>IF(AND(D$2+$E$2&gt;0,N113-SNAP!P113&gt;0),N113-SNAP!P113,0)</f>
        <v>0</v>
      </c>
      <c r="S113" s="20">
        <f t="shared" si="25"/>
        <v>3457.6666666666665</v>
      </c>
      <c r="T113" s="20">
        <f t="shared" si="19"/>
        <v>1037.3</v>
      </c>
      <c r="U113" s="20">
        <f>IF(AND('Total income package'!$A$18=TRUE,OR(H113="Yes",O113="Yes"),G113&lt;$G$2,$K$2-T113&gt;10),ROUNDDOWN($K$2-T113,0),0)</f>
        <v>0</v>
      </c>
      <c r="V113" s="176">
        <f t="shared" si="26"/>
        <v>0</v>
      </c>
      <c r="W113" s="5"/>
    </row>
    <row r="114" spans="2:23" ht="15" customHeight="1" x14ac:dyDescent="0.25">
      <c r="B114" s="72">
        <v>54000</v>
      </c>
      <c r="C114" s="19">
        <f>MAX('TANF-VIEW'!L117,'TANF-VIEW'!T117)</f>
        <v>0</v>
      </c>
      <c r="D114" s="20">
        <f t="shared" si="27"/>
        <v>4500</v>
      </c>
      <c r="E114" s="20">
        <f>'Total income package'!$D$80</f>
        <v>0</v>
      </c>
      <c r="F114" s="20">
        <f>'Total income package'!$H$61+'Total income package'!$F$66</f>
        <v>100</v>
      </c>
      <c r="G114" s="20">
        <f t="shared" si="20"/>
        <v>4600</v>
      </c>
      <c r="H114" s="20" t="str">
        <f t="shared" si="14"/>
        <v>No</v>
      </c>
      <c r="I114" s="20">
        <f t="shared" si="15"/>
        <v>900</v>
      </c>
      <c r="J114" s="20">
        <f t="shared" si="16"/>
        <v>209</v>
      </c>
      <c r="K114" s="20">
        <f t="shared" si="17"/>
        <v>3491</v>
      </c>
      <c r="L114" s="20">
        <f t="shared" si="21"/>
        <v>500</v>
      </c>
      <c r="M114" s="20">
        <f>'Total income package'!$B$69</f>
        <v>500</v>
      </c>
      <c r="N114" s="20">
        <f t="shared" si="22"/>
        <v>1000</v>
      </c>
      <c r="O114" s="344" t="str">
        <f t="shared" si="23"/>
        <v>No</v>
      </c>
      <c r="P114" s="20">
        <f t="shared" si="24"/>
        <v>1745.5</v>
      </c>
      <c r="Q114" s="346">
        <f t="shared" si="18"/>
        <v>0</v>
      </c>
      <c r="R114" s="20">
        <f>IF(AND(D$2+$E$2&gt;0,N114-SNAP!P114&gt;0),N114-SNAP!P114,0)</f>
        <v>0</v>
      </c>
      <c r="S114" s="20">
        <f t="shared" si="25"/>
        <v>3491</v>
      </c>
      <c r="T114" s="20">
        <f t="shared" si="19"/>
        <v>1047.3</v>
      </c>
      <c r="U114" s="20">
        <f>IF(AND('Total income package'!$A$18=TRUE,OR(H114="Yes",O114="Yes"),G114&lt;$G$2,$K$2-T114&gt;10),ROUNDDOWN($K$2-T114,0),0)</f>
        <v>0</v>
      </c>
      <c r="V114" s="176">
        <f t="shared" si="26"/>
        <v>0</v>
      </c>
      <c r="W114" s="5"/>
    </row>
    <row r="115" spans="2:23" ht="15" customHeight="1" x14ac:dyDescent="0.25">
      <c r="B115" s="72">
        <v>54500</v>
      </c>
      <c r="C115" s="19">
        <f>MAX('TANF-VIEW'!L118,'TANF-VIEW'!T118)</f>
        <v>0</v>
      </c>
      <c r="D115" s="20">
        <f t="shared" si="27"/>
        <v>4541.666666666667</v>
      </c>
      <c r="E115" s="20">
        <f>'Total income package'!$D$80</f>
        <v>0</v>
      </c>
      <c r="F115" s="20">
        <f>'Total income package'!$H$61+'Total income package'!$F$66</f>
        <v>100</v>
      </c>
      <c r="G115" s="20">
        <f t="shared" si="20"/>
        <v>4641.666666666667</v>
      </c>
      <c r="H115" s="20" t="str">
        <f t="shared" si="14"/>
        <v>No</v>
      </c>
      <c r="I115" s="20">
        <f t="shared" si="15"/>
        <v>908.33333333333348</v>
      </c>
      <c r="J115" s="20">
        <f t="shared" si="16"/>
        <v>209</v>
      </c>
      <c r="K115" s="20">
        <f t="shared" si="17"/>
        <v>3524.3333333333335</v>
      </c>
      <c r="L115" s="20">
        <f t="shared" si="21"/>
        <v>500</v>
      </c>
      <c r="M115" s="20">
        <f>'Total income package'!$B$69</f>
        <v>500</v>
      </c>
      <c r="N115" s="20">
        <f t="shared" si="22"/>
        <v>1000</v>
      </c>
      <c r="O115" s="344" t="str">
        <f t="shared" si="23"/>
        <v>No</v>
      </c>
      <c r="P115" s="20">
        <f t="shared" si="24"/>
        <v>1762.1666666666667</v>
      </c>
      <c r="Q115" s="346">
        <f t="shared" si="18"/>
        <v>0</v>
      </c>
      <c r="R115" s="20">
        <f>IF(AND(D$2+$E$2&gt;0,N115-SNAP!P115&gt;0),N115-SNAP!P115,0)</f>
        <v>0</v>
      </c>
      <c r="S115" s="20">
        <f t="shared" si="25"/>
        <v>3524.3333333333335</v>
      </c>
      <c r="T115" s="20">
        <f t="shared" si="19"/>
        <v>1057.3</v>
      </c>
      <c r="U115" s="20">
        <f>IF(AND('Total income package'!$A$18=TRUE,OR(H115="Yes",O115="Yes"),G115&lt;$G$2,$K$2-T115&gt;10),ROUNDDOWN($K$2-T115,0),0)</f>
        <v>0</v>
      </c>
      <c r="V115" s="176">
        <f t="shared" si="26"/>
        <v>0</v>
      </c>
      <c r="W115" s="5"/>
    </row>
    <row r="116" spans="2:23" ht="15" customHeight="1" x14ac:dyDescent="0.25">
      <c r="B116" s="72">
        <v>55000</v>
      </c>
      <c r="C116" s="19">
        <f>MAX('TANF-VIEW'!L119,'TANF-VIEW'!T119)</f>
        <v>0</v>
      </c>
      <c r="D116" s="20">
        <f t="shared" si="27"/>
        <v>4583.333333333333</v>
      </c>
      <c r="E116" s="20">
        <f>'Total income package'!$D$80</f>
        <v>0</v>
      </c>
      <c r="F116" s="20">
        <f>'Total income package'!$H$61+'Total income package'!$F$66</f>
        <v>100</v>
      </c>
      <c r="G116" s="20">
        <f t="shared" si="20"/>
        <v>4683.333333333333</v>
      </c>
      <c r="H116" s="20" t="str">
        <f t="shared" si="14"/>
        <v>No</v>
      </c>
      <c r="I116" s="20">
        <f t="shared" si="15"/>
        <v>916.66666666666663</v>
      </c>
      <c r="J116" s="20">
        <f t="shared" si="16"/>
        <v>209</v>
      </c>
      <c r="K116" s="20">
        <f t="shared" si="17"/>
        <v>3557.6666666666665</v>
      </c>
      <c r="L116" s="20">
        <f t="shared" si="21"/>
        <v>500</v>
      </c>
      <c r="M116" s="20">
        <f>'Total income package'!$B$69</f>
        <v>500</v>
      </c>
      <c r="N116" s="20">
        <f t="shared" si="22"/>
        <v>1000</v>
      </c>
      <c r="O116" s="344" t="str">
        <f t="shared" si="23"/>
        <v>No</v>
      </c>
      <c r="P116" s="20">
        <f t="shared" si="24"/>
        <v>1778.8333333333333</v>
      </c>
      <c r="Q116" s="346">
        <f t="shared" si="18"/>
        <v>0</v>
      </c>
      <c r="R116" s="20">
        <f>IF(AND(D$2+$E$2&gt;0,N116-SNAP!P116&gt;0),N116-SNAP!P116,0)</f>
        <v>0</v>
      </c>
      <c r="S116" s="20">
        <f t="shared" si="25"/>
        <v>3557.6666666666665</v>
      </c>
      <c r="T116" s="20">
        <f t="shared" si="19"/>
        <v>1067.3</v>
      </c>
      <c r="U116" s="20">
        <f>IF(AND('Total income package'!$A$18=TRUE,OR(H116="Yes",O116="Yes"),G116&lt;$G$2,$K$2-T116&gt;10),ROUNDDOWN($K$2-T116,0),0)</f>
        <v>0</v>
      </c>
      <c r="V116" s="176">
        <f t="shared" si="26"/>
        <v>0</v>
      </c>
      <c r="W116" s="5"/>
    </row>
    <row r="117" spans="2:23" ht="15" customHeight="1" x14ac:dyDescent="0.25">
      <c r="B117" s="72">
        <v>55500</v>
      </c>
      <c r="C117" s="19">
        <f>MAX('TANF-VIEW'!L120,'TANF-VIEW'!T120)</f>
        <v>0</v>
      </c>
      <c r="D117" s="20">
        <f t="shared" si="27"/>
        <v>4625</v>
      </c>
      <c r="E117" s="20">
        <f>'Total income package'!$D$80</f>
        <v>0</v>
      </c>
      <c r="F117" s="20">
        <f>'Total income package'!$H$61+'Total income package'!$F$66</f>
        <v>100</v>
      </c>
      <c r="G117" s="20">
        <f t="shared" si="20"/>
        <v>4725</v>
      </c>
      <c r="H117" s="20" t="str">
        <f t="shared" si="14"/>
        <v>No</v>
      </c>
      <c r="I117" s="20">
        <f t="shared" si="15"/>
        <v>925</v>
      </c>
      <c r="J117" s="20">
        <f t="shared" si="16"/>
        <v>209</v>
      </c>
      <c r="K117" s="20">
        <f t="shared" si="17"/>
        <v>3591</v>
      </c>
      <c r="L117" s="20">
        <f t="shared" si="21"/>
        <v>500</v>
      </c>
      <c r="M117" s="20">
        <f>'Total income package'!$B$69</f>
        <v>500</v>
      </c>
      <c r="N117" s="20">
        <f t="shared" si="22"/>
        <v>1000</v>
      </c>
      <c r="O117" s="344" t="str">
        <f t="shared" si="23"/>
        <v>No</v>
      </c>
      <c r="P117" s="20">
        <f t="shared" si="24"/>
        <v>1795.5</v>
      </c>
      <c r="Q117" s="346">
        <f t="shared" si="18"/>
        <v>0</v>
      </c>
      <c r="R117" s="20">
        <f>IF(AND(D$2+$E$2&gt;0,N117-SNAP!P117&gt;0),N117-SNAP!P117,0)</f>
        <v>0</v>
      </c>
      <c r="S117" s="20">
        <f t="shared" si="25"/>
        <v>3591</v>
      </c>
      <c r="T117" s="20">
        <f t="shared" si="19"/>
        <v>1077.3</v>
      </c>
      <c r="U117" s="20">
        <f>IF(AND('Total income package'!$A$18=TRUE,OR(H117="Yes",O117="Yes"),G117&lt;$G$2,$K$2-T117&gt;10),ROUNDDOWN($K$2-T117,0),0)</f>
        <v>0</v>
      </c>
      <c r="V117" s="176">
        <f t="shared" si="26"/>
        <v>0</v>
      </c>
      <c r="W117" s="5"/>
    </row>
    <row r="118" spans="2:23" ht="15" customHeight="1" x14ac:dyDescent="0.25">
      <c r="B118" s="72">
        <v>56000</v>
      </c>
      <c r="C118" s="19">
        <f>MAX('TANF-VIEW'!L121,'TANF-VIEW'!T121)</f>
        <v>0</v>
      </c>
      <c r="D118" s="20">
        <f t="shared" si="27"/>
        <v>4666.666666666667</v>
      </c>
      <c r="E118" s="20">
        <f>'Total income package'!$D$80</f>
        <v>0</v>
      </c>
      <c r="F118" s="20">
        <f>'Total income package'!$H$61+'Total income package'!$F$66</f>
        <v>100</v>
      </c>
      <c r="G118" s="20">
        <f t="shared" si="20"/>
        <v>4766.666666666667</v>
      </c>
      <c r="H118" s="20" t="str">
        <f t="shared" si="14"/>
        <v>No</v>
      </c>
      <c r="I118" s="20">
        <f t="shared" si="15"/>
        <v>933.33333333333348</v>
      </c>
      <c r="J118" s="20">
        <f t="shared" si="16"/>
        <v>209</v>
      </c>
      <c r="K118" s="20">
        <f t="shared" si="17"/>
        <v>3624.3333333333335</v>
      </c>
      <c r="L118" s="20">
        <f t="shared" si="21"/>
        <v>500</v>
      </c>
      <c r="M118" s="20">
        <f>'Total income package'!$B$69</f>
        <v>500</v>
      </c>
      <c r="N118" s="20">
        <f t="shared" si="22"/>
        <v>1000</v>
      </c>
      <c r="O118" s="344" t="str">
        <f t="shared" si="23"/>
        <v>No</v>
      </c>
      <c r="P118" s="20">
        <f t="shared" si="24"/>
        <v>1812.1666666666667</v>
      </c>
      <c r="Q118" s="346">
        <f t="shared" si="18"/>
        <v>0</v>
      </c>
      <c r="R118" s="20">
        <f>IF(AND(D$2+$E$2&gt;0,N118-SNAP!P118&gt;0),N118-SNAP!P118,0)</f>
        <v>0</v>
      </c>
      <c r="S118" s="20">
        <f t="shared" si="25"/>
        <v>3624.3333333333335</v>
      </c>
      <c r="T118" s="20">
        <f t="shared" si="19"/>
        <v>1087.3</v>
      </c>
      <c r="U118" s="20">
        <f>IF(AND('Total income package'!$A$18=TRUE,OR(H118="Yes",O118="Yes"),G118&lt;$G$2,$K$2-T118&gt;10),ROUNDDOWN($K$2-T118,0),0)</f>
        <v>0</v>
      </c>
      <c r="V118" s="176">
        <f t="shared" si="26"/>
        <v>0</v>
      </c>
      <c r="W118" s="5"/>
    </row>
    <row r="119" spans="2:23" ht="15" customHeight="1" x14ac:dyDescent="0.25">
      <c r="B119" s="72">
        <v>56500</v>
      </c>
      <c r="C119" s="19">
        <f>MAX('TANF-VIEW'!L122,'TANF-VIEW'!T122)</f>
        <v>0</v>
      </c>
      <c r="D119" s="20">
        <f t="shared" si="27"/>
        <v>4708.333333333333</v>
      </c>
      <c r="E119" s="20">
        <f>'Total income package'!$D$80</f>
        <v>0</v>
      </c>
      <c r="F119" s="20">
        <f>'Total income package'!$H$61+'Total income package'!$F$66</f>
        <v>100</v>
      </c>
      <c r="G119" s="20">
        <f t="shared" si="20"/>
        <v>4808.333333333333</v>
      </c>
      <c r="H119" s="20" t="str">
        <f t="shared" si="14"/>
        <v>No</v>
      </c>
      <c r="I119" s="20">
        <f t="shared" si="15"/>
        <v>941.66666666666663</v>
      </c>
      <c r="J119" s="20">
        <f t="shared" si="16"/>
        <v>209</v>
      </c>
      <c r="K119" s="20">
        <f t="shared" si="17"/>
        <v>3657.6666666666665</v>
      </c>
      <c r="L119" s="20">
        <f t="shared" si="21"/>
        <v>500</v>
      </c>
      <c r="M119" s="20">
        <f>'Total income package'!$B$69</f>
        <v>500</v>
      </c>
      <c r="N119" s="20">
        <f t="shared" si="22"/>
        <v>1000</v>
      </c>
      <c r="O119" s="344" t="str">
        <f t="shared" si="23"/>
        <v>No</v>
      </c>
      <c r="P119" s="20">
        <f t="shared" si="24"/>
        <v>1828.8333333333333</v>
      </c>
      <c r="Q119" s="346">
        <f t="shared" si="18"/>
        <v>0</v>
      </c>
      <c r="R119" s="20">
        <f>IF(AND(D$2+$E$2&gt;0,N119-SNAP!P119&gt;0),N119-SNAP!P119,0)</f>
        <v>0</v>
      </c>
      <c r="S119" s="20">
        <f t="shared" si="25"/>
        <v>3657.6666666666665</v>
      </c>
      <c r="T119" s="20">
        <f t="shared" si="19"/>
        <v>1097.3</v>
      </c>
      <c r="U119" s="20">
        <f>IF(AND('Total income package'!$A$18=TRUE,OR(H119="Yes",O119="Yes"),G119&lt;$G$2,$K$2-T119&gt;10),ROUNDDOWN($K$2-T119,0),0)</f>
        <v>0</v>
      </c>
      <c r="V119" s="176">
        <f t="shared" si="26"/>
        <v>0</v>
      </c>
      <c r="W119" s="5"/>
    </row>
    <row r="120" spans="2:23" ht="15" customHeight="1" x14ac:dyDescent="0.25">
      <c r="B120" s="72">
        <v>57000</v>
      </c>
      <c r="C120" s="19">
        <f>MAX('TANF-VIEW'!L123,'TANF-VIEW'!T123)</f>
        <v>0</v>
      </c>
      <c r="D120" s="20">
        <f t="shared" si="27"/>
        <v>4750</v>
      </c>
      <c r="E120" s="20">
        <f>'Total income package'!$D$80</f>
        <v>0</v>
      </c>
      <c r="F120" s="20">
        <f>'Total income package'!$H$61+'Total income package'!$F$66</f>
        <v>100</v>
      </c>
      <c r="G120" s="20">
        <f t="shared" si="20"/>
        <v>4850</v>
      </c>
      <c r="H120" s="20" t="str">
        <f t="shared" si="14"/>
        <v>No</v>
      </c>
      <c r="I120" s="20">
        <f t="shared" si="15"/>
        <v>950</v>
      </c>
      <c r="J120" s="20">
        <f t="shared" si="16"/>
        <v>209</v>
      </c>
      <c r="K120" s="20">
        <f t="shared" si="17"/>
        <v>3691</v>
      </c>
      <c r="L120" s="20">
        <f t="shared" si="21"/>
        <v>500</v>
      </c>
      <c r="M120" s="20">
        <f>'Total income package'!$B$69</f>
        <v>500</v>
      </c>
      <c r="N120" s="20">
        <f t="shared" si="22"/>
        <v>1000</v>
      </c>
      <c r="O120" s="344" t="str">
        <f t="shared" si="23"/>
        <v>No</v>
      </c>
      <c r="P120" s="20">
        <f t="shared" si="24"/>
        <v>1845.5</v>
      </c>
      <c r="Q120" s="346">
        <f t="shared" si="18"/>
        <v>0</v>
      </c>
      <c r="R120" s="20">
        <f>IF(AND(D$2+$E$2&gt;0,N120-SNAP!P120&gt;0),N120-SNAP!P120,0)</f>
        <v>0</v>
      </c>
      <c r="S120" s="20">
        <f t="shared" si="25"/>
        <v>3691</v>
      </c>
      <c r="T120" s="20">
        <f t="shared" si="19"/>
        <v>1107.3</v>
      </c>
      <c r="U120" s="20">
        <f>IF(AND('Total income package'!$A$18=TRUE,OR(H120="Yes",O120="Yes"),G120&lt;$G$2,$K$2-T120&gt;10),ROUNDDOWN($K$2-T120,0),0)</f>
        <v>0</v>
      </c>
      <c r="V120" s="176">
        <f t="shared" si="26"/>
        <v>0</v>
      </c>
      <c r="W120" s="5"/>
    </row>
    <row r="121" spans="2:23" ht="15" customHeight="1" x14ac:dyDescent="0.25">
      <c r="B121" s="72">
        <v>57500</v>
      </c>
      <c r="C121" s="19">
        <f>MAX('TANF-VIEW'!L124,'TANF-VIEW'!T124)</f>
        <v>0</v>
      </c>
      <c r="D121" s="20">
        <f t="shared" si="27"/>
        <v>4791.666666666667</v>
      </c>
      <c r="E121" s="20">
        <f>'Total income package'!$D$80</f>
        <v>0</v>
      </c>
      <c r="F121" s="20">
        <f>'Total income package'!$H$61+'Total income package'!$F$66</f>
        <v>100</v>
      </c>
      <c r="G121" s="20">
        <f t="shared" si="20"/>
        <v>4891.666666666667</v>
      </c>
      <c r="H121" s="20" t="str">
        <f t="shared" si="14"/>
        <v>No</v>
      </c>
      <c r="I121" s="20">
        <f t="shared" si="15"/>
        <v>958.33333333333348</v>
      </c>
      <c r="J121" s="20">
        <f t="shared" si="16"/>
        <v>209</v>
      </c>
      <c r="K121" s="20">
        <f t="shared" si="17"/>
        <v>3724.3333333333335</v>
      </c>
      <c r="L121" s="20">
        <f t="shared" si="21"/>
        <v>500</v>
      </c>
      <c r="M121" s="20">
        <f>'Total income package'!$B$69</f>
        <v>500</v>
      </c>
      <c r="N121" s="20">
        <f t="shared" si="22"/>
        <v>1000</v>
      </c>
      <c r="O121" s="344" t="str">
        <f t="shared" si="23"/>
        <v>No</v>
      </c>
      <c r="P121" s="20">
        <f t="shared" si="24"/>
        <v>1862.1666666666667</v>
      </c>
      <c r="Q121" s="346">
        <f t="shared" si="18"/>
        <v>0</v>
      </c>
      <c r="R121" s="20">
        <f>IF(AND(D$2+$E$2&gt;0,N121-SNAP!P121&gt;0),N121-SNAP!P121,0)</f>
        <v>0</v>
      </c>
      <c r="S121" s="20">
        <f t="shared" si="25"/>
        <v>3724.3333333333335</v>
      </c>
      <c r="T121" s="20">
        <f t="shared" si="19"/>
        <v>1117.3</v>
      </c>
      <c r="U121" s="20">
        <f>IF(AND('Total income package'!$A$18=TRUE,OR(H121="Yes",O121="Yes"),G121&lt;$G$2,$K$2-T121&gt;10),ROUNDDOWN($K$2-T121,0),0)</f>
        <v>0</v>
      </c>
      <c r="V121" s="176">
        <f t="shared" si="26"/>
        <v>0</v>
      </c>
      <c r="W121" s="5"/>
    </row>
    <row r="122" spans="2:23" ht="15" customHeight="1" x14ac:dyDescent="0.25">
      <c r="B122" s="72">
        <v>58000</v>
      </c>
      <c r="C122" s="19">
        <f>MAX('TANF-VIEW'!L125,'TANF-VIEW'!T125)</f>
        <v>0</v>
      </c>
      <c r="D122" s="20">
        <f t="shared" si="27"/>
        <v>4833.333333333333</v>
      </c>
      <c r="E122" s="20">
        <f>'Total income package'!$D$80</f>
        <v>0</v>
      </c>
      <c r="F122" s="20">
        <f>'Total income package'!$H$61+'Total income package'!$F$66</f>
        <v>100</v>
      </c>
      <c r="G122" s="20">
        <f t="shared" si="20"/>
        <v>4933.333333333333</v>
      </c>
      <c r="H122" s="20" t="str">
        <f t="shared" si="14"/>
        <v>No</v>
      </c>
      <c r="I122" s="20">
        <f t="shared" si="15"/>
        <v>966.66666666666663</v>
      </c>
      <c r="J122" s="20">
        <f t="shared" si="16"/>
        <v>209</v>
      </c>
      <c r="K122" s="20">
        <f t="shared" si="17"/>
        <v>3757.6666666666665</v>
      </c>
      <c r="L122" s="20">
        <f t="shared" si="21"/>
        <v>500</v>
      </c>
      <c r="M122" s="20">
        <f>'Total income package'!$B$69</f>
        <v>500</v>
      </c>
      <c r="N122" s="20">
        <f t="shared" si="22"/>
        <v>1000</v>
      </c>
      <c r="O122" s="344" t="str">
        <f t="shared" si="23"/>
        <v>No</v>
      </c>
      <c r="P122" s="20">
        <f t="shared" si="24"/>
        <v>1878.8333333333333</v>
      </c>
      <c r="Q122" s="346">
        <f t="shared" si="18"/>
        <v>0</v>
      </c>
      <c r="R122" s="20">
        <f>IF(AND(D$2+$E$2&gt;0,N122-SNAP!P122&gt;0),N122-SNAP!P122,0)</f>
        <v>0</v>
      </c>
      <c r="S122" s="20">
        <f t="shared" si="25"/>
        <v>3757.6666666666665</v>
      </c>
      <c r="T122" s="20">
        <f t="shared" si="19"/>
        <v>1127.3</v>
      </c>
      <c r="U122" s="20">
        <f>IF(AND('Total income package'!$A$18=TRUE,OR(H122="Yes",O122="Yes"),G122&lt;$G$2,$K$2-T122&gt;10),ROUNDDOWN($K$2-T122,0),0)</f>
        <v>0</v>
      </c>
      <c r="V122" s="176">
        <f t="shared" si="26"/>
        <v>0</v>
      </c>
      <c r="W122" s="5"/>
    </row>
    <row r="123" spans="2:23" ht="15" customHeight="1" x14ac:dyDescent="0.25">
      <c r="B123" s="72">
        <v>58500</v>
      </c>
      <c r="C123" s="19">
        <f>MAX('TANF-VIEW'!L126,'TANF-VIEW'!T126)</f>
        <v>0</v>
      </c>
      <c r="D123" s="20">
        <f t="shared" si="27"/>
        <v>4875</v>
      </c>
      <c r="E123" s="20">
        <f>'Total income package'!$D$80</f>
        <v>0</v>
      </c>
      <c r="F123" s="20">
        <f>'Total income package'!$H$61+'Total income package'!$F$66</f>
        <v>100</v>
      </c>
      <c r="G123" s="20">
        <f t="shared" si="20"/>
        <v>4975</v>
      </c>
      <c r="H123" s="20" t="str">
        <f t="shared" si="14"/>
        <v>No</v>
      </c>
      <c r="I123" s="20">
        <f t="shared" si="15"/>
        <v>975</v>
      </c>
      <c r="J123" s="20">
        <f t="shared" si="16"/>
        <v>209</v>
      </c>
      <c r="K123" s="20">
        <f t="shared" si="17"/>
        <v>3791</v>
      </c>
      <c r="L123" s="20">
        <f t="shared" si="21"/>
        <v>500</v>
      </c>
      <c r="M123" s="20">
        <f>'Total income package'!$B$69</f>
        <v>500</v>
      </c>
      <c r="N123" s="20">
        <f t="shared" si="22"/>
        <v>1000</v>
      </c>
      <c r="O123" s="344" t="str">
        <f t="shared" si="23"/>
        <v>No</v>
      </c>
      <c r="P123" s="20">
        <f t="shared" si="24"/>
        <v>1895.5</v>
      </c>
      <c r="Q123" s="346">
        <f t="shared" si="18"/>
        <v>0</v>
      </c>
      <c r="R123" s="20">
        <f>IF(AND(D$2+$E$2&gt;0,N123-SNAP!P123&gt;0),N123-SNAP!P123,0)</f>
        <v>0</v>
      </c>
      <c r="S123" s="20">
        <f t="shared" si="25"/>
        <v>3791</v>
      </c>
      <c r="T123" s="20">
        <f t="shared" si="19"/>
        <v>1137.3</v>
      </c>
      <c r="U123" s="20">
        <f>IF(AND('Total income package'!$A$18=TRUE,OR(H123="Yes",O123="Yes"),G123&lt;$G$2,$K$2-T123&gt;10),ROUNDDOWN($K$2-T123,0),0)</f>
        <v>0</v>
      </c>
      <c r="V123" s="176">
        <f t="shared" si="26"/>
        <v>0</v>
      </c>
      <c r="W123" s="5"/>
    </row>
    <row r="124" spans="2:23" ht="15" customHeight="1" x14ac:dyDescent="0.25">
      <c r="B124" s="72">
        <v>59000</v>
      </c>
      <c r="C124" s="19">
        <f>MAX('TANF-VIEW'!L127,'TANF-VIEW'!T127)</f>
        <v>0</v>
      </c>
      <c r="D124" s="20">
        <f t="shared" si="27"/>
        <v>4916.666666666667</v>
      </c>
      <c r="E124" s="20">
        <f>'Total income package'!$D$80</f>
        <v>0</v>
      </c>
      <c r="F124" s="20">
        <f>'Total income package'!$H$61+'Total income package'!$F$66</f>
        <v>100</v>
      </c>
      <c r="G124" s="20">
        <f t="shared" si="20"/>
        <v>5016.666666666667</v>
      </c>
      <c r="H124" s="20" t="str">
        <f t="shared" si="14"/>
        <v>No</v>
      </c>
      <c r="I124" s="20">
        <f t="shared" si="15"/>
        <v>983.33333333333348</v>
      </c>
      <c r="J124" s="20">
        <f t="shared" si="16"/>
        <v>209</v>
      </c>
      <c r="K124" s="20">
        <f t="shared" si="17"/>
        <v>3824.3333333333335</v>
      </c>
      <c r="L124" s="20">
        <f t="shared" si="21"/>
        <v>500</v>
      </c>
      <c r="M124" s="20">
        <f>'Total income package'!$B$69</f>
        <v>500</v>
      </c>
      <c r="N124" s="20">
        <f t="shared" si="22"/>
        <v>1000</v>
      </c>
      <c r="O124" s="344" t="str">
        <f t="shared" si="23"/>
        <v>No</v>
      </c>
      <c r="P124" s="20">
        <f t="shared" si="24"/>
        <v>1912.1666666666667</v>
      </c>
      <c r="Q124" s="346">
        <f t="shared" si="18"/>
        <v>0</v>
      </c>
      <c r="R124" s="20">
        <f>IF(AND(D$2+$E$2&gt;0,N124-SNAP!P124&gt;0),N124-SNAP!P124,0)</f>
        <v>0</v>
      </c>
      <c r="S124" s="20">
        <f t="shared" si="25"/>
        <v>3824.3333333333335</v>
      </c>
      <c r="T124" s="20">
        <f t="shared" si="19"/>
        <v>1147.3</v>
      </c>
      <c r="U124" s="20">
        <f>IF(AND('Total income package'!$A$18=TRUE,OR(H124="Yes",O124="Yes"),G124&lt;$G$2,$K$2-T124&gt;10),ROUNDDOWN($K$2-T124,0),0)</f>
        <v>0</v>
      </c>
      <c r="V124" s="176">
        <f t="shared" si="26"/>
        <v>0</v>
      </c>
      <c r="W124" s="5"/>
    </row>
    <row r="125" spans="2:23" ht="15" customHeight="1" x14ac:dyDescent="0.25">
      <c r="B125" s="72">
        <v>59500</v>
      </c>
      <c r="C125" s="19">
        <f>MAX('TANF-VIEW'!L128,'TANF-VIEW'!T128)</f>
        <v>0</v>
      </c>
      <c r="D125" s="20">
        <f t="shared" si="27"/>
        <v>4958.333333333333</v>
      </c>
      <c r="E125" s="20">
        <f>'Total income package'!$D$80</f>
        <v>0</v>
      </c>
      <c r="F125" s="20">
        <f>'Total income package'!$H$61+'Total income package'!$F$66</f>
        <v>100</v>
      </c>
      <c r="G125" s="20">
        <f t="shared" si="20"/>
        <v>5058.333333333333</v>
      </c>
      <c r="H125" s="20" t="str">
        <f t="shared" si="14"/>
        <v>No</v>
      </c>
      <c r="I125" s="20">
        <f t="shared" si="15"/>
        <v>991.66666666666663</v>
      </c>
      <c r="J125" s="20">
        <f t="shared" si="16"/>
        <v>209</v>
      </c>
      <c r="K125" s="20">
        <f t="shared" si="17"/>
        <v>3857.6666666666665</v>
      </c>
      <c r="L125" s="20">
        <f t="shared" si="21"/>
        <v>500</v>
      </c>
      <c r="M125" s="20">
        <f>'Total income package'!$B$69</f>
        <v>500</v>
      </c>
      <c r="N125" s="20">
        <f t="shared" si="22"/>
        <v>1000</v>
      </c>
      <c r="O125" s="344" t="str">
        <f t="shared" si="23"/>
        <v>No</v>
      </c>
      <c r="P125" s="20">
        <f t="shared" si="24"/>
        <v>1928.8333333333333</v>
      </c>
      <c r="Q125" s="346">
        <f t="shared" si="18"/>
        <v>0</v>
      </c>
      <c r="R125" s="20">
        <f>IF(AND(D$2+$E$2&gt;0,N125-SNAP!P125&gt;0),N125-SNAP!P125,0)</f>
        <v>0</v>
      </c>
      <c r="S125" s="20">
        <f t="shared" si="25"/>
        <v>3857.6666666666665</v>
      </c>
      <c r="T125" s="20">
        <f t="shared" si="19"/>
        <v>1157.3</v>
      </c>
      <c r="U125" s="20">
        <f>IF(AND('Total income package'!$A$18=TRUE,OR(H125="Yes",O125="Yes"),G125&lt;$G$2,$K$2-T125&gt;10),ROUNDDOWN($K$2-T125,0),0)</f>
        <v>0</v>
      </c>
      <c r="V125" s="176">
        <f t="shared" si="26"/>
        <v>0</v>
      </c>
      <c r="W125" s="5"/>
    </row>
    <row r="126" spans="2:23" ht="15" customHeight="1" x14ac:dyDescent="0.25">
      <c r="B126" s="72">
        <v>60000</v>
      </c>
      <c r="C126" s="19">
        <f>MAX('TANF-VIEW'!L129,'TANF-VIEW'!T129)</f>
        <v>0</v>
      </c>
      <c r="D126" s="20">
        <f t="shared" si="27"/>
        <v>5000</v>
      </c>
      <c r="E126" s="20">
        <f>'Total income package'!$D$80</f>
        <v>0</v>
      </c>
      <c r="F126" s="20">
        <f>'Total income package'!$H$61+'Total income package'!$F$66</f>
        <v>100</v>
      </c>
      <c r="G126" s="20">
        <f t="shared" si="20"/>
        <v>5100</v>
      </c>
      <c r="H126" s="20" t="str">
        <f t="shared" si="14"/>
        <v>No</v>
      </c>
      <c r="I126" s="20">
        <f t="shared" si="15"/>
        <v>1000</v>
      </c>
      <c r="J126" s="20">
        <f t="shared" si="16"/>
        <v>209</v>
      </c>
      <c r="K126" s="20">
        <f t="shared" si="17"/>
        <v>3891</v>
      </c>
      <c r="L126" s="20">
        <f t="shared" si="21"/>
        <v>500</v>
      </c>
      <c r="M126" s="20">
        <f>'Total income package'!$B$69</f>
        <v>500</v>
      </c>
      <c r="N126" s="20">
        <f t="shared" si="22"/>
        <v>1000</v>
      </c>
      <c r="O126" s="344" t="str">
        <f t="shared" si="23"/>
        <v>No</v>
      </c>
      <c r="P126" s="20">
        <f t="shared" si="24"/>
        <v>1945.5</v>
      </c>
      <c r="Q126" s="346">
        <f t="shared" si="18"/>
        <v>0</v>
      </c>
      <c r="R126" s="20">
        <f>IF(AND(D$2+$E$2&gt;0,N126-SNAP!P126&gt;0),N126-SNAP!P126,0)</f>
        <v>0</v>
      </c>
      <c r="S126" s="20">
        <f t="shared" si="25"/>
        <v>3891</v>
      </c>
      <c r="T126" s="20">
        <f t="shared" si="19"/>
        <v>1167.3</v>
      </c>
      <c r="U126" s="20">
        <f>IF(AND('Total income package'!$A$18=TRUE,OR(H126="Yes",O126="Yes"),G126&lt;$G$2,$K$2-T126&gt;10),ROUNDDOWN($K$2-T126,0),0)</f>
        <v>0</v>
      </c>
      <c r="V126" s="176">
        <f t="shared" si="26"/>
        <v>0</v>
      </c>
      <c r="W126" s="5"/>
    </row>
    <row r="127" spans="2:23" ht="15" customHeight="1" x14ac:dyDescent="0.25">
      <c r="B127" s="72">
        <v>60500</v>
      </c>
      <c r="C127" s="19">
        <f>MAX('TANF-VIEW'!L130,'TANF-VIEW'!T130)</f>
        <v>0</v>
      </c>
      <c r="D127" s="20">
        <f t="shared" si="27"/>
        <v>5041.666666666667</v>
      </c>
      <c r="E127" s="20">
        <f>'Total income package'!$D$80</f>
        <v>0</v>
      </c>
      <c r="F127" s="20">
        <f>'Total income package'!$H$61+'Total income package'!$F$66</f>
        <v>100</v>
      </c>
      <c r="G127" s="20">
        <f t="shared" si="20"/>
        <v>5141.666666666667</v>
      </c>
      <c r="H127" s="20" t="str">
        <f t="shared" si="14"/>
        <v>No</v>
      </c>
      <c r="I127" s="20">
        <f t="shared" si="15"/>
        <v>1008.3333333333335</v>
      </c>
      <c r="J127" s="20">
        <f t="shared" si="16"/>
        <v>209</v>
      </c>
      <c r="K127" s="20">
        <f t="shared" si="17"/>
        <v>3924.3333333333339</v>
      </c>
      <c r="L127" s="20">
        <f t="shared" si="21"/>
        <v>500</v>
      </c>
      <c r="M127" s="20">
        <f>'Total income package'!$B$69</f>
        <v>500</v>
      </c>
      <c r="N127" s="20">
        <f t="shared" si="22"/>
        <v>1000</v>
      </c>
      <c r="O127" s="344" t="str">
        <f t="shared" si="23"/>
        <v>No</v>
      </c>
      <c r="P127" s="20">
        <f t="shared" si="24"/>
        <v>1962.166666666667</v>
      </c>
      <c r="Q127" s="346">
        <f t="shared" si="18"/>
        <v>0</v>
      </c>
      <c r="R127" s="20">
        <f>IF(AND(D$2+$E$2&gt;0,N127-SNAP!P127&gt;0),N127-SNAP!P127,0)</f>
        <v>0</v>
      </c>
      <c r="S127" s="20">
        <f t="shared" si="25"/>
        <v>3924.3333333333339</v>
      </c>
      <c r="T127" s="20">
        <f t="shared" si="19"/>
        <v>1177.3000000000002</v>
      </c>
      <c r="U127" s="20">
        <f>IF(AND('Total income package'!$A$18=TRUE,OR(H127="Yes",O127="Yes"),G127&lt;$G$2,$K$2-T127&gt;10),ROUNDDOWN($K$2-T127,0),0)</f>
        <v>0</v>
      </c>
      <c r="V127" s="176">
        <f t="shared" si="26"/>
        <v>0</v>
      </c>
      <c r="W127" s="5"/>
    </row>
    <row r="128" spans="2:23" ht="15" customHeight="1" x14ac:dyDescent="0.25">
      <c r="B128" s="72">
        <v>61000</v>
      </c>
      <c r="C128" s="19">
        <f>MAX('TANF-VIEW'!L131,'TANF-VIEW'!T131)</f>
        <v>0</v>
      </c>
      <c r="D128" s="20">
        <f t="shared" si="27"/>
        <v>5083.333333333333</v>
      </c>
      <c r="E128" s="20">
        <f>'Total income package'!$D$80</f>
        <v>0</v>
      </c>
      <c r="F128" s="20">
        <f>'Total income package'!$H$61+'Total income package'!$F$66</f>
        <v>100</v>
      </c>
      <c r="G128" s="20">
        <f t="shared" si="20"/>
        <v>5183.333333333333</v>
      </c>
      <c r="H128" s="20" t="str">
        <f t="shared" si="14"/>
        <v>No</v>
      </c>
      <c r="I128" s="20">
        <f t="shared" si="15"/>
        <v>1016.6666666666666</v>
      </c>
      <c r="J128" s="20">
        <f t="shared" si="16"/>
        <v>209</v>
      </c>
      <c r="K128" s="20">
        <f t="shared" si="17"/>
        <v>3957.6666666666661</v>
      </c>
      <c r="L128" s="20">
        <f t="shared" si="21"/>
        <v>500</v>
      </c>
      <c r="M128" s="20">
        <f>'Total income package'!$B$69</f>
        <v>500</v>
      </c>
      <c r="N128" s="20">
        <f t="shared" si="22"/>
        <v>1000</v>
      </c>
      <c r="O128" s="344" t="str">
        <f t="shared" si="23"/>
        <v>No</v>
      </c>
      <c r="P128" s="20">
        <f t="shared" si="24"/>
        <v>1978.833333333333</v>
      </c>
      <c r="Q128" s="346">
        <f t="shared" si="18"/>
        <v>0</v>
      </c>
      <c r="R128" s="20">
        <f>IF(AND(D$2+$E$2&gt;0,N128-SNAP!P128&gt;0),N128-SNAP!P128,0)</f>
        <v>0</v>
      </c>
      <c r="S128" s="20">
        <f t="shared" si="25"/>
        <v>3957.6666666666661</v>
      </c>
      <c r="T128" s="20">
        <f t="shared" si="19"/>
        <v>1187.2999999999997</v>
      </c>
      <c r="U128" s="20">
        <f>IF(AND('Total income package'!$A$18=TRUE,OR(H128="Yes",O128="Yes"),G128&lt;$G$2,$K$2-T128&gt;10),ROUNDDOWN($K$2-T128,0),0)</f>
        <v>0</v>
      </c>
      <c r="V128" s="176">
        <f t="shared" si="26"/>
        <v>0</v>
      </c>
      <c r="W128" s="5"/>
    </row>
    <row r="129" spans="2:23" ht="15" customHeight="1" x14ac:dyDescent="0.25">
      <c r="B129" s="72">
        <v>61500</v>
      </c>
      <c r="C129" s="19">
        <f>MAX('TANF-VIEW'!L132,'TANF-VIEW'!T132)</f>
        <v>0</v>
      </c>
      <c r="D129" s="20">
        <f t="shared" si="27"/>
        <v>5125</v>
      </c>
      <c r="E129" s="20">
        <f>'Total income package'!$D$80</f>
        <v>0</v>
      </c>
      <c r="F129" s="20">
        <f>'Total income package'!$H$61+'Total income package'!$F$66</f>
        <v>100</v>
      </c>
      <c r="G129" s="20">
        <f t="shared" si="20"/>
        <v>5225</v>
      </c>
      <c r="H129" s="20" t="str">
        <f t="shared" si="14"/>
        <v>No</v>
      </c>
      <c r="I129" s="20">
        <f t="shared" si="15"/>
        <v>1025</v>
      </c>
      <c r="J129" s="20">
        <f t="shared" si="16"/>
        <v>209</v>
      </c>
      <c r="K129" s="20">
        <f t="shared" si="17"/>
        <v>3991</v>
      </c>
      <c r="L129" s="20">
        <f t="shared" si="21"/>
        <v>500</v>
      </c>
      <c r="M129" s="20">
        <f>'Total income package'!$B$69</f>
        <v>500</v>
      </c>
      <c r="N129" s="20">
        <f t="shared" si="22"/>
        <v>1000</v>
      </c>
      <c r="O129" s="344" t="str">
        <f t="shared" si="23"/>
        <v>No</v>
      </c>
      <c r="P129" s="20">
        <f t="shared" si="24"/>
        <v>1995.5</v>
      </c>
      <c r="Q129" s="346">
        <f t="shared" si="18"/>
        <v>0</v>
      </c>
      <c r="R129" s="20">
        <f>IF(AND(D$2+$E$2&gt;0,N129-SNAP!P129&gt;0),N129-SNAP!P129,0)</f>
        <v>0</v>
      </c>
      <c r="S129" s="20">
        <f t="shared" si="25"/>
        <v>3991</v>
      </c>
      <c r="T129" s="20">
        <f t="shared" si="19"/>
        <v>1197.3</v>
      </c>
      <c r="U129" s="20">
        <f>IF(AND('Total income package'!$A$18=TRUE,OR(H129="Yes",O129="Yes"),G129&lt;$G$2,$K$2-T129&gt;10),ROUNDDOWN($K$2-T129,0),0)</f>
        <v>0</v>
      </c>
      <c r="V129" s="176">
        <f t="shared" si="26"/>
        <v>0</v>
      </c>
      <c r="W129" s="5"/>
    </row>
    <row r="130" spans="2:23" ht="15" customHeight="1" x14ac:dyDescent="0.25">
      <c r="B130" s="72">
        <v>62000</v>
      </c>
      <c r="C130" s="19">
        <f>MAX('TANF-VIEW'!L133,'TANF-VIEW'!T133)</f>
        <v>0</v>
      </c>
      <c r="D130" s="20">
        <f t="shared" si="27"/>
        <v>5166.666666666667</v>
      </c>
      <c r="E130" s="20">
        <f>'Total income package'!$D$80</f>
        <v>0</v>
      </c>
      <c r="F130" s="20">
        <f>'Total income package'!$H$61+'Total income package'!$F$66</f>
        <v>100</v>
      </c>
      <c r="G130" s="20">
        <f t="shared" si="20"/>
        <v>5266.666666666667</v>
      </c>
      <c r="H130" s="20" t="str">
        <f t="shared" si="14"/>
        <v>No</v>
      </c>
      <c r="I130" s="20">
        <f t="shared" si="15"/>
        <v>1033.3333333333335</v>
      </c>
      <c r="J130" s="20">
        <f t="shared" si="16"/>
        <v>209</v>
      </c>
      <c r="K130" s="20">
        <f t="shared" si="17"/>
        <v>4024.3333333333339</v>
      </c>
      <c r="L130" s="20">
        <f t="shared" si="21"/>
        <v>500</v>
      </c>
      <c r="M130" s="20">
        <f>'Total income package'!$B$69</f>
        <v>500</v>
      </c>
      <c r="N130" s="20">
        <f t="shared" si="22"/>
        <v>1000</v>
      </c>
      <c r="O130" s="344" t="str">
        <f t="shared" si="23"/>
        <v>No</v>
      </c>
      <c r="P130" s="20">
        <f t="shared" si="24"/>
        <v>2012.166666666667</v>
      </c>
      <c r="Q130" s="346">
        <f t="shared" si="18"/>
        <v>0</v>
      </c>
      <c r="R130" s="20">
        <f>IF(AND(D$2+$E$2&gt;0,N130-SNAP!P130&gt;0),N130-SNAP!P130,0)</f>
        <v>0</v>
      </c>
      <c r="S130" s="20">
        <f t="shared" si="25"/>
        <v>4024.3333333333339</v>
      </c>
      <c r="T130" s="20">
        <f t="shared" si="19"/>
        <v>1207.3000000000002</v>
      </c>
      <c r="U130" s="20">
        <f>IF(AND('Total income package'!$A$18=TRUE,OR(H130="Yes",O130="Yes"),G130&lt;$G$2,$K$2-T130&gt;10),ROUNDDOWN($K$2-T130,0),0)</f>
        <v>0</v>
      </c>
      <c r="V130" s="176">
        <f t="shared" si="26"/>
        <v>0</v>
      </c>
      <c r="W130" s="5"/>
    </row>
    <row r="131" spans="2:23" ht="15" customHeight="1" x14ac:dyDescent="0.25">
      <c r="B131" s="72">
        <v>62500</v>
      </c>
      <c r="C131" s="19">
        <f>MAX('TANF-VIEW'!L134,'TANF-VIEW'!T134)</f>
        <v>0</v>
      </c>
      <c r="D131" s="20">
        <f t="shared" si="27"/>
        <v>5208.333333333333</v>
      </c>
      <c r="E131" s="20">
        <f>'Total income package'!$D$80</f>
        <v>0</v>
      </c>
      <c r="F131" s="20">
        <f>'Total income package'!$H$61+'Total income package'!$F$66</f>
        <v>100</v>
      </c>
      <c r="G131" s="20">
        <f t="shared" si="20"/>
        <v>5308.333333333333</v>
      </c>
      <c r="H131" s="20" t="str">
        <f t="shared" si="14"/>
        <v>No</v>
      </c>
      <c r="I131" s="20">
        <f t="shared" si="15"/>
        <v>1041.6666666666667</v>
      </c>
      <c r="J131" s="20">
        <f t="shared" si="16"/>
        <v>209</v>
      </c>
      <c r="K131" s="20">
        <f t="shared" si="17"/>
        <v>4057.6666666666661</v>
      </c>
      <c r="L131" s="20">
        <f t="shared" si="21"/>
        <v>500</v>
      </c>
      <c r="M131" s="20">
        <f>'Total income package'!$B$69</f>
        <v>500</v>
      </c>
      <c r="N131" s="20">
        <f t="shared" si="22"/>
        <v>1000</v>
      </c>
      <c r="O131" s="344" t="str">
        <f t="shared" si="23"/>
        <v>No</v>
      </c>
      <c r="P131" s="20">
        <f t="shared" si="24"/>
        <v>2028.833333333333</v>
      </c>
      <c r="Q131" s="346">
        <f t="shared" si="18"/>
        <v>0</v>
      </c>
      <c r="R131" s="20">
        <f>IF(AND(D$2+$E$2&gt;0,N131-SNAP!P131&gt;0),N131-SNAP!P131,0)</f>
        <v>0</v>
      </c>
      <c r="S131" s="20">
        <f t="shared" si="25"/>
        <v>4057.6666666666661</v>
      </c>
      <c r="T131" s="20">
        <f t="shared" si="19"/>
        <v>1217.2999999999997</v>
      </c>
      <c r="U131" s="20">
        <f>IF(AND('Total income package'!$A$18=TRUE,OR(H131="Yes",O131="Yes"),G131&lt;$G$2,$K$2-T131&gt;10),ROUNDDOWN($K$2-T131,0),0)</f>
        <v>0</v>
      </c>
      <c r="V131" s="176">
        <f t="shared" si="26"/>
        <v>0</v>
      </c>
      <c r="W131" s="5"/>
    </row>
    <row r="132" spans="2:23" ht="15" customHeight="1" x14ac:dyDescent="0.25">
      <c r="B132" s="72">
        <v>63000</v>
      </c>
      <c r="C132" s="19">
        <f>MAX('TANF-VIEW'!L135,'TANF-VIEW'!T135)</f>
        <v>0</v>
      </c>
      <c r="D132" s="20">
        <f t="shared" si="27"/>
        <v>5250</v>
      </c>
      <c r="E132" s="20">
        <f>'Total income package'!$D$80</f>
        <v>0</v>
      </c>
      <c r="F132" s="20">
        <f>'Total income package'!$H$61+'Total income package'!$F$66</f>
        <v>100</v>
      </c>
      <c r="G132" s="20">
        <f t="shared" si="20"/>
        <v>5350</v>
      </c>
      <c r="H132" s="20" t="str">
        <f t="shared" si="14"/>
        <v>No</v>
      </c>
      <c r="I132" s="20">
        <f t="shared" si="15"/>
        <v>1050</v>
      </c>
      <c r="J132" s="20">
        <f t="shared" si="16"/>
        <v>209</v>
      </c>
      <c r="K132" s="20">
        <f t="shared" si="17"/>
        <v>4091</v>
      </c>
      <c r="L132" s="20">
        <f t="shared" si="21"/>
        <v>500</v>
      </c>
      <c r="M132" s="20">
        <f>'Total income package'!$B$69</f>
        <v>500</v>
      </c>
      <c r="N132" s="20">
        <f t="shared" si="22"/>
        <v>1000</v>
      </c>
      <c r="O132" s="344" t="str">
        <f t="shared" si="23"/>
        <v>No</v>
      </c>
      <c r="P132" s="20">
        <f t="shared" si="24"/>
        <v>2045.5</v>
      </c>
      <c r="Q132" s="346">
        <f t="shared" si="18"/>
        <v>0</v>
      </c>
      <c r="R132" s="20">
        <f>IF(AND(D$2+$E$2&gt;0,N132-SNAP!P132&gt;0),N132-SNAP!P132,0)</f>
        <v>0</v>
      </c>
      <c r="S132" s="20">
        <f t="shared" si="25"/>
        <v>4091</v>
      </c>
      <c r="T132" s="20">
        <f t="shared" si="19"/>
        <v>1227.3</v>
      </c>
      <c r="U132" s="20">
        <f>IF(AND('Total income package'!$A$18=TRUE,OR(H132="Yes",O132="Yes"),G132&lt;$G$2,$K$2-T132&gt;10),ROUNDDOWN($K$2-T132,0),0)</f>
        <v>0</v>
      </c>
      <c r="V132" s="176">
        <f>IF(AND(C128&lt;3,U132&gt;10,U132&lt;24),24,U132)</f>
        <v>0</v>
      </c>
      <c r="W132" s="5"/>
    </row>
    <row r="133" spans="2:23" ht="15" customHeight="1" x14ac:dyDescent="0.25">
      <c r="B133" s="72">
        <v>63500</v>
      </c>
      <c r="C133" s="19">
        <f>MAX('TANF-VIEW'!L136,'TANF-VIEW'!T136)</f>
        <v>0</v>
      </c>
      <c r="D133" s="20">
        <f t="shared" si="27"/>
        <v>5291.666666666667</v>
      </c>
      <c r="E133" s="20">
        <f>'Total income package'!$D$80</f>
        <v>0</v>
      </c>
      <c r="F133" s="20">
        <f>'Total income package'!$H$61+'Total income package'!$F$66</f>
        <v>100</v>
      </c>
      <c r="G133" s="20">
        <f t="shared" si="20"/>
        <v>5391.666666666667</v>
      </c>
      <c r="H133" s="20" t="str">
        <f t="shared" si="14"/>
        <v>No</v>
      </c>
      <c r="I133" s="20">
        <f t="shared" si="15"/>
        <v>1058.3333333333335</v>
      </c>
      <c r="J133" s="20">
        <f t="shared" si="16"/>
        <v>209</v>
      </c>
      <c r="K133" s="20">
        <f t="shared" si="17"/>
        <v>4124.3333333333339</v>
      </c>
      <c r="L133" s="20">
        <f t="shared" si="21"/>
        <v>500</v>
      </c>
      <c r="M133" s="20">
        <f>'Total income package'!$B$69</f>
        <v>500</v>
      </c>
      <c r="N133" s="20">
        <f t="shared" si="22"/>
        <v>1000</v>
      </c>
      <c r="O133" s="344" t="str">
        <f t="shared" si="23"/>
        <v>No</v>
      </c>
      <c r="P133" s="20">
        <f t="shared" si="24"/>
        <v>2062.166666666667</v>
      </c>
      <c r="Q133" s="346">
        <f t="shared" si="18"/>
        <v>0</v>
      </c>
      <c r="R133" s="20">
        <f>IF(AND(D$2+$E$2&gt;0,N133-SNAP!P133&gt;0),N133-SNAP!P133,0)</f>
        <v>0</v>
      </c>
      <c r="S133" s="20">
        <f t="shared" si="25"/>
        <v>4124.3333333333339</v>
      </c>
      <c r="T133" s="20">
        <f t="shared" si="19"/>
        <v>1237.3000000000002</v>
      </c>
      <c r="U133" s="20">
        <f>IF(AND('Total income package'!$A$18=TRUE,OR(H133="Yes",O133="Yes"),G133&lt;$G$2,$K$2-T133&gt;10),ROUNDDOWN($K$2-T133,0),0)</f>
        <v>0</v>
      </c>
      <c r="V133" s="176">
        <f t="shared" si="26"/>
        <v>0</v>
      </c>
      <c r="W133" s="5"/>
    </row>
    <row r="134" spans="2:23" ht="15" customHeight="1" x14ac:dyDescent="0.25">
      <c r="B134" s="72">
        <v>64000</v>
      </c>
      <c r="C134" s="19">
        <f>MAX('TANF-VIEW'!L137,'TANF-VIEW'!T137)</f>
        <v>0</v>
      </c>
      <c r="D134" s="20">
        <f t="shared" si="27"/>
        <v>5333.333333333333</v>
      </c>
      <c r="E134" s="20">
        <f>'Total income package'!$D$80</f>
        <v>0</v>
      </c>
      <c r="F134" s="20">
        <f>'Total income package'!$H$61+'Total income package'!$F$66</f>
        <v>100</v>
      </c>
      <c r="G134" s="20">
        <f t="shared" si="20"/>
        <v>5433.333333333333</v>
      </c>
      <c r="H134" s="20" t="str">
        <f t="shared" ref="H134:H197" si="28">IF(G134&lt;$G$2,"Yes","No")</f>
        <v>No</v>
      </c>
      <c r="I134" s="20">
        <f t="shared" ref="I134:I197" si="29">D134*0.2</f>
        <v>1066.6666666666667</v>
      </c>
      <c r="J134" s="20">
        <f t="shared" ref="J134:J197" si="30">$H$2</f>
        <v>209</v>
      </c>
      <c r="K134" s="20">
        <f t="shared" ref="K134:K197" si="31">IF(G134-I134-J134&gt;0,G134-I134-J134,0)</f>
        <v>4157.6666666666661</v>
      </c>
      <c r="L134" s="20">
        <f t="shared" si="21"/>
        <v>500</v>
      </c>
      <c r="M134" s="20">
        <f>'Total income package'!$B$69</f>
        <v>500</v>
      </c>
      <c r="N134" s="20">
        <f t="shared" si="22"/>
        <v>1000</v>
      </c>
      <c r="O134" s="344" t="str">
        <f t="shared" si="23"/>
        <v>No</v>
      </c>
      <c r="P134" s="20">
        <f t="shared" si="24"/>
        <v>2078.833333333333</v>
      </c>
      <c r="Q134" s="346">
        <f t="shared" ref="Q134:Q197" si="32">IF(AND(D$2+$E$2=0,N134&lt;$L$2,N134-P134&gt;0),N134-P134,IF(AND(D$2+$E$2=0,N134&gt;$L$2),$L$2,0))</f>
        <v>0</v>
      </c>
      <c r="R134" s="20">
        <f>IF(AND(D$2+$E$2&gt;0,N134-SNAP!P134&gt;0),N134-SNAP!P134,0)</f>
        <v>0</v>
      </c>
      <c r="S134" s="20">
        <f t="shared" si="25"/>
        <v>4157.6666666666661</v>
      </c>
      <c r="T134" s="20">
        <f t="shared" ref="T134:T197" si="33">S134*0.3</f>
        <v>1247.2999999999997</v>
      </c>
      <c r="U134" s="20">
        <f>IF(AND('Total income package'!$A$18=TRUE,OR(H134="Yes",O134="Yes"),G134&lt;$G$2,$K$2-T134&gt;10),ROUNDDOWN($K$2-T134,0),0)</f>
        <v>0</v>
      </c>
      <c r="V134" s="176">
        <f t="shared" si="26"/>
        <v>0</v>
      </c>
      <c r="W134" s="5"/>
    </row>
    <row r="135" spans="2:23" ht="15" customHeight="1" x14ac:dyDescent="0.25">
      <c r="B135" s="72">
        <v>64500</v>
      </c>
      <c r="C135" s="19">
        <f>MAX('TANF-VIEW'!L138,'TANF-VIEW'!T138)</f>
        <v>0</v>
      </c>
      <c r="D135" s="20">
        <f t="shared" si="27"/>
        <v>5375</v>
      </c>
      <c r="E135" s="20">
        <f>'Total income package'!$D$80</f>
        <v>0</v>
      </c>
      <c r="F135" s="20">
        <f>'Total income package'!$H$61+'Total income package'!$F$66</f>
        <v>100</v>
      </c>
      <c r="G135" s="20">
        <f t="shared" ref="G135:G198" si="34">D135+C135+E135+F135</f>
        <v>5475</v>
      </c>
      <c r="H135" s="20" t="str">
        <f t="shared" si="28"/>
        <v>No</v>
      </c>
      <c r="I135" s="20">
        <f t="shared" si="29"/>
        <v>1075</v>
      </c>
      <c r="J135" s="20">
        <f t="shared" si="30"/>
        <v>209</v>
      </c>
      <c r="K135" s="20">
        <f t="shared" si="31"/>
        <v>4191</v>
      </c>
      <c r="L135" s="20">
        <f t="shared" ref="L135:L198" si="35">$I$2</f>
        <v>500</v>
      </c>
      <c r="M135" s="20">
        <f>'Total income package'!$B$69</f>
        <v>500</v>
      </c>
      <c r="N135" s="20">
        <f t="shared" ref="N135:N198" si="36">L135+M135</f>
        <v>1000</v>
      </c>
      <c r="O135" s="344" t="str">
        <f t="shared" ref="O135:O198" si="37">IF(AND($D$2+$E$2&gt;0,K135&lt;$J$2),"Yes","No")</f>
        <v>No</v>
      </c>
      <c r="P135" s="20">
        <f t="shared" ref="P135:P198" si="38">K135/2</f>
        <v>2095.5</v>
      </c>
      <c r="Q135" s="346">
        <f t="shared" si="32"/>
        <v>0</v>
      </c>
      <c r="R135" s="20">
        <f>IF(AND(D$2+$E$2&gt;0,N135-SNAP!P135&gt;0),N135-SNAP!P135,0)</f>
        <v>0</v>
      </c>
      <c r="S135" s="20">
        <f t="shared" ref="S135:S198" si="39">IF(AND($D$2+$E$2&gt;0,K135-R135&gt;0),K135-R135,IF(AND($D$2+$E$2=0,K135-Q135&gt;0),K135-Q135,0))</f>
        <v>4191</v>
      </c>
      <c r="T135" s="20">
        <f t="shared" si="33"/>
        <v>1257.3</v>
      </c>
      <c r="U135" s="20">
        <f>IF(AND('Total income package'!$A$18=TRUE,OR(H135="Yes",O135="Yes"),G135&lt;$G$2,$K$2-T135&gt;10),ROUNDDOWN($K$2-T135,0),0)</f>
        <v>0</v>
      </c>
      <c r="V135" s="176">
        <f t="shared" ref="V135:V198" si="40">IF(AND(C131&lt;3,U135&gt;10,U135&lt;24),24,U135)</f>
        <v>0</v>
      </c>
      <c r="W135" s="5"/>
    </row>
    <row r="136" spans="2:23" ht="15" customHeight="1" x14ac:dyDescent="0.25">
      <c r="B136" s="72">
        <v>65000</v>
      </c>
      <c r="C136" s="19">
        <f>MAX('TANF-VIEW'!L139,'TANF-VIEW'!T139)</f>
        <v>0</v>
      </c>
      <c r="D136" s="20">
        <f t="shared" si="27"/>
        <v>5416.666666666667</v>
      </c>
      <c r="E136" s="20">
        <f>'Total income package'!$D$80</f>
        <v>0</v>
      </c>
      <c r="F136" s="20">
        <f>'Total income package'!$H$61+'Total income package'!$F$66</f>
        <v>100</v>
      </c>
      <c r="G136" s="20">
        <f t="shared" si="34"/>
        <v>5516.666666666667</v>
      </c>
      <c r="H136" s="20" t="str">
        <f t="shared" si="28"/>
        <v>No</v>
      </c>
      <c r="I136" s="20">
        <f t="shared" si="29"/>
        <v>1083.3333333333335</v>
      </c>
      <c r="J136" s="20">
        <f t="shared" si="30"/>
        <v>209</v>
      </c>
      <c r="K136" s="20">
        <f t="shared" si="31"/>
        <v>4224.3333333333339</v>
      </c>
      <c r="L136" s="20">
        <f t="shared" si="35"/>
        <v>500</v>
      </c>
      <c r="M136" s="20">
        <f>'Total income package'!$B$69</f>
        <v>500</v>
      </c>
      <c r="N136" s="20">
        <f t="shared" si="36"/>
        <v>1000</v>
      </c>
      <c r="O136" s="344" t="str">
        <f t="shared" si="37"/>
        <v>No</v>
      </c>
      <c r="P136" s="20">
        <f t="shared" si="38"/>
        <v>2112.166666666667</v>
      </c>
      <c r="Q136" s="346">
        <f t="shared" si="32"/>
        <v>0</v>
      </c>
      <c r="R136" s="20">
        <f>IF(AND(D$2+$E$2&gt;0,N136-SNAP!P136&gt;0),N136-SNAP!P136,0)</f>
        <v>0</v>
      </c>
      <c r="S136" s="20">
        <f t="shared" si="39"/>
        <v>4224.3333333333339</v>
      </c>
      <c r="T136" s="20">
        <f t="shared" si="33"/>
        <v>1267.3000000000002</v>
      </c>
      <c r="U136" s="20">
        <f>IF(AND('Total income package'!$A$18=TRUE,OR(H136="Yes",O136="Yes"),G136&lt;$G$2,$K$2-T136&gt;10),ROUNDDOWN($K$2-T136,0),0)</f>
        <v>0</v>
      </c>
      <c r="V136" s="176">
        <f t="shared" si="40"/>
        <v>0</v>
      </c>
      <c r="W136" s="5"/>
    </row>
    <row r="137" spans="2:23" ht="15" customHeight="1" x14ac:dyDescent="0.25">
      <c r="B137" s="72">
        <v>65500</v>
      </c>
      <c r="C137" s="19">
        <f>MAX('TANF-VIEW'!L140,'TANF-VIEW'!T140)</f>
        <v>0</v>
      </c>
      <c r="D137" s="20">
        <f t="shared" ref="D137:D200" si="41">B137/12</f>
        <v>5458.333333333333</v>
      </c>
      <c r="E137" s="20">
        <f>'Total income package'!$D$80</f>
        <v>0</v>
      </c>
      <c r="F137" s="20">
        <f>'Total income package'!$H$61+'Total income package'!$F$66</f>
        <v>100</v>
      </c>
      <c r="G137" s="20">
        <f t="shared" si="34"/>
        <v>5558.333333333333</v>
      </c>
      <c r="H137" s="20" t="str">
        <f t="shared" si="28"/>
        <v>No</v>
      </c>
      <c r="I137" s="20">
        <f t="shared" si="29"/>
        <v>1091.6666666666667</v>
      </c>
      <c r="J137" s="20">
        <f t="shared" si="30"/>
        <v>209</v>
      </c>
      <c r="K137" s="20">
        <f t="shared" si="31"/>
        <v>4257.6666666666661</v>
      </c>
      <c r="L137" s="20">
        <f t="shared" si="35"/>
        <v>500</v>
      </c>
      <c r="M137" s="20">
        <f>'Total income package'!$B$69</f>
        <v>500</v>
      </c>
      <c r="N137" s="20">
        <f t="shared" si="36"/>
        <v>1000</v>
      </c>
      <c r="O137" s="344" t="str">
        <f t="shared" si="37"/>
        <v>No</v>
      </c>
      <c r="P137" s="20">
        <f t="shared" si="38"/>
        <v>2128.833333333333</v>
      </c>
      <c r="Q137" s="346">
        <f t="shared" si="32"/>
        <v>0</v>
      </c>
      <c r="R137" s="20">
        <f>IF(AND(D$2+$E$2&gt;0,N137-SNAP!P137&gt;0),N137-SNAP!P137,0)</f>
        <v>0</v>
      </c>
      <c r="S137" s="20">
        <f t="shared" si="39"/>
        <v>4257.6666666666661</v>
      </c>
      <c r="T137" s="20">
        <f t="shared" si="33"/>
        <v>1277.2999999999997</v>
      </c>
      <c r="U137" s="20">
        <f>IF(AND('Total income package'!$A$18=TRUE,OR(H137="Yes",O137="Yes"),G137&lt;$G$2,$K$2-T137&gt;10),ROUNDDOWN($K$2-T137,0),0)</f>
        <v>0</v>
      </c>
      <c r="V137" s="176">
        <f t="shared" si="40"/>
        <v>0</v>
      </c>
      <c r="W137" s="5"/>
    </row>
    <row r="138" spans="2:23" ht="15" customHeight="1" x14ac:dyDescent="0.25">
      <c r="B138" s="72">
        <v>66000</v>
      </c>
      <c r="C138" s="19">
        <f>MAX('TANF-VIEW'!L141,'TANF-VIEW'!T141)</f>
        <v>0</v>
      </c>
      <c r="D138" s="20">
        <f t="shared" si="41"/>
        <v>5500</v>
      </c>
      <c r="E138" s="20">
        <f>'Total income package'!$D$80</f>
        <v>0</v>
      </c>
      <c r="F138" s="20">
        <f>'Total income package'!$H$61+'Total income package'!$F$66</f>
        <v>100</v>
      </c>
      <c r="G138" s="20">
        <f t="shared" si="34"/>
        <v>5600</v>
      </c>
      <c r="H138" s="20" t="str">
        <f t="shared" si="28"/>
        <v>No</v>
      </c>
      <c r="I138" s="20">
        <f t="shared" si="29"/>
        <v>1100</v>
      </c>
      <c r="J138" s="20">
        <f t="shared" si="30"/>
        <v>209</v>
      </c>
      <c r="K138" s="20">
        <f t="shared" si="31"/>
        <v>4291</v>
      </c>
      <c r="L138" s="20">
        <f t="shared" si="35"/>
        <v>500</v>
      </c>
      <c r="M138" s="20">
        <f>'Total income package'!$B$69</f>
        <v>500</v>
      </c>
      <c r="N138" s="20">
        <f t="shared" si="36"/>
        <v>1000</v>
      </c>
      <c r="O138" s="344" t="str">
        <f t="shared" si="37"/>
        <v>No</v>
      </c>
      <c r="P138" s="20">
        <f t="shared" si="38"/>
        <v>2145.5</v>
      </c>
      <c r="Q138" s="346">
        <f t="shared" si="32"/>
        <v>0</v>
      </c>
      <c r="R138" s="20">
        <f>IF(AND(D$2+$E$2&gt;0,N138-SNAP!P138&gt;0),N138-SNAP!P138,0)</f>
        <v>0</v>
      </c>
      <c r="S138" s="20">
        <f t="shared" si="39"/>
        <v>4291</v>
      </c>
      <c r="T138" s="20">
        <f t="shared" si="33"/>
        <v>1287.3</v>
      </c>
      <c r="U138" s="20">
        <f>IF(AND('Total income package'!$A$18=TRUE,OR(H138="Yes",O138="Yes"),G138&lt;$G$2,$K$2-T138&gt;10),ROUNDDOWN($K$2-T138,0),0)</f>
        <v>0</v>
      </c>
      <c r="V138" s="176">
        <f t="shared" si="40"/>
        <v>0</v>
      </c>
      <c r="W138" s="5"/>
    </row>
    <row r="139" spans="2:23" ht="15" customHeight="1" x14ac:dyDescent="0.25">
      <c r="B139" s="72">
        <v>66500</v>
      </c>
      <c r="C139" s="19">
        <f>MAX('TANF-VIEW'!L142,'TANF-VIEW'!T142)</f>
        <v>0</v>
      </c>
      <c r="D139" s="20">
        <f t="shared" si="41"/>
        <v>5541.666666666667</v>
      </c>
      <c r="E139" s="20">
        <f>'Total income package'!$D$80</f>
        <v>0</v>
      </c>
      <c r="F139" s="20">
        <f>'Total income package'!$H$61+'Total income package'!$F$66</f>
        <v>100</v>
      </c>
      <c r="G139" s="20">
        <f t="shared" si="34"/>
        <v>5641.666666666667</v>
      </c>
      <c r="H139" s="20" t="str">
        <f t="shared" si="28"/>
        <v>No</v>
      </c>
      <c r="I139" s="20">
        <f t="shared" si="29"/>
        <v>1108.3333333333335</v>
      </c>
      <c r="J139" s="20">
        <f t="shared" si="30"/>
        <v>209</v>
      </c>
      <c r="K139" s="20">
        <f t="shared" si="31"/>
        <v>4324.3333333333339</v>
      </c>
      <c r="L139" s="20">
        <f t="shared" si="35"/>
        <v>500</v>
      </c>
      <c r="M139" s="20">
        <f>'Total income package'!$B$69</f>
        <v>500</v>
      </c>
      <c r="N139" s="20">
        <f t="shared" si="36"/>
        <v>1000</v>
      </c>
      <c r="O139" s="344" t="str">
        <f t="shared" si="37"/>
        <v>No</v>
      </c>
      <c r="P139" s="20">
        <f t="shared" si="38"/>
        <v>2162.166666666667</v>
      </c>
      <c r="Q139" s="346">
        <f t="shared" si="32"/>
        <v>0</v>
      </c>
      <c r="R139" s="20">
        <f>IF(AND(D$2+$E$2&gt;0,N139-SNAP!P139&gt;0),N139-SNAP!P139,0)</f>
        <v>0</v>
      </c>
      <c r="S139" s="20">
        <f t="shared" si="39"/>
        <v>4324.3333333333339</v>
      </c>
      <c r="T139" s="20">
        <f t="shared" si="33"/>
        <v>1297.3000000000002</v>
      </c>
      <c r="U139" s="20">
        <f>IF(AND('Total income package'!$A$18=TRUE,OR(H139="Yes",O139="Yes"),G139&lt;$G$2,$K$2-T139&gt;10),ROUNDDOWN($K$2-T139,0),0)</f>
        <v>0</v>
      </c>
      <c r="V139" s="176">
        <f t="shared" si="40"/>
        <v>0</v>
      </c>
      <c r="W139" s="5"/>
    </row>
    <row r="140" spans="2:23" ht="15" customHeight="1" x14ac:dyDescent="0.25">
      <c r="B140" s="72">
        <v>67000</v>
      </c>
      <c r="C140" s="19">
        <f>MAX('TANF-VIEW'!L143,'TANF-VIEW'!T143)</f>
        <v>0</v>
      </c>
      <c r="D140" s="20">
        <f t="shared" si="41"/>
        <v>5583.333333333333</v>
      </c>
      <c r="E140" s="20">
        <f>'Total income package'!$D$80</f>
        <v>0</v>
      </c>
      <c r="F140" s="20">
        <f>'Total income package'!$H$61+'Total income package'!$F$66</f>
        <v>100</v>
      </c>
      <c r="G140" s="20">
        <f t="shared" si="34"/>
        <v>5683.333333333333</v>
      </c>
      <c r="H140" s="20" t="str">
        <f t="shared" si="28"/>
        <v>No</v>
      </c>
      <c r="I140" s="20">
        <f t="shared" si="29"/>
        <v>1116.6666666666667</v>
      </c>
      <c r="J140" s="20">
        <f t="shared" si="30"/>
        <v>209</v>
      </c>
      <c r="K140" s="20">
        <f t="shared" si="31"/>
        <v>4357.6666666666661</v>
      </c>
      <c r="L140" s="20">
        <f t="shared" si="35"/>
        <v>500</v>
      </c>
      <c r="M140" s="20">
        <f>'Total income package'!$B$69</f>
        <v>500</v>
      </c>
      <c r="N140" s="20">
        <f t="shared" si="36"/>
        <v>1000</v>
      </c>
      <c r="O140" s="344" t="str">
        <f t="shared" si="37"/>
        <v>No</v>
      </c>
      <c r="P140" s="20">
        <f t="shared" si="38"/>
        <v>2178.833333333333</v>
      </c>
      <c r="Q140" s="346">
        <f t="shared" si="32"/>
        <v>0</v>
      </c>
      <c r="R140" s="20">
        <f>IF(AND(D$2+$E$2&gt;0,N140-SNAP!P140&gt;0),N140-SNAP!P140,0)</f>
        <v>0</v>
      </c>
      <c r="S140" s="20">
        <f t="shared" si="39"/>
        <v>4357.6666666666661</v>
      </c>
      <c r="T140" s="20">
        <f t="shared" si="33"/>
        <v>1307.2999999999997</v>
      </c>
      <c r="U140" s="20">
        <f>IF(AND('Total income package'!$A$18=TRUE,OR(H140="Yes",O140="Yes"),G140&lt;$G$2,$K$2-T140&gt;10),ROUNDDOWN($K$2-T140,0),0)</f>
        <v>0</v>
      </c>
      <c r="V140" s="176">
        <f t="shared" si="40"/>
        <v>0</v>
      </c>
      <c r="W140" s="5"/>
    </row>
    <row r="141" spans="2:23" ht="15" customHeight="1" x14ac:dyDescent="0.25">
      <c r="B141" s="72">
        <v>67500</v>
      </c>
      <c r="C141" s="19">
        <f>MAX('TANF-VIEW'!L144,'TANF-VIEW'!T144)</f>
        <v>0</v>
      </c>
      <c r="D141" s="20">
        <f t="shared" si="41"/>
        <v>5625</v>
      </c>
      <c r="E141" s="20">
        <f>'Total income package'!$D$80</f>
        <v>0</v>
      </c>
      <c r="F141" s="20">
        <f>'Total income package'!$H$61+'Total income package'!$F$66</f>
        <v>100</v>
      </c>
      <c r="G141" s="20">
        <f t="shared" si="34"/>
        <v>5725</v>
      </c>
      <c r="H141" s="20" t="str">
        <f t="shared" si="28"/>
        <v>No</v>
      </c>
      <c r="I141" s="20">
        <f t="shared" si="29"/>
        <v>1125</v>
      </c>
      <c r="J141" s="20">
        <f t="shared" si="30"/>
        <v>209</v>
      </c>
      <c r="K141" s="20">
        <f t="shared" si="31"/>
        <v>4391</v>
      </c>
      <c r="L141" s="20">
        <f t="shared" si="35"/>
        <v>500</v>
      </c>
      <c r="M141" s="20">
        <f>'Total income package'!$B$69</f>
        <v>500</v>
      </c>
      <c r="N141" s="20">
        <f t="shared" si="36"/>
        <v>1000</v>
      </c>
      <c r="O141" s="344" t="str">
        <f t="shared" si="37"/>
        <v>No</v>
      </c>
      <c r="P141" s="20">
        <f t="shared" si="38"/>
        <v>2195.5</v>
      </c>
      <c r="Q141" s="346">
        <f t="shared" si="32"/>
        <v>0</v>
      </c>
      <c r="R141" s="20">
        <f>IF(AND(D$2+$E$2&gt;0,N141-SNAP!P141&gt;0),N141-SNAP!P141,0)</f>
        <v>0</v>
      </c>
      <c r="S141" s="20">
        <f t="shared" si="39"/>
        <v>4391</v>
      </c>
      <c r="T141" s="20">
        <f t="shared" si="33"/>
        <v>1317.3</v>
      </c>
      <c r="U141" s="20">
        <f>IF(AND('Total income package'!$A$18=TRUE,OR(H141="Yes",O141="Yes"),G141&lt;$G$2,$K$2-T141&gt;10),ROUNDDOWN($K$2-T141,0),0)</f>
        <v>0</v>
      </c>
      <c r="V141" s="176">
        <f t="shared" si="40"/>
        <v>0</v>
      </c>
      <c r="W141" s="5"/>
    </row>
    <row r="142" spans="2:23" ht="15" customHeight="1" x14ac:dyDescent="0.25">
      <c r="B142" s="72">
        <v>68000</v>
      </c>
      <c r="C142" s="19">
        <f>MAX('TANF-VIEW'!L145,'TANF-VIEW'!T145)</f>
        <v>0</v>
      </c>
      <c r="D142" s="20">
        <f t="shared" si="41"/>
        <v>5666.666666666667</v>
      </c>
      <c r="E142" s="20">
        <f>'Total income package'!$D$80</f>
        <v>0</v>
      </c>
      <c r="F142" s="20">
        <f>'Total income package'!$H$61+'Total income package'!$F$66</f>
        <v>100</v>
      </c>
      <c r="G142" s="20">
        <f t="shared" si="34"/>
        <v>5766.666666666667</v>
      </c>
      <c r="H142" s="20" t="str">
        <f t="shared" si="28"/>
        <v>No</v>
      </c>
      <c r="I142" s="20">
        <f t="shared" si="29"/>
        <v>1133.3333333333335</v>
      </c>
      <c r="J142" s="20">
        <f t="shared" si="30"/>
        <v>209</v>
      </c>
      <c r="K142" s="20">
        <f t="shared" si="31"/>
        <v>4424.3333333333339</v>
      </c>
      <c r="L142" s="20">
        <f t="shared" si="35"/>
        <v>500</v>
      </c>
      <c r="M142" s="20">
        <f>'Total income package'!$B$69</f>
        <v>500</v>
      </c>
      <c r="N142" s="20">
        <f t="shared" si="36"/>
        <v>1000</v>
      </c>
      <c r="O142" s="344" t="str">
        <f t="shared" si="37"/>
        <v>No</v>
      </c>
      <c r="P142" s="20">
        <f t="shared" si="38"/>
        <v>2212.166666666667</v>
      </c>
      <c r="Q142" s="346">
        <f t="shared" si="32"/>
        <v>0</v>
      </c>
      <c r="R142" s="20">
        <f>IF(AND(D$2+$E$2&gt;0,N142-SNAP!P142&gt;0),N142-SNAP!P142,0)</f>
        <v>0</v>
      </c>
      <c r="S142" s="20">
        <f t="shared" si="39"/>
        <v>4424.3333333333339</v>
      </c>
      <c r="T142" s="20">
        <f t="shared" si="33"/>
        <v>1327.3000000000002</v>
      </c>
      <c r="U142" s="20">
        <f>IF(AND('Total income package'!$A$18=TRUE,OR(H142="Yes",O142="Yes"),G142&lt;$G$2,$K$2-T142&gt;10),ROUNDDOWN($K$2-T142,0),0)</f>
        <v>0</v>
      </c>
      <c r="V142" s="176">
        <f t="shared" si="40"/>
        <v>0</v>
      </c>
      <c r="W142" s="5"/>
    </row>
    <row r="143" spans="2:23" ht="15" customHeight="1" x14ac:dyDescent="0.25">
      <c r="B143" s="72">
        <v>68500</v>
      </c>
      <c r="C143" s="19">
        <f>MAX('TANF-VIEW'!L146,'TANF-VIEW'!T146)</f>
        <v>0</v>
      </c>
      <c r="D143" s="20">
        <f t="shared" si="41"/>
        <v>5708.333333333333</v>
      </c>
      <c r="E143" s="20">
        <f>'Total income package'!$D$80</f>
        <v>0</v>
      </c>
      <c r="F143" s="20">
        <f>'Total income package'!$H$61+'Total income package'!$F$66</f>
        <v>100</v>
      </c>
      <c r="G143" s="20">
        <f t="shared" si="34"/>
        <v>5808.333333333333</v>
      </c>
      <c r="H143" s="20" t="str">
        <f t="shared" si="28"/>
        <v>No</v>
      </c>
      <c r="I143" s="20">
        <f t="shared" si="29"/>
        <v>1141.6666666666667</v>
      </c>
      <c r="J143" s="20">
        <f t="shared" si="30"/>
        <v>209</v>
      </c>
      <c r="K143" s="20">
        <f t="shared" si="31"/>
        <v>4457.6666666666661</v>
      </c>
      <c r="L143" s="20">
        <f t="shared" si="35"/>
        <v>500</v>
      </c>
      <c r="M143" s="20">
        <f>'Total income package'!$B$69</f>
        <v>500</v>
      </c>
      <c r="N143" s="20">
        <f t="shared" si="36"/>
        <v>1000</v>
      </c>
      <c r="O143" s="344" t="str">
        <f t="shared" si="37"/>
        <v>No</v>
      </c>
      <c r="P143" s="20">
        <f t="shared" si="38"/>
        <v>2228.833333333333</v>
      </c>
      <c r="Q143" s="346">
        <f t="shared" si="32"/>
        <v>0</v>
      </c>
      <c r="R143" s="20">
        <f>IF(AND(D$2+$E$2&gt;0,N143-SNAP!P143&gt;0),N143-SNAP!P143,0)</f>
        <v>0</v>
      </c>
      <c r="S143" s="20">
        <f t="shared" si="39"/>
        <v>4457.6666666666661</v>
      </c>
      <c r="T143" s="20">
        <f t="shared" si="33"/>
        <v>1337.2999999999997</v>
      </c>
      <c r="U143" s="20">
        <f>IF(AND('Total income package'!$A$18=TRUE,OR(H143="Yes",O143="Yes"),G143&lt;$G$2,$K$2-T143&gt;10),ROUNDDOWN($K$2-T143,0),0)</f>
        <v>0</v>
      </c>
      <c r="V143" s="176">
        <f t="shared" si="40"/>
        <v>0</v>
      </c>
      <c r="W143" s="5"/>
    </row>
    <row r="144" spans="2:23" ht="15" customHeight="1" x14ac:dyDescent="0.25">
      <c r="B144" s="72">
        <v>69000</v>
      </c>
      <c r="C144" s="19">
        <f>MAX('TANF-VIEW'!L147,'TANF-VIEW'!T147)</f>
        <v>0</v>
      </c>
      <c r="D144" s="20">
        <f t="shared" si="41"/>
        <v>5750</v>
      </c>
      <c r="E144" s="20">
        <f>'Total income package'!$D$80</f>
        <v>0</v>
      </c>
      <c r="F144" s="20">
        <f>'Total income package'!$H$61+'Total income package'!$F$66</f>
        <v>100</v>
      </c>
      <c r="G144" s="20">
        <f t="shared" si="34"/>
        <v>5850</v>
      </c>
      <c r="H144" s="20" t="str">
        <f t="shared" si="28"/>
        <v>No</v>
      </c>
      <c r="I144" s="20">
        <f t="shared" si="29"/>
        <v>1150</v>
      </c>
      <c r="J144" s="20">
        <f t="shared" si="30"/>
        <v>209</v>
      </c>
      <c r="K144" s="20">
        <f t="shared" si="31"/>
        <v>4491</v>
      </c>
      <c r="L144" s="20">
        <f t="shared" si="35"/>
        <v>500</v>
      </c>
      <c r="M144" s="20">
        <f>'Total income package'!$B$69</f>
        <v>500</v>
      </c>
      <c r="N144" s="20">
        <f t="shared" si="36"/>
        <v>1000</v>
      </c>
      <c r="O144" s="344" t="str">
        <f t="shared" si="37"/>
        <v>No</v>
      </c>
      <c r="P144" s="20">
        <f t="shared" si="38"/>
        <v>2245.5</v>
      </c>
      <c r="Q144" s="346">
        <f t="shared" si="32"/>
        <v>0</v>
      </c>
      <c r="R144" s="20">
        <f>IF(AND(D$2+$E$2&gt;0,N144-SNAP!P144&gt;0),N144-SNAP!P144,0)</f>
        <v>0</v>
      </c>
      <c r="S144" s="20">
        <f t="shared" si="39"/>
        <v>4491</v>
      </c>
      <c r="T144" s="20">
        <f t="shared" si="33"/>
        <v>1347.3</v>
      </c>
      <c r="U144" s="20">
        <f>IF(AND('Total income package'!$A$18=TRUE,OR(H144="Yes",O144="Yes"),G144&lt;$G$2,$K$2-T144&gt;10),ROUNDDOWN($K$2-T144,0),0)</f>
        <v>0</v>
      </c>
      <c r="V144" s="176">
        <f t="shared" si="40"/>
        <v>0</v>
      </c>
      <c r="W144" s="5"/>
    </row>
    <row r="145" spans="2:23" ht="15" customHeight="1" x14ac:dyDescent="0.25">
      <c r="B145" s="72">
        <v>69500</v>
      </c>
      <c r="C145" s="19">
        <f>MAX('TANF-VIEW'!L148,'TANF-VIEW'!T148)</f>
        <v>0</v>
      </c>
      <c r="D145" s="20">
        <f t="shared" si="41"/>
        <v>5791.666666666667</v>
      </c>
      <c r="E145" s="20">
        <f>'Total income package'!$D$80</f>
        <v>0</v>
      </c>
      <c r="F145" s="20">
        <f>'Total income package'!$H$61+'Total income package'!$F$66</f>
        <v>100</v>
      </c>
      <c r="G145" s="20">
        <f t="shared" si="34"/>
        <v>5891.666666666667</v>
      </c>
      <c r="H145" s="20" t="str">
        <f t="shared" si="28"/>
        <v>No</v>
      </c>
      <c r="I145" s="20">
        <f t="shared" si="29"/>
        <v>1158.3333333333335</v>
      </c>
      <c r="J145" s="20">
        <f t="shared" si="30"/>
        <v>209</v>
      </c>
      <c r="K145" s="20">
        <f t="shared" si="31"/>
        <v>4524.3333333333339</v>
      </c>
      <c r="L145" s="20">
        <f t="shared" si="35"/>
        <v>500</v>
      </c>
      <c r="M145" s="20">
        <f>'Total income package'!$B$69</f>
        <v>500</v>
      </c>
      <c r="N145" s="20">
        <f t="shared" si="36"/>
        <v>1000</v>
      </c>
      <c r="O145" s="344" t="str">
        <f t="shared" si="37"/>
        <v>No</v>
      </c>
      <c r="P145" s="20">
        <f t="shared" si="38"/>
        <v>2262.166666666667</v>
      </c>
      <c r="Q145" s="346">
        <f t="shared" si="32"/>
        <v>0</v>
      </c>
      <c r="R145" s="20">
        <f>IF(AND(D$2+$E$2&gt;0,N145-SNAP!P145&gt;0),N145-SNAP!P145,0)</f>
        <v>0</v>
      </c>
      <c r="S145" s="20">
        <f t="shared" si="39"/>
        <v>4524.3333333333339</v>
      </c>
      <c r="T145" s="20">
        <f t="shared" si="33"/>
        <v>1357.3000000000002</v>
      </c>
      <c r="U145" s="20">
        <f>IF(AND('Total income package'!$A$18=TRUE,OR(H145="Yes",O145="Yes"),G145&lt;$G$2,$K$2-T145&gt;10),ROUNDDOWN($K$2-T145,0),0)</f>
        <v>0</v>
      </c>
      <c r="V145" s="176">
        <f t="shared" si="40"/>
        <v>0</v>
      </c>
      <c r="W145" s="5"/>
    </row>
    <row r="146" spans="2:23" ht="15" customHeight="1" x14ac:dyDescent="0.25">
      <c r="B146" s="72">
        <v>70000</v>
      </c>
      <c r="C146" s="19">
        <f>MAX('TANF-VIEW'!L149,'TANF-VIEW'!T149)</f>
        <v>0</v>
      </c>
      <c r="D146" s="20">
        <f t="shared" si="41"/>
        <v>5833.333333333333</v>
      </c>
      <c r="E146" s="20">
        <f>'Total income package'!$D$80</f>
        <v>0</v>
      </c>
      <c r="F146" s="20">
        <f>'Total income package'!$H$61+'Total income package'!$F$66</f>
        <v>100</v>
      </c>
      <c r="G146" s="20">
        <f t="shared" si="34"/>
        <v>5933.333333333333</v>
      </c>
      <c r="H146" s="20" t="str">
        <f t="shared" si="28"/>
        <v>No</v>
      </c>
      <c r="I146" s="20">
        <f t="shared" si="29"/>
        <v>1166.6666666666667</v>
      </c>
      <c r="J146" s="20">
        <f t="shared" si="30"/>
        <v>209</v>
      </c>
      <c r="K146" s="20">
        <f t="shared" si="31"/>
        <v>4557.6666666666661</v>
      </c>
      <c r="L146" s="20">
        <f t="shared" si="35"/>
        <v>500</v>
      </c>
      <c r="M146" s="20">
        <f>'Total income package'!$B$69</f>
        <v>500</v>
      </c>
      <c r="N146" s="20">
        <f t="shared" si="36"/>
        <v>1000</v>
      </c>
      <c r="O146" s="344" t="str">
        <f t="shared" si="37"/>
        <v>No</v>
      </c>
      <c r="P146" s="20">
        <f t="shared" si="38"/>
        <v>2278.833333333333</v>
      </c>
      <c r="Q146" s="346">
        <f t="shared" si="32"/>
        <v>0</v>
      </c>
      <c r="R146" s="20">
        <f>IF(AND(D$2+$E$2&gt;0,N146-SNAP!P146&gt;0),N146-SNAP!P146,0)</f>
        <v>0</v>
      </c>
      <c r="S146" s="20">
        <f t="shared" si="39"/>
        <v>4557.6666666666661</v>
      </c>
      <c r="T146" s="20">
        <f t="shared" si="33"/>
        <v>1367.2999999999997</v>
      </c>
      <c r="U146" s="20">
        <f>IF(AND('Total income package'!$A$18=TRUE,OR(H146="Yes",O146="Yes"),G146&lt;$G$2,$K$2-T146&gt;10),ROUNDDOWN($K$2-T146,0),0)</f>
        <v>0</v>
      </c>
      <c r="V146" s="176">
        <f t="shared" si="40"/>
        <v>0</v>
      </c>
      <c r="W146" s="5"/>
    </row>
    <row r="147" spans="2:23" ht="15" customHeight="1" x14ac:dyDescent="0.25">
      <c r="B147" s="72">
        <v>70500</v>
      </c>
      <c r="C147" s="19">
        <f>MAX('TANF-VIEW'!L150,'TANF-VIEW'!T150)</f>
        <v>0</v>
      </c>
      <c r="D147" s="20">
        <f t="shared" si="41"/>
        <v>5875</v>
      </c>
      <c r="E147" s="20">
        <f>'Total income package'!$D$80</f>
        <v>0</v>
      </c>
      <c r="F147" s="20">
        <f>'Total income package'!$H$61+'Total income package'!$F$66</f>
        <v>100</v>
      </c>
      <c r="G147" s="20">
        <f t="shared" si="34"/>
        <v>5975</v>
      </c>
      <c r="H147" s="20" t="str">
        <f t="shared" si="28"/>
        <v>No</v>
      </c>
      <c r="I147" s="20">
        <f t="shared" si="29"/>
        <v>1175</v>
      </c>
      <c r="J147" s="20">
        <f t="shared" si="30"/>
        <v>209</v>
      </c>
      <c r="K147" s="20">
        <f t="shared" si="31"/>
        <v>4591</v>
      </c>
      <c r="L147" s="20">
        <f t="shared" si="35"/>
        <v>500</v>
      </c>
      <c r="M147" s="20">
        <f>'Total income package'!$B$69</f>
        <v>500</v>
      </c>
      <c r="N147" s="20">
        <f t="shared" si="36"/>
        <v>1000</v>
      </c>
      <c r="O147" s="344" t="str">
        <f t="shared" si="37"/>
        <v>No</v>
      </c>
      <c r="P147" s="20">
        <f t="shared" si="38"/>
        <v>2295.5</v>
      </c>
      <c r="Q147" s="346">
        <f t="shared" si="32"/>
        <v>0</v>
      </c>
      <c r="R147" s="20">
        <f>IF(AND(D$2+$E$2&gt;0,N147-SNAP!P147&gt;0),N147-SNAP!P147,0)</f>
        <v>0</v>
      </c>
      <c r="S147" s="20">
        <f t="shared" si="39"/>
        <v>4591</v>
      </c>
      <c r="T147" s="20">
        <f t="shared" si="33"/>
        <v>1377.3</v>
      </c>
      <c r="U147" s="20">
        <f>IF(AND('Total income package'!$A$18=TRUE,OR(H147="Yes",O147="Yes"),G147&lt;$G$2,$K$2-T147&gt;10),ROUNDDOWN($K$2-T147,0),0)</f>
        <v>0</v>
      </c>
      <c r="V147" s="176">
        <f t="shared" si="40"/>
        <v>0</v>
      </c>
      <c r="W147" s="5"/>
    </row>
    <row r="148" spans="2:23" ht="15" customHeight="1" x14ac:dyDescent="0.25">
      <c r="B148" s="72">
        <v>71000</v>
      </c>
      <c r="C148" s="19">
        <f>MAX('TANF-VIEW'!L151,'TANF-VIEW'!T151)</f>
        <v>0</v>
      </c>
      <c r="D148" s="20">
        <f t="shared" si="41"/>
        <v>5916.666666666667</v>
      </c>
      <c r="E148" s="20">
        <f>'Total income package'!$D$80</f>
        <v>0</v>
      </c>
      <c r="F148" s="20">
        <f>'Total income package'!$H$61+'Total income package'!$F$66</f>
        <v>100</v>
      </c>
      <c r="G148" s="20">
        <f t="shared" si="34"/>
        <v>6016.666666666667</v>
      </c>
      <c r="H148" s="20" t="str">
        <f t="shared" si="28"/>
        <v>No</v>
      </c>
      <c r="I148" s="20">
        <f t="shared" si="29"/>
        <v>1183.3333333333335</v>
      </c>
      <c r="J148" s="20">
        <f t="shared" si="30"/>
        <v>209</v>
      </c>
      <c r="K148" s="20">
        <f t="shared" si="31"/>
        <v>4624.3333333333339</v>
      </c>
      <c r="L148" s="20">
        <f t="shared" si="35"/>
        <v>500</v>
      </c>
      <c r="M148" s="20">
        <f>'Total income package'!$B$69</f>
        <v>500</v>
      </c>
      <c r="N148" s="20">
        <f t="shared" si="36"/>
        <v>1000</v>
      </c>
      <c r="O148" s="344" t="str">
        <f t="shared" si="37"/>
        <v>No</v>
      </c>
      <c r="P148" s="20">
        <f t="shared" si="38"/>
        <v>2312.166666666667</v>
      </c>
      <c r="Q148" s="346">
        <f t="shared" si="32"/>
        <v>0</v>
      </c>
      <c r="R148" s="20">
        <f>IF(AND(D$2+$E$2&gt;0,N148-SNAP!P148&gt;0),N148-SNAP!P148,0)</f>
        <v>0</v>
      </c>
      <c r="S148" s="20">
        <f t="shared" si="39"/>
        <v>4624.3333333333339</v>
      </c>
      <c r="T148" s="20">
        <f t="shared" si="33"/>
        <v>1387.3000000000002</v>
      </c>
      <c r="U148" s="20">
        <f>IF(AND('Total income package'!$A$18=TRUE,OR(H148="Yes",O148="Yes"),G148&lt;$G$2,$K$2-T148&gt;10),ROUNDDOWN($K$2-T148,0),0)</f>
        <v>0</v>
      </c>
      <c r="V148" s="176">
        <f t="shared" si="40"/>
        <v>0</v>
      </c>
      <c r="W148" s="5"/>
    </row>
    <row r="149" spans="2:23" ht="15" customHeight="1" x14ac:dyDescent="0.25">
      <c r="B149" s="72">
        <v>71500</v>
      </c>
      <c r="C149" s="19">
        <f>MAX('TANF-VIEW'!L152,'TANF-VIEW'!T152)</f>
        <v>0</v>
      </c>
      <c r="D149" s="20">
        <f t="shared" si="41"/>
        <v>5958.333333333333</v>
      </c>
      <c r="E149" s="20">
        <f>'Total income package'!$D$80</f>
        <v>0</v>
      </c>
      <c r="F149" s="20">
        <f>'Total income package'!$H$61+'Total income package'!$F$66</f>
        <v>100</v>
      </c>
      <c r="G149" s="20">
        <f t="shared" si="34"/>
        <v>6058.333333333333</v>
      </c>
      <c r="H149" s="20" t="str">
        <f t="shared" si="28"/>
        <v>No</v>
      </c>
      <c r="I149" s="20">
        <f t="shared" si="29"/>
        <v>1191.6666666666667</v>
      </c>
      <c r="J149" s="20">
        <f t="shared" si="30"/>
        <v>209</v>
      </c>
      <c r="K149" s="20">
        <f t="shared" si="31"/>
        <v>4657.6666666666661</v>
      </c>
      <c r="L149" s="20">
        <f t="shared" si="35"/>
        <v>500</v>
      </c>
      <c r="M149" s="20">
        <f>'Total income package'!$B$69</f>
        <v>500</v>
      </c>
      <c r="N149" s="20">
        <f t="shared" si="36"/>
        <v>1000</v>
      </c>
      <c r="O149" s="344" t="str">
        <f t="shared" si="37"/>
        <v>No</v>
      </c>
      <c r="P149" s="20">
        <f t="shared" si="38"/>
        <v>2328.833333333333</v>
      </c>
      <c r="Q149" s="346">
        <f t="shared" si="32"/>
        <v>0</v>
      </c>
      <c r="R149" s="20">
        <f>IF(AND(D$2+$E$2&gt;0,N149-SNAP!P149&gt;0),N149-SNAP!P149,0)</f>
        <v>0</v>
      </c>
      <c r="S149" s="20">
        <f t="shared" si="39"/>
        <v>4657.6666666666661</v>
      </c>
      <c r="T149" s="20">
        <f t="shared" si="33"/>
        <v>1397.2999999999997</v>
      </c>
      <c r="U149" s="20">
        <f>IF(AND('Total income package'!$A$18=TRUE,OR(H149="Yes",O149="Yes"),G149&lt;$G$2,$K$2-T149&gt;10),ROUNDDOWN($K$2-T149,0),0)</f>
        <v>0</v>
      </c>
      <c r="V149" s="176">
        <f t="shared" si="40"/>
        <v>0</v>
      </c>
      <c r="W149" s="5"/>
    </row>
    <row r="150" spans="2:23" ht="15" customHeight="1" x14ac:dyDescent="0.25">
      <c r="B150" s="72">
        <v>72000</v>
      </c>
      <c r="C150" s="19">
        <f>MAX('TANF-VIEW'!L153,'TANF-VIEW'!T153)</f>
        <v>0</v>
      </c>
      <c r="D150" s="20">
        <f t="shared" si="41"/>
        <v>6000</v>
      </c>
      <c r="E150" s="20">
        <f>'Total income package'!$D$80</f>
        <v>0</v>
      </c>
      <c r="F150" s="20">
        <f>'Total income package'!$H$61+'Total income package'!$F$66</f>
        <v>100</v>
      </c>
      <c r="G150" s="20">
        <f t="shared" si="34"/>
        <v>6100</v>
      </c>
      <c r="H150" s="20" t="str">
        <f t="shared" si="28"/>
        <v>No</v>
      </c>
      <c r="I150" s="20">
        <f t="shared" si="29"/>
        <v>1200</v>
      </c>
      <c r="J150" s="20">
        <f t="shared" si="30"/>
        <v>209</v>
      </c>
      <c r="K150" s="20">
        <f t="shared" si="31"/>
        <v>4691</v>
      </c>
      <c r="L150" s="20">
        <f t="shared" si="35"/>
        <v>500</v>
      </c>
      <c r="M150" s="20">
        <f>'Total income package'!$B$69</f>
        <v>500</v>
      </c>
      <c r="N150" s="20">
        <f t="shared" si="36"/>
        <v>1000</v>
      </c>
      <c r="O150" s="344" t="str">
        <f t="shared" si="37"/>
        <v>No</v>
      </c>
      <c r="P150" s="20">
        <f t="shared" si="38"/>
        <v>2345.5</v>
      </c>
      <c r="Q150" s="346">
        <f t="shared" si="32"/>
        <v>0</v>
      </c>
      <c r="R150" s="20">
        <f>IF(AND(D$2+$E$2&gt;0,N150-SNAP!P150&gt;0),N150-SNAP!P150,0)</f>
        <v>0</v>
      </c>
      <c r="S150" s="20">
        <f t="shared" si="39"/>
        <v>4691</v>
      </c>
      <c r="T150" s="20">
        <f t="shared" si="33"/>
        <v>1407.3</v>
      </c>
      <c r="U150" s="20">
        <f>IF(AND('Total income package'!$A$18=TRUE,OR(H150="Yes",O150="Yes"),G150&lt;$G$2,$K$2-T150&gt;10),ROUNDDOWN($K$2-T150,0),0)</f>
        <v>0</v>
      </c>
      <c r="V150" s="176">
        <f t="shared" si="40"/>
        <v>0</v>
      </c>
      <c r="W150" s="5"/>
    </row>
    <row r="151" spans="2:23" ht="15" customHeight="1" x14ac:dyDescent="0.25">
      <c r="B151" s="72">
        <v>72500</v>
      </c>
      <c r="C151" s="19">
        <f>MAX('TANF-VIEW'!L154,'TANF-VIEW'!T154)</f>
        <v>0</v>
      </c>
      <c r="D151" s="20">
        <f t="shared" si="41"/>
        <v>6041.666666666667</v>
      </c>
      <c r="E151" s="20">
        <f>'Total income package'!$D$80</f>
        <v>0</v>
      </c>
      <c r="F151" s="20">
        <f>'Total income package'!$H$61+'Total income package'!$F$66</f>
        <v>100</v>
      </c>
      <c r="G151" s="20">
        <f t="shared" si="34"/>
        <v>6141.666666666667</v>
      </c>
      <c r="H151" s="20" t="str">
        <f t="shared" si="28"/>
        <v>No</v>
      </c>
      <c r="I151" s="20">
        <f t="shared" si="29"/>
        <v>1208.3333333333335</v>
      </c>
      <c r="J151" s="20">
        <f t="shared" si="30"/>
        <v>209</v>
      </c>
      <c r="K151" s="20">
        <f t="shared" si="31"/>
        <v>4724.3333333333339</v>
      </c>
      <c r="L151" s="20">
        <f t="shared" si="35"/>
        <v>500</v>
      </c>
      <c r="M151" s="20">
        <f>'Total income package'!$B$69</f>
        <v>500</v>
      </c>
      <c r="N151" s="20">
        <f t="shared" si="36"/>
        <v>1000</v>
      </c>
      <c r="O151" s="344" t="str">
        <f t="shared" si="37"/>
        <v>No</v>
      </c>
      <c r="P151" s="20">
        <f t="shared" si="38"/>
        <v>2362.166666666667</v>
      </c>
      <c r="Q151" s="346">
        <f t="shared" si="32"/>
        <v>0</v>
      </c>
      <c r="R151" s="20">
        <f>IF(AND(D$2+$E$2&gt;0,N151-SNAP!P151&gt;0),N151-SNAP!P151,0)</f>
        <v>0</v>
      </c>
      <c r="S151" s="20">
        <f t="shared" si="39"/>
        <v>4724.3333333333339</v>
      </c>
      <c r="T151" s="20">
        <f t="shared" si="33"/>
        <v>1417.3000000000002</v>
      </c>
      <c r="U151" s="20">
        <f>IF(AND('Total income package'!$A$18=TRUE,OR(H151="Yes",O151="Yes"),G151&lt;$G$2,$K$2-T151&gt;10),ROUNDDOWN($K$2-T151,0),0)</f>
        <v>0</v>
      </c>
      <c r="V151" s="176">
        <f t="shared" si="40"/>
        <v>0</v>
      </c>
      <c r="W151" s="5"/>
    </row>
    <row r="152" spans="2:23" ht="15" customHeight="1" x14ac:dyDescent="0.25">
      <c r="B152" s="72">
        <v>73000</v>
      </c>
      <c r="C152" s="19">
        <f>MAX('TANF-VIEW'!L155,'TANF-VIEW'!T155)</f>
        <v>0</v>
      </c>
      <c r="D152" s="20">
        <f t="shared" si="41"/>
        <v>6083.333333333333</v>
      </c>
      <c r="E152" s="20">
        <f>'Total income package'!$D$80</f>
        <v>0</v>
      </c>
      <c r="F152" s="20">
        <f>'Total income package'!$H$61+'Total income package'!$F$66</f>
        <v>100</v>
      </c>
      <c r="G152" s="20">
        <f t="shared" si="34"/>
        <v>6183.333333333333</v>
      </c>
      <c r="H152" s="20" t="str">
        <f t="shared" si="28"/>
        <v>No</v>
      </c>
      <c r="I152" s="20">
        <f t="shared" si="29"/>
        <v>1216.6666666666667</v>
      </c>
      <c r="J152" s="20">
        <f t="shared" si="30"/>
        <v>209</v>
      </c>
      <c r="K152" s="20">
        <f t="shared" si="31"/>
        <v>4757.6666666666661</v>
      </c>
      <c r="L152" s="20">
        <f t="shared" si="35"/>
        <v>500</v>
      </c>
      <c r="M152" s="20">
        <f>'Total income package'!$B$69</f>
        <v>500</v>
      </c>
      <c r="N152" s="20">
        <f t="shared" si="36"/>
        <v>1000</v>
      </c>
      <c r="O152" s="344" t="str">
        <f t="shared" si="37"/>
        <v>No</v>
      </c>
      <c r="P152" s="20">
        <f t="shared" si="38"/>
        <v>2378.833333333333</v>
      </c>
      <c r="Q152" s="346">
        <f t="shared" si="32"/>
        <v>0</v>
      </c>
      <c r="R152" s="20">
        <f>IF(AND(D$2+$E$2&gt;0,N152-SNAP!P152&gt;0),N152-SNAP!P152,0)</f>
        <v>0</v>
      </c>
      <c r="S152" s="20">
        <f t="shared" si="39"/>
        <v>4757.6666666666661</v>
      </c>
      <c r="T152" s="20">
        <f t="shared" si="33"/>
        <v>1427.2999999999997</v>
      </c>
      <c r="U152" s="20">
        <f>IF(AND('Total income package'!$A$18=TRUE,OR(H152="Yes",O152="Yes"),G152&lt;$G$2,$K$2-T152&gt;10),ROUNDDOWN($K$2-T152,0),0)</f>
        <v>0</v>
      </c>
      <c r="V152" s="176">
        <f t="shared" si="40"/>
        <v>0</v>
      </c>
      <c r="W152" s="5"/>
    </row>
    <row r="153" spans="2:23" ht="15" customHeight="1" x14ac:dyDescent="0.25">
      <c r="B153" s="72">
        <v>73500</v>
      </c>
      <c r="C153" s="19">
        <f>MAX('TANF-VIEW'!L156,'TANF-VIEW'!T156)</f>
        <v>0</v>
      </c>
      <c r="D153" s="20">
        <f t="shared" si="41"/>
        <v>6125</v>
      </c>
      <c r="E153" s="20">
        <f>'Total income package'!$D$80</f>
        <v>0</v>
      </c>
      <c r="F153" s="20">
        <f>'Total income package'!$H$61+'Total income package'!$F$66</f>
        <v>100</v>
      </c>
      <c r="G153" s="20">
        <f t="shared" si="34"/>
        <v>6225</v>
      </c>
      <c r="H153" s="20" t="str">
        <f t="shared" si="28"/>
        <v>No</v>
      </c>
      <c r="I153" s="20">
        <f t="shared" si="29"/>
        <v>1225</v>
      </c>
      <c r="J153" s="20">
        <f t="shared" si="30"/>
        <v>209</v>
      </c>
      <c r="K153" s="20">
        <f t="shared" si="31"/>
        <v>4791</v>
      </c>
      <c r="L153" s="20">
        <f t="shared" si="35"/>
        <v>500</v>
      </c>
      <c r="M153" s="20">
        <f>'Total income package'!$B$69</f>
        <v>500</v>
      </c>
      <c r="N153" s="20">
        <f t="shared" si="36"/>
        <v>1000</v>
      </c>
      <c r="O153" s="344" t="str">
        <f t="shared" si="37"/>
        <v>No</v>
      </c>
      <c r="P153" s="20">
        <f t="shared" si="38"/>
        <v>2395.5</v>
      </c>
      <c r="Q153" s="346">
        <f t="shared" si="32"/>
        <v>0</v>
      </c>
      <c r="R153" s="20">
        <f>IF(AND(D$2+$E$2&gt;0,N153-SNAP!P153&gt;0),N153-SNAP!P153,0)</f>
        <v>0</v>
      </c>
      <c r="S153" s="20">
        <f t="shared" si="39"/>
        <v>4791</v>
      </c>
      <c r="T153" s="20">
        <f t="shared" si="33"/>
        <v>1437.3</v>
      </c>
      <c r="U153" s="20">
        <f>IF(AND('Total income package'!$A$18=TRUE,OR(H153="Yes",O153="Yes"),G153&lt;$G$2,$K$2-T153&gt;10),ROUNDDOWN($K$2-T153,0),0)</f>
        <v>0</v>
      </c>
      <c r="V153" s="176">
        <f t="shared" si="40"/>
        <v>0</v>
      </c>
      <c r="W153" s="5"/>
    </row>
    <row r="154" spans="2:23" ht="15" customHeight="1" x14ac:dyDescent="0.25">
      <c r="B154" s="72">
        <v>74000</v>
      </c>
      <c r="C154" s="19">
        <f>MAX('TANF-VIEW'!L157,'TANF-VIEW'!T157)</f>
        <v>0</v>
      </c>
      <c r="D154" s="20">
        <f t="shared" si="41"/>
        <v>6166.666666666667</v>
      </c>
      <c r="E154" s="20">
        <f>'Total income package'!$D$80</f>
        <v>0</v>
      </c>
      <c r="F154" s="20">
        <f>'Total income package'!$H$61+'Total income package'!$F$66</f>
        <v>100</v>
      </c>
      <c r="G154" s="20">
        <f t="shared" si="34"/>
        <v>6266.666666666667</v>
      </c>
      <c r="H154" s="20" t="str">
        <f t="shared" si="28"/>
        <v>No</v>
      </c>
      <c r="I154" s="20">
        <f t="shared" si="29"/>
        <v>1233.3333333333335</v>
      </c>
      <c r="J154" s="20">
        <f t="shared" si="30"/>
        <v>209</v>
      </c>
      <c r="K154" s="20">
        <f t="shared" si="31"/>
        <v>4824.3333333333339</v>
      </c>
      <c r="L154" s="20">
        <f t="shared" si="35"/>
        <v>500</v>
      </c>
      <c r="M154" s="20">
        <f>'Total income package'!$B$69</f>
        <v>500</v>
      </c>
      <c r="N154" s="20">
        <f t="shared" si="36"/>
        <v>1000</v>
      </c>
      <c r="O154" s="344" t="str">
        <f t="shared" si="37"/>
        <v>No</v>
      </c>
      <c r="P154" s="20">
        <f t="shared" si="38"/>
        <v>2412.166666666667</v>
      </c>
      <c r="Q154" s="346">
        <f t="shared" si="32"/>
        <v>0</v>
      </c>
      <c r="R154" s="20">
        <f>IF(AND(D$2+$E$2&gt;0,N154-SNAP!P154&gt;0),N154-SNAP!P154,0)</f>
        <v>0</v>
      </c>
      <c r="S154" s="20">
        <f t="shared" si="39"/>
        <v>4824.3333333333339</v>
      </c>
      <c r="T154" s="20">
        <f t="shared" si="33"/>
        <v>1447.3000000000002</v>
      </c>
      <c r="U154" s="20">
        <f>IF(AND('Total income package'!$A$18=TRUE,OR(H154="Yes",O154="Yes"),G154&lt;$G$2,$K$2-T154&gt;10),ROUNDDOWN($K$2-T154,0),0)</f>
        <v>0</v>
      </c>
      <c r="V154" s="176">
        <f t="shared" si="40"/>
        <v>0</v>
      </c>
      <c r="W154" s="5"/>
    </row>
    <row r="155" spans="2:23" ht="15" customHeight="1" x14ac:dyDescent="0.25">
      <c r="B155" s="72">
        <v>74500</v>
      </c>
      <c r="C155" s="19">
        <f>MAX('TANF-VIEW'!L158,'TANF-VIEW'!T158)</f>
        <v>0</v>
      </c>
      <c r="D155" s="20">
        <f t="shared" si="41"/>
        <v>6208.333333333333</v>
      </c>
      <c r="E155" s="20">
        <f>'Total income package'!$D$80</f>
        <v>0</v>
      </c>
      <c r="F155" s="20">
        <f>'Total income package'!$H$61+'Total income package'!$F$66</f>
        <v>100</v>
      </c>
      <c r="G155" s="20">
        <f t="shared" si="34"/>
        <v>6308.333333333333</v>
      </c>
      <c r="H155" s="20" t="str">
        <f t="shared" si="28"/>
        <v>No</v>
      </c>
      <c r="I155" s="20">
        <f t="shared" si="29"/>
        <v>1241.6666666666667</v>
      </c>
      <c r="J155" s="20">
        <f t="shared" si="30"/>
        <v>209</v>
      </c>
      <c r="K155" s="20">
        <f t="shared" si="31"/>
        <v>4857.6666666666661</v>
      </c>
      <c r="L155" s="20">
        <f t="shared" si="35"/>
        <v>500</v>
      </c>
      <c r="M155" s="20">
        <f>'Total income package'!$B$69</f>
        <v>500</v>
      </c>
      <c r="N155" s="20">
        <f t="shared" si="36"/>
        <v>1000</v>
      </c>
      <c r="O155" s="344" t="str">
        <f t="shared" si="37"/>
        <v>No</v>
      </c>
      <c r="P155" s="20">
        <f t="shared" si="38"/>
        <v>2428.833333333333</v>
      </c>
      <c r="Q155" s="346">
        <f t="shared" si="32"/>
        <v>0</v>
      </c>
      <c r="R155" s="20">
        <f>IF(AND(D$2+$E$2&gt;0,N155-SNAP!P155&gt;0),N155-SNAP!P155,0)</f>
        <v>0</v>
      </c>
      <c r="S155" s="20">
        <f t="shared" si="39"/>
        <v>4857.6666666666661</v>
      </c>
      <c r="T155" s="20">
        <f t="shared" si="33"/>
        <v>1457.2999999999997</v>
      </c>
      <c r="U155" s="20">
        <f>IF(AND('Total income package'!$A$18=TRUE,OR(H155="Yes",O155="Yes"),G155&lt;$G$2,$K$2-T155&gt;10),ROUNDDOWN($K$2-T155,0),0)</f>
        <v>0</v>
      </c>
      <c r="V155" s="176">
        <f t="shared" si="40"/>
        <v>0</v>
      </c>
      <c r="W155" s="5"/>
    </row>
    <row r="156" spans="2:23" ht="15" customHeight="1" x14ac:dyDescent="0.25">
      <c r="B156" s="72">
        <v>75000</v>
      </c>
      <c r="C156" s="19">
        <f>MAX('TANF-VIEW'!L159,'TANF-VIEW'!T159)</f>
        <v>0</v>
      </c>
      <c r="D156" s="20">
        <f t="shared" si="41"/>
        <v>6250</v>
      </c>
      <c r="E156" s="20">
        <f>'Total income package'!$D$80</f>
        <v>0</v>
      </c>
      <c r="F156" s="20">
        <f>'Total income package'!$H$61+'Total income package'!$F$66</f>
        <v>100</v>
      </c>
      <c r="G156" s="20">
        <f t="shared" si="34"/>
        <v>6350</v>
      </c>
      <c r="H156" s="20" t="str">
        <f t="shared" si="28"/>
        <v>No</v>
      </c>
      <c r="I156" s="20">
        <f t="shared" si="29"/>
        <v>1250</v>
      </c>
      <c r="J156" s="20">
        <f t="shared" si="30"/>
        <v>209</v>
      </c>
      <c r="K156" s="20">
        <f t="shared" si="31"/>
        <v>4891</v>
      </c>
      <c r="L156" s="20">
        <f t="shared" si="35"/>
        <v>500</v>
      </c>
      <c r="M156" s="20">
        <f>'Total income package'!$B$69</f>
        <v>500</v>
      </c>
      <c r="N156" s="20">
        <f t="shared" si="36"/>
        <v>1000</v>
      </c>
      <c r="O156" s="344" t="str">
        <f t="shared" si="37"/>
        <v>No</v>
      </c>
      <c r="P156" s="20">
        <f t="shared" si="38"/>
        <v>2445.5</v>
      </c>
      <c r="Q156" s="346">
        <f t="shared" si="32"/>
        <v>0</v>
      </c>
      <c r="R156" s="20">
        <f>IF(AND(D$2+$E$2&gt;0,N156-SNAP!P156&gt;0),N156-SNAP!P156,0)</f>
        <v>0</v>
      </c>
      <c r="S156" s="20">
        <f t="shared" si="39"/>
        <v>4891</v>
      </c>
      <c r="T156" s="20">
        <f t="shared" si="33"/>
        <v>1467.3</v>
      </c>
      <c r="U156" s="20">
        <f>IF(AND('Total income package'!$A$18=TRUE,OR(H156="Yes",O156="Yes"),G156&lt;$G$2,$K$2-T156&gt;10),ROUNDDOWN($K$2-T156,0),0)</f>
        <v>0</v>
      </c>
      <c r="V156" s="176">
        <f t="shared" si="40"/>
        <v>0</v>
      </c>
      <c r="W156" s="5"/>
    </row>
    <row r="157" spans="2:23" ht="15" customHeight="1" x14ac:dyDescent="0.25">
      <c r="B157" s="72">
        <v>75500</v>
      </c>
      <c r="C157" s="19">
        <f>MAX('TANF-VIEW'!L160,'TANF-VIEW'!T160)</f>
        <v>0</v>
      </c>
      <c r="D157" s="20">
        <f t="shared" si="41"/>
        <v>6291.666666666667</v>
      </c>
      <c r="E157" s="20">
        <f>'Total income package'!$D$80</f>
        <v>0</v>
      </c>
      <c r="F157" s="20">
        <f>'Total income package'!$H$61+'Total income package'!$F$66</f>
        <v>100</v>
      </c>
      <c r="G157" s="20">
        <f t="shared" si="34"/>
        <v>6391.666666666667</v>
      </c>
      <c r="H157" s="20" t="str">
        <f t="shared" si="28"/>
        <v>No</v>
      </c>
      <c r="I157" s="20">
        <f t="shared" si="29"/>
        <v>1258.3333333333335</v>
      </c>
      <c r="J157" s="20">
        <f t="shared" si="30"/>
        <v>209</v>
      </c>
      <c r="K157" s="20">
        <f t="shared" si="31"/>
        <v>4924.3333333333339</v>
      </c>
      <c r="L157" s="20">
        <f t="shared" si="35"/>
        <v>500</v>
      </c>
      <c r="M157" s="20">
        <f>'Total income package'!$B$69</f>
        <v>500</v>
      </c>
      <c r="N157" s="20">
        <f t="shared" si="36"/>
        <v>1000</v>
      </c>
      <c r="O157" s="344" t="str">
        <f t="shared" si="37"/>
        <v>No</v>
      </c>
      <c r="P157" s="20">
        <f t="shared" si="38"/>
        <v>2462.166666666667</v>
      </c>
      <c r="Q157" s="346">
        <f t="shared" si="32"/>
        <v>0</v>
      </c>
      <c r="R157" s="20">
        <f>IF(AND(D$2+$E$2&gt;0,N157-SNAP!P157&gt;0),N157-SNAP!P157,0)</f>
        <v>0</v>
      </c>
      <c r="S157" s="20">
        <f t="shared" si="39"/>
        <v>4924.3333333333339</v>
      </c>
      <c r="T157" s="20">
        <f t="shared" si="33"/>
        <v>1477.3000000000002</v>
      </c>
      <c r="U157" s="20">
        <f>IF(AND('Total income package'!$A$18=TRUE,OR(H157="Yes",O157="Yes"),G157&lt;$G$2,$K$2-T157&gt;10),ROUNDDOWN($K$2-T157,0),0)</f>
        <v>0</v>
      </c>
      <c r="V157" s="176">
        <f t="shared" si="40"/>
        <v>0</v>
      </c>
      <c r="W157" s="5"/>
    </row>
    <row r="158" spans="2:23" ht="15" customHeight="1" x14ac:dyDescent="0.25">
      <c r="B158" s="72">
        <v>76000</v>
      </c>
      <c r="C158" s="19">
        <f>MAX('TANF-VIEW'!L161,'TANF-VIEW'!T161)</f>
        <v>0</v>
      </c>
      <c r="D158" s="20">
        <f t="shared" si="41"/>
        <v>6333.333333333333</v>
      </c>
      <c r="E158" s="20">
        <f>'Total income package'!$D$80</f>
        <v>0</v>
      </c>
      <c r="F158" s="20">
        <f>'Total income package'!$H$61+'Total income package'!$F$66</f>
        <v>100</v>
      </c>
      <c r="G158" s="20">
        <f t="shared" si="34"/>
        <v>6433.333333333333</v>
      </c>
      <c r="H158" s="20" t="str">
        <f t="shared" si="28"/>
        <v>No</v>
      </c>
      <c r="I158" s="20">
        <f t="shared" si="29"/>
        <v>1266.6666666666667</v>
      </c>
      <c r="J158" s="20">
        <f t="shared" si="30"/>
        <v>209</v>
      </c>
      <c r="K158" s="20">
        <f t="shared" si="31"/>
        <v>4957.6666666666661</v>
      </c>
      <c r="L158" s="20">
        <f t="shared" si="35"/>
        <v>500</v>
      </c>
      <c r="M158" s="20">
        <f>'Total income package'!$B$69</f>
        <v>500</v>
      </c>
      <c r="N158" s="20">
        <f t="shared" si="36"/>
        <v>1000</v>
      </c>
      <c r="O158" s="344" t="str">
        <f t="shared" si="37"/>
        <v>No</v>
      </c>
      <c r="P158" s="20">
        <f t="shared" si="38"/>
        <v>2478.833333333333</v>
      </c>
      <c r="Q158" s="346">
        <f t="shared" si="32"/>
        <v>0</v>
      </c>
      <c r="R158" s="20">
        <f>IF(AND(D$2+$E$2&gt;0,N158-SNAP!P158&gt;0),N158-SNAP!P158,0)</f>
        <v>0</v>
      </c>
      <c r="S158" s="20">
        <f t="shared" si="39"/>
        <v>4957.6666666666661</v>
      </c>
      <c r="T158" s="20">
        <f t="shared" si="33"/>
        <v>1487.2999999999997</v>
      </c>
      <c r="U158" s="20">
        <f>IF(AND('Total income package'!$A$18=TRUE,OR(H158="Yes",O158="Yes"),G158&lt;$G$2,$K$2-T158&gt;10),ROUNDDOWN($K$2-T158,0),0)</f>
        <v>0</v>
      </c>
      <c r="V158" s="176">
        <f t="shared" si="40"/>
        <v>0</v>
      </c>
      <c r="W158" s="5"/>
    </row>
    <row r="159" spans="2:23" ht="15" customHeight="1" x14ac:dyDescent="0.25">
      <c r="B159" s="72">
        <v>76500</v>
      </c>
      <c r="C159" s="19">
        <f>MAX('TANF-VIEW'!L162,'TANF-VIEW'!T162)</f>
        <v>0</v>
      </c>
      <c r="D159" s="20">
        <f t="shared" si="41"/>
        <v>6375</v>
      </c>
      <c r="E159" s="20">
        <f>'Total income package'!$D$80</f>
        <v>0</v>
      </c>
      <c r="F159" s="20">
        <f>'Total income package'!$H$61+'Total income package'!$F$66</f>
        <v>100</v>
      </c>
      <c r="G159" s="20">
        <f t="shared" si="34"/>
        <v>6475</v>
      </c>
      <c r="H159" s="20" t="str">
        <f t="shared" si="28"/>
        <v>No</v>
      </c>
      <c r="I159" s="20">
        <f t="shared" si="29"/>
        <v>1275</v>
      </c>
      <c r="J159" s="20">
        <f t="shared" si="30"/>
        <v>209</v>
      </c>
      <c r="K159" s="20">
        <f t="shared" si="31"/>
        <v>4991</v>
      </c>
      <c r="L159" s="20">
        <f t="shared" si="35"/>
        <v>500</v>
      </c>
      <c r="M159" s="20">
        <f>'Total income package'!$B$69</f>
        <v>500</v>
      </c>
      <c r="N159" s="20">
        <f t="shared" si="36"/>
        <v>1000</v>
      </c>
      <c r="O159" s="344" t="str">
        <f t="shared" si="37"/>
        <v>No</v>
      </c>
      <c r="P159" s="20">
        <f t="shared" si="38"/>
        <v>2495.5</v>
      </c>
      <c r="Q159" s="346">
        <f t="shared" si="32"/>
        <v>0</v>
      </c>
      <c r="R159" s="20">
        <f>IF(AND(D$2+$E$2&gt;0,N159-SNAP!P159&gt;0),N159-SNAP!P159,0)</f>
        <v>0</v>
      </c>
      <c r="S159" s="20">
        <f t="shared" si="39"/>
        <v>4991</v>
      </c>
      <c r="T159" s="20">
        <f t="shared" si="33"/>
        <v>1497.3</v>
      </c>
      <c r="U159" s="20">
        <f>IF(AND('Total income package'!$A$18=TRUE,OR(H159="Yes",O159="Yes"),G159&lt;$G$2,$K$2-T159&gt;10),ROUNDDOWN($K$2-T159,0),0)</f>
        <v>0</v>
      </c>
      <c r="V159" s="176">
        <f t="shared" si="40"/>
        <v>0</v>
      </c>
      <c r="W159" s="5"/>
    </row>
    <row r="160" spans="2:23" ht="15" customHeight="1" x14ac:dyDescent="0.25">
      <c r="B160" s="72">
        <v>77000</v>
      </c>
      <c r="C160" s="19">
        <f>MAX('TANF-VIEW'!L163,'TANF-VIEW'!T163)</f>
        <v>0</v>
      </c>
      <c r="D160" s="20">
        <f t="shared" si="41"/>
        <v>6416.666666666667</v>
      </c>
      <c r="E160" s="20">
        <f>'Total income package'!$D$80</f>
        <v>0</v>
      </c>
      <c r="F160" s="20">
        <f>'Total income package'!$H$61+'Total income package'!$F$66</f>
        <v>100</v>
      </c>
      <c r="G160" s="20">
        <f t="shared" si="34"/>
        <v>6516.666666666667</v>
      </c>
      <c r="H160" s="20" t="str">
        <f t="shared" si="28"/>
        <v>No</v>
      </c>
      <c r="I160" s="20">
        <f t="shared" si="29"/>
        <v>1283.3333333333335</v>
      </c>
      <c r="J160" s="20">
        <f t="shared" si="30"/>
        <v>209</v>
      </c>
      <c r="K160" s="20">
        <f t="shared" si="31"/>
        <v>5024.3333333333339</v>
      </c>
      <c r="L160" s="20">
        <f t="shared" si="35"/>
        <v>500</v>
      </c>
      <c r="M160" s="20">
        <f>'Total income package'!$B$69</f>
        <v>500</v>
      </c>
      <c r="N160" s="20">
        <f t="shared" si="36"/>
        <v>1000</v>
      </c>
      <c r="O160" s="344" t="str">
        <f t="shared" si="37"/>
        <v>No</v>
      </c>
      <c r="P160" s="20">
        <f t="shared" si="38"/>
        <v>2512.166666666667</v>
      </c>
      <c r="Q160" s="346">
        <f t="shared" si="32"/>
        <v>0</v>
      </c>
      <c r="R160" s="20">
        <f>IF(AND(D$2+$E$2&gt;0,N160-SNAP!P160&gt;0),N160-SNAP!P160,0)</f>
        <v>0</v>
      </c>
      <c r="S160" s="20">
        <f t="shared" si="39"/>
        <v>5024.3333333333339</v>
      </c>
      <c r="T160" s="20">
        <f t="shared" si="33"/>
        <v>1507.3000000000002</v>
      </c>
      <c r="U160" s="20">
        <f>IF(AND('Total income package'!$A$18=TRUE,OR(H160="Yes",O160="Yes"),G160&lt;$G$2,$K$2-T160&gt;10),ROUNDDOWN($K$2-T160,0),0)</f>
        <v>0</v>
      </c>
      <c r="V160" s="176">
        <f t="shared" si="40"/>
        <v>0</v>
      </c>
      <c r="W160" s="5"/>
    </row>
    <row r="161" spans="2:23" ht="15" customHeight="1" x14ac:dyDescent="0.25">
      <c r="B161" s="72">
        <v>77500</v>
      </c>
      <c r="C161" s="19">
        <f>MAX('TANF-VIEW'!L164,'TANF-VIEW'!T164)</f>
        <v>0</v>
      </c>
      <c r="D161" s="20">
        <f t="shared" si="41"/>
        <v>6458.333333333333</v>
      </c>
      <c r="E161" s="20">
        <f>'Total income package'!$D$80</f>
        <v>0</v>
      </c>
      <c r="F161" s="20">
        <f>'Total income package'!$H$61+'Total income package'!$F$66</f>
        <v>100</v>
      </c>
      <c r="G161" s="20">
        <f t="shared" si="34"/>
        <v>6558.333333333333</v>
      </c>
      <c r="H161" s="20" t="str">
        <f t="shared" si="28"/>
        <v>No</v>
      </c>
      <c r="I161" s="20">
        <f t="shared" si="29"/>
        <v>1291.6666666666667</v>
      </c>
      <c r="J161" s="20">
        <f t="shared" si="30"/>
        <v>209</v>
      </c>
      <c r="K161" s="20">
        <f t="shared" si="31"/>
        <v>5057.6666666666661</v>
      </c>
      <c r="L161" s="20">
        <f t="shared" si="35"/>
        <v>500</v>
      </c>
      <c r="M161" s="20">
        <f>'Total income package'!$B$69</f>
        <v>500</v>
      </c>
      <c r="N161" s="20">
        <f t="shared" si="36"/>
        <v>1000</v>
      </c>
      <c r="O161" s="344" t="str">
        <f t="shared" si="37"/>
        <v>No</v>
      </c>
      <c r="P161" s="20">
        <f t="shared" si="38"/>
        <v>2528.833333333333</v>
      </c>
      <c r="Q161" s="346">
        <f t="shared" si="32"/>
        <v>0</v>
      </c>
      <c r="R161" s="20">
        <f>IF(AND(D$2+$E$2&gt;0,N161-SNAP!P161&gt;0),N161-SNAP!P161,0)</f>
        <v>0</v>
      </c>
      <c r="S161" s="20">
        <f t="shared" si="39"/>
        <v>5057.6666666666661</v>
      </c>
      <c r="T161" s="20">
        <f t="shared" si="33"/>
        <v>1517.2999999999997</v>
      </c>
      <c r="U161" s="20">
        <f>IF(AND('Total income package'!$A$18=TRUE,OR(H161="Yes",O161="Yes"),G161&lt;$G$2,$K$2-T161&gt;10),ROUNDDOWN($K$2-T161,0),0)</f>
        <v>0</v>
      </c>
      <c r="V161" s="176">
        <f t="shared" si="40"/>
        <v>0</v>
      </c>
      <c r="W161" s="5"/>
    </row>
    <row r="162" spans="2:23" ht="15" customHeight="1" x14ac:dyDescent="0.25">
      <c r="B162" s="72">
        <v>78000</v>
      </c>
      <c r="C162" s="19">
        <f>MAX('TANF-VIEW'!L165,'TANF-VIEW'!T165)</f>
        <v>0</v>
      </c>
      <c r="D162" s="20">
        <f t="shared" si="41"/>
        <v>6500</v>
      </c>
      <c r="E162" s="20">
        <f>'Total income package'!$D$80</f>
        <v>0</v>
      </c>
      <c r="F162" s="20">
        <f>'Total income package'!$H$61+'Total income package'!$F$66</f>
        <v>100</v>
      </c>
      <c r="G162" s="20">
        <f t="shared" si="34"/>
        <v>6600</v>
      </c>
      <c r="H162" s="20" t="str">
        <f t="shared" si="28"/>
        <v>No</v>
      </c>
      <c r="I162" s="20">
        <f t="shared" si="29"/>
        <v>1300</v>
      </c>
      <c r="J162" s="20">
        <f t="shared" si="30"/>
        <v>209</v>
      </c>
      <c r="K162" s="20">
        <f t="shared" si="31"/>
        <v>5091</v>
      </c>
      <c r="L162" s="20">
        <f t="shared" si="35"/>
        <v>500</v>
      </c>
      <c r="M162" s="20">
        <f>'Total income package'!$B$69</f>
        <v>500</v>
      </c>
      <c r="N162" s="20">
        <f t="shared" si="36"/>
        <v>1000</v>
      </c>
      <c r="O162" s="344" t="str">
        <f t="shared" si="37"/>
        <v>No</v>
      </c>
      <c r="P162" s="20">
        <f t="shared" si="38"/>
        <v>2545.5</v>
      </c>
      <c r="Q162" s="346">
        <f t="shared" si="32"/>
        <v>0</v>
      </c>
      <c r="R162" s="20">
        <f>IF(AND(D$2+$E$2&gt;0,N162-SNAP!P162&gt;0),N162-SNAP!P162,0)</f>
        <v>0</v>
      </c>
      <c r="S162" s="20">
        <f t="shared" si="39"/>
        <v>5091</v>
      </c>
      <c r="T162" s="20">
        <f t="shared" si="33"/>
        <v>1527.3</v>
      </c>
      <c r="U162" s="20">
        <f>IF(AND('Total income package'!$A$18=TRUE,OR(H162="Yes",O162="Yes"),G162&lt;$G$2,$K$2-T162&gt;10),ROUNDDOWN($K$2-T162,0),0)</f>
        <v>0</v>
      </c>
      <c r="V162" s="176">
        <f t="shared" si="40"/>
        <v>0</v>
      </c>
      <c r="W162" s="5"/>
    </row>
    <row r="163" spans="2:23" ht="15" customHeight="1" x14ac:dyDescent="0.25">
      <c r="B163" s="72">
        <v>78500</v>
      </c>
      <c r="C163" s="19">
        <f>MAX('TANF-VIEW'!L166,'TANF-VIEW'!T166)</f>
        <v>0</v>
      </c>
      <c r="D163" s="20">
        <f t="shared" si="41"/>
        <v>6541.666666666667</v>
      </c>
      <c r="E163" s="20">
        <f>'Total income package'!$D$80</f>
        <v>0</v>
      </c>
      <c r="F163" s="20">
        <f>'Total income package'!$H$61+'Total income package'!$F$66</f>
        <v>100</v>
      </c>
      <c r="G163" s="20">
        <f t="shared" si="34"/>
        <v>6641.666666666667</v>
      </c>
      <c r="H163" s="20" t="str">
        <f t="shared" si="28"/>
        <v>No</v>
      </c>
      <c r="I163" s="20">
        <f t="shared" si="29"/>
        <v>1308.3333333333335</v>
      </c>
      <c r="J163" s="20">
        <f t="shared" si="30"/>
        <v>209</v>
      </c>
      <c r="K163" s="20">
        <f t="shared" si="31"/>
        <v>5124.3333333333339</v>
      </c>
      <c r="L163" s="20">
        <f t="shared" si="35"/>
        <v>500</v>
      </c>
      <c r="M163" s="20">
        <f>'Total income package'!$B$69</f>
        <v>500</v>
      </c>
      <c r="N163" s="20">
        <f t="shared" si="36"/>
        <v>1000</v>
      </c>
      <c r="O163" s="344" t="str">
        <f t="shared" si="37"/>
        <v>No</v>
      </c>
      <c r="P163" s="20">
        <f t="shared" si="38"/>
        <v>2562.166666666667</v>
      </c>
      <c r="Q163" s="346">
        <f t="shared" si="32"/>
        <v>0</v>
      </c>
      <c r="R163" s="20">
        <f>IF(AND(D$2+$E$2&gt;0,N163-SNAP!P163&gt;0),N163-SNAP!P163,0)</f>
        <v>0</v>
      </c>
      <c r="S163" s="20">
        <f t="shared" si="39"/>
        <v>5124.3333333333339</v>
      </c>
      <c r="T163" s="20">
        <f t="shared" si="33"/>
        <v>1537.3000000000002</v>
      </c>
      <c r="U163" s="20">
        <f>IF(AND('Total income package'!$A$18=TRUE,OR(H163="Yes",O163="Yes"),G163&lt;$G$2,$K$2-T163&gt;10),ROUNDDOWN($K$2-T163,0),0)</f>
        <v>0</v>
      </c>
      <c r="V163" s="176">
        <f t="shared" si="40"/>
        <v>0</v>
      </c>
      <c r="W163" s="5"/>
    </row>
    <row r="164" spans="2:23" ht="15" customHeight="1" x14ac:dyDescent="0.25">
      <c r="B164" s="72">
        <v>79000</v>
      </c>
      <c r="C164" s="19">
        <f>MAX('TANF-VIEW'!L167,'TANF-VIEW'!T167)</f>
        <v>0</v>
      </c>
      <c r="D164" s="20">
        <f t="shared" si="41"/>
        <v>6583.333333333333</v>
      </c>
      <c r="E164" s="20">
        <f>'Total income package'!$D$80</f>
        <v>0</v>
      </c>
      <c r="F164" s="20">
        <f>'Total income package'!$H$61+'Total income package'!$F$66</f>
        <v>100</v>
      </c>
      <c r="G164" s="20">
        <f t="shared" si="34"/>
        <v>6683.333333333333</v>
      </c>
      <c r="H164" s="20" t="str">
        <f t="shared" si="28"/>
        <v>No</v>
      </c>
      <c r="I164" s="20">
        <f t="shared" si="29"/>
        <v>1316.6666666666667</v>
      </c>
      <c r="J164" s="20">
        <f t="shared" si="30"/>
        <v>209</v>
      </c>
      <c r="K164" s="20">
        <f t="shared" si="31"/>
        <v>5157.6666666666661</v>
      </c>
      <c r="L164" s="20">
        <f t="shared" si="35"/>
        <v>500</v>
      </c>
      <c r="M164" s="20">
        <f>'Total income package'!$B$69</f>
        <v>500</v>
      </c>
      <c r="N164" s="20">
        <f t="shared" si="36"/>
        <v>1000</v>
      </c>
      <c r="O164" s="344" t="str">
        <f t="shared" si="37"/>
        <v>No</v>
      </c>
      <c r="P164" s="20">
        <f t="shared" si="38"/>
        <v>2578.833333333333</v>
      </c>
      <c r="Q164" s="346">
        <f t="shared" si="32"/>
        <v>0</v>
      </c>
      <c r="R164" s="20">
        <f>IF(AND(D$2+$E$2&gt;0,N164-SNAP!P164&gt;0),N164-SNAP!P164,0)</f>
        <v>0</v>
      </c>
      <c r="S164" s="20">
        <f t="shared" si="39"/>
        <v>5157.6666666666661</v>
      </c>
      <c r="T164" s="20">
        <f t="shared" si="33"/>
        <v>1547.2999999999997</v>
      </c>
      <c r="U164" s="20">
        <f>IF(AND('Total income package'!$A$18=TRUE,OR(H164="Yes",O164="Yes"),G164&lt;$G$2,$K$2-T164&gt;10),ROUNDDOWN($K$2-T164,0),0)</f>
        <v>0</v>
      </c>
      <c r="V164" s="176">
        <f t="shared" si="40"/>
        <v>0</v>
      </c>
      <c r="W164" s="5"/>
    </row>
    <row r="165" spans="2:23" ht="15" customHeight="1" x14ac:dyDescent="0.25">
      <c r="B165" s="72">
        <v>79500</v>
      </c>
      <c r="C165" s="19">
        <f>MAX('TANF-VIEW'!L168,'TANF-VIEW'!T168)</f>
        <v>0</v>
      </c>
      <c r="D165" s="20">
        <f t="shared" si="41"/>
        <v>6625</v>
      </c>
      <c r="E165" s="20">
        <f>'Total income package'!$D$80</f>
        <v>0</v>
      </c>
      <c r="F165" s="20">
        <f>'Total income package'!$H$61+'Total income package'!$F$66</f>
        <v>100</v>
      </c>
      <c r="G165" s="20">
        <f t="shared" si="34"/>
        <v>6725</v>
      </c>
      <c r="H165" s="20" t="str">
        <f t="shared" si="28"/>
        <v>No</v>
      </c>
      <c r="I165" s="20">
        <f t="shared" si="29"/>
        <v>1325</v>
      </c>
      <c r="J165" s="20">
        <f t="shared" si="30"/>
        <v>209</v>
      </c>
      <c r="K165" s="20">
        <f t="shared" si="31"/>
        <v>5191</v>
      </c>
      <c r="L165" s="20">
        <f t="shared" si="35"/>
        <v>500</v>
      </c>
      <c r="M165" s="20">
        <f>'Total income package'!$B$69</f>
        <v>500</v>
      </c>
      <c r="N165" s="20">
        <f t="shared" si="36"/>
        <v>1000</v>
      </c>
      <c r="O165" s="344" t="str">
        <f t="shared" si="37"/>
        <v>No</v>
      </c>
      <c r="P165" s="20">
        <f t="shared" si="38"/>
        <v>2595.5</v>
      </c>
      <c r="Q165" s="346">
        <f t="shared" si="32"/>
        <v>0</v>
      </c>
      <c r="R165" s="20">
        <f>IF(AND(D$2+$E$2&gt;0,N165-SNAP!P165&gt;0),N165-SNAP!P165,0)</f>
        <v>0</v>
      </c>
      <c r="S165" s="20">
        <f t="shared" si="39"/>
        <v>5191</v>
      </c>
      <c r="T165" s="20">
        <f t="shared" si="33"/>
        <v>1557.3</v>
      </c>
      <c r="U165" s="20">
        <f>IF(AND('Total income package'!$A$18=TRUE,OR(H165="Yes",O165="Yes"),G165&lt;$G$2,$K$2-T165&gt;10),ROUNDDOWN($K$2-T165,0),0)</f>
        <v>0</v>
      </c>
      <c r="V165" s="176">
        <f t="shared" si="40"/>
        <v>0</v>
      </c>
      <c r="W165" s="5"/>
    </row>
    <row r="166" spans="2:23" ht="15" customHeight="1" x14ac:dyDescent="0.25">
      <c r="B166" s="72">
        <v>80000</v>
      </c>
      <c r="C166" s="19">
        <f>MAX('TANF-VIEW'!L169,'TANF-VIEW'!T169)</f>
        <v>0</v>
      </c>
      <c r="D166" s="20">
        <f t="shared" si="41"/>
        <v>6666.666666666667</v>
      </c>
      <c r="E166" s="20">
        <f>'Total income package'!$D$80</f>
        <v>0</v>
      </c>
      <c r="F166" s="20">
        <f>'Total income package'!$H$61+'Total income package'!$F$66</f>
        <v>100</v>
      </c>
      <c r="G166" s="20">
        <f t="shared" si="34"/>
        <v>6766.666666666667</v>
      </c>
      <c r="H166" s="20" t="str">
        <f t="shared" si="28"/>
        <v>No</v>
      </c>
      <c r="I166" s="20">
        <f t="shared" si="29"/>
        <v>1333.3333333333335</v>
      </c>
      <c r="J166" s="20">
        <f t="shared" si="30"/>
        <v>209</v>
      </c>
      <c r="K166" s="20">
        <f t="shared" si="31"/>
        <v>5224.3333333333339</v>
      </c>
      <c r="L166" s="20">
        <f t="shared" si="35"/>
        <v>500</v>
      </c>
      <c r="M166" s="20">
        <f>'Total income package'!$B$69</f>
        <v>500</v>
      </c>
      <c r="N166" s="20">
        <f t="shared" si="36"/>
        <v>1000</v>
      </c>
      <c r="O166" s="344" t="str">
        <f t="shared" si="37"/>
        <v>No</v>
      </c>
      <c r="P166" s="20">
        <f t="shared" si="38"/>
        <v>2612.166666666667</v>
      </c>
      <c r="Q166" s="346">
        <f t="shared" si="32"/>
        <v>0</v>
      </c>
      <c r="R166" s="20">
        <f>IF(AND(D$2+$E$2&gt;0,N166-SNAP!P166&gt;0),N166-SNAP!P166,0)</f>
        <v>0</v>
      </c>
      <c r="S166" s="20">
        <f t="shared" si="39"/>
        <v>5224.3333333333339</v>
      </c>
      <c r="T166" s="20">
        <f t="shared" si="33"/>
        <v>1567.3000000000002</v>
      </c>
      <c r="U166" s="20">
        <f>IF(AND('Total income package'!$A$18=TRUE,OR(H166="Yes",O166="Yes"),G166&lt;$G$2,$K$2-T166&gt;10),ROUNDDOWN($K$2-T166,0),0)</f>
        <v>0</v>
      </c>
      <c r="V166" s="176">
        <f t="shared" si="40"/>
        <v>0</v>
      </c>
      <c r="W166" s="5"/>
    </row>
    <row r="167" spans="2:23" ht="15" customHeight="1" x14ac:dyDescent="0.25">
      <c r="B167" s="72">
        <v>80500</v>
      </c>
      <c r="C167" s="19">
        <f>MAX('TANF-VIEW'!L170,'TANF-VIEW'!T170)</f>
        <v>0</v>
      </c>
      <c r="D167" s="20">
        <f t="shared" si="41"/>
        <v>6708.333333333333</v>
      </c>
      <c r="E167" s="20">
        <f>'Total income package'!$D$80</f>
        <v>0</v>
      </c>
      <c r="F167" s="20">
        <f>'Total income package'!$H$61+'Total income package'!$F$66</f>
        <v>100</v>
      </c>
      <c r="G167" s="20">
        <f t="shared" si="34"/>
        <v>6808.333333333333</v>
      </c>
      <c r="H167" s="20" t="str">
        <f t="shared" si="28"/>
        <v>No</v>
      </c>
      <c r="I167" s="20">
        <f t="shared" si="29"/>
        <v>1341.6666666666667</v>
      </c>
      <c r="J167" s="20">
        <f t="shared" si="30"/>
        <v>209</v>
      </c>
      <c r="K167" s="20">
        <f t="shared" si="31"/>
        <v>5257.6666666666661</v>
      </c>
      <c r="L167" s="20">
        <f t="shared" si="35"/>
        <v>500</v>
      </c>
      <c r="M167" s="20">
        <f>'Total income package'!$B$69</f>
        <v>500</v>
      </c>
      <c r="N167" s="20">
        <f t="shared" si="36"/>
        <v>1000</v>
      </c>
      <c r="O167" s="344" t="str">
        <f t="shared" si="37"/>
        <v>No</v>
      </c>
      <c r="P167" s="20">
        <f t="shared" si="38"/>
        <v>2628.833333333333</v>
      </c>
      <c r="Q167" s="346">
        <f t="shared" si="32"/>
        <v>0</v>
      </c>
      <c r="R167" s="20">
        <f>IF(AND(D$2+$E$2&gt;0,N167-SNAP!P167&gt;0),N167-SNAP!P167,0)</f>
        <v>0</v>
      </c>
      <c r="S167" s="20">
        <f t="shared" si="39"/>
        <v>5257.6666666666661</v>
      </c>
      <c r="T167" s="20">
        <f t="shared" si="33"/>
        <v>1577.2999999999997</v>
      </c>
      <c r="U167" s="20">
        <f>IF(AND('Total income package'!$A$18=TRUE,OR(H167="Yes",O167="Yes"),G167&lt;$G$2,$K$2-T167&gt;10),ROUNDDOWN($K$2-T167,0),0)</f>
        <v>0</v>
      </c>
      <c r="V167" s="176">
        <f t="shared" si="40"/>
        <v>0</v>
      </c>
      <c r="W167" s="5"/>
    </row>
    <row r="168" spans="2:23" ht="15" customHeight="1" x14ac:dyDescent="0.25">
      <c r="B168" s="72">
        <v>81000</v>
      </c>
      <c r="C168" s="19">
        <f>MAX('TANF-VIEW'!L171,'TANF-VIEW'!T171)</f>
        <v>0</v>
      </c>
      <c r="D168" s="20">
        <f t="shared" si="41"/>
        <v>6750</v>
      </c>
      <c r="E168" s="20">
        <f>'Total income package'!$D$80</f>
        <v>0</v>
      </c>
      <c r="F168" s="20">
        <f>'Total income package'!$H$61+'Total income package'!$F$66</f>
        <v>100</v>
      </c>
      <c r="G168" s="20">
        <f t="shared" si="34"/>
        <v>6850</v>
      </c>
      <c r="H168" s="20" t="str">
        <f t="shared" si="28"/>
        <v>No</v>
      </c>
      <c r="I168" s="20">
        <f t="shared" si="29"/>
        <v>1350</v>
      </c>
      <c r="J168" s="20">
        <f t="shared" si="30"/>
        <v>209</v>
      </c>
      <c r="K168" s="20">
        <f t="shared" si="31"/>
        <v>5291</v>
      </c>
      <c r="L168" s="20">
        <f t="shared" si="35"/>
        <v>500</v>
      </c>
      <c r="M168" s="20">
        <f>'Total income package'!$B$69</f>
        <v>500</v>
      </c>
      <c r="N168" s="20">
        <f t="shared" si="36"/>
        <v>1000</v>
      </c>
      <c r="O168" s="344" t="str">
        <f t="shared" si="37"/>
        <v>No</v>
      </c>
      <c r="P168" s="20">
        <f t="shared" si="38"/>
        <v>2645.5</v>
      </c>
      <c r="Q168" s="346">
        <f t="shared" si="32"/>
        <v>0</v>
      </c>
      <c r="R168" s="20">
        <f>IF(AND(D$2+$E$2&gt;0,N168-SNAP!P168&gt;0),N168-SNAP!P168,0)</f>
        <v>0</v>
      </c>
      <c r="S168" s="20">
        <f t="shared" si="39"/>
        <v>5291</v>
      </c>
      <c r="T168" s="20">
        <f t="shared" si="33"/>
        <v>1587.3</v>
      </c>
      <c r="U168" s="20">
        <f>IF(AND('Total income package'!$A$18=TRUE,OR(H168="Yes",O168="Yes"),G168&lt;$G$2,$K$2-T168&gt;10),ROUNDDOWN($K$2-T168,0),0)</f>
        <v>0</v>
      </c>
      <c r="V168" s="176">
        <f t="shared" si="40"/>
        <v>0</v>
      </c>
      <c r="W168" s="5"/>
    </row>
    <row r="169" spans="2:23" ht="15" customHeight="1" x14ac:dyDescent="0.25">
      <c r="B169" s="72">
        <v>81500</v>
      </c>
      <c r="C169" s="19">
        <f>MAX('TANF-VIEW'!L172,'TANF-VIEW'!T172)</f>
        <v>0</v>
      </c>
      <c r="D169" s="20">
        <f t="shared" si="41"/>
        <v>6791.666666666667</v>
      </c>
      <c r="E169" s="20">
        <f>'Total income package'!$D$80</f>
        <v>0</v>
      </c>
      <c r="F169" s="20">
        <f>'Total income package'!$H$61+'Total income package'!$F$66</f>
        <v>100</v>
      </c>
      <c r="G169" s="20">
        <f t="shared" si="34"/>
        <v>6891.666666666667</v>
      </c>
      <c r="H169" s="20" t="str">
        <f t="shared" si="28"/>
        <v>No</v>
      </c>
      <c r="I169" s="20">
        <f t="shared" si="29"/>
        <v>1358.3333333333335</v>
      </c>
      <c r="J169" s="20">
        <f t="shared" si="30"/>
        <v>209</v>
      </c>
      <c r="K169" s="20">
        <f t="shared" si="31"/>
        <v>5324.3333333333339</v>
      </c>
      <c r="L169" s="20">
        <f t="shared" si="35"/>
        <v>500</v>
      </c>
      <c r="M169" s="20">
        <f>'Total income package'!$B$69</f>
        <v>500</v>
      </c>
      <c r="N169" s="20">
        <f t="shared" si="36"/>
        <v>1000</v>
      </c>
      <c r="O169" s="344" t="str">
        <f t="shared" si="37"/>
        <v>No</v>
      </c>
      <c r="P169" s="20">
        <f t="shared" si="38"/>
        <v>2662.166666666667</v>
      </c>
      <c r="Q169" s="346">
        <f t="shared" si="32"/>
        <v>0</v>
      </c>
      <c r="R169" s="20">
        <f>IF(AND(D$2+$E$2&gt;0,N169-SNAP!P169&gt;0),N169-SNAP!P169,0)</f>
        <v>0</v>
      </c>
      <c r="S169" s="20">
        <f t="shared" si="39"/>
        <v>5324.3333333333339</v>
      </c>
      <c r="T169" s="20">
        <f t="shared" si="33"/>
        <v>1597.3000000000002</v>
      </c>
      <c r="U169" s="20">
        <f>IF(AND('Total income package'!$A$18=TRUE,OR(H169="Yes",O169="Yes"),G169&lt;$G$2,$K$2-T169&gt;10),ROUNDDOWN($K$2-T169,0),0)</f>
        <v>0</v>
      </c>
      <c r="V169" s="176">
        <f t="shared" si="40"/>
        <v>0</v>
      </c>
      <c r="W169" s="5"/>
    </row>
    <row r="170" spans="2:23" ht="15" customHeight="1" x14ac:dyDescent="0.25">
      <c r="B170" s="72">
        <v>82000</v>
      </c>
      <c r="C170" s="19">
        <f>MAX('TANF-VIEW'!L173,'TANF-VIEW'!T173)</f>
        <v>0</v>
      </c>
      <c r="D170" s="20">
        <f t="shared" si="41"/>
        <v>6833.333333333333</v>
      </c>
      <c r="E170" s="20">
        <f>'Total income package'!$D$80</f>
        <v>0</v>
      </c>
      <c r="F170" s="20">
        <f>'Total income package'!$H$61+'Total income package'!$F$66</f>
        <v>100</v>
      </c>
      <c r="G170" s="20">
        <f t="shared" si="34"/>
        <v>6933.333333333333</v>
      </c>
      <c r="H170" s="20" t="str">
        <f t="shared" si="28"/>
        <v>No</v>
      </c>
      <c r="I170" s="20">
        <f t="shared" si="29"/>
        <v>1366.6666666666667</v>
      </c>
      <c r="J170" s="20">
        <f t="shared" si="30"/>
        <v>209</v>
      </c>
      <c r="K170" s="20">
        <f t="shared" si="31"/>
        <v>5357.6666666666661</v>
      </c>
      <c r="L170" s="20">
        <f t="shared" si="35"/>
        <v>500</v>
      </c>
      <c r="M170" s="20">
        <f>'Total income package'!$B$69</f>
        <v>500</v>
      </c>
      <c r="N170" s="20">
        <f t="shared" si="36"/>
        <v>1000</v>
      </c>
      <c r="O170" s="344" t="str">
        <f t="shared" si="37"/>
        <v>No</v>
      </c>
      <c r="P170" s="20">
        <f t="shared" si="38"/>
        <v>2678.833333333333</v>
      </c>
      <c r="Q170" s="346">
        <f t="shared" si="32"/>
        <v>0</v>
      </c>
      <c r="R170" s="20">
        <f>IF(AND(D$2+$E$2&gt;0,N170-SNAP!P170&gt;0),N170-SNAP!P170,0)</f>
        <v>0</v>
      </c>
      <c r="S170" s="20">
        <f t="shared" si="39"/>
        <v>5357.6666666666661</v>
      </c>
      <c r="T170" s="20">
        <f t="shared" si="33"/>
        <v>1607.2999999999997</v>
      </c>
      <c r="U170" s="20">
        <f>IF(AND('Total income package'!$A$18=TRUE,OR(H170="Yes",O170="Yes"),G170&lt;$G$2,$K$2-T170&gt;10),ROUNDDOWN($K$2-T170,0),0)</f>
        <v>0</v>
      </c>
      <c r="V170" s="176">
        <f t="shared" si="40"/>
        <v>0</v>
      </c>
      <c r="W170" s="5"/>
    </row>
    <row r="171" spans="2:23" ht="15" customHeight="1" x14ac:dyDescent="0.25">
      <c r="B171" s="72">
        <v>82500</v>
      </c>
      <c r="C171" s="19">
        <f>MAX('TANF-VIEW'!L174,'TANF-VIEW'!T174)</f>
        <v>0</v>
      </c>
      <c r="D171" s="20">
        <f t="shared" si="41"/>
        <v>6875</v>
      </c>
      <c r="E171" s="20">
        <f>'Total income package'!$D$80</f>
        <v>0</v>
      </c>
      <c r="F171" s="20">
        <f>'Total income package'!$H$61+'Total income package'!$F$66</f>
        <v>100</v>
      </c>
      <c r="G171" s="20">
        <f t="shared" si="34"/>
        <v>6975</v>
      </c>
      <c r="H171" s="20" t="str">
        <f t="shared" si="28"/>
        <v>No</v>
      </c>
      <c r="I171" s="20">
        <f t="shared" si="29"/>
        <v>1375</v>
      </c>
      <c r="J171" s="20">
        <f t="shared" si="30"/>
        <v>209</v>
      </c>
      <c r="K171" s="20">
        <f t="shared" si="31"/>
        <v>5391</v>
      </c>
      <c r="L171" s="20">
        <f t="shared" si="35"/>
        <v>500</v>
      </c>
      <c r="M171" s="20">
        <f>'Total income package'!$B$69</f>
        <v>500</v>
      </c>
      <c r="N171" s="20">
        <f t="shared" si="36"/>
        <v>1000</v>
      </c>
      <c r="O171" s="344" t="str">
        <f t="shared" si="37"/>
        <v>No</v>
      </c>
      <c r="P171" s="20">
        <f t="shared" si="38"/>
        <v>2695.5</v>
      </c>
      <c r="Q171" s="346">
        <f t="shared" si="32"/>
        <v>0</v>
      </c>
      <c r="R171" s="20">
        <f>IF(AND(D$2+$E$2&gt;0,N171-SNAP!P171&gt;0),N171-SNAP!P171,0)</f>
        <v>0</v>
      </c>
      <c r="S171" s="20">
        <f t="shared" si="39"/>
        <v>5391</v>
      </c>
      <c r="T171" s="20">
        <f t="shared" si="33"/>
        <v>1617.3</v>
      </c>
      <c r="U171" s="20">
        <f>IF(AND('Total income package'!$A$18=TRUE,OR(H171="Yes",O171="Yes"),G171&lt;$G$2,$K$2-T171&gt;10),ROUNDDOWN($K$2-T171,0),0)</f>
        <v>0</v>
      </c>
      <c r="V171" s="176">
        <f t="shared" si="40"/>
        <v>0</v>
      </c>
      <c r="W171" s="5"/>
    </row>
    <row r="172" spans="2:23" ht="15" customHeight="1" x14ac:dyDescent="0.25">
      <c r="B172" s="72">
        <v>83000</v>
      </c>
      <c r="C172" s="19">
        <f>MAX('TANF-VIEW'!L175,'TANF-VIEW'!T175)</f>
        <v>0</v>
      </c>
      <c r="D172" s="20">
        <f t="shared" si="41"/>
        <v>6916.666666666667</v>
      </c>
      <c r="E172" s="20">
        <f>'Total income package'!$D$80</f>
        <v>0</v>
      </c>
      <c r="F172" s="20">
        <f>'Total income package'!$H$61+'Total income package'!$F$66</f>
        <v>100</v>
      </c>
      <c r="G172" s="20">
        <f t="shared" si="34"/>
        <v>7016.666666666667</v>
      </c>
      <c r="H172" s="20" t="str">
        <f t="shared" si="28"/>
        <v>No</v>
      </c>
      <c r="I172" s="20">
        <f t="shared" si="29"/>
        <v>1383.3333333333335</v>
      </c>
      <c r="J172" s="20">
        <f t="shared" si="30"/>
        <v>209</v>
      </c>
      <c r="K172" s="20">
        <f t="shared" si="31"/>
        <v>5424.3333333333339</v>
      </c>
      <c r="L172" s="20">
        <f t="shared" si="35"/>
        <v>500</v>
      </c>
      <c r="M172" s="20">
        <f>'Total income package'!$B$69</f>
        <v>500</v>
      </c>
      <c r="N172" s="20">
        <f t="shared" si="36"/>
        <v>1000</v>
      </c>
      <c r="O172" s="344" t="str">
        <f t="shared" si="37"/>
        <v>No</v>
      </c>
      <c r="P172" s="20">
        <f t="shared" si="38"/>
        <v>2712.166666666667</v>
      </c>
      <c r="Q172" s="346">
        <f t="shared" si="32"/>
        <v>0</v>
      </c>
      <c r="R172" s="20">
        <f>IF(AND(D$2+$E$2&gt;0,N172-SNAP!P172&gt;0),N172-SNAP!P172,0)</f>
        <v>0</v>
      </c>
      <c r="S172" s="20">
        <f t="shared" si="39"/>
        <v>5424.3333333333339</v>
      </c>
      <c r="T172" s="20">
        <f t="shared" si="33"/>
        <v>1627.3000000000002</v>
      </c>
      <c r="U172" s="20">
        <f>IF(AND('Total income package'!$A$18=TRUE,OR(H172="Yes",O172="Yes"),G172&lt;$G$2,$K$2-T172&gt;10),ROUNDDOWN($K$2-T172,0),0)</f>
        <v>0</v>
      </c>
      <c r="V172" s="176">
        <f t="shared" si="40"/>
        <v>0</v>
      </c>
      <c r="W172" s="5"/>
    </row>
    <row r="173" spans="2:23" ht="15" customHeight="1" x14ac:dyDescent="0.25">
      <c r="B173" s="72">
        <v>83500</v>
      </c>
      <c r="C173" s="19">
        <f>MAX('TANF-VIEW'!L176,'TANF-VIEW'!T176)</f>
        <v>0</v>
      </c>
      <c r="D173" s="20">
        <f t="shared" si="41"/>
        <v>6958.333333333333</v>
      </c>
      <c r="E173" s="20">
        <f>'Total income package'!$D$80</f>
        <v>0</v>
      </c>
      <c r="F173" s="20">
        <f>'Total income package'!$H$61+'Total income package'!$F$66</f>
        <v>100</v>
      </c>
      <c r="G173" s="20">
        <f t="shared" si="34"/>
        <v>7058.333333333333</v>
      </c>
      <c r="H173" s="20" t="str">
        <f t="shared" si="28"/>
        <v>No</v>
      </c>
      <c r="I173" s="20">
        <f t="shared" si="29"/>
        <v>1391.6666666666667</v>
      </c>
      <c r="J173" s="20">
        <f t="shared" si="30"/>
        <v>209</v>
      </c>
      <c r="K173" s="20">
        <f t="shared" si="31"/>
        <v>5457.6666666666661</v>
      </c>
      <c r="L173" s="20">
        <f t="shared" si="35"/>
        <v>500</v>
      </c>
      <c r="M173" s="20">
        <f>'Total income package'!$B$69</f>
        <v>500</v>
      </c>
      <c r="N173" s="20">
        <f t="shared" si="36"/>
        <v>1000</v>
      </c>
      <c r="O173" s="344" t="str">
        <f t="shared" si="37"/>
        <v>No</v>
      </c>
      <c r="P173" s="20">
        <f t="shared" si="38"/>
        <v>2728.833333333333</v>
      </c>
      <c r="Q173" s="346">
        <f t="shared" si="32"/>
        <v>0</v>
      </c>
      <c r="R173" s="20">
        <f>IF(AND(D$2+$E$2&gt;0,N173-SNAP!P173&gt;0),N173-SNAP!P173,0)</f>
        <v>0</v>
      </c>
      <c r="S173" s="20">
        <f t="shared" si="39"/>
        <v>5457.6666666666661</v>
      </c>
      <c r="T173" s="20">
        <f t="shared" si="33"/>
        <v>1637.2999999999997</v>
      </c>
      <c r="U173" s="20">
        <f>IF(AND('Total income package'!$A$18=TRUE,OR(H173="Yes",O173="Yes"),G173&lt;$G$2,$K$2-T173&gt;10),ROUNDDOWN($K$2-T173,0),0)</f>
        <v>0</v>
      </c>
      <c r="V173" s="176">
        <f t="shared" si="40"/>
        <v>0</v>
      </c>
      <c r="W173" s="5"/>
    </row>
    <row r="174" spans="2:23" ht="15" customHeight="1" x14ac:dyDescent="0.25">
      <c r="B174" s="72">
        <v>84000</v>
      </c>
      <c r="C174" s="19">
        <f>MAX('TANF-VIEW'!L177,'TANF-VIEW'!T177)</f>
        <v>0</v>
      </c>
      <c r="D174" s="20">
        <f t="shared" si="41"/>
        <v>7000</v>
      </c>
      <c r="E174" s="20">
        <f>'Total income package'!$D$80</f>
        <v>0</v>
      </c>
      <c r="F174" s="20">
        <f>'Total income package'!$H$61+'Total income package'!$F$66</f>
        <v>100</v>
      </c>
      <c r="G174" s="20">
        <f t="shared" si="34"/>
        <v>7100</v>
      </c>
      <c r="H174" s="20" t="str">
        <f t="shared" si="28"/>
        <v>No</v>
      </c>
      <c r="I174" s="20">
        <f t="shared" si="29"/>
        <v>1400</v>
      </c>
      <c r="J174" s="20">
        <f t="shared" si="30"/>
        <v>209</v>
      </c>
      <c r="K174" s="20">
        <f t="shared" si="31"/>
        <v>5491</v>
      </c>
      <c r="L174" s="20">
        <f t="shared" si="35"/>
        <v>500</v>
      </c>
      <c r="M174" s="20">
        <f>'Total income package'!$B$69</f>
        <v>500</v>
      </c>
      <c r="N174" s="20">
        <f t="shared" si="36"/>
        <v>1000</v>
      </c>
      <c r="O174" s="344" t="str">
        <f t="shared" si="37"/>
        <v>No</v>
      </c>
      <c r="P174" s="20">
        <f t="shared" si="38"/>
        <v>2745.5</v>
      </c>
      <c r="Q174" s="346">
        <f t="shared" si="32"/>
        <v>0</v>
      </c>
      <c r="R174" s="20">
        <f>IF(AND(D$2+$E$2&gt;0,N174-SNAP!P174&gt;0),N174-SNAP!P174,0)</f>
        <v>0</v>
      </c>
      <c r="S174" s="20">
        <f t="shared" si="39"/>
        <v>5491</v>
      </c>
      <c r="T174" s="20">
        <f t="shared" si="33"/>
        <v>1647.3</v>
      </c>
      <c r="U174" s="20">
        <f>IF(AND('Total income package'!$A$18=TRUE,OR(H174="Yes",O174="Yes"),G174&lt;$G$2,$K$2-T174&gt;10),ROUNDDOWN($K$2-T174,0),0)</f>
        <v>0</v>
      </c>
      <c r="V174" s="176">
        <f t="shared" si="40"/>
        <v>0</v>
      </c>
      <c r="W174" s="5"/>
    </row>
    <row r="175" spans="2:23" ht="15" customHeight="1" x14ac:dyDescent="0.25">
      <c r="B175" s="72">
        <v>84500</v>
      </c>
      <c r="C175" s="19">
        <f>MAX('TANF-VIEW'!L178,'TANF-VIEW'!T178)</f>
        <v>0</v>
      </c>
      <c r="D175" s="20">
        <f t="shared" si="41"/>
        <v>7041.666666666667</v>
      </c>
      <c r="E175" s="20">
        <f>'Total income package'!$D$80</f>
        <v>0</v>
      </c>
      <c r="F175" s="20">
        <f>'Total income package'!$H$61+'Total income package'!$F$66</f>
        <v>100</v>
      </c>
      <c r="G175" s="20">
        <f t="shared" si="34"/>
        <v>7141.666666666667</v>
      </c>
      <c r="H175" s="20" t="str">
        <f t="shared" si="28"/>
        <v>No</v>
      </c>
      <c r="I175" s="20">
        <f t="shared" si="29"/>
        <v>1408.3333333333335</v>
      </c>
      <c r="J175" s="20">
        <f t="shared" si="30"/>
        <v>209</v>
      </c>
      <c r="K175" s="20">
        <f t="shared" si="31"/>
        <v>5524.3333333333339</v>
      </c>
      <c r="L175" s="20">
        <f t="shared" si="35"/>
        <v>500</v>
      </c>
      <c r="M175" s="20">
        <f>'Total income package'!$B$69</f>
        <v>500</v>
      </c>
      <c r="N175" s="20">
        <f t="shared" si="36"/>
        <v>1000</v>
      </c>
      <c r="O175" s="344" t="str">
        <f t="shared" si="37"/>
        <v>No</v>
      </c>
      <c r="P175" s="20">
        <f t="shared" si="38"/>
        <v>2762.166666666667</v>
      </c>
      <c r="Q175" s="346">
        <f t="shared" si="32"/>
        <v>0</v>
      </c>
      <c r="R175" s="20">
        <f>IF(AND(D$2+$E$2&gt;0,N175-SNAP!P175&gt;0),N175-SNAP!P175,0)</f>
        <v>0</v>
      </c>
      <c r="S175" s="20">
        <f t="shared" si="39"/>
        <v>5524.3333333333339</v>
      </c>
      <c r="T175" s="20">
        <f t="shared" si="33"/>
        <v>1657.3000000000002</v>
      </c>
      <c r="U175" s="20">
        <f>IF(AND('Total income package'!$A$18=TRUE,OR(H175="Yes",O175="Yes"),G175&lt;$G$2,$K$2-T175&gt;10),ROUNDDOWN($K$2-T175,0),0)</f>
        <v>0</v>
      </c>
      <c r="V175" s="176">
        <f t="shared" si="40"/>
        <v>0</v>
      </c>
      <c r="W175" s="5"/>
    </row>
    <row r="176" spans="2:23" ht="15" customHeight="1" x14ac:dyDescent="0.25">
      <c r="B176" s="72">
        <v>85000</v>
      </c>
      <c r="C176" s="19">
        <f>MAX('TANF-VIEW'!L179,'TANF-VIEW'!T179)</f>
        <v>0</v>
      </c>
      <c r="D176" s="20">
        <f t="shared" si="41"/>
        <v>7083.333333333333</v>
      </c>
      <c r="E176" s="20">
        <f>'Total income package'!$D$80</f>
        <v>0</v>
      </c>
      <c r="F176" s="20">
        <f>'Total income package'!$H$61+'Total income package'!$F$66</f>
        <v>100</v>
      </c>
      <c r="G176" s="20">
        <f t="shared" si="34"/>
        <v>7183.333333333333</v>
      </c>
      <c r="H176" s="20" t="str">
        <f t="shared" si="28"/>
        <v>No</v>
      </c>
      <c r="I176" s="20">
        <f t="shared" si="29"/>
        <v>1416.6666666666667</v>
      </c>
      <c r="J176" s="20">
        <f t="shared" si="30"/>
        <v>209</v>
      </c>
      <c r="K176" s="20">
        <f t="shared" si="31"/>
        <v>5557.6666666666661</v>
      </c>
      <c r="L176" s="20">
        <f t="shared" si="35"/>
        <v>500</v>
      </c>
      <c r="M176" s="20">
        <f>'Total income package'!$B$69</f>
        <v>500</v>
      </c>
      <c r="N176" s="20">
        <f t="shared" si="36"/>
        <v>1000</v>
      </c>
      <c r="O176" s="344" t="str">
        <f t="shared" si="37"/>
        <v>No</v>
      </c>
      <c r="P176" s="20">
        <f t="shared" si="38"/>
        <v>2778.833333333333</v>
      </c>
      <c r="Q176" s="346">
        <f t="shared" si="32"/>
        <v>0</v>
      </c>
      <c r="R176" s="20">
        <f>IF(AND(D$2+$E$2&gt;0,N176-SNAP!P176&gt;0),N176-SNAP!P176,0)</f>
        <v>0</v>
      </c>
      <c r="S176" s="20">
        <f t="shared" si="39"/>
        <v>5557.6666666666661</v>
      </c>
      <c r="T176" s="20">
        <f t="shared" si="33"/>
        <v>1667.2999999999997</v>
      </c>
      <c r="U176" s="20">
        <f>IF(AND('Total income package'!$A$18=TRUE,OR(H176="Yes",O176="Yes"),G176&lt;$G$2,$K$2-T176&gt;10),ROUNDDOWN($K$2-T176,0),0)</f>
        <v>0</v>
      </c>
      <c r="V176" s="176">
        <f t="shared" si="40"/>
        <v>0</v>
      </c>
      <c r="W176" s="5"/>
    </row>
    <row r="177" spans="2:23" ht="15" customHeight="1" x14ac:dyDescent="0.25">
      <c r="B177" s="72">
        <v>85500</v>
      </c>
      <c r="C177" s="19">
        <f>MAX('TANF-VIEW'!L180,'TANF-VIEW'!T180)</f>
        <v>0</v>
      </c>
      <c r="D177" s="20">
        <f t="shared" si="41"/>
        <v>7125</v>
      </c>
      <c r="E177" s="20">
        <f>'Total income package'!$D$80</f>
        <v>0</v>
      </c>
      <c r="F177" s="20">
        <f>'Total income package'!$H$61+'Total income package'!$F$66</f>
        <v>100</v>
      </c>
      <c r="G177" s="20">
        <f t="shared" si="34"/>
        <v>7225</v>
      </c>
      <c r="H177" s="20" t="str">
        <f t="shared" si="28"/>
        <v>No</v>
      </c>
      <c r="I177" s="20">
        <f t="shared" si="29"/>
        <v>1425</v>
      </c>
      <c r="J177" s="20">
        <f t="shared" si="30"/>
        <v>209</v>
      </c>
      <c r="K177" s="20">
        <f t="shared" si="31"/>
        <v>5591</v>
      </c>
      <c r="L177" s="20">
        <f t="shared" si="35"/>
        <v>500</v>
      </c>
      <c r="M177" s="20">
        <f>'Total income package'!$B$69</f>
        <v>500</v>
      </c>
      <c r="N177" s="20">
        <f t="shared" si="36"/>
        <v>1000</v>
      </c>
      <c r="O177" s="344" t="str">
        <f t="shared" si="37"/>
        <v>No</v>
      </c>
      <c r="P177" s="20">
        <f t="shared" si="38"/>
        <v>2795.5</v>
      </c>
      <c r="Q177" s="346">
        <f t="shared" si="32"/>
        <v>0</v>
      </c>
      <c r="R177" s="20">
        <f>IF(AND(D$2+$E$2&gt;0,N177-SNAP!P177&gt;0),N177-SNAP!P177,0)</f>
        <v>0</v>
      </c>
      <c r="S177" s="20">
        <f>IF(AND($D$2+$E$2&gt;0,K177-R177&gt;0),K177-R177,IF(AND($D$2+$E$2=0,K177-Q177&gt;0),K177-Q177,0))</f>
        <v>5591</v>
      </c>
      <c r="T177" s="20">
        <f>S177*0.3</f>
        <v>1677.3</v>
      </c>
      <c r="U177" s="20">
        <f>IF(AND('Total income package'!$A$18=TRUE,OR(H177="Yes",O177="Yes"),G177&lt;$G$2,$K$2-T177&gt;10),ROUNDDOWN($K$2-T177,0),0)</f>
        <v>0</v>
      </c>
      <c r="V177" s="176">
        <f t="shared" si="40"/>
        <v>0</v>
      </c>
      <c r="W177" s="5"/>
    </row>
    <row r="178" spans="2:23" ht="15" customHeight="1" x14ac:dyDescent="0.25">
      <c r="B178" s="72">
        <v>86000</v>
      </c>
      <c r="C178" s="19">
        <f>MAX('TANF-VIEW'!L181,'TANF-VIEW'!T181)</f>
        <v>0</v>
      </c>
      <c r="D178" s="20">
        <f t="shared" si="41"/>
        <v>7166.666666666667</v>
      </c>
      <c r="E178" s="20">
        <f>'Total income package'!$D$80</f>
        <v>0</v>
      </c>
      <c r="F178" s="20">
        <f>'Total income package'!$H$61+'Total income package'!$F$66</f>
        <v>100</v>
      </c>
      <c r="G178" s="20">
        <f t="shared" si="34"/>
        <v>7266.666666666667</v>
      </c>
      <c r="H178" s="20" t="str">
        <f t="shared" si="28"/>
        <v>No</v>
      </c>
      <c r="I178" s="20">
        <f t="shared" si="29"/>
        <v>1433.3333333333335</v>
      </c>
      <c r="J178" s="20">
        <f t="shared" si="30"/>
        <v>209</v>
      </c>
      <c r="K178" s="20">
        <f t="shared" si="31"/>
        <v>5624.3333333333339</v>
      </c>
      <c r="L178" s="20">
        <f t="shared" si="35"/>
        <v>500</v>
      </c>
      <c r="M178" s="20">
        <f>'Total income package'!$B$69</f>
        <v>500</v>
      </c>
      <c r="N178" s="20">
        <f t="shared" si="36"/>
        <v>1000</v>
      </c>
      <c r="O178" s="344" t="str">
        <f t="shared" si="37"/>
        <v>No</v>
      </c>
      <c r="P178" s="20">
        <f t="shared" si="38"/>
        <v>2812.166666666667</v>
      </c>
      <c r="Q178" s="346">
        <f t="shared" si="32"/>
        <v>0</v>
      </c>
      <c r="R178" s="20">
        <f>IF(AND(D$2+$E$2&gt;0,N178-SNAP!P178&gt;0),N178-SNAP!P178,0)</f>
        <v>0</v>
      </c>
      <c r="S178" s="20">
        <f t="shared" si="39"/>
        <v>5624.3333333333339</v>
      </c>
      <c r="T178" s="20">
        <f t="shared" si="33"/>
        <v>1687.3000000000002</v>
      </c>
      <c r="U178" s="20">
        <f>IF(AND('Total income package'!$A$18=TRUE,OR(H178="Yes",O178="Yes"),G178&lt;$G$2,$K$2-T178&gt;10),ROUNDDOWN($K$2-T178,0),0)</f>
        <v>0</v>
      </c>
      <c r="V178" s="176">
        <f t="shared" si="40"/>
        <v>0</v>
      </c>
      <c r="W178" s="5"/>
    </row>
    <row r="179" spans="2:23" ht="15" customHeight="1" x14ac:dyDescent="0.25">
      <c r="B179" s="72">
        <v>86500</v>
      </c>
      <c r="C179" s="19">
        <f>MAX('TANF-VIEW'!L182,'TANF-VIEW'!T182)</f>
        <v>0</v>
      </c>
      <c r="D179" s="20">
        <f t="shared" si="41"/>
        <v>7208.333333333333</v>
      </c>
      <c r="E179" s="20">
        <f>'Total income package'!$D$80</f>
        <v>0</v>
      </c>
      <c r="F179" s="20">
        <f>'Total income package'!$H$61+'Total income package'!$F$66</f>
        <v>100</v>
      </c>
      <c r="G179" s="20">
        <f t="shared" si="34"/>
        <v>7308.333333333333</v>
      </c>
      <c r="H179" s="20" t="str">
        <f t="shared" si="28"/>
        <v>No</v>
      </c>
      <c r="I179" s="20">
        <f t="shared" si="29"/>
        <v>1441.6666666666667</v>
      </c>
      <c r="J179" s="20">
        <f t="shared" si="30"/>
        <v>209</v>
      </c>
      <c r="K179" s="20">
        <f t="shared" si="31"/>
        <v>5657.6666666666661</v>
      </c>
      <c r="L179" s="20">
        <f t="shared" si="35"/>
        <v>500</v>
      </c>
      <c r="M179" s="20">
        <f>'Total income package'!$B$69</f>
        <v>500</v>
      </c>
      <c r="N179" s="20">
        <f t="shared" si="36"/>
        <v>1000</v>
      </c>
      <c r="O179" s="344" t="str">
        <f t="shared" si="37"/>
        <v>No</v>
      </c>
      <c r="P179" s="20">
        <f t="shared" si="38"/>
        <v>2828.833333333333</v>
      </c>
      <c r="Q179" s="346">
        <f t="shared" si="32"/>
        <v>0</v>
      </c>
      <c r="R179" s="20">
        <f>IF(AND(D$2+$E$2&gt;0,N179-SNAP!P179&gt;0),N179-SNAP!P179,0)</f>
        <v>0</v>
      </c>
      <c r="S179" s="20">
        <f t="shared" si="39"/>
        <v>5657.6666666666661</v>
      </c>
      <c r="T179" s="20">
        <f t="shared" si="33"/>
        <v>1697.2999999999997</v>
      </c>
      <c r="U179" s="20">
        <f>IF(AND('Total income package'!$A$18=TRUE,OR(H179="Yes",O179="Yes"),G179&lt;$G$2,$K$2-T179&gt;10),ROUNDDOWN($K$2-T179,0),0)</f>
        <v>0</v>
      </c>
      <c r="V179" s="176">
        <f t="shared" si="40"/>
        <v>0</v>
      </c>
      <c r="W179" s="5"/>
    </row>
    <row r="180" spans="2:23" ht="15" customHeight="1" x14ac:dyDescent="0.25">
      <c r="B180" s="72">
        <v>87000</v>
      </c>
      <c r="C180" s="19">
        <f>MAX('TANF-VIEW'!L183,'TANF-VIEW'!T183)</f>
        <v>0</v>
      </c>
      <c r="D180" s="20">
        <f t="shared" si="41"/>
        <v>7250</v>
      </c>
      <c r="E180" s="20">
        <f>'Total income package'!$D$80</f>
        <v>0</v>
      </c>
      <c r="F180" s="20">
        <f>'Total income package'!$H$61+'Total income package'!$F$66</f>
        <v>100</v>
      </c>
      <c r="G180" s="20">
        <f t="shared" si="34"/>
        <v>7350</v>
      </c>
      <c r="H180" s="20" t="str">
        <f t="shared" si="28"/>
        <v>No</v>
      </c>
      <c r="I180" s="20">
        <f t="shared" si="29"/>
        <v>1450</v>
      </c>
      <c r="J180" s="20">
        <f t="shared" si="30"/>
        <v>209</v>
      </c>
      <c r="K180" s="20">
        <f t="shared" si="31"/>
        <v>5691</v>
      </c>
      <c r="L180" s="20">
        <f t="shared" si="35"/>
        <v>500</v>
      </c>
      <c r="M180" s="20">
        <f>'Total income package'!$B$69</f>
        <v>500</v>
      </c>
      <c r="N180" s="20">
        <f t="shared" si="36"/>
        <v>1000</v>
      </c>
      <c r="O180" s="344" t="str">
        <f t="shared" si="37"/>
        <v>No</v>
      </c>
      <c r="P180" s="20">
        <f t="shared" si="38"/>
        <v>2845.5</v>
      </c>
      <c r="Q180" s="346">
        <f t="shared" si="32"/>
        <v>0</v>
      </c>
      <c r="R180" s="20">
        <f>IF(AND(D$2+$E$2&gt;0,N180-SNAP!P180&gt;0),N180-SNAP!P180,0)</f>
        <v>0</v>
      </c>
      <c r="S180" s="20">
        <f t="shared" si="39"/>
        <v>5691</v>
      </c>
      <c r="T180" s="20">
        <f t="shared" si="33"/>
        <v>1707.3</v>
      </c>
      <c r="U180" s="20">
        <f>IF(AND('Total income package'!$A$18=TRUE,OR(H180="Yes",O180="Yes"),G180&lt;$G$2,$K$2-T180&gt;10),ROUNDDOWN($K$2-T180,0),0)</f>
        <v>0</v>
      </c>
      <c r="V180" s="176">
        <f t="shared" si="40"/>
        <v>0</v>
      </c>
      <c r="W180" s="5"/>
    </row>
    <row r="181" spans="2:23" ht="15" customHeight="1" x14ac:dyDescent="0.25">
      <c r="B181" s="72">
        <v>87500</v>
      </c>
      <c r="C181" s="19">
        <f>MAX('TANF-VIEW'!L184,'TANF-VIEW'!T184)</f>
        <v>0</v>
      </c>
      <c r="D181" s="20">
        <f t="shared" si="41"/>
        <v>7291.666666666667</v>
      </c>
      <c r="E181" s="20">
        <f>'Total income package'!$D$80</f>
        <v>0</v>
      </c>
      <c r="F181" s="20">
        <f>'Total income package'!$H$61+'Total income package'!$F$66</f>
        <v>100</v>
      </c>
      <c r="G181" s="20">
        <f t="shared" si="34"/>
        <v>7391.666666666667</v>
      </c>
      <c r="H181" s="20" t="str">
        <f t="shared" si="28"/>
        <v>No</v>
      </c>
      <c r="I181" s="20">
        <f t="shared" si="29"/>
        <v>1458.3333333333335</v>
      </c>
      <c r="J181" s="20">
        <f t="shared" si="30"/>
        <v>209</v>
      </c>
      <c r="K181" s="20">
        <f t="shared" si="31"/>
        <v>5724.3333333333339</v>
      </c>
      <c r="L181" s="20">
        <f t="shared" si="35"/>
        <v>500</v>
      </c>
      <c r="M181" s="20">
        <f>'Total income package'!$B$69</f>
        <v>500</v>
      </c>
      <c r="N181" s="20">
        <f t="shared" si="36"/>
        <v>1000</v>
      </c>
      <c r="O181" s="344" t="str">
        <f t="shared" si="37"/>
        <v>No</v>
      </c>
      <c r="P181" s="20">
        <f t="shared" si="38"/>
        <v>2862.166666666667</v>
      </c>
      <c r="Q181" s="346">
        <f t="shared" si="32"/>
        <v>0</v>
      </c>
      <c r="R181" s="20">
        <f>IF(AND(D$2+$E$2&gt;0,N181-SNAP!P181&gt;0),N181-SNAP!P181,0)</f>
        <v>0</v>
      </c>
      <c r="S181" s="20">
        <f t="shared" si="39"/>
        <v>5724.3333333333339</v>
      </c>
      <c r="T181" s="20">
        <f t="shared" si="33"/>
        <v>1717.3000000000002</v>
      </c>
      <c r="U181" s="20">
        <f>IF(AND('Total income package'!$A$18=TRUE,OR(H181="Yes",O181="Yes"),G181&lt;$G$2,$K$2-T181&gt;10),ROUNDDOWN($K$2-T181,0),0)</f>
        <v>0</v>
      </c>
      <c r="V181" s="176">
        <f t="shared" si="40"/>
        <v>0</v>
      </c>
      <c r="W181" s="5"/>
    </row>
    <row r="182" spans="2:23" ht="15" customHeight="1" x14ac:dyDescent="0.25">
      <c r="B182" s="72">
        <v>88000</v>
      </c>
      <c r="C182" s="19">
        <f>MAX('TANF-VIEW'!L185,'TANF-VIEW'!T185)</f>
        <v>0</v>
      </c>
      <c r="D182" s="20">
        <f t="shared" si="41"/>
        <v>7333.333333333333</v>
      </c>
      <c r="E182" s="20">
        <f>'Total income package'!$D$80</f>
        <v>0</v>
      </c>
      <c r="F182" s="20">
        <f>'Total income package'!$H$61+'Total income package'!$F$66</f>
        <v>100</v>
      </c>
      <c r="G182" s="20">
        <f t="shared" si="34"/>
        <v>7433.333333333333</v>
      </c>
      <c r="H182" s="20" t="str">
        <f t="shared" si="28"/>
        <v>No</v>
      </c>
      <c r="I182" s="20">
        <f t="shared" si="29"/>
        <v>1466.6666666666667</v>
      </c>
      <c r="J182" s="20">
        <f t="shared" si="30"/>
        <v>209</v>
      </c>
      <c r="K182" s="20">
        <f t="shared" si="31"/>
        <v>5757.6666666666661</v>
      </c>
      <c r="L182" s="20">
        <f t="shared" si="35"/>
        <v>500</v>
      </c>
      <c r="M182" s="20">
        <f>'Total income package'!$B$69</f>
        <v>500</v>
      </c>
      <c r="N182" s="20">
        <f t="shared" si="36"/>
        <v>1000</v>
      </c>
      <c r="O182" s="344" t="str">
        <f t="shared" si="37"/>
        <v>No</v>
      </c>
      <c r="P182" s="20">
        <f t="shared" si="38"/>
        <v>2878.833333333333</v>
      </c>
      <c r="Q182" s="346">
        <f t="shared" si="32"/>
        <v>0</v>
      </c>
      <c r="R182" s="20">
        <f>IF(AND(D$2+$E$2&gt;0,N182-SNAP!P182&gt;0),N182-SNAP!P182,0)</f>
        <v>0</v>
      </c>
      <c r="S182" s="20">
        <f t="shared" si="39"/>
        <v>5757.6666666666661</v>
      </c>
      <c r="T182" s="20">
        <f t="shared" si="33"/>
        <v>1727.2999999999997</v>
      </c>
      <c r="U182" s="20">
        <f>IF(AND('Total income package'!$A$18=TRUE,OR(H182="Yes",O182="Yes"),G182&lt;$G$2,$K$2-T182&gt;10),ROUNDDOWN($K$2-T182,0),0)</f>
        <v>0</v>
      </c>
      <c r="V182" s="176">
        <f t="shared" si="40"/>
        <v>0</v>
      </c>
      <c r="W182" s="5"/>
    </row>
    <row r="183" spans="2:23" ht="15" customHeight="1" x14ac:dyDescent="0.25">
      <c r="B183" s="72">
        <v>88500</v>
      </c>
      <c r="C183" s="19">
        <f>MAX('TANF-VIEW'!L186,'TANF-VIEW'!T186)</f>
        <v>0</v>
      </c>
      <c r="D183" s="20">
        <f t="shared" si="41"/>
        <v>7375</v>
      </c>
      <c r="E183" s="20">
        <f>'Total income package'!$D$80</f>
        <v>0</v>
      </c>
      <c r="F183" s="20">
        <f>'Total income package'!$H$61+'Total income package'!$F$66</f>
        <v>100</v>
      </c>
      <c r="G183" s="20">
        <f t="shared" si="34"/>
        <v>7475</v>
      </c>
      <c r="H183" s="20" t="str">
        <f t="shared" si="28"/>
        <v>No</v>
      </c>
      <c r="I183" s="20">
        <f t="shared" si="29"/>
        <v>1475</v>
      </c>
      <c r="J183" s="20">
        <f t="shared" si="30"/>
        <v>209</v>
      </c>
      <c r="K183" s="20">
        <f t="shared" si="31"/>
        <v>5791</v>
      </c>
      <c r="L183" s="20">
        <f t="shared" si="35"/>
        <v>500</v>
      </c>
      <c r="M183" s="20">
        <f>'Total income package'!$B$69</f>
        <v>500</v>
      </c>
      <c r="N183" s="20">
        <f t="shared" si="36"/>
        <v>1000</v>
      </c>
      <c r="O183" s="344" t="str">
        <f t="shared" si="37"/>
        <v>No</v>
      </c>
      <c r="P183" s="20">
        <f t="shared" si="38"/>
        <v>2895.5</v>
      </c>
      <c r="Q183" s="346">
        <f t="shared" si="32"/>
        <v>0</v>
      </c>
      <c r="R183" s="20">
        <f>IF(AND(D$2+$E$2&gt;0,N183-SNAP!P183&gt;0),N183-SNAP!P183,0)</f>
        <v>0</v>
      </c>
      <c r="S183" s="20">
        <f t="shared" si="39"/>
        <v>5791</v>
      </c>
      <c r="T183" s="20">
        <f t="shared" si="33"/>
        <v>1737.3</v>
      </c>
      <c r="U183" s="20">
        <f>IF(AND('Total income package'!$A$18=TRUE,OR(H183="Yes",O183="Yes"),G183&lt;$G$2,$K$2-T183&gt;10),ROUNDDOWN($K$2-T183,0),0)</f>
        <v>0</v>
      </c>
      <c r="V183" s="176">
        <f t="shared" si="40"/>
        <v>0</v>
      </c>
      <c r="W183" s="5"/>
    </row>
    <row r="184" spans="2:23" ht="15" customHeight="1" x14ac:dyDescent="0.25">
      <c r="B184" s="72">
        <v>89000</v>
      </c>
      <c r="C184" s="19">
        <f>MAX('TANF-VIEW'!L187,'TANF-VIEW'!T187)</f>
        <v>0</v>
      </c>
      <c r="D184" s="20">
        <f t="shared" si="41"/>
        <v>7416.666666666667</v>
      </c>
      <c r="E184" s="20">
        <f>'Total income package'!$D$80</f>
        <v>0</v>
      </c>
      <c r="F184" s="20">
        <f>'Total income package'!$H$61+'Total income package'!$F$66</f>
        <v>100</v>
      </c>
      <c r="G184" s="20">
        <f t="shared" si="34"/>
        <v>7516.666666666667</v>
      </c>
      <c r="H184" s="20" t="str">
        <f t="shared" si="28"/>
        <v>No</v>
      </c>
      <c r="I184" s="20">
        <f t="shared" si="29"/>
        <v>1483.3333333333335</v>
      </c>
      <c r="J184" s="20">
        <f t="shared" si="30"/>
        <v>209</v>
      </c>
      <c r="K184" s="20">
        <f t="shared" si="31"/>
        <v>5824.3333333333339</v>
      </c>
      <c r="L184" s="20">
        <f t="shared" si="35"/>
        <v>500</v>
      </c>
      <c r="M184" s="20">
        <f>'Total income package'!$B$69</f>
        <v>500</v>
      </c>
      <c r="N184" s="20">
        <f t="shared" si="36"/>
        <v>1000</v>
      </c>
      <c r="O184" s="344" t="str">
        <f t="shared" si="37"/>
        <v>No</v>
      </c>
      <c r="P184" s="20">
        <f t="shared" si="38"/>
        <v>2912.166666666667</v>
      </c>
      <c r="Q184" s="346">
        <f t="shared" si="32"/>
        <v>0</v>
      </c>
      <c r="R184" s="20">
        <f>IF(AND(D$2+$E$2&gt;0,N184-SNAP!P184&gt;0),N184-SNAP!P184,0)</f>
        <v>0</v>
      </c>
      <c r="S184" s="20">
        <f t="shared" si="39"/>
        <v>5824.3333333333339</v>
      </c>
      <c r="T184" s="20">
        <f t="shared" si="33"/>
        <v>1747.3000000000002</v>
      </c>
      <c r="U184" s="20">
        <f>IF(AND('Total income package'!$A$18=TRUE,OR(H184="Yes",O184="Yes"),G184&lt;$G$2,$K$2-T184&gt;10),ROUNDDOWN($K$2-T184,0),0)</f>
        <v>0</v>
      </c>
      <c r="V184" s="176">
        <f t="shared" si="40"/>
        <v>0</v>
      </c>
      <c r="W184" s="5"/>
    </row>
    <row r="185" spans="2:23" ht="15" customHeight="1" x14ac:dyDescent="0.25">
      <c r="B185" s="72">
        <v>89500</v>
      </c>
      <c r="C185" s="19">
        <f>MAX('TANF-VIEW'!L188,'TANF-VIEW'!T188)</f>
        <v>0</v>
      </c>
      <c r="D185" s="20">
        <f t="shared" si="41"/>
        <v>7458.333333333333</v>
      </c>
      <c r="E185" s="20">
        <f>'Total income package'!$D$80</f>
        <v>0</v>
      </c>
      <c r="F185" s="20">
        <f>'Total income package'!$H$61+'Total income package'!$F$66</f>
        <v>100</v>
      </c>
      <c r="G185" s="20">
        <f t="shared" si="34"/>
        <v>7558.333333333333</v>
      </c>
      <c r="H185" s="20" t="str">
        <f t="shared" si="28"/>
        <v>No</v>
      </c>
      <c r="I185" s="20">
        <f t="shared" si="29"/>
        <v>1491.6666666666667</v>
      </c>
      <c r="J185" s="20">
        <f t="shared" si="30"/>
        <v>209</v>
      </c>
      <c r="K185" s="20">
        <f t="shared" si="31"/>
        <v>5857.6666666666661</v>
      </c>
      <c r="L185" s="20">
        <f t="shared" si="35"/>
        <v>500</v>
      </c>
      <c r="M185" s="20">
        <f>'Total income package'!$B$69</f>
        <v>500</v>
      </c>
      <c r="N185" s="20">
        <f t="shared" si="36"/>
        <v>1000</v>
      </c>
      <c r="O185" s="344" t="str">
        <f t="shared" si="37"/>
        <v>No</v>
      </c>
      <c r="P185" s="20">
        <f t="shared" si="38"/>
        <v>2928.833333333333</v>
      </c>
      <c r="Q185" s="346">
        <f t="shared" si="32"/>
        <v>0</v>
      </c>
      <c r="R185" s="20">
        <f>IF(AND(D$2+$E$2&gt;0,N185-SNAP!P185&gt;0),N185-SNAP!P185,0)</f>
        <v>0</v>
      </c>
      <c r="S185" s="20">
        <f t="shared" si="39"/>
        <v>5857.6666666666661</v>
      </c>
      <c r="T185" s="20">
        <f t="shared" si="33"/>
        <v>1757.2999999999997</v>
      </c>
      <c r="U185" s="20">
        <f>IF(AND('Total income package'!$A$18=TRUE,OR(H185="Yes",O185="Yes"),G185&lt;$G$2,$K$2-T185&gt;10),ROUNDDOWN($K$2-T185,0),0)</f>
        <v>0</v>
      </c>
      <c r="V185" s="176">
        <f t="shared" si="40"/>
        <v>0</v>
      </c>
      <c r="W185" s="5"/>
    </row>
    <row r="186" spans="2:23" ht="15" customHeight="1" x14ac:dyDescent="0.25">
      <c r="B186" s="72">
        <v>90000</v>
      </c>
      <c r="C186" s="19">
        <f>MAX('TANF-VIEW'!L189,'TANF-VIEW'!T189)</f>
        <v>0</v>
      </c>
      <c r="D186" s="20">
        <f t="shared" si="41"/>
        <v>7500</v>
      </c>
      <c r="E186" s="20">
        <f>'Total income package'!$D$80</f>
        <v>0</v>
      </c>
      <c r="F186" s="20">
        <f>'Total income package'!$H$61+'Total income package'!$F$66</f>
        <v>100</v>
      </c>
      <c r="G186" s="20">
        <f t="shared" si="34"/>
        <v>7600</v>
      </c>
      <c r="H186" s="20" t="str">
        <f t="shared" si="28"/>
        <v>No</v>
      </c>
      <c r="I186" s="20">
        <f t="shared" si="29"/>
        <v>1500</v>
      </c>
      <c r="J186" s="20">
        <f t="shared" si="30"/>
        <v>209</v>
      </c>
      <c r="K186" s="20">
        <f t="shared" si="31"/>
        <v>5891</v>
      </c>
      <c r="L186" s="20">
        <f t="shared" si="35"/>
        <v>500</v>
      </c>
      <c r="M186" s="20">
        <f>'Total income package'!$B$69</f>
        <v>500</v>
      </c>
      <c r="N186" s="20">
        <f t="shared" si="36"/>
        <v>1000</v>
      </c>
      <c r="O186" s="344" t="str">
        <f t="shared" si="37"/>
        <v>No</v>
      </c>
      <c r="P186" s="20">
        <f t="shared" si="38"/>
        <v>2945.5</v>
      </c>
      <c r="Q186" s="346">
        <f t="shared" si="32"/>
        <v>0</v>
      </c>
      <c r="R186" s="20">
        <f>IF(AND(D$2+$E$2&gt;0,N186-SNAP!P186&gt;0),N186-SNAP!P186,0)</f>
        <v>0</v>
      </c>
      <c r="S186" s="20">
        <f t="shared" si="39"/>
        <v>5891</v>
      </c>
      <c r="T186" s="20">
        <f t="shared" si="33"/>
        <v>1767.3</v>
      </c>
      <c r="U186" s="20">
        <f>IF(AND('Total income package'!$A$18=TRUE,OR(H186="Yes",O186="Yes"),G186&lt;$G$2,$K$2-T186&gt;10),ROUNDDOWN($K$2-T186,0),0)</f>
        <v>0</v>
      </c>
      <c r="V186" s="176">
        <f t="shared" si="40"/>
        <v>0</v>
      </c>
      <c r="W186" s="5"/>
    </row>
    <row r="187" spans="2:23" ht="15" customHeight="1" x14ac:dyDescent="0.25">
      <c r="B187" s="72">
        <v>90500</v>
      </c>
      <c r="C187" s="19">
        <f>MAX('TANF-VIEW'!L190,'TANF-VIEW'!T190)</f>
        <v>0</v>
      </c>
      <c r="D187" s="20">
        <f t="shared" si="41"/>
        <v>7541.666666666667</v>
      </c>
      <c r="E187" s="20">
        <f>'Total income package'!$D$80</f>
        <v>0</v>
      </c>
      <c r="F187" s="20">
        <f>'Total income package'!$H$61+'Total income package'!$F$66</f>
        <v>100</v>
      </c>
      <c r="G187" s="20">
        <f t="shared" si="34"/>
        <v>7641.666666666667</v>
      </c>
      <c r="H187" s="20" t="str">
        <f t="shared" si="28"/>
        <v>No</v>
      </c>
      <c r="I187" s="20">
        <f t="shared" si="29"/>
        <v>1508.3333333333335</v>
      </c>
      <c r="J187" s="20">
        <f t="shared" si="30"/>
        <v>209</v>
      </c>
      <c r="K187" s="20">
        <f t="shared" si="31"/>
        <v>5924.3333333333339</v>
      </c>
      <c r="L187" s="20">
        <f t="shared" si="35"/>
        <v>500</v>
      </c>
      <c r="M187" s="20">
        <f>'Total income package'!$B$69</f>
        <v>500</v>
      </c>
      <c r="N187" s="20">
        <f t="shared" si="36"/>
        <v>1000</v>
      </c>
      <c r="O187" s="344" t="str">
        <f t="shared" si="37"/>
        <v>No</v>
      </c>
      <c r="P187" s="20">
        <f t="shared" si="38"/>
        <v>2962.166666666667</v>
      </c>
      <c r="Q187" s="346">
        <f t="shared" si="32"/>
        <v>0</v>
      </c>
      <c r="R187" s="20">
        <f>IF(AND(D$2+$E$2&gt;0,N187-SNAP!P187&gt;0),N187-SNAP!P187,0)</f>
        <v>0</v>
      </c>
      <c r="S187" s="20">
        <f t="shared" si="39"/>
        <v>5924.3333333333339</v>
      </c>
      <c r="T187" s="20">
        <f t="shared" si="33"/>
        <v>1777.3000000000002</v>
      </c>
      <c r="U187" s="20">
        <f>IF(AND('Total income package'!$A$18=TRUE,OR(H187="Yes",O187="Yes"),G187&lt;$G$2,$K$2-T187&gt;10),ROUNDDOWN($K$2-T187,0),0)</f>
        <v>0</v>
      </c>
      <c r="V187" s="176">
        <f t="shared" si="40"/>
        <v>0</v>
      </c>
      <c r="W187" s="5"/>
    </row>
    <row r="188" spans="2:23" ht="15" customHeight="1" x14ac:dyDescent="0.25">
      <c r="B188" s="72">
        <v>91000</v>
      </c>
      <c r="C188" s="19">
        <f>MAX('TANF-VIEW'!L191,'TANF-VIEW'!T191)</f>
        <v>0</v>
      </c>
      <c r="D188" s="20">
        <f t="shared" si="41"/>
        <v>7583.333333333333</v>
      </c>
      <c r="E188" s="20">
        <f>'Total income package'!$D$80</f>
        <v>0</v>
      </c>
      <c r="F188" s="20">
        <f>'Total income package'!$H$61+'Total income package'!$F$66</f>
        <v>100</v>
      </c>
      <c r="G188" s="20">
        <f t="shared" si="34"/>
        <v>7683.333333333333</v>
      </c>
      <c r="H188" s="20" t="str">
        <f t="shared" si="28"/>
        <v>No</v>
      </c>
      <c r="I188" s="20">
        <f t="shared" si="29"/>
        <v>1516.6666666666667</v>
      </c>
      <c r="J188" s="20">
        <f t="shared" si="30"/>
        <v>209</v>
      </c>
      <c r="K188" s="20">
        <f t="shared" si="31"/>
        <v>5957.6666666666661</v>
      </c>
      <c r="L188" s="20">
        <f t="shared" si="35"/>
        <v>500</v>
      </c>
      <c r="M188" s="20">
        <f>'Total income package'!$B$69</f>
        <v>500</v>
      </c>
      <c r="N188" s="20">
        <f t="shared" si="36"/>
        <v>1000</v>
      </c>
      <c r="O188" s="344" t="str">
        <f t="shared" si="37"/>
        <v>No</v>
      </c>
      <c r="P188" s="20">
        <f t="shared" si="38"/>
        <v>2978.833333333333</v>
      </c>
      <c r="Q188" s="346">
        <f t="shared" si="32"/>
        <v>0</v>
      </c>
      <c r="R188" s="20">
        <f>IF(AND(D$2+$E$2&gt;0,N188-SNAP!P188&gt;0),N188-SNAP!P188,0)</f>
        <v>0</v>
      </c>
      <c r="S188" s="20">
        <f t="shared" si="39"/>
        <v>5957.6666666666661</v>
      </c>
      <c r="T188" s="20">
        <f t="shared" si="33"/>
        <v>1787.2999999999997</v>
      </c>
      <c r="U188" s="20">
        <f>IF(AND('Total income package'!$A$18=TRUE,OR(H188="Yes",O188="Yes"),G188&lt;$G$2,$K$2-T188&gt;10),ROUNDDOWN($K$2-T188,0),0)</f>
        <v>0</v>
      </c>
      <c r="V188" s="176">
        <f t="shared" si="40"/>
        <v>0</v>
      </c>
      <c r="W188" s="5"/>
    </row>
    <row r="189" spans="2:23" ht="15" customHeight="1" x14ac:dyDescent="0.25">
      <c r="B189" s="72">
        <v>91500</v>
      </c>
      <c r="C189" s="19">
        <f>MAX('TANF-VIEW'!L192,'TANF-VIEW'!T192)</f>
        <v>0</v>
      </c>
      <c r="D189" s="20">
        <f t="shared" si="41"/>
        <v>7625</v>
      </c>
      <c r="E189" s="20">
        <f>'Total income package'!$D$80</f>
        <v>0</v>
      </c>
      <c r="F189" s="20">
        <f>'Total income package'!$H$61+'Total income package'!$F$66</f>
        <v>100</v>
      </c>
      <c r="G189" s="20">
        <f t="shared" si="34"/>
        <v>7725</v>
      </c>
      <c r="H189" s="20" t="str">
        <f t="shared" si="28"/>
        <v>No</v>
      </c>
      <c r="I189" s="20">
        <f t="shared" si="29"/>
        <v>1525</v>
      </c>
      <c r="J189" s="20">
        <f t="shared" si="30"/>
        <v>209</v>
      </c>
      <c r="K189" s="20">
        <f t="shared" si="31"/>
        <v>5991</v>
      </c>
      <c r="L189" s="20">
        <f t="shared" si="35"/>
        <v>500</v>
      </c>
      <c r="M189" s="20">
        <f>'Total income package'!$B$69</f>
        <v>500</v>
      </c>
      <c r="N189" s="20">
        <f t="shared" si="36"/>
        <v>1000</v>
      </c>
      <c r="O189" s="344" t="str">
        <f t="shared" si="37"/>
        <v>No</v>
      </c>
      <c r="P189" s="20">
        <f t="shared" si="38"/>
        <v>2995.5</v>
      </c>
      <c r="Q189" s="346">
        <f t="shared" si="32"/>
        <v>0</v>
      </c>
      <c r="R189" s="20">
        <f>IF(AND(D$2+$E$2&gt;0,N189-SNAP!P189&gt;0),N189-SNAP!P189,0)</f>
        <v>0</v>
      </c>
      <c r="S189" s="20">
        <f t="shared" si="39"/>
        <v>5991</v>
      </c>
      <c r="T189" s="20">
        <f t="shared" si="33"/>
        <v>1797.3</v>
      </c>
      <c r="U189" s="20">
        <f>IF(AND('Total income package'!$A$18=TRUE,OR(H189="Yes",O189="Yes"),G189&lt;$G$2,$K$2-T189&gt;10),ROUNDDOWN($K$2-T189,0),0)</f>
        <v>0</v>
      </c>
      <c r="V189" s="176">
        <f t="shared" si="40"/>
        <v>0</v>
      </c>
      <c r="W189" s="5"/>
    </row>
    <row r="190" spans="2:23" ht="15" customHeight="1" x14ac:dyDescent="0.25">
      <c r="B190" s="72">
        <v>92000</v>
      </c>
      <c r="C190" s="19">
        <f>MAX('TANF-VIEW'!L193,'TANF-VIEW'!T193)</f>
        <v>0</v>
      </c>
      <c r="D190" s="20">
        <f t="shared" si="41"/>
        <v>7666.666666666667</v>
      </c>
      <c r="E190" s="20">
        <f>'Total income package'!$D$80</f>
        <v>0</v>
      </c>
      <c r="F190" s="20">
        <f>'Total income package'!$H$61+'Total income package'!$F$66</f>
        <v>100</v>
      </c>
      <c r="G190" s="20">
        <f t="shared" si="34"/>
        <v>7766.666666666667</v>
      </c>
      <c r="H190" s="20" t="str">
        <f t="shared" si="28"/>
        <v>No</v>
      </c>
      <c r="I190" s="20">
        <f t="shared" si="29"/>
        <v>1533.3333333333335</v>
      </c>
      <c r="J190" s="20">
        <f t="shared" si="30"/>
        <v>209</v>
      </c>
      <c r="K190" s="20">
        <f t="shared" si="31"/>
        <v>6024.3333333333339</v>
      </c>
      <c r="L190" s="20">
        <f t="shared" si="35"/>
        <v>500</v>
      </c>
      <c r="M190" s="20">
        <f>'Total income package'!$B$69</f>
        <v>500</v>
      </c>
      <c r="N190" s="20">
        <f t="shared" si="36"/>
        <v>1000</v>
      </c>
      <c r="O190" s="344" t="str">
        <f t="shared" si="37"/>
        <v>No</v>
      </c>
      <c r="P190" s="20">
        <f t="shared" si="38"/>
        <v>3012.166666666667</v>
      </c>
      <c r="Q190" s="346">
        <f t="shared" si="32"/>
        <v>0</v>
      </c>
      <c r="R190" s="20">
        <f>IF(AND(D$2+$E$2&gt;0,N190-SNAP!P190&gt;0),N190-SNAP!P190,0)</f>
        <v>0</v>
      </c>
      <c r="S190" s="20">
        <f t="shared" si="39"/>
        <v>6024.3333333333339</v>
      </c>
      <c r="T190" s="20">
        <f t="shared" si="33"/>
        <v>1807.3000000000002</v>
      </c>
      <c r="U190" s="20">
        <f>IF(AND('Total income package'!$A$18=TRUE,OR(H190="Yes",O190="Yes"),G190&lt;$G$2,$K$2-T190&gt;10),ROUNDDOWN($K$2-T190,0),0)</f>
        <v>0</v>
      </c>
      <c r="V190" s="176">
        <f t="shared" si="40"/>
        <v>0</v>
      </c>
      <c r="W190" s="5"/>
    </row>
    <row r="191" spans="2:23" ht="15" customHeight="1" x14ac:dyDescent="0.25">
      <c r="B191" s="72">
        <v>92500</v>
      </c>
      <c r="C191" s="19">
        <f>MAX('TANF-VIEW'!L194,'TANF-VIEW'!T194)</f>
        <v>0</v>
      </c>
      <c r="D191" s="20">
        <f t="shared" si="41"/>
        <v>7708.333333333333</v>
      </c>
      <c r="E191" s="20">
        <f>'Total income package'!$D$80</f>
        <v>0</v>
      </c>
      <c r="F191" s="20">
        <f>'Total income package'!$H$61+'Total income package'!$F$66</f>
        <v>100</v>
      </c>
      <c r="G191" s="20">
        <f t="shared" si="34"/>
        <v>7808.333333333333</v>
      </c>
      <c r="H191" s="20" t="str">
        <f t="shared" si="28"/>
        <v>No</v>
      </c>
      <c r="I191" s="20">
        <f t="shared" si="29"/>
        <v>1541.6666666666667</v>
      </c>
      <c r="J191" s="20">
        <f t="shared" si="30"/>
        <v>209</v>
      </c>
      <c r="K191" s="20">
        <f t="shared" si="31"/>
        <v>6057.6666666666661</v>
      </c>
      <c r="L191" s="20">
        <f t="shared" si="35"/>
        <v>500</v>
      </c>
      <c r="M191" s="20">
        <f>'Total income package'!$B$69</f>
        <v>500</v>
      </c>
      <c r="N191" s="20">
        <f t="shared" si="36"/>
        <v>1000</v>
      </c>
      <c r="O191" s="344" t="str">
        <f t="shared" si="37"/>
        <v>No</v>
      </c>
      <c r="P191" s="20">
        <f t="shared" si="38"/>
        <v>3028.833333333333</v>
      </c>
      <c r="Q191" s="346">
        <f t="shared" si="32"/>
        <v>0</v>
      </c>
      <c r="R191" s="20">
        <f>IF(AND(D$2+$E$2&gt;0,N191-SNAP!P191&gt;0),N191-SNAP!P191,0)</f>
        <v>0</v>
      </c>
      <c r="S191" s="20">
        <f t="shared" si="39"/>
        <v>6057.6666666666661</v>
      </c>
      <c r="T191" s="20">
        <f t="shared" si="33"/>
        <v>1817.2999999999997</v>
      </c>
      <c r="U191" s="20">
        <f>IF(AND('Total income package'!$A$18=TRUE,OR(H191="Yes",O191="Yes"),G191&lt;$G$2,$K$2-T191&gt;10),ROUNDDOWN($K$2-T191,0),0)</f>
        <v>0</v>
      </c>
      <c r="V191" s="176">
        <f t="shared" si="40"/>
        <v>0</v>
      </c>
      <c r="W191" s="5"/>
    </row>
    <row r="192" spans="2:23" ht="15" customHeight="1" x14ac:dyDescent="0.25">
      <c r="B192" s="72">
        <v>93000</v>
      </c>
      <c r="C192" s="19">
        <f>MAX('TANF-VIEW'!L195,'TANF-VIEW'!T195)</f>
        <v>0</v>
      </c>
      <c r="D192" s="20">
        <f t="shared" si="41"/>
        <v>7750</v>
      </c>
      <c r="E192" s="20">
        <f>'Total income package'!$D$80</f>
        <v>0</v>
      </c>
      <c r="F192" s="20">
        <f>'Total income package'!$H$61+'Total income package'!$F$66</f>
        <v>100</v>
      </c>
      <c r="G192" s="20">
        <f t="shared" si="34"/>
        <v>7850</v>
      </c>
      <c r="H192" s="20" t="str">
        <f t="shared" si="28"/>
        <v>No</v>
      </c>
      <c r="I192" s="20">
        <f t="shared" si="29"/>
        <v>1550</v>
      </c>
      <c r="J192" s="20">
        <f t="shared" si="30"/>
        <v>209</v>
      </c>
      <c r="K192" s="20">
        <f t="shared" si="31"/>
        <v>6091</v>
      </c>
      <c r="L192" s="20">
        <f t="shared" si="35"/>
        <v>500</v>
      </c>
      <c r="M192" s="20">
        <f>'Total income package'!$B$69</f>
        <v>500</v>
      </c>
      <c r="N192" s="20">
        <f t="shared" si="36"/>
        <v>1000</v>
      </c>
      <c r="O192" s="344" t="str">
        <f t="shared" si="37"/>
        <v>No</v>
      </c>
      <c r="P192" s="20">
        <f t="shared" si="38"/>
        <v>3045.5</v>
      </c>
      <c r="Q192" s="346">
        <f t="shared" si="32"/>
        <v>0</v>
      </c>
      <c r="R192" s="20">
        <f>IF(AND(D$2+$E$2&gt;0,N192-SNAP!P192&gt;0),N192-SNAP!P192,0)</f>
        <v>0</v>
      </c>
      <c r="S192" s="20">
        <f t="shared" si="39"/>
        <v>6091</v>
      </c>
      <c r="T192" s="20">
        <f t="shared" si="33"/>
        <v>1827.3</v>
      </c>
      <c r="U192" s="20">
        <f>IF(AND('Total income package'!$A$18=TRUE,OR(H192="Yes",O192="Yes"),G192&lt;$G$2,$K$2-T192&gt;10),ROUNDDOWN($K$2-T192,0),0)</f>
        <v>0</v>
      </c>
      <c r="V192" s="176">
        <f t="shared" si="40"/>
        <v>0</v>
      </c>
      <c r="W192" s="5"/>
    </row>
    <row r="193" spans="2:23" ht="15" customHeight="1" x14ac:dyDescent="0.25">
      <c r="B193" s="72">
        <v>93500</v>
      </c>
      <c r="C193" s="19">
        <f>MAX('TANF-VIEW'!L196,'TANF-VIEW'!T196)</f>
        <v>0</v>
      </c>
      <c r="D193" s="20">
        <f t="shared" si="41"/>
        <v>7791.666666666667</v>
      </c>
      <c r="E193" s="20">
        <f>'Total income package'!$D$80</f>
        <v>0</v>
      </c>
      <c r="F193" s="20">
        <f>'Total income package'!$H$61+'Total income package'!$F$66</f>
        <v>100</v>
      </c>
      <c r="G193" s="20">
        <f t="shared" si="34"/>
        <v>7891.666666666667</v>
      </c>
      <c r="H193" s="20" t="str">
        <f t="shared" si="28"/>
        <v>No</v>
      </c>
      <c r="I193" s="20">
        <f t="shared" si="29"/>
        <v>1558.3333333333335</v>
      </c>
      <c r="J193" s="20">
        <f t="shared" si="30"/>
        <v>209</v>
      </c>
      <c r="K193" s="20">
        <f t="shared" si="31"/>
        <v>6124.3333333333339</v>
      </c>
      <c r="L193" s="20">
        <f t="shared" si="35"/>
        <v>500</v>
      </c>
      <c r="M193" s="20">
        <f>'Total income package'!$B$69</f>
        <v>500</v>
      </c>
      <c r="N193" s="20">
        <f t="shared" si="36"/>
        <v>1000</v>
      </c>
      <c r="O193" s="344" t="str">
        <f t="shared" si="37"/>
        <v>No</v>
      </c>
      <c r="P193" s="20">
        <f t="shared" si="38"/>
        <v>3062.166666666667</v>
      </c>
      <c r="Q193" s="346">
        <f t="shared" si="32"/>
        <v>0</v>
      </c>
      <c r="R193" s="20">
        <f>IF(AND(D$2+$E$2&gt;0,N193-SNAP!P193&gt;0),N193-SNAP!P193,0)</f>
        <v>0</v>
      </c>
      <c r="S193" s="20">
        <f t="shared" si="39"/>
        <v>6124.3333333333339</v>
      </c>
      <c r="T193" s="20">
        <f t="shared" si="33"/>
        <v>1837.3000000000002</v>
      </c>
      <c r="U193" s="20">
        <f>IF(AND('Total income package'!$A$18=TRUE,OR(H193="Yes",O193="Yes"),G193&lt;$G$2,$K$2-T193&gt;10),ROUNDDOWN($K$2-T193,0),0)</f>
        <v>0</v>
      </c>
      <c r="V193" s="176">
        <f t="shared" si="40"/>
        <v>0</v>
      </c>
      <c r="W193" s="5"/>
    </row>
    <row r="194" spans="2:23" ht="15" customHeight="1" x14ac:dyDescent="0.25">
      <c r="B194" s="72">
        <v>94000</v>
      </c>
      <c r="C194" s="19">
        <f>MAX('TANF-VIEW'!L197,'TANF-VIEW'!T197)</f>
        <v>0</v>
      </c>
      <c r="D194" s="20">
        <f t="shared" si="41"/>
        <v>7833.333333333333</v>
      </c>
      <c r="E194" s="20">
        <f>'Total income package'!$D$80</f>
        <v>0</v>
      </c>
      <c r="F194" s="20">
        <f>'Total income package'!$H$61+'Total income package'!$F$66</f>
        <v>100</v>
      </c>
      <c r="G194" s="20">
        <f t="shared" si="34"/>
        <v>7933.333333333333</v>
      </c>
      <c r="H194" s="20" t="str">
        <f t="shared" si="28"/>
        <v>No</v>
      </c>
      <c r="I194" s="20">
        <f t="shared" si="29"/>
        <v>1566.6666666666667</v>
      </c>
      <c r="J194" s="20">
        <f t="shared" si="30"/>
        <v>209</v>
      </c>
      <c r="K194" s="20">
        <f t="shared" si="31"/>
        <v>6157.6666666666661</v>
      </c>
      <c r="L194" s="20">
        <f t="shared" si="35"/>
        <v>500</v>
      </c>
      <c r="M194" s="20">
        <f>'Total income package'!$B$69</f>
        <v>500</v>
      </c>
      <c r="N194" s="20">
        <f t="shared" si="36"/>
        <v>1000</v>
      </c>
      <c r="O194" s="344" t="str">
        <f t="shared" si="37"/>
        <v>No</v>
      </c>
      <c r="P194" s="20">
        <f t="shared" si="38"/>
        <v>3078.833333333333</v>
      </c>
      <c r="Q194" s="346">
        <f t="shared" si="32"/>
        <v>0</v>
      </c>
      <c r="R194" s="20">
        <f>IF(AND(D$2+$E$2&gt;0,N194-SNAP!P194&gt;0),N194-SNAP!P194,0)</f>
        <v>0</v>
      </c>
      <c r="S194" s="20">
        <f t="shared" si="39"/>
        <v>6157.6666666666661</v>
      </c>
      <c r="T194" s="20">
        <f t="shared" si="33"/>
        <v>1847.2999999999997</v>
      </c>
      <c r="U194" s="20">
        <f>IF(AND('Total income package'!$A$18=TRUE,OR(H194="Yes",O194="Yes"),G194&lt;$G$2,$K$2-T194&gt;10),ROUNDDOWN($K$2-T194,0),0)</f>
        <v>0</v>
      </c>
      <c r="V194" s="176">
        <f t="shared" si="40"/>
        <v>0</v>
      </c>
      <c r="W194" s="5"/>
    </row>
    <row r="195" spans="2:23" ht="15" customHeight="1" x14ac:dyDescent="0.25">
      <c r="B195" s="72">
        <v>94500</v>
      </c>
      <c r="C195" s="19">
        <f>MAX('TANF-VIEW'!L198,'TANF-VIEW'!T198)</f>
        <v>0</v>
      </c>
      <c r="D195" s="20">
        <f t="shared" si="41"/>
        <v>7875</v>
      </c>
      <c r="E195" s="20">
        <f>'Total income package'!$D$80</f>
        <v>0</v>
      </c>
      <c r="F195" s="20">
        <f>'Total income package'!$H$61+'Total income package'!$F$66</f>
        <v>100</v>
      </c>
      <c r="G195" s="20">
        <f t="shared" si="34"/>
        <v>7975</v>
      </c>
      <c r="H195" s="20" t="str">
        <f t="shared" si="28"/>
        <v>No</v>
      </c>
      <c r="I195" s="20">
        <f t="shared" si="29"/>
        <v>1575</v>
      </c>
      <c r="J195" s="20">
        <f t="shared" si="30"/>
        <v>209</v>
      </c>
      <c r="K195" s="20">
        <f t="shared" si="31"/>
        <v>6191</v>
      </c>
      <c r="L195" s="20">
        <f t="shared" si="35"/>
        <v>500</v>
      </c>
      <c r="M195" s="20">
        <f>'Total income package'!$B$69</f>
        <v>500</v>
      </c>
      <c r="N195" s="20">
        <f t="shared" si="36"/>
        <v>1000</v>
      </c>
      <c r="O195" s="344" t="str">
        <f t="shared" si="37"/>
        <v>No</v>
      </c>
      <c r="P195" s="20">
        <f t="shared" si="38"/>
        <v>3095.5</v>
      </c>
      <c r="Q195" s="346">
        <f t="shared" si="32"/>
        <v>0</v>
      </c>
      <c r="R195" s="20">
        <f>IF(AND(D$2+$E$2&gt;0,N195-SNAP!P195&gt;0),N195-SNAP!P195,0)</f>
        <v>0</v>
      </c>
      <c r="S195" s="20">
        <f t="shared" si="39"/>
        <v>6191</v>
      </c>
      <c r="T195" s="20">
        <f t="shared" si="33"/>
        <v>1857.3</v>
      </c>
      <c r="U195" s="20">
        <f>IF(AND('Total income package'!$A$18=TRUE,OR(H195="Yes",O195="Yes"),G195&lt;$G$2,$K$2-T195&gt;10),ROUNDDOWN($K$2-T195,0),0)</f>
        <v>0</v>
      </c>
      <c r="V195" s="176">
        <f t="shared" si="40"/>
        <v>0</v>
      </c>
      <c r="W195" s="5"/>
    </row>
    <row r="196" spans="2:23" ht="15" customHeight="1" x14ac:dyDescent="0.25">
      <c r="B196" s="72">
        <v>95000</v>
      </c>
      <c r="C196" s="19">
        <f>MAX('TANF-VIEW'!L199,'TANF-VIEW'!T199)</f>
        <v>0</v>
      </c>
      <c r="D196" s="20">
        <f t="shared" si="41"/>
        <v>7916.666666666667</v>
      </c>
      <c r="E196" s="20">
        <f>'Total income package'!$D$80</f>
        <v>0</v>
      </c>
      <c r="F196" s="20">
        <f>'Total income package'!$H$61+'Total income package'!$F$66</f>
        <v>100</v>
      </c>
      <c r="G196" s="20">
        <f t="shared" si="34"/>
        <v>8016.666666666667</v>
      </c>
      <c r="H196" s="20" t="str">
        <f t="shared" si="28"/>
        <v>No</v>
      </c>
      <c r="I196" s="20">
        <f t="shared" si="29"/>
        <v>1583.3333333333335</v>
      </c>
      <c r="J196" s="20">
        <f t="shared" si="30"/>
        <v>209</v>
      </c>
      <c r="K196" s="20">
        <f t="shared" si="31"/>
        <v>6224.3333333333339</v>
      </c>
      <c r="L196" s="20">
        <f t="shared" si="35"/>
        <v>500</v>
      </c>
      <c r="M196" s="20">
        <f>'Total income package'!$B$69</f>
        <v>500</v>
      </c>
      <c r="N196" s="20">
        <f t="shared" si="36"/>
        <v>1000</v>
      </c>
      <c r="O196" s="344" t="str">
        <f t="shared" si="37"/>
        <v>No</v>
      </c>
      <c r="P196" s="20">
        <f t="shared" si="38"/>
        <v>3112.166666666667</v>
      </c>
      <c r="Q196" s="346">
        <f t="shared" si="32"/>
        <v>0</v>
      </c>
      <c r="R196" s="20">
        <f>IF(AND(D$2+$E$2&gt;0,N196-SNAP!P196&gt;0),N196-SNAP!P196,0)</f>
        <v>0</v>
      </c>
      <c r="S196" s="20">
        <f t="shared" si="39"/>
        <v>6224.3333333333339</v>
      </c>
      <c r="T196" s="20">
        <f t="shared" si="33"/>
        <v>1867.3000000000002</v>
      </c>
      <c r="U196" s="20">
        <f>IF(AND('Total income package'!$A$18=TRUE,OR(H196="Yes",O196="Yes"),G196&lt;$G$2,$K$2-T196&gt;10),ROUNDDOWN($K$2-T196,0),0)</f>
        <v>0</v>
      </c>
      <c r="V196" s="176">
        <f t="shared" si="40"/>
        <v>0</v>
      </c>
      <c r="W196" s="5"/>
    </row>
    <row r="197" spans="2:23" ht="15" customHeight="1" x14ac:dyDescent="0.25">
      <c r="B197" s="72">
        <v>95500</v>
      </c>
      <c r="C197" s="19">
        <f>MAX('TANF-VIEW'!L200,'TANF-VIEW'!T200)</f>
        <v>0</v>
      </c>
      <c r="D197" s="20">
        <f t="shared" si="41"/>
        <v>7958.333333333333</v>
      </c>
      <c r="E197" s="20">
        <f>'Total income package'!$D$80</f>
        <v>0</v>
      </c>
      <c r="F197" s="20">
        <f>'Total income package'!$H$61+'Total income package'!$F$66</f>
        <v>100</v>
      </c>
      <c r="G197" s="20">
        <f t="shared" si="34"/>
        <v>8058.333333333333</v>
      </c>
      <c r="H197" s="20" t="str">
        <f t="shared" si="28"/>
        <v>No</v>
      </c>
      <c r="I197" s="20">
        <f t="shared" si="29"/>
        <v>1591.6666666666667</v>
      </c>
      <c r="J197" s="20">
        <f t="shared" si="30"/>
        <v>209</v>
      </c>
      <c r="K197" s="20">
        <f t="shared" si="31"/>
        <v>6257.6666666666661</v>
      </c>
      <c r="L197" s="20">
        <f t="shared" si="35"/>
        <v>500</v>
      </c>
      <c r="M197" s="20">
        <f>'Total income package'!$B$69</f>
        <v>500</v>
      </c>
      <c r="N197" s="20">
        <f t="shared" si="36"/>
        <v>1000</v>
      </c>
      <c r="O197" s="344" t="str">
        <f t="shared" si="37"/>
        <v>No</v>
      </c>
      <c r="P197" s="20">
        <f t="shared" si="38"/>
        <v>3128.833333333333</v>
      </c>
      <c r="Q197" s="346">
        <f t="shared" si="32"/>
        <v>0</v>
      </c>
      <c r="R197" s="20">
        <f>IF(AND(D$2+$E$2&gt;0,N197-SNAP!P197&gt;0),N197-SNAP!P197,0)</f>
        <v>0</v>
      </c>
      <c r="S197" s="20">
        <f t="shared" si="39"/>
        <v>6257.6666666666661</v>
      </c>
      <c r="T197" s="20">
        <f t="shared" si="33"/>
        <v>1877.2999999999997</v>
      </c>
      <c r="U197" s="20">
        <f>IF(AND('Total income package'!$A$18=TRUE,OR(H197="Yes",O197="Yes"),G197&lt;$G$2,$K$2-T197&gt;10),ROUNDDOWN($K$2-T197,0),0)</f>
        <v>0</v>
      </c>
      <c r="V197" s="176">
        <f t="shared" si="40"/>
        <v>0</v>
      </c>
      <c r="W197" s="5"/>
    </row>
    <row r="198" spans="2:23" ht="15" customHeight="1" x14ac:dyDescent="0.25">
      <c r="B198" s="72">
        <v>96000</v>
      </c>
      <c r="C198" s="19">
        <f>MAX('TANF-VIEW'!L201,'TANF-VIEW'!T201)</f>
        <v>0</v>
      </c>
      <c r="D198" s="20">
        <f t="shared" si="41"/>
        <v>8000</v>
      </c>
      <c r="E198" s="20">
        <f>'Total income package'!$D$80</f>
        <v>0</v>
      </c>
      <c r="F198" s="20">
        <f>'Total income package'!$H$61+'Total income package'!$F$66</f>
        <v>100</v>
      </c>
      <c r="G198" s="20">
        <f t="shared" si="34"/>
        <v>8100</v>
      </c>
      <c r="H198" s="20" t="str">
        <f t="shared" ref="H198:H206" si="42">IF(G198&lt;$G$2,"Yes","No")</f>
        <v>No</v>
      </c>
      <c r="I198" s="20">
        <f t="shared" ref="I198:I206" si="43">D198*0.2</f>
        <v>1600</v>
      </c>
      <c r="J198" s="20">
        <f t="shared" ref="J198:J206" si="44">$H$2</f>
        <v>209</v>
      </c>
      <c r="K198" s="20">
        <f t="shared" ref="K198:K206" si="45">IF(G198-I198-J198&gt;0,G198-I198-J198,0)</f>
        <v>6291</v>
      </c>
      <c r="L198" s="20">
        <f t="shared" si="35"/>
        <v>500</v>
      </c>
      <c r="M198" s="20">
        <f>'Total income package'!$B$69</f>
        <v>500</v>
      </c>
      <c r="N198" s="20">
        <f t="shared" si="36"/>
        <v>1000</v>
      </c>
      <c r="O198" s="344" t="str">
        <f t="shared" si="37"/>
        <v>No</v>
      </c>
      <c r="P198" s="20">
        <f t="shared" si="38"/>
        <v>3145.5</v>
      </c>
      <c r="Q198" s="346">
        <f t="shared" ref="Q198:Q206" si="46">IF(AND(D$2+$E$2=0,N198&lt;$L$2,N198-P198&gt;0),N198-P198,IF(AND(D$2+$E$2=0,N198&gt;$L$2),$L$2,0))</f>
        <v>0</v>
      </c>
      <c r="R198" s="20">
        <f>IF(AND(D$2+$E$2&gt;0,N198-SNAP!P198&gt;0),N198-SNAP!P198,0)</f>
        <v>0</v>
      </c>
      <c r="S198" s="20">
        <f t="shared" si="39"/>
        <v>6291</v>
      </c>
      <c r="T198" s="20">
        <f t="shared" ref="T198:T206" si="47">S198*0.3</f>
        <v>1887.3</v>
      </c>
      <c r="U198" s="20">
        <f>IF(AND('Total income package'!$A$18=TRUE,OR(H198="Yes",O198="Yes"),G198&lt;$G$2,$K$2-T198&gt;10),ROUNDDOWN($K$2-T198,0),0)</f>
        <v>0</v>
      </c>
      <c r="V198" s="176">
        <f t="shared" si="40"/>
        <v>0</v>
      </c>
      <c r="W198" s="5"/>
    </row>
    <row r="199" spans="2:23" ht="15" customHeight="1" x14ac:dyDescent="0.25">
      <c r="B199" s="72">
        <v>96500</v>
      </c>
      <c r="C199" s="19">
        <f>MAX('TANF-VIEW'!L202,'TANF-VIEW'!T202)</f>
        <v>0</v>
      </c>
      <c r="D199" s="20">
        <f t="shared" si="41"/>
        <v>8041.666666666667</v>
      </c>
      <c r="E199" s="20">
        <f>'Total income package'!$D$80</f>
        <v>0</v>
      </c>
      <c r="F199" s="20">
        <f>'Total income package'!$H$61+'Total income package'!$F$66</f>
        <v>100</v>
      </c>
      <c r="G199" s="20">
        <f t="shared" ref="G199:G206" si="48">D199+C199+E199+F199</f>
        <v>8141.666666666667</v>
      </c>
      <c r="H199" s="20" t="str">
        <f t="shared" si="42"/>
        <v>No</v>
      </c>
      <c r="I199" s="20">
        <f t="shared" si="43"/>
        <v>1608.3333333333335</v>
      </c>
      <c r="J199" s="20">
        <f t="shared" si="44"/>
        <v>209</v>
      </c>
      <c r="K199" s="20">
        <f t="shared" si="45"/>
        <v>6324.3333333333339</v>
      </c>
      <c r="L199" s="20">
        <f t="shared" ref="L199:L211" si="49">$I$2</f>
        <v>500</v>
      </c>
      <c r="M199" s="20">
        <f>'Total income package'!$B$69</f>
        <v>500</v>
      </c>
      <c r="N199" s="20">
        <f t="shared" ref="N199:N211" si="50">L199+M199</f>
        <v>1000</v>
      </c>
      <c r="O199" s="344" t="str">
        <f t="shared" ref="O199:O206" si="51">IF(AND($D$2+$E$2&gt;0,K199&lt;$J$2),"Yes","No")</f>
        <v>No</v>
      </c>
      <c r="P199" s="20">
        <f t="shared" ref="P199:P206" si="52">K199/2</f>
        <v>3162.166666666667</v>
      </c>
      <c r="Q199" s="346">
        <f t="shared" si="46"/>
        <v>0</v>
      </c>
      <c r="R199" s="20">
        <f>IF(AND(D$2+$E$2&gt;0,N199-SNAP!P199&gt;0),N199-SNAP!P199,0)</f>
        <v>0</v>
      </c>
      <c r="S199" s="20">
        <f t="shared" ref="S199:S206" si="53">IF(AND($D$2+$E$2&gt;0,K199-R199&gt;0),K199-R199,IF(AND($D$2+$E$2=0,K199-Q199&gt;0),K199-Q199,0))</f>
        <v>6324.3333333333339</v>
      </c>
      <c r="T199" s="20">
        <f t="shared" si="47"/>
        <v>1897.3000000000002</v>
      </c>
      <c r="U199" s="20">
        <f>IF(AND('Total income package'!$A$18=TRUE,OR(H199="Yes",O199="Yes"),G199&lt;$G$2,$K$2-T199&gt;10),ROUNDDOWN($K$2-T199,0),0)</f>
        <v>0</v>
      </c>
      <c r="V199" s="176">
        <f t="shared" ref="V199:V211" si="54">IF(AND(C195&lt;3,U199&gt;10,U199&lt;24),24,U199)</f>
        <v>0</v>
      </c>
      <c r="W199" s="5"/>
    </row>
    <row r="200" spans="2:23" ht="15" customHeight="1" x14ac:dyDescent="0.25">
      <c r="B200" s="72">
        <v>97000</v>
      </c>
      <c r="C200" s="19">
        <f>MAX('TANF-VIEW'!L203,'TANF-VIEW'!T203)</f>
        <v>0</v>
      </c>
      <c r="D200" s="20">
        <f t="shared" si="41"/>
        <v>8083.333333333333</v>
      </c>
      <c r="E200" s="20">
        <f>'Total income package'!$D$80</f>
        <v>0</v>
      </c>
      <c r="F200" s="20">
        <f>'Total income package'!$H$61+'Total income package'!$F$66</f>
        <v>100</v>
      </c>
      <c r="G200" s="20">
        <f t="shared" si="48"/>
        <v>8183.333333333333</v>
      </c>
      <c r="H200" s="20" t="str">
        <f t="shared" si="42"/>
        <v>No</v>
      </c>
      <c r="I200" s="20">
        <f t="shared" si="43"/>
        <v>1616.6666666666667</v>
      </c>
      <c r="J200" s="20">
        <f t="shared" si="44"/>
        <v>209</v>
      </c>
      <c r="K200" s="20">
        <f t="shared" si="45"/>
        <v>6357.6666666666661</v>
      </c>
      <c r="L200" s="20">
        <f t="shared" si="49"/>
        <v>500</v>
      </c>
      <c r="M200" s="20">
        <f>'Total income package'!$B$69</f>
        <v>500</v>
      </c>
      <c r="N200" s="20">
        <f t="shared" si="50"/>
        <v>1000</v>
      </c>
      <c r="O200" s="344" t="str">
        <f t="shared" si="51"/>
        <v>No</v>
      </c>
      <c r="P200" s="20">
        <f t="shared" si="52"/>
        <v>3178.833333333333</v>
      </c>
      <c r="Q200" s="346">
        <f t="shared" si="46"/>
        <v>0</v>
      </c>
      <c r="R200" s="20">
        <f>IF(AND(D$2+$E$2&gt;0,N200-SNAP!P200&gt;0),N200-SNAP!P200,0)</f>
        <v>0</v>
      </c>
      <c r="S200" s="20">
        <f t="shared" si="53"/>
        <v>6357.6666666666661</v>
      </c>
      <c r="T200" s="20">
        <f t="shared" si="47"/>
        <v>1907.2999999999997</v>
      </c>
      <c r="U200" s="20">
        <f>IF(AND('Total income package'!$A$18=TRUE,OR(H200="Yes",O200="Yes"),G200&lt;$G$2,$K$2-T200&gt;10),ROUNDDOWN($K$2-T200,0),0)</f>
        <v>0</v>
      </c>
      <c r="V200" s="176">
        <f t="shared" si="54"/>
        <v>0</v>
      </c>
      <c r="W200" s="5"/>
    </row>
    <row r="201" spans="2:23" ht="15" customHeight="1" x14ac:dyDescent="0.25">
      <c r="B201" s="72">
        <v>97500</v>
      </c>
      <c r="C201" s="19">
        <f>MAX('TANF-VIEW'!L204,'TANF-VIEW'!T204)</f>
        <v>0</v>
      </c>
      <c r="D201" s="20">
        <f t="shared" ref="D201:D206" si="55">B201/12</f>
        <v>8125</v>
      </c>
      <c r="E201" s="20">
        <f>'Total income package'!$D$80</f>
        <v>0</v>
      </c>
      <c r="F201" s="20">
        <f>'Total income package'!$H$61+'Total income package'!$F$66</f>
        <v>100</v>
      </c>
      <c r="G201" s="20">
        <f t="shared" si="48"/>
        <v>8225</v>
      </c>
      <c r="H201" s="20" t="str">
        <f t="shared" si="42"/>
        <v>No</v>
      </c>
      <c r="I201" s="20">
        <f t="shared" si="43"/>
        <v>1625</v>
      </c>
      <c r="J201" s="20">
        <f t="shared" si="44"/>
        <v>209</v>
      </c>
      <c r="K201" s="20">
        <f t="shared" si="45"/>
        <v>6391</v>
      </c>
      <c r="L201" s="20">
        <f t="shared" si="49"/>
        <v>500</v>
      </c>
      <c r="M201" s="20">
        <f>'Total income package'!$B$69</f>
        <v>500</v>
      </c>
      <c r="N201" s="20">
        <f t="shared" si="50"/>
        <v>1000</v>
      </c>
      <c r="O201" s="344" t="str">
        <f t="shared" si="51"/>
        <v>No</v>
      </c>
      <c r="P201" s="20">
        <f t="shared" si="52"/>
        <v>3195.5</v>
      </c>
      <c r="Q201" s="346">
        <f t="shared" si="46"/>
        <v>0</v>
      </c>
      <c r="R201" s="20">
        <f>IF(AND(D$2+$E$2&gt;0,N201-SNAP!P201&gt;0),N201-SNAP!P201,0)</f>
        <v>0</v>
      </c>
      <c r="S201" s="20">
        <f t="shared" si="53"/>
        <v>6391</v>
      </c>
      <c r="T201" s="20">
        <f t="shared" si="47"/>
        <v>1917.3</v>
      </c>
      <c r="U201" s="20">
        <f>IF(AND('Total income package'!$A$18=TRUE,OR(H201="Yes",O201="Yes"),G201&lt;$G$2,$K$2-T201&gt;10),ROUNDDOWN($K$2-T201,0),0)</f>
        <v>0</v>
      </c>
      <c r="V201" s="176">
        <f t="shared" si="54"/>
        <v>0</v>
      </c>
      <c r="W201" s="5"/>
    </row>
    <row r="202" spans="2:23" ht="15" customHeight="1" x14ac:dyDescent="0.25">
      <c r="B202" s="72">
        <v>98000</v>
      </c>
      <c r="C202" s="19">
        <f>MAX('TANF-VIEW'!L205,'TANF-VIEW'!T205)</f>
        <v>0</v>
      </c>
      <c r="D202" s="20">
        <f t="shared" si="55"/>
        <v>8166.666666666667</v>
      </c>
      <c r="E202" s="20">
        <f>'Total income package'!$D$80</f>
        <v>0</v>
      </c>
      <c r="F202" s="20">
        <f>'Total income package'!$H$61+'Total income package'!$F$66</f>
        <v>100</v>
      </c>
      <c r="G202" s="20">
        <f t="shared" si="48"/>
        <v>8266.6666666666679</v>
      </c>
      <c r="H202" s="20" t="str">
        <f t="shared" si="42"/>
        <v>No</v>
      </c>
      <c r="I202" s="20">
        <f t="shared" si="43"/>
        <v>1633.3333333333335</v>
      </c>
      <c r="J202" s="20">
        <f t="shared" si="44"/>
        <v>209</v>
      </c>
      <c r="K202" s="20">
        <f t="shared" si="45"/>
        <v>6424.3333333333339</v>
      </c>
      <c r="L202" s="20">
        <f t="shared" si="49"/>
        <v>500</v>
      </c>
      <c r="M202" s="20">
        <f>'Total income package'!$B$69</f>
        <v>500</v>
      </c>
      <c r="N202" s="20">
        <f t="shared" si="50"/>
        <v>1000</v>
      </c>
      <c r="O202" s="344" t="str">
        <f t="shared" si="51"/>
        <v>No</v>
      </c>
      <c r="P202" s="20">
        <f t="shared" si="52"/>
        <v>3212.166666666667</v>
      </c>
      <c r="Q202" s="346">
        <f t="shared" si="46"/>
        <v>0</v>
      </c>
      <c r="R202" s="20">
        <f>IF(AND(D$2+$E$2&gt;0,N202-SNAP!P202&gt;0),N202-SNAP!P202,0)</f>
        <v>0</v>
      </c>
      <c r="S202" s="20">
        <f t="shared" si="53"/>
        <v>6424.3333333333339</v>
      </c>
      <c r="T202" s="20">
        <f t="shared" si="47"/>
        <v>1927.3000000000002</v>
      </c>
      <c r="U202" s="20">
        <f>IF(AND('Total income package'!$A$18=TRUE,OR(H202="Yes",O202="Yes"),G202&lt;$G$2,$K$2-T202&gt;10),ROUNDDOWN($K$2-T202,0),0)</f>
        <v>0</v>
      </c>
      <c r="V202" s="176">
        <f t="shared" si="54"/>
        <v>0</v>
      </c>
      <c r="W202" s="5"/>
    </row>
    <row r="203" spans="2:23" ht="15" customHeight="1" x14ac:dyDescent="0.25">
      <c r="B203" s="72">
        <v>98500</v>
      </c>
      <c r="C203" s="19">
        <f>MAX('TANF-VIEW'!L206,'TANF-VIEW'!T206)</f>
        <v>0</v>
      </c>
      <c r="D203" s="20">
        <f t="shared" si="55"/>
        <v>8208.3333333333339</v>
      </c>
      <c r="E203" s="20">
        <f>'Total income package'!$D$80</f>
        <v>0</v>
      </c>
      <c r="F203" s="20">
        <f>'Total income package'!$H$61+'Total income package'!$F$66</f>
        <v>100</v>
      </c>
      <c r="G203" s="20">
        <f t="shared" si="48"/>
        <v>8308.3333333333339</v>
      </c>
      <c r="H203" s="20" t="str">
        <f t="shared" si="42"/>
        <v>No</v>
      </c>
      <c r="I203" s="20">
        <f t="shared" si="43"/>
        <v>1641.666666666667</v>
      </c>
      <c r="J203" s="20">
        <f t="shared" si="44"/>
        <v>209</v>
      </c>
      <c r="K203" s="20">
        <f t="shared" si="45"/>
        <v>6457.666666666667</v>
      </c>
      <c r="L203" s="20">
        <f t="shared" si="49"/>
        <v>500</v>
      </c>
      <c r="M203" s="20">
        <f>'Total income package'!$B$69</f>
        <v>500</v>
      </c>
      <c r="N203" s="20">
        <f t="shared" si="50"/>
        <v>1000</v>
      </c>
      <c r="O203" s="344" t="str">
        <f t="shared" si="51"/>
        <v>No</v>
      </c>
      <c r="P203" s="20">
        <f t="shared" si="52"/>
        <v>3228.8333333333335</v>
      </c>
      <c r="Q203" s="346">
        <f t="shared" si="46"/>
        <v>0</v>
      </c>
      <c r="R203" s="20">
        <f>IF(AND(D$2+$E$2&gt;0,N203-SNAP!P203&gt;0),N203-SNAP!P203,0)</f>
        <v>0</v>
      </c>
      <c r="S203" s="20">
        <f t="shared" si="53"/>
        <v>6457.666666666667</v>
      </c>
      <c r="T203" s="20">
        <f t="shared" si="47"/>
        <v>1937.3</v>
      </c>
      <c r="U203" s="20">
        <f>IF(AND('Total income package'!$A$18=TRUE,OR(H203="Yes",O203="Yes"),G203&lt;$G$2,$K$2-T203&gt;10),ROUNDDOWN($K$2-T203,0),0)</f>
        <v>0</v>
      </c>
      <c r="V203" s="176">
        <f t="shared" si="54"/>
        <v>0</v>
      </c>
      <c r="W203" s="5"/>
    </row>
    <row r="204" spans="2:23" ht="15" customHeight="1" x14ac:dyDescent="0.25">
      <c r="B204" s="72">
        <v>99000</v>
      </c>
      <c r="C204" s="19">
        <f>MAX('TANF-VIEW'!L207,'TANF-VIEW'!T207)</f>
        <v>0</v>
      </c>
      <c r="D204" s="20">
        <f t="shared" si="55"/>
        <v>8250</v>
      </c>
      <c r="E204" s="20">
        <f>'Total income package'!$D$80</f>
        <v>0</v>
      </c>
      <c r="F204" s="20">
        <f>'Total income package'!$H$61+'Total income package'!$F$66</f>
        <v>100</v>
      </c>
      <c r="G204" s="20">
        <f t="shared" si="48"/>
        <v>8350</v>
      </c>
      <c r="H204" s="20" t="str">
        <f t="shared" si="42"/>
        <v>No</v>
      </c>
      <c r="I204" s="20">
        <f t="shared" si="43"/>
        <v>1650</v>
      </c>
      <c r="J204" s="20">
        <f t="shared" si="44"/>
        <v>209</v>
      </c>
      <c r="K204" s="20">
        <f t="shared" si="45"/>
        <v>6491</v>
      </c>
      <c r="L204" s="20">
        <f t="shared" si="49"/>
        <v>500</v>
      </c>
      <c r="M204" s="20">
        <f>'Total income package'!$B$69</f>
        <v>500</v>
      </c>
      <c r="N204" s="20">
        <f t="shared" si="50"/>
        <v>1000</v>
      </c>
      <c r="O204" s="344" t="str">
        <f t="shared" si="51"/>
        <v>No</v>
      </c>
      <c r="P204" s="20">
        <f t="shared" si="52"/>
        <v>3245.5</v>
      </c>
      <c r="Q204" s="346">
        <f t="shared" si="46"/>
        <v>0</v>
      </c>
      <c r="R204" s="20">
        <f>IF(AND(D$2+$E$2&gt;0,N204-SNAP!P204&gt;0),N204-SNAP!P204,0)</f>
        <v>0</v>
      </c>
      <c r="S204" s="20">
        <f t="shared" si="53"/>
        <v>6491</v>
      </c>
      <c r="T204" s="20">
        <f t="shared" si="47"/>
        <v>1947.3</v>
      </c>
      <c r="U204" s="20">
        <f>IF(AND('Total income package'!$A$18=TRUE,OR(H204="Yes",O204="Yes"),G204&lt;$G$2,$K$2-T204&gt;10),ROUNDDOWN($K$2-T204,0),0)</f>
        <v>0</v>
      </c>
      <c r="V204" s="176">
        <f t="shared" si="54"/>
        <v>0</v>
      </c>
      <c r="W204" s="5"/>
    </row>
    <row r="205" spans="2:23" ht="15" customHeight="1" x14ac:dyDescent="0.25">
      <c r="B205" s="72">
        <v>99500</v>
      </c>
      <c r="C205" s="19">
        <f>MAX('TANF-VIEW'!L208,'TANF-VIEW'!T208)</f>
        <v>0</v>
      </c>
      <c r="D205" s="20">
        <f t="shared" si="55"/>
        <v>8291.6666666666661</v>
      </c>
      <c r="E205" s="20">
        <f>'Total income package'!$D$80</f>
        <v>0</v>
      </c>
      <c r="F205" s="20">
        <f>'Total income package'!$H$61+'Total income package'!$F$66</f>
        <v>100</v>
      </c>
      <c r="G205" s="20">
        <f t="shared" si="48"/>
        <v>8391.6666666666661</v>
      </c>
      <c r="H205" s="20" t="str">
        <f t="shared" si="42"/>
        <v>No</v>
      </c>
      <c r="I205" s="20">
        <f t="shared" si="43"/>
        <v>1658.3333333333333</v>
      </c>
      <c r="J205" s="20">
        <f t="shared" si="44"/>
        <v>209</v>
      </c>
      <c r="K205" s="20">
        <f t="shared" si="45"/>
        <v>6524.333333333333</v>
      </c>
      <c r="L205" s="20">
        <f t="shared" si="49"/>
        <v>500</v>
      </c>
      <c r="M205" s="20">
        <f>'Total income package'!$B$69</f>
        <v>500</v>
      </c>
      <c r="N205" s="20">
        <f t="shared" si="50"/>
        <v>1000</v>
      </c>
      <c r="O205" s="344" t="str">
        <f t="shared" si="51"/>
        <v>No</v>
      </c>
      <c r="P205" s="20">
        <f t="shared" si="52"/>
        <v>3262.1666666666665</v>
      </c>
      <c r="Q205" s="346">
        <f t="shared" si="46"/>
        <v>0</v>
      </c>
      <c r="R205" s="20">
        <f>IF(AND(D$2+$E$2&gt;0,N205-SNAP!P205&gt;0),N205-SNAP!P205,0)</f>
        <v>0</v>
      </c>
      <c r="S205" s="20">
        <f t="shared" si="53"/>
        <v>6524.333333333333</v>
      </c>
      <c r="T205" s="20">
        <f t="shared" si="47"/>
        <v>1957.2999999999997</v>
      </c>
      <c r="U205" s="20">
        <f>IF(AND('Total income package'!$A$18=TRUE,OR(H205="Yes",O205="Yes"),G205&lt;$G$2,$K$2-T205&gt;10),ROUNDDOWN($K$2-T205,0),0)</f>
        <v>0</v>
      </c>
      <c r="V205" s="176">
        <f t="shared" si="54"/>
        <v>0</v>
      </c>
      <c r="W205" s="5"/>
    </row>
    <row r="206" spans="2:23" ht="15" customHeight="1" x14ac:dyDescent="0.25">
      <c r="B206" s="72">
        <v>100000</v>
      </c>
      <c r="C206" s="19">
        <f>MAX('TANF-VIEW'!L209,'TANF-VIEW'!T209)</f>
        <v>0</v>
      </c>
      <c r="D206" s="20">
        <f t="shared" si="55"/>
        <v>8333.3333333333339</v>
      </c>
      <c r="E206" s="20">
        <f>'Total income package'!$D$80</f>
        <v>0</v>
      </c>
      <c r="F206" s="20">
        <f>'Total income package'!$H$61+'Total income package'!$F$66</f>
        <v>100</v>
      </c>
      <c r="G206" s="20">
        <f t="shared" si="48"/>
        <v>8433.3333333333339</v>
      </c>
      <c r="H206" s="20" t="str">
        <f t="shared" si="42"/>
        <v>No</v>
      </c>
      <c r="I206" s="20">
        <f t="shared" si="43"/>
        <v>1666.666666666667</v>
      </c>
      <c r="J206" s="20">
        <f t="shared" si="44"/>
        <v>209</v>
      </c>
      <c r="K206" s="20">
        <f t="shared" si="45"/>
        <v>6557.666666666667</v>
      </c>
      <c r="L206" s="20">
        <f t="shared" si="49"/>
        <v>500</v>
      </c>
      <c r="M206" s="20">
        <f>'Total income package'!$B$69</f>
        <v>500</v>
      </c>
      <c r="N206" s="20">
        <f t="shared" si="50"/>
        <v>1000</v>
      </c>
      <c r="O206" s="344" t="str">
        <f t="shared" si="51"/>
        <v>No</v>
      </c>
      <c r="P206" s="20">
        <f t="shared" si="52"/>
        <v>3278.8333333333335</v>
      </c>
      <c r="Q206" s="346">
        <f t="shared" si="46"/>
        <v>0</v>
      </c>
      <c r="R206" s="20">
        <f>IF(AND(D$2+$E$2&gt;0,N206-SNAP!P206&gt;0),N206-SNAP!P206,0)</f>
        <v>0</v>
      </c>
      <c r="S206" s="20">
        <f t="shared" si="53"/>
        <v>6557.666666666667</v>
      </c>
      <c r="T206" s="20">
        <f t="shared" si="47"/>
        <v>1967.3</v>
      </c>
      <c r="U206" s="20">
        <f>IF(AND('Total income package'!$A$18=TRUE,OR(H206="Yes",O206="Yes"),G206&lt;$G$2,$K$2-T206&gt;10),ROUNDDOWN($K$2-T206,0),0)</f>
        <v>0</v>
      </c>
      <c r="V206" s="176">
        <f t="shared" si="54"/>
        <v>0</v>
      </c>
      <c r="W206" s="5"/>
    </row>
    <row r="207" spans="2:23" ht="15" customHeight="1" x14ac:dyDescent="0.25">
      <c r="B207" s="360"/>
      <c r="C207" s="360"/>
      <c r="D207" s="360"/>
      <c r="E207" s="360"/>
      <c r="F207" s="360"/>
      <c r="G207" s="360"/>
      <c r="H207" s="360"/>
      <c r="I207" s="360"/>
      <c r="J207" s="360"/>
      <c r="K207" s="360"/>
      <c r="L207" s="360"/>
      <c r="M207" s="180"/>
      <c r="N207" s="180"/>
      <c r="O207" s="361"/>
      <c r="P207" s="180"/>
      <c r="Q207" s="362"/>
      <c r="R207" s="180"/>
      <c r="S207" s="180"/>
      <c r="T207" s="180"/>
      <c r="U207" s="180"/>
      <c r="V207" s="180"/>
      <c r="W207" s="5"/>
    </row>
    <row r="208" spans="2:23" ht="15" customHeight="1" x14ac:dyDescent="0.25">
      <c r="C208" s="150"/>
      <c r="M208" s="363"/>
      <c r="N208" s="363"/>
      <c r="O208" s="364"/>
      <c r="P208" s="363"/>
      <c r="Q208" s="365"/>
      <c r="R208" s="363"/>
      <c r="S208" s="363"/>
      <c r="T208" s="363"/>
      <c r="U208" s="4"/>
      <c r="V208" s="4"/>
      <c r="W208" s="5"/>
    </row>
    <row r="209" spans="2:23" ht="15" customHeight="1" x14ac:dyDescent="0.25">
      <c r="B209" s="369" t="s">
        <v>302</v>
      </c>
      <c r="C209" s="370">
        <f>MAX('TANF-VIEW'!L212,'TANF-VIEW'!T212)</f>
        <v>0</v>
      </c>
      <c r="D209" s="371">
        <f>'Total income package'!$B$90</f>
        <v>1289</v>
      </c>
      <c r="E209" s="20">
        <f>'Total income package'!$D$80+'Total income package'!$D$86</f>
        <v>0</v>
      </c>
      <c r="F209" s="20">
        <f>'Total income package'!$H$61+'Total income package'!$F$66</f>
        <v>100</v>
      </c>
      <c r="G209" s="20">
        <f>D209+C209+E209+F209</f>
        <v>1389</v>
      </c>
      <c r="H209" s="20" t="str">
        <f>IF(G209&lt;$G$2,"Yes","No")</f>
        <v>Yes</v>
      </c>
      <c r="I209" s="20">
        <f>D209*0.2</f>
        <v>257.8</v>
      </c>
      <c r="J209" s="20">
        <f>$H$2</f>
        <v>209</v>
      </c>
      <c r="K209" s="20">
        <f>IF(G209-I209-J209&gt;0,G209-I209-J209,0)</f>
        <v>922.2</v>
      </c>
      <c r="L209" s="20">
        <f t="shared" si="49"/>
        <v>500</v>
      </c>
      <c r="M209" s="20">
        <f>'Total income package'!$B$69</f>
        <v>500</v>
      </c>
      <c r="N209" s="20">
        <f t="shared" si="50"/>
        <v>1000</v>
      </c>
      <c r="O209" s="344" t="str">
        <f t="shared" ref="O209:O211" si="56">IF(AND($D$2+$E$2&gt;0,K209&lt;$J$2),"Yes","No")</f>
        <v>Yes</v>
      </c>
      <c r="P209" s="20">
        <f>K209/2</f>
        <v>461.1</v>
      </c>
      <c r="Q209" s="346">
        <f>IF(AND(D$2+$E$2=0,N209&lt;$L$2,N209-P209&gt;0),N209-P209,IF(AND(D$2+$E$2=0,N209&gt;$L$2),$L$2,0))</f>
        <v>0</v>
      </c>
      <c r="R209" s="20">
        <f>IF(AND(D$2+$E$2&gt;0,N209-SNAP!P209&gt;0),N209-SNAP!P209,0)</f>
        <v>538.9</v>
      </c>
      <c r="S209" s="20">
        <f>IF(AND($D$2+$E$2&gt;0,K209-R209&gt;0),K209-R209,IF(AND($D$2+$E$2=0,K209-Q209&gt;0),K209-Q209,0))</f>
        <v>383.30000000000007</v>
      </c>
      <c r="T209" s="20">
        <f>S209*0.3</f>
        <v>114.99000000000002</v>
      </c>
      <c r="U209" s="20">
        <f>IF(AND('Total income package'!$A$18=TRUE,OR(H209="Yes",O209="Yes"),G209&lt;$G$2,$K$2-T209&gt;10),ROUNDDOWN($K$2-T209,0),0)</f>
        <v>431</v>
      </c>
      <c r="V209" s="176">
        <f t="shared" si="54"/>
        <v>431</v>
      </c>
      <c r="W209" s="5"/>
    </row>
    <row r="210" spans="2:23" ht="15" customHeight="1" x14ac:dyDescent="0.25">
      <c r="E210" s="20"/>
      <c r="F210" s="20"/>
      <c r="G210" s="366"/>
      <c r="K210" s="366"/>
      <c r="L210" s="20"/>
      <c r="M210" s="366"/>
      <c r="N210" s="366"/>
      <c r="O210" s="367"/>
      <c r="P210" s="366"/>
      <c r="Q210" s="368"/>
      <c r="R210" s="366"/>
      <c r="S210" s="366"/>
      <c r="T210" s="20"/>
      <c r="U210" s="4"/>
      <c r="V210" s="20"/>
      <c r="W210" s="5"/>
    </row>
    <row r="211" spans="2:23" ht="15" customHeight="1" x14ac:dyDescent="0.25">
      <c r="B211" s="369" t="s">
        <v>303</v>
      </c>
      <c r="C211" s="370">
        <f>MAX('TANF-VIEW'!L214,'TANF-VIEW'!T214)</f>
        <v>0</v>
      </c>
      <c r="D211" s="371">
        <f>'Total income package'!$B$91</f>
        <v>1289</v>
      </c>
      <c r="E211" s="20">
        <f>'Total income package'!$D$80+'Total income package'!$D$86</f>
        <v>0</v>
      </c>
      <c r="F211" s="20">
        <f>'Total income package'!$H$61+'Total income package'!$F$66</f>
        <v>100</v>
      </c>
      <c r="G211" s="20">
        <f t="shared" ref="G211" si="57">D211+C211+E211+F211</f>
        <v>1389</v>
      </c>
      <c r="H211" s="20" t="str">
        <f>IF(G211&lt;$G$2,"Yes","No")</f>
        <v>Yes</v>
      </c>
      <c r="I211" s="20">
        <f>D211*0.2</f>
        <v>257.8</v>
      </c>
      <c r="J211" s="20">
        <f>$H$2</f>
        <v>209</v>
      </c>
      <c r="K211" s="20">
        <f>IF(G211-I211-J211&gt;0,G211-I211-J211,0)</f>
        <v>922.2</v>
      </c>
      <c r="L211" s="20">
        <f t="shared" si="49"/>
        <v>500</v>
      </c>
      <c r="M211" s="20">
        <f>'Total income package'!$B$69</f>
        <v>500</v>
      </c>
      <c r="N211" s="20">
        <f t="shared" si="50"/>
        <v>1000</v>
      </c>
      <c r="O211" s="344" t="str">
        <f t="shared" si="56"/>
        <v>Yes</v>
      </c>
      <c r="P211" s="20">
        <f t="shared" ref="P211" si="58">K211/2</f>
        <v>461.1</v>
      </c>
      <c r="Q211" s="346">
        <f>IF(AND(D$2+$E$2=0,N211&lt;$L$2,N211-P211&gt;0),N211-P211,IF(AND(D$2+$E$2=0,N211&gt;$L$2),$L$2,0))</f>
        <v>0</v>
      </c>
      <c r="R211" s="20">
        <f>IF(AND(D$2+$E$2&gt;0,N211-SNAP!P211&gt;0),N211-SNAP!P211,0)</f>
        <v>538.9</v>
      </c>
      <c r="S211" s="20">
        <f t="shared" ref="S211" si="59">IF(AND($D$2+$E$2&gt;0,K211-R211&gt;0),K211-R211,IF(AND($D$2+$E$2=0,K211-Q211&gt;0),K211-Q211,0))</f>
        <v>383.30000000000007</v>
      </c>
      <c r="T211" s="20">
        <f t="shared" ref="T211" si="60">S211*0.3</f>
        <v>114.99000000000002</v>
      </c>
      <c r="U211" s="20">
        <f>IF(AND('Total income package'!$A$18=TRUE,OR(H211="Yes",O211="Yes"),G211&lt;$G$2,$K$2-T211&gt;10),ROUNDDOWN($K$2-T211,0),0)</f>
        <v>431</v>
      </c>
      <c r="V211" s="176">
        <f t="shared" si="54"/>
        <v>431</v>
      </c>
      <c r="W211" s="5"/>
    </row>
    <row r="213" spans="2:23" ht="15" customHeight="1" x14ac:dyDescent="0.25">
      <c r="T213" s="4"/>
      <c r="U213" s="4"/>
    </row>
    <row r="214" spans="2:23" ht="15" customHeight="1" x14ac:dyDescent="0.25">
      <c r="W214" s="4"/>
    </row>
    <row r="218" spans="2:23" ht="15" customHeight="1" x14ac:dyDescent="0.25">
      <c r="W218" s="4"/>
    </row>
  </sheetData>
  <pageMargins left="0.7" right="0.7" top="0.75" bottom="0.75" header="0.3" footer="0.3"/>
</worksheet>
</file>

<file path=xl/worksheets/sheet1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44B10D3-13E6-4000-ADEC-1CBA18F49567}">
  <sheetPr codeName="Sheet9"/>
  <dimension ref="A1:W211"/>
  <sheetViews>
    <sheetView workbookViewId="0">
      <selection activeCell="C1" sqref="C1:I1048576"/>
    </sheetView>
  </sheetViews>
  <sheetFormatPr defaultRowHeight="15" x14ac:dyDescent="0.25"/>
  <cols>
    <col min="1" max="1" width="18" customWidth="1"/>
    <col min="2" max="2" width="18.28515625" customWidth="1"/>
    <col min="3" max="3" width="22.28515625" customWidth="1"/>
    <col min="4" max="4" width="16.42578125" customWidth="1"/>
    <col min="5" max="5" width="14.5703125" customWidth="1"/>
    <col min="6" max="9" width="12.5703125" customWidth="1"/>
    <col min="10" max="10" width="18.7109375" customWidth="1"/>
  </cols>
  <sheetData>
    <row r="1" spans="1:23" ht="30" x14ac:dyDescent="0.25">
      <c r="A1" s="313" t="s">
        <v>271</v>
      </c>
      <c r="B1" s="313" t="s">
        <v>272</v>
      </c>
      <c r="C1" s="109"/>
      <c r="L1" s="302"/>
      <c r="W1" t="s">
        <v>422</v>
      </c>
    </row>
    <row r="2" spans="1:23" x14ac:dyDescent="0.25">
      <c r="A2" s="127" t="str">
        <f>'Total income package'!B3</f>
        <v>Pittsylvania</v>
      </c>
      <c r="B2" s="77">
        <f>'Total income package'!B32</f>
        <v>2</v>
      </c>
      <c r="C2" s="78"/>
    </row>
    <row r="3" spans="1:23" x14ac:dyDescent="0.25">
      <c r="L3" s="302"/>
      <c r="W3" t="s">
        <v>424</v>
      </c>
    </row>
    <row r="4" spans="1:23" x14ac:dyDescent="0.25">
      <c r="W4" t="s">
        <v>432</v>
      </c>
    </row>
    <row r="5" spans="1:23" ht="30" x14ac:dyDescent="0.25">
      <c r="A5" s="191" t="s">
        <v>104</v>
      </c>
      <c r="B5" s="191" t="s">
        <v>105</v>
      </c>
      <c r="C5" s="14"/>
      <c r="D5" s="24"/>
      <c r="E5" s="24"/>
      <c r="F5" s="24"/>
      <c r="G5" s="24"/>
      <c r="H5" s="24"/>
      <c r="I5" s="24"/>
      <c r="V5" t="s">
        <v>439</v>
      </c>
    </row>
    <row r="6" spans="1:23" x14ac:dyDescent="0.25">
      <c r="A6" s="117">
        <v>0</v>
      </c>
      <c r="B6" s="63">
        <v>0</v>
      </c>
      <c r="C6" s="3"/>
      <c r="D6" s="7"/>
      <c r="E6" s="7"/>
      <c r="F6" s="7"/>
      <c r="G6" s="7"/>
      <c r="H6" s="7"/>
      <c r="I6" s="7"/>
      <c r="V6" t="s">
        <v>440</v>
      </c>
    </row>
    <row r="7" spans="1:23" x14ac:dyDescent="0.25">
      <c r="A7" s="117">
        <v>500</v>
      </c>
      <c r="B7" s="4">
        <f>A7/12</f>
        <v>41.666666666666664</v>
      </c>
      <c r="C7" s="3"/>
      <c r="D7" s="7"/>
      <c r="E7" s="7"/>
      <c r="F7" s="7"/>
      <c r="G7" s="7"/>
      <c r="H7" s="7"/>
      <c r="I7" s="7"/>
      <c r="K7" s="302"/>
    </row>
    <row r="8" spans="1:23" x14ac:dyDescent="0.25">
      <c r="A8" s="29">
        <v>1000</v>
      </c>
      <c r="B8" s="4">
        <f>A8/12</f>
        <v>83.333333333333329</v>
      </c>
      <c r="C8" s="3"/>
      <c r="D8" s="7"/>
      <c r="E8" s="7"/>
      <c r="F8" s="7"/>
      <c r="G8" s="7"/>
      <c r="H8" s="7"/>
      <c r="I8" s="7"/>
      <c r="R8" s="27"/>
    </row>
    <row r="9" spans="1:23" x14ac:dyDescent="0.25">
      <c r="A9" s="117">
        <v>1500</v>
      </c>
      <c r="B9" s="4">
        <f t="shared" ref="B9:B72" si="0">A9/12</f>
        <v>125</v>
      </c>
      <c r="C9" s="3"/>
      <c r="D9" s="7"/>
      <c r="E9" s="7"/>
      <c r="F9" s="7"/>
      <c r="G9" s="7"/>
      <c r="H9" s="7"/>
      <c r="I9" s="7"/>
      <c r="V9" t="s">
        <v>94</v>
      </c>
    </row>
    <row r="10" spans="1:23" x14ac:dyDescent="0.25">
      <c r="A10" s="117">
        <v>2000</v>
      </c>
      <c r="B10" s="4">
        <f t="shared" si="0"/>
        <v>166.66666666666666</v>
      </c>
      <c r="C10" s="3"/>
      <c r="D10" s="7"/>
      <c r="E10" s="7"/>
      <c r="F10" s="7"/>
      <c r="G10" s="7"/>
      <c r="H10" s="7"/>
      <c r="I10" s="7"/>
    </row>
    <row r="11" spans="1:23" x14ac:dyDescent="0.25">
      <c r="A11" s="29">
        <v>2500</v>
      </c>
      <c r="B11" s="4">
        <f t="shared" si="0"/>
        <v>208.33333333333334</v>
      </c>
      <c r="C11" s="3"/>
      <c r="D11" s="7"/>
      <c r="E11" s="7"/>
      <c r="F11" s="7"/>
      <c r="G11" s="7"/>
      <c r="H11" s="7"/>
      <c r="I11" s="7"/>
      <c r="K11" s="302"/>
    </row>
    <row r="12" spans="1:23" x14ac:dyDescent="0.25">
      <c r="A12" s="117">
        <v>3000</v>
      </c>
      <c r="B12" s="4">
        <f t="shared" si="0"/>
        <v>250</v>
      </c>
      <c r="C12" s="3"/>
      <c r="D12" s="7"/>
      <c r="E12" s="7"/>
      <c r="F12" s="7"/>
      <c r="G12" s="7"/>
      <c r="H12" s="7"/>
      <c r="I12" s="7"/>
    </row>
    <row r="13" spans="1:23" x14ac:dyDescent="0.25">
      <c r="A13" s="117">
        <v>3500</v>
      </c>
      <c r="B13" s="4">
        <f t="shared" si="0"/>
        <v>291.66666666666669</v>
      </c>
      <c r="C13" s="3"/>
      <c r="D13" s="7"/>
      <c r="E13" s="7"/>
      <c r="F13" s="7"/>
      <c r="G13" s="7"/>
      <c r="H13" s="7"/>
      <c r="I13" s="7"/>
    </row>
    <row r="14" spans="1:23" x14ac:dyDescent="0.25">
      <c r="A14" s="29">
        <v>4000</v>
      </c>
      <c r="B14" s="4">
        <f t="shared" si="0"/>
        <v>333.33333333333331</v>
      </c>
      <c r="C14" s="3"/>
      <c r="D14" s="7"/>
      <c r="E14" s="7"/>
      <c r="F14" s="7"/>
      <c r="G14" s="7"/>
      <c r="H14" s="7"/>
      <c r="I14" s="7"/>
    </row>
    <row r="15" spans="1:23" x14ac:dyDescent="0.25">
      <c r="A15" s="117">
        <v>4500</v>
      </c>
      <c r="B15" s="4">
        <f t="shared" si="0"/>
        <v>375</v>
      </c>
      <c r="C15" s="3"/>
      <c r="D15" s="7"/>
      <c r="E15" s="7"/>
      <c r="F15" s="7"/>
      <c r="G15" s="7"/>
      <c r="H15" s="7"/>
      <c r="I15" s="7"/>
      <c r="K15" s="302"/>
    </row>
    <row r="16" spans="1:23" x14ac:dyDescent="0.25">
      <c r="A16" s="117">
        <v>5000</v>
      </c>
      <c r="B16" s="4">
        <f t="shared" si="0"/>
        <v>416.66666666666669</v>
      </c>
      <c r="C16" s="3"/>
      <c r="D16" s="7"/>
      <c r="E16" s="7"/>
      <c r="F16" s="7"/>
      <c r="G16" s="7"/>
      <c r="H16" s="7"/>
      <c r="I16" s="7"/>
    </row>
    <row r="17" spans="1:12" x14ac:dyDescent="0.25">
      <c r="A17" s="29">
        <v>5500</v>
      </c>
      <c r="B17" s="4">
        <f t="shared" si="0"/>
        <v>458.33333333333331</v>
      </c>
      <c r="C17" s="3"/>
      <c r="D17" s="7"/>
      <c r="E17" s="7"/>
      <c r="F17" s="7"/>
      <c r="G17" s="7"/>
      <c r="H17" s="7"/>
      <c r="I17" s="7"/>
    </row>
    <row r="18" spans="1:12" x14ac:dyDescent="0.25">
      <c r="A18" s="117">
        <v>6000</v>
      </c>
      <c r="B18" s="4">
        <f t="shared" si="0"/>
        <v>500</v>
      </c>
      <c r="C18" s="3"/>
      <c r="D18" s="7"/>
      <c r="E18" s="7"/>
      <c r="F18" s="7"/>
      <c r="G18" s="7"/>
      <c r="H18" s="7"/>
      <c r="I18" s="7"/>
    </row>
    <row r="19" spans="1:12" x14ac:dyDescent="0.25">
      <c r="A19" s="117">
        <v>6500</v>
      </c>
      <c r="B19" s="4">
        <f t="shared" si="0"/>
        <v>541.66666666666663</v>
      </c>
      <c r="C19" s="3"/>
      <c r="D19" s="7"/>
      <c r="E19" s="7"/>
      <c r="F19" s="7"/>
      <c r="G19" s="7"/>
      <c r="H19" s="7"/>
      <c r="I19" s="7"/>
      <c r="K19" s="302"/>
    </row>
    <row r="20" spans="1:12" x14ac:dyDescent="0.25">
      <c r="A20" s="29">
        <v>7000</v>
      </c>
      <c r="B20" s="4">
        <f t="shared" si="0"/>
        <v>583.33333333333337</v>
      </c>
      <c r="C20" s="3"/>
      <c r="D20" s="7"/>
      <c r="E20" s="7"/>
      <c r="F20" s="7"/>
      <c r="G20" s="7"/>
      <c r="H20" s="7"/>
      <c r="I20" s="7"/>
      <c r="L20" s="302"/>
    </row>
    <row r="21" spans="1:12" x14ac:dyDescent="0.25">
      <c r="A21" s="117">
        <v>7500</v>
      </c>
      <c r="B21" s="4">
        <f t="shared" si="0"/>
        <v>625</v>
      </c>
      <c r="C21" s="3"/>
      <c r="D21" s="7"/>
      <c r="E21" s="7"/>
      <c r="F21" s="7"/>
      <c r="G21" s="7"/>
      <c r="H21" s="7"/>
      <c r="I21" s="7"/>
    </row>
    <row r="22" spans="1:12" x14ac:dyDescent="0.25">
      <c r="A22" s="117">
        <v>8000</v>
      </c>
      <c r="B22" s="4">
        <f t="shared" si="0"/>
        <v>666.66666666666663</v>
      </c>
      <c r="C22" s="3"/>
      <c r="D22" s="7"/>
      <c r="E22" s="7"/>
      <c r="F22" s="7"/>
      <c r="G22" s="7"/>
      <c r="H22" s="7"/>
      <c r="I22" s="7"/>
    </row>
    <row r="23" spans="1:12" x14ac:dyDescent="0.25">
      <c r="A23" s="29">
        <v>8500</v>
      </c>
      <c r="B23" s="4">
        <f t="shared" si="0"/>
        <v>708.33333333333337</v>
      </c>
      <c r="C23" s="3"/>
      <c r="D23" s="7"/>
      <c r="E23" s="7"/>
      <c r="F23" s="7"/>
      <c r="G23" s="7"/>
      <c r="H23" s="7"/>
      <c r="I23" s="7"/>
      <c r="K23" s="302"/>
    </row>
    <row r="24" spans="1:12" x14ac:dyDescent="0.25">
      <c r="A24" s="117">
        <v>9000</v>
      </c>
      <c r="B24" s="4">
        <f t="shared" si="0"/>
        <v>750</v>
      </c>
      <c r="C24" s="3"/>
      <c r="D24" s="7"/>
      <c r="E24" s="7"/>
      <c r="F24" s="7"/>
      <c r="G24" s="7"/>
      <c r="H24" s="7"/>
      <c r="I24" s="7"/>
      <c r="K24" s="302"/>
      <c r="L24" s="27"/>
    </row>
    <row r="25" spans="1:12" x14ac:dyDescent="0.25">
      <c r="A25" s="117">
        <v>9500</v>
      </c>
      <c r="B25" s="4">
        <f t="shared" si="0"/>
        <v>791.66666666666663</v>
      </c>
      <c r="C25" s="3"/>
      <c r="D25" s="7"/>
      <c r="E25" s="7"/>
      <c r="F25" s="7"/>
      <c r="G25" s="7"/>
      <c r="H25" s="7"/>
      <c r="I25" s="7"/>
    </row>
    <row r="26" spans="1:12" x14ac:dyDescent="0.25">
      <c r="A26" s="29">
        <v>10000</v>
      </c>
      <c r="B26" s="4">
        <f t="shared" si="0"/>
        <v>833.33333333333337</v>
      </c>
      <c r="C26" s="3"/>
      <c r="D26" s="7"/>
      <c r="E26" s="7"/>
      <c r="F26" s="7"/>
      <c r="G26" s="7"/>
      <c r="H26" s="7"/>
      <c r="I26" s="7"/>
    </row>
    <row r="27" spans="1:12" x14ac:dyDescent="0.25">
      <c r="A27" s="117">
        <v>10500</v>
      </c>
      <c r="B27" s="4">
        <f t="shared" si="0"/>
        <v>875</v>
      </c>
      <c r="C27" s="3"/>
      <c r="D27" s="7"/>
      <c r="E27" s="7"/>
      <c r="F27" s="7"/>
      <c r="G27" s="7"/>
      <c r="H27" s="7"/>
      <c r="I27" s="7"/>
    </row>
    <row r="28" spans="1:12" x14ac:dyDescent="0.25">
      <c r="A28" s="117">
        <v>11000</v>
      </c>
      <c r="B28" s="4">
        <f t="shared" si="0"/>
        <v>916.66666666666663</v>
      </c>
      <c r="C28" s="3"/>
      <c r="D28" s="7"/>
      <c r="E28" s="7"/>
      <c r="F28" s="7"/>
      <c r="G28" s="7"/>
      <c r="H28" s="7"/>
      <c r="I28" s="7"/>
    </row>
    <row r="29" spans="1:12" x14ac:dyDescent="0.25">
      <c r="A29" s="29">
        <v>11500</v>
      </c>
      <c r="B29" s="4">
        <f t="shared" si="0"/>
        <v>958.33333333333337</v>
      </c>
      <c r="C29" s="3"/>
      <c r="D29" s="7"/>
      <c r="E29" s="7"/>
      <c r="F29" s="7"/>
      <c r="G29" s="7"/>
      <c r="H29" s="7"/>
      <c r="I29" s="7"/>
    </row>
    <row r="30" spans="1:12" x14ac:dyDescent="0.25">
      <c r="A30" s="117">
        <v>12000</v>
      </c>
      <c r="B30" s="4">
        <f t="shared" si="0"/>
        <v>1000</v>
      </c>
      <c r="C30" s="3"/>
      <c r="D30" s="7"/>
      <c r="E30" s="7"/>
      <c r="F30" s="7"/>
      <c r="G30" s="7"/>
      <c r="H30" s="7"/>
      <c r="I30" s="7"/>
    </row>
    <row r="31" spans="1:12" x14ac:dyDescent="0.25">
      <c r="A31" s="117">
        <v>12500</v>
      </c>
      <c r="B31" s="4">
        <f t="shared" si="0"/>
        <v>1041.6666666666667</v>
      </c>
      <c r="C31" s="3"/>
      <c r="D31" s="7"/>
      <c r="E31" s="7"/>
      <c r="F31" s="7"/>
      <c r="G31" s="7"/>
      <c r="H31" s="7"/>
      <c r="I31" s="7"/>
    </row>
    <row r="32" spans="1:12" x14ac:dyDescent="0.25">
      <c r="A32" s="29">
        <v>13000</v>
      </c>
      <c r="B32" s="4">
        <f t="shared" si="0"/>
        <v>1083.3333333333333</v>
      </c>
      <c r="C32" s="3"/>
      <c r="D32" s="7"/>
      <c r="E32" s="7"/>
      <c r="F32" s="7"/>
      <c r="G32" s="7"/>
      <c r="H32" s="7"/>
      <c r="I32" s="7"/>
    </row>
    <row r="33" spans="1:11" x14ac:dyDescent="0.25">
      <c r="A33" s="117">
        <v>13500</v>
      </c>
      <c r="B33" s="4">
        <f t="shared" si="0"/>
        <v>1125</v>
      </c>
      <c r="C33" s="3"/>
      <c r="D33" s="7"/>
      <c r="E33" s="7"/>
      <c r="F33" s="7"/>
      <c r="G33" s="7"/>
      <c r="H33" s="7"/>
      <c r="I33" s="7"/>
    </row>
    <row r="34" spans="1:11" x14ac:dyDescent="0.25">
      <c r="A34" s="117">
        <v>14000</v>
      </c>
      <c r="B34" s="4">
        <f t="shared" si="0"/>
        <v>1166.6666666666667</v>
      </c>
      <c r="C34" s="3"/>
      <c r="D34" s="7"/>
      <c r="E34" s="7"/>
      <c r="F34" s="7"/>
      <c r="G34" s="7"/>
      <c r="H34" s="7"/>
      <c r="I34" s="7"/>
    </row>
    <row r="35" spans="1:11" x14ac:dyDescent="0.25">
      <c r="A35" s="29">
        <v>14500</v>
      </c>
      <c r="B35" s="4">
        <f t="shared" si="0"/>
        <v>1208.3333333333333</v>
      </c>
      <c r="C35" s="3"/>
      <c r="D35" s="7"/>
      <c r="E35" s="7"/>
      <c r="F35" s="7"/>
      <c r="G35" s="7"/>
      <c r="H35" s="7"/>
      <c r="I35" s="7"/>
    </row>
    <row r="36" spans="1:11" x14ac:dyDescent="0.25">
      <c r="A36" s="117">
        <v>15000</v>
      </c>
      <c r="B36" s="4">
        <f t="shared" si="0"/>
        <v>1250</v>
      </c>
      <c r="C36" s="3"/>
      <c r="D36" s="7"/>
      <c r="E36" s="7"/>
      <c r="F36" s="7"/>
      <c r="G36" s="7"/>
      <c r="H36" s="7"/>
      <c r="I36" s="7"/>
    </row>
    <row r="37" spans="1:11" x14ac:dyDescent="0.25">
      <c r="A37" s="117">
        <v>15500</v>
      </c>
      <c r="B37" s="4">
        <f t="shared" si="0"/>
        <v>1291.6666666666667</v>
      </c>
      <c r="C37" s="3"/>
      <c r="D37" s="7"/>
      <c r="E37" s="7"/>
      <c r="F37" s="7"/>
      <c r="G37" s="7"/>
      <c r="H37" s="7"/>
      <c r="I37" s="7"/>
    </row>
    <row r="38" spans="1:11" x14ac:dyDescent="0.25">
      <c r="A38" s="29">
        <v>16000</v>
      </c>
      <c r="B38" s="4">
        <f t="shared" si="0"/>
        <v>1333.3333333333333</v>
      </c>
      <c r="C38" s="3"/>
      <c r="D38" s="7"/>
      <c r="E38" s="7"/>
      <c r="F38" s="7"/>
      <c r="G38" s="7"/>
      <c r="H38" s="7"/>
      <c r="I38" s="7"/>
    </row>
    <row r="39" spans="1:11" x14ac:dyDescent="0.25">
      <c r="A39" s="117">
        <v>16500</v>
      </c>
      <c r="B39" s="4">
        <f t="shared" si="0"/>
        <v>1375</v>
      </c>
      <c r="C39" s="3"/>
      <c r="D39" s="7"/>
      <c r="E39" s="7"/>
      <c r="F39" s="7"/>
      <c r="G39" s="7"/>
      <c r="H39" s="7"/>
      <c r="I39" s="7"/>
    </row>
    <row r="40" spans="1:11" x14ac:dyDescent="0.25">
      <c r="A40" s="117">
        <v>17000</v>
      </c>
      <c r="B40" s="4">
        <f t="shared" si="0"/>
        <v>1416.6666666666667</v>
      </c>
      <c r="C40" s="3"/>
      <c r="D40" s="7"/>
      <c r="E40" s="7"/>
      <c r="F40" s="7"/>
      <c r="G40" s="7"/>
      <c r="H40" s="7"/>
      <c r="I40" s="7"/>
      <c r="K40" s="27"/>
    </row>
    <row r="41" spans="1:11" x14ac:dyDescent="0.25">
      <c r="A41" s="29">
        <v>17500</v>
      </c>
      <c r="B41" s="4">
        <f t="shared" si="0"/>
        <v>1458.3333333333333</v>
      </c>
      <c r="C41" s="3"/>
      <c r="D41" s="7"/>
      <c r="E41" s="7"/>
      <c r="F41" s="7"/>
      <c r="G41" s="7"/>
      <c r="H41" s="7"/>
      <c r="I41" s="7"/>
    </row>
    <row r="42" spans="1:11" x14ac:dyDescent="0.25">
      <c r="A42" s="117">
        <v>18000</v>
      </c>
      <c r="B42" s="4">
        <f t="shared" si="0"/>
        <v>1500</v>
      </c>
      <c r="C42" s="3"/>
      <c r="D42" s="7"/>
      <c r="E42" s="7"/>
      <c r="F42" s="7"/>
      <c r="G42" s="7"/>
      <c r="H42" s="7"/>
      <c r="I42" s="7"/>
    </row>
    <row r="43" spans="1:11" x14ac:dyDescent="0.25">
      <c r="A43" s="117">
        <v>18500</v>
      </c>
      <c r="B43" s="4">
        <f t="shared" si="0"/>
        <v>1541.6666666666667</v>
      </c>
      <c r="C43" s="3"/>
      <c r="D43" s="7"/>
      <c r="E43" s="7"/>
      <c r="F43" s="7"/>
      <c r="G43" s="7"/>
      <c r="H43" s="7"/>
      <c r="I43" s="7"/>
    </row>
    <row r="44" spans="1:11" x14ac:dyDescent="0.25">
      <c r="A44" s="29">
        <v>19000</v>
      </c>
      <c r="B44" s="4">
        <f t="shared" si="0"/>
        <v>1583.3333333333333</v>
      </c>
      <c r="C44" s="3"/>
      <c r="D44" s="7"/>
      <c r="E44" s="7"/>
      <c r="F44" s="7"/>
      <c r="G44" s="7"/>
      <c r="H44" s="7"/>
      <c r="I44" s="7"/>
    </row>
    <row r="45" spans="1:11" x14ac:dyDescent="0.25">
      <c r="A45" s="117">
        <v>19500</v>
      </c>
      <c r="B45" s="4">
        <f t="shared" si="0"/>
        <v>1625</v>
      </c>
      <c r="C45" s="3"/>
      <c r="D45" s="7"/>
      <c r="E45" s="7"/>
      <c r="F45" s="7"/>
      <c r="G45" s="7"/>
      <c r="H45" s="7"/>
      <c r="I45" s="7"/>
    </row>
    <row r="46" spans="1:11" x14ac:dyDescent="0.25">
      <c r="A46" s="117">
        <v>20000</v>
      </c>
      <c r="B46" s="4">
        <f t="shared" si="0"/>
        <v>1666.6666666666667</v>
      </c>
      <c r="C46" s="3"/>
      <c r="D46" s="7"/>
      <c r="E46" s="7"/>
      <c r="F46" s="7"/>
      <c r="G46" s="7"/>
      <c r="H46" s="7"/>
      <c r="I46" s="7"/>
    </row>
    <row r="47" spans="1:11" x14ac:dyDescent="0.25">
      <c r="A47" s="29">
        <v>20500</v>
      </c>
      <c r="B47" s="4">
        <f t="shared" si="0"/>
        <v>1708.3333333333333</v>
      </c>
      <c r="C47" s="3"/>
      <c r="D47" s="7"/>
      <c r="E47" s="7"/>
      <c r="F47" s="7"/>
      <c r="G47" s="7"/>
      <c r="H47" s="7"/>
      <c r="I47" s="7"/>
    </row>
    <row r="48" spans="1:11" x14ac:dyDescent="0.25">
      <c r="A48" s="117">
        <v>21000</v>
      </c>
      <c r="B48" s="4">
        <f t="shared" si="0"/>
        <v>1750</v>
      </c>
      <c r="C48" s="3"/>
      <c r="D48" s="7"/>
      <c r="E48" s="7"/>
      <c r="F48" s="7"/>
      <c r="G48" s="7"/>
      <c r="H48" s="7"/>
      <c r="I48" s="7"/>
    </row>
    <row r="49" spans="1:9" x14ac:dyDescent="0.25">
      <c r="A49" s="117">
        <v>21500</v>
      </c>
      <c r="B49" s="4">
        <f t="shared" si="0"/>
        <v>1791.6666666666667</v>
      </c>
      <c r="C49" s="3"/>
      <c r="D49" s="7"/>
      <c r="E49" s="7"/>
      <c r="F49" s="7"/>
      <c r="G49" s="7"/>
      <c r="H49" s="7"/>
      <c r="I49" s="7"/>
    </row>
    <row r="50" spans="1:9" x14ac:dyDescent="0.25">
      <c r="A50" s="29">
        <v>22000</v>
      </c>
      <c r="B50" s="4">
        <f t="shared" si="0"/>
        <v>1833.3333333333333</v>
      </c>
      <c r="C50" s="3"/>
      <c r="D50" s="7"/>
      <c r="E50" s="7"/>
      <c r="F50" s="7"/>
      <c r="G50" s="7"/>
      <c r="H50" s="7"/>
      <c r="I50" s="7"/>
    </row>
    <row r="51" spans="1:9" x14ac:dyDescent="0.25">
      <c r="A51" s="117">
        <v>22500</v>
      </c>
      <c r="B51" s="4">
        <f t="shared" si="0"/>
        <v>1875</v>
      </c>
      <c r="C51" s="3"/>
      <c r="D51" s="7"/>
      <c r="E51" s="7"/>
      <c r="F51" s="7"/>
      <c r="G51" s="7"/>
      <c r="H51" s="7"/>
      <c r="I51" s="7"/>
    </row>
    <row r="52" spans="1:9" x14ac:dyDescent="0.25">
      <c r="A52" s="117">
        <v>23000</v>
      </c>
      <c r="B52" s="4">
        <f t="shared" si="0"/>
        <v>1916.6666666666667</v>
      </c>
      <c r="C52" s="3"/>
      <c r="D52" s="7"/>
      <c r="E52" s="7"/>
      <c r="F52" s="7"/>
      <c r="G52" s="7"/>
      <c r="H52" s="7"/>
      <c r="I52" s="7"/>
    </row>
    <row r="53" spans="1:9" x14ac:dyDescent="0.25">
      <c r="A53" s="29">
        <v>23500</v>
      </c>
      <c r="B53" s="4">
        <f t="shared" si="0"/>
        <v>1958.3333333333333</v>
      </c>
      <c r="C53" s="3"/>
      <c r="D53" s="7"/>
      <c r="E53" s="7"/>
      <c r="F53" s="7"/>
      <c r="G53" s="7"/>
      <c r="H53" s="7"/>
      <c r="I53" s="7"/>
    </row>
    <row r="54" spans="1:9" x14ac:dyDescent="0.25">
      <c r="A54" s="117">
        <v>24000</v>
      </c>
      <c r="B54" s="4">
        <f t="shared" si="0"/>
        <v>2000</v>
      </c>
      <c r="C54" s="3"/>
      <c r="D54" s="7"/>
      <c r="E54" s="7"/>
      <c r="F54" s="7"/>
      <c r="G54" s="7"/>
      <c r="H54" s="7"/>
      <c r="I54" s="7"/>
    </row>
    <row r="55" spans="1:9" x14ac:dyDescent="0.25">
      <c r="A55" s="117">
        <v>24500</v>
      </c>
      <c r="B55" s="4">
        <f t="shared" si="0"/>
        <v>2041.6666666666667</v>
      </c>
      <c r="C55" s="3"/>
      <c r="D55" s="7"/>
      <c r="E55" s="7"/>
      <c r="F55" s="7"/>
      <c r="G55" s="7"/>
      <c r="H55" s="7"/>
      <c r="I55" s="7"/>
    </row>
    <row r="56" spans="1:9" x14ac:dyDescent="0.25">
      <c r="A56" s="29">
        <v>25000</v>
      </c>
      <c r="B56" s="4">
        <f t="shared" si="0"/>
        <v>2083.3333333333335</v>
      </c>
      <c r="C56" s="3"/>
      <c r="D56" s="7"/>
      <c r="E56" s="7"/>
      <c r="F56" s="7"/>
      <c r="G56" s="7"/>
      <c r="H56" s="7"/>
      <c r="I56" s="7"/>
    </row>
    <row r="57" spans="1:9" x14ac:dyDescent="0.25">
      <c r="A57" s="117">
        <v>25500</v>
      </c>
      <c r="B57" s="4">
        <f t="shared" si="0"/>
        <v>2125</v>
      </c>
      <c r="C57" s="3"/>
      <c r="D57" s="7"/>
      <c r="E57" s="7"/>
      <c r="F57" s="7"/>
      <c r="G57" s="7"/>
      <c r="H57" s="7"/>
      <c r="I57" s="7"/>
    </row>
    <row r="58" spans="1:9" x14ac:dyDescent="0.25">
      <c r="A58" s="117">
        <v>26000</v>
      </c>
      <c r="B58" s="4">
        <f t="shared" si="0"/>
        <v>2166.6666666666665</v>
      </c>
      <c r="C58" s="3"/>
      <c r="D58" s="7"/>
      <c r="E58" s="7"/>
      <c r="F58" s="7"/>
      <c r="G58" s="7"/>
      <c r="H58" s="7"/>
      <c r="I58" s="7"/>
    </row>
    <row r="59" spans="1:9" x14ac:dyDescent="0.25">
      <c r="A59" s="29">
        <v>26500</v>
      </c>
      <c r="B59" s="4">
        <f t="shared" si="0"/>
        <v>2208.3333333333335</v>
      </c>
      <c r="C59" s="3"/>
      <c r="D59" s="7"/>
      <c r="E59" s="7"/>
      <c r="F59" s="7"/>
      <c r="G59" s="7"/>
      <c r="H59" s="7"/>
      <c r="I59" s="7"/>
    </row>
    <row r="60" spans="1:9" x14ac:dyDescent="0.25">
      <c r="A60" s="117">
        <v>27000</v>
      </c>
      <c r="B60" s="4">
        <f t="shared" si="0"/>
        <v>2250</v>
      </c>
      <c r="C60" s="3"/>
      <c r="D60" s="7"/>
      <c r="E60" s="7"/>
      <c r="F60" s="7"/>
      <c r="G60" s="7"/>
      <c r="H60" s="7"/>
      <c r="I60" s="7"/>
    </row>
    <row r="61" spans="1:9" x14ac:dyDescent="0.25">
      <c r="A61" s="117">
        <v>27500</v>
      </c>
      <c r="B61" s="4">
        <f t="shared" si="0"/>
        <v>2291.6666666666665</v>
      </c>
      <c r="C61" s="3"/>
      <c r="D61" s="7"/>
      <c r="E61" s="7"/>
      <c r="F61" s="7"/>
      <c r="G61" s="7"/>
      <c r="H61" s="7"/>
      <c r="I61" s="7"/>
    </row>
    <row r="62" spans="1:9" x14ac:dyDescent="0.25">
      <c r="A62" s="29">
        <v>28000</v>
      </c>
      <c r="B62" s="4">
        <f t="shared" si="0"/>
        <v>2333.3333333333335</v>
      </c>
      <c r="C62" s="3"/>
      <c r="D62" s="7"/>
      <c r="E62" s="7"/>
      <c r="F62" s="7"/>
      <c r="G62" s="7"/>
      <c r="H62" s="7"/>
      <c r="I62" s="7"/>
    </row>
    <row r="63" spans="1:9" x14ac:dyDescent="0.25">
      <c r="A63" s="117">
        <v>28500</v>
      </c>
      <c r="B63" s="4">
        <f t="shared" si="0"/>
        <v>2375</v>
      </c>
      <c r="C63" s="3"/>
      <c r="D63" s="7"/>
      <c r="E63" s="7"/>
      <c r="F63" s="7"/>
      <c r="G63" s="7"/>
      <c r="H63" s="7"/>
      <c r="I63" s="7"/>
    </row>
    <row r="64" spans="1:9" x14ac:dyDescent="0.25">
      <c r="A64" s="117">
        <v>29000</v>
      </c>
      <c r="B64" s="4">
        <f t="shared" si="0"/>
        <v>2416.6666666666665</v>
      </c>
      <c r="C64" s="3"/>
      <c r="D64" s="7"/>
      <c r="E64" s="7"/>
      <c r="F64" s="7"/>
      <c r="G64" s="7"/>
      <c r="H64" s="7"/>
      <c r="I64" s="7"/>
    </row>
    <row r="65" spans="1:9" x14ac:dyDescent="0.25">
      <c r="A65" s="29">
        <v>29500</v>
      </c>
      <c r="B65" s="4">
        <f t="shared" si="0"/>
        <v>2458.3333333333335</v>
      </c>
      <c r="C65" s="3"/>
      <c r="D65" s="7"/>
      <c r="E65" s="7"/>
      <c r="F65" s="7"/>
      <c r="G65" s="7"/>
      <c r="H65" s="7"/>
      <c r="I65" s="7"/>
    </row>
    <row r="66" spans="1:9" x14ac:dyDescent="0.25">
      <c r="A66" s="117">
        <v>30000</v>
      </c>
      <c r="B66" s="4">
        <f t="shared" si="0"/>
        <v>2500</v>
      </c>
      <c r="C66" s="3"/>
      <c r="D66" s="7"/>
      <c r="E66" s="7"/>
      <c r="F66" s="7"/>
      <c r="G66" s="7"/>
      <c r="H66" s="7"/>
      <c r="I66" s="7"/>
    </row>
    <row r="67" spans="1:9" x14ac:dyDescent="0.25">
      <c r="A67" s="117">
        <v>30500</v>
      </c>
      <c r="B67" s="4">
        <f t="shared" si="0"/>
        <v>2541.6666666666665</v>
      </c>
      <c r="C67" s="3"/>
      <c r="D67" s="7"/>
      <c r="E67" s="7"/>
      <c r="F67" s="7"/>
      <c r="G67" s="7"/>
      <c r="H67" s="7"/>
      <c r="I67" s="7"/>
    </row>
    <row r="68" spans="1:9" x14ac:dyDescent="0.25">
      <c r="A68" s="29">
        <v>31000</v>
      </c>
      <c r="B68" s="4">
        <f t="shared" si="0"/>
        <v>2583.3333333333335</v>
      </c>
      <c r="C68" s="3"/>
      <c r="D68" s="7"/>
      <c r="E68" s="7"/>
      <c r="F68" s="7"/>
      <c r="G68" s="7"/>
      <c r="H68" s="7"/>
      <c r="I68" s="7"/>
    </row>
    <row r="69" spans="1:9" x14ac:dyDescent="0.25">
      <c r="A69" s="117">
        <v>31500</v>
      </c>
      <c r="B69" s="4">
        <f t="shared" si="0"/>
        <v>2625</v>
      </c>
      <c r="C69" s="3"/>
      <c r="D69" s="7"/>
      <c r="E69" s="7"/>
      <c r="F69" s="7"/>
      <c r="G69" s="7"/>
      <c r="H69" s="7"/>
      <c r="I69" s="7"/>
    </row>
    <row r="70" spans="1:9" x14ac:dyDescent="0.25">
      <c r="A70" s="117">
        <v>32000</v>
      </c>
      <c r="B70" s="4">
        <f t="shared" si="0"/>
        <v>2666.6666666666665</v>
      </c>
      <c r="C70" s="3"/>
      <c r="D70" s="7"/>
      <c r="E70" s="7"/>
      <c r="F70" s="7"/>
      <c r="G70" s="7"/>
      <c r="H70" s="7"/>
      <c r="I70" s="7"/>
    </row>
    <row r="71" spans="1:9" x14ac:dyDescent="0.25">
      <c r="A71" s="29">
        <v>32500</v>
      </c>
      <c r="B71" s="4">
        <f t="shared" si="0"/>
        <v>2708.3333333333335</v>
      </c>
      <c r="C71" s="3"/>
      <c r="D71" s="7"/>
      <c r="E71" s="7"/>
      <c r="F71" s="7"/>
      <c r="G71" s="7"/>
      <c r="H71" s="7"/>
      <c r="I71" s="7"/>
    </row>
    <row r="72" spans="1:9" x14ac:dyDescent="0.25">
      <c r="A72" s="117">
        <v>33000</v>
      </c>
      <c r="B72" s="4">
        <f t="shared" si="0"/>
        <v>2750</v>
      </c>
      <c r="C72" s="3"/>
      <c r="D72" s="7"/>
      <c r="E72" s="7"/>
      <c r="F72" s="7"/>
      <c r="G72" s="7"/>
      <c r="H72" s="7"/>
      <c r="I72" s="7"/>
    </row>
    <row r="73" spans="1:9" x14ac:dyDescent="0.25">
      <c r="A73" s="117">
        <v>33500</v>
      </c>
      <c r="B73" s="4">
        <f t="shared" ref="B73:B106" si="1">A73/12</f>
        <v>2791.6666666666665</v>
      </c>
      <c r="C73" s="3"/>
      <c r="D73" s="7"/>
      <c r="E73" s="7"/>
      <c r="F73" s="7"/>
      <c r="G73" s="7"/>
      <c r="H73" s="7"/>
      <c r="I73" s="7"/>
    </row>
    <row r="74" spans="1:9" x14ac:dyDescent="0.25">
      <c r="A74" s="29">
        <v>34000</v>
      </c>
      <c r="B74" s="4">
        <f t="shared" si="1"/>
        <v>2833.3333333333335</v>
      </c>
      <c r="C74" s="3"/>
      <c r="D74" s="7"/>
      <c r="E74" s="7"/>
      <c r="F74" s="7"/>
      <c r="G74" s="7"/>
      <c r="H74" s="7"/>
      <c r="I74" s="7"/>
    </row>
    <row r="75" spans="1:9" x14ac:dyDescent="0.25">
      <c r="A75" s="117">
        <v>34500</v>
      </c>
      <c r="B75" s="4">
        <f t="shared" si="1"/>
        <v>2875</v>
      </c>
      <c r="C75" s="3"/>
      <c r="D75" s="7"/>
      <c r="E75" s="7"/>
      <c r="F75" s="7"/>
      <c r="G75" s="7"/>
      <c r="H75" s="7"/>
      <c r="I75" s="7"/>
    </row>
    <row r="76" spans="1:9" x14ac:dyDescent="0.25">
      <c r="A76" s="117">
        <v>35000</v>
      </c>
      <c r="B76" s="4">
        <f t="shared" si="1"/>
        <v>2916.6666666666665</v>
      </c>
      <c r="C76" s="3"/>
      <c r="D76" s="7"/>
      <c r="E76" s="7"/>
      <c r="F76" s="7"/>
      <c r="G76" s="7"/>
      <c r="H76" s="7"/>
      <c r="I76" s="7"/>
    </row>
    <row r="77" spans="1:9" x14ac:dyDescent="0.25">
      <c r="A77" s="29">
        <v>35500</v>
      </c>
      <c r="B77" s="4">
        <f t="shared" si="1"/>
        <v>2958.3333333333335</v>
      </c>
      <c r="C77" s="3"/>
      <c r="D77" s="7"/>
      <c r="E77" s="7"/>
      <c r="F77" s="7"/>
      <c r="G77" s="7"/>
      <c r="H77" s="7"/>
      <c r="I77" s="7"/>
    </row>
    <row r="78" spans="1:9" x14ac:dyDescent="0.25">
      <c r="A78" s="117">
        <v>36000</v>
      </c>
      <c r="B78" s="4">
        <f t="shared" si="1"/>
        <v>3000</v>
      </c>
      <c r="C78" s="3"/>
      <c r="D78" s="7"/>
      <c r="E78" s="7"/>
      <c r="F78" s="7"/>
      <c r="G78" s="7"/>
      <c r="H78" s="7"/>
      <c r="I78" s="7"/>
    </row>
    <row r="79" spans="1:9" x14ac:dyDescent="0.25">
      <c r="A79" s="117">
        <v>36500</v>
      </c>
      <c r="B79" s="4">
        <f t="shared" si="1"/>
        <v>3041.6666666666665</v>
      </c>
      <c r="C79" s="3"/>
      <c r="D79" s="7"/>
      <c r="E79" s="7"/>
      <c r="F79" s="7"/>
      <c r="G79" s="7"/>
      <c r="H79" s="7"/>
      <c r="I79" s="7"/>
    </row>
    <row r="80" spans="1:9" x14ac:dyDescent="0.25">
      <c r="A80" s="29">
        <v>37000</v>
      </c>
      <c r="B80" s="4">
        <f t="shared" si="1"/>
        <v>3083.3333333333335</v>
      </c>
      <c r="C80" s="3"/>
      <c r="D80" s="7"/>
      <c r="E80" s="7"/>
      <c r="F80" s="7"/>
      <c r="G80" s="7"/>
      <c r="H80" s="7"/>
      <c r="I80" s="7"/>
    </row>
    <row r="81" spans="1:9" x14ac:dyDescent="0.25">
      <c r="A81" s="117">
        <v>37500</v>
      </c>
      <c r="B81" s="4">
        <f t="shared" si="1"/>
        <v>3125</v>
      </c>
      <c r="C81" s="3"/>
      <c r="D81" s="7"/>
      <c r="E81" s="7"/>
      <c r="F81" s="7"/>
      <c r="G81" s="7"/>
      <c r="H81" s="7"/>
      <c r="I81" s="7"/>
    </row>
    <row r="82" spans="1:9" x14ac:dyDescent="0.25">
      <c r="A82" s="117">
        <v>38000</v>
      </c>
      <c r="B82" s="4">
        <f t="shared" si="1"/>
        <v>3166.6666666666665</v>
      </c>
      <c r="C82" s="3"/>
      <c r="D82" s="7"/>
      <c r="E82" s="7"/>
      <c r="F82" s="7"/>
      <c r="G82" s="7"/>
      <c r="H82" s="7"/>
      <c r="I82" s="7"/>
    </row>
    <row r="83" spans="1:9" x14ac:dyDescent="0.25">
      <c r="A83" s="29">
        <v>38500</v>
      </c>
      <c r="B83" s="4">
        <f t="shared" si="1"/>
        <v>3208.3333333333335</v>
      </c>
      <c r="C83" s="3"/>
      <c r="D83" s="7"/>
      <c r="E83" s="7"/>
      <c r="F83" s="7"/>
      <c r="G83" s="7"/>
      <c r="H83" s="7"/>
      <c r="I83" s="7"/>
    </row>
    <row r="84" spans="1:9" x14ac:dyDescent="0.25">
      <c r="A84" s="117">
        <v>39000</v>
      </c>
      <c r="B84" s="4">
        <f t="shared" si="1"/>
        <v>3250</v>
      </c>
      <c r="C84" s="3"/>
      <c r="D84" s="7"/>
      <c r="E84" s="7"/>
      <c r="F84" s="7"/>
      <c r="G84" s="7"/>
      <c r="H84" s="7"/>
      <c r="I84" s="7"/>
    </row>
    <row r="85" spans="1:9" x14ac:dyDescent="0.25">
      <c r="A85" s="117">
        <v>39500</v>
      </c>
      <c r="B85" s="4">
        <f t="shared" si="1"/>
        <v>3291.6666666666665</v>
      </c>
      <c r="C85" s="3"/>
      <c r="D85" s="7"/>
      <c r="E85" s="7"/>
      <c r="F85" s="7"/>
      <c r="G85" s="7"/>
      <c r="H85" s="7"/>
      <c r="I85" s="7"/>
    </row>
    <row r="86" spans="1:9" x14ac:dyDescent="0.25">
      <c r="A86" s="29">
        <v>40000</v>
      </c>
      <c r="B86" s="4">
        <f t="shared" si="1"/>
        <v>3333.3333333333335</v>
      </c>
      <c r="C86" s="3"/>
      <c r="D86" s="7"/>
      <c r="E86" s="7"/>
      <c r="F86" s="7"/>
      <c r="G86" s="7"/>
      <c r="H86" s="7"/>
      <c r="I86" s="7"/>
    </row>
    <row r="87" spans="1:9" x14ac:dyDescent="0.25">
      <c r="A87" s="117">
        <v>40500</v>
      </c>
      <c r="B87" s="4">
        <f t="shared" si="1"/>
        <v>3375</v>
      </c>
      <c r="C87" s="3"/>
      <c r="D87" s="7"/>
      <c r="E87" s="7"/>
      <c r="F87" s="7"/>
      <c r="G87" s="7"/>
      <c r="H87" s="7"/>
      <c r="I87" s="7"/>
    </row>
    <row r="88" spans="1:9" x14ac:dyDescent="0.25">
      <c r="A88" s="117">
        <v>41000</v>
      </c>
      <c r="B88" s="4">
        <f t="shared" si="1"/>
        <v>3416.6666666666665</v>
      </c>
      <c r="C88" s="3"/>
      <c r="D88" s="7"/>
      <c r="E88" s="7"/>
      <c r="F88" s="7"/>
      <c r="G88" s="7"/>
      <c r="H88" s="7"/>
      <c r="I88" s="7"/>
    </row>
    <row r="89" spans="1:9" x14ac:dyDescent="0.25">
      <c r="A89" s="29">
        <v>41500</v>
      </c>
      <c r="B89" s="4">
        <f t="shared" si="1"/>
        <v>3458.3333333333335</v>
      </c>
      <c r="C89" s="3"/>
      <c r="D89" s="7"/>
      <c r="E89" s="7"/>
      <c r="F89" s="7"/>
      <c r="G89" s="7"/>
      <c r="H89" s="7"/>
      <c r="I89" s="7"/>
    </row>
    <row r="90" spans="1:9" x14ac:dyDescent="0.25">
      <c r="A90" s="117">
        <v>42000</v>
      </c>
      <c r="B90" s="4">
        <f t="shared" si="1"/>
        <v>3500</v>
      </c>
      <c r="C90" s="3"/>
      <c r="D90" s="7"/>
      <c r="E90" s="7"/>
      <c r="F90" s="7"/>
      <c r="G90" s="7"/>
      <c r="H90" s="7"/>
      <c r="I90" s="7"/>
    </row>
    <row r="91" spans="1:9" x14ac:dyDescent="0.25">
      <c r="A91" s="117">
        <v>42500</v>
      </c>
      <c r="B91" s="4">
        <f t="shared" si="1"/>
        <v>3541.6666666666665</v>
      </c>
      <c r="C91" s="3"/>
      <c r="D91" s="7"/>
      <c r="E91" s="7"/>
      <c r="F91" s="7"/>
      <c r="G91" s="7"/>
      <c r="H91" s="7"/>
      <c r="I91" s="7"/>
    </row>
    <row r="92" spans="1:9" x14ac:dyDescent="0.25">
      <c r="A92" s="29">
        <v>43000</v>
      </c>
      <c r="B92" s="4">
        <f t="shared" si="1"/>
        <v>3583.3333333333335</v>
      </c>
      <c r="C92" s="3"/>
      <c r="D92" s="7"/>
      <c r="E92" s="7"/>
      <c r="F92" s="7"/>
      <c r="G92" s="7"/>
      <c r="H92" s="7"/>
      <c r="I92" s="7"/>
    </row>
    <row r="93" spans="1:9" x14ac:dyDescent="0.25">
      <c r="A93" s="117">
        <v>43500</v>
      </c>
      <c r="B93" s="4">
        <f t="shared" si="1"/>
        <v>3625</v>
      </c>
      <c r="C93" s="3"/>
      <c r="D93" s="7"/>
      <c r="E93" s="7"/>
      <c r="F93" s="7"/>
      <c r="G93" s="7"/>
      <c r="H93" s="7"/>
      <c r="I93" s="7"/>
    </row>
    <row r="94" spans="1:9" x14ac:dyDescent="0.25">
      <c r="A94" s="117">
        <v>44000</v>
      </c>
      <c r="B94" s="4">
        <f t="shared" si="1"/>
        <v>3666.6666666666665</v>
      </c>
      <c r="C94" s="3"/>
      <c r="D94" s="7"/>
      <c r="E94" s="7"/>
      <c r="F94" s="7"/>
      <c r="G94" s="7"/>
      <c r="H94" s="7"/>
      <c r="I94" s="7"/>
    </row>
    <row r="95" spans="1:9" x14ac:dyDescent="0.25">
      <c r="A95" s="29">
        <v>44500</v>
      </c>
      <c r="B95" s="4">
        <f t="shared" si="1"/>
        <v>3708.3333333333335</v>
      </c>
      <c r="C95" s="3"/>
      <c r="D95" s="7"/>
      <c r="E95" s="7"/>
      <c r="F95" s="7"/>
      <c r="G95" s="7"/>
      <c r="H95" s="7"/>
      <c r="I95" s="7"/>
    </row>
    <row r="96" spans="1:9" x14ac:dyDescent="0.25">
      <c r="A96" s="117">
        <v>45000</v>
      </c>
      <c r="B96" s="4">
        <f t="shared" si="1"/>
        <v>3750</v>
      </c>
      <c r="C96" s="3"/>
      <c r="D96" s="7"/>
      <c r="E96" s="7"/>
      <c r="F96" s="7"/>
      <c r="G96" s="7"/>
      <c r="H96" s="7"/>
      <c r="I96" s="7"/>
    </row>
    <row r="97" spans="1:9" x14ac:dyDescent="0.25">
      <c r="A97" s="117">
        <v>45500</v>
      </c>
      <c r="B97" s="4">
        <f t="shared" si="1"/>
        <v>3791.6666666666665</v>
      </c>
      <c r="C97" s="3"/>
      <c r="D97" s="7"/>
      <c r="E97" s="7"/>
      <c r="F97" s="7"/>
      <c r="G97" s="7"/>
      <c r="H97" s="7"/>
      <c r="I97" s="7"/>
    </row>
    <row r="98" spans="1:9" x14ac:dyDescent="0.25">
      <c r="A98" s="29">
        <v>46000</v>
      </c>
      <c r="B98" s="4">
        <f>A98/12</f>
        <v>3833.3333333333335</v>
      </c>
      <c r="C98" s="3"/>
      <c r="D98" s="7"/>
      <c r="E98" s="7"/>
      <c r="F98" s="7"/>
      <c r="G98" s="7"/>
      <c r="H98" s="7"/>
      <c r="I98" s="7"/>
    </row>
    <row r="99" spans="1:9" x14ac:dyDescent="0.25">
      <c r="A99" s="117">
        <v>46500</v>
      </c>
      <c r="B99" s="4">
        <f t="shared" si="1"/>
        <v>3875</v>
      </c>
      <c r="C99" s="3"/>
      <c r="D99" s="7"/>
      <c r="E99" s="7"/>
      <c r="F99" s="7"/>
      <c r="G99" s="7"/>
      <c r="H99" s="7"/>
      <c r="I99" s="7"/>
    </row>
    <row r="100" spans="1:9" x14ac:dyDescent="0.25">
      <c r="A100" s="117">
        <v>47000</v>
      </c>
      <c r="B100" s="4">
        <f t="shared" si="1"/>
        <v>3916.6666666666665</v>
      </c>
      <c r="C100" s="3"/>
      <c r="D100" s="7"/>
      <c r="E100" s="7"/>
      <c r="F100" s="7"/>
      <c r="G100" s="7"/>
      <c r="H100" s="7"/>
      <c r="I100" s="7"/>
    </row>
    <row r="101" spans="1:9" x14ac:dyDescent="0.25">
      <c r="A101" s="29">
        <v>47500</v>
      </c>
      <c r="B101" s="4">
        <f t="shared" si="1"/>
        <v>3958.3333333333335</v>
      </c>
      <c r="C101" s="3"/>
      <c r="D101" s="7"/>
      <c r="E101" s="7"/>
      <c r="F101" s="7"/>
      <c r="G101" s="7"/>
      <c r="H101" s="7"/>
      <c r="I101" s="7"/>
    </row>
    <row r="102" spans="1:9" x14ac:dyDescent="0.25">
      <c r="A102" s="117">
        <v>48000</v>
      </c>
      <c r="B102" s="4">
        <f t="shared" si="1"/>
        <v>4000</v>
      </c>
      <c r="C102" s="3"/>
      <c r="D102" s="7"/>
      <c r="E102" s="7"/>
      <c r="F102" s="7"/>
      <c r="G102" s="7"/>
      <c r="H102" s="7"/>
      <c r="I102" s="7"/>
    </row>
    <row r="103" spans="1:9" x14ac:dyDescent="0.25">
      <c r="A103" s="117">
        <v>48500</v>
      </c>
      <c r="B103" s="4">
        <f t="shared" si="1"/>
        <v>4041.6666666666665</v>
      </c>
      <c r="C103" s="3"/>
      <c r="D103" s="7"/>
      <c r="E103" s="7"/>
      <c r="F103" s="7"/>
      <c r="G103" s="7"/>
      <c r="H103" s="7"/>
      <c r="I103" s="7"/>
    </row>
    <row r="104" spans="1:9" x14ac:dyDescent="0.25">
      <c r="A104" s="29">
        <v>49000</v>
      </c>
      <c r="B104" s="4">
        <f t="shared" si="1"/>
        <v>4083.3333333333335</v>
      </c>
      <c r="C104" s="3"/>
      <c r="D104" s="7"/>
      <c r="E104" s="7"/>
      <c r="F104" s="7"/>
      <c r="G104" s="7"/>
      <c r="H104" s="7"/>
      <c r="I104" s="7"/>
    </row>
    <row r="105" spans="1:9" x14ac:dyDescent="0.25">
      <c r="A105" s="117">
        <v>49500</v>
      </c>
      <c r="B105" s="4">
        <f t="shared" si="1"/>
        <v>4125</v>
      </c>
      <c r="C105" s="3"/>
      <c r="D105" s="7"/>
      <c r="E105" s="7"/>
      <c r="F105" s="7"/>
      <c r="G105" s="7"/>
      <c r="H105" s="7"/>
      <c r="I105" s="7"/>
    </row>
    <row r="106" spans="1:9" x14ac:dyDescent="0.25">
      <c r="A106" s="117">
        <v>50000</v>
      </c>
      <c r="B106" s="4">
        <f t="shared" si="1"/>
        <v>4166.666666666667</v>
      </c>
      <c r="C106" s="3"/>
      <c r="D106" s="7"/>
      <c r="E106" s="7"/>
      <c r="F106" s="7"/>
      <c r="G106" s="7"/>
      <c r="H106" s="7"/>
      <c r="I106" s="7"/>
    </row>
    <row r="107" spans="1:9" x14ac:dyDescent="0.25">
      <c r="A107" s="29">
        <v>50500</v>
      </c>
      <c r="B107" s="4">
        <f>A107/12</f>
        <v>4208.333333333333</v>
      </c>
      <c r="C107" s="3"/>
      <c r="D107" s="7"/>
      <c r="E107" s="7"/>
      <c r="F107" s="7"/>
      <c r="G107" s="7"/>
      <c r="H107" s="7"/>
      <c r="I107" s="7"/>
    </row>
    <row r="108" spans="1:9" x14ac:dyDescent="0.25">
      <c r="A108" s="117">
        <v>51000</v>
      </c>
      <c r="B108" s="4">
        <f t="shared" ref="B108:B171" si="2">A108/12</f>
        <v>4250</v>
      </c>
      <c r="C108" s="3"/>
      <c r="D108" s="7"/>
      <c r="E108" s="7"/>
      <c r="F108" s="7"/>
      <c r="G108" s="7"/>
      <c r="H108" s="7"/>
      <c r="I108" s="7"/>
    </row>
    <row r="109" spans="1:9" x14ac:dyDescent="0.25">
      <c r="A109" s="117">
        <v>51500</v>
      </c>
      <c r="B109" s="4">
        <f t="shared" si="2"/>
        <v>4291.666666666667</v>
      </c>
      <c r="C109" s="3"/>
      <c r="D109" s="7"/>
      <c r="E109" s="7"/>
      <c r="F109" s="7"/>
      <c r="G109" s="7"/>
      <c r="H109" s="7"/>
      <c r="I109" s="7"/>
    </row>
    <row r="110" spans="1:9" x14ac:dyDescent="0.25">
      <c r="A110" s="29">
        <v>52000</v>
      </c>
      <c r="B110" s="4">
        <f t="shared" si="2"/>
        <v>4333.333333333333</v>
      </c>
      <c r="C110" s="3"/>
      <c r="D110" s="7"/>
      <c r="E110" s="7"/>
      <c r="F110" s="7"/>
      <c r="G110" s="7"/>
      <c r="H110" s="7"/>
      <c r="I110" s="7"/>
    </row>
    <row r="111" spans="1:9" x14ac:dyDescent="0.25">
      <c r="A111" s="117">
        <v>52500</v>
      </c>
      <c r="B111" s="4">
        <f t="shared" si="2"/>
        <v>4375</v>
      </c>
      <c r="C111" s="3"/>
      <c r="D111" s="7"/>
      <c r="E111" s="7"/>
      <c r="F111" s="7"/>
      <c r="G111" s="7"/>
      <c r="H111" s="7"/>
      <c r="I111" s="7"/>
    </row>
    <row r="112" spans="1:9" x14ac:dyDescent="0.25">
      <c r="A112" s="117">
        <v>53000</v>
      </c>
      <c r="B112" s="4">
        <f t="shared" si="2"/>
        <v>4416.666666666667</v>
      </c>
      <c r="C112" s="3"/>
      <c r="D112" s="7"/>
      <c r="E112" s="7"/>
      <c r="F112" s="7"/>
      <c r="G112" s="7"/>
      <c r="H112" s="7"/>
      <c r="I112" s="7"/>
    </row>
    <row r="113" spans="1:9" x14ac:dyDescent="0.25">
      <c r="A113" s="29">
        <v>53500</v>
      </c>
      <c r="B113" s="4">
        <f t="shared" si="2"/>
        <v>4458.333333333333</v>
      </c>
      <c r="C113" s="3"/>
      <c r="D113" s="7"/>
      <c r="E113" s="7"/>
      <c r="F113" s="7"/>
      <c r="G113" s="7"/>
      <c r="H113" s="7"/>
      <c r="I113" s="7"/>
    </row>
    <row r="114" spans="1:9" x14ac:dyDescent="0.25">
      <c r="A114" s="117">
        <v>54000</v>
      </c>
      <c r="B114" s="4">
        <f t="shared" si="2"/>
        <v>4500</v>
      </c>
      <c r="C114" s="3"/>
      <c r="D114" s="7"/>
      <c r="E114" s="7"/>
      <c r="F114" s="7"/>
      <c r="G114" s="7"/>
      <c r="H114" s="7"/>
      <c r="I114" s="7"/>
    </row>
    <row r="115" spans="1:9" x14ac:dyDescent="0.25">
      <c r="A115" s="117">
        <v>54500</v>
      </c>
      <c r="B115" s="4">
        <f t="shared" si="2"/>
        <v>4541.666666666667</v>
      </c>
      <c r="C115" s="3"/>
      <c r="D115" s="7"/>
      <c r="E115" s="7"/>
      <c r="F115" s="7"/>
      <c r="G115" s="7"/>
      <c r="H115" s="7"/>
      <c r="I115" s="7"/>
    </row>
    <row r="116" spans="1:9" x14ac:dyDescent="0.25">
      <c r="A116" s="29">
        <v>55000</v>
      </c>
      <c r="B116" s="4">
        <f t="shared" si="2"/>
        <v>4583.333333333333</v>
      </c>
      <c r="C116" s="3"/>
      <c r="D116" s="7"/>
      <c r="E116" s="7"/>
      <c r="F116" s="7"/>
      <c r="G116" s="7"/>
      <c r="H116" s="7"/>
      <c r="I116" s="7"/>
    </row>
    <row r="117" spans="1:9" x14ac:dyDescent="0.25">
      <c r="A117" s="117">
        <v>55500</v>
      </c>
      <c r="B117" s="4">
        <f t="shared" si="2"/>
        <v>4625</v>
      </c>
      <c r="C117" s="3"/>
      <c r="D117" s="7"/>
      <c r="E117" s="7"/>
      <c r="F117" s="7"/>
      <c r="G117" s="7"/>
      <c r="H117" s="7"/>
      <c r="I117" s="7"/>
    </row>
    <row r="118" spans="1:9" x14ac:dyDescent="0.25">
      <c r="A118" s="117">
        <v>56000</v>
      </c>
      <c r="B118" s="4">
        <f t="shared" si="2"/>
        <v>4666.666666666667</v>
      </c>
      <c r="C118" s="3"/>
      <c r="D118" s="7"/>
      <c r="E118" s="7"/>
      <c r="F118" s="7"/>
      <c r="G118" s="7"/>
      <c r="H118" s="7"/>
      <c r="I118" s="7"/>
    </row>
    <row r="119" spans="1:9" x14ac:dyDescent="0.25">
      <c r="A119" s="29">
        <v>56500</v>
      </c>
      <c r="B119" s="4">
        <f t="shared" si="2"/>
        <v>4708.333333333333</v>
      </c>
      <c r="C119" s="3"/>
      <c r="D119" s="7"/>
      <c r="E119" s="7"/>
      <c r="F119" s="7"/>
      <c r="G119" s="7"/>
      <c r="H119" s="7"/>
      <c r="I119" s="7"/>
    </row>
    <row r="120" spans="1:9" x14ac:dyDescent="0.25">
      <c r="A120" s="117">
        <v>57000</v>
      </c>
      <c r="B120" s="4">
        <f t="shared" si="2"/>
        <v>4750</v>
      </c>
      <c r="C120" s="3"/>
      <c r="D120" s="7"/>
      <c r="E120" s="7"/>
      <c r="F120" s="7"/>
      <c r="G120" s="7"/>
      <c r="H120" s="7"/>
      <c r="I120" s="7"/>
    </row>
    <row r="121" spans="1:9" x14ac:dyDescent="0.25">
      <c r="A121" s="117">
        <v>57500</v>
      </c>
      <c r="B121" s="4">
        <f t="shared" si="2"/>
        <v>4791.666666666667</v>
      </c>
      <c r="C121" s="3"/>
      <c r="D121" s="7"/>
      <c r="E121" s="7"/>
      <c r="F121" s="7"/>
      <c r="G121" s="7"/>
      <c r="H121" s="7"/>
      <c r="I121" s="7"/>
    </row>
    <row r="122" spans="1:9" x14ac:dyDescent="0.25">
      <c r="A122" s="29">
        <v>58000</v>
      </c>
      <c r="B122" s="4">
        <f t="shared" si="2"/>
        <v>4833.333333333333</v>
      </c>
      <c r="C122" s="3"/>
      <c r="D122" s="7"/>
      <c r="E122" s="7"/>
      <c r="F122" s="7"/>
      <c r="G122" s="7"/>
      <c r="H122" s="7"/>
      <c r="I122" s="7"/>
    </row>
    <row r="123" spans="1:9" x14ac:dyDescent="0.25">
      <c r="A123" s="117">
        <v>58500</v>
      </c>
      <c r="B123" s="4">
        <f t="shared" si="2"/>
        <v>4875</v>
      </c>
      <c r="C123" s="3"/>
      <c r="D123" s="7"/>
      <c r="E123" s="7"/>
      <c r="F123" s="7"/>
      <c r="G123" s="7"/>
      <c r="H123" s="7"/>
      <c r="I123" s="7"/>
    </row>
    <row r="124" spans="1:9" x14ac:dyDescent="0.25">
      <c r="A124" s="117">
        <v>59000</v>
      </c>
      <c r="B124" s="4">
        <f t="shared" si="2"/>
        <v>4916.666666666667</v>
      </c>
      <c r="C124" s="3"/>
      <c r="D124" s="7"/>
      <c r="E124" s="7"/>
      <c r="F124" s="7"/>
      <c r="G124" s="7"/>
      <c r="H124" s="7"/>
      <c r="I124" s="7"/>
    </row>
    <row r="125" spans="1:9" x14ac:dyDescent="0.25">
      <c r="A125" s="29">
        <v>59500</v>
      </c>
      <c r="B125" s="4">
        <f t="shared" si="2"/>
        <v>4958.333333333333</v>
      </c>
      <c r="C125" s="3"/>
      <c r="D125" s="7"/>
      <c r="E125" s="7"/>
      <c r="F125" s="7"/>
      <c r="G125" s="7"/>
      <c r="H125" s="7"/>
      <c r="I125" s="7"/>
    </row>
    <row r="126" spans="1:9" x14ac:dyDescent="0.25">
      <c r="A126" s="117">
        <v>60000</v>
      </c>
      <c r="B126" s="4">
        <f t="shared" si="2"/>
        <v>5000</v>
      </c>
      <c r="C126" s="3"/>
      <c r="D126" s="7"/>
      <c r="E126" s="7"/>
      <c r="F126" s="7"/>
      <c r="G126" s="7"/>
      <c r="H126" s="7"/>
      <c r="I126" s="7"/>
    </row>
    <row r="127" spans="1:9" x14ac:dyDescent="0.25">
      <c r="A127" s="117">
        <v>60500</v>
      </c>
      <c r="B127" s="4">
        <f t="shared" si="2"/>
        <v>5041.666666666667</v>
      </c>
      <c r="C127" s="3"/>
      <c r="D127" s="7"/>
      <c r="E127" s="7"/>
      <c r="F127" s="7"/>
      <c r="G127" s="7"/>
      <c r="H127" s="7"/>
      <c r="I127" s="7"/>
    </row>
    <row r="128" spans="1:9" x14ac:dyDescent="0.25">
      <c r="A128" s="29">
        <v>61000</v>
      </c>
      <c r="B128" s="4">
        <f t="shared" si="2"/>
        <v>5083.333333333333</v>
      </c>
      <c r="C128" s="3"/>
      <c r="D128" s="7"/>
      <c r="E128" s="7"/>
      <c r="F128" s="7"/>
      <c r="G128" s="7"/>
      <c r="H128" s="7"/>
      <c r="I128" s="7"/>
    </row>
    <row r="129" spans="1:9" x14ac:dyDescent="0.25">
      <c r="A129" s="117">
        <v>61500</v>
      </c>
      <c r="B129" s="4">
        <f t="shared" si="2"/>
        <v>5125</v>
      </c>
      <c r="C129" s="3"/>
      <c r="D129" s="7"/>
      <c r="E129" s="7"/>
      <c r="F129" s="7"/>
      <c r="G129" s="7"/>
      <c r="H129" s="7"/>
      <c r="I129" s="7"/>
    </row>
    <row r="130" spans="1:9" x14ac:dyDescent="0.25">
      <c r="A130" s="117">
        <v>62000</v>
      </c>
      <c r="B130" s="4">
        <f t="shared" si="2"/>
        <v>5166.666666666667</v>
      </c>
      <c r="C130" s="3"/>
      <c r="D130" s="7"/>
      <c r="E130" s="7"/>
      <c r="F130" s="7"/>
      <c r="G130" s="7"/>
      <c r="H130" s="7"/>
      <c r="I130" s="7"/>
    </row>
    <row r="131" spans="1:9" x14ac:dyDescent="0.25">
      <c r="A131" s="29">
        <v>62500</v>
      </c>
      <c r="B131" s="4">
        <f t="shared" si="2"/>
        <v>5208.333333333333</v>
      </c>
      <c r="C131" s="3"/>
      <c r="D131" s="7"/>
      <c r="E131" s="7"/>
      <c r="F131" s="7"/>
      <c r="G131" s="7"/>
      <c r="H131" s="7"/>
      <c r="I131" s="7"/>
    </row>
    <row r="132" spans="1:9" x14ac:dyDescent="0.25">
      <c r="A132" s="117">
        <v>63000</v>
      </c>
      <c r="B132" s="4">
        <f t="shared" si="2"/>
        <v>5250</v>
      </c>
      <c r="C132" s="3"/>
      <c r="D132" s="7"/>
      <c r="E132" s="7"/>
      <c r="F132" s="7"/>
      <c r="G132" s="7"/>
      <c r="H132" s="7"/>
      <c r="I132" s="7"/>
    </row>
    <row r="133" spans="1:9" x14ac:dyDescent="0.25">
      <c r="A133" s="117">
        <v>63500</v>
      </c>
      <c r="B133" s="4">
        <f t="shared" si="2"/>
        <v>5291.666666666667</v>
      </c>
      <c r="C133" s="3"/>
      <c r="D133" s="7"/>
      <c r="E133" s="7"/>
      <c r="F133" s="7"/>
      <c r="G133" s="7"/>
      <c r="H133" s="7"/>
      <c r="I133" s="7"/>
    </row>
    <row r="134" spans="1:9" x14ac:dyDescent="0.25">
      <c r="A134" s="29">
        <v>64000</v>
      </c>
      <c r="B134" s="4">
        <f t="shared" si="2"/>
        <v>5333.333333333333</v>
      </c>
      <c r="C134" s="3"/>
      <c r="D134" s="7"/>
      <c r="E134" s="7"/>
      <c r="F134" s="7"/>
      <c r="G134" s="7"/>
      <c r="H134" s="7"/>
      <c r="I134" s="7"/>
    </row>
    <row r="135" spans="1:9" x14ac:dyDescent="0.25">
      <c r="A135" s="117">
        <v>64500</v>
      </c>
      <c r="B135" s="4">
        <f t="shared" si="2"/>
        <v>5375</v>
      </c>
      <c r="C135" s="3"/>
      <c r="D135" s="7"/>
      <c r="E135" s="7"/>
      <c r="F135" s="7"/>
      <c r="G135" s="7"/>
      <c r="H135" s="7"/>
      <c r="I135" s="7"/>
    </row>
    <row r="136" spans="1:9" x14ac:dyDescent="0.25">
      <c r="A136" s="117">
        <v>65000</v>
      </c>
      <c r="B136" s="4">
        <f t="shared" si="2"/>
        <v>5416.666666666667</v>
      </c>
      <c r="C136" s="3"/>
      <c r="D136" s="7"/>
      <c r="E136" s="7"/>
      <c r="F136" s="7"/>
      <c r="G136" s="7"/>
      <c r="H136" s="7"/>
      <c r="I136" s="7"/>
    </row>
    <row r="137" spans="1:9" x14ac:dyDescent="0.25">
      <c r="A137" s="29">
        <v>65500</v>
      </c>
      <c r="B137" s="4">
        <f t="shared" si="2"/>
        <v>5458.333333333333</v>
      </c>
      <c r="C137" s="3"/>
      <c r="D137" s="7"/>
      <c r="E137" s="7"/>
      <c r="F137" s="7"/>
      <c r="G137" s="7"/>
      <c r="H137" s="7"/>
      <c r="I137" s="7"/>
    </row>
    <row r="138" spans="1:9" x14ac:dyDescent="0.25">
      <c r="A138" s="117">
        <v>66000</v>
      </c>
      <c r="B138" s="4">
        <f t="shared" si="2"/>
        <v>5500</v>
      </c>
      <c r="C138" s="3"/>
      <c r="D138" s="7"/>
      <c r="E138" s="7"/>
      <c r="F138" s="7"/>
      <c r="G138" s="7"/>
      <c r="H138" s="7"/>
      <c r="I138" s="7"/>
    </row>
    <row r="139" spans="1:9" x14ac:dyDescent="0.25">
      <c r="A139" s="117">
        <v>66500</v>
      </c>
      <c r="B139" s="4">
        <f t="shared" si="2"/>
        <v>5541.666666666667</v>
      </c>
      <c r="C139" s="3"/>
      <c r="D139" s="7"/>
      <c r="E139" s="7"/>
      <c r="F139" s="7"/>
      <c r="G139" s="7"/>
      <c r="H139" s="7"/>
      <c r="I139" s="7"/>
    </row>
    <row r="140" spans="1:9" x14ac:dyDescent="0.25">
      <c r="A140" s="29">
        <v>67000</v>
      </c>
      <c r="B140" s="4">
        <f t="shared" si="2"/>
        <v>5583.333333333333</v>
      </c>
      <c r="C140" s="3"/>
      <c r="D140" s="7"/>
      <c r="E140" s="7"/>
      <c r="F140" s="7"/>
      <c r="G140" s="7"/>
      <c r="H140" s="7"/>
      <c r="I140" s="7"/>
    </row>
    <row r="141" spans="1:9" x14ac:dyDescent="0.25">
      <c r="A141" s="117">
        <v>67500</v>
      </c>
      <c r="B141" s="4">
        <f t="shared" si="2"/>
        <v>5625</v>
      </c>
      <c r="C141" s="3"/>
      <c r="D141" s="7"/>
      <c r="E141" s="7"/>
      <c r="F141" s="7"/>
      <c r="G141" s="7"/>
      <c r="H141" s="7"/>
      <c r="I141" s="7"/>
    </row>
    <row r="142" spans="1:9" x14ac:dyDescent="0.25">
      <c r="A142" s="117">
        <v>68000</v>
      </c>
      <c r="B142" s="4">
        <f t="shared" si="2"/>
        <v>5666.666666666667</v>
      </c>
      <c r="C142" s="3"/>
      <c r="D142" s="7"/>
      <c r="E142" s="7"/>
      <c r="F142" s="7"/>
      <c r="G142" s="7"/>
      <c r="H142" s="7"/>
      <c r="I142" s="7"/>
    </row>
    <row r="143" spans="1:9" x14ac:dyDescent="0.25">
      <c r="A143" s="29">
        <v>68500</v>
      </c>
      <c r="B143" s="4">
        <f t="shared" si="2"/>
        <v>5708.333333333333</v>
      </c>
      <c r="C143" s="3"/>
      <c r="D143" s="7"/>
      <c r="E143" s="7"/>
      <c r="F143" s="7"/>
      <c r="G143" s="7"/>
      <c r="H143" s="7"/>
      <c r="I143" s="7"/>
    </row>
    <row r="144" spans="1:9" x14ac:dyDescent="0.25">
      <c r="A144" s="117">
        <v>69000</v>
      </c>
      <c r="B144" s="4">
        <f t="shared" si="2"/>
        <v>5750</v>
      </c>
      <c r="C144" s="3"/>
      <c r="D144" s="7"/>
      <c r="E144" s="7"/>
      <c r="F144" s="7"/>
      <c r="G144" s="7"/>
      <c r="H144" s="7"/>
      <c r="I144" s="7"/>
    </row>
    <row r="145" spans="1:9" x14ac:dyDescent="0.25">
      <c r="A145" s="117">
        <v>69500</v>
      </c>
      <c r="B145" s="4">
        <f t="shared" si="2"/>
        <v>5791.666666666667</v>
      </c>
      <c r="C145" s="3"/>
      <c r="D145" s="7"/>
      <c r="E145" s="7"/>
      <c r="F145" s="7"/>
      <c r="G145" s="7"/>
      <c r="H145" s="7"/>
      <c r="I145" s="7"/>
    </row>
    <row r="146" spans="1:9" x14ac:dyDescent="0.25">
      <c r="A146" s="29">
        <v>70000</v>
      </c>
      <c r="B146" s="4">
        <f t="shared" si="2"/>
        <v>5833.333333333333</v>
      </c>
      <c r="C146" s="3"/>
      <c r="D146" s="7"/>
      <c r="E146" s="7"/>
      <c r="F146" s="7"/>
      <c r="G146" s="7"/>
      <c r="H146" s="7"/>
      <c r="I146" s="7"/>
    </row>
    <row r="147" spans="1:9" x14ac:dyDescent="0.25">
      <c r="A147" s="117">
        <v>70500</v>
      </c>
      <c r="B147" s="4">
        <f t="shared" si="2"/>
        <v>5875</v>
      </c>
      <c r="C147" s="3"/>
      <c r="D147" s="7"/>
      <c r="E147" s="7"/>
      <c r="F147" s="7"/>
      <c r="G147" s="7"/>
      <c r="H147" s="7"/>
      <c r="I147" s="7"/>
    </row>
    <row r="148" spans="1:9" x14ac:dyDescent="0.25">
      <c r="A148" s="117">
        <v>71000</v>
      </c>
      <c r="B148" s="4">
        <f t="shared" si="2"/>
        <v>5916.666666666667</v>
      </c>
      <c r="C148" s="3"/>
      <c r="D148" s="7"/>
      <c r="E148" s="7"/>
      <c r="F148" s="7"/>
      <c r="G148" s="7"/>
      <c r="H148" s="7"/>
      <c r="I148" s="7"/>
    </row>
    <row r="149" spans="1:9" x14ac:dyDescent="0.25">
      <c r="A149" s="29">
        <v>71500</v>
      </c>
      <c r="B149" s="4">
        <f t="shared" si="2"/>
        <v>5958.333333333333</v>
      </c>
      <c r="C149" s="3"/>
      <c r="D149" s="7"/>
      <c r="E149" s="7"/>
      <c r="F149" s="7"/>
      <c r="G149" s="7"/>
      <c r="H149" s="7"/>
      <c r="I149" s="7"/>
    </row>
    <row r="150" spans="1:9" x14ac:dyDescent="0.25">
      <c r="A150" s="117">
        <v>72000</v>
      </c>
      <c r="B150" s="4">
        <f t="shared" si="2"/>
        <v>6000</v>
      </c>
      <c r="C150" s="3"/>
      <c r="D150" s="7"/>
      <c r="E150" s="7"/>
      <c r="F150" s="7"/>
      <c r="G150" s="7"/>
      <c r="H150" s="7"/>
      <c r="I150" s="7"/>
    </row>
    <row r="151" spans="1:9" x14ac:dyDescent="0.25">
      <c r="A151" s="117">
        <v>72500</v>
      </c>
      <c r="B151" s="4">
        <f t="shared" si="2"/>
        <v>6041.666666666667</v>
      </c>
      <c r="C151" s="3"/>
      <c r="D151" s="7"/>
      <c r="E151" s="7"/>
      <c r="F151" s="7"/>
      <c r="G151" s="7"/>
      <c r="H151" s="7"/>
      <c r="I151" s="7"/>
    </row>
    <row r="152" spans="1:9" x14ac:dyDescent="0.25">
      <c r="A152" s="29">
        <v>73000</v>
      </c>
      <c r="B152" s="4">
        <f t="shared" si="2"/>
        <v>6083.333333333333</v>
      </c>
      <c r="C152" s="3"/>
      <c r="D152" s="7"/>
      <c r="E152" s="7"/>
      <c r="F152" s="7"/>
      <c r="G152" s="7"/>
      <c r="H152" s="7"/>
      <c r="I152" s="7"/>
    </row>
    <row r="153" spans="1:9" x14ac:dyDescent="0.25">
      <c r="A153" s="117">
        <v>73500</v>
      </c>
      <c r="B153" s="4">
        <f t="shared" si="2"/>
        <v>6125</v>
      </c>
      <c r="C153" s="3"/>
      <c r="D153" s="7"/>
      <c r="E153" s="7"/>
      <c r="F153" s="7"/>
      <c r="G153" s="7"/>
      <c r="H153" s="7"/>
      <c r="I153" s="7"/>
    </row>
    <row r="154" spans="1:9" x14ac:dyDescent="0.25">
      <c r="A154" s="117">
        <v>74000</v>
      </c>
      <c r="B154" s="4">
        <f t="shared" si="2"/>
        <v>6166.666666666667</v>
      </c>
      <c r="C154" s="3"/>
      <c r="D154" s="7"/>
      <c r="E154" s="7"/>
      <c r="F154" s="7"/>
      <c r="G154" s="7"/>
      <c r="H154" s="7"/>
      <c r="I154" s="7"/>
    </row>
    <row r="155" spans="1:9" x14ac:dyDescent="0.25">
      <c r="A155" s="29">
        <v>74500</v>
      </c>
      <c r="B155" s="4">
        <f t="shared" si="2"/>
        <v>6208.333333333333</v>
      </c>
      <c r="C155" s="3"/>
      <c r="D155" s="7"/>
      <c r="E155" s="7"/>
      <c r="F155" s="7"/>
      <c r="G155" s="7"/>
      <c r="H155" s="7"/>
      <c r="I155" s="7"/>
    </row>
    <row r="156" spans="1:9" x14ac:dyDescent="0.25">
      <c r="A156" s="117">
        <v>75000</v>
      </c>
      <c r="B156" s="4">
        <f t="shared" si="2"/>
        <v>6250</v>
      </c>
      <c r="C156" s="3"/>
      <c r="D156" s="7"/>
      <c r="E156" s="7"/>
      <c r="F156" s="7"/>
      <c r="G156" s="7"/>
      <c r="H156" s="7"/>
      <c r="I156" s="7"/>
    </row>
    <row r="157" spans="1:9" x14ac:dyDescent="0.25">
      <c r="A157" s="117">
        <v>75500</v>
      </c>
      <c r="B157" s="4">
        <f t="shared" si="2"/>
        <v>6291.666666666667</v>
      </c>
      <c r="C157" s="3"/>
      <c r="D157" s="7"/>
      <c r="E157" s="7"/>
      <c r="F157" s="7"/>
      <c r="G157" s="7"/>
      <c r="H157" s="7"/>
      <c r="I157" s="7"/>
    </row>
    <row r="158" spans="1:9" x14ac:dyDescent="0.25">
      <c r="A158" s="29">
        <v>76000</v>
      </c>
      <c r="B158" s="4">
        <f t="shared" si="2"/>
        <v>6333.333333333333</v>
      </c>
      <c r="C158" s="3"/>
      <c r="D158" s="7"/>
      <c r="E158" s="7"/>
      <c r="F158" s="7"/>
      <c r="G158" s="7"/>
      <c r="H158" s="7"/>
      <c r="I158" s="7"/>
    </row>
    <row r="159" spans="1:9" x14ac:dyDescent="0.25">
      <c r="A159" s="117">
        <v>76500</v>
      </c>
      <c r="B159" s="4">
        <f t="shared" si="2"/>
        <v>6375</v>
      </c>
      <c r="C159" s="3"/>
      <c r="D159" s="7"/>
      <c r="E159" s="7"/>
      <c r="F159" s="7"/>
      <c r="G159" s="7"/>
      <c r="H159" s="7"/>
      <c r="I159" s="7"/>
    </row>
    <row r="160" spans="1:9" x14ac:dyDescent="0.25">
      <c r="A160" s="117">
        <v>77000</v>
      </c>
      <c r="B160" s="4">
        <f t="shared" si="2"/>
        <v>6416.666666666667</v>
      </c>
      <c r="C160" s="3"/>
      <c r="D160" s="7"/>
      <c r="E160" s="7"/>
      <c r="F160" s="7"/>
      <c r="G160" s="7"/>
      <c r="H160" s="7"/>
      <c r="I160" s="7"/>
    </row>
    <row r="161" spans="1:9" x14ac:dyDescent="0.25">
      <c r="A161" s="29">
        <v>77500</v>
      </c>
      <c r="B161" s="4">
        <f t="shared" si="2"/>
        <v>6458.333333333333</v>
      </c>
      <c r="C161" s="3"/>
      <c r="D161" s="7"/>
      <c r="E161" s="7"/>
      <c r="F161" s="7"/>
      <c r="G161" s="7"/>
      <c r="H161" s="7"/>
      <c r="I161" s="7"/>
    </row>
    <row r="162" spans="1:9" x14ac:dyDescent="0.25">
      <c r="A162" s="117">
        <v>78000</v>
      </c>
      <c r="B162" s="4">
        <f t="shared" si="2"/>
        <v>6500</v>
      </c>
      <c r="C162" s="3"/>
      <c r="D162" s="7"/>
      <c r="E162" s="7"/>
      <c r="F162" s="7"/>
      <c r="G162" s="7"/>
      <c r="H162" s="7"/>
      <c r="I162" s="7"/>
    </row>
    <row r="163" spans="1:9" x14ac:dyDescent="0.25">
      <c r="A163" s="117">
        <v>78500</v>
      </c>
      <c r="B163" s="4">
        <f t="shared" si="2"/>
        <v>6541.666666666667</v>
      </c>
      <c r="C163" s="3"/>
      <c r="D163" s="7"/>
      <c r="E163" s="7"/>
      <c r="F163" s="7"/>
      <c r="G163" s="7"/>
      <c r="H163" s="7"/>
      <c r="I163" s="7"/>
    </row>
    <row r="164" spans="1:9" x14ac:dyDescent="0.25">
      <c r="A164" s="29">
        <v>79000</v>
      </c>
      <c r="B164" s="4">
        <f t="shared" si="2"/>
        <v>6583.333333333333</v>
      </c>
      <c r="C164" s="3"/>
      <c r="D164" s="7"/>
      <c r="E164" s="7"/>
      <c r="F164" s="7"/>
      <c r="G164" s="7"/>
      <c r="H164" s="7"/>
      <c r="I164" s="7"/>
    </row>
    <row r="165" spans="1:9" x14ac:dyDescent="0.25">
      <c r="A165" s="117">
        <v>79500</v>
      </c>
      <c r="B165" s="4">
        <f t="shared" si="2"/>
        <v>6625</v>
      </c>
      <c r="C165" s="3"/>
      <c r="D165" s="7"/>
      <c r="E165" s="7"/>
      <c r="F165" s="7"/>
      <c r="G165" s="7"/>
      <c r="H165" s="7"/>
      <c r="I165" s="7"/>
    </row>
    <row r="166" spans="1:9" x14ac:dyDescent="0.25">
      <c r="A166" s="117">
        <v>80000</v>
      </c>
      <c r="B166" s="4">
        <f t="shared" si="2"/>
        <v>6666.666666666667</v>
      </c>
      <c r="C166" s="3"/>
      <c r="D166" s="7"/>
      <c r="E166" s="7"/>
      <c r="F166" s="7"/>
      <c r="G166" s="7"/>
      <c r="H166" s="7"/>
      <c r="I166" s="7"/>
    </row>
    <row r="167" spans="1:9" x14ac:dyDescent="0.25">
      <c r="A167" s="29">
        <v>80500</v>
      </c>
      <c r="B167" s="4">
        <f t="shared" si="2"/>
        <v>6708.333333333333</v>
      </c>
      <c r="C167" s="3"/>
      <c r="D167" s="7"/>
      <c r="E167" s="7"/>
      <c r="F167" s="7"/>
      <c r="G167" s="7"/>
      <c r="H167" s="7"/>
      <c r="I167" s="7"/>
    </row>
    <row r="168" spans="1:9" x14ac:dyDescent="0.25">
      <c r="A168" s="117">
        <v>81000</v>
      </c>
      <c r="B168" s="4">
        <f t="shared" si="2"/>
        <v>6750</v>
      </c>
      <c r="C168" s="3"/>
      <c r="D168" s="7"/>
      <c r="E168" s="7"/>
      <c r="F168" s="7"/>
      <c r="G168" s="7"/>
      <c r="H168" s="7"/>
      <c r="I168" s="7"/>
    </row>
    <row r="169" spans="1:9" x14ac:dyDescent="0.25">
      <c r="A169" s="117">
        <v>81500</v>
      </c>
      <c r="B169" s="4">
        <f t="shared" si="2"/>
        <v>6791.666666666667</v>
      </c>
      <c r="C169" s="3"/>
      <c r="D169" s="7"/>
      <c r="E169" s="7"/>
      <c r="F169" s="7"/>
      <c r="G169" s="7"/>
      <c r="H169" s="7"/>
      <c r="I169" s="7"/>
    </row>
    <row r="170" spans="1:9" x14ac:dyDescent="0.25">
      <c r="A170" s="29">
        <v>82000</v>
      </c>
      <c r="B170" s="4">
        <f t="shared" si="2"/>
        <v>6833.333333333333</v>
      </c>
      <c r="C170" s="3"/>
      <c r="D170" s="7"/>
      <c r="E170" s="7"/>
      <c r="F170" s="7"/>
      <c r="G170" s="7"/>
      <c r="H170" s="7"/>
      <c r="I170" s="7"/>
    </row>
    <row r="171" spans="1:9" x14ac:dyDescent="0.25">
      <c r="A171" s="117">
        <v>82500</v>
      </c>
      <c r="B171" s="4">
        <f t="shared" si="2"/>
        <v>6875</v>
      </c>
      <c r="C171" s="3"/>
      <c r="D171" s="7"/>
      <c r="E171" s="7"/>
      <c r="F171" s="7"/>
      <c r="G171" s="7"/>
      <c r="H171" s="7"/>
      <c r="I171" s="7"/>
    </row>
    <row r="172" spans="1:9" x14ac:dyDescent="0.25">
      <c r="A172" s="117">
        <v>83000</v>
      </c>
      <c r="B172" s="4">
        <f t="shared" ref="B172:B206" si="3">A172/12</f>
        <v>6916.666666666667</v>
      </c>
      <c r="C172" s="3"/>
      <c r="D172" s="7"/>
      <c r="E172" s="7"/>
      <c r="F172" s="7"/>
      <c r="G172" s="7"/>
      <c r="H172" s="7"/>
      <c r="I172" s="7"/>
    </row>
    <row r="173" spans="1:9" x14ac:dyDescent="0.25">
      <c r="A173" s="29">
        <v>83500</v>
      </c>
      <c r="B173" s="4">
        <f t="shared" si="3"/>
        <v>6958.333333333333</v>
      </c>
      <c r="C173" s="3"/>
      <c r="D173" s="7"/>
      <c r="E173" s="7"/>
      <c r="F173" s="7"/>
      <c r="G173" s="7"/>
      <c r="H173" s="7"/>
      <c r="I173" s="7"/>
    </row>
    <row r="174" spans="1:9" x14ac:dyDescent="0.25">
      <c r="A174" s="117">
        <v>84000</v>
      </c>
      <c r="B174" s="4">
        <f t="shared" si="3"/>
        <v>7000</v>
      </c>
      <c r="C174" s="3"/>
      <c r="D174" s="7"/>
      <c r="E174" s="7"/>
      <c r="F174" s="7"/>
      <c r="G174" s="7"/>
      <c r="H174" s="7"/>
      <c r="I174" s="7"/>
    </row>
    <row r="175" spans="1:9" x14ac:dyDescent="0.25">
      <c r="A175" s="117">
        <v>84500</v>
      </c>
      <c r="B175" s="4">
        <f t="shared" si="3"/>
        <v>7041.666666666667</v>
      </c>
      <c r="C175" s="3"/>
      <c r="D175" s="7"/>
      <c r="E175" s="7"/>
      <c r="F175" s="7"/>
      <c r="G175" s="7"/>
      <c r="H175" s="7"/>
      <c r="I175" s="7"/>
    </row>
    <row r="176" spans="1:9" x14ac:dyDescent="0.25">
      <c r="A176" s="29">
        <v>85000</v>
      </c>
      <c r="B176" s="4">
        <f t="shared" si="3"/>
        <v>7083.333333333333</v>
      </c>
      <c r="C176" s="3"/>
      <c r="D176" s="7"/>
      <c r="E176" s="7"/>
      <c r="F176" s="7"/>
      <c r="G176" s="7"/>
      <c r="H176" s="7"/>
      <c r="I176" s="7"/>
    </row>
    <row r="177" spans="1:9" x14ac:dyDescent="0.25">
      <c r="A177" s="117">
        <v>85500</v>
      </c>
      <c r="B177" s="4">
        <f t="shared" si="3"/>
        <v>7125</v>
      </c>
      <c r="C177" s="3"/>
      <c r="D177" s="7"/>
      <c r="E177" s="7"/>
      <c r="F177" s="7"/>
      <c r="G177" s="7"/>
      <c r="H177" s="7"/>
      <c r="I177" s="7"/>
    </row>
    <row r="178" spans="1:9" x14ac:dyDescent="0.25">
      <c r="A178" s="117">
        <v>86000</v>
      </c>
      <c r="B178" s="4">
        <f t="shared" si="3"/>
        <v>7166.666666666667</v>
      </c>
      <c r="C178" s="3"/>
      <c r="D178" s="7"/>
      <c r="E178" s="7"/>
      <c r="F178" s="7"/>
      <c r="G178" s="7"/>
      <c r="H178" s="7"/>
      <c r="I178" s="7"/>
    </row>
    <row r="179" spans="1:9" x14ac:dyDescent="0.25">
      <c r="A179" s="29">
        <v>86500</v>
      </c>
      <c r="B179" s="4">
        <f t="shared" si="3"/>
        <v>7208.333333333333</v>
      </c>
      <c r="C179" s="3"/>
      <c r="D179" s="7"/>
      <c r="E179" s="7"/>
      <c r="F179" s="7"/>
      <c r="G179" s="7"/>
      <c r="H179" s="7"/>
      <c r="I179" s="7"/>
    </row>
    <row r="180" spans="1:9" x14ac:dyDescent="0.25">
      <c r="A180" s="117">
        <v>87000</v>
      </c>
      <c r="B180" s="4">
        <f t="shared" si="3"/>
        <v>7250</v>
      </c>
      <c r="C180" s="3"/>
      <c r="D180" s="7"/>
      <c r="E180" s="7"/>
      <c r="F180" s="7"/>
      <c r="G180" s="7"/>
      <c r="H180" s="7"/>
      <c r="I180" s="7"/>
    </row>
    <row r="181" spans="1:9" x14ac:dyDescent="0.25">
      <c r="A181" s="117">
        <v>87500</v>
      </c>
      <c r="B181" s="4">
        <f t="shared" si="3"/>
        <v>7291.666666666667</v>
      </c>
      <c r="C181" s="3"/>
      <c r="D181" s="7"/>
      <c r="E181" s="7"/>
      <c r="F181" s="7"/>
      <c r="G181" s="7"/>
      <c r="H181" s="7"/>
      <c r="I181" s="7"/>
    </row>
    <row r="182" spans="1:9" x14ac:dyDescent="0.25">
      <c r="A182" s="29">
        <v>88000</v>
      </c>
      <c r="B182" s="4">
        <f t="shared" si="3"/>
        <v>7333.333333333333</v>
      </c>
      <c r="C182" s="3"/>
      <c r="D182" s="7"/>
      <c r="E182" s="7"/>
      <c r="F182" s="7"/>
      <c r="G182" s="7"/>
      <c r="H182" s="7"/>
      <c r="I182" s="7"/>
    </row>
    <row r="183" spans="1:9" x14ac:dyDescent="0.25">
      <c r="A183" s="117">
        <v>88500</v>
      </c>
      <c r="B183" s="4">
        <f t="shared" si="3"/>
        <v>7375</v>
      </c>
      <c r="C183" s="3"/>
      <c r="D183" s="7"/>
      <c r="E183" s="7"/>
      <c r="F183" s="7"/>
      <c r="G183" s="7"/>
      <c r="H183" s="7"/>
      <c r="I183" s="7"/>
    </row>
    <row r="184" spans="1:9" x14ac:dyDescent="0.25">
      <c r="A184" s="117">
        <v>89000</v>
      </c>
      <c r="B184" s="4">
        <f t="shared" si="3"/>
        <v>7416.666666666667</v>
      </c>
      <c r="C184" s="3"/>
      <c r="D184" s="7"/>
      <c r="E184" s="7"/>
      <c r="F184" s="7"/>
      <c r="G184" s="7"/>
      <c r="H184" s="7"/>
      <c r="I184" s="7"/>
    </row>
    <row r="185" spans="1:9" x14ac:dyDescent="0.25">
      <c r="A185" s="29">
        <v>89500</v>
      </c>
      <c r="B185" s="4">
        <f t="shared" si="3"/>
        <v>7458.333333333333</v>
      </c>
      <c r="C185" s="3"/>
      <c r="D185" s="7"/>
      <c r="E185" s="7"/>
      <c r="F185" s="7"/>
      <c r="G185" s="7"/>
      <c r="H185" s="7"/>
      <c r="I185" s="7"/>
    </row>
    <row r="186" spans="1:9" x14ac:dyDescent="0.25">
      <c r="A186" s="117">
        <v>90000</v>
      </c>
      <c r="B186" s="4">
        <f t="shared" si="3"/>
        <v>7500</v>
      </c>
      <c r="C186" s="3"/>
      <c r="D186" s="7"/>
      <c r="E186" s="7"/>
      <c r="F186" s="7"/>
      <c r="G186" s="7"/>
      <c r="H186" s="7"/>
      <c r="I186" s="7"/>
    </row>
    <row r="187" spans="1:9" x14ac:dyDescent="0.25">
      <c r="A187" s="117">
        <v>90500</v>
      </c>
      <c r="B187" s="4">
        <f t="shared" si="3"/>
        <v>7541.666666666667</v>
      </c>
      <c r="C187" s="3"/>
      <c r="D187" s="7"/>
      <c r="E187" s="7"/>
      <c r="F187" s="7"/>
      <c r="G187" s="7"/>
      <c r="H187" s="7"/>
      <c r="I187" s="7"/>
    </row>
    <row r="188" spans="1:9" x14ac:dyDescent="0.25">
      <c r="A188" s="29">
        <v>91000</v>
      </c>
      <c r="B188" s="4">
        <f t="shared" si="3"/>
        <v>7583.333333333333</v>
      </c>
      <c r="C188" s="3"/>
      <c r="D188" s="7"/>
      <c r="E188" s="7"/>
      <c r="F188" s="7"/>
      <c r="G188" s="7"/>
      <c r="H188" s="7"/>
      <c r="I188" s="7"/>
    </row>
    <row r="189" spans="1:9" x14ac:dyDescent="0.25">
      <c r="A189" s="117">
        <v>91500</v>
      </c>
      <c r="B189" s="4">
        <f t="shared" si="3"/>
        <v>7625</v>
      </c>
      <c r="C189" s="3"/>
      <c r="D189" s="7"/>
      <c r="E189" s="7"/>
      <c r="F189" s="7"/>
      <c r="G189" s="7"/>
      <c r="H189" s="7"/>
      <c r="I189" s="7"/>
    </row>
    <row r="190" spans="1:9" x14ac:dyDescent="0.25">
      <c r="A190" s="117">
        <v>92000</v>
      </c>
      <c r="B190" s="4">
        <f t="shared" si="3"/>
        <v>7666.666666666667</v>
      </c>
      <c r="C190" s="3"/>
      <c r="D190" s="7"/>
      <c r="E190" s="7"/>
      <c r="F190" s="7"/>
      <c r="G190" s="7"/>
      <c r="H190" s="7"/>
      <c r="I190" s="7"/>
    </row>
    <row r="191" spans="1:9" x14ac:dyDescent="0.25">
      <c r="A191" s="29">
        <v>92500</v>
      </c>
      <c r="B191" s="4">
        <f t="shared" si="3"/>
        <v>7708.333333333333</v>
      </c>
      <c r="C191" s="3"/>
      <c r="D191" s="7"/>
      <c r="E191" s="7"/>
      <c r="F191" s="7"/>
      <c r="G191" s="7"/>
      <c r="H191" s="7"/>
      <c r="I191" s="7"/>
    </row>
    <row r="192" spans="1:9" x14ac:dyDescent="0.25">
      <c r="A192" s="117">
        <v>93000</v>
      </c>
      <c r="B192" s="4">
        <f t="shared" si="3"/>
        <v>7750</v>
      </c>
      <c r="C192" s="3"/>
      <c r="D192" s="7"/>
      <c r="E192" s="7"/>
      <c r="F192" s="7"/>
      <c r="G192" s="7"/>
      <c r="H192" s="7"/>
      <c r="I192" s="7"/>
    </row>
    <row r="193" spans="1:9" x14ac:dyDescent="0.25">
      <c r="A193" s="117">
        <v>93500</v>
      </c>
      <c r="B193" s="4">
        <f t="shared" si="3"/>
        <v>7791.666666666667</v>
      </c>
      <c r="C193" s="3"/>
      <c r="D193" s="7"/>
      <c r="E193" s="7"/>
      <c r="F193" s="7"/>
      <c r="G193" s="7"/>
      <c r="H193" s="7"/>
      <c r="I193" s="7"/>
    </row>
    <row r="194" spans="1:9" x14ac:dyDescent="0.25">
      <c r="A194" s="29">
        <v>94000</v>
      </c>
      <c r="B194" s="4">
        <f t="shared" si="3"/>
        <v>7833.333333333333</v>
      </c>
      <c r="C194" s="3"/>
      <c r="D194" s="7"/>
      <c r="E194" s="7"/>
      <c r="F194" s="7"/>
      <c r="G194" s="7"/>
      <c r="H194" s="7"/>
      <c r="I194" s="7"/>
    </row>
    <row r="195" spans="1:9" x14ac:dyDescent="0.25">
      <c r="A195" s="117">
        <v>94500</v>
      </c>
      <c r="B195" s="4">
        <f t="shared" si="3"/>
        <v>7875</v>
      </c>
      <c r="C195" s="3"/>
      <c r="D195" s="7"/>
      <c r="E195" s="7"/>
      <c r="F195" s="7"/>
      <c r="G195" s="7"/>
      <c r="H195" s="7"/>
      <c r="I195" s="7"/>
    </row>
    <row r="196" spans="1:9" x14ac:dyDescent="0.25">
      <c r="A196" s="117">
        <v>95000</v>
      </c>
      <c r="B196" s="4">
        <f t="shared" si="3"/>
        <v>7916.666666666667</v>
      </c>
      <c r="C196" s="3"/>
      <c r="D196" s="7"/>
      <c r="E196" s="7"/>
      <c r="F196" s="7"/>
      <c r="G196" s="7"/>
      <c r="H196" s="7"/>
      <c r="I196" s="7"/>
    </row>
    <row r="197" spans="1:9" x14ac:dyDescent="0.25">
      <c r="A197" s="29">
        <v>95500</v>
      </c>
      <c r="B197" s="4">
        <f t="shared" si="3"/>
        <v>7958.333333333333</v>
      </c>
      <c r="C197" s="3"/>
      <c r="D197" s="7"/>
      <c r="E197" s="7"/>
      <c r="F197" s="7"/>
      <c r="G197" s="7"/>
      <c r="H197" s="7"/>
      <c r="I197" s="7"/>
    </row>
    <row r="198" spans="1:9" x14ac:dyDescent="0.25">
      <c r="A198" s="117">
        <v>96000</v>
      </c>
      <c r="B198" s="4">
        <f t="shared" si="3"/>
        <v>8000</v>
      </c>
      <c r="C198" s="3"/>
      <c r="D198" s="7"/>
      <c r="E198" s="7"/>
      <c r="F198" s="7"/>
      <c r="G198" s="7"/>
      <c r="H198" s="7"/>
      <c r="I198" s="7"/>
    </row>
    <row r="199" spans="1:9" x14ac:dyDescent="0.25">
      <c r="A199" s="117">
        <v>96500</v>
      </c>
      <c r="B199" s="4">
        <f t="shared" si="3"/>
        <v>8041.666666666667</v>
      </c>
      <c r="C199" s="3"/>
      <c r="D199" s="7"/>
      <c r="E199" s="7"/>
      <c r="F199" s="7"/>
      <c r="G199" s="7"/>
      <c r="H199" s="7"/>
      <c r="I199" s="7"/>
    </row>
    <row r="200" spans="1:9" x14ac:dyDescent="0.25">
      <c r="A200" s="29">
        <v>97000</v>
      </c>
      <c r="B200" s="4">
        <f t="shared" si="3"/>
        <v>8083.333333333333</v>
      </c>
      <c r="C200" s="3"/>
      <c r="D200" s="7"/>
      <c r="E200" s="7"/>
      <c r="F200" s="7"/>
      <c r="G200" s="7"/>
      <c r="H200" s="7"/>
      <c r="I200" s="7"/>
    </row>
    <row r="201" spans="1:9" x14ac:dyDescent="0.25">
      <c r="A201" s="117">
        <v>97500</v>
      </c>
      <c r="B201" s="4">
        <f t="shared" si="3"/>
        <v>8125</v>
      </c>
      <c r="C201" s="3"/>
      <c r="D201" s="7"/>
      <c r="E201" s="7"/>
      <c r="F201" s="7"/>
      <c r="G201" s="7"/>
      <c r="H201" s="7"/>
      <c r="I201" s="7"/>
    </row>
    <row r="202" spans="1:9" x14ac:dyDescent="0.25">
      <c r="A202" s="117">
        <v>98000</v>
      </c>
      <c r="B202" s="4">
        <f t="shared" si="3"/>
        <v>8166.666666666667</v>
      </c>
      <c r="C202" s="3"/>
      <c r="D202" s="7"/>
      <c r="E202" s="7"/>
      <c r="F202" s="7"/>
      <c r="G202" s="7"/>
      <c r="H202" s="7"/>
      <c r="I202" s="7"/>
    </row>
    <row r="203" spans="1:9" x14ac:dyDescent="0.25">
      <c r="A203" s="29">
        <v>98500</v>
      </c>
      <c r="B203" s="4">
        <f t="shared" si="3"/>
        <v>8208.3333333333339</v>
      </c>
      <c r="C203" s="3"/>
      <c r="D203" s="7"/>
      <c r="E203" s="7"/>
      <c r="F203" s="7"/>
      <c r="G203" s="7"/>
      <c r="H203" s="7"/>
      <c r="I203" s="7"/>
    </row>
    <row r="204" spans="1:9" x14ac:dyDescent="0.25">
      <c r="A204" s="117">
        <v>99000</v>
      </c>
      <c r="B204" s="4">
        <f t="shared" si="3"/>
        <v>8250</v>
      </c>
      <c r="C204" s="3"/>
      <c r="D204" s="7"/>
      <c r="E204" s="7"/>
      <c r="F204" s="7"/>
      <c r="G204" s="7"/>
      <c r="H204" s="7"/>
      <c r="I204" s="7"/>
    </row>
    <row r="205" spans="1:9" x14ac:dyDescent="0.25">
      <c r="A205" s="117">
        <v>99500</v>
      </c>
      <c r="B205" s="4">
        <f t="shared" si="3"/>
        <v>8291.6666666666661</v>
      </c>
      <c r="C205" s="3"/>
      <c r="D205" s="7"/>
      <c r="E205" s="7"/>
      <c r="F205" s="7"/>
      <c r="G205" s="7"/>
      <c r="H205" s="7"/>
      <c r="I205" s="7"/>
    </row>
    <row r="206" spans="1:9" x14ac:dyDescent="0.25">
      <c r="A206" s="29">
        <v>100000</v>
      </c>
      <c r="B206" s="4">
        <f t="shared" si="3"/>
        <v>8333.3333333333339</v>
      </c>
      <c r="C206" s="3"/>
      <c r="D206" s="7"/>
      <c r="E206" s="7"/>
      <c r="F206" s="7"/>
      <c r="G206" s="7"/>
      <c r="H206" s="7"/>
      <c r="I206" s="7"/>
    </row>
    <row r="207" spans="1:9" x14ac:dyDescent="0.25">
      <c r="A207" s="29"/>
      <c r="B207" s="4"/>
      <c r="C207" s="3"/>
      <c r="D207" s="7"/>
      <c r="E207" s="7"/>
      <c r="F207" s="7"/>
      <c r="G207" s="7"/>
      <c r="H207" s="7"/>
      <c r="I207" s="7"/>
    </row>
    <row r="208" spans="1:9" x14ac:dyDescent="0.25">
      <c r="A208" s="116" t="s">
        <v>302</v>
      </c>
      <c r="B208" s="150"/>
      <c r="C208" s="3"/>
      <c r="D208" s="7"/>
      <c r="E208" s="7"/>
      <c r="F208" s="7"/>
      <c r="G208" s="7"/>
      <c r="H208" s="7"/>
      <c r="I208" s="7"/>
    </row>
    <row r="209" spans="1:9" x14ac:dyDescent="0.25">
      <c r="A209" s="7"/>
      <c r="B209" s="150">
        <f>'Total income package'!$B$90</f>
        <v>1289</v>
      </c>
      <c r="C209" s="3"/>
      <c r="D209" s="7"/>
      <c r="E209" s="7"/>
      <c r="F209" s="7"/>
      <c r="G209" s="7"/>
      <c r="H209" s="7"/>
      <c r="I209" s="7"/>
    </row>
    <row r="210" spans="1:9" x14ac:dyDescent="0.25">
      <c r="A210" s="116" t="s">
        <v>303</v>
      </c>
      <c r="B210" s="150"/>
      <c r="C210" s="3"/>
      <c r="D210" s="7"/>
      <c r="E210" s="7"/>
      <c r="F210" s="7"/>
      <c r="G210" s="7"/>
      <c r="H210" s="7"/>
      <c r="I210" s="7"/>
    </row>
    <row r="211" spans="1:9" x14ac:dyDescent="0.25">
      <c r="A211" s="7"/>
      <c r="B211" s="150">
        <f>'Total income package'!$B$91</f>
        <v>1289</v>
      </c>
      <c r="C211" s="3"/>
      <c r="D211" s="7"/>
      <c r="E211" s="7"/>
      <c r="F211" s="7"/>
      <c r="G211" s="7"/>
      <c r="H211" s="7"/>
      <c r="I211" s="7"/>
    </row>
  </sheetData>
  <pageMargins left="0.7" right="0.7" top="0.75" bottom="0.75" header="0.3" footer="0.3"/>
</worksheet>
</file>

<file path=xl/worksheets/sheet1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7556962-B42A-4F0F-B8D5-F87E732ABA82}">
  <sheetPr codeName="Sheet8"/>
  <dimension ref="A1:W211"/>
  <sheetViews>
    <sheetView topLeftCell="A194" workbookViewId="0">
      <selection activeCell="H210" sqref="H210"/>
    </sheetView>
  </sheetViews>
  <sheetFormatPr defaultRowHeight="15" x14ac:dyDescent="0.25"/>
  <cols>
    <col min="1" max="1" width="18" customWidth="1"/>
    <col min="2" max="2" width="18.28515625" customWidth="1"/>
    <col min="3" max="3" width="22.28515625" customWidth="1"/>
    <col min="4" max="4" width="16.42578125" customWidth="1"/>
    <col min="5" max="5" width="14.5703125" customWidth="1"/>
    <col min="6" max="9" width="12.5703125" customWidth="1"/>
    <col min="10" max="10" width="18.7109375" customWidth="1"/>
  </cols>
  <sheetData>
    <row r="1" spans="1:23" ht="30" x14ac:dyDescent="0.25">
      <c r="A1" s="313" t="s">
        <v>271</v>
      </c>
      <c r="B1" s="313" t="s">
        <v>272</v>
      </c>
      <c r="C1" s="109"/>
      <c r="L1" s="302" t="s">
        <v>421</v>
      </c>
      <c r="W1" t="s">
        <v>422</v>
      </c>
    </row>
    <row r="2" spans="1:23" x14ac:dyDescent="0.25">
      <c r="A2" s="127" t="str">
        <f>'Total income package'!B3</f>
        <v>Pittsylvania</v>
      </c>
      <c r="B2" s="77">
        <f>'Total income package'!B32</f>
        <v>2</v>
      </c>
      <c r="C2" s="78"/>
    </row>
    <row r="3" spans="1:23" x14ac:dyDescent="0.25">
      <c r="L3" s="302" t="s">
        <v>423</v>
      </c>
      <c r="W3" t="s">
        <v>424</v>
      </c>
    </row>
    <row r="4" spans="1:23" x14ac:dyDescent="0.25">
      <c r="K4" t="s">
        <v>425</v>
      </c>
      <c r="L4" t="s">
        <v>426</v>
      </c>
      <c r="M4" t="s">
        <v>427</v>
      </c>
      <c r="N4" t="s">
        <v>428</v>
      </c>
      <c r="O4" t="s">
        <v>429</v>
      </c>
      <c r="P4" t="s">
        <v>430</v>
      </c>
      <c r="Q4" t="s">
        <v>431</v>
      </c>
      <c r="W4" t="s">
        <v>432</v>
      </c>
    </row>
    <row r="5" spans="1:23" ht="45" x14ac:dyDescent="0.25">
      <c r="A5" s="191" t="s">
        <v>104</v>
      </c>
      <c r="B5" s="191" t="s">
        <v>105</v>
      </c>
      <c r="C5" s="14" t="s">
        <v>433</v>
      </c>
      <c r="D5" s="24" t="s">
        <v>434</v>
      </c>
      <c r="E5" s="24" t="s">
        <v>435</v>
      </c>
      <c r="F5" s="24" t="s">
        <v>436</v>
      </c>
      <c r="G5" s="24" t="s">
        <v>437</v>
      </c>
      <c r="H5" s="24" t="s">
        <v>438</v>
      </c>
      <c r="I5" s="24"/>
      <c r="K5">
        <v>1</v>
      </c>
      <c r="L5">
        <v>60</v>
      </c>
      <c r="M5">
        <v>200</v>
      </c>
      <c r="N5">
        <v>100</v>
      </c>
      <c r="O5">
        <f>M5+N5-487*N9</f>
        <v>-187</v>
      </c>
      <c r="P5">
        <f>IF(L5&gt;=65, 1, IF(AND(K5=1, M5+N5&lt;2020), 1, IF(O5&lt;487, 0, 1)))</f>
        <v>1</v>
      </c>
      <c r="Q5" t="b">
        <f>IF(N5&gt;987, FALSE, AND(M5+N5&lt;2020, OR(K5=1, L5&gt;=65)))</f>
        <v>1</v>
      </c>
      <c r="V5" t="s">
        <v>439</v>
      </c>
    </row>
    <row r="6" spans="1:23" x14ac:dyDescent="0.25">
      <c r="A6" s="117">
        <v>0</v>
      </c>
      <c r="B6" s="63">
        <v>0</v>
      </c>
      <c r="C6" s="3">
        <f>'Total income package'!$D$80</f>
        <v>0</v>
      </c>
      <c r="D6" s="7">
        <f>B6+C6</f>
        <v>0</v>
      </c>
      <c r="E6" s="7">
        <f>D6-20</f>
        <v>-20</v>
      </c>
      <c r="F6" s="7">
        <f t="shared" ref="F6:F69" si="0">IF(B6-65&lt;0,0,B6-65)</f>
        <v>0</v>
      </c>
      <c r="G6" s="7">
        <f>IF(F6/2&lt;0,0,F6/2)</f>
        <v>0</v>
      </c>
      <c r="H6" s="7">
        <f>G6+C6</f>
        <v>0</v>
      </c>
      <c r="I6" s="7"/>
      <c r="V6" t="s">
        <v>440</v>
      </c>
    </row>
    <row r="7" spans="1:23" x14ac:dyDescent="0.25">
      <c r="A7" s="117">
        <v>500</v>
      </c>
      <c r="B7" s="4">
        <f>A7/12</f>
        <v>41.666666666666664</v>
      </c>
      <c r="C7" s="3">
        <f>'Total income package'!$D$80</f>
        <v>0</v>
      </c>
      <c r="D7" s="7">
        <f t="shared" ref="D7:D70" si="1">B7+C7</f>
        <v>41.666666666666664</v>
      </c>
      <c r="E7" s="7">
        <f t="shared" ref="E7:E70" si="2">D7-20</f>
        <v>21.666666666666664</v>
      </c>
      <c r="F7" s="7">
        <f t="shared" si="0"/>
        <v>0</v>
      </c>
      <c r="G7" s="7">
        <f t="shared" ref="G7:G70" si="3">IF(F7/2&lt;0,0,F7/2)</f>
        <v>0</v>
      </c>
      <c r="H7" s="7">
        <f t="shared" ref="H7:H70" si="4">G7+C7</f>
        <v>0</v>
      </c>
      <c r="I7" s="7"/>
      <c r="K7" s="302" t="s">
        <v>441</v>
      </c>
    </row>
    <row r="8" spans="1:23" x14ac:dyDescent="0.25">
      <c r="A8" s="29">
        <v>1000</v>
      </c>
      <c r="B8" s="4">
        <f>A8/12</f>
        <v>83.333333333333329</v>
      </c>
      <c r="C8" s="3">
        <f>'Total income package'!$D$80</f>
        <v>0</v>
      </c>
      <c r="D8" s="7">
        <f t="shared" si="1"/>
        <v>83.333333333333329</v>
      </c>
      <c r="E8" s="7">
        <f t="shared" si="2"/>
        <v>63.333333333333329</v>
      </c>
      <c r="F8" s="7">
        <f t="shared" si="0"/>
        <v>18.333333333333329</v>
      </c>
      <c r="G8" s="7">
        <f t="shared" si="3"/>
        <v>9.1666666666666643</v>
      </c>
      <c r="H8" s="7">
        <f t="shared" si="4"/>
        <v>9.1666666666666643</v>
      </c>
      <c r="I8" s="7"/>
      <c r="K8" t="s">
        <v>425</v>
      </c>
      <c r="L8" t="s">
        <v>426</v>
      </c>
      <c r="M8" t="s">
        <v>442</v>
      </c>
      <c r="N8" t="s">
        <v>443</v>
      </c>
      <c r="O8" t="s">
        <v>427</v>
      </c>
      <c r="P8" t="s">
        <v>428</v>
      </c>
      <c r="Q8" t="s">
        <v>429</v>
      </c>
      <c r="R8" s="27" t="s">
        <v>444</v>
      </c>
      <c r="S8" t="s">
        <v>431</v>
      </c>
    </row>
    <row r="9" spans="1:23" x14ac:dyDescent="0.25">
      <c r="A9" s="117">
        <v>1500</v>
      </c>
      <c r="B9" s="4">
        <f t="shared" ref="B9:B72" si="5">A9/12</f>
        <v>125</v>
      </c>
      <c r="C9" s="3">
        <f>'Total income package'!$D$80</f>
        <v>0</v>
      </c>
      <c r="D9" s="7">
        <f t="shared" si="1"/>
        <v>125</v>
      </c>
      <c r="E9" s="7">
        <f t="shared" si="2"/>
        <v>105</v>
      </c>
      <c r="F9" s="7">
        <f t="shared" si="0"/>
        <v>60</v>
      </c>
      <c r="G9" s="7">
        <f t="shared" si="3"/>
        <v>30</v>
      </c>
      <c r="H9" s="7">
        <f t="shared" si="4"/>
        <v>30</v>
      </c>
      <c r="I9" s="7"/>
      <c r="K9">
        <v>1</v>
      </c>
      <c r="L9">
        <v>55</v>
      </c>
      <c r="M9">
        <v>1</v>
      </c>
      <c r="N9">
        <v>1</v>
      </c>
      <c r="O9">
        <v>400</v>
      </c>
      <c r="P9">
        <v>100</v>
      </c>
      <c r="Q9">
        <f>K13+L13</f>
        <v>447.5</v>
      </c>
      <c r="R9">
        <f>IF(OR(K9=1,L9&gt;=65),MAX(0,IF(AND(P5=0,M13&gt;=2020),0,IF(AND(P5=1,M13&gt;=2985),0,IF(P5=0,967-(K13+L13),1450-(K13+L13))))),0)</f>
        <v>1002.5</v>
      </c>
      <c r="S9" t="b">
        <f>IF(P9&gt;987, FALSE, AND(OR(K9=1, L9&gt;=65), O9+P9&lt;2020))</f>
        <v>1</v>
      </c>
      <c r="V9" t="s">
        <v>94</v>
      </c>
    </row>
    <row r="10" spans="1:23" x14ac:dyDescent="0.25">
      <c r="A10" s="117">
        <v>2000</v>
      </c>
      <c r="B10" s="4">
        <f t="shared" si="5"/>
        <v>166.66666666666666</v>
      </c>
      <c r="C10" s="3">
        <f>'Total income package'!$D$80</f>
        <v>0</v>
      </c>
      <c r="D10" s="7">
        <f t="shared" si="1"/>
        <v>166.66666666666666</v>
      </c>
      <c r="E10" s="7">
        <f t="shared" si="2"/>
        <v>146.66666666666666</v>
      </c>
      <c r="F10" s="7">
        <f t="shared" si="0"/>
        <v>101.66666666666666</v>
      </c>
      <c r="G10" s="7">
        <f t="shared" si="3"/>
        <v>50.833333333333329</v>
      </c>
      <c r="H10" s="7">
        <f t="shared" si="4"/>
        <v>50.833333333333329</v>
      </c>
      <c r="I10" s="7"/>
    </row>
    <row r="11" spans="1:23" x14ac:dyDescent="0.25">
      <c r="A11" s="29">
        <v>2500</v>
      </c>
      <c r="B11" s="4">
        <f t="shared" si="5"/>
        <v>208.33333333333334</v>
      </c>
      <c r="C11" s="3">
        <f>'Total income package'!$D$80</f>
        <v>0</v>
      </c>
      <c r="D11" s="7">
        <f t="shared" si="1"/>
        <v>208.33333333333334</v>
      </c>
      <c r="E11" s="7">
        <f t="shared" si="2"/>
        <v>188.33333333333334</v>
      </c>
      <c r="F11" s="7">
        <f t="shared" si="0"/>
        <v>143.33333333333334</v>
      </c>
      <c r="G11" s="7">
        <f t="shared" si="3"/>
        <v>71.666666666666671</v>
      </c>
      <c r="H11" s="7">
        <f t="shared" si="4"/>
        <v>71.666666666666671</v>
      </c>
      <c r="I11" s="7"/>
      <c r="K11" s="302" t="s">
        <v>445</v>
      </c>
    </row>
    <row r="12" spans="1:23" x14ac:dyDescent="0.25">
      <c r="A12" s="117">
        <v>3000</v>
      </c>
      <c r="B12" s="4">
        <f t="shared" si="5"/>
        <v>250</v>
      </c>
      <c r="C12" s="3">
        <f>'Total income package'!$D$80</f>
        <v>0</v>
      </c>
      <c r="D12" s="7">
        <f t="shared" si="1"/>
        <v>250</v>
      </c>
      <c r="E12" s="7">
        <f t="shared" si="2"/>
        <v>230</v>
      </c>
      <c r="F12" s="7">
        <f t="shared" si="0"/>
        <v>185</v>
      </c>
      <c r="G12" s="7">
        <f t="shared" si="3"/>
        <v>92.5</v>
      </c>
      <c r="H12" s="7">
        <f t="shared" si="4"/>
        <v>92.5</v>
      </c>
      <c r="I12" s="7"/>
      <c r="K12" t="s">
        <v>446</v>
      </c>
      <c r="L12" t="s">
        <v>447</v>
      </c>
      <c r="M12" t="s">
        <v>448</v>
      </c>
    </row>
    <row r="13" spans="1:23" x14ac:dyDescent="0.25">
      <c r="A13" s="117">
        <v>3500</v>
      </c>
      <c r="B13" s="4">
        <f t="shared" si="5"/>
        <v>291.66666666666669</v>
      </c>
      <c r="C13" s="3">
        <f>'Total income package'!$D$80</f>
        <v>0</v>
      </c>
      <c r="D13" s="7">
        <f t="shared" si="1"/>
        <v>291.66666666666669</v>
      </c>
      <c r="E13" s="7">
        <f t="shared" si="2"/>
        <v>271.66666666666669</v>
      </c>
      <c r="F13" s="7">
        <f t="shared" si="0"/>
        <v>226.66666666666669</v>
      </c>
      <c r="G13" s="7">
        <f t="shared" si="3"/>
        <v>113.33333333333334</v>
      </c>
      <c r="H13" s="7">
        <f t="shared" si="4"/>
        <v>113.33333333333334</v>
      </c>
      <c r="I13" s="7"/>
      <c r="K13">
        <f>MAX(0, IF(P5=1, (O9+M5-65)/2, (O9-65)/2))</f>
        <v>267.5</v>
      </c>
      <c r="L13">
        <f>MAX(0, IF(P5=1, P9+N5-20, P9-20))</f>
        <v>180</v>
      </c>
      <c r="M13">
        <f>IF(P5=1,(M5+N5)+(O9+P9),(O9+P9))</f>
        <v>800</v>
      </c>
    </row>
    <row r="14" spans="1:23" x14ac:dyDescent="0.25">
      <c r="A14" s="29">
        <v>4000</v>
      </c>
      <c r="B14" s="4">
        <f t="shared" si="5"/>
        <v>333.33333333333331</v>
      </c>
      <c r="C14" s="3">
        <f>'Total income package'!$D$80</f>
        <v>0</v>
      </c>
      <c r="D14" s="7">
        <f t="shared" si="1"/>
        <v>333.33333333333331</v>
      </c>
      <c r="E14" s="7">
        <f t="shared" si="2"/>
        <v>313.33333333333331</v>
      </c>
      <c r="F14" s="7">
        <f t="shared" si="0"/>
        <v>268.33333333333331</v>
      </c>
      <c r="G14" s="7">
        <f t="shared" si="3"/>
        <v>134.16666666666666</v>
      </c>
      <c r="H14" s="7">
        <f t="shared" si="4"/>
        <v>134.16666666666666</v>
      </c>
      <c r="I14" s="7"/>
    </row>
    <row r="15" spans="1:23" x14ac:dyDescent="0.25">
      <c r="A15" s="117">
        <v>4500</v>
      </c>
      <c r="B15" s="4">
        <f t="shared" si="5"/>
        <v>375</v>
      </c>
      <c r="C15" s="3">
        <f>'Total income package'!$D$80</f>
        <v>0</v>
      </c>
      <c r="D15" s="7">
        <f t="shared" si="1"/>
        <v>375</v>
      </c>
      <c r="E15" s="7">
        <f t="shared" si="2"/>
        <v>355</v>
      </c>
      <c r="F15" s="7">
        <f t="shared" si="0"/>
        <v>310</v>
      </c>
      <c r="G15" s="7">
        <f t="shared" si="3"/>
        <v>155</v>
      </c>
      <c r="H15" s="7">
        <f t="shared" si="4"/>
        <v>155</v>
      </c>
      <c r="I15" s="7"/>
      <c r="K15" s="302" t="s">
        <v>449</v>
      </c>
    </row>
    <row r="16" spans="1:23" x14ac:dyDescent="0.25">
      <c r="A16" s="117">
        <v>5000</v>
      </c>
      <c r="B16" s="4">
        <f t="shared" si="5"/>
        <v>416.66666666666669</v>
      </c>
      <c r="C16" s="3">
        <f>'Total income package'!$D$80</f>
        <v>0</v>
      </c>
      <c r="D16" s="7">
        <f t="shared" si="1"/>
        <v>416.66666666666669</v>
      </c>
      <c r="E16" s="7">
        <f t="shared" si="2"/>
        <v>396.66666666666669</v>
      </c>
      <c r="F16" s="7">
        <f t="shared" si="0"/>
        <v>351.66666666666669</v>
      </c>
      <c r="G16" s="7">
        <f t="shared" si="3"/>
        <v>175.83333333333334</v>
      </c>
      <c r="H16" s="7">
        <f t="shared" si="4"/>
        <v>175.83333333333334</v>
      </c>
      <c r="I16" s="7"/>
      <c r="K16" t="s">
        <v>450</v>
      </c>
      <c r="L16" t="s">
        <v>451</v>
      </c>
      <c r="M16" t="s">
        <v>452</v>
      </c>
      <c r="N16" t="s">
        <v>451</v>
      </c>
      <c r="O16" t="s">
        <v>453</v>
      </c>
      <c r="P16" t="s">
        <v>454</v>
      </c>
    </row>
    <row r="17" spans="1:16" x14ac:dyDescent="0.25">
      <c r="A17" s="29">
        <v>5500</v>
      </c>
      <c r="B17" s="4">
        <f t="shared" si="5"/>
        <v>458.33333333333331</v>
      </c>
      <c r="C17" s="3">
        <f>'Total income package'!$D$80</f>
        <v>0</v>
      </c>
      <c r="D17" s="7">
        <f t="shared" si="1"/>
        <v>458.33333333333331</v>
      </c>
      <c r="E17" s="7">
        <f t="shared" si="2"/>
        <v>438.33333333333331</v>
      </c>
      <c r="F17" s="7">
        <f t="shared" si="0"/>
        <v>393.33333333333331</v>
      </c>
      <c r="G17" s="7">
        <f t="shared" si="3"/>
        <v>196.66666666666666</v>
      </c>
      <c r="H17" s="7">
        <f t="shared" si="4"/>
        <v>196.66666666666666</v>
      </c>
      <c r="I17" s="7"/>
      <c r="K17">
        <f>IF(AND(Q5=FALSE, S9=FALSE), N5+P9-20, IF(Q5=FALSE, N5-20, IF(S9=1, P9-20, 0)))</f>
        <v>0</v>
      </c>
      <c r="L17">
        <f>IF(AND(Q5=FALSE, S9=FALSE), M5+O9, IF(Q5=FALSE, M5, IF(S9=1, O9, 0)))</f>
        <v>0</v>
      </c>
      <c r="M17">
        <f>K17-483*N9</f>
        <v>-483</v>
      </c>
      <c r="N17">
        <f>MAX(IF(M17&lt;0,(L17+M17-65)/2,(L17-65)/2),0)</f>
        <v>0</v>
      </c>
      <c r="O17">
        <f>IF(P17=1,967,IF(P17=2,1450,0))</f>
        <v>0</v>
      </c>
      <c r="P17">
        <f>COUNTIF(Q5,FALSE) + COUNTIF(S9,FALSE)</f>
        <v>0</v>
      </c>
    </row>
    <row r="18" spans="1:16" x14ac:dyDescent="0.25">
      <c r="A18" s="117">
        <v>6000</v>
      </c>
      <c r="B18" s="4">
        <f t="shared" si="5"/>
        <v>500</v>
      </c>
      <c r="C18" s="3">
        <f>'Total income package'!$D$80</f>
        <v>0</v>
      </c>
      <c r="D18" s="7">
        <f t="shared" si="1"/>
        <v>500</v>
      </c>
      <c r="E18" s="7">
        <f t="shared" si="2"/>
        <v>480</v>
      </c>
      <c r="F18" s="7">
        <f t="shared" si="0"/>
        <v>435</v>
      </c>
      <c r="G18" s="7">
        <f t="shared" si="3"/>
        <v>217.5</v>
      </c>
      <c r="H18" s="7">
        <f t="shared" si="4"/>
        <v>217.5</v>
      </c>
      <c r="I18" s="7"/>
    </row>
    <row r="19" spans="1:16" x14ac:dyDescent="0.25">
      <c r="A19" s="117">
        <v>6500</v>
      </c>
      <c r="B19" s="4">
        <f t="shared" si="5"/>
        <v>541.66666666666663</v>
      </c>
      <c r="C19" s="3">
        <f>'Total income package'!$D$80</f>
        <v>0</v>
      </c>
      <c r="D19" s="7">
        <f t="shared" si="1"/>
        <v>541.66666666666663</v>
      </c>
      <c r="E19" s="7">
        <f t="shared" si="2"/>
        <v>521.66666666666663</v>
      </c>
      <c r="F19" s="7">
        <f t="shared" si="0"/>
        <v>476.66666666666663</v>
      </c>
      <c r="G19" s="7">
        <f t="shared" si="3"/>
        <v>238.33333333333331</v>
      </c>
      <c r="H19" s="7">
        <f t="shared" si="4"/>
        <v>238.33333333333331</v>
      </c>
      <c r="I19" s="7"/>
      <c r="K19" s="302" t="s">
        <v>455</v>
      </c>
    </row>
    <row r="20" spans="1:16" x14ac:dyDescent="0.25">
      <c r="A20" s="29">
        <v>7000</v>
      </c>
      <c r="B20" s="4">
        <f t="shared" si="5"/>
        <v>583.33333333333337</v>
      </c>
      <c r="C20" s="3">
        <f>'Total income package'!$D$80</f>
        <v>0</v>
      </c>
      <c r="D20" s="7">
        <f t="shared" si="1"/>
        <v>583.33333333333337</v>
      </c>
      <c r="E20" s="7">
        <f t="shared" si="2"/>
        <v>563.33333333333337</v>
      </c>
      <c r="F20" s="7">
        <f t="shared" si="0"/>
        <v>518.33333333333337</v>
      </c>
      <c r="G20" s="7">
        <f t="shared" si="3"/>
        <v>259.16666666666669</v>
      </c>
      <c r="H20" s="7">
        <f t="shared" si="4"/>
        <v>259.16666666666669</v>
      </c>
      <c r="I20" s="7"/>
      <c r="K20" t="s">
        <v>456</v>
      </c>
      <c r="L20" s="302" t="s">
        <v>457</v>
      </c>
    </row>
    <row r="21" spans="1:16" x14ac:dyDescent="0.25">
      <c r="A21" s="117">
        <v>7500</v>
      </c>
      <c r="B21" s="4">
        <f t="shared" si="5"/>
        <v>625</v>
      </c>
      <c r="C21" s="3">
        <f>'Total income package'!$D$80</f>
        <v>0</v>
      </c>
      <c r="D21" s="7">
        <f t="shared" si="1"/>
        <v>625</v>
      </c>
      <c r="E21" s="7">
        <f t="shared" si="2"/>
        <v>605</v>
      </c>
      <c r="F21" s="7">
        <f t="shared" si="0"/>
        <v>560</v>
      </c>
      <c r="G21" s="7">
        <f t="shared" si="3"/>
        <v>280</v>
      </c>
      <c r="H21" s="7">
        <f t="shared" si="4"/>
        <v>280</v>
      </c>
      <c r="I21" s="7"/>
      <c r="K21">
        <f>IF(M9=0, 0, IF(M17&lt;=0, (N17-O17)/M9, IF(M17&gt;0, (N17+M17-O17)/M9, 0)))</f>
        <v>0</v>
      </c>
      <c r="L21">
        <f>IF(M9=0, 0, IF(AND(Q5=TRUE, S9=TRUE), 967, IF(K21&gt;967, 0, IF(K21&lt;0, 967, 967-K21))))</f>
        <v>967</v>
      </c>
    </row>
    <row r="22" spans="1:16" x14ac:dyDescent="0.25">
      <c r="A22" s="117">
        <v>8000</v>
      </c>
      <c r="B22" s="4">
        <f t="shared" si="5"/>
        <v>666.66666666666663</v>
      </c>
      <c r="C22" s="3">
        <f>'Total income package'!$D$80</f>
        <v>0</v>
      </c>
      <c r="D22" s="7">
        <f t="shared" si="1"/>
        <v>666.66666666666663</v>
      </c>
      <c r="E22" s="7">
        <f t="shared" si="2"/>
        <v>646.66666666666663</v>
      </c>
      <c r="F22" s="7">
        <f t="shared" si="0"/>
        <v>601.66666666666663</v>
      </c>
      <c r="G22" s="7">
        <f t="shared" si="3"/>
        <v>300.83333333333331</v>
      </c>
      <c r="H22" s="7">
        <f t="shared" si="4"/>
        <v>300.83333333333331</v>
      </c>
      <c r="I22" s="7"/>
    </row>
    <row r="23" spans="1:16" x14ac:dyDescent="0.25">
      <c r="A23" s="29">
        <v>8500</v>
      </c>
      <c r="B23" s="4">
        <f t="shared" si="5"/>
        <v>708.33333333333337</v>
      </c>
      <c r="C23" s="3">
        <f>'Total income package'!$D$80</f>
        <v>0</v>
      </c>
      <c r="D23" s="7">
        <f t="shared" si="1"/>
        <v>708.33333333333337</v>
      </c>
      <c r="E23" s="7">
        <f t="shared" si="2"/>
        <v>688.33333333333337</v>
      </c>
      <c r="F23" s="7">
        <f t="shared" si="0"/>
        <v>643.33333333333337</v>
      </c>
      <c r="G23" s="7">
        <f t="shared" si="3"/>
        <v>321.66666666666669</v>
      </c>
      <c r="H23" s="7">
        <f t="shared" si="4"/>
        <v>321.66666666666669</v>
      </c>
      <c r="I23" s="7"/>
      <c r="K23" s="302" t="s">
        <v>458</v>
      </c>
    </row>
    <row r="24" spans="1:16" x14ac:dyDescent="0.25">
      <c r="A24" s="117">
        <v>9000</v>
      </c>
      <c r="B24" s="4">
        <f t="shared" si="5"/>
        <v>750</v>
      </c>
      <c r="C24" s="3">
        <f>'Total income package'!$D$80</f>
        <v>0</v>
      </c>
      <c r="D24" s="7">
        <f t="shared" si="1"/>
        <v>750</v>
      </c>
      <c r="E24" s="7">
        <f t="shared" si="2"/>
        <v>730</v>
      </c>
      <c r="F24" s="7">
        <f t="shared" si="0"/>
        <v>685</v>
      </c>
      <c r="G24" s="7">
        <f t="shared" si="3"/>
        <v>342.5</v>
      </c>
      <c r="H24" s="7">
        <f t="shared" si="4"/>
        <v>342.5</v>
      </c>
      <c r="I24" s="7"/>
      <c r="K24" s="302">
        <f>L21*M9+R9</f>
        <v>1969.5</v>
      </c>
      <c r="L24" s="27"/>
    </row>
    <row r="25" spans="1:16" x14ac:dyDescent="0.25">
      <c r="A25" s="117">
        <v>9500</v>
      </c>
      <c r="B25" s="4">
        <f t="shared" si="5"/>
        <v>791.66666666666663</v>
      </c>
      <c r="C25" s="3">
        <f>'Total income package'!$D$80</f>
        <v>0</v>
      </c>
      <c r="D25" s="7">
        <f t="shared" si="1"/>
        <v>791.66666666666663</v>
      </c>
      <c r="E25" s="7">
        <f t="shared" si="2"/>
        <v>771.66666666666663</v>
      </c>
      <c r="F25" s="7">
        <f t="shared" si="0"/>
        <v>726.66666666666663</v>
      </c>
      <c r="G25" s="7">
        <f t="shared" si="3"/>
        <v>363.33333333333331</v>
      </c>
      <c r="H25" s="7">
        <f t="shared" si="4"/>
        <v>363.33333333333331</v>
      </c>
      <c r="I25" s="7"/>
    </row>
    <row r="26" spans="1:16" x14ac:dyDescent="0.25">
      <c r="A26" s="29">
        <v>10000</v>
      </c>
      <c r="B26" s="4">
        <f t="shared" si="5"/>
        <v>833.33333333333337</v>
      </c>
      <c r="C26" s="3">
        <f>'Total income package'!$D$80</f>
        <v>0</v>
      </c>
      <c r="D26" s="7">
        <f t="shared" si="1"/>
        <v>833.33333333333337</v>
      </c>
      <c r="E26" s="7">
        <f t="shared" si="2"/>
        <v>813.33333333333337</v>
      </c>
      <c r="F26" s="7">
        <f t="shared" si="0"/>
        <v>768.33333333333337</v>
      </c>
      <c r="G26" s="7">
        <f t="shared" si="3"/>
        <v>384.16666666666669</v>
      </c>
      <c r="H26" s="7">
        <f t="shared" si="4"/>
        <v>384.16666666666669</v>
      </c>
      <c r="I26" s="7"/>
      <c r="K26" t="s">
        <v>459</v>
      </c>
    </row>
    <row r="27" spans="1:16" x14ac:dyDescent="0.25">
      <c r="A27" s="117">
        <v>10500</v>
      </c>
      <c r="B27" s="4">
        <f t="shared" si="5"/>
        <v>875</v>
      </c>
      <c r="C27" s="3">
        <f>'Total income package'!$D$80</f>
        <v>0</v>
      </c>
      <c r="D27" s="7">
        <f t="shared" si="1"/>
        <v>875</v>
      </c>
      <c r="E27" s="7">
        <f t="shared" si="2"/>
        <v>855</v>
      </c>
      <c r="F27" s="7">
        <f t="shared" si="0"/>
        <v>810</v>
      </c>
      <c r="G27" s="7">
        <f t="shared" si="3"/>
        <v>405</v>
      </c>
      <c r="H27" s="7">
        <f t="shared" si="4"/>
        <v>405</v>
      </c>
      <c r="I27" s="7"/>
      <c r="K27" t="s">
        <v>460</v>
      </c>
    </row>
    <row r="28" spans="1:16" x14ac:dyDescent="0.25">
      <c r="A28" s="117">
        <v>11000</v>
      </c>
      <c r="B28" s="4">
        <f t="shared" si="5"/>
        <v>916.66666666666663</v>
      </c>
      <c r="C28" s="3">
        <f>'Total income package'!$D$80</f>
        <v>0</v>
      </c>
      <c r="D28" s="7">
        <f t="shared" si="1"/>
        <v>916.66666666666663</v>
      </c>
      <c r="E28" s="7">
        <f t="shared" si="2"/>
        <v>896.66666666666663</v>
      </c>
      <c r="F28" s="7">
        <f t="shared" si="0"/>
        <v>851.66666666666663</v>
      </c>
      <c r="G28" s="7">
        <f t="shared" si="3"/>
        <v>425.83333333333331</v>
      </c>
      <c r="H28" s="7">
        <f t="shared" si="4"/>
        <v>425.83333333333331</v>
      </c>
      <c r="I28" s="7"/>
      <c r="K28" t="s">
        <v>461</v>
      </c>
    </row>
    <row r="29" spans="1:16" x14ac:dyDescent="0.25">
      <c r="A29" s="29">
        <v>11500</v>
      </c>
      <c r="B29" s="4">
        <f t="shared" si="5"/>
        <v>958.33333333333337</v>
      </c>
      <c r="C29" s="3">
        <f>'Total income package'!$D$80</f>
        <v>0</v>
      </c>
      <c r="D29" s="7">
        <f t="shared" si="1"/>
        <v>958.33333333333337</v>
      </c>
      <c r="E29" s="7">
        <f t="shared" si="2"/>
        <v>938.33333333333337</v>
      </c>
      <c r="F29" s="7">
        <f t="shared" si="0"/>
        <v>893.33333333333337</v>
      </c>
      <c r="G29" s="7">
        <f t="shared" si="3"/>
        <v>446.66666666666669</v>
      </c>
      <c r="H29" s="7">
        <f t="shared" si="4"/>
        <v>446.66666666666669</v>
      </c>
      <c r="I29" s="7"/>
      <c r="K29" t="s">
        <v>462</v>
      </c>
    </row>
    <row r="30" spans="1:16" x14ac:dyDescent="0.25">
      <c r="A30" s="117">
        <v>12000</v>
      </c>
      <c r="B30" s="4">
        <f t="shared" si="5"/>
        <v>1000</v>
      </c>
      <c r="C30" s="3">
        <f>'Total income package'!$D$80</f>
        <v>0</v>
      </c>
      <c r="D30" s="7">
        <f t="shared" si="1"/>
        <v>1000</v>
      </c>
      <c r="E30" s="7">
        <f t="shared" si="2"/>
        <v>980</v>
      </c>
      <c r="F30" s="7">
        <f t="shared" si="0"/>
        <v>935</v>
      </c>
      <c r="G30" s="7">
        <f t="shared" si="3"/>
        <v>467.5</v>
      </c>
      <c r="H30" s="7">
        <f t="shared" si="4"/>
        <v>467.5</v>
      </c>
      <c r="I30" s="7"/>
      <c r="K30" t="s">
        <v>463</v>
      </c>
    </row>
    <row r="31" spans="1:16" x14ac:dyDescent="0.25">
      <c r="A31" s="117">
        <v>12500</v>
      </c>
      <c r="B31" s="4">
        <f t="shared" si="5"/>
        <v>1041.6666666666667</v>
      </c>
      <c r="C31" s="3">
        <f>'Total income package'!$D$80</f>
        <v>0</v>
      </c>
      <c r="D31" s="7">
        <f t="shared" si="1"/>
        <v>1041.6666666666667</v>
      </c>
      <c r="E31" s="7">
        <f t="shared" si="2"/>
        <v>1021.6666666666667</v>
      </c>
      <c r="F31" s="7">
        <f t="shared" si="0"/>
        <v>976.66666666666674</v>
      </c>
      <c r="G31" s="7">
        <f t="shared" si="3"/>
        <v>488.33333333333337</v>
      </c>
      <c r="H31" s="7">
        <f t="shared" si="4"/>
        <v>488.33333333333337</v>
      </c>
      <c r="I31" s="7"/>
    </row>
    <row r="32" spans="1:16" x14ac:dyDescent="0.25">
      <c r="A32" s="29">
        <v>13000</v>
      </c>
      <c r="B32" s="4">
        <f t="shared" si="5"/>
        <v>1083.3333333333333</v>
      </c>
      <c r="C32" s="3">
        <f>'Total income package'!$D$80</f>
        <v>0</v>
      </c>
      <c r="D32" s="7">
        <f t="shared" si="1"/>
        <v>1083.3333333333333</v>
      </c>
      <c r="E32" s="7">
        <f t="shared" si="2"/>
        <v>1063.3333333333333</v>
      </c>
      <c r="F32" s="7">
        <f t="shared" si="0"/>
        <v>1018.3333333333333</v>
      </c>
      <c r="G32" s="7">
        <f t="shared" si="3"/>
        <v>509.16666666666663</v>
      </c>
      <c r="H32" s="7">
        <f t="shared" si="4"/>
        <v>509.16666666666663</v>
      </c>
      <c r="I32" s="7"/>
    </row>
    <row r="33" spans="1:11" x14ac:dyDescent="0.25">
      <c r="A33" s="117">
        <v>13500</v>
      </c>
      <c r="B33" s="4">
        <f t="shared" si="5"/>
        <v>1125</v>
      </c>
      <c r="C33" s="3">
        <f>'Total income package'!$D$80</f>
        <v>0</v>
      </c>
      <c r="D33" s="7">
        <f t="shared" si="1"/>
        <v>1125</v>
      </c>
      <c r="E33" s="7">
        <f t="shared" si="2"/>
        <v>1105</v>
      </c>
      <c r="F33" s="7">
        <f t="shared" si="0"/>
        <v>1060</v>
      </c>
      <c r="G33" s="7">
        <f t="shared" si="3"/>
        <v>530</v>
      </c>
      <c r="H33" s="7">
        <f t="shared" si="4"/>
        <v>530</v>
      </c>
      <c r="I33" s="7"/>
    </row>
    <row r="34" spans="1:11" x14ac:dyDescent="0.25">
      <c r="A34" s="117">
        <v>14000</v>
      </c>
      <c r="B34" s="4">
        <f t="shared" si="5"/>
        <v>1166.6666666666667</v>
      </c>
      <c r="C34" s="3">
        <f>'Total income package'!$D$80</f>
        <v>0</v>
      </c>
      <c r="D34" s="7">
        <f t="shared" si="1"/>
        <v>1166.6666666666667</v>
      </c>
      <c r="E34" s="7">
        <f t="shared" si="2"/>
        <v>1146.6666666666667</v>
      </c>
      <c r="F34" s="7">
        <f t="shared" si="0"/>
        <v>1101.6666666666667</v>
      </c>
      <c r="G34" s="7">
        <f t="shared" si="3"/>
        <v>550.83333333333337</v>
      </c>
      <c r="H34" s="7">
        <f t="shared" si="4"/>
        <v>550.83333333333337</v>
      </c>
      <c r="I34" s="7"/>
    </row>
    <row r="35" spans="1:11" x14ac:dyDescent="0.25">
      <c r="A35" s="29">
        <v>14500</v>
      </c>
      <c r="B35" s="4">
        <f t="shared" si="5"/>
        <v>1208.3333333333333</v>
      </c>
      <c r="C35" s="3">
        <f>'Total income package'!$D$80</f>
        <v>0</v>
      </c>
      <c r="D35" s="7">
        <f t="shared" si="1"/>
        <v>1208.3333333333333</v>
      </c>
      <c r="E35" s="7">
        <f t="shared" si="2"/>
        <v>1188.3333333333333</v>
      </c>
      <c r="F35" s="7">
        <f t="shared" si="0"/>
        <v>1143.3333333333333</v>
      </c>
      <c r="G35" s="7">
        <f t="shared" si="3"/>
        <v>571.66666666666663</v>
      </c>
      <c r="H35" s="7">
        <f t="shared" si="4"/>
        <v>571.66666666666663</v>
      </c>
      <c r="I35" s="7"/>
    </row>
    <row r="36" spans="1:11" x14ac:dyDescent="0.25">
      <c r="A36" s="117">
        <v>15000</v>
      </c>
      <c r="B36" s="4">
        <f t="shared" si="5"/>
        <v>1250</v>
      </c>
      <c r="C36" s="3">
        <f>'Total income package'!$D$80</f>
        <v>0</v>
      </c>
      <c r="D36" s="7">
        <f t="shared" si="1"/>
        <v>1250</v>
      </c>
      <c r="E36" s="7">
        <f t="shared" si="2"/>
        <v>1230</v>
      </c>
      <c r="F36" s="7">
        <f t="shared" si="0"/>
        <v>1185</v>
      </c>
      <c r="G36" s="7">
        <f t="shared" si="3"/>
        <v>592.5</v>
      </c>
      <c r="H36" s="7">
        <f t="shared" si="4"/>
        <v>592.5</v>
      </c>
      <c r="I36" s="7"/>
    </row>
    <row r="37" spans="1:11" x14ac:dyDescent="0.25">
      <c r="A37" s="117">
        <v>15500</v>
      </c>
      <c r="B37" s="4">
        <f t="shared" si="5"/>
        <v>1291.6666666666667</v>
      </c>
      <c r="C37" s="3">
        <f>'Total income package'!$D$80</f>
        <v>0</v>
      </c>
      <c r="D37" s="7">
        <f t="shared" si="1"/>
        <v>1291.6666666666667</v>
      </c>
      <c r="E37" s="7">
        <f t="shared" si="2"/>
        <v>1271.6666666666667</v>
      </c>
      <c r="F37" s="7">
        <f t="shared" si="0"/>
        <v>1226.6666666666667</v>
      </c>
      <c r="G37" s="7">
        <f t="shared" si="3"/>
        <v>613.33333333333337</v>
      </c>
      <c r="H37" s="7">
        <f t="shared" si="4"/>
        <v>613.33333333333337</v>
      </c>
      <c r="I37" s="7"/>
    </row>
    <row r="38" spans="1:11" x14ac:dyDescent="0.25">
      <c r="A38" s="29">
        <v>16000</v>
      </c>
      <c r="B38" s="4">
        <f t="shared" si="5"/>
        <v>1333.3333333333333</v>
      </c>
      <c r="C38" s="3">
        <f>'Total income package'!$D$80</f>
        <v>0</v>
      </c>
      <c r="D38" s="7">
        <f t="shared" si="1"/>
        <v>1333.3333333333333</v>
      </c>
      <c r="E38" s="7">
        <f t="shared" si="2"/>
        <v>1313.3333333333333</v>
      </c>
      <c r="F38" s="7">
        <f t="shared" si="0"/>
        <v>1268.3333333333333</v>
      </c>
      <c r="G38" s="7">
        <f t="shared" si="3"/>
        <v>634.16666666666663</v>
      </c>
      <c r="H38" s="7">
        <f t="shared" si="4"/>
        <v>634.16666666666663</v>
      </c>
      <c r="I38" s="7"/>
    </row>
    <row r="39" spans="1:11" x14ac:dyDescent="0.25">
      <c r="A39" s="117">
        <v>16500</v>
      </c>
      <c r="B39" s="4">
        <f t="shared" si="5"/>
        <v>1375</v>
      </c>
      <c r="C39" s="3">
        <f>'Total income package'!$D$80</f>
        <v>0</v>
      </c>
      <c r="D39" s="7">
        <f t="shared" si="1"/>
        <v>1375</v>
      </c>
      <c r="E39" s="7">
        <f t="shared" si="2"/>
        <v>1355</v>
      </c>
      <c r="F39" s="7">
        <f t="shared" si="0"/>
        <v>1310</v>
      </c>
      <c r="G39" s="7">
        <f t="shared" si="3"/>
        <v>655</v>
      </c>
      <c r="H39" s="7">
        <f t="shared" si="4"/>
        <v>655</v>
      </c>
      <c r="I39" s="7"/>
    </row>
    <row r="40" spans="1:11" x14ac:dyDescent="0.25">
      <c r="A40" s="117">
        <v>17000</v>
      </c>
      <c r="B40" s="4">
        <f t="shared" si="5"/>
        <v>1416.6666666666667</v>
      </c>
      <c r="C40" s="3">
        <f>'Total income package'!$D$80</f>
        <v>0</v>
      </c>
      <c r="D40" s="7">
        <f t="shared" si="1"/>
        <v>1416.6666666666667</v>
      </c>
      <c r="E40" s="7">
        <f t="shared" si="2"/>
        <v>1396.6666666666667</v>
      </c>
      <c r="F40" s="7">
        <f t="shared" si="0"/>
        <v>1351.6666666666667</v>
      </c>
      <c r="G40" s="7">
        <f t="shared" si="3"/>
        <v>675.83333333333337</v>
      </c>
      <c r="H40" s="7">
        <f t="shared" si="4"/>
        <v>675.83333333333337</v>
      </c>
      <c r="I40" s="7"/>
      <c r="K40" s="27"/>
    </row>
    <row r="41" spans="1:11" x14ac:dyDescent="0.25">
      <c r="A41" s="29">
        <v>17500</v>
      </c>
      <c r="B41" s="4">
        <f t="shared" si="5"/>
        <v>1458.3333333333333</v>
      </c>
      <c r="C41" s="3">
        <f>'Total income package'!$D$80</f>
        <v>0</v>
      </c>
      <c r="D41" s="7">
        <f t="shared" si="1"/>
        <v>1458.3333333333333</v>
      </c>
      <c r="E41" s="7">
        <f t="shared" si="2"/>
        <v>1438.3333333333333</v>
      </c>
      <c r="F41" s="7">
        <f t="shared" si="0"/>
        <v>1393.3333333333333</v>
      </c>
      <c r="G41" s="7">
        <f t="shared" si="3"/>
        <v>696.66666666666663</v>
      </c>
      <c r="H41" s="7">
        <f t="shared" si="4"/>
        <v>696.66666666666663</v>
      </c>
      <c r="I41" s="7"/>
    </row>
    <row r="42" spans="1:11" x14ac:dyDescent="0.25">
      <c r="A42" s="117">
        <v>18000</v>
      </c>
      <c r="B42" s="4">
        <f t="shared" si="5"/>
        <v>1500</v>
      </c>
      <c r="C42" s="3">
        <f>'Total income package'!$D$80</f>
        <v>0</v>
      </c>
      <c r="D42" s="7">
        <f t="shared" si="1"/>
        <v>1500</v>
      </c>
      <c r="E42" s="7">
        <f t="shared" si="2"/>
        <v>1480</v>
      </c>
      <c r="F42" s="7">
        <f t="shared" si="0"/>
        <v>1435</v>
      </c>
      <c r="G42" s="7">
        <f t="shared" si="3"/>
        <v>717.5</v>
      </c>
      <c r="H42" s="7">
        <f t="shared" si="4"/>
        <v>717.5</v>
      </c>
      <c r="I42" s="7"/>
    </row>
    <row r="43" spans="1:11" x14ac:dyDescent="0.25">
      <c r="A43" s="117">
        <v>18500</v>
      </c>
      <c r="B43" s="4">
        <f t="shared" si="5"/>
        <v>1541.6666666666667</v>
      </c>
      <c r="C43" s="3">
        <f>'Total income package'!$D$80</f>
        <v>0</v>
      </c>
      <c r="D43" s="7">
        <f t="shared" si="1"/>
        <v>1541.6666666666667</v>
      </c>
      <c r="E43" s="7">
        <f t="shared" si="2"/>
        <v>1521.6666666666667</v>
      </c>
      <c r="F43" s="7">
        <f t="shared" si="0"/>
        <v>1476.6666666666667</v>
      </c>
      <c r="G43" s="7">
        <f t="shared" si="3"/>
        <v>738.33333333333337</v>
      </c>
      <c r="H43" s="7">
        <f t="shared" si="4"/>
        <v>738.33333333333337</v>
      </c>
      <c r="I43" s="7"/>
    </row>
    <row r="44" spans="1:11" x14ac:dyDescent="0.25">
      <c r="A44" s="29">
        <v>19000</v>
      </c>
      <c r="B44" s="4">
        <f t="shared" si="5"/>
        <v>1583.3333333333333</v>
      </c>
      <c r="C44" s="3">
        <f>'Total income package'!$D$80</f>
        <v>0</v>
      </c>
      <c r="D44" s="7">
        <f t="shared" si="1"/>
        <v>1583.3333333333333</v>
      </c>
      <c r="E44" s="7">
        <f t="shared" si="2"/>
        <v>1563.3333333333333</v>
      </c>
      <c r="F44" s="7">
        <f t="shared" si="0"/>
        <v>1518.3333333333333</v>
      </c>
      <c r="G44" s="7">
        <f t="shared" si="3"/>
        <v>759.16666666666663</v>
      </c>
      <c r="H44" s="7">
        <f t="shared" si="4"/>
        <v>759.16666666666663</v>
      </c>
      <c r="I44" s="7"/>
    </row>
    <row r="45" spans="1:11" x14ac:dyDescent="0.25">
      <c r="A45" s="117">
        <v>19500</v>
      </c>
      <c r="B45" s="4">
        <f t="shared" si="5"/>
        <v>1625</v>
      </c>
      <c r="C45" s="3">
        <f>'Total income package'!$D$80</f>
        <v>0</v>
      </c>
      <c r="D45" s="7">
        <f t="shared" si="1"/>
        <v>1625</v>
      </c>
      <c r="E45" s="7">
        <f t="shared" si="2"/>
        <v>1605</v>
      </c>
      <c r="F45" s="7">
        <f t="shared" si="0"/>
        <v>1560</v>
      </c>
      <c r="G45" s="7">
        <f t="shared" si="3"/>
        <v>780</v>
      </c>
      <c r="H45" s="7">
        <f t="shared" si="4"/>
        <v>780</v>
      </c>
      <c r="I45" s="7"/>
    </row>
    <row r="46" spans="1:11" x14ac:dyDescent="0.25">
      <c r="A46" s="117">
        <v>20000</v>
      </c>
      <c r="B46" s="4">
        <f t="shared" si="5"/>
        <v>1666.6666666666667</v>
      </c>
      <c r="C46" s="3">
        <f>'Total income package'!$D$80</f>
        <v>0</v>
      </c>
      <c r="D46" s="7">
        <f t="shared" si="1"/>
        <v>1666.6666666666667</v>
      </c>
      <c r="E46" s="7">
        <f t="shared" si="2"/>
        <v>1646.6666666666667</v>
      </c>
      <c r="F46" s="7">
        <f t="shared" si="0"/>
        <v>1601.6666666666667</v>
      </c>
      <c r="G46" s="7">
        <f t="shared" si="3"/>
        <v>800.83333333333337</v>
      </c>
      <c r="H46" s="7">
        <f t="shared" si="4"/>
        <v>800.83333333333337</v>
      </c>
      <c r="I46" s="7"/>
    </row>
    <row r="47" spans="1:11" x14ac:dyDescent="0.25">
      <c r="A47" s="29">
        <v>20500</v>
      </c>
      <c r="B47" s="4">
        <f t="shared" si="5"/>
        <v>1708.3333333333333</v>
      </c>
      <c r="C47" s="3">
        <f>'Total income package'!$D$80</f>
        <v>0</v>
      </c>
      <c r="D47" s="7">
        <f t="shared" si="1"/>
        <v>1708.3333333333333</v>
      </c>
      <c r="E47" s="7">
        <f t="shared" si="2"/>
        <v>1688.3333333333333</v>
      </c>
      <c r="F47" s="7">
        <f t="shared" si="0"/>
        <v>1643.3333333333333</v>
      </c>
      <c r="G47" s="7">
        <f t="shared" si="3"/>
        <v>821.66666666666663</v>
      </c>
      <c r="H47" s="7">
        <f t="shared" si="4"/>
        <v>821.66666666666663</v>
      </c>
      <c r="I47" s="7"/>
    </row>
    <row r="48" spans="1:11" x14ac:dyDescent="0.25">
      <c r="A48" s="117">
        <v>21000</v>
      </c>
      <c r="B48" s="4">
        <f t="shared" si="5"/>
        <v>1750</v>
      </c>
      <c r="C48" s="3">
        <f>'Total income package'!$D$80</f>
        <v>0</v>
      </c>
      <c r="D48" s="7">
        <f t="shared" si="1"/>
        <v>1750</v>
      </c>
      <c r="E48" s="7">
        <f t="shared" si="2"/>
        <v>1730</v>
      </c>
      <c r="F48" s="7">
        <f t="shared" si="0"/>
        <v>1685</v>
      </c>
      <c r="G48" s="7">
        <f t="shared" si="3"/>
        <v>842.5</v>
      </c>
      <c r="H48" s="7">
        <f t="shared" si="4"/>
        <v>842.5</v>
      </c>
      <c r="I48" s="7"/>
    </row>
    <row r="49" spans="1:9" x14ac:dyDescent="0.25">
      <c r="A49" s="117">
        <v>21500</v>
      </c>
      <c r="B49" s="4">
        <f t="shared" si="5"/>
        <v>1791.6666666666667</v>
      </c>
      <c r="C49" s="3">
        <f>'Total income package'!$D$80</f>
        <v>0</v>
      </c>
      <c r="D49" s="7">
        <f t="shared" si="1"/>
        <v>1791.6666666666667</v>
      </c>
      <c r="E49" s="7">
        <f t="shared" si="2"/>
        <v>1771.6666666666667</v>
      </c>
      <c r="F49" s="7">
        <f t="shared" si="0"/>
        <v>1726.6666666666667</v>
      </c>
      <c r="G49" s="7">
        <f t="shared" si="3"/>
        <v>863.33333333333337</v>
      </c>
      <c r="H49" s="7">
        <f t="shared" si="4"/>
        <v>863.33333333333337</v>
      </c>
      <c r="I49" s="7"/>
    </row>
    <row r="50" spans="1:9" x14ac:dyDescent="0.25">
      <c r="A50" s="29">
        <v>22000</v>
      </c>
      <c r="B50" s="4">
        <f t="shared" si="5"/>
        <v>1833.3333333333333</v>
      </c>
      <c r="C50" s="3">
        <f>'Total income package'!$D$80</f>
        <v>0</v>
      </c>
      <c r="D50" s="7">
        <f t="shared" si="1"/>
        <v>1833.3333333333333</v>
      </c>
      <c r="E50" s="7">
        <f t="shared" si="2"/>
        <v>1813.3333333333333</v>
      </c>
      <c r="F50" s="7">
        <f t="shared" si="0"/>
        <v>1768.3333333333333</v>
      </c>
      <c r="G50" s="7">
        <f t="shared" si="3"/>
        <v>884.16666666666663</v>
      </c>
      <c r="H50" s="7">
        <f t="shared" si="4"/>
        <v>884.16666666666663</v>
      </c>
      <c r="I50" s="7"/>
    </row>
    <row r="51" spans="1:9" x14ac:dyDescent="0.25">
      <c r="A51" s="117">
        <v>22500</v>
      </c>
      <c r="B51" s="4">
        <f t="shared" si="5"/>
        <v>1875</v>
      </c>
      <c r="C51" s="3">
        <f>'Total income package'!$D$80</f>
        <v>0</v>
      </c>
      <c r="D51" s="7">
        <f t="shared" si="1"/>
        <v>1875</v>
      </c>
      <c r="E51" s="7">
        <f t="shared" si="2"/>
        <v>1855</v>
      </c>
      <c r="F51" s="7">
        <f t="shared" si="0"/>
        <v>1810</v>
      </c>
      <c r="G51" s="7">
        <f t="shared" si="3"/>
        <v>905</v>
      </c>
      <c r="H51" s="7">
        <f t="shared" si="4"/>
        <v>905</v>
      </c>
      <c r="I51" s="7"/>
    </row>
    <row r="52" spans="1:9" x14ac:dyDescent="0.25">
      <c r="A52" s="117">
        <v>23000</v>
      </c>
      <c r="B52" s="4">
        <f t="shared" si="5"/>
        <v>1916.6666666666667</v>
      </c>
      <c r="C52" s="3">
        <f>'Total income package'!$D$80</f>
        <v>0</v>
      </c>
      <c r="D52" s="7">
        <f t="shared" si="1"/>
        <v>1916.6666666666667</v>
      </c>
      <c r="E52" s="7">
        <f t="shared" si="2"/>
        <v>1896.6666666666667</v>
      </c>
      <c r="F52" s="7">
        <f t="shared" si="0"/>
        <v>1851.6666666666667</v>
      </c>
      <c r="G52" s="7">
        <f t="shared" si="3"/>
        <v>925.83333333333337</v>
      </c>
      <c r="H52" s="7">
        <f t="shared" si="4"/>
        <v>925.83333333333337</v>
      </c>
      <c r="I52" s="7"/>
    </row>
    <row r="53" spans="1:9" x14ac:dyDescent="0.25">
      <c r="A53" s="29">
        <v>23500</v>
      </c>
      <c r="B53" s="4">
        <f t="shared" si="5"/>
        <v>1958.3333333333333</v>
      </c>
      <c r="C53" s="3">
        <f>'Total income package'!$D$80</f>
        <v>0</v>
      </c>
      <c r="D53" s="7">
        <f t="shared" si="1"/>
        <v>1958.3333333333333</v>
      </c>
      <c r="E53" s="7">
        <f t="shared" si="2"/>
        <v>1938.3333333333333</v>
      </c>
      <c r="F53" s="7">
        <f t="shared" si="0"/>
        <v>1893.3333333333333</v>
      </c>
      <c r="G53" s="7">
        <f t="shared" si="3"/>
        <v>946.66666666666663</v>
      </c>
      <c r="H53" s="7">
        <f t="shared" si="4"/>
        <v>946.66666666666663</v>
      </c>
      <c r="I53" s="7"/>
    </row>
    <row r="54" spans="1:9" x14ac:dyDescent="0.25">
      <c r="A54" s="117">
        <v>24000</v>
      </c>
      <c r="B54" s="4">
        <f t="shared" si="5"/>
        <v>2000</v>
      </c>
      <c r="C54" s="3">
        <f>'Total income package'!$D$80</f>
        <v>0</v>
      </c>
      <c r="D54" s="7">
        <f t="shared" si="1"/>
        <v>2000</v>
      </c>
      <c r="E54" s="7">
        <f t="shared" si="2"/>
        <v>1980</v>
      </c>
      <c r="F54" s="7">
        <f t="shared" si="0"/>
        <v>1935</v>
      </c>
      <c r="G54" s="7">
        <f t="shared" si="3"/>
        <v>967.5</v>
      </c>
      <c r="H54" s="7">
        <f t="shared" si="4"/>
        <v>967.5</v>
      </c>
      <c r="I54" s="7"/>
    </row>
    <row r="55" spans="1:9" x14ac:dyDescent="0.25">
      <c r="A55" s="117">
        <v>24500</v>
      </c>
      <c r="B55" s="4">
        <f t="shared" si="5"/>
        <v>2041.6666666666667</v>
      </c>
      <c r="C55" s="3">
        <f>'Total income package'!$D$80</f>
        <v>0</v>
      </c>
      <c r="D55" s="7">
        <f t="shared" si="1"/>
        <v>2041.6666666666667</v>
      </c>
      <c r="E55" s="7">
        <f t="shared" si="2"/>
        <v>2021.6666666666667</v>
      </c>
      <c r="F55" s="7">
        <f t="shared" si="0"/>
        <v>1976.6666666666667</v>
      </c>
      <c r="G55" s="7">
        <f t="shared" si="3"/>
        <v>988.33333333333337</v>
      </c>
      <c r="H55" s="7">
        <f t="shared" si="4"/>
        <v>988.33333333333337</v>
      </c>
      <c r="I55" s="7"/>
    </row>
    <row r="56" spans="1:9" x14ac:dyDescent="0.25">
      <c r="A56" s="29">
        <v>25000</v>
      </c>
      <c r="B56" s="4">
        <f t="shared" si="5"/>
        <v>2083.3333333333335</v>
      </c>
      <c r="C56" s="3">
        <f>'Total income package'!$D$80</f>
        <v>0</v>
      </c>
      <c r="D56" s="7">
        <f t="shared" si="1"/>
        <v>2083.3333333333335</v>
      </c>
      <c r="E56" s="7">
        <f t="shared" si="2"/>
        <v>2063.3333333333335</v>
      </c>
      <c r="F56" s="7">
        <f t="shared" si="0"/>
        <v>2018.3333333333335</v>
      </c>
      <c r="G56" s="7">
        <f t="shared" si="3"/>
        <v>1009.1666666666667</v>
      </c>
      <c r="H56" s="7">
        <f t="shared" si="4"/>
        <v>1009.1666666666667</v>
      </c>
      <c r="I56" s="7"/>
    </row>
    <row r="57" spans="1:9" x14ac:dyDescent="0.25">
      <c r="A57" s="117">
        <v>25500</v>
      </c>
      <c r="B57" s="4">
        <f t="shared" si="5"/>
        <v>2125</v>
      </c>
      <c r="C57" s="3">
        <f>'Total income package'!$D$80</f>
        <v>0</v>
      </c>
      <c r="D57" s="7">
        <f t="shared" si="1"/>
        <v>2125</v>
      </c>
      <c r="E57" s="7">
        <f t="shared" si="2"/>
        <v>2105</v>
      </c>
      <c r="F57" s="7">
        <f t="shared" si="0"/>
        <v>2060</v>
      </c>
      <c r="G57" s="7">
        <f t="shared" si="3"/>
        <v>1030</v>
      </c>
      <c r="H57" s="7">
        <f t="shared" si="4"/>
        <v>1030</v>
      </c>
      <c r="I57" s="7"/>
    </row>
    <row r="58" spans="1:9" x14ac:dyDescent="0.25">
      <c r="A58" s="117">
        <v>26000</v>
      </c>
      <c r="B58" s="4">
        <f t="shared" si="5"/>
        <v>2166.6666666666665</v>
      </c>
      <c r="C58" s="3">
        <f>'Total income package'!$D$80</f>
        <v>0</v>
      </c>
      <c r="D58" s="7">
        <f t="shared" si="1"/>
        <v>2166.6666666666665</v>
      </c>
      <c r="E58" s="7">
        <f t="shared" si="2"/>
        <v>2146.6666666666665</v>
      </c>
      <c r="F58" s="7">
        <f t="shared" si="0"/>
        <v>2101.6666666666665</v>
      </c>
      <c r="G58" s="7">
        <f t="shared" si="3"/>
        <v>1050.8333333333333</v>
      </c>
      <c r="H58" s="7">
        <f t="shared" si="4"/>
        <v>1050.8333333333333</v>
      </c>
      <c r="I58" s="7"/>
    </row>
    <row r="59" spans="1:9" x14ac:dyDescent="0.25">
      <c r="A59" s="29">
        <v>26500</v>
      </c>
      <c r="B59" s="4">
        <f t="shared" si="5"/>
        <v>2208.3333333333335</v>
      </c>
      <c r="C59" s="3">
        <f>'Total income package'!$D$80</f>
        <v>0</v>
      </c>
      <c r="D59" s="7">
        <f t="shared" si="1"/>
        <v>2208.3333333333335</v>
      </c>
      <c r="E59" s="7">
        <f t="shared" si="2"/>
        <v>2188.3333333333335</v>
      </c>
      <c r="F59" s="7">
        <f t="shared" si="0"/>
        <v>2143.3333333333335</v>
      </c>
      <c r="G59" s="7">
        <f t="shared" si="3"/>
        <v>1071.6666666666667</v>
      </c>
      <c r="H59" s="7">
        <f t="shared" si="4"/>
        <v>1071.6666666666667</v>
      </c>
      <c r="I59" s="7"/>
    </row>
    <row r="60" spans="1:9" x14ac:dyDescent="0.25">
      <c r="A60" s="117">
        <v>27000</v>
      </c>
      <c r="B60" s="4">
        <f t="shared" si="5"/>
        <v>2250</v>
      </c>
      <c r="C60" s="3">
        <f>'Total income package'!$D$80</f>
        <v>0</v>
      </c>
      <c r="D60" s="7">
        <f t="shared" si="1"/>
        <v>2250</v>
      </c>
      <c r="E60" s="7">
        <f t="shared" si="2"/>
        <v>2230</v>
      </c>
      <c r="F60" s="7">
        <f t="shared" si="0"/>
        <v>2185</v>
      </c>
      <c r="G60" s="7">
        <f t="shared" si="3"/>
        <v>1092.5</v>
      </c>
      <c r="H60" s="7">
        <f t="shared" si="4"/>
        <v>1092.5</v>
      </c>
      <c r="I60" s="7"/>
    </row>
    <row r="61" spans="1:9" x14ac:dyDescent="0.25">
      <c r="A61" s="117">
        <v>27500</v>
      </c>
      <c r="B61" s="4">
        <f t="shared" si="5"/>
        <v>2291.6666666666665</v>
      </c>
      <c r="C61" s="3">
        <f>'Total income package'!$D$80</f>
        <v>0</v>
      </c>
      <c r="D61" s="7">
        <f t="shared" si="1"/>
        <v>2291.6666666666665</v>
      </c>
      <c r="E61" s="7">
        <f t="shared" si="2"/>
        <v>2271.6666666666665</v>
      </c>
      <c r="F61" s="7">
        <f t="shared" si="0"/>
        <v>2226.6666666666665</v>
      </c>
      <c r="G61" s="7">
        <f t="shared" si="3"/>
        <v>1113.3333333333333</v>
      </c>
      <c r="H61" s="7">
        <f t="shared" si="4"/>
        <v>1113.3333333333333</v>
      </c>
      <c r="I61" s="7"/>
    </row>
    <row r="62" spans="1:9" x14ac:dyDescent="0.25">
      <c r="A62" s="29">
        <v>28000</v>
      </c>
      <c r="B62" s="4">
        <f t="shared" si="5"/>
        <v>2333.3333333333335</v>
      </c>
      <c r="C62" s="3">
        <f>'Total income package'!$D$80</f>
        <v>0</v>
      </c>
      <c r="D62" s="7">
        <f t="shared" si="1"/>
        <v>2333.3333333333335</v>
      </c>
      <c r="E62" s="7">
        <f t="shared" si="2"/>
        <v>2313.3333333333335</v>
      </c>
      <c r="F62" s="7">
        <f t="shared" si="0"/>
        <v>2268.3333333333335</v>
      </c>
      <c r="G62" s="7">
        <f t="shared" si="3"/>
        <v>1134.1666666666667</v>
      </c>
      <c r="H62" s="7">
        <f t="shared" si="4"/>
        <v>1134.1666666666667</v>
      </c>
      <c r="I62" s="7"/>
    </row>
    <row r="63" spans="1:9" x14ac:dyDescent="0.25">
      <c r="A63" s="117">
        <v>28500</v>
      </c>
      <c r="B63" s="4">
        <f t="shared" si="5"/>
        <v>2375</v>
      </c>
      <c r="C63" s="3">
        <f>'Total income package'!$D$80</f>
        <v>0</v>
      </c>
      <c r="D63" s="7">
        <f t="shared" si="1"/>
        <v>2375</v>
      </c>
      <c r="E63" s="7">
        <f t="shared" si="2"/>
        <v>2355</v>
      </c>
      <c r="F63" s="7">
        <f t="shared" si="0"/>
        <v>2310</v>
      </c>
      <c r="G63" s="7">
        <f t="shared" si="3"/>
        <v>1155</v>
      </c>
      <c r="H63" s="7">
        <f t="shared" si="4"/>
        <v>1155</v>
      </c>
      <c r="I63" s="7"/>
    </row>
    <row r="64" spans="1:9" x14ac:dyDescent="0.25">
      <c r="A64" s="117">
        <v>29000</v>
      </c>
      <c r="B64" s="4">
        <f t="shared" si="5"/>
        <v>2416.6666666666665</v>
      </c>
      <c r="C64" s="3">
        <f>'Total income package'!$D$80</f>
        <v>0</v>
      </c>
      <c r="D64" s="7">
        <f t="shared" si="1"/>
        <v>2416.6666666666665</v>
      </c>
      <c r="E64" s="7">
        <f t="shared" si="2"/>
        <v>2396.6666666666665</v>
      </c>
      <c r="F64" s="7">
        <f t="shared" si="0"/>
        <v>2351.6666666666665</v>
      </c>
      <c r="G64" s="7">
        <f t="shared" si="3"/>
        <v>1175.8333333333333</v>
      </c>
      <c r="H64" s="7">
        <f t="shared" si="4"/>
        <v>1175.8333333333333</v>
      </c>
      <c r="I64" s="7"/>
    </row>
    <row r="65" spans="1:9" x14ac:dyDescent="0.25">
      <c r="A65" s="29">
        <v>29500</v>
      </c>
      <c r="B65" s="4">
        <f t="shared" si="5"/>
        <v>2458.3333333333335</v>
      </c>
      <c r="C65" s="3">
        <f>'Total income package'!$D$80</f>
        <v>0</v>
      </c>
      <c r="D65" s="7">
        <f t="shared" si="1"/>
        <v>2458.3333333333335</v>
      </c>
      <c r="E65" s="7">
        <f t="shared" si="2"/>
        <v>2438.3333333333335</v>
      </c>
      <c r="F65" s="7">
        <f t="shared" si="0"/>
        <v>2393.3333333333335</v>
      </c>
      <c r="G65" s="7">
        <f t="shared" si="3"/>
        <v>1196.6666666666667</v>
      </c>
      <c r="H65" s="7">
        <f t="shared" si="4"/>
        <v>1196.6666666666667</v>
      </c>
      <c r="I65" s="7"/>
    </row>
    <row r="66" spans="1:9" x14ac:dyDescent="0.25">
      <c r="A66" s="117">
        <v>30000</v>
      </c>
      <c r="B66" s="4">
        <f t="shared" si="5"/>
        <v>2500</v>
      </c>
      <c r="C66" s="3">
        <f>'Total income package'!$D$80</f>
        <v>0</v>
      </c>
      <c r="D66" s="7">
        <f t="shared" si="1"/>
        <v>2500</v>
      </c>
      <c r="E66" s="7">
        <f t="shared" si="2"/>
        <v>2480</v>
      </c>
      <c r="F66" s="7">
        <f t="shared" si="0"/>
        <v>2435</v>
      </c>
      <c r="G66" s="7">
        <f t="shared" si="3"/>
        <v>1217.5</v>
      </c>
      <c r="H66" s="7">
        <f t="shared" si="4"/>
        <v>1217.5</v>
      </c>
      <c r="I66" s="7"/>
    </row>
    <row r="67" spans="1:9" x14ac:dyDescent="0.25">
      <c r="A67" s="117">
        <v>30500</v>
      </c>
      <c r="B67" s="4">
        <f t="shared" si="5"/>
        <v>2541.6666666666665</v>
      </c>
      <c r="C67" s="3">
        <f>'Total income package'!$D$80</f>
        <v>0</v>
      </c>
      <c r="D67" s="7">
        <f t="shared" si="1"/>
        <v>2541.6666666666665</v>
      </c>
      <c r="E67" s="7">
        <f t="shared" si="2"/>
        <v>2521.6666666666665</v>
      </c>
      <c r="F67" s="7">
        <f t="shared" si="0"/>
        <v>2476.6666666666665</v>
      </c>
      <c r="G67" s="7">
        <f t="shared" si="3"/>
        <v>1238.3333333333333</v>
      </c>
      <c r="H67" s="7">
        <f t="shared" si="4"/>
        <v>1238.3333333333333</v>
      </c>
      <c r="I67" s="7"/>
    </row>
    <row r="68" spans="1:9" x14ac:dyDescent="0.25">
      <c r="A68" s="29">
        <v>31000</v>
      </c>
      <c r="B68" s="4">
        <f t="shared" si="5"/>
        <v>2583.3333333333335</v>
      </c>
      <c r="C68" s="3">
        <f>'Total income package'!$D$80</f>
        <v>0</v>
      </c>
      <c r="D68" s="7">
        <f t="shared" si="1"/>
        <v>2583.3333333333335</v>
      </c>
      <c r="E68" s="7">
        <f t="shared" si="2"/>
        <v>2563.3333333333335</v>
      </c>
      <c r="F68" s="7">
        <f t="shared" si="0"/>
        <v>2518.3333333333335</v>
      </c>
      <c r="G68" s="7">
        <f t="shared" si="3"/>
        <v>1259.1666666666667</v>
      </c>
      <c r="H68" s="7">
        <f t="shared" si="4"/>
        <v>1259.1666666666667</v>
      </c>
      <c r="I68" s="7"/>
    </row>
    <row r="69" spans="1:9" x14ac:dyDescent="0.25">
      <c r="A69" s="117">
        <v>31500</v>
      </c>
      <c r="B69" s="4">
        <f t="shared" si="5"/>
        <v>2625</v>
      </c>
      <c r="C69" s="3">
        <f>'Total income package'!$D$80</f>
        <v>0</v>
      </c>
      <c r="D69" s="7">
        <f t="shared" si="1"/>
        <v>2625</v>
      </c>
      <c r="E69" s="7">
        <f t="shared" si="2"/>
        <v>2605</v>
      </c>
      <c r="F69" s="7">
        <f t="shared" si="0"/>
        <v>2560</v>
      </c>
      <c r="G69" s="7">
        <f t="shared" si="3"/>
        <v>1280</v>
      </c>
      <c r="H69" s="7">
        <f t="shared" si="4"/>
        <v>1280</v>
      </c>
      <c r="I69" s="7"/>
    </row>
    <row r="70" spans="1:9" x14ac:dyDescent="0.25">
      <c r="A70" s="117">
        <v>32000</v>
      </c>
      <c r="B70" s="4">
        <f t="shared" si="5"/>
        <v>2666.6666666666665</v>
      </c>
      <c r="C70" s="3">
        <f>'Total income package'!$D$80</f>
        <v>0</v>
      </c>
      <c r="D70" s="7">
        <f t="shared" si="1"/>
        <v>2666.6666666666665</v>
      </c>
      <c r="E70" s="7">
        <f t="shared" si="2"/>
        <v>2646.6666666666665</v>
      </c>
      <c r="F70" s="7">
        <f t="shared" ref="F70:F133" si="6">IF(B70-65&lt;0,0,B70-65)</f>
        <v>2601.6666666666665</v>
      </c>
      <c r="G70" s="7">
        <f t="shared" si="3"/>
        <v>1300.8333333333333</v>
      </c>
      <c r="H70" s="7">
        <f t="shared" si="4"/>
        <v>1300.8333333333333</v>
      </c>
      <c r="I70" s="7"/>
    </row>
    <row r="71" spans="1:9" x14ac:dyDescent="0.25">
      <c r="A71" s="29">
        <v>32500</v>
      </c>
      <c r="B71" s="4">
        <f t="shared" si="5"/>
        <v>2708.3333333333335</v>
      </c>
      <c r="C71" s="3">
        <f>'Total income package'!$D$80</f>
        <v>0</v>
      </c>
      <c r="D71" s="7">
        <f t="shared" ref="D71:D134" si="7">B71+C71</f>
        <v>2708.3333333333335</v>
      </c>
      <c r="E71" s="7">
        <f t="shared" ref="E71:E134" si="8">D71-20</f>
        <v>2688.3333333333335</v>
      </c>
      <c r="F71" s="7">
        <f t="shared" si="6"/>
        <v>2643.3333333333335</v>
      </c>
      <c r="G71" s="7">
        <f t="shared" ref="G71:G134" si="9">IF(F71/2&lt;0,0,F71/2)</f>
        <v>1321.6666666666667</v>
      </c>
      <c r="H71" s="7">
        <f t="shared" ref="H71:H134" si="10">G71+C71</f>
        <v>1321.6666666666667</v>
      </c>
      <c r="I71" s="7"/>
    </row>
    <row r="72" spans="1:9" x14ac:dyDescent="0.25">
      <c r="A72" s="117">
        <v>33000</v>
      </c>
      <c r="B72" s="4">
        <f t="shared" si="5"/>
        <v>2750</v>
      </c>
      <c r="C72" s="3">
        <f>'Total income package'!$D$80</f>
        <v>0</v>
      </c>
      <c r="D72" s="7">
        <f t="shared" si="7"/>
        <v>2750</v>
      </c>
      <c r="E72" s="7">
        <f t="shared" si="8"/>
        <v>2730</v>
      </c>
      <c r="F72" s="7">
        <f t="shared" si="6"/>
        <v>2685</v>
      </c>
      <c r="G72" s="7">
        <f t="shared" si="9"/>
        <v>1342.5</v>
      </c>
      <c r="H72" s="7">
        <f t="shared" si="10"/>
        <v>1342.5</v>
      </c>
      <c r="I72" s="7"/>
    </row>
    <row r="73" spans="1:9" x14ac:dyDescent="0.25">
      <c r="A73" s="117">
        <v>33500</v>
      </c>
      <c r="B73" s="4">
        <f t="shared" ref="B73:B106" si="11">A73/12</f>
        <v>2791.6666666666665</v>
      </c>
      <c r="C73" s="3">
        <f>'Total income package'!$D$80</f>
        <v>0</v>
      </c>
      <c r="D73" s="7">
        <f t="shared" si="7"/>
        <v>2791.6666666666665</v>
      </c>
      <c r="E73" s="7">
        <f t="shared" si="8"/>
        <v>2771.6666666666665</v>
      </c>
      <c r="F73" s="7">
        <f t="shared" si="6"/>
        <v>2726.6666666666665</v>
      </c>
      <c r="G73" s="7">
        <f t="shared" si="9"/>
        <v>1363.3333333333333</v>
      </c>
      <c r="H73" s="7">
        <f t="shared" si="10"/>
        <v>1363.3333333333333</v>
      </c>
      <c r="I73" s="7"/>
    </row>
    <row r="74" spans="1:9" x14ac:dyDescent="0.25">
      <c r="A74" s="29">
        <v>34000</v>
      </c>
      <c r="B74" s="4">
        <f t="shared" si="11"/>
        <v>2833.3333333333335</v>
      </c>
      <c r="C74" s="3">
        <f>'Total income package'!$D$80</f>
        <v>0</v>
      </c>
      <c r="D74" s="7">
        <f t="shared" si="7"/>
        <v>2833.3333333333335</v>
      </c>
      <c r="E74" s="7">
        <f t="shared" si="8"/>
        <v>2813.3333333333335</v>
      </c>
      <c r="F74" s="7">
        <f t="shared" si="6"/>
        <v>2768.3333333333335</v>
      </c>
      <c r="G74" s="7">
        <f t="shared" si="9"/>
        <v>1384.1666666666667</v>
      </c>
      <c r="H74" s="7">
        <f t="shared" si="10"/>
        <v>1384.1666666666667</v>
      </c>
      <c r="I74" s="7"/>
    </row>
    <row r="75" spans="1:9" x14ac:dyDescent="0.25">
      <c r="A75" s="117">
        <v>34500</v>
      </c>
      <c r="B75" s="4">
        <f t="shared" si="11"/>
        <v>2875</v>
      </c>
      <c r="C75" s="3">
        <f>'Total income package'!$D$80</f>
        <v>0</v>
      </c>
      <c r="D75" s="7">
        <f t="shared" si="7"/>
        <v>2875</v>
      </c>
      <c r="E75" s="7">
        <f t="shared" si="8"/>
        <v>2855</v>
      </c>
      <c r="F75" s="7">
        <f t="shared" si="6"/>
        <v>2810</v>
      </c>
      <c r="G75" s="7">
        <f t="shared" si="9"/>
        <v>1405</v>
      </c>
      <c r="H75" s="7">
        <f t="shared" si="10"/>
        <v>1405</v>
      </c>
      <c r="I75" s="7"/>
    </row>
    <row r="76" spans="1:9" x14ac:dyDescent="0.25">
      <c r="A76" s="117">
        <v>35000</v>
      </c>
      <c r="B76" s="4">
        <f t="shared" si="11"/>
        <v>2916.6666666666665</v>
      </c>
      <c r="C76" s="3">
        <f>'Total income package'!$D$80</f>
        <v>0</v>
      </c>
      <c r="D76" s="7">
        <f t="shared" si="7"/>
        <v>2916.6666666666665</v>
      </c>
      <c r="E76" s="7">
        <f t="shared" si="8"/>
        <v>2896.6666666666665</v>
      </c>
      <c r="F76" s="7">
        <f t="shared" si="6"/>
        <v>2851.6666666666665</v>
      </c>
      <c r="G76" s="7">
        <f t="shared" si="9"/>
        <v>1425.8333333333333</v>
      </c>
      <c r="H76" s="7">
        <f t="shared" si="10"/>
        <v>1425.8333333333333</v>
      </c>
      <c r="I76" s="7"/>
    </row>
    <row r="77" spans="1:9" x14ac:dyDescent="0.25">
      <c r="A77" s="29">
        <v>35500</v>
      </c>
      <c r="B77" s="4">
        <f t="shared" si="11"/>
        <v>2958.3333333333335</v>
      </c>
      <c r="C77" s="3">
        <f>'Total income package'!$D$80</f>
        <v>0</v>
      </c>
      <c r="D77" s="7">
        <f t="shared" si="7"/>
        <v>2958.3333333333335</v>
      </c>
      <c r="E77" s="7">
        <f t="shared" si="8"/>
        <v>2938.3333333333335</v>
      </c>
      <c r="F77" s="7">
        <f t="shared" si="6"/>
        <v>2893.3333333333335</v>
      </c>
      <c r="G77" s="7">
        <f t="shared" si="9"/>
        <v>1446.6666666666667</v>
      </c>
      <c r="H77" s="7">
        <f t="shared" si="10"/>
        <v>1446.6666666666667</v>
      </c>
      <c r="I77" s="7"/>
    </row>
    <row r="78" spans="1:9" x14ac:dyDescent="0.25">
      <c r="A78" s="117">
        <v>36000</v>
      </c>
      <c r="B78" s="4">
        <f t="shared" si="11"/>
        <v>3000</v>
      </c>
      <c r="C78" s="3">
        <f>'Total income package'!$D$80</f>
        <v>0</v>
      </c>
      <c r="D78" s="7">
        <f t="shared" si="7"/>
        <v>3000</v>
      </c>
      <c r="E78" s="7">
        <f t="shared" si="8"/>
        <v>2980</v>
      </c>
      <c r="F78" s="7">
        <f t="shared" si="6"/>
        <v>2935</v>
      </c>
      <c r="G78" s="7">
        <f t="shared" si="9"/>
        <v>1467.5</v>
      </c>
      <c r="H78" s="7">
        <f t="shared" si="10"/>
        <v>1467.5</v>
      </c>
      <c r="I78" s="7"/>
    </row>
    <row r="79" spans="1:9" x14ac:dyDescent="0.25">
      <c r="A79" s="117">
        <v>36500</v>
      </c>
      <c r="B79" s="4">
        <f t="shared" si="11"/>
        <v>3041.6666666666665</v>
      </c>
      <c r="C79" s="3">
        <f>'Total income package'!$D$80</f>
        <v>0</v>
      </c>
      <c r="D79" s="7">
        <f t="shared" si="7"/>
        <v>3041.6666666666665</v>
      </c>
      <c r="E79" s="7">
        <f t="shared" si="8"/>
        <v>3021.6666666666665</v>
      </c>
      <c r="F79" s="7">
        <f t="shared" si="6"/>
        <v>2976.6666666666665</v>
      </c>
      <c r="G79" s="7">
        <f t="shared" si="9"/>
        <v>1488.3333333333333</v>
      </c>
      <c r="H79" s="7">
        <f t="shared" si="10"/>
        <v>1488.3333333333333</v>
      </c>
      <c r="I79" s="7"/>
    </row>
    <row r="80" spans="1:9" x14ac:dyDescent="0.25">
      <c r="A80" s="29">
        <v>37000</v>
      </c>
      <c r="B80" s="4">
        <f t="shared" si="11"/>
        <v>3083.3333333333335</v>
      </c>
      <c r="C80" s="3">
        <f>'Total income package'!$D$80</f>
        <v>0</v>
      </c>
      <c r="D80" s="7">
        <f t="shared" si="7"/>
        <v>3083.3333333333335</v>
      </c>
      <c r="E80" s="7">
        <f t="shared" si="8"/>
        <v>3063.3333333333335</v>
      </c>
      <c r="F80" s="7">
        <f t="shared" si="6"/>
        <v>3018.3333333333335</v>
      </c>
      <c r="G80" s="7">
        <f t="shared" si="9"/>
        <v>1509.1666666666667</v>
      </c>
      <c r="H80" s="7">
        <f t="shared" si="10"/>
        <v>1509.1666666666667</v>
      </c>
      <c r="I80" s="7"/>
    </row>
    <row r="81" spans="1:9" x14ac:dyDescent="0.25">
      <c r="A81" s="117">
        <v>37500</v>
      </c>
      <c r="B81" s="4">
        <f t="shared" si="11"/>
        <v>3125</v>
      </c>
      <c r="C81" s="3">
        <f>'Total income package'!$D$80</f>
        <v>0</v>
      </c>
      <c r="D81" s="7">
        <f t="shared" si="7"/>
        <v>3125</v>
      </c>
      <c r="E81" s="7">
        <f t="shared" si="8"/>
        <v>3105</v>
      </c>
      <c r="F81" s="7">
        <f t="shared" si="6"/>
        <v>3060</v>
      </c>
      <c r="G81" s="7">
        <f t="shared" si="9"/>
        <v>1530</v>
      </c>
      <c r="H81" s="7">
        <f t="shared" si="10"/>
        <v>1530</v>
      </c>
      <c r="I81" s="7"/>
    </row>
    <row r="82" spans="1:9" x14ac:dyDescent="0.25">
      <c r="A82" s="117">
        <v>38000</v>
      </c>
      <c r="B82" s="4">
        <f t="shared" si="11"/>
        <v>3166.6666666666665</v>
      </c>
      <c r="C82" s="3">
        <f>'Total income package'!$D$80</f>
        <v>0</v>
      </c>
      <c r="D82" s="7">
        <f t="shared" si="7"/>
        <v>3166.6666666666665</v>
      </c>
      <c r="E82" s="7">
        <f t="shared" si="8"/>
        <v>3146.6666666666665</v>
      </c>
      <c r="F82" s="7">
        <f t="shared" si="6"/>
        <v>3101.6666666666665</v>
      </c>
      <c r="G82" s="7">
        <f t="shared" si="9"/>
        <v>1550.8333333333333</v>
      </c>
      <c r="H82" s="7">
        <f t="shared" si="10"/>
        <v>1550.8333333333333</v>
      </c>
      <c r="I82" s="7"/>
    </row>
    <row r="83" spans="1:9" x14ac:dyDescent="0.25">
      <c r="A83" s="29">
        <v>38500</v>
      </c>
      <c r="B83" s="4">
        <f t="shared" si="11"/>
        <v>3208.3333333333335</v>
      </c>
      <c r="C83" s="3">
        <f>'Total income package'!$D$80</f>
        <v>0</v>
      </c>
      <c r="D83" s="7">
        <f t="shared" si="7"/>
        <v>3208.3333333333335</v>
      </c>
      <c r="E83" s="7">
        <f t="shared" si="8"/>
        <v>3188.3333333333335</v>
      </c>
      <c r="F83" s="7">
        <f t="shared" si="6"/>
        <v>3143.3333333333335</v>
      </c>
      <c r="G83" s="7">
        <f t="shared" si="9"/>
        <v>1571.6666666666667</v>
      </c>
      <c r="H83" s="7">
        <f t="shared" si="10"/>
        <v>1571.6666666666667</v>
      </c>
      <c r="I83" s="7"/>
    </row>
    <row r="84" spans="1:9" x14ac:dyDescent="0.25">
      <c r="A84" s="117">
        <v>39000</v>
      </c>
      <c r="B84" s="4">
        <f t="shared" si="11"/>
        <v>3250</v>
      </c>
      <c r="C84" s="3">
        <f>'Total income package'!$D$80</f>
        <v>0</v>
      </c>
      <c r="D84" s="7">
        <f t="shared" si="7"/>
        <v>3250</v>
      </c>
      <c r="E84" s="7">
        <f t="shared" si="8"/>
        <v>3230</v>
      </c>
      <c r="F84" s="7">
        <f t="shared" si="6"/>
        <v>3185</v>
      </c>
      <c r="G84" s="7">
        <f t="shared" si="9"/>
        <v>1592.5</v>
      </c>
      <c r="H84" s="7">
        <f t="shared" si="10"/>
        <v>1592.5</v>
      </c>
      <c r="I84" s="7"/>
    </row>
    <row r="85" spans="1:9" x14ac:dyDescent="0.25">
      <c r="A85" s="117">
        <v>39500</v>
      </c>
      <c r="B85" s="4">
        <f t="shared" si="11"/>
        <v>3291.6666666666665</v>
      </c>
      <c r="C85" s="3">
        <f>'Total income package'!$D$80</f>
        <v>0</v>
      </c>
      <c r="D85" s="7">
        <f t="shared" si="7"/>
        <v>3291.6666666666665</v>
      </c>
      <c r="E85" s="7">
        <f t="shared" si="8"/>
        <v>3271.6666666666665</v>
      </c>
      <c r="F85" s="7">
        <f t="shared" si="6"/>
        <v>3226.6666666666665</v>
      </c>
      <c r="G85" s="7">
        <f t="shared" si="9"/>
        <v>1613.3333333333333</v>
      </c>
      <c r="H85" s="7">
        <f t="shared" si="10"/>
        <v>1613.3333333333333</v>
      </c>
      <c r="I85" s="7"/>
    </row>
    <row r="86" spans="1:9" x14ac:dyDescent="0.25">
      <c r="A86" s="29">
        <v>40000</v>
      </c>
      <c r="B86" s="4">
        <f t="shared" si="11"/>
        <v>3333.3333333333335</v>
      </c>
      <c r="C86" s="3">
        <f>'Total income package'!$D$80</f>
        <v>0</v>
      </c>
      <c r="D86" s="7">
        <f t="shared" si="7"/>
        <v>3333.3333333333335</v>
      </c>
      <c r="E86" s="7">
        <f t="shared" si="8"/>
        <v>3313.3333333333335</v>
      </c>
      <c r="F86" s="7">
        <f t="shared" si="6"/>
        <v>3268.3333333333335</v>
      </c>
      <c r="G86" s="7">
        <f t="shared" si="9"/>
        <v>1634.1666666666667</v>
      </c>
      <c r="H86" s="7">
        <f t="shared" si="10"/>
        <v>1634.1666666666667</v>
      </c>
      <c r="I86" s="7"/>
    </row>
    <row r="87" spans="1:9" x14ac:dyDescent="0.25">
      <c r="A87" s="117">
        <v>40500</v>
      </c>
      <c r="B87" s="4">
        <f t="shared" si="11"/>
        <v>3375</v>
      </c>
      <c r="C87" s="3">
        <f>'Total income package'!$D$80</f>
        <v>0</v>
      </c>
      <c r="D87" s="7">
        <f t="shared" si="7"/>
        <v>3375</v>
      </c>
      <c r="E87" s="7">
        <f t="shared" si="8"/>
        <v>3355</v>
      </c>
      <c r="F87" s="7">
        <f t="shared" si="6"/>
        <v>3310</v>
      </c>
      <c r="G87" s="7">
        <f t="shared" si="9"/>
        <v>1655</v>
      </c>
      <c r="H87" s="7">
        <f t="shared" si="10"/>
        <v>1655</v>
      </c>
      <c r="I87" s="7"/>
    </row>
    <row r="88" spans="1:9" x14ac:dyDescent="0.25">
      <c r="A88" s="117">
        <v>41000</v>
      </c>
      <c r="B88" s="4">
        <f t="shared" si="11"/>
        <v>3416.6666666666665</v>
      </c>
      <c r="C88" s="3">
        <f>'Total income package'!$D$80</f>
        <v>0</v>
      </c>
      <c r="D88" s="7">
        <f t="shared" si="7"/>
        <v>3416.6666666666665</v>
      </c>
      <c r="E88" s="7">
        <f t="shared" si="8"/>
        <v>3396.6666666666665</v>
      </c>
      <c r="F88" s="7">
        <f t="shared" si="6"/>
        <v>3351.6666666666665</v>
      </c>
      <c r="G88" s="7">
        <f t="shared" si="9"/>
        <v>1675.8333333333333</v>
      </c>
      <c r="H88" s="7">
        <f t="shared" si="10"/>
        <v>1675.8333333333333</v>
      </c>
      <c r="I88" s="7"/>
    </row>
    <row r="89" spans="1:9" x14ac:dyDescent="0.25">
      <c r="A89" s="29">
        <v>41500</v>
      </c>
      <c r="B89" s="4">
        <f t="shared" si="11"/>
        <v>3458.3333333333335</v>
      </c>
      <c r="C89" s="3">
        <f>'Total income package'!$D$80</f>
        <v>0</v>
      </c>
      <c r="D89" s="7">
        <f t="shared" si="7"/>
        <v>3458.3333333333335</v>
      </c>
      <c r="E89" s="7">
        <f t="shared" si="8"/>
        <v>3438.3333333333335</v>
      </c>
      <c r="F89" s="7">
        <f t="shared" si="6"/>
        <v>3393.3333333333335</v>
      </c>
      <c r="G89" s="7">
        <f t="shared" si="9"/>
        <v>1696.6666666666667</v>
      </c>
      <c r="H89" s="7">
        <f t="shared" si="10"/>
        <v>1696.6666666666667</v>
      </c>
      <c r="I89" s="7"/>
    </row>
    <row r="90" spans="1:9" x14ac:dyDescent="0.25">
      <c r="A90" s="117">
        <v>42000</v>
      </c>
      <c r="B90" s="4">
        <f t="shared" si="11"/>
        <v>3500</v>
      </c>
      <c r="C90" s="3">
        <f>'Total income package'!$D$80</f>
        <v>0</v>
      </c>
      <c r="D90" s="7">
        <f t="shared" si="7"/>
        <v>3500</v>
      </c>
      <c r="E90" s="7">
        <f t="shared" si="8"/>
        <v>3480</v>
      </c>
      <c r="F90" s="7">
        <f t="shared" si="6"/>
        <v>3435</v>
      </c>
      <c r="G90" s="7">
        <f t="shared" si="9"/>
        <v>1717.5</v>
      </c>
      <c r="H90" s="7">
        <f t="shared" si="10"/>
        <v>1717.5</v>
      </c>
      <c r="I90" s="7"/>
    </row>
    <row r="91" spans="1:9" x14ac:dyDescent="0.25">
      <c r="A91" s="117">
        <v>42500</v>
      </c>
      <c r="B91" s="4">
        <f t="shared" si="11"/>
        <v>3541.6666666666665</v>
      </c>
      <c r="C91" s="3">
        <f>'Total income package'!$D$80</f>
        <v>0</v>
      </c>
      <c r="D91" s="7">
        <f t="shared" si="7"/>
        <v>3541.6666666666665</v>
      </c>
      <c r="E91" s="7">
        <f t="shared" si="8"/>
        <v>3521.6666666666665</v>
      </c>
      <c r="F91" s="7">
        <f t="shared" si="6"/>
        <v>3476.6666666666665</v>
      </c>
      <c r="G91" s="7">
        <f t="shared" si="9"/>
        <v>1738.3333333333333</v>
      </c>
      <c r="H91" s="7">
        <f t="shared" si="10"/>
        <v>1738.3333333333333</v>
      </c>
      <c r="I91" s="7"/>
    </row>
    <row r="92" spans="1:9" x14ac:dyDescent="0.25">
      <c r="A92" s="29">
        <v>43000</v>
      </c>
      <c r="B92" s="4">
        <f t="shared" si="11"/>
        <v>3583.3333333333335</v>
      </c>
      <c r="C92" s="3">
        <f>'Total income package'!$D$80</f>
        <v>0</v>
      </c>
      <c r="D92" s="7">
        <f t="shared" si="7"/>
        <v>3583.3333333333335</v>
      </c>
      <c r="E92" s="7">
        <f t="shared" si="8"/>
        <v>3563.3333333333335</v>
      </c>
      <c r="F92" s="7">
        <f t="shared" si="6"/>
        <v>3518.3333333333335</v>
      </c>
      <c r="G92" s="7">
        <f t="shared" si="9"/>
        <v>1759.1666666666667</v>
      </c>
      <c r="H92" s="7">
        <f t="shared" si="10"/>
        <v>1759.1666666666667</v>
      </c>
      <c r="I92" s="7"/>
    </row>
    <row r="93" spans="1:9" x14ac:dyDescent="0.25">
      <c r="A93" s="117">
        <v>43500</v>
      </c>
      <c r="B93" s="4">
        <f t="shared" si="11"/>
        <v>3625</v>
      </c>
      <c r="C93" s="3">
        <f>'Total income package'!$D$80</f>
        <v>0</v>
      </c>
      <c r="D93" s="7">
        <f t="shared" si="7"/>
        <v>3625</v>
      </c>
      <c r="E93" s="7">
        <f t="shared" si="8"/>
        <v>3605</v>
      </c>
      <c r="F93" s="7">
        <f t="shared" si="6"/>
        <v>3560</v>
      </c>
      <c r="G93" s="7">
        <f t="shared" si="9"/>
        <v>1780</v>
      </c>
      <c r="H93" s="7">
        <f t="shared" si="10"/>
        <v>1780</v>
      </c>
      <c r="I93" s="7"/>
    </row>
    <row r="94" spans="1:9" x14ac:dyDescent="0.25">
      <c r="A94" s="117">
        <v>44000</v>
      </c>
      <c r="B94" s="4">
        <f t="shared" si="11"/>
        <v>3666.6666666666665</v>
      </c>
      <c r="C94" s="3">
        <f>'Total income package'!$D$80</f>
        <v>0</v>
      </c>
      <c r="D94" s="7">
        <f t="shared" si="7"/>
        <v>3666.6666666666665</v>
      </c>
      <c r="E94" s="7">
        <f t="shared" si="8"/>
        <v>3646.6666666666665</v>
      </c>
      <c r="F94" s="7">
        <f t="shared" si="6"/>
        <v>3601.6666666666665</v>
      </c>
      <c r="G94" s="7">
        <f t="shared" si="9"/>
        <v>1800.8333333333333</v>
      </c>
      <c r="H94" s="7">
        <f t="shared" si="10"/>
        <v>1800.8333333333333</v>
      </c>
      <c r="I94" s="7"/>
    </row>
    <row r="95" spans="1:9" x14ac:dyDescent="0.25">
      <c r="A95" s="29">
        <v>44500</v>
      </c>
      <c r="B95" s="4">
        <f t="shared" si="11"/>
        <v>3708.3333333333335</v>
      </c>
      <c r="C95" s="3">
        <f>'Total income package'!$D$80</f>
        <v>0</v>
      </c>
      <c r="D95" s="7">
        <f t="shared" si="7"/>
        <v>3708.3333333333335</v>
      </c>
      <c r="E95" s="7">
        <f t="shared" si="8"/>
        <v>3688.3333333333335</v>
      </c>
      <c r="F95" s="7">
        <f t="shared" si="6"/>
        <v>3643.3333333333335</v>
      </c>
      <c r="G95" s="7">
        <f t="shared" si="9"/>
        <v>1821.6666666666667</v>
      </c>
      <c r="H95" s="7">
        <f t="shared" si="10"/>
        <v>1821.6666666666667</v>
      </c>
      <c r="I95" s="7"/>
    </row>
    <row r="96" spans="1:9" x14ac:dyDescent="0.25">
      <c r="A96" s="117">
        <v>45000</v>
      </c>
      <c r="B96" s="4">
        <f t="shared" si="11"/>
        <v>3750</v>
      </c>
      <c r="C96" s="3">
        <f>'Total income package'!$D$80</f>
        <v>0</v>
      </c>
      <c r="D96" s="7">
        <f t="shared" si="7"/>
        <v>3750</v>
      </c>
      <c r="E96" s="7">
        <f t="shared" si="8"/>
        <v>3730</v>
      </c>
      <c r="F96" s="7">
        <f t="shared" si="6"/>
        <v>3685</v>
      </c>
      <c r="G96" s="7">
        <f t="shared" si="9"/>
        <v>1842.5</v>
      </c>
      <c r="H96" s="7">
        <f t="shared" si="10"/>
        <v>1842.5</v>
      </c>
      <c r="I96" s="7"/>
    </row>
    <row r="97" spans="1:9" x14ac:dyDescent="0.25">
      <c r="A97" s="117">
        <v>45500</v>
      </c>
      <c r="B97" s="4">
        <f t="shared" si="11"/>
        <v>3791.6666666666665</v>
      </c>
      <c r="C97" s="3">
        <f>'Total income package'!$D$80</f>
        <v>0</v>
      </c>
      <c r="D97" s="7">
        <f t="shared" si="7"/>
        <v>3791.6666666666665</v>
      </c>
      <c r="E97" s="7">
        <f t="shared" si="8"/>
        <v>3771.6666666666665</v>
      </c>
      <c r="F97" s="7">
        <f t="shared" si="6"/>
        <v>3726.6666666666665</v>
      </c>
      <c r="G97" s="7">
        <f t="shared" si="9"/>
        <v>1863.3333333333333</v>
      </c>
      <c r="H97" s="7">
        <f t="shared" si="10"/>
        <v>1863.3333333333333</v>
      </c>
      <c r="I97" s="7"/>
    </row>
    <row r="98" spans="1:9" x14ac:dyDescent="0.25">
      <c r="A98" s="29">
        <v>46000</v>
      </c>
      <c r="B98" s="4">
        <f>A98/12</f>
        <v>3833.3333333333335</v>
      </c>
      <c r="C98" s="3">
        <f>'Total income package'!$D$80</f>
        <v>0</v>
      </c>
      <c r="D98" s="7">
        <f t="shared" si="7"/>
        <v>3833.3333333333335</v>
      </c>
      <c r="E98" s="7">
        <f t="shared" si="8"/>
        <v>3813.3333333333335</v>
      </c>
      <c r="F98" s="7">
        <f t="shared" si="6"/>
        <v>3768.3333333333335</v>
      </c>
      <c r="G98" s="7">
        <f t="shared" si="9"/>
        <v>1884.1666666666667</v>
      </c>
      <c r="H98" s="7">
        <f t="shared" si="10"/>
        <v>1884.1666666666667</v>
      </c>
      <c r="I98" s="7"/>
    </row>
    <row r="99" spans="1:9" x14ac:dyDescent="0.25">
      <c r="A99" s="117">
        <v>46500</v>
      </c>
      <c r="B99" s="4">
        <f t="shared" si="11"/>
        <v>3875</v>
      </c>
      <c r="C99" s="3">
        <f>'Total income package'!$D$80</f>
        <v>0</v>
      </c>
      <c r="D99" s="7">
        <f t="shared" si="7"/>
        <v>3875</v>
      </c>
      <c r="E99" s="7">
        <f t="shared" si="8"/>
        <v>3855</v>
      </c>
      <c r="F99" s="7">
        <f t="shared" si="6"/>
        <v>3810</v>
      </c>
      <c r="G99" s="7">
        <f t="shared" si="9"/>
        <v>1905</v>
      </c>
      <c r="H99" s="7">
        <f t="shared" si="10"/>
        <v>1905</v>
      </c>
      <c r="I99" s="7"/>
    </row>
    <row r="100" spans="1:9" x14ac:dyDescent="0.25">
      <c r="A100" s="117">
        <v>47000</v>
      </c>
      <c r="B100" s="4">
        <f t="shared" si="11"/>
        <v>3916.6666666666665</v>
      </c>
      <c r="C100" s="3">
        <f>'Total income package'!$D$80</f>
        <v>0</v>
      </c>
      <c r="D100" s="7">
        <f t="shared" si="7"/>
        <v>3916.6666666666665</v>
      </c>
      <c r="E100" s="7">
        <f t="shared" si="8"/>
        <v>3896.6666666666665</v>
      </c>
      <c r="F100" s="7">
        <f t="shared" si="6"/>
        <v>3851.6666666666665</v>
      </c>
      <c r="G100" s="7">
        <f t="shared" si="9"/>
        <v>1925.8333333333333</v>
      </c>
      <c r="H100" s="7">
        <f t="shared" si="10"/>
        <v>1925.8333333333333</v>
      </c>
      <c r="I100" s="7"/>
    </row>
    <row r="101" spans="1:9" x14ac:dyDescent="0.25">
      <c r="A101" s="29">
        <v>47500</v>
      </c>
      <c r="B101" s="4">
        <f t="shared" si="11"/>
        <v>3958.3333333333335</v>
      </c>
      <c r="C101" s="3">
        <f>'Total income package'!$D$80</f>
        <v>0</v>
      </c>
      <c r="D101" s="7">
        <f t="shared" si="7"/>
        <v>3958.3333333333335</v>
      </c>
      <c r="E101" s="7">
        <f t="shared" si="8"/>
        <v>3938.3333333333335</v>
      </c>
      <c r="F101" s="7">
        <f t="shared" si="6"/>
        <v>3893.3333333333335</v>
      </c>
      <c r="G101" s="7">
        <f t="shared" si="9"/>
        <v>1946.6666666666667</v>
      </c>
      <c r="H101" s="7">
        <f t="shared" si="10"/>
        <v>1946.6666666666667</v>
      </c>
      <c r="I101" s="7"/>
    </row>
    <row r="102" spans="1:9" x14ac:dyDescent="0.25">
      <c r="A102" s="117">
        <v>48000</v>
      </c>
      <c r="B102" s="4">
        <f t="shared" si="11"/>
        <v>4000</v>
      </c>
      <c r="C102" s="3">
        <f>'Total income package'!$D$80</f>
        <v>0</v>
      </c>
      <c r="D102" s="7">
        <f t="shared" si="7"/>
        <v>4000</v>
      </c>
      <c r="E102" s="7">
        <f t="shared" si="8"/>
        <v>3980</v>
      </c>
      <c r="F102" s="7">
        <f t="shared" si="6"/>
        <v>3935</v>
      </c>
      <c r="G102" s="7">
        <f t="shared" si="9"/>
        <v>1967.5</v>
      </c>
      <c r="H102" s="7">
        <f t="shared" si="10"/>
        <v>1967.5</v>
      </c>
      <c r="I102" s="7"/>
    </row>
    <row r="103" spans="1:9" x14ac:dyDescent="0.25">
      <c r="A103" s="117">
        <v>48500</v>
      </c>
      <c r="B103" s="4">
        <f t="shared" si="11"/>
        <v>4041.6666666666665</v>
      </c>
      <c r="C103" s="3">
        <f>'Total income package'!$D$80</f>
        <v>0</v>
      </c>
      <c r="D103" s="7">
        <f t="shared" si="7"/>
        <v>4041.6666666666665</v>
      </c>
      <c r="E103" s="7">
        <f t="shared" si="8"/>
        <v>4021.6666666666665</v>
      </c>
      <c r="F103" s="7">
        <f t="shared" si="6"/>
        <v>3976.6666666666665</v>
      </c>
      <c r="G103" s="7">
        <f t="shared" si="9"/>
        <v>1988.3333333333333</v>
      </c>
      <c r="H103" s="7">
        <f t="shared" si="10"/>
        <v>1988.3333333333333</v>
      </c>
      <c r="I103" s="7"/>
    </row>
    <row r="104" spans="1:9" x14ac:dyDescent="0.25">
      <c r="A104" s="29">
        <v>49000</v>
      </c>
      <c r="B104" s="4">
        <f t="shared" si="11"/>
        <v>4083.3333333333335</v>
      </c>
      <c r="C104" s="3">
        <f>'Total income package'!$D$80</f>
        <v>0</v>
      </c>
      <c r="D104" s="7">
        <f t="shared" si="7"/>
        <v>4083.3333333333335</v>
      </c>
      <c r="E104" s="7">
        <f t="shared" si="8"/>
        <v>4063.3333333333335</v>
      </c>
      <c r="F104" s="7">
        <f t="shared" si="6"/>
        <v>4018.3333333333335</v>
      </c>
      <c r="G104" s="7">
        <f t="shared" si="9"/>
        <v>2009.1666666666667</v>
      </c>
      <c r="H104" s="7">
        <f t="shared" si="10"/>
        <v>2009.1666666666667</v>
      </c>
      <c r="I104" s="7"/>
    </row>
    <row r="105" spans="1:9" x14ac:dyDescent="0.25">
      <c r="A105" s="117">
        <v>49500</v>
      </c>
      <c r="B105" s="4">
        <f t="shared" si="11"/>
        <v>4125</v>
      </c>
      <c r="C105" s="3">
        <f>'Total income package'!$D$80</f>
        <v>0</v>
      </c>
      <c r="D105" s="7">
        <f t="shared" si="7"/>
        <v>4125</v>
      </c>
      <c r="E105" s="7">
        <f t="shared" si="8"/>
        <v>4105</v>
      </c>
      <c r="F105" s="7">
        <f t="shared" si="6"/>
        <v>4060</v>
      </c>
      <c r="G105" s="7">
        <f t="shared" si="9"/>
        <v>2030</v>
      </c>
      <c r="H105" s="7">
        <f t="shared" si="10"/>
        <v>2030</v>
      </c>
      <c r="I105" s="7"/>
    </row>
    <row r="106" spans="1:9" x14ac:dyDescent="0.25">
      <c r="A106" s="117">
        <v>50000</v>
      </c>
      <c r="B106" s="4">
        <f t="shared" si="11"/>
        <v>4166.666666666667</v>
      </c>
      <c r="C106" s="3">
        <f>'Total income package'!$D$80</f>
        <v>0</v>
      </c>
      <c r="D106" s="7">
        <f t="shared" si="7"/>
        <v>4166.666666666667</v>
      </c>
      <c r="E106" s="7">
        <f t="shared" si="8"/>
        <v>4146.666666666667</v>
      </c>
      <c r="F106" s="7">
        <f t="shared" si="6"/>
        <v>4101.666666666667</v>
      </c>
      <c r="G106" s="7">
        <f t="shared" si="9"/>
        <v>2050.8333333333335</v>
      </c>
      <c r="H106" s="7">
        <f t="shared" si="10"/>
        <v>2050.8333333333335</v>
      </c>
      <c r="I106" s="7"/>
    </row>
    <row r="107" spans="1:9" x14ac:dyDescent="0.25">
      <c r="A107" s="29">
        <v>50500</v>
      </c>
      <c r="B107" s="4">
        <f>A107/12</f>
        <v>4208.333333333333</v>
      </c>
      <c r="C107" s="3">
        <f>'Total income package'!$D$80</f>
        <v>0</v>
      </c>
      <c r="D107" s="7">
        <f t="shared" si="7"/>
        <v>4208.333333333333</v>
      </c>
      <c r="E107" s="7">
        <f t="shared" si="8"/>
        <v>4188.333333333333</v>
      </c>
      <c r="F107" s="7">
        <f t="shared" si="6"/>
        <v>4143.333333333333</v>
      </c>
      <c r="G107" s="7">
        <f t="shared" si="9"/>
        <v>2071.6666666666665</v>
      </c>
      <c r="H107" s="7">
        <f t="shared" si="10"/>
        <v>2071.6666666666665</v>
      </c>
      <c r="I107" s="7"/>
    </row>
    <row r="108" spans="1:9" x14ac:dyDescent="0.25">
      <c r="A108" s="117">
        <v>51000</v>
      </c>
      <c r="B108" s="4">
        <f t="shared" ref="B108:B171" si="12">A108/12</f>
        <v>4250</v>
      </c>
      <c r="C108" s="3">
        <f>'Total income package'!$D$80</f>
        <v>0</v>
      </c>
      <c r="D108" s="7">
        <f t="shared" si="7"/>
        <v>4250</v>
      </c>
      <c r="E108" s="7">
        <f t="shared" si="8"/>
        <v>4230</v>
      </c>
      <c r="F108" s="7">
        <f t="shared" si="6"/>
        <v>4185</v>
      </c>
      <c r="G108" s="7">
        <f t="shared" si="9"/>
        <v>2092.5</v>
      </c>
      <c r="H108" s="7">
        <f t="shared" si="10"/>
        <v>2092.5</v>
      </c>
      <c r="I108" s="7"/>
    </row>
    <row r="109" spans="1:9" x14ac:dyDescent="0.25">
      <c r="A109" s="117">
        <v>51500</v>
      </c>
      <c r="B109" s="4">
        <f t="shared" si="12"/>
        <v>4291.666666666667</v>
      </c>
      <c r="C109" s="3">
        <f>'Total income package'!$D$80</f>
        <v>0</v>
      </c>
      <c r="D109" s="7">
        <f t="shared" si="7"/>
        <v>4291.666666666667</v>
      </c>
      <c r="E109" s="7">
        <f t="shared" si="8"/>
        <v>4271.666666666667</v>
      </c>
      <c r="F109" s="7">
        <f t="shared" si="6"/>
        <v>4226.666666666667</v>
      </c>
      <c r="G109" s="7">
        <f t="shared" si="9"/>
        <v>2113.3333333333335</v>
      </c>
      <c r="H109" s="7">
        <f t="shared" si="10"/>
        <v>2113.3333333333335</v>
      </c>
      <c r="I109" s="7"/>
    </row>
    <row r="110" spans="1:9" x14ac:dyDescent="0.25">
      <c r="A110" s="29">
        <v>52000</v>
      </c>
      <c r="B110" s="4">
        <f t="shared" si="12"/>
        <v>4333.333333333333</v>
      </c>
      <c r="C110" s="3">
        <f>'Total income package'!$D$80</f>
        <v>0</v>
      </c>
      <c r="D110" s="7">
        <f t="shared" si="7"/>
        <v>4333.333333333333</v>
      </c>
      <c r="E110" s="7">
        <f t="shared" si="8"/>
        <v>4313.333333333333</v>
      </c>
      <c r="F110" s="7">
        <f t="shared" si="6"/>
        <v>4268.333333333333</v>
      </c>
      <c r="G110" s="7">
        <f t="shared" si="9"/>
        <v>2134.1666666666665</v>
      </c>
      <c r="H110" s="7">
        <f t="shared" si="10"/>
        <v>2134.1666666666665</v>
      </c>
      <c r="I110" s="7"/>
    </row>
    <row r="111" spans="1:9" x14ac:dyDescent="0.25">
      <c r="A111" s="117">
        <v>52500</v>
      </c>
      <c r="B111" s="4">
        <f t="shared" si="12"/>
        <v>4375</v>
      </c>
      <c r="C111" s="3">
        <f>'Total income package'!$D$80</f>
        <v>0</v>
      </c>
      <c r="D111" s="7">
        <f t="shared" si="7"/>
        <v>4375</v>
      </c>
      <c r="E111" s="7">
        <f t="shared" si="8"/>
        <v>4355</v>
      </c>
      <c r="F111" s="7">
        <f t="shared" si="6"/>
        <v>4310</v>
      </c>
      <c r="G111" s="7">
        <f t="shared" si="9"/>
        <v>2155</v>
      </c>
      <c r="H111" s="7">
        <f t="shared" si="10"/>
        <v>2155</v>
      </c>
      <c r="I111" s="7"/>
    </row>
    <row r="112" spans="1:9" x14ac:dyDescent="0.25">
      <c r="A112" s="117">
        <v>53000</v>
      </c>
      <c r="B112" s="4">
        <f t="shared" si="12"/>
        <v>4416.666666666667</v>
      </c>
      <c r="C112" s="3">
        <f>'Total income package'!$D$80</f>
        <v>0</v>
      </c>
      <c r="D112" s="7">
        <f t="shared" si="7"/>
        <v>4416.666666666667</v>
      </c>
      <c r="E112" s="7">
        <f t="shared" si="8"/>
        <v>4396.666666666667</v>
      </c>
      <c r="F112" s="7">
        <f t="shared" si="6"/>
        <v>4351.666666666667</v>
      </c>
      <c r="G112" s="7">
        <f t="shared" si="9"/>
        <v>2175.8333333333335</v>
      </c>
      <c r="H112" s="7">
        <f t="shared" si="10"/>
        <v>2175.8333333333335</v>
      </c>
      <c r="I112" s="7"/>
    </row>
    <row r="113" spans="1:9" x14ac:dyDescent="0.25">
      <c r="A113" s="29">
        <v>53500</v>
      </c>
      <c r="B113" s="4">
        <f t="shared" si="12"/>
        <v>4458.333333333333</v>
      </c>
      <c r="C113" s="3">
        <f>'Total income package'!$D$80</f>
        <v>0</v>
      </c>
      <c r="D113" s="7">
        <f t="shared" si="7"/>
        <v>4458.333333333333</v>
      </c>
      <c r="E113" s="7">
        <f t="shared" si="8"/>
        <v>4438.333333333333</v>
      </c>
      <c r="F113" s="7">
        <f t="shared" si="6"/>
        <v>4393.333333333333</v>
      </c>
      <c r="G113" s="7">
        <f t="shared" si="9"/>
        <v>2196.6666666666665</v>
      </c>
      <c r="H113" s="7">
        <f t="shared" si="10"/>
        <v>2196.6666666666665</v>
      </c>
      <c r="I113" s="7"/>
    </row>
    <row r="114" spans="1:9" x14ac:dyDescent="0.25">
      <c r="A114" s="117">
        <v>54000</v>
      </c>
      <c r="B114" s="4">
        <f t="shared" si="12"/>
        <v>4500</v>
      </c>
      <c r="C114" s="3">
        <f>'Total income package'!$D$80</f>
        <v>0</v>
      </c>
      <c r="D114" s="7">
        <f t="shared" si="7"/>
        <v>4500</v>
      </c>
      <c r="E114" s="7">
        <f t="shared" si="8"/>
        <v>4480</v>
      </c>
      <c r="F114" s="7">
        <f t="shared" si="6"/>
        <v>4435</v>
      </c>
      <c r="G114" s="7">
        <f t="shared" si="9"/>
        <v>2217.5</v>
      </c>
      <c r="H114" s="7">
        <f t="shared" si="10"/>
        <v>2217.5</v>
      </c>
      <c r="I114" s="7"/>
    </row>
    <row r="115" spans="1:9" x14ac:dyDescent="0.25">
      <c r="A115" s="117">
        <v>54500</v>
      </c>
      <c r="B115" s="4">
        <f t="shared" si="12"/>
        <v>4541.666666666667</v>
      </c>
      <c r="C115" s="3">
        <f>'Total income package'!$D$80</f>
        <v>0</v>
      </c>
      <c r="D115" s="7">
        <f t="shared" si="7"/>
        <v>4541.666666666667</v>
      </c>
      <c r="E115" s="7">
        <f t="shared" si="8"/>
        <v>4521.666666666667</v>
      </c>
      <c r="F115" s="7">
        <f t="shared" si="6"/>
        <v>4476.666666666667</v>
      </c>
      <c r="G115" s="7">
        <f t="shared" si="9"/>
        <v>2238.3333333333335</v>
      </c>
      <c r="H115" s="7">
        <f t="shared" si="10"/>
        <v>2238.3333333333335</v>
      </c>
      <c r="I115" s="7"/>
    </row>
    <row r="116" spans="1:9" x14ac:dyDescent="0.25">
      <c r="A116" s="29">
        <v>55000</v>
      </c>
      <c r="B116" s="4">
        <f t="shared" si="12"/>
        <v>4583.333333333333</v>
      </c>
      <c r="C116" s="3">
        <f>'Total income package'!$D$80</f>
        <v>0</v>
      </c>
      <c r="D116" s="7">
        <f t="shared" si="7"/>
        <v>4583.333333333333</v>
      </c>
      <c r="E116" s="7">
        <f t="shared" si="8"/>
        <v>4563.333333333333</v>
      </c>
      <c r="F116" s="7">
        <f t="shared" si="6"/>
        <v>4518.333333333333</v>
      </c>
      <c r="G116" s="7">
        <f t="shared" si="9"/>
        <v>2259.1666666666665</v>
      </c>
      <c r="H116" s="7">
        <f t="shared" si="10"/>
        <v>2259.1666666666665</v>
      </c>
      <c r="I116" s="7"/>
    </row>
    <row r="117" spans="1:9" x14ac:dyDescent="0.25">
      <c r="A117" s="117">
        <v>55500</v>
      </c>
      <c r="B117" s="4">
        <f t="shared" si="12"/>
        <v>4625</v>
      </c>
      <c r="C117" s="3">
        <f>'Total income package'!$D$80</f>
        <v>0</v>
      </c>
      <c r="D117" s="7">
        <f t="shared" si="7"/>
        <v>4625</v>
      </c>
      <c r="E117" s="7">
        <f t="shared" si="8"/>
        <v>4605</v>
      </c>
      <c r="F117" s="7">
        <f t="shared" si="6"/>
        <v>4560</v>
      </c>
      <c r="G117" s="7">
        <f t="shared" si="9"/>
        <v>2280</v>
      </c>
      <c r="H117" s="7">
        <f t="shared" si="10"/>
        <v>2280</v>
      </c>
      <c r="I117" s="7"/>
    </row>
    <row r="118" spans="1:9" x14ac:dyDescent="0.25">
      <c r="A118" s="117">
        <v>56000</v>
      </c>
      <c r="B118" s="4">
        <f t="shared" si="12"/>
        <v>4666.666666666667</v>
      </c>
      <c r="C118" s="3">
        <f>'Total income package'!$D$80</f>
        <v>0</v>
      </c>
      <c r="D118" s="7">
        <f t="shared" si="7"/>
        <v>4666.666666666667</v>
      </c>
      <c r="E118" s="7">
        <f t="shared" si="8"/>
        <v>4646.666666666667</v>
      </c>
      <c r="F118" s="7">
        <f t="shared" si="6"/>
        <v>4601.666666666667</v>
      </c>
      <c r="G118" s="7">
        <f t="shared" si="9"/>
        <v>2300.8333333333335</v>
      </c>
      <c r="H118" s="7">
        <f t="shared" si="10"/>
        <v>2300.8333333333335</v>
      </c>
      <c r="I118" s="7"/>
    </row>
    <row r="119" spans="1:9" x14ac:dyDescent="0.25">
      <c r="A119" s="29">
        <v>56500</v>
      </c>
      <c r="B119" s="4">
        <f t="shared" si="12"/>
        <v>4708.333333333333</v>
      </c>
      <c r="C119" s="3">
        <f>'Total income package'!$D$80</f>
        <v>0</v>
      </c>
      <c r="D119" s="7">
        <f t="shared" si="7"/>
        <v>4708.333333333333</v>
      </c>
      <c r="E119" s="7">
        <f t="shared" si="8"/>
        <v>4688.333333333333</v>
      </c>
      <c r="F119" s="7">
        <f t="shared" si="6"/>
        <v>4643.333333333333</v>
      </c>
      <c r="G119" s="7">
        <f t="shared" si="9"/>
        <v>2321.6666666666665</v>
      </c>
      <c r="H119" s="7">
        <f t="shared" si="10"/>
        <v>2321.6666666666665</v>
      </c>
      <c r="I119" s="7"/>
    </row>
    <row r="120" spans="1:9" x14ac:dyDescent="0.25">
      <c r="A120" s="117">
        <v>57000</v>
      </c>
      <c r="B120" s="4">
        <f t="shared" si="12"/>
        <v>4750</v>
      </c>
      <c r="C120" s="3">
        <f>'Total income package'!$D$80</f>
        <v>0</v>
      </c>
      <c r="D120" s="7">
        <f t="shared" si="7"/>
        <v>4750</v>
      </c>
      <c r="E120" s="7">
        <f t="shared" si="8"/>
        <v>4730</v>
      </c>
      <c r="F120" s="7">
        <f t="shared" si="6"/>
        <v>4685</v>
      </c>
      <c r="G120" s="7">
        <f t="shared" si="9"/>
        <v>2342.5</v>
      </c>
      <c r="H120" s="7">
        <f t="shared" si="10"/>
        <v>2342.5</v>
      </c>
      <c r="I120" s="7"/>
    </row>
    <row r="121" spans="1:9" x14ac:dyDescent="0.25">
      <c r="A121" s="117">
        <v>57500</v>
      </c>
      <c r="B121" s="4">
        <f t="shared" si="12"/>
        <v>4791.666666666667</v>
      </c>
      <c r="C121" s="3">
        <f>'Total income package'!$D$80</f>
        <v>0</v>
      </c>
      <c r="D121" s="7">
        <f t="shared" si="7"/>
        <v>4791.666666666667</v>
      </c>
      <c r="E121" s="7">
        <f t="shared" si="8"/>
        <v>4771.666666666667</v>
      </c>
      <c r="F121" s="7">
        <f t="shared" si="6"/>
        <v>4726.666666666667</v>
      </c>
      <c r="G121" s="7">
        <f t="shared" si="9"/>
        <v>2363.3333333333335</v>
      </c>
      <c r="H121" s="7">
        <f t="shared" si="10"/>
        <v>2363.3333333333335</v>
      </c>
      <c r="I121" s="7"/>
    </row>
    <row r="122" spans="1:9" x14ac:dyDescent="0.25">
      <c r="A122" s="29">
        <v>58000</v>
      </c>
      <c r="B122" s="4">
        <f t="shared" si="12"/>
        <v>4833.333333333333</v>
      </c>
      <c r="C122" s="3">
        <f>'Total income package'!$D$80</f>
        <v>0</v>
      </c>
      <c r="D122" s="7">
        <f t="shared" si="7"/>
        <v>4833.333333333333</v>
      </c>
      <c r="E122" s="7">
        <f t="shared" si="8"/>
        <v>4813.333333333333</v>
      </c>
      <c r="F122" s="7">
        <f t="shared" si="6"/>
        <v>4768.333333333333</v>
      </c>
      <c r="G122" s="7">
        <f t="shared" si="9"/>
        <v>2384.1666666666665</v>
      </c>
      <c r="H122" s="7">
        <f t="shared" si="10"/>
        <v>2384.1666666666665</v>
      </c>
      <c r="I122" s="7"/>
    </row>
    <row r="123" spans="1:9" x14ac:dyDescent="0.25">
      <c r="A123" s="117">
        <v>58500</v>
      </c>
      <c r="B123" s="4">
        <f t="shared" si="12"/>
        <v>4875</v>
      </c>
      <c r="C123" s="3">
        <f>'Total income package'!$D$80</f>
        <v>0</v>
      </c>
      <c r="D123" s="7">
        <f t="shared" si="7"/>
        <v>4875</v>
      </c>
      <c r="E123" s="7">
        <f t="shared" si="8"/>
        <v>4855</v>
      </c>
      <c r="F123" s="7">
        <f t="shared" si="6"/>
        <v>4810</v>
      </c>
      <c r="G123" s="7">
        <f t="shared" si="9"/>
        <v>2405</v>
      </c>
      <c r="H123" s="7">
        <f t="shared" si="10"/>
        <v>2405</v>
      </c>
      <c r="I123" s="7"/>
    </row>
    <row r="124" spans="1:9" x14ac:dyDescent="0.25">
      <c r="A124" s="117">
        <v>59000</v>
      </c>
      <c r="B124" s="4">
        <f t="shared" si="12"/>
        <v>4916.666666666667</v>
      </c>
      <c r="C124" s="3">
        <f>'Total income package'!$D$80</f>
        <v>0</v>
      </c>
      <c r="D124" s="7">
        <f t="shared" si="7"/>
        <v>4916.666666666667</v>
      </c>
      <c r="E124" s="7">
        <f t="shared" si="8"/>
        <v>4896.666666666667</v>
      </c>
      <c r="F124" s="7">
        <f t="shared" si="6"/>
        <v>4851.666666666667</v>
      </c>
      <c r="G124" s="7">
        <f t="shared" si="9"/>
        <v>2425.8333333333335</v>
      </c>
      <c r="H124" s="7">
        <f t="shared" si="10"/>
        <v>2425.8333333333335</v>
      </c>
      <c r="I124" s="7"/>
    </row>
    <row r="125" spans="1:9" x14ac:dyDescent="0.25">
      <c r="A125" s="29">
        <v>59500</v>
      </c>
      <c r="B125" s="4">
        <f t="shared" si="12"/>
        <v>4958.333333333333</v>
      </c>
      <c r="C125" s="3">
        <f>'Total income package'!$D$80</f>
        <v>0</v>
      </c>
      <c r="D125" s="7">
        <f t="shared" si="7"/>
        <v>4958.333333333333</v>
      </c>
      <c r="E125" s="7">
        <f t="shared" si="8"/>
        <v>4938.333333333333</v>
      </c>
      <c r="F125" s="7">
        <f t="shared" si="6"/>
        <v>4893.333333333333</v>
      </c>
      <c r="G125" s="7">
        <f t="shared" si="9"/>
        <v>2446.6666666666665</v>
      </c>
      <c r="H125" s="7">
        <f t="shared" si="10"/>
        <v>2446.6666666666665</v>
      </c>
      <c r="I125" s="7"/>
    </row>
    <row r="126" spans="1:9" x14ac:dyDescent="0.25">
      <c r="A126" s="117">
        <v>60000</v>
      </c>
      <c r="B126" s="4">
        <f t="shared" si="12"/>
        <v>5000</v>
      </c>
      <c r="C126" s="3">
        <f>'Total income package'!$D$80</f>
        <v>0</v>
      </c>
      <c r="D126" s="7">
        <f t="shared" si="7"/>
        <v>5000</v>
      </c>
      <c r="E126" s="7">
        <f t="shared" si="8"/>
        <v>4980</v>
      </c>
      <c r="F126" s="7">
        <f t="shared" si="6"/>
        <v>4935</v>
      </c>
      <c r="G126" s="7">
        <f t="shared" si="9"/>
        <v>2467.5</v>
      </c>
      <c r="H126" s="7">
        <f t="shared" si="10"/>
        <v>2467.5</v>
      </c>
      <c r="I126" s="7"/>
    </row>
    <row r="127" spans="1:9" x14ac:dyDescent="0.25">
      <c r="A127" s="117">
        <v>60500</v>
      </c>
      <c r="B127" s="4">
        <f t="shared" si="12"/>
        <v>5041.666666666667</v>
      </c>
      <c r="C127" s="3">
        <f>'Total income package'!$D$80</f>
        <v>0</v>
      </c>
      <c r="D127" s="7">
        <f t="shared" si="7"/>
        <v>5041.666666666667</v>
      </c>
      <c r="E127" s="7">
        <f t="shared" si="8"/>
        <v>5021.666666666667</v>
      </c>
      <c r="F127" s="7">
        <f t="shared" si="6"/>
        <v>4976.666666666667</v>
      </c>
      <c r="G127" s="7">
        <f t="shared" si="9"/>
        <v>2488.3333333333335</v>
      </c>
      <c r="H127" s="7">
        <f t="shared" si="10"/>
        <v>2488.3333333333335</v>
      </c>
      <c r="I127" s="7"/>
    </row>
    <row r="128" spans="1:9" x14ac:dyDescent="0.25">
      <c r="A128" s="29">
        <v>61000</v>
      </c>
      <c r="B128" s="4">
        <f t="shared" si="12"/>
        <v>5083.333333333333</v>
      </c>
      <c r="C128" s="3">
        <f>'Total income package'!$D$80</f>
        <v>0</v>
      </c>
      <c r="D128" s="7">
        <f t="shared" si="7"/>
        <v>5083.333333333333</v>
      </c>
      <c r="E128" s="7">
        <f t="shared" si="8"/>
        <v>5063.333333333333</v>
      </c>
      <c r="F128" s="7">
        <f t="shared" si="6"/>
        <v>5018.333333333333</v>
      </c>
      <c r="G128" s="7">
        <f t="shared" si="9"/>
        <v>2509.1666666666665</v>
      </c>
      <c r="H128" s="7">
        <f t="shared" si="10"/>
        <v>2509.1666666666665</v>
      </c>
      <c r="I128" s="7"/>
    </row>
    <row r="129" spans="1:9" x14ac:dyDescent="0.25">
      <c r="A129" s="117">
        <v>61500</v>
      </c>
      <c r="B129" s="4">
        <f t="shared" si="12"/>
        <v>5125</v>
      </c>
      <c r="C129" s="3">
        <f>'Total income package'!$D$80</f>
        <v>0</v>
      </c>
      <c r="D129" s="7">
        <f t="shared" si="7"/>
        <v>5125</v>
      </c>
      <c r="E129" s="7">
        <f t="shared" si="8"/>
        <v>5105</v>
      </c>
      <c r="F129" s="7">
        <f t="shared" si="6"/>
        <v>5060</v>
      </c>
      <c r="G129" s="7">
        <f t="shared" si="9"/>
        <v>2530</v>
      </c>
      <c r="H129" s="7">
        <f t="shared" si="10"/>
        <v>2530</v>
      </c>
      <c r="I129" s="7"/>
    </row>
    <row r="130" spans="1:9" x14ac:dyDescent="0.25">
      <c r="A130" s="117">
        <v>62000</v>
      </c>
      <c r="B130" s="4">
        <f t="shared" si="12"/>
        <v>5166.666666666667</v>
      </c>
      <c r="C130" s="3">
        <f>'Total income package'!$D$80</f>
        <v>0</v>
      </c>
      <c r="D130" s="7">
        <f t="shared" si="7"/>
        <v>5166.666666666667</v>
      </c>
      <c r="E130" s="7">
        <f t="shared" si="8"/>
        <v>5146.666666666667</v>
      </c>
      <c r="F130" s="7">
        <f t="shared" si="6"/>
        <v>5101.666666666667</v>
      </c>
      <c r="G130" s="7">
        <f t="shared" si="9"/>
        <v>2550.8333333333335</v>
      </c>
      <c r="H130" s="7">
        <f t="shared" si="10"/>
        <v>2550.8333333333335</v>
      </c>
      <c r="I130" s="7"/>
    </row>
    <row r="131" spans="1:9" x14ac:dyDescent="0.25">
      <c r="A131" s="29">
        <v>62500</v>
      </c>
      <c r="B131" s="4">
        <f t="shared" si="12"/>
        <v>5208.333333333333</v>
      </c>
      <c r="C131" s="3">
        <f>'Total income package'!$D$80</f>
        <v>0</v>
      </c>
      <c r="D131" s="7">
        <f t="shared" si="7"/>
        <v>5208.333333333333</v>
      </c>
      <c r="E131" s="7">
        <f t="shared" si="8"/>
        <v>5188.333333333333</v>
      </c>
      <c r="F131" s="7">
        <f t="shared" si="6"/>
        <v>5143.333333333333</v>
      </c>
      <c r="G131" s="7">
        <f t="shared" si="9"/>
        <v>2571.6666666666665</v>
      </c>
      <c r="H131" s="7">
        <f t="shared" si="10"/>
        <v>2571.6666666666665</v>
      </c>
      <c r="I131" s="7"/>
    </row>
    <row r="132" spans="1:9" x14ac:dyDescent="0.25">
      <c r="A132" s="117">
        <v>63000</v>
      </c>
      <c r="B132" s="4">
        <f t="shared" si="12"/>
        <v>5250</v>
      </c>
      <c r="C132" s="3">
        <f>'Total income package'!$D$80</f>
        <v>0</v>
      </c>
      <c r="D132" s="7">
        <f t="shared" si="7"/>
        <v>5250</v>
      </c>
      <c r="E132" s="7">
        <f t="shared" si="8"/>
        <v>5230</v>
      </c>
      <c r="F132" s="7">
        <f t="shared" si="6"/>
        <v>5185</v>
      </c>
      <c r="G132" s="7">
        <f t="shared" si="9"/>
        <v>2592.5</v>
      </c>
      <c r="H132" s="7">
        <f t="shared" si="10"/>
        <v>2592.5</v>
      </c>
      <c r="I132" s="7"/>
    </row>
    <row r="133" spans="1:9" x14ac:dyDescent="0.25">
      <c r="A133" s="117">
        <v>63500</v>
      </c>
      <c r="B133" s="4">
        <f t="shared" si="12"/>
        <v>5291.666666666667</v>
      </c>
      <c r="C133" s="3">
        <f>'Total income package'!$D$80</f>
        <v>0</v>
      </c>
      <c r="D133" s="7">
        <f t="shared" si="7"/>
        <v>5291.666666666667</v>
      </c>
      <c r="E133" s="7">
        <f t="shared" si="8"/>
        <v>5271.666666666667</v>
      </c>
      <c r="F133" s="7">
        <f t="shared" si="6"/>
        <v>5226.666666666667</v>
      </c>
      <c r="G133" s="7">
        <f t="shared" si="9"/>
        <v>2613.3333333333335</v>
      </c>
      <c r="H133" s="7">
        <f t="shared" si="10"/>
        <v>2613.3333333333335</v>
      </c>
      <c r="I133" s="7"/>
    </row>
    <row r="134" spans="1:9" x14ac:dyDescent="0.25">
      <c r="A134" s="29">
        <v>64000</v>
      </c>
      <c r="B134" s="4">
        <f t="shared" si="12"/>
        <v>5333.333333333333</v>
      </c>
      <c r="C134" s="3">
        <f>'Total income package'!$D$80</f>
        <v>0</v>
      </c>
      <c r="D134" s="7">
        <f t="shared" si="7"/>
        <v>5333.333333333333</v>
      </c>
      <c r="E134" s="7">
        <f t="shared" si="8"/>
        <v>5313.333333333333</v>
      </c>
      <c r="F134" s="7">
        <f t="shared" ref="F134:F197" si="13">IF(B134-65&lt;0,0,B134-65)</f>
        <v>5268.333333333333</v>
      </c>
      <c r="G134" s="7">
        <f t="shared" si="9"/>
        <v>2634.1666666666665</v>
      </c>
      <c r="H134" s="7">
        <f t="shared" si="10"/>
        <v>2634.1666666666665</v>
      </c>
      <c r="I134" s="7"/>
    </row>
    <row r="135" spans="1:9" x14ac:dyDescent="0.25">
      <c r="A135" s="117">
        <v>64500</v>
      </c>
      <c r="B135" s="4">
        <f t="shared" si="12"/>
        <v>5375</v>
      </c>
      <c r="C135" s="3">
        <f>'Total income package'!$D$80</f>
        <v>0</v>
      </c>
      <c r="D135" s="7">
        <f t="shared" ref="D135:D198" si="14">B135+C135</f>
        <v>5375</v>
      </c>
      <c r="E135" s="7">
        <f t="shared" ref="E135:E198" si="15">D135-20</f>
        <v>5355</v>
      </c>
      <c r="F135" s="7">
        <f t="shared" si="13"/>
        <v>5310</v>
      </c>
      <c r="G135" s="7">
        <f t="shared" ref="G135:G198" si="16">IF(F135/2&lt;0,0,F135/2)</f>
        <v>2655</v>
      </c>
      <c r="H135" s="7">
        <f t="shared" ref="H135:H198" si="17">G135+C135</f>
        <v>2655</v>
      </c>
      <c r="I135" s="7"/>
    </row>
    <row r="136" spans="1:9" x14ac:dyDescent="0.25">
      <c r="A136" s="117">
        <v>65000</v>
      </c>
      <c r="B136" s="4">
        <f t="shared" si="12"/>
        <v>5416.666666666667</v>
      </c>
      <c r="C136" s="3">
        <f>'Total income package'!$D$80</f>
        <v>0</v>
      </c>
      <c r="D136" s="7">
        <f t="shared" si="14"/>
        <v>5416.666666666667</v>
      </c>
      <c r="E136" s="7">
        <f t="shared" si="15"/>
        <v>5396.666666666667</v>
      </c>
      <c r="F136" s="7">
        <f t="shared" si="13"/>
        <v>5351.666666666667</v>
      </c>
      <c r="G136" s="7">
        <f t="shared" si="16"/>
        <v>2675.8333333333335</v>
      </c>
      <c r="H136" s="7">
        <f t="shared" si="17"/>
        <v>2675.8333333333335</v>
      </c>
      <c r="I136" s="7"/>
    </row>
    <row r="137" spans="1:9" x14ac:dyDescent="0.25">
      <c r="A137" s="29">
        <v>65500</v>
      </c>
      <c r="B137" s="4">
        <f t="shared" si="12"/>
        <v>5458.333333333333</v>
      </c>
      <c r="C137" s="3">
        <f>'Total income package'!$D$80</f>
        <v>0</v>
      </c>
      <c r="D137" s="7">
        <f t="shared" si="14"/>
        <v>5458.333333333333</v>
      </c>
      <c r="E137" s="7">
        <f t="shared" si="15"/>
        <v>5438.333333333333</v>
      </c>
      <c r="F137" s="7">
        <f t="shared" si="13"/>
        <v>5393.333333333333</v>
      </c>
      <c r="G137" s="7">
        <f t="shared" si="16"/>
        <v>2696.6666666666665</v>
      </c>
      <c r="H137" s="7">
        <f t="shared" si="17"/>
        <v>2696.6666666666665</v>
      </c>
      <c r="I137" s="7"/>
    </row>
    <row r="138" spans="1:9" x14ac:dyDescent="0.25">
      <c r="A138" s="117">
        <v>66000</v>
      </c>
      <c r="B138" s="4">
        <f t="shared" si="12"/>
        <v>5500</v>
      </c>
      <c r="C138" s="3">
        <f>'Total income package'!$D$80</f>
        <v>0</v>
      </c>
      <c r="D138" s="7">
        <f t="shared" si="14"/>
        <v>5500</v>
      </c>
      <c r="E138" s="7">
        <f t="shared" si="15"/>
        <v>5480</v>
      </c>
      <c r="F138" s="7">
        <f t="shared" si="13"/>
        <v>5435</v>
      </c>
      <c r="G138" s="7">
        <f t="shared" si="16"/>
        <v>2717.5</v>
      </c>
      <c r="H138" s="7">
        <f t="shared" si="17"/>
        <v>2717.5</v>
      </c>
      <c r="I138" s="7"/>
    </row>
    <row r="139" spans="1:9" x14ac:dyDescent="0.25">
      <c r="A139" s="117">
        <v>66500</v>
      </c>
      <c r="B139" s="4">
        <f t="shared" si="12"/>
        <v>5541.666666666667</v>
      </c>
      <c r="C139" s="3">
        <f>'Total income package'!$D$80</f>
        <v>0</v>
      </c>
      <c r="D139" s="7">
        <f t="shared" si="14"/>
        <v>5541.666666666667</v>
      </c>
      <c r="E139" s="7">
        <f t="shared" si="15"/>
        <v>5521.666666666667</v>
      </c>
      <c r="F139" s="7">
        <f t="shared" si="13"/>
        <v>5476.666666666667</v>
      </c>
      <c r="G139" s="7">
        <f t="shared" si="16"/>
        <v>2738.3333333333335</v>
      </c>
      <c r="H139" s="7">
        <f t="shared" si="17"/>
        <v>2738.3333333333335</v>
      </c>
      <c r="I139" s="7"/>
    </row>
    <row r="140" spans="1:9" x14ac:dyDescent="0.25">
      <c r="A140" s="29">
        <v>67000</v>
      </c>
      <c r="B140" s="4">
        <f t="shared" si="12"/>
        <v>5583.333333333333</v>
      </c>
      <c r="C140" s="3">
        <f>'Total income package'!$D$80</f>
        <v>0</v>
      </c>
      <c r="D140" s="7">
        <f t="shared" si="14"/>
        <v>5583.333333333333</v>
      </c>
      <c r="E140" s="7">
        <f t="shared" si="15"/>
        <v>5563.333333333333</v>
      </c>
      <c r="F140" s="7">
        <f t="shared" si="13"/>
        <v>5518.333333333333</v>
      </c>
      <c r="G140" s="7">
        <f t="shared" si="16"/>
        <v>2759.1666666666665</v>
      </c>
      <c r="H140" s="7">
        <f t="shared" si="17"/>
        <v>2759.1666666666665</v>
      </c>
      <c r="I140" s="7"/>
    </row>
    <row r="141" spans="1:9" x14ac:dyDescent="0.25">
      <c r="A141" s="117">
        <v>67500</v>
      </c>
      <c r="B141" s="4">
        <f t="shared" si="12"/>
        <v>5625</v>
      </c>
      <c r="C141" s="3">
        <f>'Total income package'!$D$80</f>
        <v>0</v>
      </c>
      <c r="D141" s="7">
        <f t="shared" si="14"/>
        <v>5625</v>
      </c>
      <c r="E141" s="7">
        <f t="shared" si="15"/>
        <v>5605</v>
      </c>
      <c r="F141" s="7">
        <f t="shared" si="13"/>
        <v>5560</v>
      </c>
      <c r="G141" s="7">
        <f t="shared" si="16"/>
        <v>2780</v>
      </c>
      <c r="H141" s="7">
        <f t="shared" si="17"/>
        <v>2780</v>
      </c>
      <c r="I141" s="7"/>
    </row>
    <row r="142" spans="1:9" x14ac:dyDescent="0.25">
      <c r="A142" s="117">
        <v>68000</v>
      </c>
      <c r="B142" s="4">
        <f t="shared" si="12"/>
        <v>5666.666666666667</v>
      </c>
      <c r="C142" s="3">
        <f>'Total income package'!$D$80</f>
        <v>0</v>
      </c>
      <c r="D142" s="7">
        <f t="shared" si="14"/>
        <v>5666.666666666667</v>
      </c>
      <c r="E142" s="7">
        <f t="shared" si="15"/>
        <v>5646.666666666667</v>
      </c>
      <c r="F142" s="7">
        <f t="shared" si="13"/>
        <v>5601.666666666667</v>
      </c>
      <c r="G142" s="7">
        <f t="shared" si="16"/>
        <v>2800.8333333333335</v>
      </c>
      <c r="H142" s="7">
        <f t="shared" si="17"/>
        <v>2800.8333333333335</v>
      </c>
      <c r="I142" s="7"/>
    </row>
    <row r="143" spans="1:9" x14ac:dyDescent="0.25">
      <c r="A143" s="29">
        <v>68500</v>
      </c>
      <c r="B143" s="4">
        <f t="shared" si="12"/>
        <v>5708.333333333333</v>
      </c>
      <c r="C143" s="3">
        <f>'Total income package'!$D$80</f>
        <v>0</v>
      </c>
      <c r="D143" s="7">
        <f t="shared" si="14"/>
        <v>5708.333333333333</v>
      </c>
      <c r="E143" s="7">
        <f t="shared" si="15"/>
        <v>5688.333333333333</v>
      </c>
      <c r="F143" s="7">
        <f t="shared" si="13"/>
        <v>5643.333333333333</v>
      </c>
      <c r="G143" s="7">
        <f t="shared" si="16"/>
        <v>2821.6666666666665</v>
      </c>
      <c r="H143" s="7">
        <f t="shared" si="17"/>
        <v>2821.6666666666665</v>
      </c>
      <c r="I143" s="7"/>
    </row>
    <row r="144" spans="1:9" x14ac:dyDescent="0.25">
      <c r="A144" s="117">
        <v>69000</v>
      </c>
      <c r="B144" s="4">
        <f t="shared" si="12"/>
        <v>5750</v>
      </c>
      <c r="C144" s="3">
        <f>'Total income package'!$D$80</f>
        <v>0</v>
      </c>
      <c r="D144" s="7">
        <f t="shared" si="14"/>
        <v>5750</v>
      </c>
      <c r="E144" s="7">
        <f t="shared" si="15"/>
        <v>5730</v>
      </c>
      <c r="F144" s="7">
        <f t="shared" si="13"/>
        <v>5685</v>
      </c>
      <c r="G144" s="7">
        <f t="shared" si="16"/>
        <v>2842.5</v>
      </c>
      <c r="H144" s="7">
        <f t="shared" si="17"/>
        <v>2842.5</v>
      </c>
      <c r="I144" s="7"/>
    </row>
    <row r="145" spans="1:9" x14ac:dyDescent="0.25">
      <c r="A145" s="117">
        <v>69500</v>
      </c>
      <c r="B145" s="4">
        <f t="shared" si="12"/>
        <v>5791.666666666667</v>
      </c>
      <c r="C145" s="3">
        <f>'Total income package'!$D$80</f>
        <v>0</v>
      </c>
      <c r="D145" s="7">
        <f t="shared" si="14"/>
        <v>5791.666666666667</v>
      </c>
      <c r="E145" s="7">
        <f t="shared" si="15"/>
        <v>5771.666666666667</v>
      </c>
      <c r="F145" s="7">
        <f t="shared" si="13"/>
        <v>5726.666666666667</v>
      </c>
      <c r="G145" s="7">
        <f t="shared" si="16"/>
        <v>2863.3333333333335</v>
      </c>
      <c r="H145" s="7">
        <f t="shared" si="17"/>
        <v>2863.3333333333335</v>
      </c>
      <c r="I145" s="7"/>
    </row>
    <row r="146" spans="1:9" x14ac:dyDescent="0.25">
      <c r="A146" s="29">
        <v>70000</v>
      </c>
      <c r="B146" s="4">
        <f t="shared" si="12"/>
        <v>5833.333333333333</v>
      </c>
      <c r="C146" s="3">
        <f>'Total income package'!$D$80</f>
        <v>0</v>
      </c>
      <c r="D146" s="7">
        <f t="shared" si="14"/>
        <v>5833.333333333333</v>
      </c>
      <c r="E146" s="7">
        <f t="shared" si="15"/>
        <v>5813.333333333333</v>
      </c>
      <c r="F146" s="7">
        <f t="shared" si="13"/>
        <v>5768.333333333333</v>
      </c>
      <c r="G146" s="7">
        <f t="shared" si="16"/>
        <v>2884.1666666666665</v>
      </c>
      <c r="H146" s="7">
        <f t="shared" si="17"/>
        <v>2884.1666666666665</v>
      </c>
      <c r="I146" s="7"/>
    </row>
    <row r="147" spans="1:9" x14ac:dyDescent="0.25">
      <c r="A147" s="117">
        <v>70500</v>
      </c>
      <c r="B147" s="4">
        <f t="shared" si="12"/>
        <v>5875</v>
      </c>
      <c r="C147" s="3">
        <f>'Total income package'!$D$80</f>
        <v>0</v>
      </c>
      <c r="D147" s="7">
        <f t="shared" si="14"/>
        <v>5875</v>
      </c>
      <c r="E147" s="7">
        <f t="shared" si="15"/>
        <v>5855</v>
      </c>
      <c r="F147" s="7">
        <f t="shared" si="13"/>
        <v>5810</v>
      </c>
      <c r="G147" s="7">
        <f t="shared" si="16"/>
        <v>2905</v>
      </c>
      <c r="H147" s="7">
        <f t="shared" si="17"/>
        <v>2905</v>
      </c>
      <c r="I147" s="7"/>
    </row>
    <row r="148" spans="1:9" x14ac:dyDescent="0.25">
      <c r="A148" s="117">
        <v>71000</v>
      </c>
      <c r="B148" s="4">
        <f t="shared" si="12"/>
        <v>5916.666666666667</v>
      </c>
      <c r="C148" s="3">
        <f>'Total income package'!$D$80</f>
        <v>0</v>
      </c>
      <c r="D148" s="7">
        <f t="shared" si="14"/>
        <v>5916.666666666667</v>
      </c>
      <c r="E148" s="7">
        <f t="shared" si="15"/>
        <v>5896.666666666667</v>
      </c>
      <c r="F148" s="7">
        <f t="shared" si="13"/>
        <v>5851.666666666667</v>
      </c>
      <c r="G148" s="7">
        <f t="shared" si="16"/>
        <v>2925.8333333333335</v>
      </c>
      <c r="H148" s="7">
        <f t="shared" si="17"/>
        <v>2925.8333333333335</v>
      </c>
      <c r="I148" s="7"/>
    </row>
    <row r="149" spans="1:9" x14ac:dyDescent="0.25">
      <c r="A149" s="29">
        <v>71500</v>
      </c>
      <c r="B149" s="4">
        <f t="shared" si="12"/>
        <v>5958.333333333333</v>
      </c>
      <c r="C149" s="3">
        <f>'Total income package'!$D$80</f>
        <v>0</v>
      </c>
      <c r="D149" s="7">
        <f t="shared" si="14"/>
        <v>5958.333333333333</v>
      </c>
      <c r="E149" s="7">
        <f t="shared" si="15"/>
        <v>5938.333333333333</v>
      </c>
      <c r="F149" s="7">
        <f t="shared" si="13"/>
        <v>5893.333333333333</v>
      </c>
      <c r="G149" s="7">
        <f t="shared" si="16"/>
        <v>2946.6666666666665</v>
      </c>
      <c r="H149" s="7">
        <f t="shared" si="17"/>
        <v>2946.6666666666665</v>
      </c>
      <c r="I149" s="7"/>
    </row>
    <row r="150" spans="1:9" x14ac:dyDescent="0.25">
      <c r="A150" s="117">
        <v>72000</v>
      </c>
      <c r="B150" s="4">
        <f t="shared" si="12"/>
        <v>6000</v>
      </c>
      <c r="C150" s="3">
        <f>'Total income package'!$D$80</f>
        <v>0</v>
      </c>
      <c r="D150" s="7">
        <f t="shared" si="14"/>
        <v>6000</v>
      </c>
      <c r="E150" s="7">
        <f t="shared" si="15"/>
        <v>5980</v>
      </c>
      <c r="F150" s="7">
        <f t="shared" si="13"/>
        <v>5935</v>
      </c>
      <c r="G150" s="7">
        <f t="shared" si="16"/>
        <v>2967.5</v>
      </c>
      <c r="H150" s="7">
        <f t="shared" si="17"/>
        <v>2967.5</v>
      </c>
      <c r="I150" s="7"/>
    </row>
    <row r="151" spans="1:9" x14ac:dyDescent="0.25">
      <c r="A151" s="117">
        <v>72500</v>
      </c>
      <c r="B151" s="4">
        <f t="shared" si="12"/>
        <v>6041.666666666667</v>
      </c>
      <c r="C151" s="3">
        <f>'Total income package'!$D$80</f>
        <v>0</v>
      </c>
      <c r="D151" s="7">
        <f t="shared" si="14"/>
        <v>6041.666666666667</v>
      </c>
      <c r="E151" s="7">
        <f t="shared" si="15"/>
        <v>6021.666666666667</v>
      </c>
      <c r="F151" s="7">
        <f t="shared" si="13"/>
        <v>5976.666666666667</v>
      </c>
      <c r="G151" s="7">
        <f t="shared" si="16"/>
        <v>2988.3333333333335</v>
      </c>
      <c r="H151" s="7">
        <f t="shared" si="17"/>
        <v>2988.3333333333335</v>
      </c>
      <c r="I151" s="7"/>
    </row>
    <row r="152" spans="1:9" x14ac:dyDescent="0.25">
      <c r="A152" s="29">
        <v>73000</v>
      </c>
      <c r="B152" s="4">
        <f t="shared" si="12"/>
        <v>6083.333333333333</v>
      </c>
      <c r="C152" s="3">
        <f>'Total income package'!$D$80</f>
        <v>0</v>
      </c>
      <c r="D152" s="7">
        <f t="shared" si="14"/>
        <v>6083.333333333333</v>
      </c>
      <c r="E152" s="7">
        <f t="shared" si="15"/>
        <v>6063.333333333333</v>
      </c>
      <c r="F152" s="7">
        <f t="shared" si="13"/>
        <v>6018.333333333333</v>
      </c>
      <c r="G152" s="7">
        <f t="shared" si="16"/>
        <v>3009.1666666666665</v>
      </c>
      <c r="H152" s="7">
        <f t="shared" si="17"/>
        <v>3009.1666666666665</v>
      </c>
      <c r="I152" s="7"/>
    </row>
    <row r="153" spans="1:9" x14ac:dyDescent="0.25">
      <c r="A153" s="117">
        <v>73500</v>
      </c>
      <c r="B153" s="4">
        <f t="shared" si="12"/>
        <v>6125</v>
      </c>
      <c r="C153" s="3">
        <f>'Total income package'!$D$80</f>
        <v>0</v>
      </c>
      <c r="D153" s="7">
        <f t="shared" si="14"/>
        <v>6125</v>
      </c>
      <c r="E153" s="7">
        <f t="shared" si="15"/>
        <v>6105</v>
      </c>
      <c r="F153" s="7">
        <f t="shared" si="13"/>
        <v>6060</v>
      </c>
      <c r="G153" s="7">
        <f t="shared" si="16"/>
        <v>3030</v>
      </c>
      <c r="H153" s="7">
        <f t="shared" si="17"/>
        <v>3030</v>
      </c>
      <c r="I153" s="7"/>
    </row>
    <row r="154" spans="1:9" x14ac:dyDescent="0.25">
      <c r="A154" s="117">
        <v>74000</v>
      </c>
      <c r="B154" s="4">
        <f t="shared" si="12"/>
        <v>6166.666666666667</v>
      </c>
      <c r="C154" s="3">
        <f>'Total income package'!$D$80</f>
        <v>0</v>
      </c>
      <c r="D154" s="7">
        <f t="shared" si="14"/>
        <v>6166.666666666667</v>
      </c>
      <c r="E154" s="7">
        <f t="shared" si="15"/>
        <v>6146.666666666667</v>
      </c>
      <c r="F154" s="7">
        <f t="shared" si="13"/>
        <v>6101.666666666667</v>
      </c>
      <c r="G154" s="7">
        <f t="shared" si="16"/>
        <v>3050.8333333333335</v>
      </c>
      <c r="H154" s="7">
        <f t="shared" si="17"/>
        <v>3050.8333333333335</v>
      </c>
      <c r="I154" s="7"/>
    </row>
    <row r="155" spans="1:9" x14ac:dyDescent="0.25">
      <c r="A155" s="29">
        <v>74500</v>
      </c>
      <c r="B155" s="4">
        <f t="shared" si="12"/>
        <v>6208.333333333333</v>
      </c>
      <c r="C155" s="3">
        <f>'Total income package'!$D$80</f>
        <v>0</v>
      </c>
      <c r="D155" s="7">
        <f t="shared" si="14"/>
        <v>6208.333333333333</v>
      </c>
      <c r="E155" s="7">
        <f t="shared" si="15"/>
        <v>6188.333333333333</v>
      </c>
      <c r="F155" s="7">
        <f t="shared" si="13"/>
        <v>6143.333333333333</v>
      </c>
      <c r="G155" s="7">
        <f t="shared" si="16"/>
        <v>3071.6666666666665</v>
      </c>
      <c r="H155" s="7">
        <f t="shared" si="17"/>
        <v>3071.6666666666665</v>
      </c>
      <c r="I155" s="7"/>
    </row>
    <row r="156" spans="1:9" x14ac:dyDescent="0.25">
      <c r="A156" s="117">
        <v>75000</v>
      </c>
      <c r="B156" s="4">
        <f t="shared" si="12"/>
        <v>6250</v>
      </c>
      <c r="C156" s="3">
        <f>'Total income package'!$D$80</f>
        <v>0</v>
      </c>
      <c r="D156" s="7">
        <f t="shared" si="14"/>
        <v>6250</v>
      </c>
      <c r="E156" s="7">
        <f t="shared" si="15"/>
        <v>6230</v>
      </c>
      <c r="F156" s="7">
        <f t="shared" si="13"/>
        <v>6185</v>
      </c>
      <c r="G156" s="7">
        <f t="shared" si="16"/>
        <v>3092.5</v>
      </c>
      <c r="H156" s="7">
        <f t="shared" si="17"/>
        <v>3092.5</v>
      </c>
      <c r="I156" s="7"/>
    </row>
    <row r="157" spans="1:9" x14ac:dyDescent="0.25">
      <c r="A157" s="117">
        <v>75500</v>
      </c>
      <c r="B157" s="4">
        <f t="shared" si="12"/>
        <v>6291.666666666667</v>
      </c>
      <c r="C157" s="3">
        <f>'Total income package'!$D$80</f>
        <v>0</v>
      </c>
      <c r="D157" s="7">
        <f t="shared" si="14"/>
        <v>6291.666666666667</v>
      </c>
      <c r="E157" s="7">
        <f t="shared" si="15"/>
        <v>6271.666666666667</v>
      </c>
      <c r="F157" s="7">
        <f t="shared" si="13"/>
        <v>6226.666666666667</v>
      </c>
      <c r="G157" s="7">
        <f t="shared" si="16"/>
        <v>3113.3333333333335</v>
      </c>
      <c r="H157" s="7">
        <f t="shared" si="17"/>
        <v>3113.3333333333335</v>
      </c>
      <c r="I157" s="7"/>
    </row>
    <row r="158" spans="1:9" x14ac:dyDescent="0.25">
      <c r="A158" s="29">
        <v>76000</v>
      </c>
      <c r="B158" s="4">
        <f t="shared" si="12"/>
        <v>6333.333333333333</v>
      </c>
      <c r="C158" s="3">
        <f>'Total income package'!$D$80</f>
        <v>0</v>
      </c>
      <c r="D158" s="7">
        <f t="shared" si="14"/>
        <v>6333.333333333333</v>
      </c>
      <c r="E158" s="7">
        <f t="shared" si="15"/>
        <v>6313.333333333333</v>
      </c>
      <c r="F158" s="7">
        <f t="shared" si="13"/>
        <v>6268.333333333333</v>
      </c>
      <c r="G158" s="7">
        <f t="shared" si="16"/>
        <v>3134.1666666666665</v>
      </c>
      <c r="H158" s="7">
        <f t="shared" si="17"/>
        <v>3134.1666666666665</v>
      </c>
      <c r="I158" s="7"/>
    </row>
    <row r="159" spans="1:9" x14ac:dyDescent="0.25">
      <c r="A159" s="117">
        <v>76500</v>
      </c>
      <c r="B159" s="4">
        <f t="shared" si="12"/>
        <v>6375</v>
      </c>
      <c r="C159" s="3">
        <f>'Total income package'!$D$80</f>
        <v>0</v>
      </c>
      <c r="D159" s="7">
        <f t="shared" si="14"/>
        <v>6375</v>
      </c>
      <c r="E159" s="7">
        <f t="shared" si="15"/>
        <v>6355</v>
      </c>
      <c r="F159" s="7">
        <f t="shared" si="13"/>
        <v>6310</v>
      </c>
      <c r="G159" s="7">
        <f t="shared" si="16"/>
        <v>3155</v>
      </c>
      <c r="H159" s="7">
        <f t="shared" si="17"/>
        <v>3155</v>
      </c>
      <c r="I159" s="7"/>
    </row>
    <row r="160" spans="1:9" x14ac:dyDescent="0.25">
      <c r="A160" s="117">
        <v>77000</v>
      </c>
      <c r="B160" s="4">
        <f t="shared" si="12"/>
        <v>6416.666666666667</v>
      </c>
      <c r="C160" s="3">
        <f>'Total income package'!$D$80</f>
        <v>0</v>
      </c>
      <c r="D160" s="7">
        <f t="shared" si="14"/>
        <v>6416.666666666667</v>
      </c>
      <c r="E160" s="7">
        <f t="shared" si="15"/>
        <v>6396.666666666667</v>
      </c>
      <c r="F160" s="7">
        <f t="shared" si="13"/>
        <v>6351.666666666667</v>
      </c>
      <c r="G160" s="7">
        <f t="shared" si="16"/>
        <v>3175.8333333333335</v>
      </c>
      <c r="H160" s="7">
        <f t="shared" si="17"/>
        <v>3175.8333333333335</v>
      </c>
      <c r="I160" s="7"/>
    </row>
    <row r="161" spans="1:9" x14ac:dyDescent="0.25">
      <c r="A161" s="29">
        <v>77500</v>
      </c>
      <c r="B161" s="4">
        <f t="shared" si="12"/>
        <v>6458.333333333333</v>
      </c>
      <c r="C161" s="3">
        <f>'Total income package'!$D$80</f>
        <v>0</v>
      </c>
      <c r="D161" s="7">
        <f t="shared" si="14"/>
        <v>6458.333333333333</v>
      </c>
      <c r="E161" s="7">
        <f t="shared" si="15"/>
        <v>6438.333333333333</v>
      </c>
      <c r="F161" s="7">
        <f t="shared" si="13"/>
        <v>6393.333333333333</v>
      </c>
      <c r="G161" s="7">
        <f t="shared" si="16"/>
        <v>3196.6666666666665</v>
      </c>
      <c r="H161" s="7">
        <f t="shared" si="17"/>
        <v>3196.6666666666665</v>
      </c>
      <c r="I161" s="7"/>
    </row>
    <row r="162" spans="1:9" x14ac:dyDescent="0.25">
      <c r="A162" s="117">
        <v>78000</v>
      </c>
      <c r="B162" s="4">
        <f t="shared" si="12"/>
        <v>6500</v>
      </c>
      <c r="C162" s="3">
        <f>'Total income package'!$D$80</f>
        <v>0</v>
      </c>
      <c r="D162" s="7">
        <f t="shared" si="14"/>
        <v>6500</v>
      </c>
      <c r="E162" s="7">
        <f t="shared" si="15"/>
        <v>6480</v>
      </c>
      <c r="F162" s="7">
        <f t="shared" si="13"/>
        <v>6435</v>
      </c>
      <c r="G162" s="7">
        <f t="shared" si="16"/>
        <v>3217.5</v>
      </c>
      <c r="H162" s="7">
        <f t="shared" si="17"/>
        <v>3217.5</v>
      </c>
      <c r="I162" s="7"/>
    </row>
    <row r="163" spans="1:9" x14ac:dyDescent="0.25">
      <c r="A163" s="117">
        <v>78500</v>
      </c>
      <c r="B163" s="4">
        <f t="shared" si="12"/>
        <v>6541.666666666667</v>
      </c>
      <c r="C163" s="3">
        <f>'Total income package'!$D$80</f>
        <v>0</v>
      </c>
      <c r="D163" s="7">
        <f t="shared" si="14"/>
        <v>6541.666666666667</v>
      </c>
      <c r="E163" s="7">
        <f t="shared" si="15"/>
        <v>6521.666666666667</v>
      </c>
      <c r="F163" s="7">
        <f t="shared" si="13"/>
        <v>6476.666666666667</v>
      </c>
      <c r="G163" s="7">
        <f t="shared" si="16"/>
        <v>3238.3333333333335</v>
      </c>
      <c r="H163" s="7">
        <f t="shared" si="17"/>
        <v>3238.3333333333335</v>
      </c>
      <c r="I163" s="7"/>
    </row>
    <row r="164" spans="1:9" x14ac:dyDescent="0.25">
      <c r="A164" s="29">
        <v>79000</v>
      </c>
      <c r="B164" s="4">
        <f t="shared" si="12"/>
        <v>6583.333333333333</v>
      </c>
      <c r="C164" s="3">
        <f>'Total income package'!$D$80</f>
        <v>0</v>
      </c>
      <c r="D164" s="7">
        <f t="shared" si="14"/>
        <v>6583.333333333333</v>
      </c>
      <c r="E164" s="7">
        <f t="shared" si="15"/>
        <v>6563.333333333333</v>
      </c>
      <c r="F164" s="7">
        <f t="shared" si="13"/>
        <v>6518.333333333333</v>
      </c>
      <c r="G164" s="7">
        <f t="shared" si="16"/>
        <v>3259.1666666666665</v>
      </c>
      <c r="H164" s="7">
        <f t="shared" si="17"/>
        <v>3259.1666666666665</v>
      </c>
      <c r="I164" s="7"/>
    </row>
    <row r="165" spans="1:9" x14ac:dyDescent="0.25">
      <c r="A165" s="117">
        <v>79500</v>
      </c>
      <c r="B165" s="4">
        <f t="shared" si="12"/>
        <v>6625</v>
      </c>
      <c r="C165" s="3">
        <f>'Total income package'!$D$80</f>
        <v>0</v>
      </c>
      <c r="D165" s="7">
        <f t="shared" si="14"/>
        <v>6625</v>
      </c>
      <c r="E165" s="7">
        <f t="shared" si="15"/>
        <v>6605</v>
      </c>
      <c r="F165" s="7">
        <f t="shared" si="13"/>
        <v>6560</v>
      </c>
      <c r="G165" s="7">
        <f t="shared" si="16"/>
        <v>3280</v>
      </c>
      <c r="H165" s="7">
        <f t="shared" si="17"/>
        <v>3280</v>
      </c>
      <c r="I165" s="7"/>
    </row>
    <row r="166" spans="1:9" x14ac:dyDescent="0.25">
      <c r="A166" s="117">
        <v>80000</v>
      </c>
      <c r="B166" s="4">
        <f t="shared" si="12"/>
        <v>6666.666666666667</v>
      </c>
      <c r="C166" s="3">
        <f>'Total income package'!$D$80</f>
        <v>0</v>
      </c>
      <c r="D166" s="7">
        <f t="shared" si="14"/>
        <v>6666.666666666667</v>
      </c>
      <c r="E166" s="7">
        <f t="shared" si="15"/>
        <v>6646.666666666667</v>
      </c>
      <c r="F166" s="7">
        <f t="shared" si="13"/>
        <v>6601.666666666667</v>
      </c>
      <c r="G166" s="7">
        <f t="shared" si="16"/>
        <v>3300.8333333333335</v>
      </c>
      <c r="H166" s="7">
        <f t="shared" si="17"/>
        <v>3300.8333333333335</v>
      </c>
      <c r="I166" s="7"/>
    </row>
    <row r="167" spans="1:9" x14ac:dyDescent="0.25">
      <c r="A167" s="29">
        <v>80500</v>
      </c>
      <c r="B167" s="4">
        <f t="shared" si="12"/>
        <v>6708.333333333333</v>
      </c>
      <c r="C167" s="3">
        <f>'Total income package'!$D$80</f>
        <v>0</v>
      </c>
      <c r="D167" s="7">
        <f t="shared" si="14"/>
        <v>6708.333333333333</v>
      </c>
      <c r="E167" s="7">
        <f t="shared" si="15"/>
        <v>6688.333333333333</v>
      </c>
      <c r="F167" s="7">
        <f t="shared" si="13"/>
        <v>6643.333333333333</v>
      </c>
      <c r="G167" s="7">
        <f t="shared" si="16"/>
        <v>3321.6666666666665</v>
      </c>
      <c r="H167" s="7">
        <f t="shared" si="17"/>
        <v>3321.6666666666665</v>
      </c>
      <c r="I167" s="7"/>
    </row>
    <row r="168" spans="1:9" x14ac:dyDescent="0.25">
      <c r="A168" s="117">
        <v>81000</v>
      </c>
      <c r="B168" s="4">
        <f t="shared" si="12"/>
        <v>6750</v>
      </c>
      <c r="C168" s="3">
        <f>'Total income package'!$D$80</f>
        <v>0</v>
      </c>
      <c r="D168" s="7">
        <f t="shared" si="14"/>
        <v>6750</v>
      </c>
      <c r="E168" s="7">
        <f t="shared" si="15"/>
        <v>6730</v>
      </c>
      <c r="F168" s="7">
        <f t="shared" si="13"/>
        <v>6685</v>
      </c>
      <c r="G168" s="7">
        <f t="shared" si="16"/>
        <v>3342.5</v>
      </c>
      <c r="H168" s="7">
        <f t="shared" si="17"/>
        <v>3342.5</v>
      </c>
      <c r="I168" s="7"/>
    </row>
    <row r="169" spans="1:9" x14ac:dyDescent="0.25">
      <c r="A169" s="117">
        <v>81500</v>
      </c>
      <c r="B169" s="4">
        <f t="shared" si="12"/>
        <v>6791.666666666667</v>
      </c>
      <c r="C169" s="3">
        <f>'Total income package'!$D$80</f>
        <v>0</v>
      </c>
      <c r="D169" s="7">
        <f t="shared" si="14"/>
        <v>6791.666666666667</v>
      </c>
      <c r="E169" s="7">
        <f t="shared" si="15"/>
        <v>6771.666666666667</v>
      </c>
      <c r="F169" s="7">
        <f t="shared" si="13"/>
        <v>6726.666666666667</v>
      </c>
      <c r="G169" s="7">
        <f t="shared" si="16"/>
        <v>3363.3333333333335</v>
      </c>
      <c r="H169" s="7">
        <f t="shared" si="17"/>
        <v>3363.3333333333335</v>
      </c>
      <c r="I169" s="7"/>
    </row>
    <row r="170" spans="1:9" x14ac:dyDescent="0.25">
      <c r="A170" s="29">
        <v>82000</v>
      </c>
      <c r="B170" s="4">
        <f t="shared" si="12"/>
        <v>6833.333333333333</v>
      </c>
      <c r="C170" s="3">
        <f>'Total income package'!$D$80</f>
        <v>0</v>
      </c>
      <c r="D170" s="7">
        <f t="shared" si="14"/>
        <v>6833.333333333333</v>
      </c>
      <c r="E170" s="7">
        <f t="shared" si="15"/>
        <v>6813.333333333333</v>
      </c>
      <c r="F170" s="7">
        <f t="shared" si="13"/>
        <v>6768.333333333333</v>
      </c>
      <c r="G170" s="7">
        <f t="shared" si="16"/>
        <v>3384.1666666666665</v>
      </c>
      <c r="H170" s="7">
        <f t="shared" si="17"/>
        <v>3384.1666666666665</v>
      </c>
      <c r="I170" s="7"/>
    </row>
    <row r="171" spans="1:9" x14ac:dyDescent="0.25">
      <c r="A171" s="117">
        <v>82500</v>
      </c>
      <c r="B171" s="4">
        <f t="shared" si="12"/>
        <v>6875</v>
      </c>
      <c r="C171" s="3">
        <f>'Total income package'!$D$80</f>
        <v>0</v>
      </c>
      <c r="D171" s="7">
        <f t="shared" si="14"/>
        <v>6875</v>
      </c>
      <c r="E171" s="7">
        <f t="shared" si="15"/>
        <v>6855</v>
      </c>
      <c r="F171" s="7">
        <f t="shared" si="13"/>
        <v>6810</v>
      </c>
      <c r="G171" s="7">
        <f t="shared" si="16"/>
        <v>3405</v>
      </c>
      <c r="H171" s="7">
        <f t="shared" si="17"/>
        <v>3405</v>
      </c>
      <c r="I171" s="7"/>
    </row>
    <row r="172" spans="1:9" x14ac:dyDescent="0.25">
      <c r="A172" s="117">
        <v>83000</v>
      </c>
      <c r="B172" s="4">
        <f t="shared" ref="B172:B206" si="18">A172/12</f>
        <v>6916.666666666667</v>
      </c>
      <c r="C172" s="3">
        <f>'Total income package'!$D$80</f>
        <v>0</v>
      </c>
      <c r="D172" s="7">
        <f t="shared" si="14"/>
        <v>6916.666666666667</v>
      </c>
      <c r="E172" s="7">
        <f t="shared" si="15"/>
        <v>6896.666666666667</v>
      </c>
      <c r="F172" s="7">
        <f t="shared" si="13"/>
        <v>6851.666666666667</v>
      </c>
      <c r="G172" s="7">
        <f t="shared" si="16"/>
        <v>3425.8333333333335</v>
      </c>
      <c r="H172" s="7">
        <f t="shared" si="17"/>
        <v>3425.8333333333335</v>
      </c>
      <c r="I172" s="7"/>
    </row>
    <row r="173" spans="1:9" x14ac:dyDescent="0.25">
      <c r="A173" s="29">
        <v>83500</v>
      </c>
      <c r="B173" s="4">
        <f t="shared" si="18"/>
        <v>6958.333333333333</v>
      </c>
      <c r="C173" s="3">
        <f>'Total income package'!$D$80</f>
        <v>0</v>
      </c>
      <c r="D173" s="7">
        <f t="shared" si="14"/>
        <v>6958.333333333333</v>
      </c>
      <c r="E173" s="7">
        <f t="shared" si="15"/>
        <v>6938.333333333333</v>
      </c>
      <c r="F173" s="7">
        <f t="shared" si="13"/>
        <v>6893.333333333333</v>
      </c>
      <c r="G173" s="7">
        <f t="shared" si="16"/>
        <v>3446.6666666666665</v>
      </c>
      <c r="H173" s="7">
        <f t="shared" si="17"/>
        <v>3446.6666666666665</v>
      </c>
      <c r="I173" s="7"/>
    </row>
    <row r="174" spans="1:9" x14ac:dyDescent="0.25">
      <c r="A174" s="117">
        <v>84000</v>
      </c>
      <c r="B174" s="4">
        <f t="shared" si="18"/>
        <v>7000</v>
      </c>
      <c r="C174" s="3">
        <f>'Total income package'!$D$80</f>
        <v>0</v>
      </c>
      <c r="D174" s="7">
        <f t="shared" si="14"/>
        <v>7000</v>
      </c>
      <c r="E174" s="7">
        <f t="shared" si="15"/>
        <v>6980</v>
      </c>
      <c r="F174" s="7">
        <f t="shared" si="13"/>
        <v>6935</v>
      </c>
      <c r="G174" s="7">
        <f t="shared" si="16"/>
        <v>3467.5</v>
      </c>
      <c r="H174" s="7">
        <f t="shared" si="17"/>
        <v>3467.5</v>
      </c>
      <c r="I174" s="7"/>
    </row>
    <row r="175" spans="1:9" x14ac:dyDescent="0.25">
      <c r="A175" s="117">
        <v>84500</v>
      </c>
      <c r="B175" s="4">
        <f t="shared" si="18"/>
        <v>7041.666666666667</v>
      </c>
      <c r="C175" s="3">
        <f>'Total income package'!$D$80</f>
        <v>0</v>
      </c>
      <c r="D175" s="7">
        <f t="shared" si="14"/>
        <v>7041.666666666667</v>
      </c>
      <c r="E175" s="7">
        <f t="shared" si="15"/>
        <v>7021.666666666667</v>
      </c>
      <c r="F175" s="7">
        <f t="shared" si="13"/>
        <v>6976.666666666667</v>
      </c>
      <c r="G175" s="7">
        <f t="shared" si="16"/>
        <v>3488.3333333333335</v>
      </c>
      <c r="H175" s="7">
        <f t="shared" si="17"/>
        <v>3488.3333333333335</v>
      </c>
      <c r="I175" s="7"/>
    </row>
    <row r="176" spans="1:9" x14ac:dyDescent="0.25">
      <c r="A176" s="29">
        <v>85000</v>
      </c>
      <c r="B176" s="4">
        <f t="shared" si="18"/>
        <v>7083.333333333333</v>
      </c>
      <c r="C176" s="3">
        <f>'Total income package'!$D$80</f>
        <v>0</v>
      </c>
      <c r="D176" s="7">
        <f t="shared" si="14"/>
        <v>7083.333333333333</v>
      </c>
      <c r="E176" s="7">
        <f t="shared" si="15"/>
        <v>7063.333333333333</v>
      </c>
      <c r="F176" s="7">
        <f t="shared" si="13"/>
        <v>7018.333333333333</v>
      </c>
      <c r="G176" s="7">
        <f t="shared" si="16"/>
        <v>3509.1666666666665</v>
      </c>
      <c r="H176" s="7">
        <f t="shared" si="17"/>
        <v>3509.1666666666665</v>
      </c>
      <c r="I176" s="7"/>
    </row>
    <row r="177" spans="1:9" x14ac:dyDescent="0.25">
      <c r="A177" s="117">
        <v>85500</v>
      </c>
      <c r="B177" s="4">
        <f t="shared" si="18"/>
        <v>7125</v>
      </c>
      <c r="C177" s="3">
        <f>'Total income package'!$D$80</f>
        <v>0</v>
      </c>
      <c r="D177" s="7">
        <f t="shared" si="14"/>
        <v>7125</v>
      </c>
      <c r="E177" s="7">
        <f t="shared" si="15"/>
        <v>7105</v>
      </c>
      <c r="F177" s="7">
        <f t="shared" si="13"/>
        <v>7060</v>
      </c>
      <c r="G177" s="7">
        <f t="shared" si="16"/>
        <v>3530</v>
      </c>
      <c r="H177" s="7">
        <f t="shared" si="17"/>
        <v>3530</v>
      </c>
      <c r="I177" s="7"/>
    </row>
    <row r="178" spans="1:9" x14ac:dyDescent="0.25">
      <c r="A178" s="117">
        <v>86000</v>
      </c>
      <c r="B178" s="4">
        <f t="shared" si="18"/>
        <v>7166.666666666667</v>
      </c>
      <c r="C178" s="3">
        <f>'Total income package'!$D$80</f>
        <v>0</v>
      </c>
      <c r="D178" s="7">
        <f t="shared" si="14"/>
        <v>7166.666666666667</v>
      </c>
      <c r="E178" s="7">
        <f t="shared" si="15"/>
        <v>7146.666666666667</v>
      </c>
      <c r="F178" s="7">
        <f t="shared" si="13"/>
        <v>7101.666666666667</v>
      </c>
      <c r="G178" s="7">
        <f t="shared" si="16"/>
        <v>3550.8333333333335</v>
      </c>
      <c r="H178" s="7">
        <f t="shared" si="17"/>
        <v>3550.8333333333335</v>
      </c>
      <c r="I178" s="7"/>
    </row>
    <row r="179" spans="1:9" x14ac:dyDescent="0.25">
      <c r="A179" s="29">
        <v>86500</v>
      </c>
      <c r="B179" s="4">
        <f t="shared" si="18"/>
        <v>7208.333333333333</v>
      </c>
      <c r="C179" s="3">
        <f>'Total income package'!$D$80</f>
        <v>0</v>
      </c>
      <c r="D179" s="7">
        <f t="shared" si="14"/>
        <v>7208.333333333333</v>
      </c>
      <c r="E179" s="7">
        <f t="shared" si="15"/>
        <v>7188.333333333333</v>
      </c>
      <c r="F179" s="7">
        <f t="shared" si="13"/>
        <v>7143.333333333333</v>
      </c>
      <c r="G179" s="7">
        <f t="shared" si="16"/>
        <v>3571.6666666666665</v>
      </c>
      <c r="H179" s="7">
        <f t="shared" si="17"/>
        <v>3571.6666666666665</v>
      </c>
      <c r="I179" s="7"/>
    </row>
    <row r="180" spans="1:9" x14ac:dyDescent="0.25">
      <c r="A180" s="117">
        <v>87000</v>
      </c>
      <c r="B180" s="4">
        <f t="shared" si="18"/>
        <v>7250</v>
      </c>
      <c r="C180" s="3">
        <f>'Total income package'!$D$80</f>
        <v>0</v>
      </c>
      <c r="D180" s="7">
        <f t="shared" si="14"/>
        <v>7250</v>
      </c>
      <c r="E180" s="7">
        <f t="shared" si="15"/>
        <v>7230</v>
      </c>
      <c r="F180" s="7">
        <f t="shared" si="13"/>
        <v>7185</v>
      </c>
      <c r="G180" s="7">
        <f t="shared" si="16"/>
        <v>3592.5</v>
      </c>
      <c r="H180" s="7">
        <f t="shared" si="17"/>
        <v>3592.5</v>
      </c>
      <c r="I180" s="7"/>
    </row>
    <row r="181" spans="1:9" x14ac:dyDescent="0.25">
      <c r="A181" s="117">
        <v>87500</v>
      </c>
      <c r="B181" s="4">
        <f t="shared" si="18"/>
        <v>7291.666666666667</v>
      </c>
      <c r="C181" s="3">
        <f>'Total income package'!$D$80</f>
        <v>0</v>
      </c>
      <c r="D181" s="7">
        <f t="shared" si="14"/>
        <v>7291.666666666667</v>
      </c>
      <c r="E181" s="7">
        <f t="shared" si="15"/>
        <v>7271.666666666667</v>
      </c>
      <c r="F181" s="7">
        <f t="shared" si="13"/>
        <v>7226.666666666667</v>
      </c>
      <c r="G181" s="7">
        <f t="shared" si="16"/>
        <v>3613.3333333333335</v>
      </c>
      <c r="H181" s="7">
        <f t="shared" si="17"/>
        <v>3613.3333333333335</v>
      </c>
      <c r="I181" s="7"/>
    </row>
    <row r="182" spans="1:9" x14ac:dyDescent="0.25">
      <c r="A182" s="29">
        <v>88000</v>
      </c>
      <c r="B182" s="4">
        <f t="shared" si="18"/>
        <v>7333.333333333333</v>
      </c>
      <c r="C182" s="3">
        <f>'Total income package'!$D$80</f>
        <v>0</v>
      </c>
      <c r="D182" s="7">
        <f t="shared" si="14"/>
        <v>7333.333333333333</v>
      </c>
      <c r="E182" s="7">
        <f t="shared" si="15"/>
        <v>7313.333333333333</v>
      </c>
      <c r="F182" s="7">
        <f t="shared" si="13"/>
        <v>7268.333333333333</v>
      </c>
      <c r="G182" s="7">
        <f t="shared" si="16"/>
        <v>3634.1666666666665</v>
      </c>
      <c r="H182" s="7">
        <f t="shared" si="17"/>
        <v>3634.1666666666665</v>
      </c>
      <c r="I182" s="7"/>
    </row>
    <row r="183" spans="1:9" x14ac:dyDescent="0.25">
      <c r="A183" s="117">
        <v>88500</v>
      </c>
      <c r="B183" s="4">
        <f t="shared" si="18"/>
        <v>7375</v>
      </c>
      <c r="C183" s="3">
        <f>'Total income package'!$D$80</f>
        <v>0</v>
      </c>
      <c r="D183" s="7">
        <f t="shared" si="14"/>
        <v>7375</v>
      </c>
      <c r="E183" s="7">
        <f t="shared" si="15"/>
        <v>7355</v>
      </c>
      <c r="F183" s="7">
        <f t="shared" si="13"/>
        <v>7310</v>
      </c>
      <c r="G183" s="7">
        <f t="shared" si="16"/>
        <v>3655</v>
      </c>
      <c r="H183" s="7">
        <f t="shared" si="17"/>
        <v>3655</v>
      </c>
      <c r="I183" s="7"/>
    </row>
    <row r="184" spans="1:9" x14ac:dyDescent="0.25">
      <c r="A184" s="117">
        <v>89000</v>
      </c>
      <c r="B184" s="4">
        <f t="shared" si="18"/>
        <v>7416.666666666667</v>
      </c>
      <c r="C184" s="3">
        <f>'Total income package'!$D$80</f>
        <v>0</v>
      </c>
      <c r="D184" s="7">
        <f t="shared" si="14"/>
        <v>7416.666666666667</v>
      </c>
      <c r="E184" s="7">
        <f t="shared" si="15"/>
        <v>7396.666666666667</v>
      </c>
      <c r="F184" s="7">
        <f t="shared" si="13"/>
        <v>7351.666666666667</v>
      </c>
      <c r="G184" s="7">
        <f t="shared" si="16"/>
        <v>3675.8333333333335</v>
      </c>
      <c r="H184" s="7">
        <f t="shared" si="17"/>
        <v>3675.8333333333335</v>
      </c>
      <c r="I184" s="7"/>
    </row>
    <row r="185" spans="1:9" x14ac:dyDescent="0.25">
      <c r="A185" s="29">
        <v>89500</v>
      </c>
      <c r="B185" s="4">
        <f t="shared" si="18"/>
        <v>7458.333333333333</v>
      </c>
      <c r="C185" s="3">
        <f>'Total income package'!$D$80</f>
        <v>0</v>
      </c>
      <c r="D185" s="7">
        <f t="shared" si="14"/>
        <v>7458.333333333333</v>
      </c>
      <c r="E185" s="7">
        <f t="shared" si="15"/>
        <v>7438.333333333333</v>
      </c>
      <c r="F185" s="7">
        <f t="shared" si="13"/>
        <v>7393.333333333333</v>
      </c>
      <c r="G185" s="7">
        <f t="shared" si="16"/>
        <v>3696.6666666666665</v>
      </c>
      <c r="H185" s="7">
        <f t="shared" si="17"/>
        <v>3696.6666666666665</v>
      </c>
      <c r="I185" s="7"/>
    </row>
    <row r="186" spans="1:9" x14ac:dyDescent="0.25">
      <c r="A186" s="117">
        <v>90000</v>
      </c>
      <c r="B186" s="4">
        <f t="shared" si="18"/>
        <v>7500</v>
      </c>
      <c r="C186" s="3">
        <f>'Total income package'!$D$80</f>
        <v>0</v>
      </c>
      <c r="D186" s="7">
        <f t="shared" si="14"/>
        <v>7500</v>
      </c>
      <c r="E186" s="7">
        <f t="shared" si="15"/>
        <v>7480</v>
      </c>
      <c r="F186" s="7">
        <f t="shared" si="13"/>
        <v>7435</v>
      </c>
      <c r="G186" s="7">
        <f t="shared" si="16"/>
        <v>3717.5</v>
      </c>
      <c r="H186" s="7">
        <f t="shared" si="17"/>
        <v>3717.5</v>
      </c>
      <c r="I186" s="7"/>
    </row>
    <row r="187" spans="1:9" x14ac:dyDescent="0.25">
      <c r="A187" s="117">
        <v>90500</v>
      </c>
      <c r="B187" s="4">
        <f t="shared" si="18"/>
        <v>7541.666666666667</v>
      </c>
      <c r="C187" s="3">
        <f>'Total income package'!$D$80</f>
        <v>0</v>
      </c>
      <c r="D187" s="7">
        <f t="shared" si="14"/>
        <v>7541.666666666667</v>
      </c>
      <c r="E187" s="7">
        <f t="shared" si="15"/>
        <v>7521.666666666667</v>
      </c>
      <c r="F187" s="7">
        <f t="shared" si="13"/>
        <v>7476.666666666667</v>
      </c>
      <c r="G187" s="7">
        <f t="shared" si="16"/>
        <v>3738.3333333333335</v>
      </c>
      <c r="H187" s="7">
        <f t="shared" si="17"/>
        <v>3738.3333333333335</v>
      </c>
      <c r="I187" s="7"/>
    </row>
    <row r="188" spans="1:9" x14ac:dyDescent="0.25">
      <c r="A188" s="29">
        <v>91000</v>
      </c>
      <c r="B188" s="4">
        <f t="shared" si="18"/>
        <v>7583.333333333333</v>
      </c>
      <c r="C188" s="3">
        <f>'Total income package'!$D$80</f>
        <v>0</v>
      </c>
      <c r="D188" s="7">
        <f t="shared" si="14"/>
        <v>7583.333333333333</v>
      </c>
      <c r="E188" s="7">
        <f t="shared" si="15"/>
        <v>7563.333333333333</v>
      </c>
      <c r="F188" s="7">
        <f t="shared" si="13"/>
        <v>7518.333333333333</v>
      </c>
      <c r="G188" s="7">
        <f t="shared" si="16"/>
        <v>3759.1666666666665</v>
      </c>
      <c r="H188" s="7">
        <f t="shared" si="17"/>
        <v>3759.1666666666665</v>
      </c>
      <c r="I188" s="7"/>
    </row>
    <row r="189" spans="1:9" x14ac:dyDescent="0.25">
      <c r="A189" s="117">
        <v>91500</v>
      </c>
      <c r="B189" s="4">
        <f t="shared" si="18"/>
        <v>7625</v>
      </c>
      <c r="C189" s="3">
        <f>'Total income package'!$D$80</f>
        <v>0</v>
      </c>
      <c r="D189" s="7">
        <f t="shared" si="14"/>
        <v>7625</v>
      </c>
      <c r="E189" s="7">
        <f t="shared" si="15"/>
        <v>7605</v>
      </c>
      <c r="F189" s="7">
        <f t="shared" si="13"/>
        <v>7560</v>
      </c>
      <c r="G189" s="7">
        <f t="shared" si="16"/>
        <v>3780</v>
      </c>
      <c r="H189" s="7">
        <f t="shared" si="17"/>
        <v>3780</v>
      </c>
      <c r="I189" s="7"/>
    </row>
    <row r="190" spans="1:9" x14ac:dyDescent="0.25">
      <c r="A190" s="117">
        <v>92000</v>
      </c>
      <c r="B190" s="4">
        <f t="shared" si="18"/>
        <v>7666.666666666667</v>
      </c>
      <c r="C190" s="3">
        <f>'Total income package'!$D$80</f>
        <v>0</v>
      </c>
      <c r="D190" s="7">
        <f t="shared" si="14"/>
        <v>7666.666666666667</v>
      </c>
      <c r="E190" s="7">
        <f t="shared" si="15"/>
        <v>7646.666666666667</v>
      </c>
      <c r="F190" s="7">
        <f t="shared" si="13"/>
        <v>7601.666666666667</v>
      </c>
      <c r="G190" s="7">
        <f t="shared" si="16"/>
        <v>3800.8333333333335</v>
      </c>
      <c r="H190" s="7">
        <f t="shared" si="17"/>
        <v>3800.8333333333335</v>
      </c>
      <c r="I190" s="7"/>
    </row>
    <row r="191" spans="1:9" x14ac:dyDescent="0.25">
      <c r="A191" s="29">
        <v>92500</v>
      </c>
      <c r="B191" s="4">
        <f t="shared" si="18"/>
        <v>7708.333333333333</v>
      </c>
      <c r="C191" s="3">
        <f>'Total income package'!$D$80</f>
        <v>0</v>
      </c>
      <c r="D191" s="7">
        <f t="shared" si="14"/>
        <v>7708.333333333333</v>
      </c>
      <c r="E191" s="7">
        <f t="shared" si="15"/>
        <v>7688.333333333333</v>
      </c>
      <c r="F191" s="7">
        <f t="shared" si="13"/>
        <v>7643.333333333333</v>
      </c>
      <c r="G191" s="7">
        <f t="shared" si="16"/>
        <v>3821.6666666666665</v>
      </c>
      <c r="H191" s="7">
        <f t="shared" si="17"/>
        <v>3821.6666666666665</v>
      </c>
      <c r="I191" s="7"/>
    </row>
    <row r="192" spans="1:9" x14ac:dyDescent="0.25">
      <c r="A192" s="117">
        <v>93000</v>
      </c>
      <c r="B192" s="4">
        <f t="shared" si="18"/>
        <v>7750</v>
      </c>
      <c r="C192" s="3">
        <f>'Total income package'!$D$80</f>
        <v>0</v>
      </c>
      <c r="D192" s="7">
        <f t="shared" si="14"/>
        <v>7750</v>
      </c>
      <c r="E192" s="7">
        <f t="shared" si="15"/>
        <v>7730</v>
      </c>
      <c r="F192" s="7">
        <f t="shared" si="13"/>
        <v>7685</v>
      </c>
      <c r="G192" s="7">
        <f t="shared" si="16"/>
        <v>3842.5</v>
      </c>
      <c r="H192" s="7">
        <f t="shared" si="17"/>
        <v>3842.5</v>
      </c>
      <c r="I192" s="7"/>
    </row>
    <row r="193" spans="1:9" x14ac:dyDescent="0.25">
      <c r="A193" s="117">
        <v>93500</v>
      </c>
      <c r="B193" s="4">
        <f t="shared" si="18"/>
        <v>7791.666666666667</v>
      </c>
      <c r="C193" s="3">
        <f>'Total income package'!$D$80</f>
        <v>0</v>
      </c>
      <c r="D193" s="7">
        <f t="shared" si="14"/>
        <v>7791.666666666667</v>
      </c>
      <c r="E193" s="7">
        <f t="shared" si="15"/>
        <v>7771.666666666667</v>
      </c>
      <c r="F193" s="7">
        <f t="shared" si="13"/>
        <v>7726.666666666667</v>
      </c>
      <c r="G193" s="7">
        <f t="shared" si="16"/>
        <v>3863.3333333333335</v>
      </c>
      <c r="H193" s="7">
        <f t="shared" si="17"/>
        <v>3863.3333333333335</v>
      </c>
      <c r="I193" s="7"/>
    </row>
    <row r="194" spans="1:9" x14ac:dyDescent="0.25">
      <c r="A194" s="29">
        <v>94000</v>
      </c>
      <c r="B194" s="4">
        <f t="shared" si="18"/>
        <v>7833.333333333333</v>
      </c>
      <c r="C194" s="3">
        <f>'Total income package'!$D$80</f>
        <v>0</v>
      </c>
      <c r="D194" s="7">
        <f t="shared" si="14"/>
        <v>7833.333333333333</v>
      </c>
      <c r="E194" s="7">
        <f t="shared" si="15"/>
        <v>7813.333333333333</v>
      </c>
      <c r="F194" s="7">
        <f t="shared" si="13"/>
        <v>7768.333333333333</v>
      </c>
      <c r="G194" s="7">
        <f t="shared" si="16"/>
        <v>3884.1666666666665</v>
      </c>
      <c r="H194" s="7">
        <f t="shared" si="17"/>
        <v>3884.1666666666665</v>
      </c>
      <c r="I194" s="7"/>
    </row>
    <row r="195" spans="1:9" x14ac:dyDescent="0.25">
      <c r="A195" s="117">
        <v>94500</v>
      </c>
      <c r="B195" s="4">
        <f t="shared" si="18"/>
        <v>7875</v>
      </c>
      <c r="C195" s="3">
        <f>'Total income package'!$D$80</f>
        <v>0</v>
      </c>
      <c r="D195" s="7">
        <f t="shared" si="14"/>
        <v>7875</v>
      </c>
      <c r="E195" s="7">
        <f t="shared" si="15"/>
        <v>7855</v>
      </c>
      <c r="F195" s="7">
        <f t="shared" si="13"/>
        <v>7810</v>
      </c>
      <c r="G195" s="7">
        <f t="shared" si="16"/>
        <v>3905</v>
      </c>
      <c r="H195" s="7">
        <f t="shared" si="17"/>
        <v>3905</v>
      </c>
      <c r="I195" s="7"/>
    </row>
    <row r="196" spans="1:9" x14ac:dyDescent="0.25">
      <c r="A196" s="117">
        <v>95000</v>
      </c>
      <c r="B196" s="4">
        <f t="shared" si="18"/>
        <v>7916.666666666667</v>
      </c>
      <c r="C196" s="3">
        <f>'Total income package'!$D$80</f>
        <v>0</v>
      </c>
      <c r="D196" s="7">
        <f t="shared" si="14"/>
        <v>7916.666666666667</v>
      </c>
      <c r="E196" s="7">
        <f t="shared" si="15"/>
        <v>7896.666666666667</v>
      </c>
      <c r="F196" s="7">
        <f t="shared" si="13"/>
        <v>7851.666666666667</v>
      </c>
      <c r="G196" s="7">
        <f t="shared" si="16"/>
        <v>3925.8333333333335</v>
      </c>
      <c r="H196" s="7">
        <f t="shared" si="17"/>
        <v>3925.8333333333335</v>
      </c>
      <c r="I196" s="7"/>
    </row>
    <row r="197" spans="1:9" x14ac:dyDescent="0.25">
      <c r="A197" s="29">
        <v>95500</v>
      </c>
      <c r="B197" s="4">
        <f t="shared" si="18"/>
        <v>7958.333333333333</v>
      </c>
      <c r="C197" s="3">
        <f>'Total income package'!$D$80</f>
        <v>0</v>
      </c>
      <c r="D197" s="7">
        <f t="shared" si="14"/>
        <v>7958.333333333333</v>
      </c>
      <c r="E197" s="7">
        <f t="shared" si="15"/>
        <v>7938.333333333333</v>
      </c>
      <c r="F197" s="7">
        <f t="shared" si="13"/>
        <v>7893.333333333333</v>
      </c>
      <c r="G197" s="7">
        <f t="shared" si="16"/>
        <v>3946.6666666666665</v>
      </c>
      <c r="H197" s="7">
        <f t="shared" si="17"/>
        <v>3946.6666666666665</v>
      </c>
      <c r="I197" s="7"/>
    </row>
    <row r="198" spans="1:9" x14ac:dyDescent="0.25">
      <c r="A198" s="117">
        <v>96000</v>
      </c>
      <c r="B198" s="4">
        <f t="shared" si="18"/>
        <v>8000</v>
      </c>
      <c r="C198" s="3">
        <f>'Total income package'!$D$80</f>
        <v>0</v>
      </c>
      <c r="D198" s="7">
        <f t="shared" si="14"/>
        <v>8000</v>
      </c>
      <c r="E198" s="7">
        <f t="shared" si="15"/>
        <v>7980</v>
      </c>
      <c r="F198" s="7">
        <f t="shared" ref="F198:F206" si="19">IF(B198-65&lt;0,0,B198-65)</f>
        <v>7935</v>
      </c>
      <c r="G198" s="7">
        <f t="shared" si="16"/>
        <v>3967.5</v>
      </c>
      <c r="H198" s="7">
        <f t="shared" si="17"/>
        <v>3967.5</v>
      </c>
      <c r="I198" s="7"/>
    </row>
    <row r="199" spans="1:9" x14ac:dyDescent="0.25">
      <c r="A199" s="117">
        <v>96500</v>
      </c>
      <c r="B199" s="4">
        <f t="shared" si="18"/>
        <v>8041.666666666667</v>
      </c>
      <c r="C199" s="3">
        <f>'Total income package'!$D$80</f>
        <v>0</v>
      </c>
      <c r="D199" s="7">
        <f t="shared" ref="D199:D206" si="20">B199+C199</f>
        <v>8041.666666666667</v>
      </c>
      <c r="E199" s="7">
        <f t="shared" ref="E199:E206" si="21">D199-20</f>
        <v>8021.666666666667</v>
      </c>
      <c r="F199" s="7">
        <f t="shared" si="19"/>
        <v>7976.666666666667</v>
      </c>
      <c r="G199" s="7">
        <f t="shared" ref="G199:G206" si="22">IF(F199/2&lt;0,0,F199/2)</f>
        <v>3988.3333333333335</v>
      </c>
      <c r="H199" s="7">
        <f t="shared" ref="H199:H206" si="23">G199+C199</f>
        <v>3988.3333333333335</v>
      </c>
      <c r="I199" s="7"/>
    </row>
    <row r="200" spans="1:9" x14ac:dyDescent="0.25">
      <c r="A200" s="29">
        <v>97000</v>
      </c>
      <c r="B200" s="4">
        <f t="shared" si="18"/>
        <v>8083.333333333333</v>
      </c>
      <c r="C200" s="3">
        <f>'Total income package'!$D$80</f>
        <v>0</v>
      </c>
      <c r="D200" s="7">
        <f t="shared" si="20"/>
        <v>8083.333333333333</v>
      </c>
      <c r="E200" s="7">
        <f t="shared" si="21"/>
        <v>8063.333333333333</v>
      </c>
      <c r="F200" s="7">
        <f t="shared" si="19"/>
        <v>8018.333333333333</v>
      </c>
      <c r="G200" s="7">
        <f t="shared" si="22"/>
        <v>4009.1666666666665</v>
      </c>
      <c r="H200" s="7">
        <f t="shared" si="23"/>
        <v>4009.1666666666665</v>
      </c>
      <c r="I200" s="7"/>
    </row>
    <row r="201" spans="1:9" x14ac:dyDescent="0.25">
      <c r="A201" s="117">
        <v>97500</v>
      </c>
      <c r="B201" s="4">
        <f t="shared" si="18"/>
        <v>8125</v>
      </c>
      <c r="C201" s="3">
        <f>'Total income package'!$D$80</f>
        <v>0</v>
      </c>
      <c r="D201" s="7">
        <f t="shared" si="20"/>
        <v>8125</v>
      </c>
      <c r="E201" s="7">
        <f t="shared" si="21"/>
        <v>8105</v>
      </c>
      <c r="F201" s="7">
        <f t="shared" si="19"/>
        <v>8060</v>
      </c>
      <c r="G201" s="7">
        <f t="shared" si="22"/>
        <v>4030</v>
      </c>
      <c r="H201" s="7">
        <f t="shared" si="23"/>
        <v>4030</v>
      </c>
      <c r="I201" s="7"/>
    </row>
    <row r="202" spans="1:9" x14ac:dyDescent="0.25">
      <c r="A202" s="117">
        <v>98000</v>
      </c>
      <c r="B202" s="4">
        <f t="shared" si="18"/>
        <v>8166.666666666667</v>
      </c>
      <c r="C202" s="3">
        <f>'Total income package'!$D$80</f>
        <v>0</v>
      </c>
      <c r="D202" s="7">
        <f t="shared" si="20"/>
        <v>8166.666666666667</v>
      </c>
      <c r="E202" s="7">
        <f t="shared" si="21"/>
        <v>8146.666666666667</v>
      </c>
      <c r="F202" s="7">
        <f t="shared" si="19"/>
        <v>8101.666666666667</v>
      </c>
      <c r="G202" s="7">
        <f t="shared" si="22"/>
        <v>4050.8333333333335</v>
      </c>
      <c r="H202" s="7">
        <f t="shared" si="23"/>
        <v>4050.8333333333335</v>
      </c>
      <c r="I202" s="7"/>
    </row>
    <row r="203" spans="1:9" x14ac:dyDescent="0.25">
      <c r="A203" s="29">
        <v>98500</v>
      </c>
      <c r="B203" s="4">
        <f t="shared" si="18"/>
        <v>8208.3333333333339</v>
      </c>
      <c r="C203" s="3">
        <f>'Total income package'!$D$80</f>
        <v>0</v>
      </c>
      <c r="D203" s="7">
        <f t="shared" si="20"/>
        <v>8208.3333333333339</v>
      </c>
      <c r="E203" s="7">
        <f t="shared" si="21"/>
        <v>8188.3333333333339</v>
      </c>
      <c r="F203" s="7">
        <f t="shared" si="19"/>
        <v>8143.3333333333339</v>
      </c>
      <c r="G203" s="7">
        <f t="shared" si="22"/>
        <v>4071.666666666667</v>
      </c>
      <c r="H203" s="7">
        <f t="shared" si="23"/>
        <v>4071.666666666667</v>
      </c>
      <c r="I203" s="7"/>
    </row>
    <row r="204" spans="1:9" x14ac:dyDescent="0.25">
      <c r="A204" s="117">
        <v>99000</v>
      </c>
      <c r="B204" s="4">
        <f t="shared" si="18"/>
        <v>8250</v>
      </c>
      <c r="C204" s="3">
        <f>'Total income package'!$D$80</f>
        <v>0</v>
      </c>
      <c r="D204" s="7">
        <f t="shared" si="20"/>
        <v>8250</v>
      </c>
      <c r="E204" s="7">
        <f t="shared" si="21"/>
        <v>8230</v>
      </c>
      <c r="F204" s="7">
        <f t="shared" si="19"/>
        <v>8185</v>
      </c>
      <c r="G204" s="7">
        <f t="shared" si="22"/>
        <v>4092.5</v>
      </c>
      <c r="H204" s="7">
        <f t="shared" si="23"/>
        <v>4092.5</v>
      </c>
      <c r="I204" s="7"/>
    </row>
    <row r="205" spans="1:9" x14ac:dyDescent="0.25">
      <c r="A205" s="117">
        <v>99500</v>
      </c>
      <c r="B205" s="4">
        <f t="shared" si="18"/>
        <v>8291.6666666666661</v>
      </c>
      <c r="C205" s="3">
        <f>'Total income package'!$D$80</f>
        <v>0</v>
      </c>
      <c r="D205" s="7">
        <f t="shared" si="20"/>
        <v>8291.6666666666661</v>
      </c>
      <c r="E205" s="7">
        <f t="shared" si="21"/>
        <v>8271.6666666666661</v>
      </c>
      <c r="F205" s="7">
        <f t="shared" si="19"/>
        <v>8226.6666666666661</v>
      </c>
      <c r="G205" s="7">
        <f t="shared" si="22"/>
        <v>4113.333333333333</v>
      </c>
      <c r="H205" s="7">
        <f t="shared" si="23"/>
        <v>4113.333333333333</v>
      </c>
      <c r="I205" s="7"/>
    </row>
    <row r="206" spans="1:9" x14ac:dyDescent="0.25">
      <c r="A206" s="29">
        <v>100000</v>
      </c>
      <c r="B206" s="4">
        <f t="shared" si="18"/>
        <v>8333.3333333333339</v>
      </c>
      <c r="C206" s="3">
        <f>'Total income package'!$D$80</f>
        <v>0</v>
      </c>
      <c r="D206" s="7">
        <f t="shared" si="20"/>
        <v>8333.3333333333339</v>
      </c>
      <c r="E206" s="7">
        <f t="shared" si="21"/>
        <v>8313.3333333333339</v>
      </c>
      <c r="F206" s="7">
        <f t="shared" si="19"/>
        <v>8268.3333333333339</v>
      </c>
      <c r="G206" s="7">
        <f t="shared" si="22"/>
        <v>4134.166666666667</v>
      </c>
      <c r="H206" s="7">
        <f t="shared" si="23"/>
        <v>4134.166666666667</v>
      </c>
      <c r="I206" s="7"/>
    </row>
    <row r="207" spans="1:9" x14ac:dyDescent="0.25">
      <c r="A207" s="29"/>
      <c r="B207" s="4"/>
      <c r="C207" s="3"/>
      <c r="D207" s="7"/>
      <c r="E207" s="7"/>
      <c r="F207" s="7"/>
      <c r="G207" s="7"/>
      <c r="H207" s="7"/>
      <c r="I207" s="7"/>
    </row>
    <row r="208" spans="1:9" x14ac:dyDescent="0.25">
      <c r="A208" s="116" t="s">
        <v>302</v>
      </c>
      <c r="B208" s="150"/>
      <c r="C208" s="3"/>
      <c r="D208" s="7"/>
      <c r="E208" s="7"/>
      <c r="F208" s="7"/>
      <c r="G208" s="7"/>
      <c r="H208" s="7"/>
      <c r="I208" s="7"/>
    </row>
    <row r="209" spans="1:9" x14ac:dyDescent="0.25">
      <c r="A209" s="7"/>
      <c r="B209" s="150">
        <f>'Total income package'!$B$90</f>
        <v>1289</v>
      </c>
      <c r="C209" s="3">
        <f>'Total income package'!$D$80</f>
        <v>0</v>
      </c>
      <c r="D209" s="7">
        <f t="shared" ref="D209:D211" si="24">B209+C209</f>
        <v>1289</v>
      </c>
      <c r="E209" s="7">
        <f t="shared" ref="E209:E211" si="25">D209-20</f>
        <v>1269</v>
      </c>
      <c r="F209" s="7">
        <f>IF(B209-65&lt;0,0,B209-65)</f>
        <v>1224</v>
      </c>
      <c r="G209" s="7">
        <f t="shared" ref="G209:G211" si="26">IF(F209/2&lt;0,0,F209/2)</f>
        <v>612</v>
      </c>
      <c r="H209" s="7">
        <f t="shared" ref="H209:H211" si="27">G209+C209</f>
        <v>612</v>
      </c>
      <c r="I209" s="7"/>
    </row>
    <row r="210" spans="1:9" x14ac:dyDescent="0.25">
      <c r="A210" s="116" t="s">
        <v>303</v>
      </c>
      <c r="B210" s="150"/>
      <c r="C210" s="3"/>
      <c r="D210" s="7"/>
      <c r="E210" s="7"/>
      <c r="F210" s="7"/>
      <c r="G210" s="7"/>
      <c r="H210" s="7"/>
      <c r="I210" s="7"/>
    </row>
    <row r="211" spans="1:9" x14ac:dyDescent="0.25">
      <c r="A211" s="7"/>
      <c r="B211" s="150">
        <f>'Total income package'!$B$91</f>
        <v>1289</v>
      </c>
      <c r="C211" s="3">
        <f>'Total income package'!$D$80</f>
        <v>0</v>
      </c>
      <c r="D211" s="7">
        <f t="shared" si="24"/>
        <v>1289</v>
      </c>
      <c r="E211" s="7">
        <f t="shared" si="25"/>
        <v>1269</v>
      </c>
      <c r="F211" s="7">
        <f>IF(B211-65&lt;0,0,B211-65)</f>
        <v>1224</v>
      </c>
      <c r="G211" s="7">
        <f t="shared" si="26"/>
        <v>612</v>
      </c>
      <c r="H211" s="7">
        <f t="shared" si="27"/>
        <v>612</v>
      </c>
      <c r="I211" s="7"/>
    </row>
  </sheetData>
  <pageMargins left="0.7" right="0.7" top="0.75" bottom="0.75" header="0.3" footer="0.3"/>
</worksheet>
</file>

<file path=xl/worksheets/sheet1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095ACC8-FB3F-4625-A709-0A49F881358E}">
  <sheetPr codeName="Sheet81"/>
  <dimension ref="A3:R211"/>
  <sheetViews>
    <sheetView workbookViewId="0">
      <selection activeCell="C25" sqref="C25"/>
    </sheetView>
  </sheetViews>
  <sheetFormatPr defaultRowHeight="15" x14ac:dyDescent="0.25"/>
  <cols>
    <col min="1" max="1" width="31.7109375" customWidth="1"/>
    <col min="2" max="2" width="21.28515625" customWidth="1"/>
    <col min="3" max="3" width="19.7109375" customWidth="1"/>
    <col min="4" max="4" width="14.28515625" customWidth="1"/>
    <col min="5" max="5" width="15.7109375" customWidth="1"/>
    <col min="6" max="6" width="16.7109375" customWidth="1"/>
    <col min="7" max="7" width="14" customWidth="1"/>
    <col min="8" max="9" width="19.42578125" customWidth="1"/>
    <col min="10" max="10" width="16.5703125" customWidth="1"/>
    <col min="11" max="11" width="16.42578125" customWidth="1"/>
    <col min="12" max="12" width="12.42578125" customWidth="1"/>
    <col min="13" max="13" width="17.140625" customWidth="1"/>
    <col min="15" max="15" width="16.85546875" customWidth="1"/>
    <col min="16" max="16" width="10.140625" bestFit="1" customWidth="1"/>
    <col min="17" max="17" width="9.85546875" bestFit="1" customWidth="1"/>
  </cols>
  <sheetData>
    <row r="3" spans="1:17" ht="49.5" customHeight="1" x14ac:dyDescent="0.25">
      <c r="A3" s="448" t="s">
        <v>726</v>
      </c>
      <c r="B3" s="448"/>
    </row>
    <row r="4" spans="1:17" ht="51" customHeight="1" x14ac:dyDescent="0.25">
      <c r="A4" s="96" t="s">
        <v>502</v>
      </c>
      <c r="B4" s="96" t="s">
        <v>503</v>
      </c>
      <c r="C4" s="96" t="s">
        <v>323</v>
      </c>
      <c r="D4" s="165" t="s">
        <v>504</v>
      </c>
      <c r="E4" s="177" t="s">
        <v>505</v>
      </c>
      <c r="F4" s="165" t="s">
        <v>506</v>
      </c>
      <c r="G4" s="165" t="s">
        <v>507</v>
      </c>
      <c r="H4" s="165" t="s">
        <v>508</v>
      </c>
      <c r="I4" s="165" t="s">
        <v>509</v>
      </c>
      <c r="J4" s="165" t="s">
        <v>510</v>
      </c>
      <c r="K4" s="24" t="s">
        <v>511</v>
      </c>
      <c r="L4" s="24" t="s">
        <v>512</v>
      </c>
      <c r="M4" s="14" t="s">
        <v>513</v>
      </c>
      <c r="N4" s="107" t="s">
        <v>514</v>
      </c>
      <c r="O4" t="s">
        <v>515</v>
      </c>
      <c r="P4" t="s">
        <v>516</v>
      </c>
      <c r="Q4" s="254" t="s">
        <v>728</v>
      </c>
    </row>
    <row r="5" spans="1:17" x14ac:dyDescent="0.25">
      <c r="A5" s="96">
        <v>0</v>
      </c>
      <c r="B5" s="96">
        <v>0</v>
      </c>
      <c r="C5" s="96">
        <v>0</v>
      </c>
      <c r="D5" s="110">
        <f t="shared" ref="D5:D13" si="0">C5*1.5</f>
        <v>0</v>
      </c>
      <c r="E5" s="29">
        <f t="shared" ref="E5:E13" si="1">C5*1.85</f>
        <v>0</v>
      </c>
      <c r="F5" s="29">
        <f t="shared" ref="F5:F13" si="2">ROUNDUP(C5*1.33,0)</f>
        <v>0</v>
      </c>
      <c r="G5" s="29">
        <f t="shared" ref="G5:G13" si="3">ROUNDUP(C5*0.05,0)</f>
        <v>0</v>
      </c>
      <c r="H5" s="4">
        <f t="shared" ref="H5:H13" si="4">ROUNDUP(C5,0)</f>
        <v>0</v>
      </c>
      <c r="I5" s="29">
        <f t="shared" ref="I5:I13" si="5">ROUNDUP(C5*1.09,0)</f>
        <v>0</v>
      </c>
      <c r="J5" s="29">
        <f t="shared" ref="J5:J13" si="6">ROUNDUP((B5*0.05)+(B5*1.33),0)/12</f>
        <v>0</v>
      </c>
      <c r="K5" s="29">
        <f t="shared" ref="K5:K13" si="7">ROUNDUP(C5*1.43,0)</f>
        <v>0</v>
      </c>
      <c r="L5" s="29">
        <f t="shared" ref="L5:L13" si="8">ROUNDUP(C5*1.48,0)</f>
        <v>0</v>
      </c>
      <c r="M5" s="29">
        <f>ROUNDUP(C5*2.05,0)</f>
        <v>0</v>
      </c>
      <c r="N5" s="29">
        <f t="shared" ref="N5:N13" si="9">ROUNDUP(C5*2.05,0)</f>
        <v>0</v>
      </c>
      <c r="O5" s="29">
        <f t="shared" ref="O5:O13" si="10">C5*1.6</f>
        <v>0</v>
      </c>
      <c r="P5" s="7">
        <f t="shared" ref="P5:P13" si="11">C5*2.5</f>
        <v>0</v>
      </c>
    </row>
    <row r="6" spans="1:17" ht="15.75" x14ac:dyDescent="0.25">
      <c r="A6" s="97">
        <v>1</v>
      </c>
      <c r="B6" s="98">
        <v>15960</v>
      </c>
      <c r="C6" s="101">
        <f>B6/12</f>
        <v>1330</v>
      </c>
      <c r="D6" s="110">
        <f t="shared" si="0"/>
        <v>1995</v>
      </c>
      <c r="E6" s="29">
        <f t="shared" si="1"/>
        <v>2460.5</v>
      </c>
      <c r="F6" s="29">
        <f t="shared" si="2"/>
        <v>1769</v>
      </c>
      <c r="G6" s="29">
        <f t="shared" si="3"/>
        <v>67</v>
      </c>
      <c r="H6" s="3">
        <f t="shared" si="4"/>
        <v>1330</v>
      </c>
      <c r="I6" s="29">
        <f t="shared" si="5"/>
        <v>1450</v>
      </c>
      <c r="J6" s="29">
        <f t="shared" si="6"/>
        <v>1835.4166666666667</v>
      </c>
      <c r="K6" s="29">
        <f t="shared" si="7"/>
        <v>1902</v>
      </c>
      <c r="L6" s="29">
        <f t="shared" si="8"/>
        <v>1969</v>
      </c>
      <c r="M6" s="29">
        <v>2609</v>
      </c>
      <c r="N6" s="29">
        <f t="shared" si="9"/>
        <v>2727</v>
      </c>
      <c r="O6" s="29">
        <f t="shared" si="10"/>
        <v>2128</v>
      </c>
      <c r="P6" s="7">
        <f t="shared" si="11"/>
        <v>3325</v>
      </c>
      <c r="Q6" s="4">
        <f>C6*0.8</f>
        <v>1064</v>
      </c>
    </row>
    <row r="7" spans="1:17" ht="15.75" x14ac:dyDescent="0.25">
      <c r="A7" s="97">
        <v>2</v>
      </c>
      <c r="B7" s="98">
        <v>21640</v>
      </c>
      <c r="C7" s="101">
        <f t="shared" ref="C7:C13" si="12">B7/12</f>
        <v>1803.3333333333333</v>
      </c>
      <c r="D7" s="110">
        <f t="shared" si="0"/>
        <v>2705</v>
      </c>
      <c r="E7" s="29">
        <f t="shared" si="1"/>
        <v>3336.1666666666665</v>
      </c>
      <c r="F7" s="29">
        <f t="shared" si="2"/>
        <v>2399</v>
      </c>
      <c r="G7" s="29">
        <f t="shared" si="3"/>
        <v>91</v>
      </c>
      <c r="H7" s="3">
        <f t="shared" si="4"/>
        <v>1804</v>
      </c>
      <c r="I7" s="29">
        <f t="shared" si="5"/>
        <v>1966</v>
      </c>
      <c r="J7" s="29">
        <f t="shared" si="6"/>
        <v>2488.6666666666665</v>
      </c>
      <c r="K7" s="29">
        <f t="shared" si="7"/>
        <v>2579</v>
      </c>
      <c r="L7" s="29">
        <f t="shared" si="8"/>
        <v>2669</v>
      </c>
      <c r="M7" s="29">
        <v>3525</v>
      </c>
      <c r="N7" s="29">
        <f t="shared" si="9"/>
        <v>3697</v>
      </c>
      <c r="O7" s="29">
        <f t="shared" si="10"/>
        <v>2885.3333333333335</v>
      </c>
      <c r="P7" s="7">
        <f t="shared" si="11"/>
        <v>4508.333333333333</v>
      </c>
      <c r="Q7" s="4">
        <f t="shared" ref="Q7:Q13" si="13">C7*0.8</f>
        <v>1442.6666666666667</v>
      </c>
    </row>
    <row r="8" spans="1:17" ht="15.75" x14ac:dyDescent="0.25">
      <c r="A8" s="97">
        <v>3</v>
      </c>
      <c r="B8" s="98">
        <v>27320</v>
      </c>
      <c r="C8" s="101">
        <f t="shared" si="12"/>
        <v>2276.6666666666665</v>
      </c>
      <c r="D8" s="110">
        <f t="shared" si="0"/>
        <v>3415</v>
      </c>
      <c r="E8" s="29">
        <f t="shared" si="1"/>
        <v>4211.833333333333</v>
      </c>
      <c r="F8" s="29">
        <f t="shared" si="2"/>
        <v>3028</v>
      </c>
      <c r="G8" s="29">
        <f t="shared" si="3"/>
        <v>114</v>
      </c>
      <c r="H8" s="3">
        <f t="shared" si="4"/>
        <v>2277</v>
      </c>
      <c r="I8" s="29">
        <f t="shared" si="5"/>
        <v>2482</v>
      </c>
      <c r="J8" s="29">
        <f t="shared" si="6"/>
        <v>3141.8333333333335</v>
      </c>
      <c r="K8" s="29">
        <f t="shared" si="7"/>
        <v>3256</v>
      </c>
      <c r="L8" s="29">
        <f t="shared" si="8"/>
        <v>3370</v>
      </c>
      <c r="M8" s="29">
        <v>4442</v>
      </c>
      <c r="N8" s="29">
        <f t="shared" si="9"/>
        <v>4668</v>
      </c>
      <c r="O8" s="29">
        <f t="shared" si="10"/>
        <v>3642.6666666666665</v>
      </c>
      <c r="P8" s="7">
        <f t="shared" si="11"/>
        <v>5691.6666666666661</v>
      </c>
      <c r="Q8" s="4">
        <f t="shared" si="13"/>
        <v>1821.3333333333333</v>
      </c>
    </row>
    <row r="9" spans="1:17" ht="15.75" x14ac:dyDescent="0.25">
      <c r="A9" s="97">
        <v>4</v>
      </c>
      <c r="B9" s="98">
        <v>33000</v>
      </c>
      <c r="C9" s="101">
        <f t="shared" si="12"/>
        <v>2750</v>
      </c>
      <c r="D9" s="110">
        <f t="shared" si="0"/>
        <v>4125</v>
      </c>
      <c r="E9" s="29">
        <f t="shared" si="1"/>
        <v>5087.5</v>
      </c>
      <c r="F9" s="29">
        <f t="shared" si="2"/>
        <v>3658</v>
      </c>
      <c r="G9" s="29">
        <f t="shared" si="3"/>
        <v>138</v>
      </c>
      <c r="H9" s="3">
        <f t="shared" si="4"/>
        <v>2750</v>
      </c>
      <c r="I9" s="29">
        <f t="shared" si="5"/>
        <v>2998</v>
      </c>
      <c r="J9" s="29">
        <f t="shared" si="6"/>
        <v>3795</v>
      </c>
      <c r="K9" s="29">
        <f t="shared" si="7"/>
        <v>3933</v>
      </c>
      <c r="L9" s="29">
        <f t="shared" si="8"/>
        <v>4070</v>
      </c>
      <c r="M9" s="29">
        <v>5359</v>
      </c>
      <c r="N9" s="29">
        <f t="shared" si="9"/>
        <v>5638</v>
      </c>
      <c r="O9" s="29">
        <f t="shared" si="10"/>
        <v>4400</v>
      </c>
      <c r="P9" s="7">
        <f t="shared" si="11"/>
        <v>6875</v>
      </c>
      <c r="Q9" s="4">
        <f t="shared" si="13"/>
        <v>2200</v>
      </c>
    </row>
    <row r="10" spans="1:17" ht="15.75" x14ac:dyDescent="0.25">
      <c r="A10" s="97">
        <v>5</v>
      </c>
      <c r="B10" s="98">
        <v>38680</v>
      </c>
      <c r="C10" s="101">
        <f t="shared" si="12"/>
        <v>3223.3333333333335</v>
      </c>
      <c r="D10" s="110">
        <f t="shared" si="0"/>
        <v>4835</v>
      </c>
      <c r="E10" s="29">
        <f t="shared" si="1"/>
        <v>5963.166666666667</v>
      </c>
      <c r="F10" s="29">
        <f t="shared" si="2"/>
        <v>4288</v>
      </c>
      <c r="G10" s="29">
        <f t="shared" si="3"/>
        <v>162</v>
      </c>
      <c r="H10" s="3">
        <f t="shared" si="4"/>
        <v>3224</v>
      </c>
      <c r="I10" s="29">
        <f t="shared" si="5"/>
        <v>3514</v>
      </c>
      <c r="J10" s="29">
        <f t="shared" si="6"/>
        <v>4448.25</v>
      </c>
      <c r="K10" s="29">
        <f t="shared" si="7"/>
        <v>4610</v>
      </c>
      <c r="L10" s="29">
        <f t="shared" si="8"/>
        <v>4771</v>
      </c>
      <c r="M10" s="29">
        <v>6275</v>
      </c>
      <c r="N10" s="29">
        <f t="shared" si="9"/>
        <v>6608</v>
      </c>
      <c r="O10" s="29">
        <f t="shared" si="10"/>
        <v>5157.3333333333339</v>
      </c>
      <c r="P10" s="7">
        <f t="shared" si="11"/>
        <v>8058.3333333333339</v>
      </c>
      <c r="Q10" s="4">
        <f t="shared" si="13"/>
        <v>2578.666666666667</v>
      </c>
    </row>
    <row r="11" spans="1:17" ht="15.75" x14ac:dyDescent="0.25">
      <c r="A11" s="97">
        <v>6</v>
      </c>
      <c r="B11" s="98">
        <v>44360</v>
      </c>
      <c r="C11" s="101">
        <f t="shared" si="12"/>
        <v>3696.6666666666665</v>
      </c>
      <c r="D11" s="110">
        <f t="shared" si="0"/>
        <v>5545</v>
      </c>
      <c r="E11" s="29">
        <f t="shared" si="1"/>
        <v>6838.833333333333</v>
      </c>
      <c r="F11" s="29">
        <f t="shared" si="2"/>
        <v>4917</v>
      </c>
      <c r="G11" s="29">
        <f t="shared" si="3"/>
        <v>185</v>
      </c>
      <c r="H11" s="3">
        <f t="shared" si="4"/>
        <v>3697</v>
      </c>
      <c r="I11" s="29">
        <f t="shared" si="5"/>
        <v>4030</v>
      </c>
      <c r="J11" s="29">
        <f t="shared" si="6"/>
        <v>5101.416666666667</v>
      </c>
      <c r="K11" s="29">
        <f t="shared" si="7"/>
        <v>5287</v>
      </c>
      <c r="L11" s="29">
        <f t="shared" si="8"/>
        <v>5472</v>
      </c>
      <c r="M11" s="29">
        <v>7192</v>
      </c>
      <c r="N11" s="29">
        <f t="shared" si="9"/>
        <v>7579</v>
      </c>
      <c r="O11" s="29">
        <f t="shared" si="10"/>
        <v>5914.666666666667</v>
      </c>
      <c r="P11" s="7">
        <f t="shared" si="11"/>
        <v>9241.6666666666661</v>
      </c>
      <c r="Q11" s="4">
        <f t="shared" si="13"/>
        <v>2957.3333333333335</v>
      </c>
    </row>
    <row r="12" spans="1:17" ht="15.75" x14ac:dyDescent="0.25">
      <c r="A12" s="97">
        <v>7</v>
      </c>
      <c r="B12" s="98">
        <v>50040</v>
      </c>
      <c r="C12" s="101">
        <f t="shared" si="12"/>
        <v>4170</v>
      </c>
      <c r="D12" s="110">
        <f t="shared" si="0"/>
        <v>6255</v>
      </c>
      <c r="E12" s="29">
        <f t="shared" si="1"/>
        <v>7714.5</v>
      </c>
      <c r="F12" s="29">
        <f t="shared" si="2"/>
        <v>5547</v>
      </c>
      <c r="G12" s="29">
        <f t="shared" si="3"/>
        <v>209</v>
      </c>
      <c r="H12" s="3">
        <f t="shared" si="4"/>
        <v>4170</v>
      </c>
      <c r="I12" s="29">
        <f t="shared" si="5"/>
        <v>4546</v>
      </c>
      <c r="J12" s="29">
        <f t="shared" si="6"/>
        <v>5754.666666666667</v>
      </c>
      <c r="K12" s="29">
        <f t="shared" si="7"/>
        <v>5964</v>
      </c>
      <c r="L12" s="29">
        <f t="shared" si="8"/>
        <v>6172</v>
      </c>
      <c r="M12" s="29">
        <v>8109</v>
      </c>
      <c r="N12" s="29">
        <f t="shared" si="9"/>
        <v>8549</v>
      </c>
      <c r="O12" s="29">
        <f t="shared" si="10"/>
        <v>6672</v>
      </c>
      <c r="P12" s="7">
        <f t="shared" si="11"/>
        <v>10425</v>
      </c>
      <c r="Q12" s="4">
        <f t="shared" si="13"/>
        <v>3336</v>
      </c>
    </row>
    <row r="13" spans="1:17" ht="15.75" x14ac:dyDescent="0.25">
      <c r="A13" s="97">
        <v>8</v>
      </c>
      <c r="B13" s="98">
        <v>55720</v>
      </c>
      <c r="C13" s="101">
        <f t="shared" si="12"/>
        <v>4643.333333333333</v>
      </c>
      <c r="D13" s="110">
        <f t="shared" si="0"/>
        <v>6965</v>
      </c>
      <c r="E13" s="29">
        <f t="shared" si="1"/>
        <v>8590.1666666666661</v>
      </c>
      <c r="F13" s="29">
        <f t="shared" si="2"/>
        <v>6176</v>
      </c>
      <c r="G13" s="29">
        <f t="shared" si="3"/>
        <v>233</v>
      </c>
      <c r="H13" s="3">
        <f t="shared" si="4"/>
        <v>4644</v>
      </c>
      <c r="I13" s="29">
        <f t="shared" si="5"/>
        <v>5062</v>
      </c>
      <c r="J13" s="29">
        <f t="shared" si="6"/>
        <v>6407.833333333333</v>
      </c>
      <c r="K13" s="29">
        <f t="shared" si="7"/>
        <v>6640</v>
      </c>
      <c r="L13" s="29">
        <f t="shared" si="8"/>
        <v>6873</v>
      </c>
      <c r="M13" s="29">
        <v>9025</v>
      </c>
      <c r="N13" s="29">
        <f t="shared" si="9"/>
        <v>9519</v>
      </c>
      <c r="O13" s="29">
        <f t="shared" si="10"/>
        <v>7429.333333333333</v>
      </c>
      <c r="P13" s="7">
        <f t="shared" si="11"/>
        <v>11608.333333333332</v>
      </c>
      <c r="Q13" s="4">
        <f t="shared" si="13"/>
        <v>3714.6666666666665</v>
      </c>
    </row>
    <row r="14" spans="1:17" x14ac:dyDescent="0.25">
      <c r="A14" s="449" t="s">
        <v>727</v>
      </c>
      <c r="B14" s="449"/>
      <c r="C14" s="449"/>
      <c r="D14" s="449"/>
      <c r="F14" s="7"/>
    </row>
    <row r="15" spans="1:17" x14ac:dyDescent="0.25">
      <c r="A15" t="s">
        <v>517</v>
      </c>
      <c r="F15" s="7"/>
    </row>
    <row r="17" spans="1:6" x14ac:dyDescent="0.25">
      <c r="A17" s="447" t="s">
        <v>518</v>
      </c>
      <c r="B17" s="447"/>
      <c r="C17" s="447"/>
      <c r="D17" s="447"/>
      <c r="E17" s="447"/>
    </row>
    <row r="18" spans="1:6" x14ac:dyDescent="0.25">
      <c r="A18" s="447" t="s">
        <v>519</v>
      </c>
      <c r="B18" s="447"/>
    </row>
    <row r="19" spans="1:6" ht="60" x14ac:dyDescent="0.25">
      <c r="A19" t="s">
        <v>520</v>
      </c>
      <c r="B19" s="24" t="s">
        <v>521</v>
      </c>
      <c r="C19" t="s">
        <v>522</v>
      </c>
      <c r="D19" t="s">
        <v>523</v>
      </c>
      <c r="E19" s="24" t="s">
        <v>524</v>
      </c>
      <c r="F19" s="24" t="s">
        <v>525</v>
      </c>
    </row>
    <row r="20" spans="1:6" x14ac:dyDescent="0.25">
      <c r="A20">
        <v>1</v>
      </c>
      <c r="B20" s="3">
        <v>4936</v>
      </c>
      <c r="C20" s="7">
        <f t="shared" ref="C20:C27" si="14">D6</f>
        <v>1995</v>
      </c>
      <c r="D20" s="29">
        <f t="shared" ref="D20:D27" si="15">O6</f>
        <v>2128</v>
      </c>
      <c r="E20" s="29">
        <f t="shared" ref="E20:E27" si="16">E6</f>
        <v>2460.5</v>
      </c>
      <c r="F20" s="7">
        <f t="shared" ref="F20:F27" si="17">P6</f>
        <v>3325</v>
      </c>
    </row>
    <row r="21" spans="1:6" x14ac:dyDescent="0.25">
      <c r="A21">
        <v>2</v>
      </c>
      <c r="B21" s="3">
        <v>6455</v>
      </c>
      <c r="C21" s="7">
        <f t="shared" si="14"/>
        <v>2705</v>
      </c>
      <c r="D21" s="29">
        <f t="shared" si="15"/>
        <v>2885.3333333333335</v>
      </c>
      <c r="E21" s="29">
        <f t="shared" si="16"/>
        <v>3336.1666666666665</v>
      </c>
      <c r="F21" s="7">
        <f t="shared" si="17"/>
        <v>4508.333333333333</v>
      </c>
    </row>
    <row r="22" spans="1:6" x14ac:dyDescent="0.25">
      <c r="A22">
        <v>3</v>
      </c>
      <c r="B22" s="3">
        <v>7973</v>
      </c>
      <c r="C22" s="7">
        <f t="shared" si="14"/>
        <v>3415</v>
      </c>
      <c r="D22" s="29">
        <f t="shared" si="15"/>
        <v>3642.6666666666665</v>
      </c>
      <c r="E22" s="29">
        <f t="shared" si="16"/>
        <v>4211.833333333333</v>
      </c>
      <c r="F22" s="7">
        <f t="shared" si="17"/>
        <v>5691.6666666666661</v>
      </c>
    </row>
    <row r="23" spans="1:6" x14ac:dyDescent="0.25">
      <c r="A23">
        <v>4</v>
      </c>
      <c r="B23" s="3">
        <v>9492</v>
      </c>
      <c r="C23" s="7">
        <f t="shared" si="14"/>
        <v>4125</v>
      </c>
      <c r="D23" s="29">
        <f t="shared" si="15"/>
        <v>4400</v>
      </c>
      <c r="E23" s="29">
        <f t="shared" si="16"/>
        <v>5087.5</v>
      </c>
      <c r="F23" s="7">
        <f t="shared" si="17"/>
        <v>6875</v>
      </c>
    </row>
    <row r="24" spans="1:6" x14ac:dyDescent="0.25">
      <c r="A24">
        <v>5</v>
      </c>
      <c r="B24" s="3">
        <v>11011</v>
      </c>
      <c r="C24" s="7">
        <f t="shared" si="14"/>
        <v>4835</v>
      </c>
      <c r="D24" s="29">
        <f t="shared" si="15"/>
        <v>5157.3333333333339</v>
      </c>
      <c r="E24" s="29">
        <f t="shared" si="16"/>
        <v>5963.166666666667</v>
      </c>
      <c r="F24" s="7">
        <f t="shared" si="17"/>
        <v>8058.3333333333339</v>
      </c>
    </row>
    <row r="25" spans="1:6" x14ac:dyDescent="0.25">
      <c r="A25">
        <v>6</v>
      </c>
      <c r="B25" s="3">
        <v>12529</v>
      </c>
      <c r="C25" s="7">
        <f t="shared" si="14"/>
        <v>5545</v>
      </c>
      <c r="D25" s="29">
        <f t="shared" si="15"/>
        <v>5914.666666666667</v>
      </c>
      <c r="E25" s="29">
        <f t="shared" si="16"/>
        <v>6838.833333333333</v>
      </c>
      <c r="F25" s="7">
        <f t="shared" si="17"/>
        <v>9241.6666666666661</v>
      </c>
    </row>
    <row r="26" spans="1:6" x14ac:dyDescent="0.25">
      <c r="A26">
        <v>7</v>
      </c>
      <c r="B26" s="3">
        <v>12814</v>
      </c>
      <c r="C26" s="7">
        <f t="shared" si="14"/>
        <v>6255</v>
      </c>
      <c r="D26" s="29">
        <f t="shared" si="15"/>
        <v>6672</v>
      </c>
      <c r="E26" s="29">
        <f t="shared" si="16"/>
        <v>7714.5</v>
      </c>
      <c r="F26" s="7">
        <f t="shared" si="17"/>
        <v>10425</v>
      </c>
    </row>
    <row r="27" spans="1:6" x14ac:dyDescent="0.25">
      <c r="A27">
        <v>8</v>
      </c>
      <c r="B27" s="3">
        <v>13099</v>
      </c>
      <c r="C27" s="7">
        <f t="shared" si="14"/>
        <v>6965</v>
      </c>
      <c r="D27" s="29">
        <f t="shared" si="15"/>
        <v>7429.333333333333</v>
      </c>
      <c r="E27" s="29">
        <f t="shared" si="16"/>
        <v>8590.1666666666661</v>
      </c>
      <c r="F27" s="7">
        <f t="shared" si="17"/>
        <v>11608.333333333332</v>
      </c>
    </row>
    <row r="28" spans="1:6" x14ac:dyDescent="0.25">
      <c r="B28" s="3"/>
    </row>
    <row r="29" spans="1:6" x14ac:dyDescent="0.25">
      <c r="A29" t="s">
        <v>526</v>
      </c>
    </row>
    <row r="30" spans="1:6" x14ac:dyDescent="0.25">
      <c r="A30" s="87" t="s">
        <v>527</v>
      </c>
    </row>
    <row r="33" spans="1:3" x14ac:dyDescent="0.25">
      <c r="A33" s="447" t="s">
        <v>737</v>
      </c>
      <c r="B33" s="447"/>
    </row>
    <row r="34" spans="1:3" x14ac:dyDescent="0.25">
      <c r="A34" t="s">
        <v>528</v>
      </c>
    </row>
    <row r="35" spans="1:3" x14ac:dyDescent="0.25">
      <c r="A35">
        <v>1</v>
      </c>
      <c r="B35" s="29">
        <v>209</v>
      </c>
      <c r="C35" t="s">
        <v>738</v>
      </c>
    </row>
    <row r="36" spans="1:3" x14ac:dyDescent="0.25">
      <c r="A36">
        <v>2</v>
      </c>
      <c r="B36" s="29">
        <v>209</v>
      </c>
      <c r="C36" t="s">
        <v>739</v>
      </c>
    </row>
    <row r="37" spans="1:3" x14ac:dyDescent="0.25">
      <c r="A37">
        <v>3</v>
      </c>
      <c r="B37" s="29">
        <v>209</v>
      </c>
      <c r="C37" t="s">
        <v>740</v>
      </c>
    </row>
    <row r="38" spans="1:3" x14ac:dyDescent="0.25">
      <c r="A38">
        <v>4</v>
      </c>
      <c r="B38" s="29">
        <v>223</v>
      </c>
    </row>
    <row r="39" spans="1:3" x14ac:dyDescent="0.25">
      <c r="A39">
        <v>5</v>
      </c>
      <c r="B39" s="29">
        <v>261</v>
      </c>
    </row>
    <row r="40" spans="1:3" x14ac:dyDescent="0.25">
      <c r="A40">
        <v>6</v>
      </c>
      <c r="B40" s="29">
        <v>299</v>
      </c>
    </row>
    <row r="41" spans="1:3" x14ac:dyDescent="0.25">
      <c r="A41">
        <v>7</v>
      </c>
      <c r="B41" s="29">
        <v>299</v>
      </c>
    </row>
    <row r="42" spans="1:3" x14ac:dyDescent="0.25">
      <c r="A42">
        <v>8</v>
      </c>
      <c r="B42" s="29">
        <v>299</v>
      </c>
    </row>
    <row r="43" spans="1:3" x14ac:dyDescent="0.25">
      <c r="A43" t="s">
        <v>529</v>
      </c>
    </row>
    <row r="44" spans="1:3" x14ac:dyDescent="0.25">
      <c r="A44" t="s">
        <v>530</v>
      </c>
    </row>
    <row r="46" spans="1:3" x14ac:dyDescent="0.25">
      <c r="A46" s="447" t="s">
        <v>531</v>
      </c>
      <c r="B46" s="447"/>
      <c r="C46" s="447"/>
    </row>
    <row r="47" spans="1:3" x14ac:dyDescent="0.25">
      <c r="A47" t="s">
        <v>528</v>
      </c>
      <c r="B47" t="s">
        <v>532</v>
      </c>
      <c r="C47" t="s">
        <v>533</v>
      </c>
    </row>
    <row r="48" spans="1:3" x14ac:dyDescent="0.25">
      <c r="A48">
        <v>1</v>
      </c>
      <c r="B48" s="29">
        <v>262</v>
      </c>
      <c r="C48" s="29">
        <v>366</v>
      </c>
    </row>
    <row r="49" spans="1:3" x14ac:dyDescent="0.25">
      <c r="A49">
        <v>2</v>
      </c>
      <c r="B49" s="29">
        <v>385</v>
      </c>
      <c r="C49" s="29">
        <v>489</v>
      </c>
    </row>
    <row r="50" spans="1:3" x14ac:dyDescent="0.25">
      <c r="A50">
        <v>3</v>
      </c>
      <c r="B50" s="29">
        <v>482</v>
      </c>
      <c r="C50" s="29">
        <v>587</v>
      </c>
    </row>
    <row r="51" spans="1:3" x14ac:dyDescent="0.25">
      <c r="A51">
        <v>4</v>
      </c>
      <c r="B51" s="29">
        <v>577</v>
      </c>
      <c r="C51" s="29">
        <v>681</v>
      </c>
    </row>
    <row r="52" spans="1:3" x14ac:dyDescent="0.25">
      <c r="A52">
        <v>5</v>
      </c>
      <c r="B52" s="29">
        <v>681</v>
      </c>
      <c r="C52" s="29">
        <v>811</v>
      </c>
    </row>
    <row r="53" spans="1:3" x14ac:dyDescent="0.25">
      <c r="A53">
        <v>6</v>
      </c>
      <c r="B53" s="29">
        <v>761</v>
      </c>
      <c r="C53" s="29">
        <v>887</v>
      </c>
    </row>
    <row r="54" spans="1:3" x14ac:dyDescent="0.25">
      <c r="A54">
        <v>7</v>
      </c>
      <c r="B54" s="29">
        <v>851</v>
      </c>
      <c r="C54" s="29">
        <v>979</v>
      </c>
    </row>
    <row r="55" spans="1:3" x14ac:dyDescent="0.25">
      <c r="A55">
        <v>8</v>
      </c>
      <c r="B55" s="29">
        <v>951</v>
      </c>
      <c r="C55" s="29">
        <v>1079</v>
      </c>
    </row>
    <row r="56" spans="1:3" x14ac:dyDescent="0.25">
      <c r="A56" t="s">
        <v>534</v>
      </c>
      <c r="B56" s="29">
        <v>723</v>
      </c>
      <c r="C56" s="29">
        <v>861</v>
      </c>
    </row>
    <row r="57" spans="1:3" x14ac:dyDescent="0.25">
      <c r="B57" s="29"/>
    </row>
    <row r="58" spans="1:3" x14ac:dyDescent="0.25">
      <c r="A58" s="447" t="s">
        <v>535</v>
      </c>
      <c r="B58" s="447"/>
      <c r="C58" s="447"/>
    </row>
    <row r="59" spans="1:3" x14ac:dyDescent="0.25">
      <c r="B59" s="29" t="s">
        <v>536</v>
      </c>
      <c r="C59" t="s">
        <v>533</v>
      </c>
    </row>
    <row r="60" spans="1:3" x14ac:dyDescent="0.25">
      <c r="A60">
        <v>1</v>
      </c>
      <c r="B60" s="29">
        <v>524</v>
      </c>
      <c r="C60" s="29">
        <v>730</v>
      </c>
    </row>
    <row r="61" spans="1:3" x14ac:dyDescent="0.25">
      <c r="A61">
        <v>2</v>
      </c>
      <c r="B61" s="29">
        <v>767</v>
      </c>
      <c r="C61" s="29">
        <v>974</v>
      </c>
    </row>
    <row r="62" spans="1:3" x14ac:dyDescent="0.25">
      <c r="A62">
        <v>3</v>
      </c>
      <c r="B62" s="29">
        <v>966</v>
      </c>
      <c r="C62" s="29">
        <v>1175</v>
      </c>
    </row>
    <row r="63" spans="1:3" x14ac:dyDescent="0.25">
      <c r="A63">
        <v>4</v>
      </c>
      <c r="B63" s="29">
        <v>1152</v>
      </c>
      <c r="C63" s="29">
        <v>1361</v>
      </c>
    </row>
    <row r="64" spans="1:3" x14ac:dyDescent="0.25">
      <c r="A64">
        <v>5</v>
      </c>
      <c r="B64" s="29">
        <v>1361</v>
      </c>
      <c r="C64" s="29">
        <v>1622</v>
      </c>
    </row>
    <row r="65" spans="1:5" x14ac:dyDescent="0.25">
      <c r="A65">
        <v>6</v>
      </c>
      <c r="B65" s="29">
        <v>1522</v>
      </c>
      <c r="C65" s="29">
        <v>1773</v>
      </c>
    </row>
    <row r="66" spans="1:5" x14ac:dyDescent="0.25">
      <c r="A66">
        <v>7</v>
      </c>
      <c r="B66" s="29">
        <v>1703</v>
      </c>
      <c r="C66" s="29">
        <v>1960</v>
      </c>
    </row>
    <row r="67" spans="1:5" x14ac:dyDescent="0.25">
      <c r="A67">
        <v>8</v>
      </c>
      <c r="B67" s="29">
        <v>1901</v>
      </c>
      <c r="C67" s="29">
        <v>2158</v>
      </c>
    </row>
    <row r="68" spans="1:5" x14ac:dyDescent="0.25">
      <c r="A68" t="s">
        <v>537</v>
      </c>
      <c r="B68" s="128"/>
      <c r="C68" s="128"/>
    </row>
    <row r="69" spans="1:5" x14ac:dyDescent="0.25">
      <c r="B69" s="128"/>
      <c r="C69" s="128"/>
    </row>
    <row r="70" spans="1:5" x14ac:dyDescent="0.25">
      <c r="B70" s="27" t="s">
        <v>538</v>
      </c>
      <c r="C70" s="27" t="s">
        <v>539</v>
      </c>
      <c r="D70" s="27" t="s">
        <v>540</v>
      </c>
      <c r="E70" s="27" t="s">
        <v>541</v>
      </c>
    </row>
    <row r="71" spans="1:5" x14ac:dyDescent="0.25">
      <c r="A71" t="s">
        <v>542</v>
      </c>
    </row>
    <row r="72" spans="1:5" x14ac:dyDescent="0.25">
      <c r="A72">
        <v>1</v>
      </c>
      <c r="B72" s="29">
        <v>209</v>
      </c>
      <c r="C72" s="29">
        <v>375</v>
      </c>
      <c r="D72" s="293">
        <v>744</v>
      </c>
      <c r="E72" s="293">
        <v>200</v>
      </c>
    </row>
    <row r="73" spans="1:5" x14ac:dyDescent="0.25">
      <c r="A73">
        <v>2</v>
      </c>
      <c r="B73" s="29">
        <v>209</v>
      </c>
      <c r="C73" s="29">
        <v>375</v>
      </c>
      <c r="D73" s="293">
        <v>744</v>
      </c>
      <c r="E73" s="293">
        <v>200</v>
      </c>
    </row>
    <row r="74" spans="1:5" x14ac:dyDescent="0.25">
      <c r="A74">
        <v>3</v>
      </c>
      <c r="B74" s="29">
        <v>209</v>
      </c>
      <c r="C74" s="29">
        <v>375</v>
      </c>
      <c r="D74" s="293">
        <v>744</v>
      </c>
      <c r="E74" s="293">
        <v>200</v>
      </c>
    </row>
    <row r="75" spans="1:5" x14ac:dyDescent="0.25">
      <c r="A75">
        <v>4</v>
      </c>
      <c r="B75" s="29">
        <v>223</v>
      </c>
      <c r="C75" s="29">
        <v>476</v>
      </c>
      <c r="D75" s="293">
        <v>744</v>
      </c>
      <c r="E75" s="293">
        <v>200</v>
      </c>
    </row>
    <row r="76" spans="1:5" x14ac:dyDescent="0.25">
      <c r="A76">
        <v>5</v>
      </c>
      <c r="B76" s="29">
        <v>261</v>
      </c>
      <c r="C76" s="29">
        <v>475</v>
      </c>
      <c r="D76" s="293">
        <v>744</v>
      </c>
      <c r="E76" s="293">
        <v>200</v>
      </c>
    </row>
    <row r="77" spans="1:5" x14ac:dyDescent="0.25">
      <c r="A77">
        <v>6</v>
      </c>
      <c r="B77" s="29">
        <v>299</v>
      </c>
      <c r="C77" s="29">
        <v>476</v>
      </c>
      <c r="D77" s="293">
        <v>744</v>
      </c>
      <c r="E77" s="293">
        <v>200</v>
      </c>
    </row>
    <row r="78" spans="1:5" x14ac:dyDescent="0.25">
      <c r="A78">
        <v>7</v>
      </c>
      <c r="B78" s="29">
        <v>299</v>
      </c>
      <c r="C78" s="29">
        <v>476</v>
      </c>
      <c r="D78" s="293">
        <v>744</v>
      </c>
      <c r="E78" s="293">
        <v>200</v>
      </c>
    </row>
    <row r="79" spans="1:5" x14ac:dyDescent="0.25">
      <c r="A79">
        <v>8</v>
      </c>
      <c r="B79" s="29">
        <v>299</v>
      </c>
      <c r="C79" s="29">
        <v>476</v>
      </c>
      <c r="D79" s="293">
        <v>744</v>
      </c>
      <c r="E79" s="293">
        <v>200</v>
      </c>
    </row>
    <row r="80" spans="1:5" x14ac:dyDescent="0.25">
      <c r="A80" s="389" t="s">
        <v>704</v>
      </c>
    </row>
    <row r="81" spans="1:18" x14ac:dyDescent="0.25">
      <c r="A81" t="s">
        <v>730</v>
      </c>
    </row>
    <row r="83" spans="1:18" x14ac:dyDescent="0.25">
      <c r="A83" s="450" t="s">
        <v>702</v>
      </c>
      <c r="B83" s="450"/>
      <c r="C83" s="450"/>
      <c r="D83" s="77" t="s">
        <v>731</v>
      </c>
    </row>
    <row r="84" spans="1:18" ht="60" x14ac:dyDescent="0.25">
      <c r="A84" s="166" t="s">
        <v>543</v>
      </c>
      <c r="B84" s="169" t="s">
        <v>544</v>
      </c>
      <c r="C84" s="169" t="s">
        <v>733</v>
      </c>
      <c r="D84" s="169" t="s">
        <v>732</v>
      </c>
      <c r="E84" s="169" t="s">
        <v>545</v>
      </c>
      <c r="F84" s="169"/>
    </row>
    <row r="85" spans="1:18" ht="15.75" customHeight="1" x14ac:dyDescent="0.25">
      <c r="A85" s="167">
        <v>1</v>
      </c>
      <c r="B85" s="168">
        <f>D85*2</f>
        <v>2610</v>
      </c>
      <c r="C85" s="168">
        <f>D85*1.3</f>
        <v>1696.5</v>
      </c>
      <c r="D85" s="168">
        <v>1305</v>
      </c>
      <c r="E85" s="168">
        <v>2152</v>
      </c>
      <c r="F85" s="4"/>
      <c r="G85" s="3">
        <f>D85*12</f>
        <v>15660</v>
      </c>
      <c r="N85" s="316"/>
      <c r="O85" s="316"/>
      <c r="P85" s="316"/>
      <c r="Q85" s="316"/>
      <c r="R85" s="316"/>
    </row>
    <row r="86" spans="1:18" ht="15.75" customHeight="1" x14ac:dyDescent="0.25">
      <c r="A86" s="167">
        <v>2</v>
      </c>
      <c r="B86" s="168">
        <f>D86*2</f>
        <v>3526</v>
      </c>
      <c r="C86" s="168">
        <f t="shared" ref="C86:C92" si="18">D86*1.3</f>
        <v>2291.9</v>
      </c>
      <c r="D86" s="168">
        <v>1763</v>
      </c>
      <c r="E86" s="168">
        <f t="shared" ref="E86:E92" si="19">D86*1.65</f>
        <v>2908.95</v>
      </c>
      <c r="G86" s="3">
        <f t="shared" ref="G86:G92" si="20">D86*12</f>
        <v>21156</v>
      </c>
      <c r="N86" s="316"/>
      <c r="O86" s="316"/>
      <c r="P86" s="316"/>
      <c r="Q86" s="316"/>
      <c r="R86" s="316"/>
    </row>
    <row r="87" spans="1:18" ht="15.75" customHeight="1" x14ac:dyDescent="0.25">
      <c r="A87" s="167">
        <v>3</v>
      </c>
      <c r="B87" s="168">
        <f t="shared" ref="B87:B92" si="21">D87*2</f>
        <v>4442</v>
      </c>
      <c r="C87" s="168">
        <f t="shared" si="18"/>
        <v>2887.3</v>
      </c>
      <c r="D87" s="168">
        <v>2221</v>
      </c>
      <c r="E87" s="168">
        <f t="shared" si="19"/>
        <v>3664.6499999999996</v>
      </c>
      <c r="G87" s="3">
        <f t="shared" si="20"/>
        <v>26652</v>
      </c>
    </row>
    <row r="88" spans="1:18" ht="15.75" customHeight="1" x14ac:dyDescent="0.25">
      <c r="A88" s="167">
        <v>4</v>
      </c>
      <c r="B88" s="168">
        <f t="shared" si="21"/>
        <v>5360</v>
      </c>
      <c r="C88" s="168">
        <f t="shared" si="18"/>
        <v>3484</v>
      </c>
      <c r="D88" s="168">
        <v>2680</v>
      </c>
      <c r="E88" s="168">
        <v>4421</v>
      </c>
      <c r="G88" s="3">
        <f t="shared" si="20"/>
        <v>32160</v>
      </c>
    </row>
    <row r="89" spans="1:18" ht="15.75" customHeight="1" x14ac:dyDescent="0.25">
      <c r="A89" s="167">
        <v>5</v>
      </c>
      <c r="B89" s="168">
        <f t="shared" si="21"/>
        <v>6276</v>
      </c>
      <c r="C89" s="168">
        <f t="shared" si="18"/>
        <v>4079.4</v>
      </c>
      <c r="D89" s="168">
        <v>3138</v>
      </c>
      <c r="E89" s="168">
        <v>5177</v>
      </c>
      <c r="G89" s="3">
        <f t="shared" si="20"/>
        <v>37656</v>
      </c>
    </row>
    <row r="90" spans="1:18" ht="15.75" customHeight="1" x14ac:dyDescent="0.25">
      <c r="A90" s="167">
        <v>6</v>
      </c>
      <c r="B90" s="168">
        <f t="shared" si="21"/>
        <v>7192</v>
      </c>
      <c r="C90" s="168">
        <f t="shared" si="18"/>
        <v>4674.8</v>
      </c>
      <c r="D90" s="168">
        <v>3596</v>
      </c>
      <c r="E90" s="168">
        <v>5934</v>
      </c>
      <c r="G90" s="3">
        <f t="shared" si="20"/>
        <v>43152</v>
      </c>
    </row>
    <row r="91" spans="1:18" ht="15.75" customHeight="1" x14ac:dyDescent="0.25">
      <c r="A91" s="167">
        <v>7</v>
      </c>
      <c r="B91" s="168">
        <f t="shared" si="21"/>
        <v>8110</v>
      </c>
      <c r="C91" s="168">
        <f t="shared" si="18"/>
        <v>5271.5</v>
      </c>
      <c r="D91" s="168">
        <v>4055</v>
      </c>
      <c r="E91" s="168">
        <v>6690</v>
      </c>
      <c r="G91" s="3">
        <f t="shared" si="20"/>
        <v>48660</v>
      </c>
    </row>
    <row r="92" spans="1:18" ht="15.75" customHeight="1" x14ac:dyDescent="0.25">
      <c r="A92" s="167">
        <v>8</v>
      </c>
      <c r="B92" s="168">
        <f t="shared" si="21"/>
        <v>9026</v>
      </c>
      <c r="C92" s="168">
        <f t="shared" si="18"/>
        <v>5866.9000000000005</v>
      </c>
      <c r="D92" s="168">
        <v>4513</v>
      </c>
      <c r="E92" s="168">
        <f t="shared" si="19"/>
        <v>7446.45</v>
      </c>
      <c r="G92" s="3">
        <f t="shared" si="20"/>
        <v>54156</v>
      </c>
    </row>
    <row r="93" spans="1:18" x14ac:dyDescent="0.25">
      <c r="A93" s="389" t="s">
        <v>704</v>
      </c>
      <c r="B93" s="316"/>
      <c r="C93" s="168"/>
    </row>
    <row r="94" spans="1:18" ht="15" customHeight="1" x14ac:dyDescent="0.25">
      <c r="B94" s="316"/>
    </row>
    <row r="95" spans="1:18" ht="15" customHeight="1" x14ac:dyDescent="0.25">
      <c r="A95" s="451" t="s">
        <v>546</v>
      </c>
      <c r="B95" s="451"/>
      <c r="C95" s="168"/>
    </row>
    <row r="96" spans="1:18" x14ac:dyDescent="0.25">
      <c r="A96" s="172" t="s">
        <v>547</v>
      </c>
      <c r="B96" s="173" t="s">
        <v>548</v>
      </c>
    </row>
    <row r="97" spans="1:5" ht="15" customHeight="1" x14ac:dyDescent="0.25">
      <c r="A97" s="172">
        <v>1</v>
      </c>
      <c r="B97" s="174">
        <v>298</v>
      </c>
    </row>
    <row r="98" spans="1:5" x14ac:dyDescent="0.25">
      <c r="A98" s="172">
        <v>2</v>
      </c>
      <c r="B98" s="174">
        <v>546</v>
      </c>
    </row>
    <row r="99" spans="1:5" ht="15" customHeight="1" x14ac:dyDescent="0.25">
      <c r="A99" s="172">
        <v>3</v>
      </c>
      <c r="B99" s="174">
        <v>785</v>
      </c>
    </row>
    <row r="100" spans="1:5" x14ac:dyDescent="0.25">
      <c r="A100" s="172">
        <v>4</v>
      </c>
      <c r="B100" s="174">
        <v>994</v>
      </c>
    </row>
    <row r="101" spans="1:5" ht="15" customHeight="1" x14ac:dyDescent="0.25">
      <c r="A101" s="172">
        <v>5</v>
      </c>
      <c r="B101" s="174">
        <v>1183</v>
      </c>
    </row>
    <row r="102" spans="1:5" x14ac:dyDescent="0.25">
      <c r="A102" s="172">
        <v>6</v>
      </c>
      <c r="B102" s="174">
        <v>1421</v>
      </c>
    </row>
    <row r="103" spans="1:5" ht="15" customHeight="1" x14ac:dyDescent="0.25">
      <c r="A103" s="172">
        <v>7</v>
      </c>
      <c r="B103" s="174">
        <v>1571</v>
      </c>
    </row>
    <row r="104" spans="1:5" x14ac:dyDescent="0.25">
      <c r="A104" s="173">
        <v>8</v>
      </c>
      <c r="B104" s="174">
        <v>1789</v>
      </c>
    </row>
    <row r="105" spans="1:5" ht="15" customHeight="1" x14ac:dyDescent="0.25">
      <c r="A105" s="389" t="s">
        <v>704</v>
      </c>
      <c r="B105" s="174"/>
    </row>
    <row r="106" spans="1:5" x14ac:dyDescent="0.25">
      <c r="A106" s="173"/>
      <c r="B106" s="173"/>
      <c r="C106" s="170"/>
      <c r="D106" s="168"/>
    </row>
    <row r="107" spans="1:5" ht="15" customHeight="1" x14ac:dyDescent="0.25">
      <c r="A107" s="172"/>
      <c r="B107" s="173"/>
    </row>
    <row r="108" spans="1:5" x14ac:dyDescent="0.25">
      <c r="A108" s="447" t="s">
        <v>713</v>
      </c>
      <c r="B108" s="447"/>
      <c r="D108" s="168"/>
    </row>
    <row r="109" spans="1:5" ht="15" customHeight="1" x14ac:dyDescent="0.25">
      <c r="A109">
        <v>1</v>
      </c>
      <c r="B109" s="3">
        <v>2413</v>
      </c>
      <c r="C109" s="3"/>
      <c r="D109" s="171"/>
      <c r="E109" s="3"/>
    </row>
    <row r="110" spans="1:5" x14ac:dyDescent="0.25">
      <c r="A110">
        <v>2</v>
      </c>
      <c r="B110" s="3">
        <v>3261</v>
      </c>
      <c r="C110" s="3"/>
      <c r="D110" s="3"/>
      <c r="E110" s="3"/>
    </row>
    <row r="111" spans="1:5" x14ac:dyDescent="0.25">
      <c r="A111">
        <v>3</v>
      </c>
      <c r="B111" s="3">
        <v>4109</v>
      </c>
      <c r="C111" s="3"/>
      <c r="D111" s="3"/>
      <c r="E111" s="3"/>
    </row>
    <row r="112" spans="1:5" x14ac:dyDescent="0.25">
      <c r="A112">
        <v>4</v>
      </c>
      <c r="B112" s="3">
        <v>4957</v>
      </c>
      <c r="C112" s="3"/>
      <c r="D112" s="3"/>
      <c r="E112" s="3"/>
    </row>
    <row r="113" spans="1:5" x14ac:dyDescent="0.25">
      <c r="A113">
        <v>5</v>
      </c>
      <c r="B113" s="3">
        <v>5805</v>
      </c>
      <c r="C113" s="3"/>
      <c r="D113" s="3"/>
      <c r="E113" s="3"/>
    </row>
    <row r="114" spans="1:5" x14ac:dyDescent="0.25">
      <c r="A114">
        <v>6</v>
      </c>
      <c r="B114" s="3">
        <v>6653</v>
      </c>
      <c r="C114" s="3"/>
      <c r="D114" s="3"/>
      <c r="E114" s="3"/>
    </row>
    <row r="115" spans="1:5" x14ac:dyDescent="0.25">
      <c r="A115">
        <v>7</v>
      </c>
      <c r="B115" s="3">
        <v>7501</v>
      </c>
      <c r="C115" s="3"/>
      <c r="D115" s="3"/>
      <c r="E115" s="3"/>
    </row>
    <row r="116" spans="1:5" x14ac:dyDescent="0.25">
      <c r="A116">
        <v>8</v>
      </c>
      <c r="B116" s="3">
        <v>8349</v>
      </c>
      <c r="C116" s="3"/>
      <c r="D116" s="3"/>
      <c r="E116" s="3"/>
    </row>
    <row r="117" spans="1:5" x14ac:dyDescent="0.25">
      <c r="A117" t="s">
        <v>549</v>
      </c>
    </row>
    <row r="119" spans="1:5" x14ac:dyDescent="0.25">
      <c r="A119" s="27" t="s">
        <v>550</v>
      </c>
      <c r="B119" s="3">
        <v>36.76</v>
      </c>
    </row>
    <row r="120" spans="1:5" x14ac:dyDescent="0.25">
      <c r="A120" t="s">
        <v>551</v>
      </c>
    </row>
    <row r="122" spans="1:5" x14ac:dyDescent="0.25">
      <c r="A122" s="447" t="s">
        <v>718</v>
      </c>
      <c r="B122" s="447"/>
      <c r="C122" s="447"/>
      <c r="D122" s="447"/>
    </row>
    <row r="123" spans="1:5" x14ac:dyDescent="0.25">
      <c r="B123" t="s">
        <v>552</v>
      </c>
      <c r="C123" t="s">
        <v>532</v>
      </c>
      <c r="D123" t="s">
        <v>553</v>
      </c>
    </row>
    <row r="124" spans="1:5" x14ac:dyDescent="0.25">
      <c r="A124">
        <v>1</v>
      </c>
      <c r="B124" s="29">
        <v>329</v>
      </c>
      <c r="C124" s="29">
        <v>429</v>
      </c>
      <c r="D124" s="29">
        <v>642</v>
      </c>
    </row>
    <row r="125" spans="1:5" x14ac:dyDescent="0.25">
      <c r="A125">
        <v>2</v>
      </c>
      <c r="B125" s="29">
        <v>495</v>
      </c>
      <c r="C125" s="29">
        <v>609</v>
      </c>
      <c r="D125" s="29">
        <v>859</v>
      </c>
    </row>
    <row r="126" spans="1:5" x14ac:dyDescent="0.25">
      <c r="A126">
        <v>3</v>
      </c>
      <c r="B126" s="29">
        <v>632</v>
      </c>
      <c r="C126" s="29">
        <v>767</v>
      </c>
      <c r="D126" s="29">
        <v>1048</v>
      </c>
    </row>
    <row r="127" spans="1:5" x14ac:dyDescent="0.25">
      <c r="A127">
        <v>4</v>
      </c>
      <c r="B127" s="29">
        <v>742</v>
      </c>
      <c r="C127" s="29">
        <v>913</v>
      </c>
      <c r="D127" s="29">
        <v>1226</v>
      </c>
    </row>
    <row r="128" spans="1:5" x14ac:dyDescent="0.25">
      <c r="A128">
        <v>5</v>
      </c>
      <c r="B128" s="29">
        <v>896</v>
      </c>
      <c r="C128" s="29">
        <v>1075</v>
      </c>
      <c r="D128" s="29">
        <v>1452</v>
      </c>
    </row>
    <row r="129" spans="1:4" x14ac:dyDescent="0.25">
      <c r="A129">
        <v>6</v>
      </c>
      <c r="B129" s="29">
        <v>1010</v>
      </c>
      <c r="C129" s="29">
        <v>1209</v>
      </c>
      <c r="D129" s="29">
        <v>1613</v>
      </c>
    </row>
    <row r="130" spans="1:4" x14ac:dyDescent="0.25">
      <c r="A130">
        <v>7</v>
      </c>
      <c r="B130" s="29">
        <v>1142</v>
      </c>
      <c r="C130" s="29">
        <v>1355</v>
      </c>
      <c r="D130" s="29">
        <v>1793</v>
      </c>
    </row>
    <row r="131" spans="1:4" x14ac:dyDescent="0.25">
      <c r="A131">
        <v>8</v>
      </c>
      <c r="B131" s="29">
        <v>1276</v>
      </c>
      <c r="C131" s="29">
        <v>1510</v>
      </c>
      <c r="D131" s="29">
        <v>1983</v>
      </c>
    </row>
    <row r="134" spans="1:4" x14ac:dyDescent="0.25">
      <c r="A134" s="447" t="s">
        <v>719</v>
      </c>
      <c r="B134" s="447"/>
      <c r="C134" s="447"/>
      <c r="D134" s="447"/>
    </row>
    <row r="135" spans="1:4" x14ac:dyDescent="0.25">
      <c r="B135" t="s">
        <v>552</v>
      </c>
      <c r="C135" t="s">
        <v>532</v>
      </c>
      <c r="D135" t="s">
        <v>553</v>
      </c>
    </row>
    <row r="136" spans="1:4" x14ac:dyDescent="0.25">
      <c r="A136">
        <v>1</v>
      </c>
      <c r="B136" s="29">
        <v>315</v>
      </c>
      <c r="C136" s="29">
        <v>424</v>
      </c>
      <c r="D136" s="29">
        <v>560</v>
      </c>
    </row>
    <row r="137" spans="1:4" x14ac:dyDescent="0.25">
      <c r="A137">
        <v>2</v>
      </c>
      <c r="B137" s="29">
        <v>481</v>
      </c>
      <c r="C137" s="29">
        <v>611</v>
      </c>
      <c r="D137" s="29">
        <v>752</v>
      </c>
    </row>
    <row r="138" spans="1:4" x14ac:dyDescent="0.25">
      <c r="A138">
        <v>3</v>
      </c>
      <c r="B138" s="29">
        <v>618</v>
      </c>
      <c r="C138" s="29">
        <v>765</v>
      </c>
      <c r="D138" s="29">
        <v>907</v>
      </c>
    </row>
    <row r="139" spans="1:4" x14ac:dyDescent="0.25">
      <c r="A139">
        <v>4</v>
      </c>
      <c r="B139" s="29">
        <v>747</v>
      </c>
      <c r="C139" s="29">
        <v>914</v>
      </c>
      <c r="D139" s="29">
        <v>1062</v>
      </c>
    </row>
    <row r="140" spans="1:4" x14ac:dyDescent="0.25">
      <c r="A140">
        <v>5</v>
      </c>
      <c r="B140" s="29">
        <v>880</v>
      </c>
      <c r="C140" s="29">
        <v>1079</v>
      </c>
      <c r="D140" s="29">
        <v>1256</v>
      </c>
    </row>
    <row r="141" spans="1:4" x14ac:dyDescent="0.25">
      <c r="A141">
        <v>6</v>
      </c>
      <c r="B141" s="29">
        <v>986</v>
      </c>
      <c r="C141" s="29">
        <v>1209</v>
      </c>
      <c r="D141" s="29">
        <v>1383</v>
      </c>
    </row>
    <row r="142" spans="1:4" x14ac:dyDescent="0.25">
      <c r="A142">
        <v>7</v>
      </c>
      <c r="B142" s="29">
        <v>1114</v>
      </c>
      <c r="C142" s="29">
        <v>1355</v>
      </c>
      <c r="D142" s="29">
        <v>1534</v>
      </c>
    </row>
    <row r="143" spans="1:4" x14ac:dyDescent="0.25">
      <c r="A143">
        <v>8</v>
      </c>
      <c r="B143" s="29">
        <v>1253</v>
      </c>
      <c r="C143" s="29">
        <v>1509</v>
      </c>
      <c r="D143" s="29">
        <v>1689</v>
      </c>
    </row>
    <row r="144" spans="1:4" x14ac:dyDescent="0.25">
      <c r="A144" t="s">
        <v>717</v>
      </c>
    </row>
    <row r="145" spans="1:4" x14ac:dyDescent="0.25">
      <c r="A145" s="447"/>
      <c r="B145" s="447"/>
      <c r="C145" s="447"/>
      <c r="D145" s="447"/>
    </row>
    <row r="146" spans="1:4" x14ac:dyDescent="0.25">
      <c r="B146" s="27" t="s">
        <v>721</v>
      </c>
    </row>
    <row r="147" spans="1:4" x14ac:dyDescent="0.25">
      <c r="A147" t="s">
        <v>554</v>
      </c>
      <c r="B147" s="29" t="s">
        <v>555</v>
      </c>
      <c r="C147" s="29" t="s">
        <v>323</v>
      </c>
      <c r="D147" s="29"/>
    </row>
    <row r="148" spans="1:4" ht="30" x14ac:dyDescent="0.25">
      <c r="A148" s="24" t="s">
        <v>720</v>
      </c>
      <c r="B148" s="29">
        <v>6207</v>
      </c>
      <c r="C148" s="29">
        <f>B148/12</f>
        <v>517.25</v>
      </c>
      <c r="D148" s="29"/>
    </row>
    <row r="149" spans="1:4" x14ac:dyDescent="0.25">
      <c r="A149" s="24" t="s">
        <v>724</v>
      </c>
      <c r="B149" s="29">
        <v>7818</v>
      </c>
      <c r="C149" s="29">
        <f>B149/12</f>
        <v>651.5</v>
      </c>
      <c r="D149" s="29"/>
    </row>
    <row r="150" spans="1:4" x14ac:dyDescent="0.25">
      <c r="A150" t="s">
        <v>722</v>
      </c>
      <c r="B150" s="29">
        <v>19079</v>
      </c>
      <c r="C150" s="29">
        <f>B150/12</f>
        <v>1589.9166666666667</v>
      </c>
      <c r="D150" s="29"/>
    </row>
    <row r="151" spans="1:4" x14ac:dyDescent="0.25">
      <c r="A151" t="s">
        <v>723</v>
      </c>
      <c r="B151" s="7">
        <v>25639</v>
      </c>
      <c r="C151" s="29">
        <f>B151/12</f>
        <v>2136.5833333333335</v>
      </c>
    </row>
    <row r="152" spans="1:4" x14ac:dyDescent="0.25">
      <c r="A152" t="s">
        <v>556</v>
      </c>
      <c r="B152" s="29">
        <v>3822</v>
      </c>
      <c r="C152" s="29">
        <f>B152/12</f>
        <v>318.5</v>
      </c>
      <c r="D152" s="29"/>
    </row>
    <row r="153" spans="1:4" ht="17.25" customHeight="1" x14ac:dyDescent="0.25">
      <c r="A153" t="s">
        <v>557</v>
      </c>
      <c r="B153" s="29"/>
      <c r="C153" s="29"/>
      <c r="D153" s="29"/>
    </row>
    <row r="154" spans="1:4" x14ac:dyDescent="0.25">
      <c r="B154" s="29"/>
      <c r="C154" s="29"/>
      <c r="D154" s="29"/>
    </row>
    <row r="156" spans="1:4" x14ac:dyDescent="0.25">
      <c r="B156" s="29"/>
      <c r="C156" s="29"/>
      <c r="D156" s="29"/>
    </row>
    <row r="157" spans="1:4" x14ac:dyDescent="0.25">
      <c r="A157" t="s">
        <v>558</v>
      </c>
      <c r="B157" s="29" t="s">
        <v>559</v>
      </c>
      <c r="C157" s="29"/>
      <c r="D157" s="29"/>
    </row>
    <row r="158" spans="1:4" x14ac:dyDescent="0.25">
      <c r="A158">
        <v>1</v>
      </c>
      <c r="B158" s="29">
        <v>967</v>
      </c>
      <c r="C158" s="29"/>
      <c r="D158" s="29"/>
    </row>
    <row r="159" spans="1:4" x14ac:dyDescent="0.25">
      <c r="A159">
        <v>2</v>
      </c>
      <c r="B159" s="29">
        <v>1450</v>
      </c>
      <c r="C159" s="29"/>
      <c r="D159" s="29"/>
    </row>
    <row r="160" spans="1:4" x14ac:dyDescent="0.25">
      <c r="A160" s="87" t="s">
        <v>560</v>
      </c>
      <c r="B160" s="29"/>
      <c r="C160" s="29"/>
      <c r="D160" s="29"/>
    </row>
    <row r="161" spans="1:4" x14ac:dyDescent="0.25">
      <c r="B161" s="29"/>
      <c r="C161" s="29"/>
      <c r="D161" s="29"/>
    </row>
    <row r="162" spans="1:4" x14ac:dyDescent="0.25">
      <c r="B162" s="29"/>
      <c r="C162" s="29"/>
      <c r="D162" s="29"/>
    </row>
    <row r="163" spans="1:4" x14ac:dyDescent="0.25">
      <c r="A163" t="s">
        <v>561</v>
      </c>
      <c r="B163" s="29"/>
      <c r="C163" s="29"/>
      <c r="D163" s="29"/>
    </row>
    <row r="164" spans="1:4" x14ac:dyDescent="0.25">
      <c r="A164" t="s">
        <v>562</v>
      </c>
    </row>
    <row r="165" spans="1:4" x14ac:dyDescent="0.25">
      <c r="A165">
        <v>18</v>
      </c>
    </row>
    <row r="166" spans="1:4" x14ac:dyDescent="0.25">
      <c r="A166">
        <v>19</v>
      </c>
    </row>
    <row r="167" spans="1:4" x14ac:dyDescent="0.25">
      <c r="A167">
        <v>20</v>
      </c>
    </row>
    <row r="168" spans="1:4" x14ac:dyDescent="0.25">
      <c r="A168">
        <v>21</v>
      </c>
    </row>
    <row r="169" spans="1:4" x14ac:dyDescent="0.25">
      <c r="A169">
        <v>22</v>
      </c>
    </row>
    <row r="170" spans="1:4" x14ac:dyDescent="0.25">
      <c r="A170">
        <v>23</v>
      </c>
    </row>
    <row r="171" spans="1:4" x14ac:dyDescent="0.25">
      <c r="A171">
        <v>24</v>
      </c>
    </row>
    <row r="172" spans="1:4" x14ac:dyDescent="0.25">
      <c r="A172">
        <v>25</v>
      </c>
    </row>
    <row r="173" spans="1:4" x14ac:dyDescent="0.25">
      <c r="A173">
        <v>26</v>
      </c>
    </row>
    <row r="174" spans="1:4" x14ac:dyDescent="0.25">
      <c r="A174">
        <v>27</v>
      </c>
    </row>
    <row r="175" spans="1:4" x14ac:dyDescent="0.25">
      <c r="A175">
        <v>28</v>
      </c>
    </row>
    <row r="176" spans="1:4" x14ac:dyDescent="0.25">
      <c r="A176">
        <v>29</v>
      </c>
    </row>
    <row r="177" spans="1:1" x14ac:dyDescent="0.25">
      <c r="A177">
        <v>30</v>
      </c>
    </row>
    <row r="178" spans="1:1" x14ac:dyDescent="0.25">
      <c r="A178">
        <v>31</v>
      </c>
    </row>
    <row r="179" spans="1:1" x14ac:dyDescent="0.25">
      <c r="A179">
        <v>32</v>
      </c>
    </row>
    <row r="180" spans="1:1" x14ac:dyDescent="0.25">
      <c r="A180">
        <v>33</v>
      </c>
    </row>
    <row r="181" spans="1:1" x14ac:dyDescent="0.25">
      <c r="A181">
        <v>34</v>
      </c>
    </row>
    <row r="182" spans="1:1" x14ac:dyDescent="0.25">
      <c r="A182">
        <v>35</v>
      </c>
    </row>
    <row r="183" spans="1:1" x14ac:dyDescent="0.25">
      <c r="A183">
        <v>36</v>
      </c>
    </row>
    <row r="184" spans="1:1" x14ac:dyDescent="0.25">
      <c r="A184">
        <v>37</v>
      </c>
    </row>
    <row r="185" spans="1:1" x14ac:dyDescent="0.25">
      <c r="A185">
        <v>38</v>
      </c>
    </row>
    <row r="186" spans="1:1" x14ac:dyDescent="0.25">
      <c r="A186">
        <v>39</v>
      </c>
    </row>
    <row r="187" spans="1:1" x14ac:dyDescent="0.25">
      <c r="A187">
        <v>40</v>
      </c>
    </row>
    <row r="188" spans="1:1" x14ac:dyDescent="0.25">
      <c r="A188">
        <v>41</v>
      </c>
    </row>
    <row r="189" spans="1:1" x14ac:dyDescent="0.25">
      <c r="A189">
        <v>42</v>
      </c>
    </row>
    <row r="190" spans="1:1" x14ac:dyDescent="0.25">
      <c r="A190">
        <v>43</v>
      </c>
    </row>
    <row r="191" spans="1:1" x14ac:dyDescent="0.25">
      <c r="A191">
        <v>44</v>
      </c>
    </row>
    <row r="192" spans="1:1" x14ac:dyDescent="0.25">
      <c r="A192">
        <v>45</v>
      </c>
    </row>
    <row r="193" spans="1:1" x14ac:dyDescent="0.25">
      <c r="A193">
        <v>46</v>
      </c>
    </row>
    <row r="194" spans="1:1" x14ac:dyDescent="0.25">
      <c r="A194">
        <v>47</v>
      </c>
    </row>
    <row r="195" spans="1:1" x14ac:dyDescent="0.25">
      <c r="A195">
        <v>48</v>
      </c>
    </row>
    <row r="196" spans="1:1" x14ac:dyDescent="0.25">
      <c r="A196">
        <v>49</v>
      </c>
    </row>
    <row r="197" spans="1:1" x14ac:dyDescent="0.25">
      <c r="A197">
        <v>50</v>
      </c>
    </row>
    <row r="198" spans="1:1" x14ac:dyDescent="0.25">
      <c r="A198">
        <v>51</v>
      </c>
    </row>
    <row r="199" spans="1:1" x14ac:dyDescent="0.25">
      <c r="A199">
        <v>52</v>
      </c>
    </row>
    <row r="200" spans="1:1" x14ac:dyDescent="0.25">
      <c r="A200">
        <v>53</v>
      </c>
    </row>
    <row r="201" spans="1:1" x14ac:dyDescent="0.25">
      <c r="A201">
        <v>54</v>
      </c>
    </row>
    <row r="202" spans="1:1" x14ac:dyDescent="0.25">
      <c r="A202">
        <v>55</v>
      </c>
    </row>
    <row r="203" spans="1:1" x14ac:dyDescent="0.25">
      <c r="A203">
        <v>56</v>
      </c>
    </row>
    <row r="204" spans="1:1" x14ac:dyDescent="0.25">
      <c r="A204">
        <v>57</v>
      </c>
    </row>
    <row r="205" spans="1:1" x14ac:dyDescent="0.25">
      <c r="A205">
        <v>58</v>
      </c>
    </row>
    <row r="206" spans="1:1" x14ac:dyDescent="0.25">
      <c r="A206">
        <v>59</v>
      </c>
    </row>
    <row r="207" spans="1:1" x14ac:dyDescent="0.25">
      <c r="A207">
        <v>60</v>
      </c>
    </row>
    <row r="208" spans="1:1" x14ac:dyDescent="0.25">
      <c r="A208">
        <v>61</v>
      </c>
    </row>
    <row r="209" spans="1:1" x14ac:dyDescent="0.25">
      <c r="A209">
        <v>62</v>
      </c>
    </row>
    <row r="210" spans="1:1" x14ac:dyDescent="0.25">
      <c r="A210">
        <v>63</v>
      </c>
    </row>
    <row r="211" spans="1:1" x14ac:dyDescent="0.25">
      <c r="A211">
        <v>64</v>
      </c>
    </row>
  </sheetData>
  <mergeCells count="13">
    <mergeCell ref="A134:D134"/>
    <mergeCell ref="A145:D145"/>
    <mergeCell ref="A83:C83"/>
    <mergeCell ref="A95:B95"/>
    <mergeCell ref="A108:B108"/>
    <mergeCell ref="A122:D122"/>
    <mergeCell ref="A58:C58"/>
    <mergeCell ref="A3:B3"/>
    <mergeCell ref="A18:B18"/>
    <mergeCell ref="A14:D14"/>
    <mergeCell ref="A33:B33"/>
    <mergeCell ref="A46:C46"/>
    <mergeCell ref="A17:E17"/>
  </mergeCells>
  <hyperlinks>
    <hyperlink ref="A30" r:id="rId1" display="https://www.acf.hhs.gov/sites/default/files/documents/ocs/COMM_LIHEAP_IM 2024-02_Att4SMITable_0.pdf" xr:uid="{6A1B790E-6E2B-4911-A4F5-E7BF9428AF52}"/>
    <hyperlink ref="A160" r:id="rId2" display="https://www.ssa.gov/pubs/EN-05-11002.pdf" xr:uid="{CE12DEDE-28C7-40DB-8A37-517822C1D013}"/>
  </hyperlinks>
  <pageMargins left="0.7" right="0.7" top="0.75" bottom="0.75" header="0.3" footer="0.3"/>
  <pageSetup orientation="portrait" r:id="rId3"/>
</worksheet>
</file>

<file path=xl/worksheets/sheet1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C50355A-C6F4-4FB3-BB65-52755D10DFF1}">
  <sheetPr codeName="Sheet91"/>
  <dimension ref="A1:V215"/>
  <sheetViews>
    <sheetView workbookViewId="0">
      <pane xSplit="1" ySplit="8" topLeftCell="B205" activePane="bottomRight" state="frozen"/>
      <selection pane="topRight" activeCell="B1" sqref="B1"/>
      <selection pane="bottomLeft" activeCell="A9" sqref="A9"/>
      <selection pane="bottomRight" activeCell="C214" sqref="C214"/>
    </sheetView>
  </sheetViews>
  <sheetFormatPr defaultRowHeight="15" customHeight="1" x14ac:dyDescent="0.25"/>
  <cols>
    <col min="1" max="1" width="14.5703125" customWidth="1"/>
    <col min="2" max="2" width="14.42578125" style="12" customWidth="1"/>
    <col min="3" max="3" width="20.140625" customWidth="1"/>
    <col min="4" max="4" width="15.140625" customWidth="1"/>
    <col min="5" max="5" width="12.28515625" customWidth="1"/>
    <col min="6" max="6" width="19.85546875" customWidth="1"/>
    <col min="7" max="7" width="19" customWidth="1"/>
    <col min="8" max="8" width="19.140625" customWidth="1"/>
    <col min="9" max="9" width="18.85546875" customWidth="1"/>
    <col min="10" max="10" width="13.85546875" customWidth="1"/>
    <col min="11" max="11" width="21.28515625" style="12" customWidth="1"/>
    <col min="12" max="13" width="20.7109375" customWidth="1"/>
    <col min="14" max="14" width="16.85546875" customWidth="1"/>
    <col min="15" max="15" width="15.5703125" customWidth="1"/>
    <col min="16" max="16" width="22.42578125" style="12" customWidth="1"/>
    <col min="17" max="17" width="15.5703125" customWidth="1"/>
    <col min="18" max="18" width="15" customWidth="1"/>
    <col min="19" max="19" width="24.42578125" customWidth="1"/>
    <col min="20" max="20" width="19.42578125" customWidth="1"/>
  </cols>
  <sheetData>
    <row r="1" spans="1:22" s="108" customFormat="1" ht="47.25" customHeight="1" x14ac:dyDescent="0.25">
      <c r="A1" s="313" t="s">
        <v>271</v>
      </c>
      <c r="B1" s="313" t="s">
        <v>272</v>
      </c>
      <c r="C1" s="304" t="s">
        <v>686</v>
      </c>
      <c r="D1" s="109" t="s">
        <v>404</v>
      </c>
      <c r="E1" s="109" t="s">
        <v>464</v>
      </c>
      <c r="F1" s="109" t="s">
        <v>465</v>
      </c>
      <c r="G1" s="80" t="s">
        <v>466</v>
      </c>
      <c r="H1" s="80" t="s">
        <v>467</v>
      </c>
      <c r="I1" s="80" t="s">
        <v>468</v>
      </c>
      <c r="K1" s="455" t="s">
        <v>469</v>
      </c>
      <c r="L1" s="455"/>
      <c r="M1" s="455"/>
      <c r="Q1" s="14"/>
    </row>
    <row r="2" spans="1:22" ht="36" customHeight="1" x14ac:dyDescent="0.25">
      <c r="A2" s="127" t="str">
        <f>'Total income package'!B3</f>
        <v>Pittsylvania</v>
      </c>
      <c r="B2" s="79">
        <f>'Total income package'!B32</f>
        <v>2</v>
      </c>
      <c r="C2" s="148">
        <f>'Total income package'!D66</f>
        <v>0</v>
      </c>
      <c r="D2" s="78">
        <f>VLOOKUP($G$6,'Program specific data'!A35:B42,2)</f>
        <v>209</v>
      </c>
      <c r="E2" s="78">
        <f>VLOOKUP(G6,'Program specific data'!A6:D13,3)</f>
        <v>1803.3333333333333</v>
      </c>
      <c r="F2" s="129">
        <f>IF(A3=2,VLOOKUP(G6,'Program specific data'!A60:C67,2,FALSE),VLOOKUP(G6,'Program specific data'!A60:C67,3,FALSE))</f>
        <v>767</v>
      </c>
      <c r="G2" s="311">
        <f>IF(A3=2,VLOOKUP(G6,'Program specific data'!A48:C55,2,FALSE),VLOOKUP(G6,'Program specific data'!A48:C55,3,FALSE))</f>
        <v>385</v>
      </c>
      <c r="H2" s="78">
        <f>VLOOKUP(G6,'Program specific data'!A6:C13,3,FALSE)</f>
        <v>1803.3333333333333</v>
      </c>
      <c r="I2" s="131">
        <f>IF(A3=2,'Program specific data'!B56,'Program specific data'!C56)</f>
        <v>723</v>
      </c>
      <c r="J2" s="5"/>
      <c r="K2" s="443" t="s">
        <v>736</v>
      </c>
      <c r="L2" s="443"/>
      <c r="M2" s="443"/>
      <c r="N2" s="443"/>
      <c r="O2" s="443"/>
      <c r="P2"/>
      <c r="Q2" s="12"/>
    </row>
    <row r="3" spans="1:22" ht="40.5" x14ac:dyDescent="0.25">
      <c r="A3" s="79">
        <f>VLOOKUP('Total income package'!B3,'Location specific data'!A3:B135,2,FALSE)</f>
        <v>2</v>
      </c>
      <c r="B3" s="148" t="s">
        <v>688</v>
      </c>
      <c r="C3" s="304" t="s">
        <v>681</v>
      </c>
      <c r="D3" s="1"/>
      <c r="E3" s="109"/>
      <c r="G3" s="1"/>
      <c r="H3" s="5"/>
      <c r="I3" s="5"/>
      <c r="K3" t="s">
        <v>470</v>
      </c>
    </row>
    <row r="4" spans="1:22" x14ac:dyDescent="0.25">
      <c r="A4" s="79"/>
      <c r="B4" s="148">
        <f>'Total income package'!B30</f>
        <v>1</v>
      </c>
      <c r="C4" s="148">
        <f>(COUNTIF('Total income package'!E37:E44,"Yes"))</f>
        <v>2</v>
      </c>
      <c r="D4" s="1"/>
      <c r="E4" s="109"/>
      <c r="G4" s="1"/>
      <c r="H4" s="5"/>
      <c r="I4" s="5"/>
    </row>
    <row r="5" spans="1:22" ht="45.75" customHeight="1" x14ac:dyDescent="0.25">
      <c r="A5" s="79"/>
      <c r="B5" s="109" t="s">
        <v>689</v>
      </c>
      <c r="C5" s="382" t="s">
        <v>684</v>
      </c>
      <c r="D5" s="383" t="s">
        <v>691</v>
      </c>
      <c r="E5" s="456" t="s">
        <v>687</v>
      </c>
      <c r="F5" s="456"/>
      <c r="G5" s="456" t="s">
        <v>685</v>
      </c>
      <c r="H5" s="456"/>
      <c r="I5" s="5"/>
    </row>
    <row r="6" spans="1:22" x14ac:dyDescent="0.25">
      <c r="B6" s="148">
        <f>'Total income package'!B31</f>
        <v>1</v>
      </c>
      <c r="C6" s="148">
        <f>'Total income package'!D61</f>
        <v>1</v>
      </c>
      <c r="D6" s="77">
        <f>C4-C6</f>
        <v>1</v>
      </c>
      <c r="E6" s="457">
        <f>B6-C2</f>
        <v>1</v>
      </c>
      <c r="F6" s="457"/>
      <c r="G6" s="457">
        <f>D6+E6</f>
        <v>2</v>
      </c>
      <c r="H6" s="457"/>
      <c r="L6" s="77"/>
      <c r="M6" s="79"/>
      <c r="N6" s="79"/>
      <c r="O6" s="188"/>
    </row>
    <row r="7" spans="1:22" ht="24" x14ac:dyDescent="0.4">
      <c r="A7" s="453" t="s">
        <v>94</v>
      </c>
      <c r="B7" s="454"/>
      <c r="C7" s="454"/>
      <c r="D7" s="454"/>
      <c r="E7" s="454"/>
      <c r="F7" s="454"/>
      <c r="G7" s="454"/>
      <c r="H7" s="454"/>
      <c r="I7" s="454"/>
      <c r="J7" s="454"/>
      <c r="K7" s="454"/>
      <c r="L7" s="454"/>
      <c r="M7" s="452" t="s">
        <v>471</v>
      </c>
      <c r="N7" s="452"/>
      <c r="O7" s="452"/>
      <c r="P7" s="452"/>
      <c r="Q7" s="452"/>
      <c r="R7" s="452"/>
      <c r="S7" s="452"/>
      <c r="T7" s="452"/>
    </row>
    <row r="8" spans="1:22" s="108" customFormat="1" ht="91.5" customHeight="1" x14ac:dyDescent="0.25">
      <c r="A8" s="191" t="s">
        <v>104</v>
      </c>
      <c r="B8" s="191" t="s">
        <v>105</v>
      </c>
      <c r="C8" s="191" t="s">
        <v>472</v>
      </c>
      <c r="D8" s="191" t="s">
        <v>473</v>
      </c>
      <c r="E8" s="191" t="s">
        <v>474</v>
      </c>
      <c r="F8" s="191" t="s">
        <v>475</v>
      </c>
      <c r="G8" s="191" t="s">
        <v>476</v>
      </c>
      <c r="H8" s="191" t="s">
        <v>477</v>
      </c>
      <c r="I8" s="191" t="s">
        <v>478</v>
      </c>
      <c r="J8" s="191" t="s">
        <v>479</v>
      </c>
      <c r="K8" s="191" t="s">
        <v>480</v>
      </c>
      <c r="L8" s="192" t="s">
        <v>481</v>
      </c>
      <c r="M8" s="191" t="s">
        <v>482</v>
      </c>
      <c r="N8" s="191" t="s">
        <v>483</v>
      </c>
      <c r="O8" s="191" t="s">
        <v>484</v>
      </c>
      <c r="P8" s="191" t="s">
        <v>485</v>
      </c>
      <c r="Q8" s="191" t="s">
        <v>486</v>
      </c>
      <c r="R8" s="191" t="s">
        <v>487</v>
      </c>
      <c r="S8" s="191" t="s">
        <v>488</v>
      </c>
      <c r="T8" s="190" t="s">
        <v>489</v>
      </c>
      <c r="U8" s="166"/>
      <c r="V8" s="166"/>
    </row>
    <row r="9" spans="1:22" s="14" customFormat="1" x14ac:dyDescent="0.25">
      <c r="A9" s="117">
        <v>0</v>
      </c>
      <c r="B9" s="312">
        <v>0</v>
      </c>
      <c r="C9" s="63">
        <f>'Total income package'!$D$80</f>
        <v>0</v>
      </c>
      <c r="D9" s="63">
        <f>B9+C9</f>
        <v>0</v>
      </c>
      <c r="E9" s="14" t="str">
        <f>IF(D9&lt;=$F$2,"Yes","No")</f>
        <v>Yes</v>
      </c>
      <c r="F9" s="63">
        <f t="shared" ref="F9:F72" si="0">IF(B9-$D$2&gt;0,B9-$D$2,0)</f>
        <v>0</v>
      </c>
      <c r="G9" s="63">
        <f>F9*0.2</f>
        <v>0</v>
      </c>
      <c r="H9" s="63">
        <f>F9-G9</f>
        <v>0</v>
      </c>
      <c r="I9" s="312">
        <f>C9+H9</f>
        <v>0</v>
      </c>
      <c r="J9" s="14" t="str">
        <f>IF(I9&lt;$G$2,"Yes","No")</f>
        <v>Yes</v>
      </c>
      <c r="K9" s="63">
        <f t="shared" ref="K9:K72" si="1">IF(E9="Yes",MIN(IF($G$2-I9&gt;0,$G$2-I9,0),$I$2),0)</f>
        <v>385</v>
      </c>
      <c r="L9" s="130">
        <f>IF('Total income package'!$A$20=TRUE,MIN(IF(K9&gt;9.99,K9,0),$I$2),0)</f>
        <v>385</v>
      </c>
      <c r="M9" s="14" t="str">
        <f t="shared" ref="M9:M25" si="2">IF(B9&lt;$H$2,"Yes","No")</f>
        <v>Yes</v>
      </c>
      <c r="N9" s="14" t="str">
        <f>IF(C9&lt;$G$2,"Yes","No")</f>
        <v>Yes</v>
      </c>
      <c r="O9" s="312">
        <f>IF(AND(M9="Yes",N9="Yes"),MIN($G$2,$I$2),0)</f>
        <v>385</v>
      </c>
      <c r="P9" s="63">
        <f t="shared" ref="P9:P72" si="3">I9+O9</f>
        <v>385</v>
      </c>
      <c r="Q9" s="312" t="str">
        <f>IF(P9&lt;$H$2,"Yes","No")</f>
        <v>Yes</v>
      </c>
      <c r="R9" s="312">
        <f>IF(P9&gt;$H$2,P9-$H$2,0)</f>
        <v>0</v>
      </c>
      <c r="S9" s="15">
        <f>IF(P9&gt;$H$2,O9-R9,O9)</f>
        <v>385</v>
      </c>
      <c r="T9" s="189">
        <f>IF(AND('Total income package'!$A$22=TRUE,M9="Yes",S9&gt;9.99),MIN(S9,$I$2),0)</f>
        <v>0</v>
      </c>
    </row>
    <row r="10" spans="1:22" s="14" customFormat="1" x14ac:dyDescent="0.25">
      <c r="A10" s="117">
        <v>500</v>
      </c>
      <c r="B10" s="384">
        <f>A10/12</f>
        <v>41.666666666666664</v>
      </c>
      <c r="C10" s="63">
        <f>'Total income package'!$D$80</f>
        <v>0</v>
      </c>
      <c r="D10" s="63">
        <f t="shared" ref="D10:D73" si="4">B10+C10</f>
        <v>41.666666666666664</v>
      </c>
      <c r="E10" s="14" t="str">
        <f t="shared" ref="E10:E73" si="5">IF(D10&lt;=$F$2,"Yes","No")</f>
        <v>Yes</v>
      </c>
      <c r="F10" s="63">
        <f t="shared" si="0"/>
        <v>0</v>
      </c>
      <c r="G10" s="63">
        <f>F10*0.2</f>
        <v>0</v>
      </c>
      <c r="H10" s="63">
        <f t="shared" ref="H10:H73" si="6">F10-G10</f>
        <v>0</v>
      </c>
      <c r="I10" s="312">
        <f t="shared" ref="I10:I73" si="7">C10+H10</f>
        <v>0</v>
      </c>
      <c r="J10" s="14" t="str">
        <f t="shared" ref="J10:J73" si="8">IF(I10&lt;$G$2,"Yes","No")</f>
        <v>Yes</v>
      </c>
      <c r="K10" s="63">
        <f t="shared" si="1"/>
        <v>385</v>
      </c>
      <c r="L10" s="130">
        <f>IF('Total income package'!$A$20=TRUE,MIN(IF(K10&gt;9.99,K10,0),$I$2),0)</f>
        <v>385</v>
      </c>
      <c r="M10" s="14" t="str">
        <f t="shared" si="2"/>
        <v>Yes</v>
      </c>
      <c r="N10" s="14" t="str">
        <f t="shared" ref="N10:N73" si="9">IF(C10&lt;$G$2,"Yes","No")</f>
        <v>Yes</v>
      </c>
      <c r="O10" s="312">
        <f t="shared" ref="O10:O73" si="10">IF(AND(M10="Yes",N10="Yes"),MIN($G$2,$I$2),0)</f>
        <v>385</v>
      </c>
      <c r="P10" s="63">
        <f t="shared" si="3"/>
        <v>385</v>
      </c>
      <c r="Q10" s="312" t="str">
        <f t="shared" ref="Q10:Q73" si="11">IF(P10&lt;$H$2,"Yes","No")</f>
        <v>Yes</v>
      </c>
      <c r="R10" s="312">
        <f t="shared" ref="R10:R73" si="12">IF(P10&gt;$H$2,P10-$H$2,0)</f>
        <v>0</v>
      </c>
      <c r="S10" s="15">
        <f t="shared" ref="S10:S73" si="13">IF(P10&gt;$H$2,O10-R10,O10)</f>
        <v>385</v>
      </c>
      <c r="T10" s="189">
        <f>IF(AND('Total income package'!$A$22=TRUE,M10="Yes",S10&gt;9.99),MIN(S10,$I$2),0)</f>
        <v>0</v>
      </c>
    </row>
    <row r="11" spans="1:22" x14ac:dyDescent="0.25">
      <c r="A11" s="29">
        <v>1000</v>
      </c>
      <c r="B11" s="384">
        <f>A11/12</f>
        <v>83.333333333333329</v>
      </c>
      <c r="C11" s="63">
        <f>'Total income package'!$D$80</f>
        <v>0</v>
      </c>
      <c r="D11" s="63">
        <f t="shared" si="4"/>
        <v>83.333333333333329</v>
      </c>
      <c r="E11" s="14" t="str">
        <f t="shared" si="5"/>
        <v>Yes</v>
      </c>
      <c r="F11" s="63">
        <f t="shared" si="0"/>
        <v>0</v>
      </c>
      <c r="G11" s="63">
        <f t="shared" ref="G11:G74" si="14">F11*0.2</f>
        <v>0</v>
      </c>
      <c r="H11" s="63">
        <f t="shared" si="6"/>
        <v>0</v>
      </c>
      <c r="I11" s="312">
        <f t="shared" si="7"/>
        <v>0</v>
      </c>
      <c r="J11" s="14" t="str">
        <f t="shared" si="8"/>
        <v>Yes</v>
      </c>
      <c r="K11" s="63">
        <f t="shared" si="1"/>
        <v>385</v>
      </c>
      <c r="L11" s="130">
        <f>IF('Total income package'!$A$20=TRUE,MIN(IF(K11&gt;9.99,K11,0),$I$2),0)</f>
        <v>385</v>
      </c>
      <c r="M11" s="14" t="str">
        <f t="shared" si="2"/>
        <v>Yes</v>
      </c>
      <c r="N11" s="14" t="str">
        <f t="shared" si="9"/>
        <v>Yes</v>
      </c>
      <c r="O11" s="312">
        <f t="shared" si="10"/>
        <v>385</v>
      </c>
      <c r="P11" s="63">
        <f t="shared" si="3"/>
        <v>385</v>
      </c>
      <c r="Q11" s="312" t="str">
        <f t="shared" si="11"/>
        <v>Yes</v>
      </c>
      <c r="R11" s="312">
        <f t="shared" si="12"/>
        <v>0</v>
      </c>
      <c r="S11" s="15">
        <f t="shared" si="13"/>
        <v>385</v>
      </c>
      <c r="T11" s="189">
        <f>IF(AND('Total income package'!$A$22=TRUE,M11="Yes",S11&gt;9.99),MIN(S11,$I$2),0)</f>
        <v>0</v>
      </c>
      <c r="U11" s="14"/>
      <c r="V11" s="14"/>
    </row>
    <row r="12" spans="1:22" x14ac:dyDescent="0.25">
      <c r="A12" s="117">
        <v>1500</v>
      </c>
      <c r="B12" s="384">
        <f t="shared" ref="B12:B75" si="15">A12/12</f>
        <v>125</v>
      </c>
      <c r="C12" s="63">
        <f>'Total income package'!$D$80</f>
        <v>0</v>
      </c>
      <c r="D12" s="63">
        <f t="shared" si="4"/>
        <v>125</v>
      </c>
      <c r="E12" s="14" t="str">
        <f t="shared" si="5"/>
        <v>Yes</v>
      </c>
      <c r="F12" s="63">
        <f t="shared" si="0"/>
        <v>0</v>
      </c>
      <c r="G12" s="63">
        <f t="shared" si="14"/>
        <v>0</v>
      </c>
      <c r="H12" s="63">
        <f t="shared" si="6"/>
        <v>0</v>
      </c>
      <c r="I12" s="312">
        <f t="shared" si="7"/>
        <v>0</v>
      </c>
      <c r="J12" s="14" t="str">
        <f t="shared" si="8"/>
        <v>Yes</v>
      </c>
      <c r="K12" s="63">
        <f t="shared" si="1"/>
        <v>385</v>
      </c>
      <c r="L12" s="130">
        <f>IF('Total income package'!$A$20=TRUE,MIN(IF(K12&gt;9.99,K12,0),$I$2),0)</f>
        <v>385</v>
      </c>
      <c r="M12" s="14" t="str">
        <f t="shared" si="2"/>
        <v>Yes</v>
      </c>
      <c r="N12" s="14" t="str">
        <f t="shared" si="9"/>
        <v>Yes</v>
      </c>
      <c r="O12" s="312">
        <f t="shared" si="10"/>
        <v>385</v>
      </c>
      <c r="P12" s="63">
        <f t="shared" si="3"/>
        <v>385</v>
      </c>
      <c r="Q12" s="312" t="str">
        <f t="shared" si="11"/>
        <v>Yes</v>
      </c>
      <c r="R12" s="312">
        <f t="shared" si="12"/>
        <v>0</v>
      </c>
      <c r="S12" s="15">
        <f t="shared" si="13"/>
        <v>385</v>
      </c>
      <c r="T12" s="189">
        <f>IF(AND('Total income package'!$A$22=TRUE,M12="Yes",S12&gt;9.99),MIN(S12,$I$2),0)</f>
        <v>0</v>
      </c>
      <c r="U12" s="4"/>
    </row>
    <row r="13" spans="1:22" x14ac:dyDescent="0.25">
      <c r="A13" s="117">
        <v>2000</v>
      </c>
      <c r="B13" s="384">
        <f t="shared" si="15"/>
        <v>166.66666666666666</v>
      </c>
      <c r="C13" s="63">
        <f>'Total income package'!$D$80</f>
        <v>0</v>
      </c>
      <c r="D13" s="63">
        <f t="shared" si="4"/>
        <v>166.66666666666666</v>
      </c>
      <c r="E13" s="14" t="str">
        <f t="shared" si="5"/>
        <v>Yes</v>
      </c>
      <c r="F13" s="63">
        <f t="shared" si="0"/>
        <v>0</v>
      </c>
      <c r="G13" s="63">
        <f>F13*0.2</f>
        <v>0</v>
      </c>
      <c r="H13" s="63">
        <f t="shared" si="6"/>
        <v>0</v>
      </c>
      <c r="I13" s="312">
        <f t="shared" si="7"/>
        <v>0</v>
      </c>
      <c r="J13" s="14" t="str">
        <f t="shared" si="8"/>
        <v>Yes</v>
      </c>
      <c r="K13" s="63">
        <f t="shared" si="1"/>
        <v>385</v>
      </c>
      <c r="L13" s="130">
        <f>IF('Total income package'!$A$20=TRUE,MIN(IF(K13&gt;9.99,K13,0),$I$2),0)</f>
        <v>385</v>
      </c>
      <c r="M13" s="14" t="str">
        <f t="shared" si="2"/>
        <v>Yes</v>
      </c>
      <c r="N13" s="14" t="str">
        <f t="shared" si="9"/>
        <v>Yes</v>
      </c>
      <c r="O13" s="312">
        <f t="shared" si="10"/>
        <v>385</v>
      </c>
      <c r="P13" s="63">
        <f t="shared" si="3"/>
        <v>385</v>
      </c>
      <c r="Q13" s="312" t="str">
        <f t="shared" si="11"/>
        <v>Yes</v>
      </c>
      <c r="R13" s="312">
        <f t="shared" si="12"/>
        <v>0</v>
      </c>
      <c r="S13" s="15">
        <f t="shared" si="13"/>
        <v>385</v>
      </c>
      <c r="T13" s="189">
        <f>IF(AND('Total income package'!$A$22=TRUE,M13="Yes",S13&gt;9.99),MIN(S13,$I$2),0)</f>
        <v>0</v>
      </c>
    </row>
    <row r="14" spans="1:22" x14ac:dyDescent="0.25">
      <c r="A14" s="29">
        <v>2500</v>
      </c>
      <c r="B14" s="384">
        <f t="shared" si="15"/>
        <v>208.33333333333334</v>
      </c>
      <c r="C14" s="63">
        <f>'Total income package'!$D$80</f>
        <v>0</v>
      </c>
      <c r="D14" s="63">
        <f t="shared" si="4"/>
        <v>208.33333333333334</v>
      </c>
      <c r="E14" s="14" t="str">
        <f t="shared" si="5"/>
        <v>Yes</v>
      </c>
      <c r="F14" s="63">
        <f t="shared" si="0"/>
        <v>0</v>
      </c>
      <c r="G14" s="63">
        <f>F14*0.2</f>
        <v>0</v>
      </c>
      <c r="H14" s="63">
        <f t="shared" si="6"/>
        <v>0</v>
      </c>
      <c r="I14" s="312">
        <f t="shared" si="7"/>
        <v>0</v>
      </c>
      <c r="J14" s="14" t="str">
        <f t="shared" si="8"/>
        <v>Yes</v>
      </c>
      <c r="K14" s="63">
        <f t="shared" si="1"/>
        <v>385</v>
      </c>
      <c r="L14" s="130">
        <f>IF('Total income package'!$A$20=TRUE,MIN(IF(K14&gt;9.99,K14,0),$I$2),0)</f>
        <v>385</v>
      </c>
      <c r="M14" s="14" t="str">
        <f t="shared" si="2"/>
        <v>Yes</v>
      </c>
      <c r="N14" s="14" t="str">
        <f t="shared" si="9"/>
        <v>Yes</v>
      </c>
      <c r="O14" s="312">
        <f t="shared" si="10"/>
        <v>385</v>
      </c>
      <c r="P14" s="63">
        <f t="shared" si="3"/>
        <v>385</v>
      </c>
      <c r="Q14" s="312" t="str">
        <f t="shared" si="11"/>
        <v>Yes</v>
      </c>
      <c r="R14" s="312">
        <f t="shared" si="12"/>
        <v>0</v>
      </c>
      <c r="S14" s="15">
        <f t="shared" si="13"/>
        <v>385</v>
      </c>
      <c r="T14" s="189">
        <f>IF(AND('Total income package'!$A$22=TRUE,M14="Yes",S14&gt;9.99),MIN(S14,$I$2),0)</f>
        <v>0</v>
      </c>
    </row>
    <row r="15" spans="1:22" x14ac:dyDescent="0.25">
      <c r="A15" s="117">
        <v>3000</v>
      </c>
      <c r="B15" s="384">
        <f t="shared" si="15"/>
        <v>250</v>
      </c>
      <c r="C15" s="63">
        <f>'Total income package'!$D$80</f>
        <v>0</v>
      </c>
      <c r="D15" s="63">
        <f t="shared" si="4"/>
        <v>250</v>
      </c>
      <c r="E15" s="14" t="str">
        <f t="shared" si="5"/>
        <v>Yes</v>
      </c>
      <c r="F15" s="63">
        <f t="shared" si="0"/>
        <v>41</v>
      </c>
      <c r="G15" s="63">
        <f>F15*0.2</f>
        <v>8.2000000000000011</v>
      </c>
      <c r="H15" s="63">
        <f t="shared" si="6"/>
        <v>32.799999999999997</v>
      </c>
      <c r="I15" s="312">
        <f t="shared" si="7"/>
        <v>32.799999999999997</v>
      </c>
      <c r="J15" s="14" t="str">
        <f t="shared" si="8"/>
        <v>Yes</v>
      </c>
      <c r="K15" s="63">
        <f t="shared" si="1"/>
        <v>352.2</v>
      </c>
      <c r="L15" s="130">
        <f>IF('Total income package'!$A$20=TRUE,MIN(IF(K15&gt;9.99,K15,0),$I$2),0)</f>
        <v>352.2</v>
      </c>
      <c r="M15" s="14" t="str">
        <f t="shared" si="2"/>
        <v>Yes</v>
      </c>
      <c r="N15" s="14" t="str">
        <f t="shared" si="9"/>
        <v>Yes</v>
      </c>
      <c r="O15" s="312">
        <f t="shared" si="10"/>
        <v>385</v>
      </c>
      <c r="P15" s="63">
        <f t="shared" si="3"/>
        <v>417.8</v>
      </c>
      <c r="Q15" s="312" t="str">
        <f t="shared" si="11"/>
        <v>Yes</v>
      </c>
      <c r="R15" s="312">
        <f t="shared" si="12"/>
        <v>0</v>
      </c>
      <c r="S15" s="15">
        <f t="shared" si="13"/>
        <v>385</v>
      </c>
      <c r="T15" s="189">
        <f>IF(AND('Total income package'!$A$22=TRUE,M15="Yes",S15&gt;9.99),MIN(S15,$I$2),0)</f>
        <v>0</v>
      </c>
    </row>
    <row r="16" spans="1:22" x14ac:dyDescent="0.25">
      <c r="A16" s="117">
        <v>3500</v>
      </c>
      <c r="B16" s="384">
        <f t="shared" si="15"/>
        <v>291.66666666666669</v>
      </c>
      <c r="C16" s="63">
        <f>'Total income package'!$D$80</f>
        <v>0</v>
      </c>
      <c r="D16" s="63">
        <f t="shared" si="4"/>
        <v>291.66666666666669</v>
      </c>
      <c r="E16" s="14" t="str">
        <f t="shared" si="5"/>
        <v>Yes</v>
      </c>
      <c r="F16" s="63">
        <f t="shared" si="0"/>
        <v>82.666666666666686</v>
      </c>
      <c r="G16" s="63">
        <f t="shared" si="14"/>
        <v>16.533333333333339</v>
      </c>
      <c r="H16" s="63">
        <f t="shared" si="6"/>
        <v>66.133333333333354</v>
      </c>
      <c r="I16" s="312">
        <f t="shared" si="7"/>
        <v>66.133333333333354</v>
      </c>
      <c r="J16" s="14" t="str">
        <f t="shared" si="8"/>
        <v>Yes</v>
      </c>
      <c r="K16" s="63">
        <f t="shared" si="1"/>
        <v>318.86666666666667</v>
      </c>
      <c r="L16" s="130">
        <f>IF('Total income package'!$A$20=TRUE,MIN(IF(K16&gt;9.99,K16,0),$I$2),0)</f>
        <v>318.86666666666667</v>
      </c>
      <c r="M16" s="14" t="str">
        <f t="shared" si="2"/>
        <v>Yes</v>
      </c>
      <c r="N16" s="14" t="str">
        <f t="shared" si="9"/>
        <v>Yes</v>
      </c>
      <c r="O16" s="312">
        <f t="shared" si="10"/>
        <v>385</v>
      </c>
      <c r="P16" s="63">
        <f t="shared" si="3"/>
        <v>451.13333333333333</v>
      </c>
      <c r="Q16" s="312" t="str">
        <f t="shared" si="11"/>
        <v>Yes</v>
      </c>
      <c r="R16" s="312">
        <f t="shared" si="12"/>
        <v>0</v>
      </c>
      <c r="S16" s="15">
        <f t="shared" si="13"/>
        <v>385</v>
      </c>
      <c r="T16" s="189">
        <f>IF(AND('Total income package'!$A$22=TRUE,M16="Yes",S16&gt;9.99),MIN(S16,$I$2),0)</f>
        <v>0</v>
      </c>
    </row>
    <row r="17" spans="1:20" x14ac:dyDescent="0.25">
      <c r="A17" s="29">
        <v>4000</v>
      </c>
      <c r="B17" s="384">
        <f t="shared" si="15"/>
        <v>333.33333333333331</v>
      </c>
      <c r="C17" s="63">
        <f>'Total income package'!$D$80</f>
        <v>0</v>
      </c>
      <c r="D17" s="63">
        <f t="shared" si="4"/>
        <v>333.33333333333331</v>
      </c>
      <c r="E17" s="14" t="str">
        <f t="shared" si="5"/>
        <v>Yes</v>
      </c>
      <c r="F17" s="63">
        <f t="shared" si="0"/>
        <v>124.33333333333331</v>
      </c>
      <c r="G17" s="63">
        <f t="shared" si="14"/>
        <v>24.866666666666664</v>
      </c>
      <c r="H17" s="63">
        <f t="shared" si="6"/>
        <v>99.466666666666654</v>
      </c>
      <c r="I17" s="312">
        <f t="shared" si="7"/>
        <v>99.466666666666654</v>
      </c>
      <c r="J17" s="14" t="str">
        <f t="shared" si="8"/>
        <v>Yes</v>
      </c>
      <c r="K17" s="63">
        <f t="shared" si="1"/>
        <v>285.53333333333336</v>
      </c>
      <c r="L17" s="130">
        <f>IF('Total income package'!$A$20=TRUE,MIN(IF(K17&gt;9.99,K17,0),$I$2),0)</f>
        <v>285.53333333333336</v>
      </c>
      <c r="M17" s="14" t="str">
        <f t="shared" si="2"/>
        <v>Yes</v>
      </c>
      <c r="N17" s="14" t="str">
        <f t="shared" si="9"/>
        <v>Yes</v>
      </c>
      <c r="O17" s="312">
        <f t="shared" si="10"/>
        <v>385</v>
      </c>
      <c r="P17" s="63">
        <f t="shared" si="3"/>
        <v>484.46666666666664</v>
      </c>
      <c r="Q17" s="312" t="str">
        <f t="shared" si="11"/>
        <v>Yes</v>
      </c>
      <c r="R17" s="312">
        <f t="shared" si="12"/>
        <v>0</v>
      </c>
      <c r="S17" s="15">
        <f t="shared" si="13"/>
        <v>385</v>
      </c>
      <c r="T17" s="189">
        <f>IF(AND('Total income package'!$A$22=TRUE,M17="Yes",S17&gt;9.99),MIN(S17,$I$2),0)</f>
        <v>0</v>
      </c>
    </row>
    <row r="18" spans="1:20" x14ac:dyDescent="0.25">
      <c r="A18" s="117">
        <v>4500</v>
      </c>
      <c r="B18" s="384">
        <f t="shared" si="15"/>
        <v>375</v>
      </c>
      <c r="C18" s="63">
        <f>'Total income package'!$D$80</f>
        <v>0</v>
      </c>
      <c r="D18" s="63">
        <f t="shared" si="4"/>
        <v>375</v>
      </c>
      <c r="E18" s="14" t="str">
        <f t="shared" si="5"/>
        <v>Yes</v>
      </c>
      <c r="F18" s="63">
        <f t="shared" si="0"/>
        <v>166</v>
      </c>
      <c r="G18" s="63">
        <f t="shared" si="14"/>
        <v>33.200000000000003</v>
      </c>
      <c r="H18" s="63">
        <f t="shared" si="6"/>
        <v>132.80000000000001</v>
      </c>
      <c r="I18" s="312">
        <f t="shared" si="7"/>
        <v>132.80000000000001</v>
      </c>
      <c r="J18" s="14" t="str">
        <f t="shared" si="8"/>
        <v>Yes</v>
      </c>
      <c r="K18" s="63">
        <f t="shared" si="1"/>
        <v>252.2</v>
      </c>
      <c r="L18" s="130">
        <f>IF('Total income package'!$A$20=TRUE,MIN(IF(K18&gt;9.99,K18,0),$I$2),0)</f>
        <v>252.2</v>
      </c>
      <c r="M18" s="14" t="str">
        <f t="shared" si="2"/>
        <v>Yes</v>
      </c>
      <c r="N18" s="14" t="str">
        <f t="shared" si="9"/>
        <v>Yes</v>
      </c>
      <c r="O18" s="312">
        <f t="shared" si="10"/>
        <v>385</v>
      </c>
      <c r="P18" s="63">
        <f t="shared" si="3"/>
        <v>517.79999999999995</v>
      </c>
      <c r="Q18" s="312" t="str">
        <f t="shared" si="11"/>
        <v>Yes</v>
      </c>
      <c r="R18" s="312">
        <f t="shared" si="12"/>
        <v>0</v>
      </c>
      <c r="S18" s="15">
        <f t="shared" si="13"/>
        <v>385</v>
      </c>
      <c r="T18" s="189">
        <f>IF(AND('Total income package'!$A$22=TRUE,M18="Yes",S18&gt;9.99),MIN(S18,$I$2),0)</f>
        <v>0</v>
      </c>
    </row>
    <row r="19" spans="1:20" x14ac:dyDescent="0.25">
      <c r="A19" s="117">
        <v>5000</v>
      </c>
      <c r="B19" s="384">
        <f t="shared" si="15"/>
        <v>416.66666666666669</v>
      </c>
      <c r="C19" s="63">
        <f>'Total income package'!$D$80</f>
        <v>0</v>
      </c>
      <c r="D19" s="63">
        <f t="shared" si="4"/>
        <v>416.66666666666669</v>
      </c>
      <c r="E19" s="14" t="str">
        <f t="shared" si="5"/>
        <v>Yes</v>
      </c>
      <c r="F19" s="63">
        <f t="shared" si="0"/>
        <v>207.66666666666669</v>
      </c>
      <c r="G19" s="63">
        <f t="shared" si="14"/>
        <v>41.533333333333339</v>
      </c>
      <c r="H19" s="63">
        <f t="shared" si="6"/>
        <v>166.13333333333335</v>
      </c>
      <c r="I19" s="312">
        <f t="shared" si="7"/>
        <v>166.13333333333335</v>
      </c>
      <c r="J19" s="14" t="str">
        <f t="shared" si="8"/>
        <v>Yes</v>
      </c>
      <c r="K19" s="63">
        <f t="shared" si="1"/>
        <v>218.86666666666665</v>
      </c>
      <c r="L19" s="130">
        <f>IF('Total income package'!$A$20=TRUE,MIN(IF(K19&gt;9.99,K19,0),$I$2),0)</f>
        <v>218.86666666666665</v>
      </c>
      <c r="M19" s="14" t="str">
        <f t="shared" si="2"/>
        <v>Yes</v>
      </c>
      <c r="N19" s="14" t="str">
        <f t="shared" si="9"/>
        <v>Yes</v>
      </c>
      <c r="O19" s="312">
        <f t="shared" si="10"/>
        <v>385</v>
      </c>
      <c r="P19" s="63">
        <f t="shared" si="3"/>
        <v>551.13333333333333</v>
      </c>
      <c r="Q19" s="312" t="str">
        <f t="shared" si="11"/>
        <v>Yes</v>
      </c>
      <c r="R19" s="312">
        <f t="shared" si="12"/>
        <v>0</v>
      </c>
      <c r="S19" s="15">
        <f t="shared" si="13"/>
        <v>385</v>
      </c>
      <c r="T19" s="189">
        <f>IF(AND('Total income package'!$A$22=TRUE,M19="Yes",S19&gt;9.99),MIN(S19,$I$2),0)</f>
        <v>0</v>
      </c>
    </row>
    <row r="20" spans="1:20" x14ac:dyDescent="0.25">
      <c r="A20" s="29">
        <v>5500</v>
      </c>
      <c r="B20" s="384">
        <f t="shared" si="15"/>
        <v>458.33333333333331</v>
      </c>
      <c r="C20" s="63">
        <f>'Total income package'!$D$80</f>
        <v>0</v>
      </c>
      <c r="D20" s="63">
        <f t="shared" si="4"/>
        <v>458.33333333333331</v>
      </c>
      <c r="E20" s="14" t="str">
        <f t="shared" si="5"/>
        <v>Yes</v>
      </c>
      <c r="F20" s="63">
        <f t="shared" si="0"/>
        <v>249.33333333333331</v>
      </c>
      <c r="G20" s="63">
        <f t="shared" si="14"/>
        <v>49.866666666666667</v>
      </c>
      <c r="H20" s="63">
        <f t="shared" si="6"/>
        <v>199.46666666666664</v>
      </c>
      <c r="I20" s="312">
        <f t="shared" si="7"/>
        <v>199.46666666666664</v>
      </c>
      <c r="J20" s="14" t="str">
        <f t="shared" si="8"/>
        <v>Yes</v>
      </c>
      <c r="K20" s="63">
        <f t="shared" si="1"/>
        <v>185.53333333333336</v>
      </c>
      <c r="L20" s="130">
        <f>IF('Total income package'!$A$20=TRUE,MIN(IF(K20&gt;9.99,K20,0),$I$2),0)</f>
        <v>185.53333333333336</v>
      </c>
      <c r="M20" s="14" t="str">
        <f t="shared" si="2"/>
        <v>Yes</v>
      </c>
      <c r="N20" s="14" t="str">
        <f t="shared" si="9"/>
        <v>Yes</v>
      </c>
      <c r="O20" s="312">
        <f t="shared" si="10"/>
        <v>385</v>
      </c>
      <c r="P20" s="63">
        <f t="shared" si="3"/>
        <v>584.4666666666667</v>
      </c>
      <c r="Q20" s="312" t="str">
        <f t="shared" si="11"/>
        <v>Yes</v>
      </c>
      <c r="R20" s="312">
        <f t="shared" si="12"/>
        <v>0</v>
      </c>
      <c r="S20" s="15">
        <f t="shared" si="13"/>
        <v>385</v>
      </c>
      <c r="T20" s="189">
        <f>IF(AND('Total income package'!$A$22=TRUE,M20="Yes",S20&gt;9.99),MIN(S20,$I$2),0)</f>
        <v>0</v>
      </c>
    </row>
    <row r="21" spans="1:20" x14ac:dyDescent="0.25">
      <c r="A21" s="117">
        <v>6000</v>
      </c>
      <c r="B21" s="384">
        <f t="shared" si="15"/>
        <v>500</v>
      </c>
      <c r="C21" s="63">
        <f>'Total income package'!$D$80</f>
        <v>0</v>
      </c>
      <c r="D21" s="63">
        <f t="shared" si="4"/>
        <v>500</v>
      </c>
      <c r="E21" s="14" t="str">
        <f t="shared" si="5"/>
        <v>Yes</v>
      </c>
      <c r="F21" s="63">
        <f t="shared" si="0"/>
        <v>291</v>
      </c>
      <c r="G21" s="63">
        <f>F21*0.2</f>
        <v>58.2</v>
      </c>
      <c r="H21" s="63">
        <f t="shared" si="6"/>
        <v>232.8</v>
      </c>
      <c r="I21" s="312">
        <f t="shared" si="7"/>
        <v>232.8</v>
      </c>
      <c r="J21" s="14" t="str">
        <f t="shared" si="8"/>
        <v>Yes</v>
      </c>
      <c r="K21" s="63">
        <f t="shared" si="1"/>
        <v>152.19999999999999</v>
      </c>
      <c r="L21" s="130">
        <f>IF('Total income package'!$A$20=TRUE,MIN(IF(K21&gt;9.99,K21,0),$I$2),0)</f>
        <v>152.19999999999999</v>
      </c>
      <c r="M21" s="14" t="str">
        <f t="shared" si="2"/>
        <v>Yes</v>
      </c>
      <c r="N21" s="14" t="str">
        <f t="shared" si="9"/>
        <v>Yes</v>
      </c>
      <c r="O21" s="312">
        <f t="shared" si="10"/>
        <v>385</v>
      </c>
      <c r="P21" s="63">
        <f t="shared" si="3"/>
        <v>617.79999999999995</v>
      </c>
      <c r="Q21" s="312" t="str">
        <f t="shared" si="11"/>
        <v>Yes</v>
      </c>
      <c r="R21" s="312">
        <f t="shared" si="12"/>
        <v>0</v>
      </c>
      <c r="S21" s="15">
        <f t="shared" si="13"/>
        <v>385</v>
      </c>
      <c r="T21" s="189">
        <f>IF(AND('Total income package'!$A$22=TRUE,M21="Yes",S21&gt;9.99),MIN(S21,$I$2),0)</f>
        <v>0</v>
      </c>
    </row>
    <row r="22" spans="1:20" x14ac:dyDescent="0.25">
      <c r="A22" s="117">
        <v>6500</v>
      </c>
      <c r="B22" s="384">
        <f t="shared" si="15"/>
        <v>541.66666666666663</v>
      </c>
      <c r="C22" s="63">
        <f>'Total income package'!$D$80</f>
        <v>0</v>
      </c>
      <c r="D22" s="63">
        <f t="shared" si="4"/>
        <v>541.66666666666663</v>
      </c>
      <c r="E22" s="14" t="str">
        <f t="shared" si="5"/>
        <v>Yes</v>
      </c>
      <c r="F22" s="63">
        <f t="shared" si="0"/>
        <v>332.66666666666663</v>
      </c>
      <c r="G22" s="63">
        <f t="shared" si="14"/>
        <v>66.533333333333331</v>
      </c>
      <c r="H22" s="63">
        <f t="shared" si="6"/>
        <v>266.13333333333333</v>
      </c>
      <c r="I22" s="312">
        <f t="shared" si="7"/>
        <v>266.13333333333333</v>
      </c>
      <c r="J22" s="14" t="str">
        <f t="shared" si="8"/>
        <v>Yes</v>
      </c>
      <c r="K22" s="63">
        <f t="shared" si="1"/>
        <v>118.86666666666667</v>
      </c>
      <c r="L22" s="130">
        <f>IF('Total income package'!$A$20=TRUE,MIN(IF(K22&gt;9.99,K22,0),$I$2),0)</f>
        <v>118.86666666666667</v>
      </c>
      <c r="M22" s="14" t="str">
        <f t="shared" si="2"/>
        <v>Yes</v>
      </c>
      <c r="N22" s="14" t="str">
        <f t="shared" si="9"/>
        <v>Yes</v>
      </c>
      <c r="O22" s="312">
        <f t="shared" si="10"/>
        <v>385</v>
      </c>
      <c r="P22" s="63">
        <f t="shared" si="3"/>
        <v>651.13333333333333</v>
      </c>
      <c r="Q22" s="312" t="str">
        <f t="shared" si="11"/>
        <v>Yes</v>
      </c>
      <c r="R22" s="312">
        <f t="shared" si="12"/>
        <v>0</v>
      </c>
      <c r="S22" s="15">
        <f t="shared" si="13"/>
        <v>385</v>
      </c>
      <c r="T22" s="189">
        <f>IF(AND('Total income package'!$A$22=TRUE,M22="Yes",S22&gt;9.99),MIN(S22,$I$2),0)</f>
        <v>0</v>
      </c>
    </row>
    <row r="23" spans="1:20" x14ac:dyDescent="0.25">
      <c r="A23" s="29">
        <v>7000</v>
      </c>
      <c r="B23" s="384">
        <f t="shared" si="15"/>
        <v>583.33333333333337</v>
      </c>
      <c r="C23" s="63">
        <f>'Total income package'!$D$80</f>
        <v>0</v>
      </c>
      <c r="D23" s="63">
        <f t="shared" si="4"/>
        <v>583.33333333333337</v>
      </c>
      <c r="E23" s="14" t="str">
        <f t="shared" si="5"/>
        <v>Yes</v>
      </c>
      <c r="F23" s="63">
        <f t="shared" si="0"/>
        <v>374.33333333333337</v>
      </c>
      <c r="G23" s="63">
        <f t="shared" si="14"/>
        <v>74.866666666666674</v>
      </c>
      <c r="H23" s="63">
        <f t="shared" si="6"/>
        <v>299.4666666666667</v>
      </c>
      <c r="I23" s="312">
        <f t="shared" si="7"/>
        <v>299.4666666666667</v>
      </c>
      <c r="J23" s="14" t="str">
        <f t="shared" si="8"/>
        <v>Yes</v>
      </c>
      <c r="K23" s="63">
        <f t="shared" si="1"/>
        <v>85.533333333333303</v>
      </c>
      <c r="L23" s="130">
        <f>IF('Total income package'!$A$20=TRUE,MIN(IF(K23&gt;9.99,K23,0),$I$2),0)</f>
        <v>85.533333333333303</v>
      </c>
      <c r="M23" s="14" t="str">
        <f t="shared" si="2"/>
        <v>Yes</v>
      </c>
      <c r="N23" s="14" t="str">
        <f t="shared" si="9"/>
        <v>Yes</v>
      </c>
      <c r="O23" s="312">
        <f t="shared" si="10"/>
        <v>385</v>
      </c>
      <c r="P23" s="63">
        <f t="shared" si="3"/>
        <v>684.4666666666667</v>
      </c>
      <c r="Q23" s="312" t="str">
        <f t="shared" si="11"/>
        <v>Yes</v>
      </c>
      <c r="R23" s="312">
        <f t="shared" si="12"/>
        <v>0</v>
      </c>
      <c r="S23" s="15">
        <f t="shared" si="13"/>
        <v>385</v>
      </c>
      <c r="T23" s="189">
        <f>IF(AND('Total income package'!$A$22=TRUE,M23="Yes",S23&gt;9.99),MIN(S23,$I$2),0)</f>
        <v>0</v>
      </c>
    </row>
    <row r="24" spans="1:20" x14ac:dyDescent="0.25">
      <c r="A24" s="117">
        <v>7500</v>
      </c>
      <c r="B24" s="384">
        <f t="shared" si="15"/>
        <v>625</v>
      </c>
      <c r="C24" s="63">
        <f>'Total income package'!$D$80</f>
        <v>0</v>
      </c>
      <c r="D24" s="63">
        <f t="shared" si="4"/>
        <v>625</v>
      </c>
      <c r="E24" s="14" t="str">
        <f t="shared" si="5"/>
        <v>Yes</v>
      </c>
      <c r="F24" s="63">
        <f t="shared" si="0"/>
        <v>416</v>
      </c>
      <c r="G24" s="63">
        <f t="shared" si="14"/>
        <v>83.2</v>
      </c>
      <c r="H24" s="63">
        <f t="shared" si="6"/>
        <v>332.8</v>
      </c>
      <c r="I24" s="312">
        <f t="shared" si="7"/>
        <v>332.8</v>
      </c>
      <c r="J24" s="14" t="str">
        <f t="shared" si="8"/>
        <v>Yes</v>
      </c>
      <c r="K24" s="63">
        <f t="shared" si="1"/>
        <v>52.199999999999989</v>
      </c>
      <c r="L24" s="130">
        <f>IF('Total income package'!$A$20=TRUE,MIN(IF(K24&gt;9.99,K24,0),$I$2),0)</f>
        <v>52.199999999999989</v>
      </c>
      <c r="M24" s="14" t="str">
        <f t="shared" si="2"/>
        <v>Yes</v>
      </c>
      <c r="N24" s="14" t="str">
        <f t="shared" si="9"/>
        <v>Yes</v>
      </c>
      <c r="O24" s="312">
        <f t="shared" si="10"/>
        <v>385</v>
      </c>
      <c r="P24" s="63">
        <f t="shared" si="3"/>
        <v>717.8</v>
      </c>
      <c r="Q24" s="312" t="str">
        <f t="shared" si="11"/>
        <v>Yes</v>
      </c>
      <c r="R24" s="312">
        <f t="shared" si="12"/>
        <v>0</v>
      </c>
      <c r="S24" s="15">
        <f t="shared" si="13"/>
        <v>385</v>
      </c>
      <c r="T24" s="189">
        <f>IF(AND('Total income package'!$A$22=TRUE,M24="Yes",S24&gt;9.99),MIN(S24,$I$2),0)</f>
        <v>0</v>
      </c>
    </row>
    <row r="25" spans="1:20" x14ac:dyDescent="0.25">
      <c r="A25" s="117">
        <v>8000</v>
      </c>
      <c r="B25" s="384">
        <f t="shared" si="15"/>
        <v>666.66666666666663</v>
      </c>
      <c r="C25" s="63">
        <f>'Total income package'!$D$80</f>
        <v>0</v>
      </c>
      <c r="D25" s="63">
        <f t="shared" si="4"/>
        <v>666.66666666666663</v>
      </c>
      <c r="E25" s="14" t="str">
        <f t="shared" si="5"/>
        <v>Yes</v>
      </c>
      <c r="F25" s="63">
        <f t="shared" si="0"/>
        <v>457.66666666666663</v>
      </c>
      <c r="G25" s="63">
        <f t="shared" si="14"/>
        <v>91.533333333333331</v>
      </c>
      <c r="H25" s="63">
        <f t="shared" si="6"/>
        <v>366.13333333333333</v>
      </c>
      <c r="I25" s="312">
        <f t="shared" si="7"/>
        <v>366.13333333333333</v>
      </c>
      <c r="J25" s="14" t="str">
        <f t="shared" si="8"/>
        <v>Yes</v>
      </c>
      <c r="K25" s="63">
        <f t="shared" si="1"/>
        <v>18.866666666666674</v>
      </c>
      <c r="L25" s="130">
        <f>IF('Total income package'!$A$20=TRUE,MIN(IF(K25&gt;9.99,K25,0),$I$2),0)</f>
        <v>18.866666666666674</v>
      </c>
      <c r="M25" s="14" t="str">
        <f t="shared" si="2"/>
        <v>Yes</v>
      </c>
      <c r="N25" s="14" t="str">
        <f t="shared" si="9"/>
        <v>Yes</v>
      </c>
      <c r="O25" s="312">
        <f t="shared" si="10"/>
        <v>385</v>
      </c>
      <c r="P25" s="63">
        <f t="shared" si="3"/>
        <v>751.13333333333333</v>
      </c>
      <c r="Q25" s="312" t="str">
        <f t="shared" si="11"/>
        <v>Yes</v>
      </c>
      <c r="R25" s="312">
        <f t="shared" si="12"/>
        <v>0</v>
      </c>
      <c r="S25" s="15">
        <f t="shared" si="13"/>
        <v>385</v>
      </c>
      <c r="T25" s="189">
        <f>IF(AND('Total income package'!$A$22=TRUE,M25="Yes",S25&gt;9.99),MIN(S25,$I$2),0)</f>
        <v>0</v>
      </c>
    </row>
    <row r="26" spans="1:20" x14ac:dyDescent="0.25">
      <c r="A26" s="29">
        <v>8500</v>
      </c>
      <c r="B26" s="384">
        <f t="shared" si="15"/>
        <v>708.33333333333337</v>
      </c>
      <c r="C26" s="63">
        <f>'Total income package'!$D$80</f>
        <v>0</v>
      </c>
      <c r="D26" s="63">
        <f t="shared" si="4"/>
        <v>708.33333333333337</v>
      </c>
      <c r="E26" s="14" t="str">
        <f t="shared" si="5"/>
        <v>Yes</v>
      </c>
      <c r="F26" s="63">
        <f t="shared" si="0"/>
        <v>499.33333333333337</v>
      </c>
      <c r="G26" s="63">
        <f t="shared" si="14"/>
        <v>99.866666666666674</v>
      </c>
      <c r="H26" s="63">
        <f t="shared" si="6"/>
        <v>399.4666666666667</v>
      </c>
      <c r="I26" s="312">
        <f t="shared" si="7"/>
        <v>399.4666666666667</v>
      </c>
      <c r="J26" s="14" t="str">
        <f t="shared" si="8"/>
        <v>No</v>
      </c>
      <c r="K26" s="63">
        <f t="shared" si="1"/>
        <v>0</v>
      </c>
      <c r="L26" s="130">
        <f>IF('Total income package'!$A$20=TRUE,MIN(IF(K26&gt;9.99,K26,0),$I$2),0)</f>
        <v>0</v>
      </c>
      <c r="M26" s="14" t="str">
        <f>IF(D26&lt;$H$2,"Yes","No")</f>
        <v>Yes</v>
      </c>
      <c r="N26" s="14" t="str">
        <f t="shared" si="9"/>
        <v>Yes</v>
      </c>
      <c r="O26" s="312">
        <f t="shared" si="10"/>
        <v>385</v>
      </c>
      <c r="P26" s="63">
        <f t="shared" si="3"/>
        <v>784.4666666666667</v>
      </c>
      <c r="Q26" s="312" t="str">
        <f t="shared" si="11"/>
        <v>Yes</v>
      </c>
      <c r="R26" s="312">
        <f t="shared" si="12"/>
        <v>0</v>
      </c>
      <c r="S26" s="15">
        <f t="shared" si="13"/>
        <v>385</v>
      </c>
      <c r="T26" s="189">
        <f>IF(AND('Total income package'!$A$22=TRUE,M26="Yes",S26&gt;9.99),MIN(S26,$I$2),0)</f>
        <v>0</v>
      </c>
    </row>
    <row r="27" spans="1:20" x14ac:dyDescent="0.25">
      <c r="A27" s="117">
        <v>9000</v>
      </c>
      <c r="B27" s="384">
        <f t="shared" si="15"/>
        <v>750</v>
      </c>
      <c r="C27" s="63">
        <f>'Total income package'!$D$80</f>
        <v>0</v>
      </c>
      <c r="D27" s="63">
        <f t="shared" si="4"/>
        <v>750</v>
      </c>
      <c r="E27" s="14" t="str">
        <f t="shared" si="5"/>
        <v>Yes</v>
      </c>
      <c r="F27" s="63">
        <f t="shared" si="0"/>
        <v>541</v>
      </c>
      <c r="G27" s="63">
        <f t="shared" si="14"/>
        <v>108.2</v>
      </c>
      <c r="H27" s="63">
        <f t="shared" si="6"/>
        <v>432.8</v>
      </c>
      <c r="I27" s="312">
        <f t="shared" si="7"/>
        <v>432.8</v>
      </c>
      <c r="J27" s="14" t="str">
        <f t="shared" si="8"/>
        <v>No</v>
      </c>
      <c r="K27" s="63">
        <f t="shared" si="1"/>
        <v>0</v>
      </c>
      <c r="L27" s="130">
        <f>IF('Total income package'!$A$20=TRUE,MIN(IF(K27&gt;9.99,K27,0),$I$2),0)</f>
        <v>0</v>
      </c>
      <c r="M27" s="14" t="str">
        <f t="shared" ref="M27:M90" si="16">IF(D27&lt;$H$2,"Yes","No")</f>
        <v>Yes</v>
      </c>
      <c r="N27" s="14" t="str">
        <f t="shared" si="9"/>
        <v>Yes</v>
      </c>
      <c r="O27" s="312">
        <f t="shared" si="10"/>
        <v>385</v>
      </c>
      <c r="P27" s="63">
        <f t="shared" si="3"/>
        <v>817.8</v>
      </c>
      <c r="Q27" s="312" t="str">
        <f t="shared" si="11"/>
        <v>Yes</v>
      </c>
      <c r="R27" s="312">
        <f t="shared" si="12"/>
        <v>0</v>
      </c>
      <c r="S27" s="15">
        <f t="shared" si="13"/>
        <v>385</v>
      </c>
      <c r="T27" s="189">
        <f>IF(AND('Total income package'!$A$22=TRUE,M27="Yes",S27&gt;9.99),MIN(S27,$I$2),0)</f>
        <v>0</v>
      </c>
    </row>
    <row r="28" spans="1:20" x14ac:dyDescent="0.25">
      <c r="A28" s="117">
        <v>9500</v>
      </c>
      <c r="B28" s="384">
        <f t="shared" si="15"/>
        <v>791.66666666666663</v>
      </c>
      <c r="C28" s="63">
        <f>'Total income package'!$D$80</f>
        <v>0</v>
      </c>
      <c r="D28" s="63">
        <f t="shared" si="4"/>
        <v>791.66666666666663</v>
      </c>
      <c r="E28" s="14" t="str">
        <f t="shared" si="5"/>
        <v>No</v>
      </c>
      <c r="F28" s="63">
        <f t="shared" si="0"/>
        <v>582.66666666666663</v>
      </c>
      <c r="G28" s="63">
        <f t="shared" si="14"/>
        <v>116.53333333333333</v>
      </c>
      <c r="H28" s="63">
        <f t="shared" si="6"/>
        <v>466.13333333333333</v>
      </c>
      <c r="I28" s="312">
        <f t="shared" si="7"/>
        <v>466.13333333333333</v>
      </c>
      <c r="J28" s="14" t="str">
        <f t="shared" si="8"/>
        <v>No</v>
      </c>
      <c r="K28" s="63">
        <f t="shared" si="1"/>
        <v>0</v>
      </c>
      <c r="L28" s="130">
        <f>IF('Total income package'!$A$20=TRUE,MIN(IF(K28&gt;9.99,K28,0),$I$2),0)</f>
        <v>0</v>
      </c>
      <c r="M28" s="14" t="str">
        <f t="shared" si="16"/>
        <v>Yes</v>
      </c>
      <c r="N28" s="14" t="str">
        <f t="shared" si="9"/>
        <v>Yes</v>
      </c>
      <c r="O28" s="312">
        <f t="shared" si="10"/>
        <v>385</v>
      </c>
      <c r="P28" s="63">
        <f t="shared" si="3"/>
        <v>851.13333333333333</v>
      </c>
      <c r="Q28" s="312" t="str">
        <f t="shared" si="11"/>
        <v>Yes</v>
      </c>
      <c r="R28" s="312">
        <f t="shared" si="12"/>
        <v>0</v>
      </c>
      <c r="S28" s="15">
        <f t="shared" si="13"/>
        <v>385</v>
      </c>
      <c r="T28" s="189">
        <f>IF(AND('Total income package'!$A$22=TRUE,M28="Yes",S28&gt;9.99),MIN(S28,$I$2),0)</f>
        <v>0</v>
      </c>
    </row>
    <row r="29" spans="1:20" x14ac:dyDescent="0.25">
      <c r="A29" s="29">
        <v>10000</v>
      </c>
      <c r="B29" s="384">
        <f t="shared" si="15"/>
        <v>833.33333333333337</v>
      </c>
      <c r="C29" s="63">
        <f>'Total income package'!$D$80</f>
        <v>0</v>
      </c>
      <c r="D29" s="63">
        <f t="shared" si="4"/>
        <v>833.33333333333337</v>
      </c>
      <c r="E29" s="14" t="str">
        <f t="shared" si="5"/>
        <v>No</v>
      </c>
      <c r="F29" s="63">
        <f t="shared" si="0"/>
        <v>624.33333333333337</v>
      </c>
      <c r="G29" s="63">
        <f t="shared" si="14"/>
        <v>124.86666666666667</v>
      </c>
      <c r="H29" s="63">
        <f t="shared" si="6"/>
        <v>499.4666666666667</v>
      </c>
      <c r="I29" s="312">
        <f t="shared" si="7"/>
        <v>499.4666666666667</v>
      </c>
      <c r="J29" s="14" t="str">
        <f t="shared" si="8"/>
        <v>No</v>
      </c>
      <c r="K29" s="63">
        <f t="shared" si="1"/>
        <v>0</v>
      </c>
      <c r="L29" s="130">
        <f>IF('Total income package'!$A$20=TRUE,MIN(IF(K29&gt;9.99,K29,0),$I$2),0)</f>
        <v>0</v>
      </c>
      <c r="M29" s="14" t="str">
        <f t="shared" si="16"/>
        <v>Yes</v>
      </c>
      <c r="N29" s="14" t="str">
        <f t="shared" si="9"/>
        <v>Yes</v>
      </c>
      <c r="O29" s="312">
        <f t="shared" si="10"/>
        <v>385</v>
      </c>
      <c r="P29" s="63">
        <f t="shared" si="3"/>
        <v>884.4666666666667</v>
      </c>
      <c r="Q29" s="312" t="str">
        <f t="shared" si="11"/>
        <v>Yes</v>
      </c>
      <c r="R29" s="312">
        <f t="shared" si="12"/>
        <v>0</v>
      </c>
      <c r="S29" s="15">
        <f t="shared" si="13"/>
        <v>385</v>
      </c>
      <c r="T29" s="189">
        <f>IF(AND('Total income package'!$A$22=TRUE,M29="Yes",S29&gt;9.99),MIN(S29,$I$2),0)</f>
        <v>0</v>
      </c>
    </row>
    <row r="30" spans="1:20" x14ac:dyDescent="0.25">
      <c r="A30" s="117">
        <v>10500</v>
      </c>
      <c r="B30" s="384">
        <f t="shared" si="15"/>
        <v>875</v>
      </c>
      <c r="C30" s="63">
        <f>'Total income package'!$D$80</f>
        <v>0</v>
      </c>
      <c r="D30" s="63">
        <f t="shared" si="4"/>
        <v>875</v>
      </c>
      <c r="E30" s="14" t="str">
        <f t="shared" si="5"/>
        <v>No</v>
      </c>
      <c r="F30" s="63">
        <f t="shared" si="0"/>
        <v>666</v>
      </c>
      <c r="G30" s="63">
        <f t="shared" si="14"/>
        <v>133.20000000000002</v>
      </c>
      <c r="H30" s="63">
        <f t="shared" si="6"/>
        <v>532.79999999999995</v>
      </c>
      <c r="I30" s="312">
        <f t="shared" si="7"/>
        <v>532.79999999999995</v>
      </c>
      <c r="J30" s="14" t="str">
        <f t="shared" si="8"/>
        <v>No</v>
      </c>
      <c r="K30" s="63">
        <f t="shared" si="1"/>
        <v>0</v>
      </c>
      <c r="L30" s="130">
        <f>IF('Total income package'!$A$20=TRUE,MIN(IF(K30&gt;9.99,K30,0),$I$2),0)</f>
        <v>0</v>
      </c>
      <c r="M30" s="14" t="str">
        <f t="shared" si="16"/>
        <v>Yes</v>
      </c>
      <c r="N30" s="14" t="str">
        <f t="shared" si="9"/>
        <v>Yes</v>
      </c>
      <c r="O30" s="312">
        <f t="shared" si="10"/>
        <v>385</v>
      </c>
      <c r="P30" s="63">
        <f t="shared" si="3"/>
        <v>917.8</v>
      </c>
      <c r="Q30" s="312" t="str">
        <f t="shared" si="11"/>
        <v>Yes</v>
      </c>
      <c r="R30" s="312">
        <f t="shared" si="12"/>
        <v>0</v>
      </c>
      <c r="S30" s="15">
        <f t="shared" si="13"/>
        <v>385</v>
      </c>
      <c r="T30" s="189">
        <f>IF(AND('Total income package'!$A$22=TRUE,M30="Yes",S30&gt;9.99),MIN(S30,$I$2),0)</f>
        <v>0</v>
      </c>
    </row>
    <row r="31" spans="1:20" x14ac:dyDescent="0.25">
      <c r="A31" s="117">
        <v>11000</v>
      </c>
      <c r="B31" s="384">
        <f t="shared" si="15"/>
        <v>916.66666666666663</v>
      </c>
      <c r="C31" s="63">
        <f>'Total income package'!$D$80</f>
        <v>0</v>
      </c>
      <c r="D31" s="63">
        <f t="shared" si="4"/>
        <v>916.66666666666663</v>
      </c>
      <c r="E31" s="14" t="str">
        <f t="shared" si="5"/>
        <v>No</v>
      </c>
      <c r="F31" s="63">
        <f t="shared" si="0"/>
        <v>707.66666666666663</v>
      </c>
      <c r="G31" s="63">
        <f t="shared" si="14"/>
        <v>141.53333333333333</v>
      </c>
      <c r="H31" s="63">
        <f t="shared" si="6"/>
        <v>566.13333333333333</v>
      </c>
      <c r="I31" s="312">
        <f t="shared" si="7"/>
        <v>566.13333333333333</v>
      </c>
      <c r="J31" s="14" t="str">
        <f t="shared" si="8"/>
        <v>No</v>
      </c>
      <c r="K31" s="63">
        <f t="shared" si="1"/>
        <v>0</v>
      </c>
      <c r="L31" s="130">
        <f>IF('Total income package'!$A$20=TRUE,MIN(IF(K31&gt;9.99,K31,0),$I$2),0)</f>
        <v>0</v>
      </c>
      <c r="M31" s="14" t="str">
        <f t="shared" si="16"/>
        <v>Yes</v>
      </c>
      <c r="N31" s="14" t="str">
        <f t="shared" si="9"/>
        <v>Yes</v>
      </c>
      <c r="O31" s="312">
        <f t="shared" si="10"/>
        <v>385</v>
      </c>
      <c r="P31" s="63">
        <f t="shared" si="3"/>
        <v>951.13333333333333</v>
      </c>
      <c r="Q31" s="312" t="str">
        <f t="shared" si="11"/>
        <v>Yes</v>
      </c>
      <c r="R31" s="312">
        <f t="shared" si="12"/>
        <v>0</v>
      </c>
      <c r="S31" s="15">
        <f t="shared" si="13"/>
        <v>385</v>
      </c>
      <c r="T31" s="189">
        <f>IF(AND('Total income package'!$A$22=TRUE,M31="Yes",S31&gt;9.99),MIN(S31,$I$2),0)</f>
        <v>0</v>
      </c>
    </row>
    <row r="32" spans="1:20" x14ac:dyDescent="0.25">
      <c r="A32" s="29">
        <v>11500</v>
      </c>
      <c r="B32" s="384">
        <f t="shared" si="15"/>
        <v>958.33333333333337</v>
      </c>
      <c r="C32" s="63">
        <f>'Total income package'!$D$80</f>
        <v>0</v>
      </c>
      <c r="D32" s="63">
        <f t="shared" si="4"/>
        <v>958.33333333333337</v>
      </c>
      <c r="E32" s="14" t="str">
        <f t="shared" si="5"/>
        <v>No</v>
      </c>
      <c r="F32" s="63">
        <f t="shared" si="0"/>
        <v>749.33333333333337</v>
      </c>
      <c r="G32" s="63">
        <f>F32*0.2</f>
        <v>149.86666666666667</v>
      </c>
      <c r="H32" s="63">
        <f t="shared" si="6"/>
        <v>599.4666666666667</v>
      </c>
      <c r="I32" s="312">
        <f t="shared" si="7"/>
        <v>599.4666666666667</v>
      </c>
      <c r="J32" s="14" t="str">
        <f t="shared" si="8"/>
        <v>No</v>
      </c>
      <c r="K32" s="63">
        <f t="shared" si="1"/>
        <v>0</v>
      </c>
      <c r="L32" s="130">
        <f>IF('Total income package'!$A$20=TRUE,MIN(IF(K32&gt;9.99,K32,0),$I$2),0)</f>
        <v>0</v>
      </c>
      <c r="M32" s="14" t="str">
        <f t="shared" si="16"/>
        <v>Yes</v>
      </c>
      <c r="N32" s="14" t="str">
        <f t="shared" si="9"/>
        <v>Yes</v>
      </c>
      <c r="O32" s="312">
        <f t="shared" si="10"/>
        <v>385</v>
      </c>
      <c r="P32" s="63">
        <f t="shared" si="3"/>
        <v>984.4666666666667</v>
      </c>
      <c r="Q32" s="312" t="str">
        <f t="shared" si="11"/>
        <v>Yes</v>
      </c>
      <c r="R32" s="312">
        <f t="shared" si="12"/>
        <v>0</v>
      </c>
      <c r="S32" s="15">
        <f t="shared" si="13"/>
        <v>385</v>
      </c>
      <c r="T32" s="189">
        <f>IF(AND('Total income package'!$A$22=TRUE,M32="Yes",S32&gt;9.99),MIN(S32,$I$2),0)</f>
        <v>0</v>
      </c>
    </row>
    <row r="33" spans="1:20" x14ac:dyDescent="0.25">
      <c r="A33" s="117">
        <v>12000</v>
      </c>
      <c r="B33" s="384">
        <f t="shared" si="15"/>
        <v>1000</v>
      </c>
      <c r="C33" s="63">
        <f>'Total income package'!$D$80</f>
        <v>0</v>
      </c>
      <c r="D33" s="63">
        <f t="shared" si="4"/>
        <v>1000</v>
      </c>
      <c r="E33" s="14" t="str">
        <f t="shared" si="5"/>
        <v>No</v>
      </c>
      <c r="F33" s="63">
        <f t="shared" si="0"/>
        <v>791</v>
      </c>
      <c r="G33" s="63">
        <f t="shared" si="14"/>
        <v>158.20000000000002</v>
      </c>
      <c r="H33" s="63">
        <f t="shared" si="6"/>
        <v>632.79999999999995</v>
      </c>
      <c r="I33" s="312">
        <f t="shared" si="7"/>
        <v>632.79999999999995</v>
      </c>
      <c r="J33" s="14" t="str">
        <f t="shared" si="8"/>
        <v>No</v>
      </c>
      <c r="K33" s="63">
        <f t="shared" si="1"/>
        <v>0</v>
      </c>
      <c r="L33" s="130">
        <f>IF('Total income package'!$A$20=TRUE,MIN(IF(K33&gt;9.99,K33,0),$I$2),0)</f>
        <v>0</v>
      </c>
      <c r="M33" s="14" t="str">
        <f t="shared" si="16"/>
        <v>Yes</v>
      </c>
      <c r="N33" s="14" t="str">
        <f t="shared" si="9"/>
        <v>Yes</v>
      </c>
      <c r="O33" s="312">
        <f t="shared" si="10"/>
        <v>385</v>
      </c>
      <c r="P33" s="63">
        <f t="shared" si="3"/>
        <v>1017.8</v>
      </c>
      <c r="Q33" s="312" t="str">
        <f t="shared" si="11"/>
        <v>Yes</v>
      </c>
      <c r="R33" s="312">
        <f t="shared" si="12"/>
        <v>0</v>
      </c>
      <c r="S33" s="15">
        <f t="shared" si="13"/>
        <v>385</v>
      </c>
      <c r="T33" s="189">
        <f>IF(AND('Total income package'!$A$22=TRUE,M33="Yes",S33&gt;9.99),MIN(S33,$I$2),0)</f>
        <v>0</v>
      </c>
    </row>
    <row r="34" spans="1:20" x14ac:dyDescent="0.25">
      <c r="A34" s="117">
        <v>12500</v>
      </c>
      <c r="B34" s="384">
        <f t="shared" si="15"/>
        <v>1041.6666666666667</v>
      </c>
      <c r="C34" s="63">
        <f>'Total income package'!$D$80</f>
        <v>0</v>
      </c>
      <c r="D34" s="63">
        <f t="shared" si="4"/>
        <v>1041.6666666666667</v>
      </c>
      <c r="E34" s="14" t="str">
        <f t="shared" si="5"/>
        <v>No</v>
      </c>
      <c r="F34" s="63">
        <f t="shared" si="0"/>
        <v>832.66666666666674</v>
      </c>
      <c r="G34" s="63">
        <f t="shared" si="14"/>
        <v>166.53333333333336</v>
      </c>
      <c r="H34" s="63">
        <f t="shared" si="6"/>
        <v>666.13333333333344</v>
      </c>
      <c r="I34" s="312">
        <f t="shared" si="7"/>
        <v>666.13333333333344</v>
      </c>
      <c r="J34" s="14" t="str">
        <f t="shared" si="8"/>
        <v>No</v>
      </c>
      <c r="K34" s="63">
        <f t="shared" si="1"/>
        <v>0</v>
      </c>
      <c r="L34" s="130">
        <f>IF('Total income package'!$A$20=TRUE,MIN(IF(K34&gt;9.99,K34,0),$I$2),0)</f>
        <v>0</v>
      </c>
      <c r="M34" s="14" t="str">
        <f t="shared" si="16"/>
        <v>Yes</v>
      </c>
      <c r="N34" s="14" t="str">
        <f t="shared" si="9"/>
        <v>Yes</v>
      </c>
      <c r="O34" s="312">
        <f t="shared" si="10"/>
        <v>385</v>
      </c>
      <c r="P34" s="63">
        <f t="shared" si="3"/>
        <v>1051.1333333333334</v>
      </c>
      <c r="Q34" s="312" t="str">
        <f t="shared" si="11"/>
        <v>Yes</v>
      </c>
      <c r="R34" s="312">
        <f t="shared" si="12"/>
        <v>0</v>
      </c>
      <c r="S34" s="15">
        <f t="shared" si="13"/>
        <v>385</v>
      </c>
      <c r="T34" s="189">
        <f>IF(AND('Total income package'!$A$22=TRUE,M34="Yes",S34&gt;9.99),MIN(S34,$I$2),0)</f>
        <v>0</v>
      </c>
    </row>
    <row r="35" spans="1:20" x14ac:dyDescent="0.25">
      <c r="A35" s="29">
        <v>13000</v>
      </c>
      <c r="B35" s="384">
        <f t="shared" si="15"/>
        <v>1083.3333333333333</v>
      </c>
      <c r="C35" s="63">
        <f>'Total income package'!$D$80</f>
        <v>0</v>
      </c>
      <c r="D35" s="63">
        <f t="shared" si="4"/>
        <v>1083.3333333333333</v>
      </c>
      <c r="E35" s="14" t="str">
        <f t="shared" si="5"/>
        <v>No</v>
      </c>
      <c r="F35" s="63">
        <f t="shared" si="0"/>
        <v>874.33333333333326</v>
      </c>
      <c r="G35" s="63">
        <f t="shared" si="14"/>
        <v>174.86666666666667</v>
      </c>
      <c r="H35" s="63">
        <f t="shared" si="6"/>
        <v>699.46666666666658</v>
      </c>
      <c r="I35" s="312">
        <f t="shared" si="7"/>
        <v>699.46666666666658</v>
      </c>
      <c r="J35" s="14" t="str">
        <f t="shared" si="8"/>
        <v>No</v>
      </c>
      <c r="K35" s="63">
        <f t="shared" si="1"/>
        <v>0</v>
      </c>
      <c r="L35" s="130">
        <f>IF('Total income package'!$A$20=TRUE,MIN(IF(K35&gt;9.99,K35,0),$I$2),0)</f>
        <v>0</v>
      </c>
      <c r="M35" s="14" t="str">
        <f t="shared" si="16"/>
        <v>Yes</v>
      </c>
      <c r="N35" s="14" t="str">
        <f t="shared" si="9"/>
        <v>Yes</v>
      </c>
      <c r="O35" s="312">
        <f t="shared" si="10"/>
        <v>385</v>
      </c>
      <c r="P35" s="63">
        <f t="shared" si="3"/>
        <v>1084.4666666666667</v>
      </c>
      <c r="Q35" s="312" t="str">
        <f t="shared" si="11"/>
        <v>Yes</v>
      </c>
      <c r="R35" s="312">
        <f t="shared" si="12"/>
        <v>0</v>
      </c>
      <c r="S35" s="15">
        <f t="shared" si="13"/>
        <v>385</v>
      </c>
      <c r="T35" s="189">
        <f>IF(AND('Total income package'!$A$22=TRUE,M35="Yes",S35&gt;9.99),MIN(S35,$I$2),0)</f>
        <v>0</v>
      </c>
    </row>
    <row r="36" spans="1:20" x14ac:dyDescent="0.25">
      <c r="A36" s="117">
        <v>13500</v>
      </c>
      <c r="B36" s="384">
        <f t="shared" si="15"/>
        <v>1125</v>
      </c>
      <c r="C36" s="63">
        <f>'Total income package'!$D$80</f>
        <v>0</v>
      </c>
      <c r="D36" s="63">
        <f t="shared" si="4"/>
        <v>1125</v>
      </c>
      <c r="E36" s="14" t="str">
        <f t="shared" si="5"/>
        <v>No</v>
      </c>
      <c r="F36" s="63">
        <f t="shared" si="0"/>
        <v>916</v>
      </c>
      <c r="G36" s="63">
        <f t="shared" si="14"/>
        <v>183.20000000000002</v>
      </c>
      <c r="H36" s="63">
        <f t="shared" si="6"/>
        <v>732.8</v>
      </c>
      <c r="I36" s="312">
        <f t="shared" si="7"/>
        <v>732.8</v>
      </c>
      <c r="J36" s="14" t="str">
        <f t="shared" si="8"/>
        <v>No</v>
      </c>
      <c r="K36" s="63">
        <f t="shared" si="1"/>
        <v>0</v>
      </c>
      <c r="L36" s="130">
        <f>IF('Total income package'!$A$20=TRUE,MIN(IF(K36&gt;9.99,K36,0),$I$2),0)</f>
        <v>0</v>
      </c>
      <c r="M36" s="14" t="str">
        <f t="shared" si="16"/>
        <v>Yes</v>
      </c>
      <c r="N36" s="14" t="str">
        <f t="shared" si="9"/>
        <v>Yes</v>
      </c>
      <c r="O36" s="312">
        <f t="shared" si="10"/>
        <v>385</v>
      </c>
      <c r="P36" s="63">
        <f t="shared" si="3"/>
        <v>1117.8</v>
      </c>
      <c r="Q36" s="312" t="str">
        <f t="shared" si="11"/>
        <v>Yes</v>
      </c>
      <c r="R36" s="312">
        <f t="shared" si="12"/>
        <v>0</v>
      </c>
      <c r="S36" s="15">
        <f t="shared" si="13"/>
        <v>385</v>
      </c>
      <c r="T36" s="189">
        <f>IF(AND('Total income package'!$A$22=TRUE,M36="Yes",S36&gt;9.99),MIN(S36,$I$2),0)</f>
        <v>0</v>
      </c>
    </row>
    <row r="37" spans="1:20" x14ac:dyDescent="0.25">
      <c r="A37" s="117">
        <v>14000</v>
      </c>
      <c r="B37" s="384">
        <f t="shared" si="15"/>
        <v>1166.6666666666667</v>
      </c>
      <c r="C37" s="63">
        <f>'Total income package'!$D$80</f>
        <v>0</v>
      </c>
      <c r="D37" s="63">
        <f t="shared" si="4"/>
        <v>1166.6666666666667</v>
      </c>
      <c r="E37" s="14" t="str">
        <f t="shared" si="5"/>
        <v>No</v>
      </c>
      <c r="F37" s="63">
        <f t="shared" si="0"/>
        <v>957.66666666666674</v>
      </c>
      <c r="G37" s="63">
        <f t="shared" si="14"/>
        <v>191.53333333333336</v>
      </c>
      <c r="H37" s="63">
        <f t="shared" si="6"/>
        <v>766.13333333333344</v>
      </c>
      <c r="I37" s="312">
        <f t="shared" si="7"/>
        <v>766.13333333333344</v>
      </c>
      <c r="J37" s="14" t="str">
        <f t="shared" si="8"/>
        <v>No</v>
      </c>
      <c r="K37" s="63">
        <f t="shared" si="1"/>
        <v>0</v>
      </c>
      <c r="L37" s="130">
        <f>IF('Total income package'!$A$20=TRUE,MIN(IF(K37&gt;9.99,K37,0),$I$2),0)</f>
        <v>0</v>
      </c>
      <c r="M37" s="14" t="str">
        <f t="shared" si="16"/>
        <v>Yes</v>
      </c>
      <c r="N37" s="14" t="str">
        <f t="shared" si="9"/>
        <v>Yes</v>
      </c>
      <c r="O37" s="312">
        <f t="shared" si="10"/>
        <v>385</v>
      </c>
      <c r="P37" s="63">
        <f t="shared" si="3"/>
        <v>1151.1333333333334</v>
      </c>
      <c r="Q37" s="312" t="str">
        <f t="shared" si="11"/>
        <v>Yes</v>
      </c>
      <c r="R37" s="312">
        <f t="shared" si="12"/>
        <v>0</v>
      </c>
      <c r="S37" s="15">
        <f t="shared" si="13"/>
        <v>385</v>
      </c>
      <c r="T37" s="189">
        <f>IF(AND('Total income package'!$A$22=TRUE,M37="Yes",S37&gt;9.99),MIN(S37,$I$2),0)</f>
        <v>0</v>
      </c>
    </row>
    <row r="38" spans="1:20" x14ac:dyDescent="0.25">
      <c r="A38" s="29">
        <v>14500</v>
      </c>
      <c r="B38" s="384">
        <f t="shared" si="15"/>
        <v>1208.3333333333333</v>
      </c>
      <c r="C38" s="63">
        <f>'Total income package'!$D$80</f>
        <v>0</v>
      </c>
      <c r="D38" s="63">
        <f t="shared" si="4"/>
        <v>1208.3333333333333</v>
      </c>
      <c r="E38" s="14" t="str">
        <f t="shared" si="5"/>
        <v>No</v>
      </c>
      <c r="F38" s="63">
        <f t="shared" si="0"/>
        <v>999.33333333333326</v>
      </c>
      <c r="G38" s="63">
        <f t="shared" si="14"/>
        <v>199.86666666666667</v>
      </c>
      <c r="H38" s="63">
        <f t="shared" si="6"/>
        <v>799.46666666666658</v>
      </c>
      <c r="I38" s="312">
        <f t="shared" si="7"/>
        <v>799.46666666666658</v>
      </c>
      <c r="J38" s="14" t="str">
        <f t="shared" si="8"/>
        <v>No</v>
      </c>
      <c r="K38" s="63">
        <f t="shared" si="1"/>
        <v>0</v>
      </c>
      <c r="L38" s="130">
        <f>IF('Total income package'!$A$20=TRUE,MIN(IF(K38&gt;9.99,K38,0),$I$2),0)</f>
        <v>0</v>
      </c>
      <c r="M38" s="14" t="str">
        <f t="shared" si="16"/>
        <v>Yes</v>
      </c>
      <c r="N38" s="14" t="str">
        <f t="shared" si="9"/>
        <v>Yes</v>
      </c>
      <c r="O38" s="312">
        <f t="shared" si="10"/>
        <v>385</v>
      </c>
      <c r="P38" s="63">
        <f t="shared" si="3"/>
        <v>1184.4666666666667</v>
      </c>
      <c r="Q38" s="312" t="str">
        <f t="shared" si="11"/>
        <v>Yes</v>
      </c>
      <c r="R38" s="312">
        <f t="shared" si="12"/>
        <v>0</v>
      </c>
      <c r="S38" s="15">
        <f t="shared" si="13"/>
        <v>385</v>
      </c>
      <c r="T38" s="189">
        <f>IF(AND('Total income package'!$A$22=TRUE,M38="Yes",S38&gt;9.99),MIN(S38,$I$2),0)</f>
        <v>0</v>
      </c>
    </row>
    <row r="39" spans="1:20" x14ac:dyDescent="0.25">
      <c r="A39" s="117">
        <v>15000</v>
      </c>
      <c r="B39" s="384">
        <f t="shared" si="15"/>
        <v>1250</v>
      </c>
      <c r="C39" s="63">
        <f>'Total income package'!$D$80</f>
        <v>0</v>
      </c>
      <c r="D39" s="63">
        <f t="shared" si="4"/>
        <v>1250</v>
      </c>
      <c r="E39" s="14" t="str">
        <f t="shared" si="5"/>
        <v>No</v>
      </c>
      <c r="F39" s="63">
        <f t="shared" si="0"/>
        <v>1041</v>
      </c>
      <c r="G39" s="63">
        <f t="shared" si="14"/>
        <v>208.20000000000002</v>
      </c>
      <c r="H39" s="63">
        <f t="shared" si="6"/>
        <v>832.8</v>
      </c>
      <c r="I39" s="312">
        <f t="shared" si="7"/>
        <v>832.8</v>
      </c>
      <c r="J39" s="14" t="str">
        <f t="shared" si="8"/>
        <v>No</v>
      </c>
      <c r="K39" s="63">
        <f t="shared" si="1"/>
        <v>0</v>
      </c>
      <c r="L39" s="130">
        <f>IF('Total income package'!$A$20=TRUE,MIN(IF(K39&gt;9.99,K39,0),$I$2),0)</f>
        <v>0</v>
      </c>
      <c r="M39" s="14" t="str">
        <f t="shared" si="16"/>
        <v>Yes</v>
      </c>
      <c r="N39" s="14" t="str">
        <f t="shared" si="9"/>
        <v>Yes</v>
      </c>
      <c r="O39" s="312">
        <f t="shared" si="10"/>
        <v>385</v>
      </c>
      <c r="P39" s="63">
        <f t="shared" si="3"/>
        <v>1217.8</v>
      </c>
      <c r="Q39" s="312" t="str">
        <f t="shared" si="11"/>
        <v>Yes</v>
      </c>
      <c r="R39" s="312">
        <f t="shared" si="12"/>
        <v>0</v>
      </c>
      <c r="S39" s="15">
        <f t="shared" si="13"/>
        <v>385</v>
      </c>
      <c r="T39" s="189">
        <f>IF(AND('Total income package'!$A$22=TRUE,M39="Yes",S39&gt;9.99),MIN(S39,$I$2),0)</f>
        <v>0</v>
      </c>
    </row>
    <row r="40" spans="1:20" x14ac:dyDescent="0.25">
      <c r="A40" s="117">
        <v>15500</v>
      </c>
      <c r="B40" s="384">
        <f t="shared" si="15"/>
        <v>1291.6666666666667</v>
      </c>
      <c r="C40" s="63">
        <f>'Total income package'!$D$80</f>
        <v>0</v>
      </c>
      <c r="D40" s="63">
        <f t="shared" si="4"/>
        <v>1291.6666666666667</v>
      </c>
      <c r="E40" s="14" t="str">
        <f t="shared" si="5"/>
        <v>No</v>
      </c>
      <c r="F40" s="63">
        <f t="shared" si="0"/>
        <v>1082.6666666666667</v>
      </c>
      <c r="G40" s="63">
        <f t="shared" si="14"/>
        <v>216.53333333333336</v>
      </c>
      <c r="H40" s="63">
        <f t="shared" si="6"/>
        <v>866.13333333333344</v>
      </c>
      <c r="I40" s="312">
        <f t="shared" si="7"/>
        <v>866.13333333333344</v>
      </c>
      <c r="J40" s="14" t="str">
        <f t="shared" si="8"/>
        <v>No</v>
      </c>
      <c r="K40" s="63">
        <f t="shared" si="1"/>
        <v>0</v>
      </c>
      <c r="L40" s="130">
        <f>IF('Total income package'!$A$20=TRUE,MIN(IF(K40&gt;9.99,K40,0),$I$2),0)</f>
        <v>0</v>
      </c>
      <c r="M40" s="14" t="str">
        <f t="shared" si="16"/>
        <v>Yes</v>
      </c>
      <c r="N40" s="14" t="str">
        <f t="shared" si="9"/>
        <v>Yes</v>
      </c>
      <c r="O40" s="312">
        <f t="shared" si="10"/>
        <v>385</v>
      </c>
      <c r="P40" s="63">
        <f t="shared" si="3"/>
        <v>1251.1333333333334</v>
      </c>
      <c r="Q40" s="312" t="str">
        <f t="shared" si="11"/>
        <v>Yes</v>
      </c>
      <c r="R40" s="312">
        <f t="shared" si="12"/>
        <v>0</v>
      </c>
      <c r="S40" s="15">
        <f t="shared" si="13"/>
        <v>385</v>
      </c>
      <c r="T40" s="189">
        <f>IF(AND('Total income package'!$A$22=TRUE,M40="Yes",S40&gt;9.99),MIN(S40,$I$2),0)</f>
        <v>0</v>
      </c>
    </row>
    <row r="41" spans="1:20" x14ac:dyDescent="0.25">
      <c r="A41" s="29">
        <v>16000</v>
      </c>
      <c r="B41" s="384">
        <f t="shared" si="15"/>
        <v>1333.3333333333333</v>
      </c>
      <c r="C41" s="63">
        <f>'Total income package'!$D$80</f>
        <v>0</v>
      </c>
      <c r="D41" s="63">
        <f t="shared" si="4"/>
        <v>1333.3333333333333</v>
      </c>
      <c r="E41" s="14" t="str">
        <f t="shared" si="5"/>
        <v>No</v>
      </c>
      <c r="F41" s="63">
        <f t="shared" si="0"/>
        <v>1124.3333333333333</v>
      </c>
      <c r="G41" s="63">
        <f t="shared" si="14"/>
        <v>224.86666666666667</v>
      </c>
      <c r="H41" s="63">
        <f t="shared" si="6"/>
        <v>899.46666666666658</v>
      </c>
      <c r="I41" s="312">
        <f t="shared" si="7"/>
        <v>899.46666666666658</v>
      </c>
      <c r="J41" s="14" t="str">
        <f t="shared" si="8"/>
        <v>No</v>
      </c>
      <c r="K41" s="63">
        <f t="shared" si="1"/>
        <v>0</v>
      </c>
      <c r="L41" s="130">
        <f>IF('Total income package'!$A$20=TRUE,MIN(IF(K41&gt;9.99,K41,0),$I$2),0)</f>
        <v>0</v>
      </c>
      <c r="M41" s="14" t="str">
        <f t="shared" si="16"/>
        <v>Yes</v>
      </c>
      <c r="N41" s="14" t="str">
        <f t="shared" si="9"/>
        <v>Yes</v>
      </c>
      <c r="O41" s="312">
        <f t="shared" si="10"/>
        <v>385</v>
      </c>
      <c r="P41" s="63">
        <f t="shared" si="3"/>
        <v>1284.4666666666667</v>
      </c>
      <c r="Q41" s="312" t="str">
        <f t="shared" si="11"/>
        <v>Yes</v>
      </c>
      <c r="R41" s="312">
        <f t="shared" si="12"/>
        <v>0</v>
      </c>
      <c r="S41" s="15">
        <f t="shared" si="13"/>
        <v>385</v>
      </c>
      <c r="T41" s="189">
        <f>IF(AND('Total income package'!$A$22=TRUE,M41="Yes",S41&gt;9.99),MIN(S41,$I$2),0)</f>
        <v>0</v>
      </c>
    </row>
    <row r="42" spans="1:20" x14ac:dyDescent="0.25">
      <c r="A42" s="117">
        <v>16500</v>
      </c>
      <c r="B42" s="384">
        <f t="shared" si="15"/>
        <v>1375</v>
      </c>
      <c r="C42" s="63">
        <f>'Total income package'!$D$80</f>
        <v>0</v>
      </c>
      <c r="D42" s="63">
        <f t="shared" si="4"/>
        <v>1375</v>
      </c>
      <c r="E42" s="14" t="str">
        <f t="shared" si="5"/>
        <v>No</v>
      </c>
      <c r="F42" s="63">
        <f t="shared" si="0"/>
        <v>1166</v>
      </c>
      <c r="G42" s="63">
        <f t="shared" si="14"/>
        <v>233.20000000000002</v>
      </c>
      <c r="H42" s="63">
        <f t="shared" si="6"/>
        <v>932.8</v>
      </c>
      <c r="I42" s="312">
        <f t="shared" si="7"/>
        <v>932.8</v>
      </c>
      <c r="J42" s="14" t="str">
        <f t="shared" si="8"/>
        <v>No</v>
      </c>
      <c r="K42" s="63">
        <f t="shared" si="1"/>
        <v>0</v>
      </c>
      <c r="L42" s="130">
        <f>IF('Total income package'!$A$20=TRUE,MIN(IF(K42&gt;9.99,K42,0),$I$2),0)</f>
        <v>0</v>
      </c>
      <c r="M42" s="14" t="str">
        <f t="shared" si="16"/>
        <v>Yes</v>
      </c>
      <c r="N42" s="14" t="str">
        <f t="shared" si="9"/>
        <v>Yes</v>
      </c>
      <c r="O42" s="312">
        <f t="shared" si="10"/>
        <v>385</v>
      </c>
      <c r="P42" s="63">
        <f t="shared" si="3"/>
        <v>1317.8</v>
      </c>
      <c r="Q42" s="312" t="str">
        <f t="shared" si="11"/>
        <v>Yes</v>
      </c>
      <c r="R42" s="312">
        <f t="shared" si="12"/>
        <v>0</v>
      </c>
      <c r="S42" s="15">
        <f t="shared" si="13"/>
        <v>385</v>
      </c>
      <c r="T42" s="189">
        <f>IF(AND('Total income package'!$A$22=TRUE,M42="Yes",S42&gt;9.99),MIN(S42,$I$2),0)</f>
        <v>0</v>
      </c>
    </row>
    <row r="43" spans="1:20" x14ac:dyDescent="0.25">
      <c r="A43" s="117">
        <v>17000</v>
      </c>
      <c r="B43" s="384">
        <f t="shared" si="15"/>
        <v>1416.6666666666667</v>
      </c>
      <c r="C43" s="63">
        <f>'Total income package'!$D$80</f>
        <v>0</v>
      </c>
      <c r="D43" s="63">
        <f t="shared" si="4"/>
        <v>1416.6666666666667</v>
      </c>
      <c r="E43" s="14" t="str">
        <f t="shared" si="5"/>
        <v>No</v>
      </c>
      <c r="F43" s="63">
        <f t="shared" si="0"/>
        <v>1207.6666666666667</v>
      </c>
      <c r="G43" s="63">
        <f t="shared" si="14"/>
        <v>241.53333333333336</v>
      </c>
      <c r="H43" s="63">
        <f t="shared" si="6"/>
        <v>966.13333333333344</v>
      </c>
      <c r="I43" s="312">
        <f t="shared" si="7"/>
        <v>966.13333333333344</v>
      </c>
      <c r="J43" s="14" t="str">
        <f t="shared" si="8"/>
        <v>No</v>
      </c>
      <c r="K43" s="63">
        <f t="shared" si="1"/>
        <v>0</v>
      </c>
      <c r="L43" s="130">
        <f>IF('Total income package'!$A$20=TRUE,MIN(IF(K43&gt;9.99,K43,0),$I$2),0)</f>
        <v>0</v>
      </c>
      <c r="M43" s="14" t="str">
        <f t="shared" si="16"/>
        <v>Yes</v>
      </c>
      <c r="N43" s="14" t="str">
        <f t="shared" si="9"/>
        <v>Yes</v>
      </c>
      <c r="O43" s="312">
        <f t="shared" si="10"/>
        <v>385</v>
      </c>
      <c r="P43" s="63">
        <f t="shared" si="3"/>
        <v>1351.1333333333334</v>
      </c>
      <c r="Q43" s="312" t="str">
        <f t="shared" si="11"/>
        <v>Yes</v>
      </c>
      <c r="R43" s="312">
        <f t="shared" si="12"/>
        <v>0</v>
      </c>
      <c r="S43" s="15">
        <f t="shared" si="13"/>
        <v>385</v>
      </c>
      <c r="T43" s="189">
        <f>IF(AND('Total income package'!$A$22=TRUE,M43="Yes",S43&gt;9.99),MIN(S43,$I$2),0)</f>
        <v>0</v>
      </c>
    </row>
    <row r="44" spans="1:20" x14ac:dyDescent="0.25">
      <c r="A44" s="29">
        <v>17500</v>
      </c>
      <c r="B44" s="384">
        <f t="shared" si="15"/>
        <v>1458.3333333333333</v>
      </c>
      <c r="C44" s="63">
        <f>'Total income package'!$D$80</f>
        <v>0</v>
      </c>
      <c r="D44" s="63">
        <f t="shared" si="4"/>
        <v>1458.3333333333333</v>
      </c>
      <c r="E44" s="14" t="str">
        <f t="shared" si="5"/>
        <v>No</v>
      </c>
      <c r="F44" s="63">
        <f t="shared" si="0"/>
        <v>1249.3333333333333</v>
      </c>
      <c r="G44" s="63">
        <f t="shared" si="14"/>
        <v>249.86666666666667</v>
      </c>
      <c r="H44" s="63">
        <f t="shared" si="6"/>
        <v>999.46666666666658</v>
      </c>
      <c r="I44" s="312">
        <f t="shared" si="7"/>
        <v>999.46666666666658</v>
      </c>
      <c r="J44" s="14" t="str">
        <f t="shared" si="8"/>
        <v>No</v>
      </c>
      <c r="K44" s="63">
        <f t="shared" si="1"/>
        <v>0</v>
      </c>
      <c r="L44" s="130">
        <f>IF('Total income package'!$A$20=TRUE,MIN(IF(K44&gt;9.99,K44,0),$I$2),0)</f>
        <v>0</v>
      </c>
      <c r="M44" s="14" t="str">
        <f t="shared" si="16"/>
        <v>Yes</v>
      </c>
      <c r="N44" s="14" t="str">
        <f t="shared" si="9"/>
        <v>Yes</v>
      </c>
      <c r="O44" s="312">
        <f t="shared" si="10"/>
        <v>385</v>
      </c>
      <c r="P44" s="63">
        <f t="shared" si="3"/>
        <v>1384.4666666666667</v>
      </c>
      <c r="Q44" s="312" t="str">
        <f t="shared" si="11"/>
        <v>Yes</v>
      </c>
      <c r="R44" s="312">
        <f t="shared" si="12"/>
        <v>0</v>
      </c>
      <c r="S44" s="15">
        <f t="shared" si="13"/>
        <v>385</v>
      </c>
      <c r="T44" s="189">
        <f>IF(AND('Total income package'!$A$22=TRUE,M44="Yes",S44&gt;9.99),MIN(S44,$I$2),0)</f>
        <v>0</v>
      </c>
    </row>
    <row r="45" spans="1:20" x14ac:dyDescent="0.25">
      <c r="A45" s="117">
        <v>18000</v>
      </c>
      <c r="B45" s="384">
        <f t="shared" si="15"/>
        <v>1500</v>
      </c>
      <c r="C45" s="63">
        <f>'Total income package'!$D$80</f>
        <v>0</v>
      </c>
      <c r="D45" s="63">
        <f t="shared" si="4"/>
        <v>1500</v>
      </c>
      <c r="E45" s="14" t="str">
        <f t="shared" si="5"/>
        <v>No</v>
      </c>
      <c r="F45" s="63">
        <f t="shared" si="0"/>
        <v>1291</v>
      </c>
      <c r="G45" s="63">
        <f t="shared" si="14"/>
        <v>258.2</v>
      </c>
      <c r="H45" s="63">
        <f t="shared" si="6"/>
        <v>1032.8</v>
      </c>
      <c r="I45" s="312">
        <f t="shared" si="7"/>
        <v>1032.8</v>
      </c>
      <c r="J45" s="14" t="str">
        <f t="shared" si="8"/>
        <v>No</v>
      </c>
      <c r="K45" s="63">
        <f t="shared" si="1"/>
        <v>0</v>
      </c>
      <c r="L45" s="130">
        <f>IF('Total income package'!$A$20=TRUE,MIN(IF(K45&gt;9.99,K45,0),$I$2),0)</f>
        <v>0</v>
      </c>
      <c r="M45" s="14" t="str">
        <f t="shared" si="16"/>
        <v>Yes</v>
      </c>
      <c r="N45" s="14" t="str">
        <f t="shared" si="9"/>
        <v>Yes</v>
      </c>
      <c r="O45" s="312">
        <f t="shared" si="10"/>
        <v>385</v>
      </c>
      <c r="P45" s="63">
        <f t="shared" si="3"/>
        <v>1417.8</v>
      </c>
      <c r="Q45" s="312" t="str">
        <f t="shared" si="11"/>
        <v>Yes</v>
      </c>
      <c r="R45" s="312">
        <f t="shared" si="12"/>
        <v>0</v>
      </c>
      <c r="S45" s="15">
        <f t="shared" si="13"/>
        <v>385</v>
      </c>
      <c r="T45" s="189">
        <f>IF(AND('Total income package'!$A$22=TRUE,M45="Yes",S45&gt;9.99),MIN(S45,$I$2),0)</f>
        <v>0</v>
      </c>
    </row>
    <row r="46" spans="1:20" x14ac:dyDescent="0.25">
      <c r="A46" s="117">
        <v>18500</v>
      </c>
      <c r="B46" s="384">
        <f t="shared" si="15"/>
        <v>1541.6666666666667</v>
      </c>
      <c r="C46" s="63">
        <f>'Total income package'!$D$80</f>
        <v>0</v>
      </c>
      <c r="D46" s="63">
        <f t="shared" si="4"/>
        <v>1541.6666666666667</v>
      </c>
      <c r="E46" s="14" t="str">
        <f t="shared" si="5"/>
        <v>No</v>
      </c>
      <c r="F46" s="63">
        <f t="shared" si="0"/>
        <v>1332.6666666666667</v>
      </c>
      <c r="G46" s="63">
        <f t="shared" si="14"/>
        <v>266.53333333333336</v>
      </c>
      <c r="H46" s="63">
        <f t="shared" si="6"/>
        <v>1066.1333333333334</v>
      </c>
      <c r="I46" s="312">
        <f t="shared" si="7"/>
        <v>1066.1333333333334</v>
      </c>
      <c r="J46" s="14" t="str">
        <f t="shared" si="8"/>
        <v>No</v>
      </c>
      <c r="K46" s="63">
        <f t="shared" si="1"/>
        <v>0</v>
      </c>
      <c r="L46" s="130">
        <f>IF('Total income package'!$A$20=TRUE,MIN(IF(K46&gt;9.99,K46,0),$I$2),0)</f>
        <v>0</v>
      </c>
      <c r="M46" s="14" t="str">
        <f t="shared" si="16"/>
        <v>Yes</v>
      </c>
      <c r="N46" s="14" t="str">
        <f t="shared" si="9"/>
        <v>Yes</v>
      </c>
      <c r="O46" s="312">
        <f t="shared" si="10"/>
        <v>385</v>
      </c>
      <c r="P46" s="63">
        <f t="shared" si="3"/>
        <v>1451.1333333333334</v>
      </c>
      <c r="Q46" s="312" t="str">
        <f t="shared" si="11"/>
        <v>Yes</v>
      </c>
      <c r="R46" s="312">
        <f t="shared" si="12"/>
        <v>0</v>
      </c>
      <c r="S46" s="15">
        <f t="shared" si="13"/>
        <v>385</v>
      </c>
      <c r="T46" s="189">
        <f>IF(AND('Total income package'!$A$22=TRUE,M46="Yes",S46&gt;9.99),MIN(S46,$I$2),0)</f>
        <v>0</v>
      </c>
    </row>
    <row r="47" spans="1:20" x14ac:dyDescent="0.25">
      <c r="A47" s="29">
        <v>19000</v>
      </c>
      <c r="B47" s="384">
        <f t="shared" si="15"/>
        <v>1583.3333333333333</v>
      </c>
      <c r="C47" s="63">
        <f>'Total income package'!$D$80</f>
        <v>0</v>
      </c>
      <c r="D47" s="63">
        <f t="shared" si="4"/>
        <v>1583.3333333333333</v>
      </c>
      <c r="E47" s="14" t="str">
        <f t="shared" si="5"/>
        <v>No</v>
      </c>
      <c r="F47" s="63">
        <f t="shared" si="0"/>
        <v>1374.3333333333333</v>
      </c>
      <c r="G47" s="63">
        <f t="shared" si="14"/>
        <v>274.86666666666667</v>
      </c>
      <c r="H47" s="63">
        <f t="shared" si="6"/>
        <v>1099.4666666666667</v>
      </c>
      <c r="I47" s="312">
        <f t="shared" si="7"/>
        <v>1099.4666666666667</v>
      </c>
      <c r="J47" s="14" t="str">
        <f t="shared" si="8"/>
        <v>No</v>
      </c>
      <c r="K47" s="63">
        <f t="shared" si="1"/>
        <v>0</v>
      </c>
      <c r="L47" s="130">
        <f>IF('Total income package'!$A$20=TRUE,MIN(IF(K47&gt;9.99,K47,0),$I$2),0)</f>
        <v>0</v>
      </c>
      <c r="M47" s="14" t="str">
        <f t="shared" si="16"/>
        <v>Yes</v>
      </c>
      <c r="N47" s="14" t="str">
        <f t="shared" si="9"/>
        <v>Yes</v>
      </c>
      <c r="O47" s="312">
        <f t="shared" si="10"/>
        <v>385</v>
      </c>
      <c r="P47" s="63">
        <f t="shared" si="3"/>
        <v>1484.4666666666667</v>
      </c>
      <c r="Q47" s="312" t="str">
        <f t="shared" si="11"/>
        <v>Yes</v>
      </c>
      <c r="R47" s="312">
        <f t="shared" si="12"/>
        <v>0</v>
      </c>
      <c r="S47" s="15">
        <f t="shared" si="13"/>
        <v>385</v>
      </c>
      <c r="T47" s="189">
        <f>IF(AND('Total income package'!$A$22=TRUE,M47="Yes",S47&gt;9.99),MIN(S47,$I$2),0)</f>
        <v>0</v>
      </c>
    </row>
    <row r="48" spans="1:20" x14ac:dyDescent="0.25">
      <c r="A48" s="117">
        <v>19500</v>
      </c>
      <c r="B48" s="384">
        <f t="shared" si="15"/>
        <v>1625</v>
      </c>
      <c r="C48" s="63">
        <f>'Total income package'!$D$80</f>
        <v>0</v>
      </c>
      <c r="D48" s="63">
        <f t="shared" si="4"/>
        <v>1625</v>
      </c>
      <c r="E48" s="14" t="str">
        <f t="shared" si="5"/>
        <v>No</v>
      </c>
      <c r="F48" s="63">
        <f t="shared" si="0"/>
        <v>1416</v>
      </c>
      <c r="G48" s="63">
        <f t="shared" si="14"/>
        <v>283.2</v>
      </c>
      <c r="H48" s="63">
        <f t="shared" si="6"/>
        <v>1132.8</v>
      </c>
      <c r="I48" s="312">
        <f t="shared" si="7"/>
        <v>1132.8</v>
      </c>
      <c r="J48" s="14" t="str">
        <f t="shared" si="8"/>
        <v>No</v>
      </c>
      <c r="K48" s="63">
        <f t="shared" si="1"/>
        <v>0</v>
      </c>
      <c r="L48" s="130">
        <f>IF('Total income package'!$A$20=TRUE,MIN(IF(K48&gt;9.99,K48,0),$I$2),0)</f>
        <v>0</v>
      </c>
      <c r="M48" s="14" t="str">
        <f t="shared" si="16"/>
        <v>Yes</v>
      </c>
      <c r="N48" s="14" t="str">
        <f t="shared" si="9"/>
        <v>Yes</v>
      </c>
      <c r="O48" s="312">
        <f t="shared" si="10"/>
        <v>385</v>
      </c>
      <c r="P48" s="63">
        <f t="shared" si="3"/>
        <v>1517.8</v>
      </c>
      <c r="Q48" s="312" t="str">
        <f t="shared" si="11"/>
        <v>Yes</v>
      </c>
      <c r="R48" s="312">
        <f t="shared" si="12"/>
        <v>0</v>
      </c>
      <c r="S48" s="15">
        <f t="shared" si="13"/>
        <v>385</v>
      </c>
      <c r="T48" s="189">
        <f>IF(AND('Total income package'!$A$22=TRUE,M48="Yes",S48&gt;9.99),MIN(S48,$I$2),0)</f>
        <v>0</v>
      </c>
    </row>
    <row r="49" spans="1:21" x14ac:dyDescent="0.25">
      <c r="A49" s="117">
        <v>20000</v>
      </c>
      <c r="B49" s="384">
        <f t="shared" si="15"/>
        <v>1666.6666666666667</v>
      </c>
      <c r="C49" s="63">
        <f>'Total income package'!$D$80</f>
        <v>0</v>
      </c>
      <c r="D49" s="63">
        <f t="shared" si="4"/>
        <v>1666.6666666666667</v>
      </c>
      <c r="E49" s="14" t="str">
        <f t="shared" si="5"/>
        <v>No</v>
      </c>
      <c r="F49" s="63">
        <f t="shared" si="0"/>
        <v>1457.6666666666667</v>
      </c>
      <c r="G49" s="63">
        <f t="shared" si="14"/>
        <v>291.53333333333336</v>
      </c>
      <c r="H49" s="63">
        <f t="shared" si="6"/>
        <v>1166.1333333333334</v>
      </c>
      <c r="I49" s="312">
        <f t="shared" si="7"/>
        <v>1166.1333333333334</v>
      </c>
      <c r="J49" s="14" t="str">
        <f t="shared" si="8"/>
        <v>No</v>
      </c>
      <c r="K49" s="63">
        <f t="shared" si="1"/>
        <v>0</v>
      </c>
      <c r="L49" s="130">
        <f>IF('Total income package'!$A$20=TRUE,MIN(IF(K49&gt;9.99,K49,0),$I$2),0)</f>
        <v>0</v>
      </c>
      <c r="M49" s="14" t="str">
        <f t="shared" si="16"/>
        <v>Yes</v>
      </c>
      <c r="N49" s="14" t="str">
        <f t="shared" si="9"/>
        <v>Yes</v>
      </c>
      <c r="O49" s="312">
        <f t="shared" si="10"/>
        <v>385</v>
      </c>
      <c r="P49" s="63">
        <f t="shared" si="3"/>
        <v>1551.1333333333334</v>
      </c>
      <c r="Q49" s="312" t="str">
        <f t="shared" si="11"/>
        <v>Yes</v>
      </c>
      <c r="R49" s="312">
        <f t="shared" si="12"/>
        <v>0</v>
      </c>
      <c r="S49" s="15">
        <f t="shared" si="13"/>
        <v>385</v>
      </c>
      <c r="T49" s="189">
        <f>IF(AND('Total income package'!$A$22=TRUE,M49="Yes",S49&gt;9.99),MIN(S49,$I$2),0)</f>
        <v>0</v>
      </c>
    </row>
    <row r="50" spans="1:21" x14ac:dyDescent="0.25">
      <c r="A50" s="29">
        <v>20500</v>
      </c>
      <c r="B50" s="384">
        <f t="shared" si="15"/>
        <v>1708.3333333333333</v>
      </c>
      <c r="C50" s="63">
        <f>'Total income package'!$D$80</f>
        <v>0</v>
      </c>
      <c r="D50" s="63">
        <f t="shared" si="4"/>
        <v>1708.3333333333333</v>
      </c>
      <c r="E50" s="14" t="str">
        <f t="shared" si="5"/>
        <v>No</v>
      </c>
      <c r="F50" s="63">
        <f t="shared" si="0"/>
        <v>1499.3333333333333</v>
      </c>
      <c r="G50" s="63">
        <f t="shared" si="14"/>
        <v>299.86666666666667</v>
      </c>
      <c r="H50" s="63">
        <f t="shared" si="6"/>
        <v>1199.4666666666667</v>
      </c>
      <c r="I50" s="312">
        <f t="shared" si="7"/>
        <v>1199.4666666666667</v>
      </c>
      <c r="J50" s="14" t="str">
        <f t="shared" si="8"/>
        <v>No</v>
      </c>
      <c r="K50" s="63">
        <f t="shared" si="1"/>
        <v>0</v>
      </c>
      <c r="L50" s="130">
        <f>IF('Total income package'!$A$20=TRUE,MIN(IF(K50&gt;9.99,K50,0),$I$2),0)</f>
        <v>0</v>
      </c>
      <c r="M50" s="14" t="str">
        <f t="shared" si="16"/>
        <v>Yes</v>
      </c>
      <c r="N50" s="14" t="str">
        <f t="shared" si="9"/>
        <v>Yes</v>
      </c>
      <c r="O50" s="312">
        <f t="shared" si="10"/>
        <v>385</v>
      </c>
      <c r="P50" s="63">
        <f t="shared" si="3"/>
        <v>1584.4666666666667</v>
      </c>
      <c r="Q50" s="312" t="str">
        <f t="shared" si="11"/>
        <v>Yes</v>
      </c>
      <c r="R50" s="312">
        <f t="shared" si="12"/>
        <v>0</v>
      </c>
      <c r="S50" s="15">
        <f t="shared" si="13"/>
        <v>385</v>
      </c>
      <c r="T50" s="189">
        <f>IF(AND('Total income package'!$A$22=TRUE,M50="Yes",S50&gt;9.99),MIN(S50,$I$2),0)</f>
        <v>0</v>
      </c>
    </row>
    <row r="51" spans="1:21" x14ac:dyDescent="0.25">
      <c r="A51" s="117">
        <v>21000</v>
      </c>
      <c r="B51" s="384">
        <f t="shared" si="15"/>
        <v>1750</v>
      </c>
      <c r="C51" s="63">
        <f>'Total income package'!$D$80</f>
        <v>0</v>
      </c>
      <c r="D51" s="63">
        <f t="shared" si="4"/>
        <v>1750</v>
      </c>
      <c r="E51" s="14" t="str">
        <f t="shared" si="5"/>
        <v>No</v>
      </c>
      <c r="F51" s="63">
        <f t="shared" si="0"/>
        <v>1541</v>
      </c>
      <c r="G51" s="63">
        <f t="shared" si="14"/>
        <v>308.20000000000005</v>
      </c>
      <c r="H51" s="63">
        <f t="shared" si="6"/>
        <v>1232.8</v>
      </c>
      <c r="I51" s="312">
        <f t="shared" si="7"/>
        <v>1232.8</v>
      </c>
      <c r="J51" s="14" t="str">
        <f t="shared" si="8"/>
        <v>No</v>
      </c>
      <c r="K51" s="63">
        <f t="shared" si="1"/>
        <v>0</v>
      </c>
      <c r="L51" s="130">
        <f>IF('Total income package'!$A$20=TRUE,MIN(IF(K51&gt;9.99,K51,0),$I$2),0)</f>
        <v>0</v>
      </c>
      <c r="M51" s="14" t="str">
        <f t="shared" si="16"/>
        <v>Yes</v>
      </c>
      <c r="N51" s="14" t="str">
        <f t="shared" si="9"/>
        <v>Yes</v>
      </c>
      <c r="O51" s="312">
        <f t="shared" si="10"/>
        <v>385</v>
      </c>
      <c r="P51" s="63">
        <f t="shared" si="3"/>
        <v>1617.8</v>
      </c>
      <c r="Q51" s="312" t="str">
        <f t="shared" si="11"/>
        <v>Yes</v>
      </c>
      <c r="R51" s="312">
        <f t="shared" si="12"/>
        <v>0</v>
      </c>
      <c r="S51" s="15">
        <f t="shared" si="13"/>
        <v>385</v>
      </c>
      <c r="T51" s="189">
        <f>IF(AND('Total income package'!$A$22=TRUE,M51="Yes",S51&gt;9.99),MIN(S51,$I$2),0)</f>
        <v>0</v>
      </c>
    </row>
    <row r="52" spans="1:21" x14ac:dyDescent="0.25">
      <c r="A52" s="117">
        <v>21500</v>
      </c>
      <c r="B52" s="384">
        <f t="shared" si="15"/>
        <v>1791.6666666666667</v>
      </c>
      <c r="C52" s="63">
        <f>'Total income package'!$D$80</f>
        <v>0</v>
      </c>
      <c r="D52" s="63">
        <f t="shared" si="4"/>
        <v>1791.6666666666667</v>
      </c>
      <c r="E52" s="14" t="str">
        <f t="shared" si="5"/>
        <v>No</v>
      </c>
      <c r="F52" s="63">
        <f t="shared" si="0"/>
        <v>1582.6666666666667</v>
      </c>
      <c r="G52" s="63">
        <f t="shared" si="14"/>
        <v>316.53333333333336</v>
      </c>
      <c r="H52" s="63">
        <f t="shared" si="6"/>
        <v>1266.1333333333334</v>
      </c>
      <c r="I52" s="312">
        <f t="shared" si="7"/>
        <v>1266.1333333333334</v>
      </c>
      <c r="J52" s="14" t="str">
        <f t="shared" si="8"/>
        <v>No</v>
      </c>
      <c r="K52" s="63">
        <f t="shared" si="1"/>
        <v>0</v>
      </c>
      <c r="L52" s="130">
        <f>IF('Total income package'!$A$20=TRUE,MIN(IF(K52&gt;9.99,K52,0),$I$2),0)</f>
        <v>0</v>
      </c>
      <c r="M52" s="14" t="str">
        <f t="shared" si="16"/>
        <v>Yes</v>
      </c>
      <c r="N52" s="14" t="str">
        <f t="shared" si="9"/>
        <v>Yes</v>
      </c>
      <c r="O52" s="312">
        <f t="shared" si="10"/>
        <v>385</v>
      </c>
      <c r="P52" s="63">
        <f t="shared" si="3"/>
        <v>1651.1333333333334</v>
      </c>
      <c r="Q52" s="312" t="str">
        <f t="shared" si="11"/>
        <v>Yes</v>
      </c>
      <c r="R52" s="312">
        <f t="shared" si="12"/>
        <v>0</v>
      </c>
      <c r="S52" s="15">
        <f t="shared" si="13"/>
        <v>385</v>
      </c>
      <c r="T52" s="189">
        <f>IF(AND('Total income package'!$A$22=TRUE,M52="Yes",S52&gt;9.99),MIN(S52,$I$2),0)</f>
        <v>0</v>
      </c>
    </row>
    <row r="53" spans="1:21" x14ac:dyDescent="0.25">
      <c r="A53" s="29">
        <v>22000</v>
      </c>
      <c r="B53" s="384">
        <f t="shared" si="15"/>
        <v>1833.3333333333333</v>
      </c>
      <c r="C53" s="63">
        <f>'Total income package'!$D$80</f>
        <v>0</v>
      </c>
      <c r="D53" s="63">
        <f t="shared" si="4"/>
        <v>1833.3333333333333</v>
      </c>
      <c r="E53" s="14" t="str">
        <f t="shared" si="5"/>
        <v>No</v>
      </c>
      <c r="F53" s="63">
        <f t="shared" si="0"/>
        <v>1624.3333333333333</v>
      </c>
      <c r="G53" s="63">
        <f t="shared" si="14"/>
        <v>324.86666666666667</v>
      </c>
      <c r="H53" s="63">
        <f t="shared" si="6"/>
        <v>1299.4666666666667</v>
      </c>
      <c r="I53" s="312">
        <f t="shared" si="7"/>
        <v>1299.4666666666667</v>
      </c>
      <c r="J53" s="14" t="str">
        <f t="shared" si="8"/>
        <v>No</v>
      </c>
      <c r="K53" s="63">
        <f t="shared" si="1"/>
        <v>0</v>
      </c>
      <c r="L53" s="130">
        <f>IF('Total income package'!$A$20=TRUE,MIN(IF(K53&gt;9.99,K53,0),$I$2),0)</f>
        <v>0</v>
      </c>
      <c r="M53" s="14" t="str">
        <f t="shared" si="16"/>
        <v>No</v>
      </c>
      <c r="N53" s="14" t="str">
        <f t="shared" si="9"/>
        <v>Yes</v>
      </c>
      <c r="O53" s="312">
        <f t="shared" si="10"/>
        <v>0</v>
      </c>
      <c r="P53" s="63">
        <f t="shared" si="3"/>
        <v>1299.4666666666667</v>
      </c>
      <c r="Q53" s="312" t="str">
        <f t="shared" si="11"/>
        <v>Yes</v>
      </c>
      <c r="R53" s="312">
        <f t="shared" si="12"/>
        <v>0</v>
      </c>
      <c r="S53" s="15">
        <f t="shared" si="13"/>
        <v>0</v>
      </c>
      <c r="T53" s="189">
        <f>IF(AND('Total income package'!$A$22=TRUE,M53="Yes",S53&gt;9.99),MIN(S53,$I$2),0)</f>
        <v>0</v>
      </c>
    </row>
    <row r="54" spans="1:21" x14ac:dyDescent="0.25">
      <c r="A54" s="117">
        <v>22500</v>
      </c>
      <c r="B54" s="384">
        <f t="shared" si="15"/>
        <v>1875</v>
      </c>
      <c r="C54" s="63">
        <f>'Total income package'!$D$80</f>
        <v>0</v>
      </c>
      <c r="D54" s="63">
        <f t="shared" si="4"/>
        <v>1875</v>
      </c>
      <c r="E54" s="14" t="str">
        <f t="shared" si="5"/>
        <v>No</v>
      </c>
      <c r="F54" s="63">
        <f t="shared" si="0"/>
        <v>1666</v>
      </c>
      <c r="G54" s="63">
        <f t="shared" si="14"/>
        <v>333.20000000000005</v>
      </c>
      <c r="H54" s="63">
        <f t="shared" si="6"/>
        <v>1332.8</v>
      </c>
      <c r="I54" s="312">
        <f t="shared" si="7"/>
        <v>1332.8</v>
      </c>
      <c r="J54" s="14" t="str">
        <f t="shared" si="8"/>
        <v>No</v>
      </c>
      <c r="K54" s="63">
        <f t="shared" si="1"/>
        <v>0</v>
      </c>
      <c r="L54" s="130">
        <f>IF('Total income package'!$A$20=TRUE,MIN(IF(K54&gt;9.99,K54,0),$I$2),0)</f>
        <v>0</v>
      </c>
      <c r="M54" s="14" t="str">
        <f t="shared" si="16"/>
        <v>No</v>
      </c>
      <c r="N54" s="14" t="str">
        <f t="shared" si="9"/>
        <v>Yes</v>
      </c>
      <c r="O54" s="312">
        <f t="shared" si="10"/>
        <v>0</v>
      </c>
      <c r="P54" s="63">
        <f t="shared" si="3"/>
        <v>1332.8</v>
      </c>
      <c r="Q54" s="312" t="str">
        <f t="shared" si="11"/>
        <v>Yes</v>
      </c>
      <c r="R54" s="312">
        <f t="shared" si="12"/>
        <v>0</v>
      </c>
      <c r="S54" s="15">
        <f t="shared" si="13"/>
        <v>0</v>
      </c>
      <c r="T54" s="189">
        <f>IF(AND('Total income package'!$A$22=TRUE,M54="Yes",S54&gt;9.99),MIN(S54,$I$2),0)</f>
        <v>0</v>
      </c>
    </row>
    <row r="55" spans="1:21" x14ac:dyDescent="0.25">
      <c r="A55" s="117">
        <v>23000</v>
      </c>
      <c r="B55" s="384">
        <f t="shared" si="15"/>
        <v>1916.6666666666667</v>
      </c>
      <c r="C55" s="63">
        <f>'Total income package'!$D$80</f>
        <v>0</v>
      </c>
      <c r="D55" s="63">
        <f t="shared" si="4"/>
        <v>1916.6666666666667</v>
      </c>
      <c r="E55" s="14" t="str">
        <f t="shared" si="5"/>
        <v>No</v>
      </c>
      <c r="F55" s="63">
        <f t="shared" si="0"/>
        <v>1707.6666666666667</v>
      </c>
      <c r="G55" s="63">
        <f t="shared" si="14"/>
        <v>341.53333333333336</v>
      </c>
      <c r="H55" s="63">
        <f t="shared" si="6"/>
        <v>1366.1333333333334</v>
      </c>
      <c r="I55" s="312">
        <f t="shared" si="7"/>
        <v>1366.1333333333334</v>
      </c>
      <c r="J55" s="14" t="str">
        <f t="shared" si="8"/>
        <v>No</v>
      </c>
      <c r="K55" s="63">
        <f t="shared" si="1"/>
        <v>0</v>
      </c>
      <c r="L55" s="130">
        <f>IF('Total income package'!$A$20=TRUE,MIN(IF(K55&gt;9.99,K55,0),$I$2),0)</f>
        <v>0</v>
      </c>
      <c r="M55" s="14" t="str">
        <f t="shared" si="16"/>
        <v>No</v>
      </c>
      <c r="N55" s="14" t="str">
        <f t="shared" si="9"/>
        <v>Yes</v>
      </c>
      <c r="O55" s="312">
        <f t="shared" si="10"/>
        <v>0</v>
      </c>
      <c r="P55" s="63">
        <f t="shared" si="3"/>
        <v>1366.1333333333334</v>
      </c>
      <c r="Q55" s="312" t="str">
        <f t="shared" si="11"/>
        <v>Yes</v>
      </c>
      <c r="R55" s="312">
        <f t="shared" si="12"/>
        <v>0</v>
      </c>
      <c r="S55" s="15">
        <f t="shared" si="13"/>
        <v>0</v>
      </c>
      <c r="T55" s="189">
        <f>IF(AND('Total income package'!$A$22=TRUE,M55="Yes",S55&gt;9.99),MIN(S55,$I$2),0)</f>
        <v>0</v>
      </c>
    </row>
    <row r="56" spans="1:21" x14ac:dyDescent="0.25">
      <c r="A56" s="29">
        <v>23500</v>
      </c>
      <c r="B56" s="384">
        <f t="shared" si="15"/>
        <v>1958.3333333333333</v>
      </c>
      <c r="C56" s="63">
        <f>'Total income package'!$D$80</f>
        <v>0</v>
      </c>
      <c r="D56" s="63">
        <f t="shared" si="4"/>
        <v>1958.3333333333333</v>
      </c>
      <c r="E56" s="14" t="str">
        <f t="shared" si="5"/>
        <v>No</v>
      </c>
      <c r="F56" s="63">
        <f t="shared" si="0"/>
        <v>1749.3333333333333</v>
      </c>
      <c r="G56" s="63">
        <f t="shared" si="14"/>
        <v>349.86666666666667</v>
      </c>
      <c r="H56" s="63">
        <f t="shared" si="6"/>
        <v>1399.4666666666667</v>
      </c>
      <c r="I56" s="312">
        <f t="shared" si="7"/>
        <v>1399.4666666666667</v>
      </c>
      <c r="J56" s="14" t="str">
        <f t="shared" si="8"/>
        <v>No</v>
      </c>
      <c r="K56" s="63">
        <f t="shared" si="1"/>
        <v>0</v>
      </c>
      <c r="L56" s="130">
        <f>IF('Total income package'!$A$20=TRUE,MIN(IF(K56&gt;9.99,K56,0),$I$2),0)</f>
        <v>0</v>
      </c>
      <c r="M56" s="14" t="str">
        <f t="shared" si="16"/>
        <v>No</v>
      </c>
      <c r="N56" s="14" t="str">
        <f t="shared" si="9"/>
        <v>Yes</v>
      </c>
      <c r="O56" s="312">
        <f t="shared" si="10"/>
        <v>0</v>
      </c>
      <c r="P56" s="63">
        <f t="shared" si="3"/>
        <v>1399.4666666666667</v>
      </c>
      <c r="Q56" s="312" t="str">
        <f t="shared" si="11"/>
        <v>Yes</v>
      </c>
      <c r="R56" s="312">
        <f t="shared" si="12"/>
        <v>0</v>
      </c>
      <c r="S56" s="15">
        <f t="shared" si="13"/>
        <v>0</v>
      </c>
      <c r="T56" s="189">
        <f>IF(AND('Total income package'!$A$22=TRUE,M56="Yes",S56&gt;9.99),MIN(S56,$I$2),0)</f>
        <v>0</v>
      </c>
    </row>
    <row r="57" spans="1:21" x14ac:dyDescent="0.25">
      <c r="A57" s="117">
        <v>24000</v>
      </c>
      <c r="B57" s="384">
        <f t="shared" si="15"/>
        <v>2000</v>
      </c>
      <c r="C57" s="63">
        <f>'Total income package'!$D$80</f>
        <v>0</v>
      </c>
      <c r="D57" s="63">
        <f t="shared" si="4"/>
        <v>2000</v>
      </c>
      <c r="E57" s="14" t="str">
        <f t="shared" si="5"/>
        <v>No</v>
      </c>
      <c r="F57" s="63">
        <f t="shared" si="0"/>
        <v>1791</v>
      </c>
      <c r="G57" s="63">
        <f t="shared" si="14"/>
        <v>358.20000000000005</v>
      </c>
      <c r="H57" s="63">
        <f t="shared" si="6"/>
        <v>1432.8</v>
      </c>
      <c r="I57" s="312">
        <f t="shared" si="7"/>
        <v>1432.8</v>
      </c>
      <c r="J57" s="14" t="str">
        <f t="shared" si="8"/>
        <v>No</v>
      </c>
      <c r="K57" s="63">
        <f t="shared" si="1"/>
        <v>0</v>
      </c>
      <c r="L57" s="130">
        <f>IF('Total income package'!$A$20=TRUE,MIN(IF(K57&gt;9.99,K57,0),$I$2),0)</f>
        <v>0</v>
      </c>
      <c r="M57" s="14" t="str">
        <f t="shared" si="16"/>
        <v>No</v>
      </c>
      <c r="N57" s="14" t="str">
        <f t="shared" si="9"/>
        <v>Yes</v>
      </c>
      <c r="O57" s="312">
        <f t="shared" si="10"/>
        <v>0</v>
      </c>
      <c r="P57" s="63">
        <f t="shared" si="3"/>
        <v>1432.8</v>
      </c>
      <c r="Q57" s="312" t="str">
        <f t="shared" si="11"/>
        <v>Yes</v>
      </c>
      <c r="R57" s="312">
        <f t="shared" si="12"/>
        <v>0</v>
      </c>
      <c r="S57" s="15">
        <f t="shared" si="13"/>
        <v>0</v>
      </c>
      <c r="T57" s="189">
        <f>IF(AND('Total income package'!$A$22=TRUE,M57="Yes",S57&gt;9.99),MIN(S57,$I$2),0)</f>
        <v>0</v>
      </c>
    </row>
    <row r="58" spans="1:21" x14ac:dyDescent="0.25">
      <c r="A58" s="117">
        <v>24500</v>
      </c>
      <c r="B58" s="384">
        <f t="shared" si="15"/>
        <v>2041.6666666666667</v>
      </c>
      <c r="C58" s="63">
        <f>'Total income package'!$D$80</f>
        <v>0</v>
      </c>
      <c r="D58" s="63">
        <f t="shared" si="4"/>
        <v>2041.6666666666667</v>
      </c>
      <c r="E58" s="14" t="str">
        <f t="shared" si="5"/>
        <v>No</v>
      </c>
      <c r="F58" s="63">
        <f t="shared" si="0"/>
        <v>1832.6666666666667</v>
      </c>
      <c r="G58" s="63">
        <f t="shared" si="14"/>
        <v>366.53333333333336</v>
      </c>
      <c r="H58" s="63">
        <f t="shared" si="6"/>
        <v>1466.1333333333334</v>
      </c>
      <c r="I58" s="312">
        <f t="shared" si="7"/>
        <v>1466.1333333333334</v>
      </c>
      <c r="J58" s="14" t="str">
        <f t="shared" si="8"/>
        <v>No</v>
      </c>
      <c r="K58" s="63">
        <f t="shared" si="1"/>
        <v>0</v>
      </c>
      <c r="L58" s="130">
        <f>IF('Total income package'!$A$20=TRUE,MIN(IF(K58&gt;9.99,K58,0),$I$2),0)</f>
        <v>0</v>
      </c>
      <c r="M58" s="14" t="str">
        <f t="shared" si="16"/>
        <v>No</v>
      </c>
      <c r="N58" s="14" t="str">
        <f t="shared" si="9"/>
        <v>Yes</v>
      </c>
      <c r="O58" s="312">
        <f t="shared" si="10"/>
        <v>0</v>
      </c>
      <c r="P58" s="63">
        <f t="shared" si="3"/>
        <v>1466.1333333333334</v>
      </c>
      <c r="Q58" s="312" t="str">
        <f t="shared" si="11"/>
        <v>Yes</v>
      </c>
      <c r="R58" s="312">
        <f t="shared" si="12"/>
        <v>0</v>
      </c>
      <c r="S58" s="15">
        <f t="shared" si="13"/>
        <v>0</v>
      </c>
      <c r="T58" s="189">
        <f>IF(AND('Total income package'!$A$22=TRUE,M58="Yes",S58&gt;9.99),MIN(S58,$I$2),0)</f>
        <v>0</v>
      </c>
    </row>
    <row r="59" spans="1:21" x14ac:dyDescent="0.25">
      <c r="A59" s="29">
        <v>25000</v>
      </c>
      <c r="B59" s="384">
        <f t="shared" si="15"/>
        <v>2083.3333333333335</v>
      </c>
      <c r="C59" s="63">
        <f>'Total income package'!$D$80</f>
        <v>0</v>
      </c>
      <c r="D59" s="63">
        <f t="shared" si="4"/>
        <v>2083.3333333333335</v>
      </c>
      <c r="E59" s="14" t="str">
        <f t="shared" si="5"/>
        <v>No</v>
      </c>
      <c r="F59" s="63">
        <f t="shared" si="0"/>
        <v>1874.3333333333335</v>
      </c>
      <c r="G59" s="63">
        <f t="shared" si="14"/>
        <v>374.86666666666673</v>
      </c>
      <c r="H59" s="63">
        <f t="shared" si="6"/>
        <v>1499.4666666666667</v>
      </c>
      <c r="I59" s="312">
        <f t="shared" si="7"/>
        <v>1499.4666666666667</v>
      </c>
      <c r="J59" s="14" t="str">
        <f t="shared" si="8"/>
        <v>No</v>
      </c>
      <c r="K59" s="63">
        <f t="shared" si="1"/>
        <v>0</v>
      </c>
      <c r="L59" s="130">
        <f>IF('Total income package'!$A$20=TRUE,MIN(IF(K59&gt;9.99,K59,0),$I$2),0)</f>
        <v>0</v>
      </c>
      <c r="M59" s="14" t="str">
        <f t="shared" si="16"/>
        <v>No</v>
      </c>
      <c r="N59" s="14" t="str">
        <f t="shared" si="9"/>
        <v>Yes</v>
      </c>
      <c r="O59" s="312">
        <f t="shared" si="10"/>
        <v>0</v>
      </c>
      <c r="P59" s="63">
        <f t="shared" si="3"/>
        <v>1499.4666666666667</v>
      </c>
      <c r="Q59" s="312" t="str">
        <f t="shared" si="11"/>
        <v>Yes</v>
      </c>
      <c r="R59" s="312">
        <f t="shared" si="12"/>
        <v>0</v>
      </c>
      <c r="S59" s="15">
        <f t="shared" si="13"/>
        <v>0</v>
      </c>
      <c r="T59" s="189">
        <f>IF(AND('Total income package'!$A$22=TRUE,M59="Yes",S59&gt;9.99),MIN(S59,$I$2),0)</f>
        <v>0</v>
      </c>
    </row>
    <row r="60" spans="1:21" x14ac:dyDescent="0.25">
      <c r="A60" s="117">
        <v>25500</v>
      </c>
      <c r="B60" s="384">
        <f t="shared" si="15"/>
        <v>2125</v>
      </c>
      <c r="C60" s="63">
        <f>'Total income package'!$D$80</f>
        <v>0</v>
      </c>
      <c r="D60" s="63">
        <f t="shared" si="4"/>
        <v>2125</v>
      </c>
      <c r="E60" s="14" t="str">
        <f t="shared" si="5"/>
        <v>No</v>
      </c>
      <c r="F60" s="63">
        <f t="shared" si="0"/>
        <v>1916</v>
      </c>
      <c r="G60" s="63">
        <f t="shared" si="14"/>
        <v>383.20000000000005</v>
      </c>
      <c r="H60" s="63">
        <f t="shared" si="6"/>
        <v>1532.8</v>
      </c>
      <c r="I60" s="312">
        <f t="shared" si="7"/>
        <v>1532.8</v>
      </c>
      <c r="J60" s="14" t="str">
        <f t="shared" si="8"/>
        <v>No</v>
      </c>
      <c r="K60" s="63">
        <f t="shared" si="1"/>
        <v>0</v>
      </c>
      <c r="L60" s="130">
        <f>IF('Total income package'!$A$20=TRUE,MIN(IF(K60&gt;9.99,K60,0),$I$2),0)</f>
        <v>0</v>
      </c>
      <c r="M60" s="14" t="str">
        <f t="shared" si="16"/>
        <v>No</v>
      </c>
      <c r="N60" s="14" t="str">
        <f t="shared" si="9"/>
        <v>Yes</v>
      </c>
      <c r="O60" s="312">
        <f t="shared" si="10"/>
        <v>0</v>
      </c>
      <c r="P60" s="63">
        <f t="shared" si="3"/>
        <v>1532.8</v>
      </c>
      <c r="Q60" s="312" t="str">
        <f t="shared" si="11"/>
        <v>Yes</v>
      </c>
      <c r="R60" s="312">
        <f t="shared" si="12"/>
        <v>0</v>
      </c>
      <c r="S60" s="15">
        <f t="shared" si="13"/>
        <v>0</v>
      </c>
      <c r="T60" s="189">
        <f>IF(AND('Total income package'!$A$22=TRUE,M60="Yes",S60&gt;9.99),MIN(S60,$I$2),0)</f>
        <v>0</v>
      </c>
    </row>
    <row r="61" spans="1:21" x14ac:dyDescent="0.25">
      <c r="A61" s="117">
        <v>26000</v>
      </c>
      <c r="B61" s="384">
        <f t="shared" si="15"/>
        <v>2166.6666666666665</v>
      </c>
      <c r="C61" s="63">
        <f>'Total income package'!$D$80</f>
        <v>0</v>
      </c>
      <c r="D61" s="63">
        <f t="shared" si="4"/>
        <v>2166.6666666666665</v>
      </c>
      <c r="E61" s="14" t="str">
        <f t="shared" si="5"/>
        <v>No</v>
      </c>
      <c r="F61" s="63">
        <f t="shared" si="0"/>
        <v>1957.6666666666665</v>
      </c>
      <c r="G61" s="63">
        <f t="shared" si="14"/>
        <v>391.5333333333333</v>
      </c>
      <c r="H61" s="63">
        <f t="shared" si="6"/>
        <v>1566.1333333333332</v>
      </c>
      <c r="I61" s="312">
        <f t="shared" si="7"/>
        <v>1566.1333333333332</v>
      </c>
      <c r="J61" s="14" t="str">
        <f t="shared" si="8"/>
        <v>No</v>
      </c>
      <c r="K61" s="63">
        <f t="shared" si="1"/>
        <v>0</v>
      </c>
      <c r="L61" s="130">
        <f>IF('Total income package'!$A$20=TRUE,MIN(IF(K61&gt;9.99,K61,0),$I$2),0)</f>
        <v>0</v>
      </c>
      <c r="M61" s="14" t="str">
        <f t="shared" si="16"/>
        <v>No</v>
      </c>
      <c r="N61" s="14" t="str">
        <f t="shared" si="9"/>
        <v>Yes</v>
      </c>
      <c r="O61" s="312">
        <f t="shared" si="10"/>
        <v>0</v>
      </c>
      <c r="P61" s="63">
        <f t="shared" si="3"/>
        <v>1566.1333333333332</v>
      </c>
      <c r="Q61" s="312" t="str">
        <f t="shared" si="11"/>
        <v>Yes</v>
      </c>
      <c r="R61" s="312">
        <f t="shared" si="12"/>
        <v>0</v>
      </c>
      <c r="S61" s="15">
        <f t="shared" si="13"/>
        <v>0</v>
      </c>
      <c r="T61" s="189">
        <f>IF(AND('Total income package'!$A$22=TRUE,M61="Yes",S61&gt;9.99),MIN(S61,$I$2),0)</f>
        <v>0</v>
      </c>
    </row>
    <row r="62" spans="1:21" x14ac:dyDescent="0.25">
      <c r="A62" s="29">
        <v>26500</v>
      </c>
      <c r="B62" s="384">
        <f t="shared" si="15"/>
        <v>2208.3333333333335</v>
      </c>
      <c r="C62" s="63">
        <f>'Total income package'!$D$80</f>
        <v>0</v>
      </c>
      <c r="D62" s="63">
        <f t="shared" si="4"/>
        <v>2208.3333333333335</v>
      </c>
      <c r="E62" s="14" t="str">
        <f t="shared" si="5"/>
        <v>No</v>
      </c>
      <c r="F62" s="63">
        <f t="shared" si="0"/>
        <v>1999.3333333333335</v>
      </c>
      <c r="G62" s="63">
        <f t="shared" si="14"/>
        <v>399.86666666666673</v>
      </c>
      <c r="H62" s="63">
        <f t="shared" si="6"/>
        <v>1599.4666666666667</v>
      </c>
      <c r="I62" s="312">
        <f t="shared" si="7"/>
        <v>1599.4666666666667</v>
      </c>
      <c r="J62" s="14" t="str">
        <f t="shared" si="8"/>
        <v>No</v>
      </c>
      <c r="K62" s="63">
        <f t="shared" si="1"/>
        <v>0</v>
      </c>
      <c r="L62" s="130">
        <f>IF('Total income package'!$A$20=TRUE,MIN(IF(K62&gt;9.99,K62,0),$I$2),0)</f>
        <v>0</v>
      </c>
      <c r="M62" s="14" t="str">
        <f t="shared" si="16"/>
        <v>No</v>
      </c>
      <c r="N62" s="14" t="str">
        <f t="shared" si="9"/>
        <v>Yes</v>
      </c>
      <c r="O62" s="312">
        <f t="shared" si="10"/>
        <v>0</v>
      </c>
      <c r="P62" s="63">
        <f t="shared" si="3"/>
        <v>1599.4666666666667</v>
      </c>
      <c r="Q62" s="312" t="str">
        <f t="shared" si="11"/>
        <v>Yes</v>
      </c>
      <c r="R62" s="312">
        <f t="shared" si="12"/>
        <v>0</v>
      </c>
      <c r="S62" s="15">
        <f t="shared" si="13"/>
        <v>0</v>
      </c>
      <c r="T62" s="189">
        <f>IF(AND('Total income package'!$A$22=TRUE,M62="Yes",S62&gt;9.99),MIN(S62,$I$2),0)</f>
        <v>0</v>
      </c>
    </row>
    <row r="63" spans="1:21" x14ac:dyDescent="0.25">
      <c r="A63" s="117">
        <v>27000</v>
      </c>
      <c r="B63" s="384">
        <f t="shared" si="15"/>
        <v>2250</v>
      </c>
      <c r="C63" s="63">
        <f>'Total income package'!$D$80</f>
        <v>0</v>
      </c>
      <c r="D63" s="63">
        <f t="shared" si="4"/>
        <v>2250</v>
      </c>
      <c r="E63" s="14" t="str">
        <f t="shared" si="5"/>
        <v>No</v>
      </c>
      <c r="F63" s="63">
        <f t="shared" si="0"/>
        <v>2041</v>
      </c>
      <c r="G63" s="63">
        <f t="shared" si="14"/>
        <v>408.20000000000005</v>
      </c>
      <c r="H63" s="63">
        <f t="shared" si="6"/>
        <v>1632.8</v>
      </c>
      <c r="I63" s="312">
        <f t="shared" si="7"/>
        <v>1632.8</v>
      </c>
      <c r="J63" s="14" t="str">
        <f t="shared" si="8"/>
        <v>No</v>
      </c>
      <c r="K63" s="63">
        <f t="shared" si="1"/>
        <v>0</v>
      </c>
      <c r="L63" s="130">
        <f>IF('Total income package'!$A$20=TRUE,MIN(IF(K63&gt;9.99,K63,0),$I$2),0)</f>
        <v>0</v>
      </c>
      <c r="M63" s="14" t="str">
        <f t="shared" si="16"/>
        <v>No</v>
      </c>
      <c r="N63" s="14" t="str">
        <f t="shared" si="9"/>
        <v>Yes</v>
      </c>
      <c r="O63" s="312">
        <f t="shared" si="10"/>
        <v>0</v>
      </c>
      <c r="P63" s="63">
        <f t="shared" si="3"/>
        <v>1632.8</v>
      </c>
      <c r="Q63" s="312" t="str">
        <f t="shared" si="11"/>
        <v>Yes</v>
      </c>
      <c r="R63" s="312">
        <f t="shared" si="12"/>
        <v>0</v>
      </c>
      <c r="S63" s="15">
        <f t="shared" si="13"/>
        <v>0</v>
      </c>
      <c r="T63" s="189">
        <f>IF(AND('Total income package'!$A$22=TRUE,M63="Yes",S63&gt;9.99),MIN(S63,$I$2),0)</f>
        <v>0</v>
      </c>
      <c r="U63" s="7"/>
    </row>
    <row r="64" spans="1:21" x14ac:dyDescent="0.25">
      <c r="A64" s="117">
        <v>27500</v>
      </c>
      <c r="B64" s="384">
        <f t="shared" si="15"/>
        <v>2291.6666666666665</v>
      </c>
      <c r="C64" s="63">
        <f>'Total income package'!$D$80</f>
        <v>0</v>
      </c>
      <c r="D64" s="63">
        <f t="shared" si="4"/>
        <v>2291.6666666666665</v>
      </c>
      <c r="E64" s="14" t="str">
        <f t="shared" si="5"/>
        <v>No</v>
      </c>
      <c r="F64" s="63">
        <f t="shared" si="0"/>
        <v>2082.6666666666665</v>
      </c>
      <c r="G64" s="63">
        <f t="shared" si="14"/>
        <v>416.5333333333333</v>
      </c>
      <c r="H64" s="63">
        <f t="shared" si="6"/>
        <v>1666.1333333333332</v>
      </c>
      <c r="I64" s="312">
        <f t="shared" si="7"/>
        <v>1666.1333333333332</v>
      </c>
      <c r="J64" s="14" t="str">
        <f t="shared" si="8"/>
        <v>No</v>
      </c>
      <c r="K64" s="63">
        <f t="shared" si="1"/>
        <v>0</v>
      </c>
      <c r="L64" s="130">
        <f>IF('Total income package'!$A$20=TRUE,MIN(IF(K64&gt;9.99,K64,0),$I$2),0)</f>
        <v>0</v>
      </c>
      <c r="M64" s="14" t="str">
        <f t="shared" si="16"/>
        <v>No</v>
      </c>
      <c r="N64" s="14" t="str">
        <f t="shared" si="9"/>
        <v>Yes</v>
      </c>
      <c r="O64" s="312">
        <f t="shared" si="10"/>
        <v>0</v>
      </c>
      <c r="P64" s="63">
        <f t="shared" si="3"/>
        <v>1666.1333333333332</v>
      </c>
      <c r="Q64" s="312" t="str">
        <f t="shared" si="11"/>
        <v>Yes</v>
      </c>
      <c r="R64" s="312">
        <f t="shared" si="12"/>
        <v>0</v>
      </c>
      <c r="S64" s="15">
        <f t="shared" si="13"/>
        <v>0</v>
      </c>
      <c r="T64" s="189">
        <f>IF(AND('Total income package'!$A$22=TRUE,M64="Yes",S64&gt;9.99),MIN(S64,$I$2),0)</f>
        <v>0</v>
      </c>
    </row>
    <row r="65" spans="1:20" x14ac:dyDescent="0.25">
      <c r="A65" s="29">
        <v>28000</v>
      </c>
      <c r="B65" s="384">
        <f t="shared" si="15"/>
        <v>2333.3333333333335</v>
      </c>
      <c r="C65" s="63">
        <f>'Total income package'!$D$80</f>
        <v>0</v>
      </c>
      <c r="D65" s="63">
        <f t="shared" si="4"/>
        <v>2333.3333333333335</v>
      </c>
      <c r="E65" s="14" t="str">
        <f t="shared" si="5"/>
        <v>No</v>
      </c>
      <c r="F65" s="63">
        <f t="shared" si="0"/>
        <v>2124.3333333333335</v>
      </c>
      <c r="G65" s="63">
        <f t="shared" si="14"/>
        <v>424.86666666666673</v>
      </c>
      <c r="H65" s="63">
        <f t="shared" si="6"/>
        <v>1699.4666666666667</v>
      </c>
      <c r="I65" s="312">
        <f t="shared" si="7"/>
        <v>1699.4666666666667</v>
      </c>
      <c r="J65" s="14" t="str">
        <f t="shared" si="8"/>
        <v>No</v>
      </c>
      <c r="K65" s="63">
        <f t="shared" si="1"/>
        <v>0</v>
      </c>
      <c r="L65" s="130">
        <f>IF('Total income package'!$A$20=TRUE,MIN(IF(K65&gt;9.99,K65,0),$I$2),0)</f>
        <v>0</v>
      </c>
      <c r="M65" s="14" t="str">
        <f t="shared" si="16"/>
        <v>No</v>
      </c>
      <c r="N65" s="14" t="str">
        <f t="shared" si="9"/>
        <v>Yes</v>
      </c>
      <c r="O65" s="312">
        <f t="shared" si="10"/>
        <v>0</v>
      </c>
      <c r="P65" s="63">
        <f t="shared" si="3"/>
        <v>1699.4666666666667</v>
      </c>
      <c r="Q65" s="312" t="str">
        <f t="shared" si="11"/>
        <v>Yes</v>
      </c>
      <c r="R65" s="312">
        <f t="shared" si="12"/>
        <v>0</v>
      </c>
      <c r="S65" s="15">
        <f t="shared" si="13"/>
        <v>0</v>
      </c>
      <c r="T65" s="189">
        <f>IF(AND('Total income package'!$A$22=TRUE,M65="Yes",S65&gt;9.99),MIN(S65,$I$2),0)</f>
        <v>0</v>
      </c>
    </row>
    <row r="66" spans="1:20" x14ac:dyDescent="0.25">
      <c r="A66" s="117">
        <v>28500</v>
      </c>
      <c r="B66" s="384">
        <f t="shared" si="15"/>
        <v>2375</v>
      </c>
      <c r="C66" s="63">
        <f>'Total income package'!$D$80</f>
        <v>0</v>
      </c>
      <c r="D66" s="63">
        <f t="shared" si="4"/>
        <v>2375</v>
      </c>
      <c r="E66" s="14" t="str">
        <f t="shared" si="5"/>
        <v>No</v>
      </c>
      <c r="F66" s="63">
        <f t="shared" si="0"/>
        <v>2166</v>
      </c>
      <c r="G66" s="63">
        <f t="shared" si="14"/>
        <v>433.20000000000005</v>
      </c>
      <c r="H66" s="63">
        <f t="shared" si="6"/>
        <v>1732.8</v>
      </c>
      <c r="I66" s="312">
        <f t="shared" si="7"/>
        <v>1732.8</v>
      </c>
      <c r="J66" s="14" t="str">
        <f t="shared" si="8"/>
        <v>No</v>
      </c>
      <c r="K66" s="63">
        <f t="shared" si="1"/>
        <v>0</v>
      </c>
      <c r="L66" s="130">
        <f>IF('Total income package'!$A$20=TRUE,MIN(IF(K66&gt;9.99,K66,0),$I$2),0)</f>
        <v>0</v>
      </c>
      <c r="M66" s="14" t="str">
        <f t="shared" si="16"/>
        <v>No</v>
      </c>
      <c r="N66" s="14" t="str">
        <f t="shared" si="9"/>
        <v>Yes</v>
      </c>
      <c r="O66" s="312">
        <f t="shared" si="10"/>
        <v>0</v>
      </c>
      <c r="P66" s="63">
        <f t="shared" si="3"/>
        <v>1732.8</v>
      </c>
      <c r="Q66" s="312" t="str">
        <f t="shared" si="11"/>
        <v>Yes</v>
      </c>
      <c r="R66" s="312">
        <f t="shared" si="12"/>
        <v>0</v>
      </c>
      <c r="S66" s="15">
        <f t="shared" si="13"/>
        <v>0</v>
      </c>
      <c r="T66" s="189">
        <f>IF(AND('Total income package'!$A$22=TRUE,M66="Yes",S66&gt;9.99),MIN(S66,$I$2),0)</f>
        <v>0</v>
      </c>
    </row>
    <row r="67" spans="1:20" x14ac:dyDescent="0.25">
      <c r="A67" s="117">
        <v>29000</v>
      </c>
      <c r="B67" s="384">
        <f t="shared" si="15"/>
        <v>2416.6666666666665</v>
      </c>
      <c r="C67" s="63">
        <f>'Total income package'!$D$80</f>
        <v>0</v>
      </c>
      <c r="D67" s="63">
        <f t="shared" si="4"/>
        <v>2416.6666666666665</v>
      </c>
      <c r="E67" s="14" t="str">
        <f t="shared" si="5"/>
        <v>No</v>
      </c>
      <c r="F67" s="63">
        <f t="shared" si="0"/>
        <v>2207.6666666666665</v>
      </c>
      <c r="G67" s="63">
        <f t="shared" si="14"/>
        <v>441.5333333333333</v>
      </c>
      <c r="H67" s="63">
        <f t="shared" si="6"/>
        <v>1766.1333333333332</v>
      </c>
      <c r="I67" s="312">
        <f t="shared" si="7"/>
        <v>1766.1333333333332</v>
      </c>
      <c r="J67" s="14" t="str">
        <f t="shared" si="8"/>
        <v>No</v>
      </c>
      <c r="K67" s="63">
        <f t="shared" si="1"/>
        <v>0</v>
      </c>
      <c r="L67" s="130">
        <f>IF('Total income package'!$A$20=TRUE,MIN(IF(K67&gt;9.99,K67,0),$I$2),0)</f>
        <v>0</v>
      </c>
      <c r="M67" s="14" t="str">
        <f t="shared" si="16"/>
        <v>No</v>
      </c>
      <c r="N67" s="14" t="str">
        <f t="shared" si="9"/>
        <v>Yes</v>
      </c>
      <c r="O67" s="312">
        <f t="shared" si="10"/>
        <v>0</v>
      </c>
      <c r="P67" s="63">
        <f t="shared" si="3"/>
        <v>1766.1333333333332</v>
      </c>
      <c r="Q67" s="312" t="str">
        <f t="shared" si="11"/>
        <v>Yes</v>
      </c>
      <c r="R67" s="312">
        <f t="shared" si="12"/>
        <v>0</v>
      </c>
      <c r="S67" s="15">
        <f t="shared" si="13"/>
        <v>0</v>
      </c>
      <c r="T67" s="189">
        <f>IF(AND('Total income package'!$A$22=TRUE,M67="Yes",S67&gt;9.99),MIN(S67,$I$2),0)</f>
        <v>0</v>
      </c>
    </row>
    <row r="68" spans="1:20" x14ac:dyDescent="0.25">
      <c r="A68" s="29">
        <v>29500</v>
      </c>
      <c r="B68" s="384">
        <f t="shared" si="15"/>
        <v>2458.3333333333335</v>
      </c>
      <c r="C68" s="63">
        <f>'Total income package'!$D$80</f>
        <v>0</v>
      </c>
      <c r="D68" s="63">
        <f t="shared" si="4"/>
        <v>2458.3333333333335</v>
      </c>
      <c r="E68" s="14" t="str">
        <f t="shared" si="5"/>
        <v>No</v>
      </c>
      <c r="F68" s="63">
        <f t="shared" si="0"/>
        <v>2249.3333333333335</v>
      </c>
      <c r="G68" s="63">
        <f t="shared" si="14"/>
        <v>449.86666666666673</v>
      </c>
      <c r="H68" s="63">
        <f t="shared" si="6"/>
        <v>1799.4666666666667</v>
      </c>
      <c r="I68" s="312">
        <f t="shared" si="7"/>
        <v>1799.4666666666667</v>
      </c>
      <c r="J68" s="14" t="str">
        <f t="shared" si="8"/>
        <v>No</v>
      </c>
      <c r="K68" s="63">
        <f t="shared" si="1"/>
        <v>0</v>
      </c>
      <c r="L68" s="130">
        <f>IF('Total income package'!$A$20=TRUE,MIN(IF(K68&gt;9.99,K68,0),$I$2),0)</f>
        <v>0</v>
      </c>
      <c r="M68" s="14" t="str">
        <f t="shared" si="16"/>
        <v>No</v>
      </c>
      <c r="N68" s="14" t="str">
        <f t="shared" si="9"/>
        <v>Yes</v>
      </c>
      <c r="O68" s="312">
        <f t="shared" si="10"/>
        <v>0</v>
      </c>
      <c r="P68" s="63">
        <f t="shared" si="3"/>
        <v>1799.4666666666667</v>
      </c>
      <c r="Q68" s="312" t="str">
        <f t="shared" si="11"/>
        <v>Yes</v>
      </c>
      <c r="R68" s="312">
        <f t="shared" si="12"/>
        <v>0</v>
      </c>
      <c r="S68" s="15">
        <f t="shared" si="13"/>
        <v>0</v>
      </c>
      <c r="T68" s="189">
        <f>IF(AND('Total income package'!$A$22=TRUE,M68="Yes",S68&gt;9.99),MIN(S68,$I$2),0)</f>
        <v>0</v>
      </c>
    </row>
    <row r="69" spans="1:20" x14ac:dyDescent="0.25">
      <c r="A69" s="117">
        <v>30000</v>
      </c>
      <c r="B69" s="384">
        <f t="shared" si="15"/>
        <v>2500</v>
      </c>
      <c r="C69" s="63">
        <f>'Total income package'!$D$80</f>
        <v>0</v>
      </c>
      <c r="D69" s="63">
        <f t="shared" si="4"/>
        <v>2500</v>
      </c>
      <c r="E69" s="14" t="str">
        <f t="shared" si="5"/>
        <v>No</v>
      </c>
      <c r="F69" s="63">
        <f t="shared" si="0"/>
        <v>2291</v>
      </c>
      <c r="G69" s="63">
        <f t="shared" si="14"/>
        <v>458.20000000000005</v>
      </c>
      <c r="H69" s="63">
        <f t="shared" si="6"/>
        <v>1832.8</v>
      </c>
      <c r="I69" s="312">
        <f t="shared" si="7"/>
        <v>1832.8</v>
      </c>
      <c r="J69" s="14" t="str">
        <f t="shared" si="8"/>
        <v>No</v>
      </c>
      <c r="K69" s="63">
        <f t="shared" si="1"/>
        <v>0</v>
      </c>
      <c r="L69" s="130">
        <f>IF('Total income package'!$A$20=TRUE,MIN(IF(K69&gt;9.99,K69,0),$I$2),0)</f>
        <v>0</v>
      </c>
      <c r="M69" s="14" t="str">
        <f t="shared" si="16"/>
        <v>No</v>
      </c>
      <c r="N69" s="14" t="str">
        <f t="shared" si="9"/>
        <v>Yes</v>
      </c>
      <c r="O69" s="312">
        <f t="shared" si="10"/>
        <v>0</v>
      </c>
      <c r="P69" s="63">
        <f t="shared" si="3"/>
        <v>1832.8</v>
      </c>
      <c r="Q69" s="312" t="str">
        <f t="shared" si="11"/>
        <v>No</v>
      </c>
      <c r="R69" s="312">
        <f t="shared" si="12"/>
        <v>29.466666666666697</v>
      </c>
      <c r="S69" s="15">
        <f t="shared" si="13"/>
        <v>-29.466666666666697</v>
      </c>
      <c r="T69" s="189">
        <f>IF(AND('Total income package'!$A$22=TRUE,M69="Yes",S69&gt;9.99),MIN(S69,$I$2),0)</f>
        <v>0</v>
      </c>
    </row>
    <row r="70" spans="1:20" x14ac:dyDescent="0.25">
      <c r="A70" s="117">
        <v>30500</v>
      </c>
      <c r="B70" s="384">
        <f t="shared" si="15"/>
        <v>2541.6666666666665</v>
      </c>
      <c r="C70" s="63">
        <f>'Total income package'!$D$80</f>
        <v>0</v>
      </c>
      <c r="D70" s="63">
        <f t="shared" si="4"/>
        <v>2541.6666666666665</v>
      </c>
      <c r="E70" s="14" t="str">
        <f t="shared" si="5"/>
        <v>No</v>
      </c>
      <c r="F70" s="63">
        <f t="shared" si="0"/>
        <v>2332.6666666666665</v>
      </c>
      <c r="G70" s="63">
        <f t="shared" si="14"/>
        <v>466.5333333333333</v>
      </c>
      <c r="H70" s="63">
        <f t="shared" si="6"/>
        <v>1866.1333333333332</v>
      </c>
      <c r="I70" s="312">
        <f t="shared" si="7"/>
        <v>1866.1333333333332</v>
      </c>
      <c r="J70" s="14" t="str">
        <f t="shared" si="8"/>
        <v>No</v>
      </c>
      <c r="K70" s="63">
        <f t="shared" si="1"/>
        <v>0</v>
      </c>
      <c r="L70" s="130">
        <f>IF('Total income package'!$A$20=TRUE,MIN(IF(K70&gt;9.99,K70,0),$I$2),0)</f>
        <v>0</v>
      </c>
      <c r="M70" s="14" t="str">
        <f t="shared" si="16"/>
        <v>No</v>
      </c>
      <c r="N70" s="14" t="str">
        <f t="shared" si="9"/>
        <v>Yes</v>
      </c>
      <c r="O70" s="312">
        <f t="shared" si="10"/>
        <v>0</v>
      </c>
      <c r="P70" s="63">
        <f t="shared" si="3"/>
        <v>1866.1333333333332</v>
      </c>
      <c r="Q70" s="312" t="str">
        <f t="shared" si="11"/>
        <v>No</v>
      </c>
      <c r="R70" s="312">
        <f t="shared" si="12"/>
        <v>62.799999999999955</v>
      </c>
      <c r="S70" s="15">
        <f t="shared" si="13"/>
        <v>-62.799999999999955</v>
      </c>
      <c r="T70" s="189">
        <f>IF(AND('Total income package'!$A$22=TRUE,M70="Yes",S70&gt;9.99),MIN(S70,$I$2),0)</f>
        <v>0</v>
      </c>
    </row>
    <row r="71" spans="1:20" x14ac:dyDescent="0.25">
      <c r="A71" s="29">
        <v>31000</v>
      </c>
      <c r="B71" s="384">
        <f t="shared" si="15"/>
        <v>2583.3333333333335</v>
      </c>
      <c r="C71" s="63">
        <f>'Total income package'!$D$80</f>
        <v>0</v>
      </c>
      <c r="D71" s="63">
        <f t="shared" si="4"/>
        <v>2583.3333333333335</v>
      </c>
      <c r="E71" s="14" t="str">
        <f t="shared" si="5"/>
        <v>No</v>
      </c>
      <c r="F71" s="63">
        <f t="shared" si="0"/>
        <v>2374.3333333333335</v>
      </c>
      <c r="G71" s="63">
        <f t="shared" si="14"/>
        <v>474.86666666666673</v>
      </c>
      <c r="H71" s="63">
        <f t="shared" si="6"/>
        <v>1899.4666666666667</v>
      </c>
      <c r="I71" s="312">
        <f t="shared" si="7"/>
        <v>1899.4666666666667</v>
      </c>
      <c r="J71" s="14" t="str">
        <f t="shared" si="8"/>
        <v>No</v>
      </c>
      <c r="K71" s="63">
        <f t="shared" si="1"/>
        <v>0</v>
      </c>
      <c r="L71" s="130">
        <f>IF('Total income package'!$A$20=TRUE,MIN(IF(K71&gt;9.99,K71,0),$I$2),0)</f>
        <v>0</v>
      </c>
      <c r="M71" s="14" t="str">
        <f t="shared" si="16"/>
        <v>No</v>
      </c>
      <c r="N71" s="14" t="str">
        <f t="shared" si="9"/>
        <v>Yes</v>
      </c>
      <c r="O71" s="312">
        <f t="shared" si="10"/>
        <v>0</v>
      </c>
      <c r="P71" s="63">
        <f t="shared" si="3"/>
        <v>1899.4666666666667</v>
      </c>
      <c r="Q71" s="312" t="str">
        <f t="shared" si="11"/>
        <v>No</v>
      </c>
      <c r="R71" s="312">
        <f t="shared" si="12"/>
        <v>96.133333333333439</v>
      </c>
      <c r="S71" s="15">
        <f t="shared" si="13"/>
        <v>-96.133333333333439</v>
      </c>
      <c r="T71" s="189">
        <f>IF(AND('Total income package'!$A$22=TRUE,M71="Yes",S71&gt;9.99),MIN(S71,$I$2),0)</f>
        <v>0</v>
      </c>
    </row>
    <row r="72" spans="1:20" x14ac:dyDescent="0.25">
      <c r="A72" s="117">
        <v>31500</v>
      </c>
      <c r="B72" s="384">
        <f t="shared" si="15"/>
        <v>2625</v>
      </c>
      <c r="C72" s="63">
        <f>'Total income package'!$D$80</f>
        <v>0</v>
      </c>
      <c r="D72" s="63">
        <f t="shared" si="4"/>
        <v>2625</v>
      </c>
      <c r="E72" s="14" t="str">
        <f t="shared" si="5"/>
        <v>No</v>
      </c>
      <c r="F72" s="63">
        <f t="shared" si="0"/>
        <v>2416</v>
      </c>
      <c r="G72" s="63">
        <f t="shared" si="14"/>
        <v>483.20000000000005</v>
      </c>
      <c r="H72" s="63">
        <f t="shared" si="6"/>
        <v>1932.8</v>
      </c>
      <c r="I72" s="312">
        <f t="shared" si="7"/>
        <v>1932.8</v>
      </c>
      <c r="J72" s="14" t="str">
        <f t="shared" si="8"/>
        <v>No</v>
      </c>
      <c r="K72" s="63">
        <f t="shared" si="1"/>
        <v>0</v>
      </c>
      <c r="L72" s="130">
        <f>IF('Total income package'!$A$20=TRUE,MIN(IF(K72&gt;9.99,K72,0),$I$2),0)</f>
        <v>0</v>
      </c>
      <c r="M72" s="14" t="str">
        <f t="shared" si="16"/>
        <v>No</v>
      </c>
      <c r="N72" s="14" t="str">
        <f t="shared" si="9"/>
        <v>Yes</v>
      </c>
      <c r="O72" s="312">
        <f t="shared" si="10"/>
        <v>0</v>
      </c>
      <c r="P72" s="63">
        <f t="shared" si="3"/>
        <v>1932.8</v>
      </c>
      <c r="Q72" s="312" t="str">
        <f t="shared" si="11"/>
        <v>No</v>
      </c>
      <c r="R72" s="312">
        <f t="shared" si="12"/>
        <v>129.4666666666667</v>
      </c>
      <c r="S72" s="15">
        <f t="shared" si="13"/>
        <v>-129.4666666666667</v>
      </c>
      <c r="T72" s="189">
        <f>IF(AND('Total income package'!$A$22=TRUE,M72="Yes",S72&gt;9.99),MIN(S72,$I$2),0)</f>
        <v>0</v>
      </c>
    </row>
    <row r="73" spans="1:20" x14ac:dyDescent="0.25">
      <c r="A73" s="117">
        <v>32000</v>
      </c>
      <c r="B73" s="384">
        <f t="shared" si="15"/>
        <v>2666.6666666666665</v>
      </c>
      <c r="C73" s="63">
        <f>'Total income package'!$D$80</f>
        <v>0</v>
      </c>
      <c r="D73" s="63">
        <f t="shared" si="4"/>
        <v>2666.6666666666665</v>
      </c>
      <c r="E73" s="14" t="str">
        <f t="shared" si="5"/>
        <v>No</v>
      </c>
      <c r="F73" s="63">
        <f t="shared" ref="F73:F136" si="17">IF(B73-$D$2&gt;0,B73-$D$2,0)</f>
        <v>2457.6666666666665</v>
      </c>
      <c r="G73" s="63">
        <f t="shared" si="14"/>
        <v>491.5333333333333</v>
      </c>
      <c r="H73" s="63">
        <f t="shared" si="6"/>
        <v>1966.1333333333332</v>
      </c>
      <c r="I73" s="312">
        <f t="shared" si="7"/>
        <v>1966.1333333333332</v>
      </c>
      <c r="J73" s="14" t="str">
        <f t="shared" si="8"/>
        <v>No</v>
      </c>
      <c r="K73" s="63">
        <f t="shared" ref="K73:K136" si="18">IF(E73="Yes",MIN(IF($G$2-I73&gt;0,$G$2-I73,0),$I$2),0)</f>
        <v>0</v>
      </c>
      <c r="L73" s="130">
        <f>IF('Total income package'!$A$20=TRUE,MIN(IF(K73&gt;9.99,K73,0),$I$2),0)</f>
        <v>0</v>
      </c>
      <c r="M73" s="14" t="str">
        <f t="shared" si="16"/>
        <v>No</v>
      </c>
      <c r="N73" s="14" t="str">
        <f t="shared" si="9"/>
        <v>Yes</v>
      </c>
      <c r="O73" s="312">
        <f t="shared" si="10"/>
        <v>0</v>
      </c>
      <c r="P73" s="63">
        <f t="shared" ref="P73:P136" si="19">I73+O73</f>
        <v>1966.1333333333332</v>
      </c>
      <c r="Q73" s="312" t="str">
        <f t="shared" si="11"/>
        <v>No</v>
      </c>
      <c r="R73" s="312">
        <f t="shared" si="12"/>
        <v>162.79999999999995</v>
      </c>
      <c r="S73" s="15">
        <f t="shared" si="13"/>
        <v>-162.79999999999995</v>
      </c>
      <c r="T73" s="189">
        <f>IF(AND('Total income package'!$A$22=TRUE,M73="Yes",S73&gt;9.99),MIN(S73,$I$2),0)</f>
        <v>0</v>
      </c>
    </row>
    <row r="74" spans="1:20" x14ac:dyDescent="0.25">
      <c r="A74" s="29">
        <v>32500</v>
      </c>
      <c r="B74" s="384">
        <f t="shared" si="15"/>
        <v>2708.3333333333335</v>
      </c>
      <c r="C74" s="63">
        <f>'Total income package'!$D$80</f>
        <v>0</v>
      </c>
      <c r="D74" s="63">
        <f t="shared" ref="D74:D137" si="20">B74+C74</f>
        <v>2708.3333333333335</v>
      </c>
      <c r="E74" s="14" t="str">
        <f t="shared" ref="E74:E137" si="21">IF(D74&lt;=$F$2,"Yes","No")</f>
        <v>No</v>
      </c>
      <c r="F74" s="63">
        <f t="shared" si="17"/>
        <v>2499.3333333333335</v>
      </c>
      <c r="G74" s="63">
        <f t="shared" si="14"/>
        <v>499.86666666666673</v>
      </c>
      <c r="H74" s="63">
        <f t="shared" ref="H74:H137" si="22">F74-G74</f>
        <v>1999.4666666666667</v>
      </c>
      <c r="I74" s="312">
        <f t="shared" ref="I74:I137" si="23">C74+H74</f>
        <v>1999.4666666666667</v>
      </c>
      <c r="J74" s="14" t="str">
        <f t="shared" ref="J74:J137" si="24">IF(I74&lt;$G$2,"Yes","No")</f>
        <v>No</v>
      </c>
      <c r="K74" s="63">
        <f t="shared" si="18"/>
        <v>0</v>
      </c>
      <c r="L74" s="130">
        <f>IF('Total income package'!$A$20=TRUE,MIN(IF(K74&gt;9.99,K74,0),$I$2),0)</f>
        <v>0</v>
      </c>
      <c r="M74" s="14" t="str">
        <f t="shared" si="16"/>
        <v>No</v>
      </c>
      <c r="N74" s="14" t="str">
        <f t="shared" ref="N74:N137" si="25">IF(C74&lt;$G$2,"Yes","No")</f>
        <v>Yes</v>
      </c>
      <c r="O74" s="312">
        <f t="shared" ref="O74:O137" si="26">IF(AND(M74="Yes",N74="Yes"),MIN($G$2,$I$2),0)</f>
        <v>0</v>
      </c>
      <c r="P74" s="63">
        <f t="shared" si="19"/>
        <v>1999.4666666666667</v>
      </c>
      <c r="Q74" s="312" t="str">
        <f t="shared" ref="Q74:Q137" si="27">IF(P74&lt;$H$2,"Yes","No")</f>
        <v>No</v>
      </c>
      <c r="R74" s="312">
        <f t="shared" ref="R74:R137" si="28">IF(P74&gt;$H$2,P74-$H$2,0)</f>
        <v>196.13333333333344</v>
      </c>
      <c r="S74" s="15">
        <f t="shared" ref="S74:S137" si="29">IF(P74&gt;$H$2,O74-R74,O74)</f>
        <v>-196.13333333333344</v>
      </c>
      <c r="T74" s="189">
        <f>IF(AND('Total income package'!$A$22=TRUE,M74="Yes",S74&gt;9.99),MIN(S74,$I$2),0)</f>
        <v>0</v>
      </c>
    </row>
    <row r="75" spans="1:20" x14ac:dyDescent="0.25">
      <c r="A75" s="117">
        <v>33000</v>
      </c>
      <c r="B75" s="384">
        <f t="shared" si="15"/>
        <v>2750</v>
      </c>
      <c r="C75" s="63">
        <f>'Total income package'!$D$80</f>
        <v>0</v>
      </c>
      <c r="D75" s="63">
        <f t="shared" si="20"/>
        <v>2750</v>
      </c>
      <c r="E75" s="14" t="str">
        <f t="shared" si="21"/>
        <v>No</v>
      </c>
      <c r="F75" s="63">
        <f t="shared" si="17"/>
        <v>2541</v>
      </c>
      <c r="G75" s="63">
        <f t="shared" ref="G75:G138" si="30">F75*0.2</f>
        <v>508.20000000000005</v>
      </c>
      <c r="H75" s="63">
        <f t="shared" si="22"/>
        <v>2032.8</v>
      </c>
      <c r="I75" s="312">
        <f t="shared" si="23"/>
        <v>2032.8</v>
      </c>
      <c r="J75" s="14" t="str">
        <f t="shared" si="24"/>
        <v>No</v>
      </c>
      <c r="K75" s="63">
        <f t="shared" si="18"/>
        <v>0</v>
      </c>
      <c r="L75" s="130">
        <f>IF('Total income package'!$A$20=TRUE,MIN(IF(K75&gt;9.99,K75,0),$I$2),0)</f>
        <v>0</v>
      </c>
      <c r="M75" s="14" t="str">
        <f t="shared" si="16"/>
        <v>No</v>
      </c>
      <c r="N75" s="14" t="str">
        <f t="shared" si="25"/>
        <v>Yes</v>
      </c>
      <c r="O75" s="312">
        <f t="shared" si="26"/>
        <v>0</v>
      </c>
      <c r="P75" s="63">
        <f t="shared" si="19"/>
        <v>2032.8</v>
      </c>
      <c r="Q75" s="312" t="str">
        <f t="shared" si="27"/>
        <v>No</v>
      </c>
      <c r="R75" s="312">
        <f t="shared" si="28"/>
        <v>229.4666666666667</v>
      </c>
      <c r="S75" s="15">
        <f t="shared" si="29"/>
        <v>-229.4666666666667</v>
      </c>
      <c r="T75" s="189">
        <f>IF(AND('Total income package'!$A$22=TRUE,M75="Yes",S75&gt;9.99),MIN(S75,$I$2),0)</f>
        <v>0</v>
      </c>
    </row>
    <row r="76" spans="1:20" x14ac:dyDescent="0.25">
      <c r="A76" s="117">
        <v>33500</v>
      </c>
      <c r="B76" s="384">
        <f t="shared" ref="B76:B109" si="31">A76/12</f>
        <v>2791.6666666666665</v>
      </c>
      <c r="C76" s="63">
        <f>'Total income package'!$D$80</f>
        <v>0</v>
      </c>
      <c r="D76" s="63">
        <f t="shared" si="20"/>
        <v>2791.6666666666665</v>
      </c>
      <c r="E76" s="14" t="str">
        <f t="shared" si="21"/>
        <v>No</v>
      </c>
      <c r="F76" s="63">
        <f t="shared" si="17"/>
        <v>2582.6666666666665</v>
      </c>
      <c r="G76" s="63">
        <f t="shared" si="30"/>
        <v>516.5333333333333</v>
      </c>
      <c r="H76" s="63">
        <f t="shared" si="22"/>
        <v>2066.1333333333332</v>
      </c>
      <c r="I76" s="312">
        <f t="shared" si="23"/>
        <v>2066.1333333333332</v>
      </c>
      <c r="J76" s="14" t="str">
        <f t="shared" si="24"/>
        <v>No</v>
      </c>
      <c r="K76" s="63">
        <f t="shared" si="18"/>
        <v>0</v>
      </c>
      <c r="L76" s="130">
        <f>IF('Total income package'!$A$20=TRUE,MIN(IF(K76&gt;9.99,K76,0),$I$2),0)</f>
        <v>0</v>
      </c>
      <c r="M76" s="14" t="str">
        <f t="shared" si="16"/>
        <v>No</v>
      </c>
      <c r="N76" s="14" t="str">
        <f t="shared" si="25"/>
        <v>Yes</v>
      </c>
      <c r="O76" s="312">
        <f t="shared" si="26"/>
        <v>0</v>
      </c>
      <c r="P76" s="63">
        <f t="shared" si="19"/>
        <v>2066.1333333333332</v>
      </c>
      <c r="Q76" s="312" t="str">
        <f t="shared" si="27"/>
        <v>No</v>
      </c>
      <c r="R76" s="312">
        <f t="shared" si="28"/>
        <v>262.79999999999995</v>
      </c>
      <c r="S76" s="15">
        <f t="shared" si="29"/>
        <v>-262.79999999999995</v>
      </c>
      <c r="T76" s="189">
        <f>IF(AND('Total income package'!$A$22=TRUE,M76="Yes",S76&gt;9.99),MIN(S76,$I$2),0)</f>
        <v>0</v>
      </c>
    </row>
    <row r="77" spans="1:20" x14ac:dyDescent="0.25">
      <c r="A77" s="29">
        <v>34000</v>
      </c>
      <c r="B77" s="384">
        <f t="shared" si="31"/>
        <v>2833.3333333333335</v>
      </c>
      <c r="C77" s="63">
        <f>'Total income package'!$D$80</f>
        <v>0</v>
      </c>
      <c r="D77" s="63">
        <f t="shared" si="20"/>
        <v>2833.3333333333335</v>
      </c>
      <c r="E77" s="14" t="str">
        <f t="shared" si="21"/>
        <v>No</v>
      </c>
      <c r="F77" s="63">
        <f t="shared" si="17"/>
        <v>2624.3333333333335</v>
      </c>
      <c r="G77" s="63">
        <f t="shared" si="30"/>
        <v>524.86666666666667</v>
      </c>
      <c r="H77" s="63">
        <f t="shared" si="22"/>
        <v>2099.4666666666667</v>
      </c>
      <c r="I77" s="312">
        <f t="shared" si="23"/>
        <v>2099.4666666666667</v>
      </c>
      <c r="J77" s="14" t="str">
        <f t="shared" si="24"/>
        <v>No</v>
      </c>
      <c r="K77" s="63">
        <f t="shared" si="18"/>
        <v>0</v>
      </c>
      <c r="L77" s="130">
        <f>IF('Total income package'!$A$20=TRUE,MIN(IF(K77&gt;9.99,K77,0),$I$2),0)</f>
        <v>0</v>
      </c>
      <c r="M77" s="14" t="str">
        <f t="shared" si="16"/>
        <v>No</v>
      </c>
      <c r="N77" s="14" t="str">
        <f t="shared" si="25"/>
        <v>Yes</v>
      </c>
      <c r="O77" s="312">
        <f t="shared" si="26"/>
        <v>0</v>
      </c>
      <c r="P77" s="63">
        <f t="shared" si="19"/>
        <v>2099.4666666666667</v>
      </c>
      <c r="Q77" s="312" t="str">
        <f t="shared" si="27"/>
        <v>No</v>
      </c>
      <c r="R77" s="312">
        <f t="shared" si="28"/>
        <v>296.13333333333344</v>
      </c>
      <c r="S77" s="15">
        <f t="shared" si="29"/>
        <v>-296.13333333333344</v>
      </c>
      <c r="T77" s="189">
        <f>IF(AND('Total income package'!$A$22=TRUE,M77="Yes",S77&gt;9.99),MIN(S77,$I$2),0)</f>
        <v>0</v>
      </c>
    </row>
    <row r="78" spans="1:20" x14ac:dyDescent="0.25">
      <c r="A78" s="117">
        <v>34500</v>
      </c>
      <c r="B78" s="384">
        <f t="shared" si="31"/>
        <v>2875</v>
      </c>
      <c r="C78" s="63">
        <f>'Total income package'!$D$80</f>
        <v>0</v>
      </c>
      <c r="D78" s="63">
        <f t="shared" si="20"/>
        <v>2875</v>
      </c>
      <c r="E78" s="14" t="str">
        <f t="shared" si="21"/>
        <v>No</v>
      </c>
      <c r="F78" s="63">
        <f t="shared" si="17"/>
        <v>2666</v>
      </c>
      <c r="G78" s="63">
        <f t="shared" si="30"/>
        <v>533.20000000000005</v>
      </c>
      <c r="H78" s="63">
        <f t="shared" si="22"/>
        <v>2132.8000000000002</v>
      </c>
      <c r="I78" s="312">
        <f t="shared" si="23"/>
        <v>2132.8000000000002</v>
      </c>
      <c r="J78" s="14" t="str">
        <f t="shared" si="24"/>
        <v>No</v>
      </c>
      <c r="K78" s="63">
        <f t="shared" si="18"/>
        <v>0</v>
      </c>
      <c r="L78" s="130">
        <f>IF('Total income package'!$A$20=TRUE,MIN(IF(K78&gt;9.99,K78,0),$I$2),0)</f>
        <v>0</v>
      </c>
      <c r="M78" s="14" t="str">
        <f t="shared" si="16"/>
        <v>No</v>
      </c>
      <c r="N78" s="14" t="str">
        <f t="shared" si="25"/>
        <v>Yes</v>
      </c>
      <c r="O78" s="312">
        <f t="shared" si="26"/>
        <v>0</v>
      </c>
      <c r="P78" s="63">
        <f t="shared" si="19"/>
        <v>2132.8000000000002</v>
      </c>
      <c r="Q78" s="312" t="str">
        <f t="shared" si="27"/>
        <v>No</v>
      </c>
      <c r="R78" s="312">
        <f t="shared" si="28"/>
        <v>329.46666666666692</v>
      </c>
      <c r="S78" s="15">
        <f t="shared" si="29"/>
        <v>-329.46666666666692</v>
      </c>
      <c r="T78" s="189">
        <f>IF(AND('Total income package'!$A$22=TRUE,M78="Yes",S78&gt;9.99),MIN(S78,$I$2),0)</f>
        <v>0</v>
      </c>
    </row>
    <row r="79" spans="1:20" x14ac:dyDescent="0.25">
      <c r="A79" s="117">
        <v>35000</v>
      </c>
      <c r="B79" s="384">
        <f t="shared" si="31"/>
        <v>2916.6666666666665</v>
      </c>
      <c r="C79" s="63">
        <f>'Total income package'!$D$80</f>
        <v>0</v>
      </c>
      <c r="D79" s="63">
        <f t="shared" si="20"/>
        <v>2916.6666666666665</v>
      </c>
      <c r="E79" s="14" t="str">
        <f t="shared" si="21"/>
        <v>No</v>
      </c>
      <c r="F79" s="63">
        <f t="shared" si="17"/>
        <v>2707.6666666666665</v>
      </c>
      <c r="G79" s="63">
        <f t="shared" si="30"/>
        <v>541.5333333333333</v>
      </c>
      <c r="H79" s="63">
        <f t="shared" si="22"/>
        <v>2166.1333333333332</v>
      </c>
      <c r="I79" s="312">
        <f t="shared" si="23"/>
        <v>2166.1333333333332</v>
      </c>
      <c r="J79" s="14" t="str">
        <f t="shared" si="24"/>
        <v>No</v>
      </c>
      <c r="K79" s="63">
        <f t="shared" si="18"/>
        <v>0</v>
      </c>
      <c r="L79" s="130">
        <f>IF('Total income package'!$A$20=TRUE,MIN(IF(K79&gt;9.99,K79,0),$I$2),0)</f>
        <v>0</v>
      </c>
      <c r="M79" s="14" t="str">
        <f t="shared" si="16"/>
        <v>No</v>
      </c>
      <c r="N79" s="14" t="str">
        <f t="shared" si="25"/>
        <v>Yes</v>
      </c>
      <c r="O79" s="312">
        <f t="shared" si="26"/>
        <v>0</v>
      </c>
      <c r="P79" s="63">
        <f t="shared" si="19"/>
        <v>2166.1333333333332</v>
      </c>
      <c r="Q79" s="312" t="str">
        <f t="shared" si="27"/>
        <v>No</v>
      </c>
      <c r="R79" s="312">
        <f t="shared" si="28"/>
        <v>362.79999999999995</v>
      </c>
      <c r="S79" s="15">
        <f t="shared" si="29"/>
        <v>-362.79999999999995</v>
      </c>
      <c r="T79" s="189">
        <f>IF(AND('Total income package'!$A$22=TRUE,M79="Yes",S79&gt;9.99),MIN(S79,$I$2),0)</f>
        <v>0</v>
      </c>
    </row>
    <row r="80" spans="1:20" x14ac:dyDescent="0.25">
      <c r="A80" s="29">
        <v>35500</v>
      </c>
      <c r="B80" s="384">
        <f t="shared" si="31"/>
        <v>2958.3333333333335</v>
      </c>
      <c r="C80" s="63">
        <f>'Total income package'!$D$80</f>
        <v>0</v>
      </c>
      <c r="D80" s="63">
        <f t="shared" si="20"/>
        <v>2958.3333333333335</v>
      </c>
      <c r="E80" s="14" t="str">
        <f t="shared" si="21"/>
        <v>No</v>
      </c>
      <c r="F80" s="63">
        <f t="shared" si="17"/>
        <v>2749.3333333333335</v>
      </c>
      <c r="G80" s="63">
        <f t="shared" si="30"/>
        <v>549.86666666666667</v>
      </c>
      <c r="H80" s="63">
        <f t="shared" si="22"/>
        <v>2199.4666666666667</v>
      </c>
      <c r="I80" s="312">
        <f t="shared" si="23"/>
        <v>2199.4666666666667</v>
      </c>
      <c r="J80" s="14" t="str">
        <f t="shared" si="24"/>
        <v>No</v>
      </c>
      <c r="K80" s="63">
        <f t="shared" si="18"/>
        <v>0</v>
      </c>
      <c r="L80" s="130">
        <f>IF('Total income package'!$A$20=TRUE,MIN(IF(K80&gt;9.99,K80,0),$I$2),0)</f>
        <v>0</v>
      </c>
      <c r="M80" s="14" t="str">
        <f t="shared" si="16"/>
        <v>No</v>
      </c>
      <c r="N80" s="14" t="str">
        <f t="shared" si="25"/>
        <v>Yes</v>
      </c>
      <c r="O80" s="312">
        <f t="shared" si="26"/>
        <v>0</v>
      </c>
      <c r="P80" s="63">
        <f t="shared" si="19"/>
        <v>2199.4666666666667</v>
      </c>
      <c r="Q80" s="312" t="str">
        <f t="shared" si="27"/>
        <v>No</v>
      </c>
      <c r="R80" s="312">
        <f t="shared" si="28"/>
        <v>396.13333333333344</v>
      </c>
      <c r="S80" s="15">
        <f t="shared" si="29"/>
        <v>-396.13333333333344</v>
      </c>
      <c r="T80" s="189">
        <f>IF(AND('Total income package'!$A$22=TRUE,M80="Yes",S80&gt;9.99),MIN(S80,$I$2),0)</f>
        <v>0</v>
      </c>
    </row>
    <row r="81" spans="1:20" x14ac:dyDescent="0.25">
      <c r="A81" s="117">
        <v>36000</v>
      </c>
      <c r="B81" s="384">
        <f t="shared" si="31"/>
        <v>3000</v>
      </c>
      <c r="C81" s="63">
        <f>'Total income package'!$D$80</f>
        <v>0</v>
      </c>
      <c r="D81" s="63">
        <f t="shared" si="20"/>
        <v>3000</v>
      </c>
      <c r="E81" s="14" t="str">
        <f t="shared" si="21"/>
        <v>No</v>
      </c>
      <c r="F81" s="63">
        <f t="shared" si="17"/>
        <v>2791</v>
      </c>
      <c r="G81" s="63">
        <f t="shared" si="30"/>
        <v>558.20000000000005</v>
      </c>
      <c r="H81" s="63">
        <f t="shared" si="22"/>
        <v>2232.8000000000002</v>
      </c>
      <c r="I81" s="312">
        <f t="shared" si="23"/>
        <v>2232.8000000000002</v>
      </c>
      <c r="J81" s="14" t="str">
        <f t="shared" si="24"/>
        <v>No</v>
      </c>
      <c r="K81" s="63">
        <f t="shared" si="18"/>
        <v>0</v>
      </c>
      <c r="L81" s="130">
        <f>IF('Total income package'!$A$20=TRUE,MIN(IF(K81&gt;9.99,K81,0),$I$2),0)</f>
        <v>0</v>
      </c>
      <c r="M81" s="14" t="str">
        <f t="shared" si="16"/>
        <v>No</v>
      </c>
      <c r="N81" s="14" t="str">
        <f t="shared" si="25"/>
        <v>Yes</v>
      </c>
      <c r="O81" s="312">
        <f t="shared" si="26"/>
        <v>0</v>
      </c>
      <c r="P81" s="63">
        <f t="shared" si="19"/>
        <v>2232.8000000000002</v>
      </c>
      <c r="Q81" s="312" t="str">
        <f t="shared" si="27"/>
        <v>No</v>
      </c>
      <c r="R81" s="312">
        <f t="shared" si="28"/>
        <v>429.46666666666692</v>
      </c>
      <c r="S81" s="15">
        <f>IF(P81&gt;$H$2,O81-R81,O81)</f>
        <v>-429.46666666666692</v>
      </c>
      <c r="T81" s="189">
        <f>IF(AND('Total income package'!$A$22=TRUE,M81="Yes",S81&gt;9.99),MIN(S81,$I$2),0)</f>
        <v>0</v>
      </c>
    </row>
    <row r="82" spans="1:20" x14ac:dyDescent="0.25">
      <c r="A82" s="117">
        <v>36500</v>
      </c>
      <c r="B82" s="384">
        <f t="shared" si="31"/>
        <v>3041.6666666666665</v>
      </c>
      <c r="C82" s="63">
        <f>'Total income package'!$D$80</f>
        <v>0</v>
      </c>
      <c r="D82" s="63">
        <f t="shared" si="20"/>
        <v>3041.6666666666665</v>
      </c>
      <c r="E82" s="14" t="str">
        <f t="shared" si="21"/>
        <v>No</v>
      </c>
      <c r="F82" s="63">
        <f t="shared" si="17"/>
        <v>2832.6666666666665</v>
      </c>
      <c r="G82" s="63">
        <f t="shared" si="30"/>
        <v>566.5333333333333</v>
      </c>
      <c r="H82" s="63">
        <f t="shared" si="22"/>
        <v>2266.1333333333332</v>
      </c>
      <c r="I82" s="312">
        <f t="shared" si="23"/>
        <v>2266.1333333333332</v>
      </c>
      <c r="J82" s="14" t="str">
        <f t="shared" si="24"/>
        <v>No</v>
      </c>
      <c r="K82" s="63">
        <f t="shared" si="18"/>
        <v>0</v>
      </c>
      <c r="L82" s="130">
        <f>IF('Total income package'!$A$20=TRUE,MIN(IF(K82&gt;9.99,K82,0),$I$2),0)</f>
        <v>0</v>
      </c>
      <c r="M82" s="14" t="str">
        <f t="shared" si="16"/>
        <v>No</v>
      </c>
      <c r="N82" s="14" t="str">
        <f t="shared" si="25"/>
        <v>Yes</v>
      </c>
      <c r="O82" s="312">
        <f t="shared" si="26"/>
        <v>0</v>
      </c>
      <c r="P82" s="63">
        <f t="shared" si="19"/>
        <v>2266.1333333333332</v>
      </c>
      <c r="Q82" s="312" t="str">
        <f t="shared" si="27"/>
        <v>No</v>
      </c>
      <c r="R82" s="312">
        <f t="shared" si="28"/>
        <v>462.79999999999995</v>
      </c>
      <c r="S82" s="15">
        <f t="shared" si="29"/>
        <v>-462.79999999999995</v>
      </c>
      <c r="T82" s="189">
        <f>IF(AND('Total income package'!$A$22=TRUE,M82="Yes",S82&gt;9.99),MIN(S82,$I$2),0)</f>
        <v>0</v>
      </c>
    </row>
    <row r="83" spans="1:20" x14ac:dyDescent="0.25">
      <c r="A83" s="29">
        <v>37000</v>
      </c>
      <c r="B83" s="384">
        <f t="shared" si="31"/>
        <v>3083.3333333333335</v>
      </c>
      <c r="C83" s="63">
        <f>'Total income package'!$D$80</f>
        <v>0</v>
      </c>
      <c r="D83" s="63">
        <f t="shared" si="20"/>
        <v>3083.3333333333335</v>
      </c>
      <c r="E83" s="14" t="str">
        <f t="shared" si="21"/>
        <v>No</v>
      </c>
      <c r="F83" s="63">
        <f t="shared" si="17"/>
        <v>2874.3333333333335</v>
      </c>
      <c r="G83" s="63">
        <f t="shared" si="30"/>
        <v>574.86666666666667</v>
      </c>
      <c r="H83" s="63">
        <f t="shared" si="22"/>
        <v>2299.4666666666667</v>
      </c>
      <c r="I83" s="312">
        <f t="shared" si="23"/>
        <v>2299.4666666666667</v>
      </c>
      <c r="J83" s="14" t="str">
        <f t="shared" si="24"/>
        <v>No</v>
      </c>
      <c r="K83" s="63">
        <f t="shared" si="18"/>
        <v>0</v>
      </c>
      <c r="L83" s="130">
        <f>IF('Total income package'!$A$20=TRUE,MIN(IF(K83&gt;9.99,K83,0),$I$2),0)</f>
        <v>0</v>
      </c>
      <c r="M83" s="14" t="str">
        <f t="shared" si="16"/>
        <v>No</v>
      </c>
      <c r="N83" s="14" t="str">
        <f t="shared" si="25"/>
        <v>Yes</v>
      </c>
      <c r="O83" s="312">
        <f t="shared" si="26"/>
        <v>0</v>
      </c>
      <c r="P83" s="63">
        <f t="shared" si="19"/>
        <v>2299.4666666666667</v>
      </c>
      <c r="Q83" s="312" t="str">
        <f t="shared" si="27"/>
        <v>No</v>
      </c>
      <c r="R83" s="312">
        <f t="shared" si="28"/>
        <v>496.13333333333344</v>
      </c>
      <c r="S83" s="15">
        <f t="shared" si="29"/>
        <v>-496.13333333333344</v>
      </c>
      <c r="T83" s="189">
        <f>IF(AND('Total income package'!$A$22=TRUE,M83="Yes",S83&gt;9.99),MIN(S83,$I$2),0)</f>
        <v>0</v>
      </c>
    </row>
    <row r="84" spans="1:20" x14ac:dyDescent="0.25">
      <c r="A84" s="117">
        <v>37500</v>
      </c>
      <c r="B84" s="384">
        <f t="shared" si="31"/>
        <v>3125</v>
      </c>
      <c r="C84" s="63">
        <f>'Total income package'!$D$80</f>
        <v>0</v>
      </c>
      <c r="D84" s="63">
        <f t="shared" si="20"/>
        <v>3125</v>
      </c>
      <c r="E84" s="14" t="str">
        <f t="shared" si="21"/>
        <v>No</v>
      </c>
      <c r="F84" s="63">
        <f t="shared" si="17"/>
        <v>2916</v>
      </c>
      <c r="G84" s="63">
        <f t="shared" si="30"/>
        <v>583.20000000000005</v>
      </c>
      <c r="H84" s="63">
        <f t="shared" si="22"/>
        <v>2332.8000000000002</v>
      </c>
      <c r="I84" s="312">
        <f t="shared" si="23"/>
        <v>2332.8000000000002</v>
      </c>
      <c r="J84" s="14" t="str">
        <f t="shared" si="24"/>
        <v>No</v>
      </c>
      <c r="K84" s="63">
        <f t="shared" si="18"/>
        <v>0</v>
      </c>
      <c r="L84" s="130">
        <f>IF('Total income package'!$A$20=TRUE,MIN(IF(K84&gt;9.99,K84,0),$I$2),0)</f>
        <v>0</v>
      </c>
      <c r="M84" s="14" t="str">
        <f t="shared" si="16"/>
        <v>No</v>
      </c>
      <c r="N84" s="14" t="str">
        <f t="shared" si="25"/>
        <v>Yes</v>
      </c>
      <c r="O84" s="312">
        <f t="shared" si="26"/>
        <v>0</v>
      </c>
      <c r="P84" s="63">
        <f t="shared" si="19"/>
        <v>2332.8000000000002</v>
      </c>
      <c r="Q84" s="312" t="str">
        <f t="shared" si="27"/>
        <v>No</v>
      </c>
      <c r="R84" s="312">
        <f t="shared" si="28"/>
        <v>529.46666666666692</v>
      </c>
      <c r="S84" s="15">
        <f t="shared" si="29"/>
        <v>-529.46666666666692</v>
      </c>
      <c r="T84" s="189">
        <f>IF(AND('Total income package'!$A$22=TRUE,M84="Yes",S84&gt;9.99),MIN(S84,$I$2),0)</f>
        <v>0</v>
      </c>
    </row>
    <row r="85" spans="1:20" x14ac:dyDescent="0.25">
      <c r="A85" s="117">
        <v>38000</v>
      </c>
      <c r="B85" s="384">
        <f t="shared" si="31"/>
        <v>3166.6666666666665</v>
      </c>
      <c r="C85" s="63">
        <f>'Total income package'!$D$80</f>
        <v>0</v>
      </c>
      <c r="D85" s="63">
        <f t="shared" si="20"/>
        <v>3166.6666666666665</v>
      </c>
      <c r="E85" s="14" t="str">
        <f t="shared" si="21"/>
        <v>No</v>
      </c>
      <c r="F85" s="63">
        <f t="shared" si="17"/>
        <v>2957.6666666666665</v>
      </c>
      <c r="G85" s="63">
        <f t="shared" si="30"/>
        <v>591.5333333333333</v>
      </c>
      <c r="H85" s="63">
        <f t="shared" si="22"/>
        <v>2366.1333333333332</v>
      </c>
      <c r="I85" s="312">
        <f t="shared" si="23"/>
        <v>2366.1333333333332</v>
      </c>
      <c r="J85" s="14" t="str">
        <f t="shared" si="24"/>
        <v>No</v>
      </c>
      <c r="K85" s="63">
        <f t="shared" si="18"/>
        <v>0</v>
      </c>
      <c r="L85" s="130">
        <f>IF('Total income package'!$A$20=TRUE,MIN(IF(K85&gt;9.99,K85,0),$I$2),0)</f>
        <v>0</v>
      </c>
      <c r="M85" s="14" t="str">
        <f t="shared" si="16"/>
        <v>No</v>
      </c>
      <c r="N85" s="14" t="str">
        <f t="shared" si="25"/>
        <v>Yes</v>
      </c>
      <c r="O85" s="312">
        <f t="shared" si="26"/>
        <v>0</v>
      </c>
      <c r="P85" s="63">
        <f t="shared" si="19"/>
        <v>2366.1333333333332</v>
      </c>
      <c r="Q85" s="312" t="str">
        <f t="shared" si="27"/>
        <v>No</v>
      </c>
      <c r="R85" s="312">
        <f t="shared" si="28"/>
        <v>562.79999999999995</v>
      </c>
      <c r="S85" s="15">
        <f t="shared" si="29"/>
        <v>-562.79999999999995</v>
      </c>
      <c r="T85" s="189">
        <f>IF(AND('Total income package'!$A$22=TRUE,M85="Yes",S85&gt;9.99),MIN(S85,$I$2),0)</f>
        <v>0</v>
      </c>
    </row>
    <row r="86" spans="1:20" x14ac:dyDescent="0.25">
      <c r="A86" s="29">
        <v>38500</v>
      </c>
      <c r="B86" s="384">
        <f t="shared" si="31"/>
        <v>3208.3333333333335</v>
      </c>
      <c r="C86" s="63">
        <f>'Total income package'!$D$80</f>
        <v>0</v>
      </c>
      <c r="D86" s="63">
        <f t="shared" si="20"/>
        <v>3208.3333333333335</v>
      </c>
      <c r="E86" s="14" t="str">
        <f t="shared" si="21"/>
        <v>No</v>
      </c>
      <c r="F86" s="63">
        <f t="shared" si="17"/>
        <v>2999.3333333333335</v>
      </c>
      <c r="G86" s="63">
        <f t="shared" si="30"/>
        <v>599.86666666666667</v>
      </c>
      <c r="H86" s="63">
        <f t="shared" si="22"/>
        <v>2399.4666666666667</v>
      </c>
      <c r="I86" s="312">
        <f t="shared" si="23"/>
        <v>2399.4666666666667</v>
      </c>
      <c r="J86" s="14" t="str">
        <f t="shared" si="24"/>
        <v>No</v>
      </c>
      <c r="K86" s="63">
        <f t="shared" si="18"/>
        <v>0</v>
      </c>
      <c r="L86" s="130">
        <f>IF('Total income package'!$A$20=TRUE,MIN(IF(K86&gt;9.99,K86,0),$I$2),0)</f>
        <v>0</v>
      </c>
      <c r="M86" s="14" t="str">
        <f t="shared" si="16"/>
        <v>No</v>
      </c>
      <c r="N86" s="14" t="str">
        <f t="shared" si="25"/>
        <v>Yes</v>
      </c>
      <c r="O86" s="312">
        <f t="shared" si="26"/>
        <v>0</v>
      </c>
      <c r="P86" s="63">
        <f t="shared" si="19"/>
        <v>2399.4666666666667</v>
      </c>
      <c r="Q86" s="312" t="str">
        <f t="shared" si="27"/>
        <v>No</v>
      </c>
      <c r="R86" s="312">
        <f t="shared" si="28"/>
        <v>596.13333333333344</v>
      </c>
      <c r="S86" s="15">
        <f t="shared" si="29"/>
        <v>-596.13333333333344</v>
      </c>
      <c r="T86" s="189">
        <f>IF(AND('Total income package'!$A$22=TRUE,M86="Yes",S86&gt;9.99),MIN(S86,$I$2),0)</f>
        <v>0</v>
      </c>
    </row>
    <row r="87" spans="1:20" x14ac:dyDescent="0.25">
      <c r="A87" s="117">
        <v>39000</v>
      </c>
      <c r="B87" s="384">
        <f t="shared" si="31"/>
        <v>3250</v>
      </c>
      <c r="C87" s="63">
        <f>'Total income package'!$D$80</f>
        <v>0</v>
      </c>
      <c r="D87" s="63">
        <f t="shared" si="20"/>
        <v>3250</v>
      </c>
      <c r="E87" s="14" t="str">
        <f t="shared" si="21"/>
        <v>No</v>
      </c>
      <c r="F87" s="63">
        <f t="shared" si="17"/>
        <v>3041</v>
      </c>
      <c r="G87" s="63">
        <f t="shared" si="30"/>
        <v>608.20000000000005</v>
      </c>
      <c r="H87" s="63">
        <f t="shared" si="22"/>
        <v>2432.8000000000002</v>
      </c>
      <c r="I87" s="312">
        <f t="shared" si="23"/>
        <v>2432.8000000000002</v>
      </c>
      <c r="J87" s="14" t="str">
        <f t="shared" si="24"/>
        <v>No</v>
      </c>
      <c r="K87" s="63">
        <f t="shared" si="18"/>
        <v>0</v>
      </c>
      <c r="L87" s="130">
        <f>IF('Total income package'!$A$20=TRUE,MIN(IF(K87&gt;9.99,K87,0),$I$2),0)</f>
        <v>0</v>
      </c>
      <c r="M87" s="14" t="str">
        <f t="shared" si="16"/>
        <v>No</v>
      </c>
      <c r="N87" s="14" t="str">
        <f t="shared" si="25"/>
        <v>Yes</v>
      </c>
      <c r="O87" s="312">
        <f t="shared" si="26"/>
        <v>0</v>
      </c>
      <c r="P87" s="63">
        <f t="shared" si="19"/>
        <v>2432.8000000000002</v>
      </c>
      <c r="Q87" s="312" t="str">
        <f t="shared" si="27"/>
        <v>No</v>
      </c>
      <c r="R87" s="312">
        <f t="shared" si="28"/>
        <v>629.46666666666692</v>
      </c>
      <c r="S87" s="15">
        <f t="shared" si="29"/>
        <v>-629.46666666666692</v>
      </c>
      <c r="T87" s="189">
        <f>IF(AND('Total income package'!$A$22=TRUE,M87="Yes",S87&gt;9.99),MIN(S87,$I$2),0)</f>
        <v>0</v>
      </c>
    </row>
    <row r="88" spans="1:20" x14ac:dyDescent="0.25">
      <c r="A88" s="117">
        <v>39500</v>
      </c>
      <c r="B88" s="384">
        <f t="shared" si="31"/>
        <v>3291.6666666666665</v>
      </c>
      <c r="C88" s="63">
        <f>'Total income package'!$D$80</f>
        <v>0</v>
      </c>
      <c r="D88" s="63">
        <f t="shared" si="20"/>
        <v>3291.6666666666665</v>
      </c>
      <c r="E88" s="14" t="str">
        <f t="shared" si="21"/>
        <v>No</v>
      </c>
      <c r="F88" s="63">
        <f t="shared" si="17"/>
        <v>3082.6666666666665</v>
      </c>
      <c r="G88" s="63">
        <f t="shared" si="30"/>
        <v>616.5333333333333</v>
      </c>
      <c r="H88" s="63">
        <f t="shared" si="22"/>
        <v>2466.1333333333332</v>
      </c>
      <c r="I88" s="312">
        <f t="shared" si="23"/>
        <v>2466.1333333333332</v>
      </c>
      <c r="J88" s="14" t="str">
        <f t="shared" si="24"/>
        <v>No</v>
      </c>
      <c r="K88" s="63">
        <f t="shared" si="18"/>
        <v>0</v>
      </c>
      <c r="L88" s="130">
        <f>IF('Total income package'!$A$20=TRUE,MIN(IF(K88&gt;9.99,K88,0),$I$2),0)</f>
        <v>0</v>
      </c>
      <c r="M88" s="14" t="str">
        <f t="shared" si="16"/>
        <v>No</v>
      </c>
      <c r="N88" s="14" t="str">
        <f t="shared" si="25"/>
        <v>Yes</v>
      </c>
      <c r="O88" s="312">
        <f t="shared" si="26"/>
        <v>0</v>
      </c>
      <c r="P88" s="63">
        <f t="shared" si="19"/>
        <v>2466.1333333333332</v>
      </c>
      <c r="Q88" s="312" t="str">
        <f t="shared" si="27"/>
        <v>No</v>
      </c>
      <c r="R88" s="312">
        <f t="shared" si="28"/>
        <v>662.8</v>
      </c>
      <c r="S88" s="15">
        <f t="shared" si="29"/>
        <v>-662.8</v>
      </c>
      <c r="T88" s="189">
        <f>IF(AND('Total income package'!$A$22=TRUE,M88="Yes",S88&gt;9.99),MIN(S88,$I$2),0)</f>
        <v>0</v>
      </c>
    </row>
    <row r="89" spans="1:20" x14ac:dyDescent="0.25">
      <c r="A89" s="29">
        <v>40000</v>
      </c>
      <c r="B89" s="384">
        <f t="shared" si="31"/>
        <v>3333.3333333333335</v>
      </c>
      <c r="C89" s="63">
        <f>'Total income package'!$D$80</f>
        <v>0</v>
      </c>
      <c r="D89" s="63">
        <f t="shared" si="20"/>
        <v>3333.3333333333335</v>
      </c>
      <c r="E89" s="14" t="str">
        <f t="shared" si="21"/>
        <v>No</v>
      </c>
      <c r="F89" s="63">
        <f t="shared" si="17"/>
        <v>3124.3333333333335</v>
      </c>
      <c r="G89" s="63">
        <f t="shared" si="30"/>
        <v>624.86666666666679</v>
      </c>
      <c r="H89" s="63">
        <f t="shared" si="22"/>
        <v>2499.4666666666667</v>
      </c>
      <c r="I89" s="312">
        <f t="shared" si="23"/>
        <v>2499.4666666666667</v>
      </c>
      <c r="J89" s="14" t="str">
        <f t="shared" si="24"/>
        <v>No</v>
      </c>
      <c r="K89" s="63">
        <f t="shared" si="18"/>
        <v>0</v>
      </c>
      <c r="L89" s="130">
        <f>IF('Total income package'!$A$20=TRUE,MIN(IF(K89&gt;9.99,K89,0),$I$2),0)</f>
        <v>0</v>
      </c>
      <c r="M89" s="14" t="str">
        <f t="shared" si="16"/>
        <v>No</v>
      </c>
      <c r="N89" s="14" t="str">
        <f t="shared" si="25"/>
        <v>Yes</v>
      </c>
      <c r="O89" s="312">
        <f t="shared" si="26"/>
        <v>0</v>
      </c>
      <c r="P89" s="63">
        <f t="shared" si="19"/>
        <v>2499.4666666666667</v>
      </c>
      <c r="Q89" s="312" t="str">
        <f t="shared" si="27"/>
        <v>No</v>
      </c>
      <c r="R89" s="312">
        <f t="shared" si="28"/>
        <v>696.13333333333344</v>
      </c>
      <c r="S89" s="15">
        <f t="shared" si="29"/>
        <v>-696.13333333333344</v>
      </c>
      <c r="T89" s="189">
        <f>IF(AND('Total income package'!$A$22=TRUE,M89="Yes",S89&gt;9.99),MIN(S89,$I$2),0)</f>
        <v>0</v>
      </c>
    </row>
    <row r="90" spans="1:20" x14ac:dyDescent="0.25">
      <c r="A90" s="117">
        <v>40500</v>
      </c>
      <c r="B90" s="384">
        <f t="shared" si="31"/>
        <v>3375</v>
      </c>
      <c r="C90" s="63">
        <f>'Total income package'!$D$80</f>
        <v>0</v>
      </c>
      <c r="D90" s="63">
        <f t="shared" si="20"/>
        <v>3375</v>
      </c>
      <c r="E90" s="14" t="str">
        <f t="shared" si="21"/>
        <v>No</v>
      </c>
      <c r="F90" s="63">
        <f t="shared" si="17"/>
        <v>3166</v>
      </c>
      <c r="G90" s="63">
        <f t="shared" si="30"/>
        <v>633.20000000000005</v>
      </c>
      <c r="H90" s="63">
        <f t="shared" si="22"/>
        <v>2532.8000000000002</v>
      </c>
      <c r="I90" s="312">
        <f t="shared" si="23"/>
        <v>2532.8000000000002</v>
      </c>
      <c r="J90" s="14" t="str">
        <f t="shared" si="24"/>
        <v>No</v>
      </c>
      <c r="K90" s="63">
        <f t="shared" si="18"/>
        <v>0</v>
      </c>
      <c r="L90" s="130">
        <f>IF('Total income package'!$A$20=TRUE,MIN(IF(K90&gt;9.99,K90,0),$I$2),0)</f>
        <v>0</v>
      </c>
      <c r="M90" s="14" t="str">
        <f t="shared" si="16"/>
        <v>No</v>
      </c>
      <c r="N90" s="14" t="str">
        <f t="shared" si="25"/>
        <v>Yes</v>
      </c>
      <c r="O90" s="312">
        <f t="shared" si="26"/>
        <v>0</v>
      </c>
      <c r="P90" s="63">
        <f t="shared" si="19"/>
        <v>2532.8000000000002</v>
      </c>
      <c r="Q90" s="312" t="str">
        <f t="shared" si="27"/>
        <v>No</v>
      </c>
      <c r="R90" s="312">
        <f t="shared" si="28"/>
        <v>729.46666666666692</v>
      </c>
      <c r="S90" s="15">
        <f t="shared" si="29"/>
        <v>-729.46666666666692</v>
      </c>
      <c r="T90" s="189">
        <f>IF(AND('Total income package'!$A$22=TRUE,M90="Yes",S90&gt;9.99),MIN(S90,$I$2),0)</f>
        <v>0</v>
      </c>
    </row>
    <row r="91" spans="1:20" x14ac:dyDescent="0.25">
      <c r="A91" s="117">
        <v>41000</v>
      </c>
      <c r="B91" s="384">
        <f t="shared" si="31"/>
        <v>3416.6666666666665</v>
      </c>
      <c r="C91" s="63">
        <f>'Total income package'!$D$80</f>
        <v>0</v>
      </c>
      <c r="D91" s="63">
        <f t="shared" si="20"/>
        <v>3416.6666666666665</v>
      </c>
      <c r="E91" s="14" t="str">
        <f t="shared" si="21"/>
        <v>No</v>
      </c>
      <c r="F91" s="63">
        <f t="shared" si="17"/>
        <v>3207.6666666666665</v>
      </c>
      <c r="G91" s="63">
        <f t="shared" si="30"/>
        <v>641.5333333333333</v>
      </c>
      <c r="H91" s="63">
        <f t="shared" si="22"/>
        <v>2566.1333333333332</v>
      </c>
      <c r="I91" s="312">
        <f t="shared" si="23"/>
        <v>2566.1333333333332</v>
      </c>
      <c r="J91" s="14" t="str">
        <f t="shared" si="24"/>
        <v>No</v>
      </c>
      <c r="K91" s="63">
        <f t="shared" si="18"/>
        <v>0</v>
      </c>
      <c r="L91" s="130">
        <f>IF('Total income package'!$A$20=TRUE,MIN(IF(K91&gt;9.99,K91,0),$I$2),0)</f>
        <v>0</v>
      </c>
      <c r="M91" s="14" t="str">
        <f t="shared" ref="M91:M154" si="32">IF(D91&lt;$H$2,"Yes","No")</f>
        <v>No</v>
      </c>
      <c r="N91" s="14" t="str">
        <f t="shared" si="25"/>
        <v>Yes</v>
      </c>
      <c r="O91" s="312">
        <f t="shared" si="26"/>
        <v>0</v>
      </c>
      <c r="P91" s="63">
        <f t="shared" si="19"/>
        <v>2566.1333333333332</v>
      </c>
      <c r="Q91" s="312" t="str">
        <f t="shared" si="27"/>
        <v>No</v>
      </c>
      <c r="R91" s="312">
        <f t="shared" si="28"/>
        <v>762.8</v>
      </c>
      <c r="S91" s="15">
        <f t="shared" si="29"/>
        <v>-762.8</v>
      </c>
      <c r="T91" s="189">
        <f>IF(AND('Total income package'!$A$22=TRUE,M91="Yes",S91&gt;9.99),MIN(S91,$I$2),0)</f>
        <v>0</v>
      </c>
    </row>
    <row r="92" spans="1:20" x14ac:dyDescent="0.25">
      <c r="A92" s="29">
        <v>41500</v>
      </c>
      <c r="B92" s="384">
        <f t="shared" si="31"/>
        <v>3458.3333333333335</v>
      </c>
      <c r="C92" s="63">
        <f>'Total income package'!$D$80</f>
        <v>0</v>
      </c>
      <c r="D92" s="63">
        <f t="shared" si="20"/>
        <v>3458.3333333333335</v>
      </c>
      <c r="E92" s="14" t="str">
        <f t="shared" si="21"/>
        <v>No</v>
      </c>
      <c r="F92" s="63">
        <f t="shared" si="17"/>
        <v>3249.3333333333335</v>
      </c>
      <c r="G92" s="63">
        <f t="shared" si="30"/>
        <v>649.86666666666679</v>
      </c>
      <c r="H92" s="63">
        <f t="shared" si="22"/>
        <v>2599.4666666666667</v>
      </c>
      <c r="I92" s="312">
        <f t="shared" si="23"/>
        <v>2599.4666666666667</v>
      </c>
      <c r="J92" s="14" t="str">
        <f t="shared" si="24"/>
        <v>No</v>
      </c>
      <c r="K92" s="63">
        <f t="shared" si="18"/>
        <v>0</v>
      </c>
      <c r="L92" s="130">
        <f>IF('Total income package'!$A$20=TRUE,MIN(IF(K92&gt;9.99,K92,0),$I$2),0)</f>
        <v>0</v>
      </c>
      <c r="M92" s="14" t="str">
        <f t="shared" si="32"/>
        <v>No</v>
      </c>
      <c r="N92" s="14" t="str">
        <f t="shared" si="25"/>
        <v>Yes</v>
      </c>
      <c r="O92" s="312">
        <f t="shared" si="26"/>
        <v>0</v>
      </c>
      <c r="P92" s="63">
        <f t="shared" si="19"/>
        <v>2599.4666666666667</v>
      </c>
      <c r="Q92" s="312" t="str">
        <f t="shared" si="27"/>
        <v>No</v>
      </c>
      <c r="R92" s="312">
        <f t="shared" si="28"/>
        <v>796.13333333333344</v>
      </c>
      <c r="S92" s="15">
        <f t="shared" si="29"/>
        <v>-796.13333333333344</v>
      </c>
      <c r="T92" s="189">
        <f>IF(AND('Total income package'!$A$22=TRUE,M92="Yes",S92&gt;9.99),MIN(S92,$I$2),0)</f>
        <v>0</v>
      </c>
    </row>
    <row r="93" spans="1:20" x14ac:dyDescent="0.25">
      <c r="A93" s="117">
        <v>42000</v>
      </c>
      <c r="B93" s="384">
        <f t="shared" si="31"/>
        <v>3500</v>
      </c>
      <c r="C93" s="63">
        <f>'Total income package'!$D$80</f>
        <v>0</v>
      </c>
      <c r="D93" s="63">
        <f t="shared" si="20"/>
        <v>3500</v>
      </c>
      <c r="E93" s="14" t="str">
        <f t="shared" si="21"/>
        <v>No</v>
      </c>
      <c r="F93" s="63">
        <f t="shared" si="17"/>
        <v>3291</v>
      </c>
      <c r="G93" s="63">
        <f t="shared" si="30"/>
        <v>658.2</v>
      </c>
      <c r="H93" s="63">
        <f t="shared" si="22"/>
        <v>2632.8</v>
      </c>
      <c r="I93" s="312">
        <f t="shared" si="23"/>
        <v>2632.8</v>
      </c>
      <c r="J93" s="14" t="str">
        <f t="shared" si="24"/>
        <v>No</v>
      </c>
      <c r="K93" s="63">
        <f t="shared" si="18"/>
        <v>0</v>
      </c>
      <c r="L93" s="130">
        <f>IF('Total income package'!$A$20=TRUE,MIN(IF(K93&gt;9.99,K93,0),$I$2),0)</f>
        <v>0</v>
      </c>
      <c r="M93" s="14" t="str">
        <f t="shared" si="32"/>
        <v>No</v>
      </c>
      <c r="N93" s="14" t="str">
        <f t="shared" si="25"/>
        <v>Yes</v>
      </c>
      <c r="O93" s="312">
        <f t="shared" si="26"/>
        <v>0</v>
      </c>
      <c r="P93" s="63">
        <f t="shared" si="19"/>
        <v>2632.8</v>
      </c>
      <c r="Q93" s="312" t="str">
        <f t="shared" si="27"/>
        <v>No</v>
      </c>
      <c r="R93" s="312">
        <f t="shared" si="28"/>
        <v>829.46666666666692</v>
      </c>
      <c r="S93" s="15">
        <f t="shared" si="29"/>
        <v>-829.46666666666692</v>
      </c>
      <c r="T93" s="189">
        <f>IF(AND('Total income package'!$A$22=TRUE,M93="Yes",S93&gt;9.99),MIN(S93,$I$2),0)</f>
        <v>0</v>
      </c>
    </row>
    <row r="94" spans="1:20" x14ac:dyDescent="0.25">
      <c r="A94" s="117">
        <v>42500</v>
      </c>
      <c r="B94" s="384">
        <f t="shared" si="31"/>
        <v>3541.6666666666665</v>
      </c>
      <c r="C94" s="63">
        <f>'Total income package'!$D$80</f>
        <v>0</v>
      </c>
      <c r="D94" s="63">
        <f t="shared" si="20"/>
        <v>3541.6666666666665</v>
      </c>
      <c r="E94" s="14" t="str">
        <f t="shared" si="21"/>
        <v>No</v>
      </c>
      <c r="F94" s="63">
        <f t="shared" si="17"/>
        <v>3332.6666666666665</v>
      </c>
      <c r="G94" s="63">
        <f t="shared" si="30"/>
        <v>666.5333333333333</v>
      </c>
      <c r="H94" s="63">
        <f t="shared" si="22"/>
        <v>2666.1333333333332</v>
      </c>
      <c r="I94" s="312">
        <f t="shared" si="23"/>
        <v>2666.1333333333332</v>
      </c>
      <c r="J94" s="14" t="str">
        <f t="shared" si="24"/>
        <v>No</v>
      </c>
      <c r="K94" s="63">
        <f t="shared" si="18"/>
        <v>0</v>
      </c>
      <c r="L94" s="130">
        <f>IF('Total income package'!$A$20=TRUE,MIN(IF(K94&gt;9.99,K94,0),$I$2),0)</f>
        <v>0</v>
      </c>
      <c r="M94" s="14" t="str">
        <f t="shared" si="32"/>
        <v>No</v>
      </c>
      <c r="N94" s="14" t="str">
        <f t="shared" si="25"/>
        <v>Yes</v>
      </c>
      <c r="O94" s="312">
        <f t="shared" si="26"/>
        <v>0</v>
      </c>
      <c r="P94" s="63">
        <f t="shared" si="19"/>
        <v>2666.1333333333332</v>
      </c>
      <c r="Q94" s="312" t="str">
        <f t="shared" si="27"/>
        <v>No</v>
      </c>
      <c r="R94" s="312">
        <f t="shared" si="28"/>
        <v>862.8</v>
      </c>
      <c r="S94" s="15">
        <f t="shared" si="29"/>
        <v>-862.8</v>
      </c>
      <c r="T94" s="189">
        <f>IF(AND('Total income package'!$A$22=TRUE,M94="Yes",S94&gt;9.99),MIN(S94,$I$2),0)</f>
        <v>0</v>
      </c>
    </row>
    <row r="95" spans="1:20" x14ac:dyDescent="0.25">
      <c r="A95" s="29">
        <v>43000</v>
      </c>
      <c r="B95" s="384">
        <f t="shared" si="31"/>
        <v>3583.3333333333335</v>
      </c>
      <c r="C95" s="63">
        <f>'Total income package'!$D$80</f>
        <v>0</v>
      </c>
      <c r="D95" s="63">
        <f t="shared" si="20"/>
        <v>3583.3333333333335</v>
      </c>
      <c r="E95" s="14" t="str">
        <f t="shared" si="21"/>
        <v>No</v>
      </c>
      <c r="F95" s="63">
        <f t="shared" si="17"/>
        <v>3374.3333333333335</v>
      </c>
      <c r="G95" s="63">
        <f t="shared" si="30"/>
        <v>674.86666666666679</v>
      </c>
      <c r="H95" s="63">
        <f t="shared" si="22"/>
        <v>2699.4666666666667</v>
      </c>
      <c r="I95" s="312">
        <f t="shared" si="23"/>
        <v>2699.4666666666667</v>
      </c>
      <c r="J95" s="14" t="str">
        <f t="shared" si="24"/>
        <v>No</v>
      </c>
      <c r="K95" s="63">
        <f t="shared" si="18"/>
        <v>0</v>
      </c>
      <c r="L95" s="130">
        <f>IF('Total income package'!$A$20=TRUE,MIN(IF(K95&gt;9.99,K95,0),$I$2),0)</f>
        <v>0</v>
      </c>
      <c r="M95" s="14" t="str">
        <f t="shared" si="32"/>
        <v>No</v>
      </c>
      <c r="N95" s="14" t="str">
        <f t="shared" si="25"/>
        <v>Yes</v>
      </c>
      <c r="O95" s="312">
        <f t="shared" si="26"/>
        <v>0</v>
      </c>
      <c r="P95" s="63">
        <f t="shared" si="19"/>
        <v>2699.4666666666667</v>
      </c>
      <c r="Q95" s="312" t="str">
        <f t="shared" si="27"/>
        <v>No</v>
      </c>
      <c r="R95" s="312">
        <f t="shared" si="28"/>
        <v>896.13333333333344</v>
      </c>
      <c r="S95" s="15">
        <f t="shared" si="29"/>
        <v>-896.13333333333344</v>
      </c>
      <c r="T95" s="189">
        <f>IF(AND('Total income package'!$A$22=TRUE,M95="Yes",S95&gt;9.99),MIN(S95,$I$2),0)</f>
        <v>0</v>
      </c>
    </row>
    <row r="96" spans="1:20" x14ac:dyDescent="0.25">
      <c r="A96" s="117">
        <v>43500</v>
      </c>
      <c r="B96" s="384">
        <f t="shared" si="31"/>
        <v>3625</v>
      </c>
      <c r="C96" s="63">
        <f>'Total income package'!$D$80</f>
        <v>0</v>
      </c>
      <c r="D96" s="63">
        <f t="shared" si="20"/>
        <v>3625</v>
      </c>
      <c r="E96" s="14" t="str">
        <f t="shared" si="21"/>
        <v>No</v>
      </c>
      <c r="F96" s="63">
        <f t="shared" si="17"/>
        <v>3416</v>
      </c>
      <c r="G96" s="63">
        <f t="shared" si="30"/>
        <v>683.2</v>
      </c>
      <c r="H96" s="63">
        <f t="shared" si="22"/>
        <v>2732.8</v>
      </c>
      <c r="I96" s="312">
        <f t="shared" si="23"/>
        <v>2732.8</v>
      </c>
      <c r="J96" s="14" t="str">
        <f t="shared" si="24"/>
        <v>No</v>
      </c>
      <c r="K96" s="63">
        <f t="shared" si="18"/>
        <v>0</v>
      </c>
      <c r="L96" s="130">
        <f>IF('Total income package'!$A$20=TRUE,MIN(IF(K96&gt;9.99,K96,0),$I$2),0)</f>
        <v>0</v>
      </c>
      <c r="M96" s="14" t="str">
        <f t="shared" si="32"/>
        <v>No</v>
      </c>
      <c r="N96" s="14" t="str">
        <f t="shared" si="25"/>
        <v>Yes</v>
      </c>
      <c r="O96" s="312">
        <f t="shared" si="26"/>
        <v>0</v>
      </c>
      <c r="P96" s="63">
        <f t="shared" si="19"/>
        <v>2732.8</v>
      </c>
      <c r="Q96" s="312" t="str">
        <f t="shared" si="27"/>
        <v>No</v>
      </c>
      <c r="R96" s="312">
        <f t="shared" si="28"/>
        <v>929.46666666666692</v>
      </c>
      <c r="S96" s="15">
        <f t="shared" si="29"/>
        <v>-929.46666666666692</v>
      </c>
      <c r="T96" s="189">
        <f>IF(AND('Total income package'!$A$22=TRUE,M96="Yes",S96&gt;9.99),MIN(S96,$I$2),0)</f>
        <v>0</v>
      </c>
    </row>
    <row r="97" spans="1:20" x14ac:dyDescent="0.25">
      <c r="A97" s="117">
        <v>44000</v>
      </c>
      <c r="B97" s="384">
        <f t="shared" si="31"/>
        <v>3666.6666666666665</v>
      </c>
      <c r="C97" s="63">
        <f>'Total income package'!$D$80</f>
        <v>0</v>
      </c>
      <c r="D97" s="63">
        <f t="shared" si="20"/>
        <v>3666.6666666666665</v>
      </c>
      <c r="E97" s="14" t="str">
        <f t="shared" si="21"/>
        <v>No</v>
      </c>
      <c r="F97" s="63">
        <f t="shared" si="17"/>
        <v>3457.6666666666665</v>
      </c>
      <c r="G97" s="63">
        <f t="shared" si="30"/>
        <v>691.5333333333333</v>
      </c>
      <c r="H97" s="63">
        <f t="shared" si="22"/>
        <v>2766.1333333333332</v>
      </c>
      <c r="I97" s="312">
        <f t="shared" si="23"/>
        <v>2766.1333333333332</v>
      </c>
      <c r="J97" s="14" t="str">
        <f t="shared" si="24"/>
        <v>No</v>
      </c>
      <c r="K97" s="63">
        <f t="shared" si="18"/>
        <v>0</v>
      </c>
      <c r="L97" s="130">
        <f>IF('Total income package'!$A$20=TRUE,MIN(IF(K97&gt;9.99,K97,0),$I$2),0)</f>
        <v>0</v>
      </c>
      <c r="M97" s="14" t="str">
        <f t="shared" si="32"/>
        <v>No</v>
      </c>
      <c r="N97" s="14" t="str">
        <f t="shared" si="25"/>
        <v>Yes</v>
      </c>
      <c r="O97" s="312">
        <f t="shared" si="26"/>
        <v>0</v>
      </c>
      <c r="P97" s="63">
        <f t="shared" si="19"/>
        <v>2766.1333333333332</v>
      </c>
      <c r="Q97" s="312" t="str">
        <f t="shared" si="27"/>
        <v>No</v>
      </c>
      <c r="R97" s="312">
        <f t="shared" si="28"/>
        <v>962.8</v>
      </c>
      <c r="S97" s="15">
        <f t="shared" si="29"/>
        <v>-962.8</v>
      </c>
      <c r="T97" s="189">
        <f>IF(AND('Total income package'!$A$22=TRUE,M97="Yes",S97&gt;9.99),MIN(S97,$I$2),0)</f>
        <v>0</v>
      </c>
    </row>
    <row r="98" spans="1:20" x14ac:dyDescent="0.25">
      <c r="A98" s="29">
        <v>44500</v>
      </c>
      <c r="B98" s="384">
        <f t="shared" si="31"/>
        <v>3708.3333333333335</v>
      </c>
      <c r="C98" s="63">
        <f>'Total income package'!$D$80</f>
        <v>0</v>
      </c>
      <c r="D98" s="63">
        <f t="shared" si="20"/>
        <v>3708.3333333333335</v>
      </c>
      <c r="E98" s="14" t="str">
        <f t="shared" si="21"/>
        <v>No</v>
      </c>
      <c r="F98" s="63">
        <f t="shared" si="17"/>
        <v>3499.3333333333335</v>
      </c>
      <c r="G98" s="63">
        <f t="shared" si="30"/>
        <v>699.86666666666679</v>
      </c>
      <c r="H98" s="63">
        <f t="shared" si="22"/>
        <v>2799.4666666666667</v>
      </c>
      <c r="I98" s="312">
        <f t="shared" si="23"/>
        <v>2799.4666666666667</v>
      </c>
      <c r="J98" s="14" t="str">
        <f t="shared" si="24"/>
        <v>No</v>
      </c>
      <c r="K98" s="63">
        <f t="shared" si="18"/>
        <v>0</v>
      </c>
      <c r="L98" s="130">
        <f>IF('Total income package'!$A$20=TRUE,MIN(IF(K98&gt;9.99,K98,0),$I$2),0)</f>
        <v>0</v>
      </c>
      <c r="M98" s="14" t="str">
        <f t="shared" si="32"/>
        <v>No</v>
      </c>
      <c r="N98" s="14" t="str">
        <f t="shared" si="25"/>
        <v>Yes</v>
      </c>
      <c r="O98" s="312">
        <f t="shared" si="26"/>
        <v>0</v>
      </c>
      <c r="P98" s="63">
        <f t="shared" si="19"/>
        <v>2799.4666666666667</v>
      </c>
      <c r="Q98" s="312" t="str">
        <f t="shared" si="27"/>
        <v>No</v>
      </c>
      <c r="R98" s="312">
        <f t="shared" si="28"/>
        <v>996.13333333333344</v>
      </c>
      <c r="S98" s="15">
        <f t="shared" si="29"/>
        <v>-996.13333333333344</v>
      </c>
      <c r="T98" s="189">
        <f>IF(AND('Total income package'!$A$22=TRUE,M98="Yes",S98&gt;9.99),MIN(S98,$I$2),0)</f>
        <v>0</v>
      </c>
    </row>
    <row r="99" spans="1:20" x14ac:dyDescent="0.25">
      <c r="A99" s="117">
        <v>45000</v>
      </c>
      <c r="B99" s="384">
        <f t="shared" si="31"/>
        <v>3750</v>
      </c>
      <c r="C99" s="63">
        <f>'Total income package'!$D$80</f>
        <v>0</v>
      </c>
      <c r="D99" s="63">
        <f t="shared" si="20"/>
        <v>3750</v>
      </c>
      <c r="E99" s="14" t="str">
        <f t="shared" si="21"/>
        <v>No</v>
      </c>
      <c r="F99" s="63">
        <f t="shared" si="17"/>
        <v>3541</v>
      </c>
      <c r="G99" s="63">
        <f t="shared" si="30"/>
        <v>708.2</v>
      </c>
      <c r="H99" s="63">
        <f t="shared" si="22"/>
        <v>2832.8</v>
      </c>
      <c r="I99" s="312">
        <f t="shared" si="23"/>
        <v>2832.8</v>
      </c>
      <c r="J99" s="14" t="str">
        <f t="shared" si="24"/>
        <v>No</v>
      </c>
      <c r="K99" s="63">
        <f t="shared" si="18"/>
        <v>0</v>
      </c>
      <c r="L99" s="130">
        <f>IF('Total income package'!$A$20=TRUE,MIN(IF(K99&gt;9.99,K99,0),$I$2),0)</f>
        <v>0</v>
      </c>
      <c r="M99" s="14" t="str">
        <f t="shared" si="32"/>
        <v>No</v>
      </c>
      <c r="N99" s="14" t="str">
        <f t="shared" si="25"/>
        <v>Yes</v>
      </c>
      <c r="O99" s="312">
        <f t="shared" si="26"/>
        <v>0</v>
      </c>
      <c r="P99" s="63">
        <f t="shared" si="19"/>
        <v>2832.8</v>
      </c>
      <c r="Q99" s="312" t="str">
        <f t="shared" si="27"/>
        <v>No</v>
      </c>
      <c r="R99" s="312">
        <f t="shared" si="28"/>
        <v>1029.4666666666669</v>
      </c>
      <c r="S99" s="15">
        <f t="shared" si="29"/>
        <v>-1029.4666666666669</v>
      </c>
      <c r="T99" s="189">
        <f>IF(AND('Total income package'!$A$22=TRUE,M99="Yes",S99&gt;9.99),MIN(S99,$I$2),0)</f>
        <v>0</v>
      </c>
    </row>
    <row r="100" spans="1:20" x14ac:dyDescent="0.25">
      <c r="A100" s="117">
        <v>45500</v>
      </c>
      <c r="B100" s="384">
        <f t="shared" si="31"/>
        <v>3791.6666666666665</v>
      </c>
      <c r="C100" s="63">
        <f>'Total income package'!$D$80</f>
        <v>0</v>
      </c>
      <c r="D100" s="63">
        <f t="shared" si="20"/>
        <v>3791.6666666666665</v>
      </c>
      <c r="E100" s="14" t="str">
        <f t="shared" si="21"/>
        <v>No</v>
      </c>
      <c r="F100" s="63">
        <f t="shared" si="17"/>
        <v>3582.6666666666665</v>
      </c>
      <c r="G100" s="63">
        <f t="shared" si="30"/>
        <v>716.5333333333333</v>
      </c>
      <c r="H100" s="63">
        <f t="shared" si="22"/>
        <v>2866.1333333333332</v>
      </c>
      <c r="I100" s="312">
        <f t="shared" si="23"/>
        <v>2866.1333333333332</v>
      </c>
      <c r="J100" s="14" t="str">
        <f t="shared" si="24"/>
        <v>No</v>
      </c>
      <c r="K100" s="63">
        <f t="shared" si="18"/>
        <v>0</v>
      </c>
      <c r="L100" s="130">
        <f>IF('Total income package'!$A$20=TRUE,MIN(IF(K100&gt;9.99,K100,0),$I$2),0)</f>
        <v>0</v>
      </c>
      <c r="M100" s="14" t="str">
        <f t="shared" si="32"/>
        <v>No</v>
      </c>
      <c r="N100" s="14" t="str">
        <f t="shared" si="25"/>
        <v>Yes</v>
      </c>
      <c r="O100" s="312">
        <f t="shared" si="26"/>
        <v>0</v>
      </c>
      <c r="P100" s="63">
        <f t="shared" si="19"/>
        <v>2866.1333333333332</v>
      </c>
      <c r="Q100" s="312" t="str">
        <f t="shared" si="27"/>
        <v>No</v>
      </c>
      <c r="R100" s="312">
        <f t="shared" si="28"/>
        <v>1062.8</v>
      </c>
      <c r="S100" s="15">
        <f t="shared" si="29"/>
        <v>-1062.8</v>
      </c>
      <c r="T100" s="189">
        <f>IF(AND('Total income package'!$A$22=TRUE,M100="Yes",S100&gt;9.99),MIN(S100,$I$2),0)</f>
        <v>0</v>
      </c>
    </row>
    <row r="101" spans="1:20" x14ac:dyDescent="0.25">
      <c r="A101" s="29">
        <v>46000</v>
      </c>
      <c r="B101" s="384">
        <f>A101/12</f>
        <v>3833.3333333333335</v>
      </c>
      <c r="C101" s="63">
        <f>'Total income package'!$D$80</f>
        <v>0</v>
      </c>
      <c r="D101" s="63">
        <f t="shared" si="20"/>
        <v>3833.3333333333335</v>
      </c>
      <c r="E101" s="14" t="str">
        <f t="shared" si="21"/>
        <v>No</v>
      </c>
      <c r="F101" s="63">
        <f t="shared" si="17"/>
        <v>3624.3333333333335</v>
      </c>
      <c r="G101" s="63">
        <f t="shared" si="30"/>
        <v>724.86666666666679</v>
      </c>
      <c r="H101" s="63">
        <f t="shared" si="22"/>
        <v>2899.4666666666667</v>
      </c>
      <c r="I101" s="312">
        <f t="shared" si="23"/>
        <v>2899.4666666666667</v>
      </c>
      <c r="J101" s="14" t="str">
        <f t="shared" si="24"/>
        <v>No</v>
      </c>
      <c r="K101" s="63">
        <f t="shared" si="18"/>
        <v>0</v>
      </c>
      <c r="L101" s="130">
        <f>IF('Total income package'!$A$20=TRUE,MIN(IF(K101&gt;9.99,K101,0),$I$2),0)</f>
        <v>0</v>
      </c>
      <c r="M101" s="14" t="str">
        <f t="shared" si="32"/>
        <v>No</v>
      </c>
      <c r="N101" s="14" t="str">
        <f t="shared" si="25"/>
        <v>Yes</v>
      </c>
      <c r="O101" s="312">
        <f t="shared" si="26"/>
        <v>0</v>
      </c>
      <c r="P101" s="63">
        <f t="shared" si="19"/>
        <v>2899.4666666666667</v>
      </c>
      <c r="Q101" s="312" t="str">
        <f t="shared" si="27"/>
        <v>No</v>
      </c>
      <c r="R101" s="312">
        <f t="shared" si="28"/>
        <v>1096.1333333333334</v>
      </c>
      <c r="S101" s="15">
        <f t="shared" si="29"/>
        <v>-1096.1333333333334</v>
      </c>
      <c r="T101" s="189">
        <f>IF(AND('Total income package'!$A$22=TRUE,M101="Yes",S101&gt;9.99),MIN(S101,$I$2),0)</f>
        <v>0</v>
      </c>
    </row>
    <row r="102" spans="1:20" x14ac:dyDescent="0.25">
      <c r="A102" s="117">
        <v>46500</v>
      </c>
      <c r="B102" s="384">
        <f t="shared" si="31"/>
        <v>3875</v>
      </c>
      <c r="C102" s="63">
        <f>'Total income package'!$D$80</f>
        <v>0</v>
      </c>
      <c r="D102" s="63">
        <f t="shared" si="20"/>
        <v>3875</v>
      </c>
      <c r="E102" s="14" t="str">
        <f t="shared" si="21"/>
        <v>No</v>
      </c>
      <c r="F102" s="63">
        <f t="shared" si="17"/>
        <v>3666</v>
      </c>
      <c r="G102" s="63">
        <f t="shared" si="30"/>
        <v>733.2</v>
      </c>
      <c r="H102" s="63">
        <f t="shared" si="22"/>
        <v>2932.8</v>
      </c>
      <c r="I102" s="312">
        <f t="shared" si="23"/>
        <v>2932.8</v>
      </c>
      <c r="J102" s="14" t="str">
        <f t="shared" si="24"/>
        <v>No</v>
      </c>
      <c r="K102" s="63">
        <f t="shared" si="18"/>
        <v>0</v>
      </c>
      <c r="L102" s="130">
        <f>IF('Total income package'!$A$20=TRUE,MIN(IF(K102&gt;9.99,K102,0),$I$2),0)</f>
        <v>0</v>
      </c>
      <c r="M102" s="14" t="str">
        <f t="shared" si="32"/>
        <v>No</v>
      </c>
      <c r="N102" s="14" t="str">
        <f t="shared" si="25"/>
        <v>Yes</v>
      </c>
      <c r="O102" s="312">
        <f t="shared" si="26"/>
        <v>0</v>
      </c>
      <c r="P102" s="63">
        <f t="shared" si="19"/>
        <v>2932.8</v>
      </c>
      <c r="Q102" s="312" t="str">
        <f t="shared" si="27"/>
        <v>No</v>
      </c>
      <c r="R102" s="312">
        <f t="shared" si="28"/>
        <v>1129.4666666666669</v>
      </c>
      <c r="S102" s="15">
        <f t="shared" si="29"/>
        <v>-1129.4666666666669</v>
      </c>
      <c r="T102" s="189">
        <f>IF(AND('Total income package'!$A$22=TRUE,M102="Yes",S102&gt;9.99),MIN(S102,$I$2),0)</f>
        <v>0</v>
      </c>
    </row>
    <row r="103" spans="1:20" x14ac:dyDescent="0.25">
      <c r="A103" s="117">
        <v>47000</v>
      </c>
      <c r="B103" s="384">
        <f t="shared" si="31"/>
        <v>3916.6666666666665</v>
      </c>
      <c r="C103" s="63">
        <f>'Total income package'!$D$80</f>
        <v>0</v>
      </c>
      <c r="D103" s="63">
        <f t="shared" si="20"/>
        <v>3916.6666666666665</v>
      </c>
      <c r="E103" s="14" t="str">
        <f t="shared" si="21"/>
        <v>No</v>
      </c>
      <c r="F103" s="63">
        <f t="shared" si="17"/>
        <v>3707.6666666666665</v>
      </c>
      <c r="G103" s="63">
        <f t="shared" si="30"/>
        <v>741.5333333333333</v>
      </c>
      <c r="H103" s="63">
        <f t="shared" si="22"/>
        <v>2966.1333333333332</v>
      </c>
      <c r="I103" s="312">
        <f t="shared" si="23"/>
        <v>2966.1333333333332</v>
      </c>
      <c r="J103" s="14" t="str">
        <f t="shared" si="24"/>
        <v>No</v>
      </c>
      <c r="K103" s="63">
        <f t="shared" si="18"/>
        <v>0</v>
      </c>
      <c r="L103" s="130">
        <f>IF('Total income package'!$A$20=TRUE,MIN(IF(K103&gt;9.99,K103,0),$I$2),0)</f>
        <v>0</v>
      </c>
      <c r="M103" s="14" t="str">
        <f t="shared" si="32"/>
        <v>No</v>
      </c>
      <c r="N103" s="14" t="str">
        <f t="shared" si="25"/>
        <v>Yes</v>
      </c>
      <c r="O103" s="312">
        <f t="shared" si="26"/>
        <v>0</v>
      </c>
      <c r="P103" s="63">
        <f t="shared" si="19"/>
        <v>2966.1333333333332</v>
      </c>
      <c r="Q103" s="312" t="str">
        <f t="shared" si="27"/>
        <v>No</v>
      </c>
      <c r="R103" s="312">
        <f t="shared" si="28"/>
        <v>1162.8</v>
      </c>
      <c r="S103" s="15">
        <f t="shared" si="29"/>
        <v>-1162.8</v>
      </c>
      <c r="T103" s="189">
        <f>IF(AND('Total income package'!$A$22=TRUE,M103="Yes",S103&gt;9.99),MIN(S103,$I$2),0)</f>
        <v>0</v>
      </c>
    </row>
    <row r="104" spans="1:20" x14ac:dyDescent="0.25">
      <c r="A104" s="29">
        <v>47500</v>
      </c>
      <c r="B104" s="384">
        <f t="shared" si="31"/>
        <v>3958.3333333333335</v>
      </c>
      <c r="C104" s="63">
        <f>'Total income package'!$D$80</f>
        <v>0</v>
      </c>
      <c r="D104" s="63">
        <f t="shared" si="20"/>
        <v>3958.3333333333335</v>
      </c>
      <c r="E104" s="14" t="str">
        <f t="shared" si="21"/>
        <v>No</v>
      </c>
      <c r="F104" s="63">
        <f t="shared" si="17"/>
        <v>3749.3333333333335</v>
      </c>
      <c r="G104" s="63">
        <f t="shared" si="30"/>
        <v>749.86666666666679</v>
      </c>
      <c r="H104" s="63">
        <f t="shared" si="22"/>
        <v>2999.4666666666667</v>
      </c>
      <c r="I104" s="312">
        <f t="shared" si="23"/>
        <v>2999.4666666666667</v>
      </c>
      <c r="J104" s="14" t="str">
        <f t="shared" si="24"/>
        <v>No</v>
      </c>
      <c r="K104" s="63">
        <f t="shared" si="18"/>
        <v>0</v>
      </c>
      <c r="L104" s="130">
        <f>IF('Total income package'!$A$20=TRUE,MIN(IF(K104&gt;9.99,K104,0),$I$2),0)</f>
        <v>0</v>
      </c>
      <c r="M104" s="14" t="str">
        <f t="shared" si="32"/>
        <v>No</v>
      </c>
      <c r="N104" s="14" t="str">
        <f t="shared" si="25"/>
        <v>Yes</v>
      </c>
      <c r="O104" s="312">
        <f t="shared" si="26"/>
        <v>0</v>
      </c>
      <c r="P104" s="63">
        <f t="shared" si="19"/>
        <v>2999.4666666666667</v>
      </c>
      <c r="Q104" s="312" t="str">
        <f t="shared" si="27"/>
        <v>No</v>
      </c>
      <c r="R104" s="312">
        <f t="shared" si="28"/>
        <v>1196.1333333333334</v>
      </c>
      <c r="S104" s="15">
        <f t="shared" si="29"/>
        <v>-1196.1333333333334</v>
      </c>
      <c r="T104" s="189">
        <f>IF(AND('Total income package'!$A$22=TRUE,M104="Yes",S104&gt;9.99),MIN(S104,$I$2),0)</f>
        <v>0</v>
      </c>
    </row>
    <row r="105" spans="1:20" x14ac:dyDescent="0.25">
      <c r="A105" s="117">
        <v>48000</v>
      </c>
      <c r="B105" s="384">
        <f t="shared" si="31"/>
        <v>4000</v>
      </c>
      <c r="C105" s="63">
        <f>'Total income package'!$D$80</f>
        <v>0</v>
      </c>
      <c r="D105" s="63">
        <f t="shared" si="20"/>
        <v>4000</v>
      </c>
      <c r="E105" s="14" t="str">
        <f t="shared" si="21"/>
        <v>No</v>
      </c>
      <c r="F105" s="63">
        <f t="shared" si="17"/>
        <v>3791</v>
      </c>
      <c r="G105" s="63">
        <f t="shared" si="30"/>
        <v>758.2</v>
      </c>
      <c r="H105" s="63">
        <f t="shared" si="22"/>
        <v>3032.8</v>
      </c>
      <c r="I105" s="312">
        <f t="shared" si="23"/>
        <v>3032.8</v>
      </c>
      <c r="J105" s="14" t="str">
        <f t="shared" si="24"/>
        <v>No</v>
      </c>
      <c r="K105" s="63">
        <f t="shared" si="18"/>
        <v>0</v>
      </c>
      <c r="L105" s="130">
        <f>IF('Total income package'!$A$20=TRUE,MIN(IF(K105&gt;9.99,K105,0),$I$2),0)</f>
        <v>0</v>
      </c>
      <c r="M105" s="14" t="str">
        <f t="shared" si="32"/>
        <v>No</v>
      </c>
      <c r="N105" s="14" t="str">
        <f t="shared" si="25"/>
        <v>Yes</v>
      </c>
      <c r="O105" s="312">
        <f t="shared" si="26"/>
        <v>0</v>
      </c>
      <c r="P105" s="63">
        <f t="shared" si="19"/>
        <v>3032.8</v>
      </c>
      <c r="Q105" s="312" t="str">
        <f t="shared" si="27"/>
        <v>No</v>
      </c>
      <c r="R105" s="312">
        <f t="shared" si="28"/>
        <v>1229.4666666666669</v>
      </c>
      <c r="S105" s="15">
        <f t="shared" si="29"/>
        <v>-1229.4666666666669</v>
      </c>
      <c r="T105" s="189">
        <f>IF(AND('Total income package'!$A$22=TRUE,M105="Yes",S105&gt;9.99),MIN(S105,$I$2),0)</f>
        <v>0</v>
      </c>
    </row>
    <row r="106" spans="1:20" x14ac:dyDescent="0.25">
      <c r="A106" s="117">
        <v>48500</v>
      </c>
      <c r="B106" s="384">
        <f t="shared" si="31"/>
        <v>4041.6666666666665</v>
      </c>
      <c r="C106" s="63">
        <f>'Total income package'!$D$80</f>
        <v>0</v>
      </c>
      <c r="D106" s="63">
        <f t="shared" si="20"/>
        <v>4041.6666666666665</v>
      </c>
      <c r="E106" s="14" t="str">
        <f t="shared" si="21"/>
        <v>No</v>
      </c>
      <c r="F106" s="63">
        <f t="shared" si="17"/>
        <v>3832.6666666666665</v>
      </c>
      <c r="G106" s="63">
        <f t="shared" si="30"/>
        <v>766.5333333333333</v>
      </c>
      <c r="H106" s="63">
        <f t="shared" si="22"/>
        <v>3066.1333333333332</v>
      </c>
      <c r="I106" s="312">
        <f t="shared" si="23"/>
        <v>3066.1333333333332</v>
      </c>
      <c r="J106" s="14" t="str">
        <f t="shared" si="24"/>
        <v>No</v>
      </c>
      <c r="K106" s="63">
        <f t="shared" si="18"/>
        <v>0</v>
      </c>
      <c r="L106" s="130">
        <f>IF('Total income package'!$A$20=TRUE,MIN(IF(K106&gt;9.99,K106,0),$I$2),0)</f>
        <v>0</v>
      </c>
      <c r="M106" s="14" t="str">
        <f t="shared" si="32"/>
        <v>No</v>
      </c>
      <c r="N106" s="14" t="str">
        <f t="shared" si="25"/>
        <v>Yes</v>
      </c>
      <c r="O106" s="312">
        <f t="shared" si="26"/>
        <v>0</v>
      </c>
      <c r="P106" s="63">
        <f t="shared" si="19"/>
        <v>3066.1333333333332</v>
      </c>
      <c r="Q106" s="312" t="str">
        <f t="shared" si="27"/>
        <v>No</v>
      </c>
      <c r="R106" s="312">
        <f t="shared" si="28"/>
        <v>1262.8</v>
      </c>
      <c r="S106" s="15">
        <f t="shared" si="29"/>
        <v>-1262.8</v>
      </c>
      <c r="T106" s="189">
        <f>IF(AND('Total income package'!$A$22=TRUE,M106="Yes",S106&gt;9.99),MIN(S106,$I$2),0)</f>
        <v>0</v>
      </c>
    </row>
    <row r="107" spans="1:20" x14ac:dyDescent="0.25">
      <c r="A107" s="29">
        <v>49000</v>
      </c>
      <c r="B107" s="384">
        <f t="shared" si="31"/>
        <v>4083.3333333333335</v>
      </c>
      <c r="C107" s="63">
        <f>'Total income package'!$D$80</f>
        <v>0</v>
      </c>
      <c r="D107" s="63">
        <f t="shared" si="20"/>
        <v>4083.3333333333335</v>
      </c>
      <c r="E107" s="14" t="str">
        <f t="shared" si="21"/>
        <v>No</v>
      </c>
      <c r="F107" s="63">
        <f t="shared" si="17"/>
        <v>3874.3333333333335</v>
      </c>
      <c r="G107" s="63">
        <f t="shared" si="30"/>
        <v>774.86666666666679</v>
      </c>
      <c r="H107" s="63">
        <f t="shared" si="22"/>
        <v>3099.4666666666667</v>
      </c>
      <c r="I107" s="312">
        <f t="shared" si="23"/>
        <v>3099.4666666666667</v>
      </c>
      <c r="J107" s="14" t="str">
        <f t="shared" si="24"/>
        <v>No</v>
      </c>
      <c r="K107" s="63">
        <f t="shared" si="18"/>
        <v>0</v>
      </c>
      <c r="L107" s="130">
        <f>IF('Total income package'!$A$20=TRUE,MIN(IF(K107&gt;9.99,K107,0),$I$2),0)</f>
        <v>0</v>
      </c>
      <c r="M107" s="14" t="str">
        <f t="shared" si="32"/>
        <v>No</v>
      </c>
      <c r="N107" s="14" t="str">
        <f t="shared" si="25"/>
        <v>Yes</v>
      </c>
      <c r="O107" s="312">
        <f t="shared" si="26"/>
        <v>0</v>
      </c>
      <c r="P107" s="63">
        <f t="shared" si="19"/>
        <v>3099.4666666666667</v>
      </c>
      <c r="Q107" s="312" t="str">
        <f t="shared" si="27"/>
        <v>No</v>
      </c>
      <c r="R107" s="312">
        <f t="shared" si="28"/>
        <v>1296.1333333333334</v>
      </c>
      <c r="S107" s="15">
        <f t="shared" si="29"/>
        <v>-1296.1333333333334</v>
      </c>
      <c r="T107" s="189">
        <f>IF(AND('Total income package'!$A$22=TRUE,M107="Yes",S107&gt;9.99),MIN(S107,$I$2),0)</f>
        <v>0</v>
      </c>
    </row>
    <row r="108" spans="1:20" x14ac:dyDescent="0.25">
      <c r="A108" s="117">
        <v>49500</v>
      </c>
      <c r="B108" s="384">
        <f t="shared" si="31"/>
        <v>4125</v>
      </c>
      <c r="C108" s="63">
        <f>'Total income package'!$D$80</f>
        <v>0</v>
      </c>
      <c r="D108" s="63">
        <f t="shared" si="20"/>
        <v>4125</v>
      </c>
      <c r="E108" s="14" t="str">
        <f t="shared" si="21"/>
        <v>No</v>
      </c>
      <c r="F108" s="63">
        <f t="shared" si="17"/>
        <v>3916</v>
      </c>
      <c r="G108" s="63">
        <f t="shared" si="30"/>
        <v>783.2</v>
      </c>
      <c r="H108" s="63">
        <f t="shared" si="22"/>
        <v>3132.8</v>
      </c>
      <c r="I108" s="312">
        <f t="shared" si="23"/>
        <v>3132.8</v>
      </c>
      <c r="J108" s="14" t="str">
        <f t="shared" si="24"/>
        <v>No</v>
      </c>
      <c r="K108" s="63">
        <f t="shared" si="18"/>
        <v>0</v>
      </c>
      <c r="L108" s="130">
        <f>IF('Total income package'!$A$20=TRUE,MIN(IF(K108&gt;9.99,K108,0),$I$2),0)</f>
        <v>0</v>
      </c>
      <c r="M108" s="14" t="str">
        <f t="shared" si="32"/>
        <v>No</v>
      </c>
      <c r="N108" s="14" t="str">
        <f t="shared" si="25"/>
        <v>Yes</v>
      </c>
      <c r="O108" s="312">
        <f t="shared" si="26"/>
        <v>0</v>
      </c>
      <c r="P108" s="63">
        <f t="shared" si="19"/>
        <v>3132.8</v>
      </c>
      <c r="Q108" s="312" t="str">
        <f t="shared" si="27"/>
        <v>No</v>
      </c>
      <c r="R108" s="312">
        <f t="shared" si="28"/>
        <v>1329.4666666666669</v>
      </c>
      <c r="S108" s="15">
        <f t="shared" si="29"/>
        <v>-1329.4666666666669</v>
      </c>
      <c r="T108" s="189">
        <f>IF(AND('Total income package'!$A$22=TRUE,M108="Yes",S108&gt;9.99),MIN(S108,$I$2),0)</f>
        <v>0</v>
      </c>
    </row>
    <row r="109" spans="1:20" x14ac:dyDescent="0.25">
      <c r="A109" s="117">
        <v>50000</v>
      </c>
      <c r="B109" s="384">
        <f t="shared" si="31"/>
        <v>4166.666666666667</v>
      </c>
      <c r="C109" s="63">
        <f>'Total income package'!$D$80</f>
        <v>0</v>
      </c>
      <c r="D109" s="63">
        <f t="shared" si="20"/>
        <v>4166.666666666667</v>
      </c>
      <c r="E109" s="14" t="str">
        <f t="shared" si="21"/>
        <v>No</v>
      </c>
      <c r="F109" s="63">
        <f t="shared" si="17"/>
        <v>3957.666666666667</v>
      </c>
      <c r="G109" s="63">
        <f t="shared" si="30"/>
        <v>791.53333333333342</v>
      </c>
      <c r="H109" s="63">
        <f t="shared" si="22"/>
        <v>3166.1333333333337</v>
      </c>
      <c r="I109" s="312">
        <f t="shared" si="23"/>
        <v>3166.1333333333337</v>
      </c>
      <c r="J109" s="14" t="str">
        <f t="shared" si="24"/>
        <v>No</v>
      </c>
      <c r="K109" s="63">
        <f t="shared" si="18"/>
        <v>0</v>
      </c>
      <c r="L109" s="130">
        <f>IF('Total income package'!$A$20=TRUE,MIN(IF(K109&gt;9.99,K109,0),$I$2),0)</f>
        <v>0</v>
      </c>
      <c r="M109" s="14" t="str">
        <f t="shared" si="32"/>
        <v>No</v>
      </c>
      <c r="N109" s="14" t="str">
        <f t="shared" si="25"/>
        <v>Yes</v>
      </c>
      <c r="O109" s="312">
        <f t="shared" si="26"/>
        <v>0</v>
      </c>
      <c r="P109" s="63">
        <f t="shared" si="19"/>
        <v>3166.1333333333337</v>
      </c>
      <c r="Q109" s="312" t="str">
        <f t="shared" si="27"/>
        <v>No</v>
      </c>
      <c r="R109" s="312">
        <f t="shared" si="28"/>
        <v>1362.8000000000004</v>
      </c>
      <c r="S109" s="15">
        <f t="shared" si="29"/>
        <v>-1362.8000000000004</v>
      </c>
      <c r="T109" s="189">
        <f>IF(AND('Total income package'!$A$22=TRUE,M109="Yes",S109&gt;9.99),MIN(S109,$I$2),0)</f>
        <v>0</v>
      </c>
    </row>
    <row r="110" spans="1:20" x14ac:dyDescent="0.25">
      <c r="A110" s="29">
        <v>50500</v>
      </c>
      <c r="B110" s="384">
        <f>A110/12</f>
        <v>4208.333333333333</v>
      </c>
      <c r="C110" s="63">
        <f>'Total income package'!$D$80</f>
        <v>0</v>
      </c>
      <c r="D110" s="63">
        <f t="shared" si="20"/>
        <v>4208.333333333333</v>
      </c>
      <c r="E110" s="14" t="str">
        <f t="shared" si="21"/>
        <v>No</v>
      </c>
      <c r="F110" s="63">
        <f t="shared" si="17"/>
        <v>3999.333333333333</v>
      </c>
      <c r="G110" s="63">
        <f t="shared" si="30"/>
        <v>799.86666666666667</v>
      </c>
      <c r="H110" s="63">
        <f t="shared" si="22"/>
        <v>3199.4666666666662</v>
      </c>
      <c r="I110" s="312">
        <f t="shared" si="23"/>
        <v>3199.4666666666662</v>
      </c>
      <c r="J110" s="14" t="str">
        <f t="shared" si="24"/>
        <v>No</v>
      </c>
      <c r="K110" s="63">
        <f t="shared" si="18"/>
        <v>0</v>
      </c>
      <c r="L110" s="130">
        <f>IF('Total income package'!$A$20=TRUE,MIN(IF(K110&gt;9.99,K110,0),$I$2),0)</f>
        <v>0</v>
      </c>
      <c r="M110" s="14" t="str">
        <f t="shared" si="32"/>
        <v>No</v>
      </c>
      <c r="N110" s="14" t="str">
        <f t="shared" si="25"/>
        <v>Yes</v>
      </c>
      <c r="O110" s="312">
        <f t="shared" si="26"/>
        <v>0</v>
      </c>
      <c r="P110" s="63">
        <f t="shared" si="19"/>
        <v>3199.4666666666662</v>
      </c>
      <c r="Q110" s="312" t="str">
        <f t="shared" si="27"/>
        <v>No</v>
      </c>
      <c r="R110" s="312">
        <f t="shared" si="28"/>
        <v>1396.133333333333</v>
      </c>
      <c r="S110" s="15">
        <f t="shared" si="29"/>
        <v>-1396.133333333333</v>
      </c>
      <c r="T110" s="189">
        <f>IF(AND('Total income package'!$A$22=TRUE,M110="Yes",S110&gt;9.99),MIN(S110,$I$2),0)</f>
        <v>0</v>
      </c>
    </row>
    <row r="111" spans="1:20" ht="15" customHeight="1" x14ac:dyDescent="0.25">
      <c r="A111" s="117">
        <v>51000</v>
      </c>
      <c r="B111" s="384">
        <f t="shared" ref="B111:B174" si="33">A111/12</f>
        <v>4250</v>
      </c>
      <c r="C111" s="63">
        <f>'Total income package'!$D$80</f>
        <v>0</v>
      </c>
      <c r="D111" s="63">
        <f t="shared" si="20"/>
        <v>4250</v>
      </c>
      <c r="E111" s="14" t="str">
        <f t="shared" si="21"/>
        <v>No</v>
      </c>
      <c r="F111" s="63">
        <f t="shared" si="17"/>
        <v>4041</v>
      </c>
      <c r="G111" s="63">
        <f t="shared" si="30"/>
        <v>808.2</v>
      </c>
      <c r="H111" s="63">
        <f t="shared" si="22"/>
        <v>3232.8</v>
      </c>
      <c r="I111" s="312">
        <f t="shared" si="23"/>
        <v>3232.8</v>
      </c>
      <c r="J111" s="14" t="str">
        <f t="shared" si="24"/>
        <v>No</v>
      </c>
      <c r="K111" s="63">
        <f t="shared" si="18"/>
        <v>0</v>
      </c>
      <c r="L111" s="130">
        <f>IF('Total income package'!$A$20=TRUE,MIN(IF(K111&gt;9.99,K111,0),$I$2),0)</f>
        <v>0</v>
      </c>
      <c r="M111" s="14" t="str">
        <f t="shared" si="32"/>
        <v>No</v>
      </c>
      <c r="N111" s="14" t="str">
        <f t="shared" si="25"/>
        <v>Yes</v>
      </c>
      <c r="O111" s="312">
        <f t="shared" si="26"/>
        <v>0</v>
      </c>
      <c r="P111" s="63">
        <f t="shared" si="19"/>
        <v>3232.8</v>
      </c>
      <c r="Q111" s="312" t="str">
        <f t="shared" si="27"/>
        <v>No</v>
      </c>
      <c r="R111" s="312">
        <f t="shared" si="28"/>
        <v>1429.4666666666669</v>
      </c>
      <c r="S111" s="15">
        <f t="shared" si="29"/>
        <v>-1429.4666666666669</v>
      </c>
      <c r="T111" s="189">
        <f>IF(AND('Total income package'!$A$22=TRUE,M111="Yes",S111&gt;9.99),MIN(S111,$I$2),0)</f>
        <v>0</v>
      </c>
    </row>
    <row r="112" spans="1:20" ht="15" customHeight="1" x14ac:dyDescent="0.25">
      <c r="A112" s="117">
        <v>51500</v>
      </c>
      <c r="B112" s="384">
        <f t="shared" si="33"/>
        <v>4291.666666666667</v>
      </c>
      <c r="C112" s="63">
        <f>'Total income package'!$D$80</f>
        <v>0</v>
      </c>
      <c r="D112" s="63">
        <f t="shared" si="20"/>
        <v>4291.666666666667</v>
      </c>
      <c r="E112" s="14" t="str">
        <f t="shared" si="21"/>
        <v>No</v>
      </c>
      <c r="F112" s="63">
        <f t="shared" si="17"/>
        <v>4082.666666666667</v>
      </c>
      <c r="G112" s="63">
        <f t="shared" si="30"/>
        <v>816.53333333333342</v>
      </c>
      <c r="H112" s="63">
        <f t="shared" si="22"/>
        <v>3266.1333333333337</v>
      </c>
      <c r="I112" s="312">
        <f t="shared" si="23"/>
        <v>3266.1333333333337</v>
      </c>
      <c r="J112" s="14" t="str">
        <f t="shared" si="24"/>
        <v>No</v>
      </c>
      <c r="K112" s="63">
        <f t="shared" si="18"/>
        <v>0</v>
      </c>
      <c r="L112" s="130">
        <f>IF('Total income package'!$A$20=TRUE,MIN(IF(K112&gt;9.99,K112,0),$I$2),0)</f>
        <v>0</v>
      </c>
      <c r="M112" s="14" t="str">
        <f t="shared" si="32"/>
        <v>No</v>
      </c>
      <c r="N112" s="14" t="str">
        <f t="shared" si="25"/>
        <v>Yes</v>
      </c>
      <c r="O112" s="312">
        <f t="shared" si="26"/>
        <v>0</v>
      </c>
      <c r="P112" s="63">
        <f t="shared" si="19"/>
        <v>3266.1333333333337</v>
      </c>
      <c r="Q112" s="312" t="str">
        <f t="shared" si="27"/>
        <v>No</v>
      </c>
      <c r="R112" s="312">
        <f t="shared" si="28"/>
        <v>1462.8000000000004</v>
      </c>
      <c r="S112" s="15">
        <f t="shared" si="29"/>
        <v>-1462.8000000000004</v>
      </c>
      <c r="T112" s="189">
        <f>IF(AND('Total income package'!$A$22=TRUE,M112="Yes",S112&gt;9.99),MIN(S112,$I$2),0)</f>
        <v>0</v>
      </c>
    </row>
    <row r="113" spans="1:20" ht="15" customHeight="1" x14ac:dyDescent="0.25">
      <c r="A113" s="29">
        <v>52000</v>
      </c>
      <c r="B113" s="384">
        <f t="shared" si="33"/>
        <v>4333.333333333333</v>
      </c>
      <c r="C113" s="63">
        <f>'Total income package'!$D$80</f>
        <v>0</v>
      </c>
      <c r="D113" s="63">
        <f t="shared" si="20"/>
        <v>4333.333333333333</v>
      </c>
      <c r="E113" s="14" t="str">
        <f t="shared" si="21"/>
        <v>No</v>
      </c>
      <c r="F113" s="63">
        <f t="shared" si="17"/>
        <v>4124.333333333333</v>
      </c>
      <c r="G113" s="63">
        <f t="shared" si="30"/>
        <v>824.86666666666667</v>
      </c>
      <c r="H113" s="63">
        <f t="shared" si="22"/>
        <v>3299.4666666666662</v>
      </c>
      <c r="I113" s="312">
        <f t="shared" si="23"/>
        <v>3299.4666666666662</v>
      </c>
      <c r="J113" s="14" t="str">
        <f t="shared" si="24"/>
        <v>No</v>
      </c>
      <c r="K113" s="63">
        <f t="shared" si="18"/>
        <v>0</v>
      </c>
      <c r="L113" s="130">
        <f>IF('Total income package'!$A$20=TRUE,MIN(IF(K113&gt;9.99,K113,0),$I$2),0)</f>
        <v>0</v>
      </c>
      <c r="M113" s="14" t="str">
        <f t="shared" si="32"/>
        <v>No</v>
      </c>
      <c r="N113" s="14" t="str">
        <f t="shared" si="25"/>
        <v>Yes</v>
      </c>
      <c r="O113" s="312">
        <f t="shared" si="26"/>
        <v>0</v>
      </c>
      <c r="P113" s="63">
        <f t="shared" si="19"/>
        <v>3299.4666666666662</v>
      </c>
      <c r="Q113" s="312" t="str">
        <f t="shared" si="27"/>
        <v>No</v>
      </c>
      <c r="R113" s="312">
        <f t="shared" si="28"/>
        <v>1496.133333333333</v>
      </c>
      <c r="S113" s="15">
        <f t="shared" si="29"/>
        <v>-1496.133333333333</v>
      </c>
      <c r="T113" s="189">
        <f>IF(AND('Total income package'!$A$22=TRUE,M113="Yes",S113&gt;9.99),MIN(S113,$I$2),0)</f>
        <v>0</v>
      </c>
    </row>
    <row r="114" spans="1:20" ht="15" customHeight="1" x14ac:dyDescent="0.25">
      <c r="A114" s="117">
        <v>52500</v>
      </c>
      <c r="B114" s="384">
        <f t="shared" si="33"/>
        <v>4375</v>
      </c>
      <c r="C114" s="63">
        <f>'Total income package'!$D$80</f>
        <v>0</v>
      </c>
      <c r="D114" s="63">
        <f t="shared" si="20"/>
        <v>4375</v>
      </c>
      <c r="E114" s="14" t="str">
        <f t="shared" si="21"/>
        <v>No</v>
      </c>
      <c r="F114" s="63">
        <f t="shared" si="17"/>
        <v>4166</v>
      </c>
      <c r="G114" s="63">
        <f t="shared" si="30"/>
        <v>833.2</v>
      </c>
      <c r="H114" s="63">
        <f t="shared" si="22"/>
        <v>3332.8</v>
      </c>
      <c r="I114" s="312">
        <f t="shared" si="23"/>
        <v>3332.8</v>
      </c>
      <c r="J114" s="14" t="str">
        <f t="shared" si="24"/>
        <v>No</v>
      </c>
      <c r="K114" s="63">
        <f t="shared" si="18"/>
        <v>0</v>
      </c>
      <c r="L114" s="130">
        <f>IF('Total income package'!$A$20=TRUE,MIN(IF(K114&gt;9.99,K114,0),$I$2),0)</f>
        <v>0</v>
      </c>
      <c r="M114" s="14" t="str">
        <f t="shared" si="32"/>
        <v>No</v>
      </c>
      <c r="N114" s="14" t="str">
        <f t="shared" si="25"/>
        <v>Yes</v>
      </c>
      <c r="O114" s="312">
        <f t="shared" si="26"/>
        <v>0</v>
      </c>
      <c r="P114" s="63">
        <f t="shared" si="19"/>
        <v>3332.8</v>
      </c>
      <c r="Q114" s="312" t="str">
        <f t="shared" si="27"/>
        <v>No</v>
      </c>
      <c r="R114" s="312">
        <f t="shared" si="28"/>
        <v>1529.4666666666669</v>
      </c>
      <c r="S114" s="15">
        <f t="shared" si="29"/>
        <v>-1529.4666666666669</v>
      </c>
      <c r="T114" s="189">
        <f>IF(AND('Total income package'!$A$22=TRUE,M114="Yes",S114&gt;9.99),MIN(S114,$I$2),0)</f>
        <v>0</v>
      </c>
    </row>
    <row r="115" spans="1:20" ht="15" customHeight="1" x14ac:dyDescent="0.25">
      <c r="A115" s="117">
        <v>53000</v>
      </c>
      <c r="B115" s="384">
        <f t="shared" si="33"/>
        <v>4416.666666666667</v>
      </c>
      <c r="C115" s="63">
        <f>'Total income package'!$D$80</f>
        <v>0</v>
      </c>
      <c r="D115" s="63">
        <f t="shared" si="20"/>
        <v>4416.666666666667</v>
      </c>
      <c r="E115" s="14" t="str">
        <f t="shared" si="21"/>
        <v>No</v>
      </c>
      <c r="F115" s="63">
        <f t="shared" si="17"/>
        <v>4207.666666666667</v>
      </c>
      <c r="G115" s="63">
        <f t="shared" si="30"/>
        <v>841.53333333333342</v>
      </c>
      <c r="H115" s="63">
        <f t="shared" si="22"/>
        <v>3366.1333333333337</v>
      </c>
      <c r="I115" s="312">
        <f t="shared" si="23"/>
        <v>3366.1333333333337</v>
      </c>
      <c r="J115" s="14" t="str">
        <f t="shared" si="24"/>
        <v>No</v>
      </c>
      <c r="K115" s="63">
        <f t="shared" si="18"/>
        <v>0</v>
      </c>
      <c r="L115" s="130">
        <f>IF('Total income package'!$A$20=TRUE,MIN(IF(K115&gt;9.99,K115,0),$I$2),0)</f>
        <v>0</v>
      </c>
      <c r="M115" s="14" t="str">
        <f t="shared" si="32"/>
        <v>No</v>
      </c>
      <c r="N115" s="14" t="str">
        <f t="shared" si="25"/>
        <v>Yes</v>
      </c>
      <c r="O115" s="312">
        <f t="shared" si="26"/>
        <v>0</v>
      </c>
      <c r="P115" s="63">
        <f t="shared" si="19"/>
        <v>3366.1333333333337</v>
      </c>
      <c r="Q115" s="312" t="str">
        <f t="shared" si="27"/>
        <v>No</v>
      </c>
      <c r="R115" s="312">
        <f t="shared" si="28"/>
        <v>1562.8000000000004</v>
      </c>
      <c r="S115" s="15">
        <f t="shared" si="29"/>
        <v>-1562.8000000000004</v>
      </c>
      <c r="T115" s="189">
        <f>IF(AND('Total income package'!$A$22=TRUE,M115="Yes",S115&gt;9.99),MIN(S115,$I$2),0)</f>
        <v>0</v>
      </c>
    </row>
    <row r="116" spans="1:20" ht="15" customHeight="1" x14ac:dyDescent="0.25">
      <c r="A116" s="29">
        <v>53500</v>
      </c>
      <c r="B116" s="384">
        <f t="shared" si="33"/>
        <v>4458.333333333333</v>
      </c>
      <c r="C116" s="63">
        <f>'Total income package'!$D$80</f>
        <v>0</v>
      </c>
      <c r="D116" s="63">
        <f t="shared" si="20"/>
        <v>4458.333333333333</v>
      </c>
      <c r="E116" s="14" t="str">
        <f t="shared" si="21"/>
        <v>No</v>
      </c>
      <c r="F116" s="63">
        <f t="shared" si="17"/>
        <v>4249.333333333333</v>
      </c>
      <c r="G116" s="63">
        <f t="shared" si="30"/>
        <v>849.86666666666667</v>
      </c>
      <c r="H116" s="63">
        <f t="shared" si="22"/>
        <v>3399.4666666666662</v>
      </c>
      <c r="I116" s="312">
        <f t="shared" si="23"/>
        <v>3399.4666666666662</v>
      </c>
      <c r="J116" s="14" t="str">
        <f t="shared" si="24"/>
        <v>No</v>
      </c>
      <c r="K116" s="63">
        <f t="shared" si="18"/>
        <v>0</v>
      </c>
      <c r="L116" s="130">
        <f>IF('Total income package'!$A$20=TRUE,MIN(IF(K116&gt;9.99,K116,0),$I$2),0)</f>
        <v>0</v>
      </c>
      <c r="M116" s="14" t="str">
        <f t="shared" si="32"/>
        <v>No</v>
      </c>
      <c r="N116" s="14" t="str">
        <f t="shared" si="25"/>
        <v>Yes</v>
      </c>
      <c r="O116" s="312">
        <f t="shared" si="26"/>
        <v>0</v>
      </c>
      <c r="P116" s="63">
        <f t="shared" si="19"/>
        <v>3399.4666666666662</v>
      </c>
      <c r="Q116" s="312" t="str">
        <f t="shared" si="27"/>
        <v>No</v>
      </c>
      <c r="R116" s="312">
        <f t="shared" si="28"/>
        <v>1596.133333333333</v>
      </c>
      <c r="S116" s="15">
        <f t="shared" si="29"/>
        <v>-1596.133333333333</v>
      </c>
      <c r="T116" s="189">
        <f>IF(AND('Total income package'!$A$22=TRUE,M116="Yes",S116&gt;9.99),MIN(S116,$I$2),0)</f>
        <v>0</v>
      </c>
    </row>
    <row r="117" spans="1:20" ht="15" customHeight="1" x14ac:dyDescent="0.25">
      <c r="A117" s="117">
        <v>54000</v>
      </c>
      <c r="B117" s="384">
        <f t="shared" si="33"/>
        <v>4500</v>
      </c>
      <c r="C117" s="63">
        <f>'Total income package'!$D$80</f>
        <v>0</v>
      </c>
      <c r="D117" s="63">
        <f t="shared" si="20"/>
        <v>4500</v>
      </c>
      <c r="E117" s="14" t="str">
        <f t="shared" si="21"/>
        <v>No</v>
      </c>
      <c r="F117" s="63">
        <f t="shared" si="17"/>
        <v>4291</v>
      </c>
      <c r="G117" s="63">
        <f t="shared" si="30"/>
        <v>858.2</v>
      </c>
      <c r="H117" s="63">
        <f t="shared" si="22"/>
        <v>3432.8</v>
      </c>
      <c r="I117" s="312">
        <f t="shared" si="23"/>
        <v>3432.8</v>
      </c>
      <c r="J117" s="14" t="str">
        <f t="shared" si="24"/>
        <v>No</v>
      </c>
      <c r="K117" s="63">
        <f t="shared" si="18"/>
        <v>0</v>
      </c>
      <c r="L117" s="130">
        <f>IF('Total income package'!$A$20=TRUE,MIN(IF(K117&gt;9.99,K117,0),$I$2),0)</f>
        <v>0</v>
      </c>
      <c r="M117" s="14" t="str">
        <f t="shared" si="32"/>
        <v>No</v>
      </c>
      <c r="N117" s="14" t="str">
        <f t="shared" si="25"/>
        <v>Yes</v>
      </c>
      <c r="O117" s="312">
        <f t="shared" si="26"/>
        <v>0</v>
      </c>
      <c r="P117" s="63">
        <f t="shared" si="19"/>
        <v>3432.8</v>
      </c>
      <c r="Q117" s="312" t="str">
        <f t="shared" si="27"/>
        <v>No</v>
      </c>
      <c r="R117" s="312">
        <f t="shared" si="28"/>
        <v>1629.4666666666669</v>
      </c>
      <c r="S117" s="15">
        <f t="shared" si="29"/>
        <v>-1629.4666666666669</v>
      </c>
      <c r="T117" s="189">
        <f>IF(AND('Total income package'!$A$22=TRUE,M117="Yes",S117&gt;9.99),MIN(S117,$I$2),0)</f>
        <v>0</v>
      </c>
    </row>
    <row r="118" spans="1:20" ht="15" customHeight="1" x14ac:dyDescent="0.25">
      <c r="A118" s="117">
        <v>54500</v>
      </c>
      <c r="B118" s="384">
        <f t="shared" si="33"/>
        <v>4541.666666666667</v>
      </c>
      <c r="C118" s="63">
        <f>'Total income package'!$D$80</f>
        <v>0</v>
      </c>
      <c r="D118" s="63">
        <f t="shared" si="20"/>
        <v>4541.666666666667</v>
      </c>
      <c r="E118" s="14" t="str">
        <f t="shared" si="21"/>
        <v>No</v>
      </c>
      <c r="F118" s="63">
        <f t="shared" si="17"/>
        <v>4332.666666666667</v>
      </c>
      <c r="G118" s="63">
        <f t="shared" si="30"/>
        <v>866.53333333333342</v>
      </c>
      <c r="H118" s="63">
        <f t="shared" si="22"/>
        <v>3466.1333333333337</v>
      </c>
      <c r="I118" s="312">
        <f t="shared" si="23"/>
        <v>3466.1333333333337</v>
      </c>
      <c r="J118" s="14" t="str">
        <f t="shared" si="24"/>
        <v>No</v>
      </c>
      <c r="K118" s="63">
        <f t="shared" si="18"/>
        <v>0</v>
      </c>
      <c r="L118" s="130">
        <f>IF('Total income package'!$A$20=TRUE,MIN(IF(K118&gt;9.99,K118,0),$I$2),0)</f>
        <v>0</v>
      </c>
      <c r="M118" s="14" t="str">
        <f t="shared" si="32"/>
        <v>No</v>
      </c>
      <c r="N118" s="14" t="str">
        <f t="shared" si="25"/>
        <v>Yes</v>
      </c>
      <c r="O118" s="312">
        <f t="shared" si="26"/>
        <v>0</v>
      </c>
      <c r="P118" s="63">
        <f t="shared" si="19"/>
        <v>3466.1333333333337</v>
      </c>
      <c r="Q118" s="312" t="str">
        <f t="shared" si="27"/>
        <v>No</v>
      </c>
      <c r="R118" s="312">
        <f t="shared" si="28"/>
        <v>1662.8000000000004</v>
      </c>
      <c r="S118" s="15">
        <f t="shared" si="29"/>
        <v>-1662.8000000000004</v>
      </c>
      <c r="T118" s="189">
        <f>IF(AND('Total income package'!$A$22=TRUE,M118="Yes",S118&gt;9.99),MIN(S118,$I$2),0)</f>
        <v>0</v>
      </c>
    </row>
    <row r="119" spans="1:20" ht="15" customHeight="1" x14ac:dyDescent="0.25">
      <c r="A119" s="29">
        <v>55000</v>
      </c>
      <c r="B119" s="384">
        <f t="shared" si="33"/>
        <v>4583.333333333333</v>
      </c>
      <c r="C119" s="63">
        <f>'Total income package'!$D$80</f>
        <v>0</v>
      </c>
      <c r="D119" s="63">
        <f t="shared" si="20"/>
        <v>4583.333333333333</v>
      </c>
      <c r="E119" s="14" t="str">
        <f t="shared" si="21"/>
        <v>No</v>
      </c>
      <c r="F119" s="63">
        <f t="shared" si="17"/>
        <v>4374.333333333333</v>
      </c>
      <c r="G119" s="63">
        <f t="shared" si="30"/>
        <v>874.86666666666667</v>
      </c>
      <c r="H119" s="63">
        <f t="shared" si="22"/>
        <v>3499.4666666666662</v>
      </c>
      <c r="I119" s="312">
        <f t="shared" si="23"/>
        <v>3499.4666666666662</v>
      </c>
      <c r="J119" s="14" t="str">
        <f t="shared" si="24"/>
        <v>No</v>
      </c>
      <c r="K119" s="63">
        <f t="shared" si="18"/>
        <v>0</v>
      </c>
      <c r="L119" s="130">
        <f>IF('Total income package'!$A$20=TRUE,MIN(IF(K119&gt;9.99,K119,0),$I$2),0)</f>
        <v>0</v>
      </c>
      <c r="M119" s="14" t="str">
        <f t="shared" si="32"/>
        <v>No</v>
      </c>
      <c r="N119" s="14" t="str">
        <f t="shared" si="25"/>
        <v>Yes</v>
      </c>
      <c r="O119" s="312">
        <f t="shared" si="26"/>
        <v>0</v>
      </c>
      <c r="P119" s="63">
        <f t="shared" si="19"/>
        <v>3499.4666666666662</v>
      </c>
      <c r="Q119" s="312" t="str">
        <f t="shared" si="27"/>
        <v>No</v>
      </c>
      <c r="R119" s="312">
        <f t="shared" si="28"/>
        <v>1696.133333333333</v>
      </c>
      <c r="S119" s="15">
        <f t="shared" si="29"/>
        <v>-1696.133333333333</v>
      </c>
      <c r="T119" s="189">
        <f>IF(AND('Total income package'!$A$22=TRUE,M119="Yes",S119&gt;9.99),MIN(S119,$I$2),0)</f>
        <v>0</v>
      </c>
    </row>
    <row r="120" spans="1:20" ht="15" customHeight="1" x14ac:dyDescent="0.25">
      <c r="A120" s="117">
        <v>55500</v>
      </c>
      <c r="B120" s="384">
        <f t="shared" si="33"/>
        <v>4625</v>
      </c>
      <c r="C120" s="63">
        <f>'Total income package'!$D$80</f>
        <v>0</v>
      </c>
      <c r="D120" s="63">
        <f t="shared" si="20"/>
        <v>4625</v>
      </c>
      <c r="E120" s="14" t="str">
        <f t="shared" si="21"/>
        <v>No</v>
      </c>
      <c r="F120" s="63">
        <f t="shared" si="17"/>
        <v>4416</v>
      </c>
      <c r="G120" s="63">
        <f t="shared" si="30"/>
        <v>883.2</v>
      </c>
      <c r="H120" s="63">
        <f t="shared" si="22"/>
        <v>3532.8</v>
      </c>
      <c r="I120" s="312">
        <f t="shared" si="23"/>
        <v>3532.8</v>
      </c>
      <c r="J120" s="14" t="str">
        <f t="shared" si="24"/>
        <v>No</v>
      </c>
      <c r="K120" s="63">
        <f t="shared" si="18"/>
        <v>0</v>
      </c>
      <c r="L120" s="130">
        <f>IF('Total income package'!$A$20=TRUE,MIN(IF(K120&gt;9.99,K120,0),$I$2),0)</f>
        <v>0</v>
      </c>
      <c r="M120" s="14" t="str">
        <f t="shared" si="32"/>
        <v>No</v>
      </c>
      <c r="N120" s="14" t="str">
        <f t="shared" si="25"/>
        <v>Yes</v>
      </c>
      <c r="O120" s="312">
        <f t="shared" si="26"/>
        <v>0</v>
      </c>
      <c r="P120" s="63">
        <f t="shared" si="19"/>
        <v>3532.8</v>
      </c>
      <c r="Q120" s="312" t="str">
        <f t="shared" si="27"/>
        <v>No</v>
      </c>
      <c r="R120" s="312">
        <f t="shared" si="28"/>
        <v>1729.4666666666669</v>
      </c>
      <c r="S120" s="15">
        <f t="shared" si="29"/>
        <v>-1729.4666666666669</v>
      </c>
      <c r="T120" s="189">
        <f>IF(AND('Total income package'!$A$22=TRUE,M120="Yes",S120&gt;9.99),MIN(S120,$I$2),0)</f>
        <v>0</v>
      </c>
    </row>
    <row r="121" spans="1:20" ht="15" customHeight="1" x14ac:dyDescent="0.25">
      <c r="A121" s="117">
        <v>56000</v>
      </c>
      <c r="B121" s="384">
        <f t="shared" si="33"/>
        <v>4666.666666666667</v>
      </c>
      <c r="C121" s="63">
        <f>'Total income package'!$D$80</f>
        <v>0</v>
      </c>
      <c r="D121" s="63">
        <f t="shared" si="20"/>
        <v>4666.666666666667</v>
      </c>
      <c r="E121" s="14" t="str">
        <f t="shared" si="21"/>
        <v>No</v>
      </c>
      <c r="F121" s="63">
        <f t="shared" si="17"/>
        <v>4457.666666666667</v>
      </c>
      <c r="G121" s="63">
        <f t="shared" si="30"/>
        <v>891.53333333333342</v>
      </c>
      <c r="H121" s="63">
        <f t="shared" si="22"/>
        <v>3566.1333333333337</v>
      </c>
      <c r="I121" s="312">
        <f t="shared" si="23"/>
        <v>3566.1333333333337</v>
      </c>
      <c r="J121" s="14" t="str">
        <f t="shared" si="24"/>
        <v>No</v>
      </c>
      <c r="K121" s="63">
        <f t="shared" si="18"/>
        <v>0</v>
      </c>
      <c r="L121" s="130">
        <f>IF('Total income package'!$A$20=TRUE,MIN(IF(K121&gt;9.99,K121,0),$I$2),0)</f>
        <v>0</v>
      </c>
      <c r="M121" s="14" t="str">
        <f t="shared" si="32"/>
        <v>No</v>
      </c>
      <c r="N121" s="14" t="str">
        <f t="shared" si="25"/>
        <v>Yes</v>
      </c>
      <c r="O121" s="312">
        <f t="shared" si="26"/>
        <v>0</v>
      </c>
      <c r="P121" s="63">
        <f t="shared" si="19"/>
        <v>3566.1333333333337</v>
      </c>
      <c r="Q121" s="312" t="str">
        <f t="shared" si="27"/>
        <v>No</v>
      </c>
      <c r="R121" s="312">
        <f t="shared" si="28"/>
        <v>1762.8000000000004</v>
      </c>
      <c r="S121" s="15">
        <f t="shared" si="29"/>
        <v>-1762.8000000000004</v>
      </c>
      <c r="T121" s="189">
        <f>IF(AND('Total income package'!$A$22=TRUE,M121="Yes",S121&gt;9.99),MIN(S121,$I$2),0)</f>
        <v>0</v>
      </c>
    </row>
    <row r="122" spans="1:20" ht="15" customHeight="1" x14ac:dyDescent="0.25">
      <c r="A122" s="29">
        <v>56500</v>
      </c>
      <c r="B122" s="384">
        <f t="shared" si="33"/>
        <v>4708.333333333333</v>
      </c>
      <c r="C122" s="63">
        <f>'Total income package'!$D$80</f>
        <v>0</v>
      </c>
      <c r="D122" s="63">
        <f t="shared" si="20"/>
        <v>4708.333333333333</v>
      </c>
      <c r="E122" s="14" t="str">
        <f t="shared" si="21"/>
        <v>No</v>
      </c>
      <c r="F122" s="63">
        <f t="shared" si="17"/>
        <v>4499.333333333333</v>
      </c>
      <c r="G122" s="63">
        <f t="shared" si="30"/>
        <v>899.86666666666667</v>
      </c>
      <c r="H122" s="63">
        <f t="shared" si="22"/>
        <v>3599.4666666666662</v>
      </c>
      <c r="I122" s="312">
        <f t="shared" si="23"/>
        <v>3599.4666666666662</v>
      </c>
      <c r="J122" s="14" t="str">
        <f t="shared" si="24"/>
        <v>No</v>
      </c>
      <c r="K122" s="63">
        <f t="shared" si="18"/>
        <v>0</v>
      </c>
      <c r="L122" s="130">
        <f>IF('Total income package'!$A$20=TRUE,MIN(IF(K122&gt;9.99,K122,0),$I$2),0)</f>
        <v>0</v>
      </c>
      <c r="M122" s="14" t="str">
        <f t="shared" si="32"/>
        <v>No</v>
      </c>
      <c r="N122" s="14" t="str">
        <f t="shared" si="25"/>
        <v>Yes</v>
      </c>
      <c r="O122" s="312">
        <f t="shared" si="26"/>
        <v>0</v>
      </c>
      <c r="P122" s="63">
        <f t="shared" si="19"/>
        <v>3599.4666666666662</v>
      </c>
      <c r="Q122" s="312" t="str">
        <f t="shared" si="27"/>
        <v>No</v>
      </c>
      <c r="R122" s="312">
        <f t="shared" si="28"/>
        <v>1796.133333333333</v>
      </c>
      <c r="S122" s="15">
        <f t="shared" si="29"/>
        <v>-1796.133333333333</v>
      </c>
      <c r="T122" s="189">
        <f>IF(AND('Total income package'!$A$22=TRUE,M122="Yes",S122&gt;9.99),MIN(S122,$I$2),0)</f>
        <v>0</v>
      </c>
    </row>
    <row r="123" spans="1:20" ht="15" customHeight="1" x14ac:dyDescent="0.25">
      <c r="A123" s="117">
        <v>57000</v>
      </c>
      <c r="B123" s="384">
        <f t="shared" si="33"/>
        <v>4750</v>
      </c>
      <c r="C123" s="63">
        <f>'Total income package'!$D$80</f>
        <v>0</v>
      </c>
      <c r="D123" s="63">
        <f t="shared" si="20"/>
        <v>4750</v>
      </c>
      <c r="E123" s="14" t="str">
        <f t="shared" si="21"/>
        <v>No</v>
      </c>
      <c r="F123" s="63">
        <f t="shared" si="17"/>
        <v>4541</v>
      </c>
      <c r="G123" s="63">
        <f t="shared" si="30"/>
        <v>908.2</v>
      </c>
      <c r="H123" s="63">
        <f t="shared" si="22"/>
        <v>3632.8</v>
      </c>
      <c r="I123" s="312">
        <f t="shared" si="23"/>
        <v>3632.8</v>
      </c>
      <c r="J123" s="14" t="str">
        <f t="shared" si="24"/>
        <v>No</v>
      </c>
      <c r="K123" s="63">
        <f t="shared" si="18"/>
        <v>0</v>
      </c>
      <c r="L123" s="130">
        <f>IF('Total income package'!$A$20=TRUE,MIN(IF(K123&gt;9.99,K123,0),$I$2),0)</f>
        <v>0</v>
      </c>
      <c r="M123" s="14" t="str">
        <f t="shared" si="32"/>
        <v>No</v>
      </c>
      <c r="N123" s="14" t="str">
        <f t="shared" si="25"/>
        <v>Yes</v>
      </c>
      <c r="O123" s="312">
        <f t="shared" si="26"/>
        <v>0</v>
      </c>
      <c r="P123" s="63">
        <f t="shared" si="19"/>
        <v>3632.8</v>
      </c>
      <c r="Q123" s="312" t="str">
        <f t="shared" si="27"/>
        <v>No</v>
      </c>
      <c r="R123" s="312">
        <f t="shared" si="28"/>
        <v>1829.4666666666669</v>
      </c>
      <c r="S123" s="15">
        <f t="shared" si="29"/>
        <v>-1829.4666666666669</v>
      </c>
      <c r="T123" s="189">
        <f>IF(AND('Total income package'!$A$22=TRUE,M123="Yes",S123&gt;9.99),MIN(S123,$I$2),0)</f>
        <v>0</v>
      </c>
    </row>
    <row r="124" spans="1:20" ht="15" customHeight="1" x14ac:dyDescent="0.25">
      <c r="A124" s="117">
        <v>57500</v>
      </c>
      <c r="B124" s="384">
        <f t="shared" si="33"/>
        <v>4791.666666666667</v>
      </c>
      <c r="C124" s="63">
        <f>'Total income package'!$D$80</f>
        <v>0</v>
      </c>
      <c r="D124" s="63">
        <f t="shared" si="20"/>
        <v>4791.666666666667</v>
      </c>
      <c r="E124" s="14" t="str">
        <f t="shared" si="21"/>
        <v>No</v>
      </c>
      <c r="F124" s="63">
        <f t="shared" si="17"/>
        <v>4582.666666666667</v>
      </c>
      <c r="G124" s="63">
        <f t="shared" si="30"/>
        <v>916.53333333333342</v>
      </c>
      <c r="H124" s="63">
        <f t="shared" si="22"/>
        <v>3666.1333333333337</v>
      </c>
      <c r="I124" s="312">
        <f t="shared" si="23"/>
        <v>3666.1333333333337</v>
      </c>
      <c r="J124" s="14" t="str">
        <f t="shared" si="24"/>
        <v>No</v>
      </c>
      <c r="K124" s="63">
        <f t="shared" si="18"/>
        <v>0</v>
      </c>
      <c r="L124" s="130">
        <f>IF('Total income package'!$A$20=TRUE,MIN(IF(K124&gt;9.99,K124,0),$I$2),0)</f>
        <v>0</v>
      </c>
      <c r="M124" s="14" t="str">
        <f t="shared" si="32"/>
        <v>No</v>
      </c>
      <c r="N124" s="14" t="str">
        <f t="shared" si="25"/>
        <v>Yes</v>
      </c>
      <c r="O124" s="312">
        <f t="shared" si="26"/>
        <v>0</v>
      </c>
      <c r="P124" s="63">
        <f t="shared" si="19"/>
        <v>3666.1333333333337</v>
      </c>
      <c r="Q124" s="312" t="str">
        <f t="shared" si="27"/>
        <v>No</v>
      </c>
      <c r="R124" s="312">
        <f t="shared" si="28"/>
        <v>1862.8000000000004</v>
      </c>
      <c r="S124" s="15">
        <f t="shared" si="29"/>
        <v>-1862.8000000000004</v>
      </c>
      <c r="T124" s="189">
        <f>IF(AND('Total income package'!$A$22=TRUE,M124="Yes",S124&gt;9.99),MIN(S124,$I$2),0)</f>
        <v>0</v>
      </c>
    </row>
    <row r="125" spans="1:20" ht="15" customHeight="1" x14ac:dyDescent="0.25">
      <c r="A125" s="29">
        <v>58000</v>
      </c>
      <c r="B125" s="384">
        <f t="shared" si="33"/>
        <v>4833.333333333333</v>
      </c>
      <c r="C125" s="63">
        <f>'Total income package'!$D$80</f>
        <v>0</v>
      </c>
      <c r="D125" s="63">
        <f t="shared" si="20"/>
        <v>4833.333333333333</v>
      </c>
      <c r="E125" s="14" t="str">
        <f t="shared" si="21"/>
        <v>No</v>
      </c>
      <c r="F125" s="63">
        <f t="shared" si="17"/>
        <v>4624.333333333333</v>
      </c>
      <c r="G125" s="63">
        <f t="shared" si="30"/>
        <v>924.86666666666667</v>
      </c>
      <c r="H125" s="63">
        <f t="shared" si="22"/>
        <v>3699.4666666666662</v>
      </c>
      <c r="I125" s="312">
        <f t="shared" si="23"/>
        <v>3699.4666666666662</v>
      </c>
      <c r="J125" s="14" t="str">
        <f t="shared" si="24"/>
        <v>No</v>
      </c>
      <c r="K125" s="63">
        <f t="shared" si="18"/>
        <v>0</v>
      </c>
      <c r="L125" s="130">
        <f>IF('Total income package'!$A$20=TRUE,MIN(IF(K125&gt;9.99,K125,0),$I$2),0)</f>
        <v>0</v>
      </c>
      <c r="M125" s="14" t="str">
        <f t="shared" si="32"/>
        <v>No</v>
      </c>
      <c r="N125" s="14" t="str">
        <f t="shared" si="25"/>
        <v>Yes</v>
      </c>
      <c r="O125" s="312">
        <f t="shared" si="26"/>
        <v>0</v>
      </c>
      <c r="P125" s="63">
        <f t="shared" si="19"/>
        <v>3699.4666666666662</v>
      </c>
      <c r="Q125" s="312" t="str">
        <f t="shared" si="27"/>
        <v>No</v>
      </c>
      <c r="R125" s="312">
        <f t="shared" si="28"/>
        <v>1896.133333333333</v>
      </c>
      <c r="S125" s="15">
        <f t="shared" si="29"/>
        <v>-1896.133333333333</v>
      </c>
      <c r="T125" s="189">
        <f>IF(AND('Total income package'!$A$22=TRUE,M125="Yes",S125&gt;9.99),MIN(S125,$I$2),0)</f>
        <v>0</v>
      </c>
    </row>
    <row r="126" spans="1:20" ht="15" customHeight="1" x14ac:dyDescent="0.25">
      <c r="A126" s="117">
        <v>58500</v>
      </c>
      <c r="B126" s="384">
        <f t="shared" si="33"/>
        <v>4875</v>
      </c>
      <c r="C126" s="63">
        <f>'Total income package'!$D$80</f>
        <v>0</v>
      </c>
      <c r="D126" s="63">
        <f t="shared" si="20"/>
        <v>4875</v>
      </c>
      <c r="E126" s="14" t="str">
        <f t="shared" si="21"/>
        <v>No</v>
      </c>
      <c r="F126" s="63">
        <f t="shared" si="17"/>
        <v>4666</v>
      </c>
      <c r="G126" s="63">
        <f t="shared" si="30"/>
        <v>933.2</v>
      </c>
      <c r="H126" s="63">
        <f t="shared" si="22"/>
        <v>3732.8</v>
      </c>
      <c r="I126" s="312">
        <f t="shared" si="23"/>
        <v>3732.8</v>
      </c>
      <c r="J126" s="14" t="str">
        <f t="shared" si="24"/>
        <v>No</v>
      </c>
      <c r="K126" s="63">
        <f t="shared" si="18"/>
        <v>0</v>
      </c>
      <c r="L126" s="130">
        <f>IF('Total income package'!$A$20=TRUE,MIN(IF(K126&gt;9.99,K126,0),$I$2),0)</f>
        <v>0</v>
      </c>
      <c r="M126" s="14" t="str">
        <f t="shared" si="32"/>
        <v>No</v>
      </c>
      <c r="N126" s="14" t="str">
        <f t="shared" si="25"/>
        <v>Yes</v>
      </c>
      <c r="O126" s="312">
        <f t="shared" si="26"/>
        <v>0</v>
      </c>
      <c r="P126" s="63">
        <f t="shared" si="19"/>
        <v>3732.8</v>
      </c>
      <c r="Q126" s="312" t="str">
        <f t="shared" si="27"/>
        <v>No</v>
      </c>
      <c r="R126" s="312">
        <f t="shared" si="28"/>
        <v>1929.4666666666669</v>
      </c>
      <c r="S126" s="15">
        <f t="shared" si="29"/>
        <v>-1929.4666666666669</v>
      </c>
      <c r="T126" s="189">
        <f>IF(AND('Total income package'!$A$22=TRUE,M126="Yes",S126&gt;9.99),MIN(S126,$I$2),0)</f>
        <v>0</v>
      </c>
    </row>
    <row r="127" spans="1:20" ht="15" customHeight="1" x14ac:dyDescent="0.25">
      <c r="A127" s="117">
        <v>59000</v>
      </c>
      <c r="B127" s="384">
        <f t="shared" si="33"/>
        <v>4916.666666666667</v>
      </c>
      <c r="C127" s="63">
        <f>'Total income package'!$D$80</f>
        <v>0</v>
      </c>
      <c r="D127" s="63">
        <f t="shared" si="20"/>
        <v>4916.666666666667</v>
      </c>
      <c r="E127" s="14" t="str">
        <f t="shared" si="21"/>
        <v>No</v>
      </c>
      <c r="F127" s="63">
        <f t="shared" si="17"/>
        <v>4707.666666666667</v>
      </c>
      <c r="G127" s="63">
        <f t="shared" si="30"/>
        <v>941.53333333333342</v>
      </c>
      <c r="H127" s="63">
        <f t="shared" si="22"/>
        <v>3766.1333333333337</v>
      </c>
      <c r="I127" s="312">
        <f t="shared" si="23"/>
        <v>3766.1333333333337</v>
      </c>
      <c r="J127" s="14" t="str">
        <f t="shared" si="24"/>
        <v>No</v>
      </c>
      <c r="K127" s="63">
        <f t="shared" si="18"/>
        <v>0</v>
      </c>
      <c r="L127" s="130">
        <f>IF('Total income package'!$A$20=TRUE,MIN(IF(K127&gt;9.99,K127,0),$I$2),0)</f>
        <v>0</v>
      </c>
      <c r="M127" s="14" t="str">
        <f t="shared" si="32"/>
        <v>No</v>
      </c>
      <c r="N127" s="14" t="str">
        <f t="shared" si="25"/>
        <v>Yes</v>
      </c>
      <c r="O127" s="312">
        <f t="shared" si="26"/>
        <v>0</v>
      </c>
      <c r="P127" s="63">
        <f t="shared" si="19"/>
        <v>3766.1333333333337</v>
      </c>
      <c r="Q127" s="312" t="str">
        <f t="shared" si="27"/>
        <v>No</v>
      </c>
      <c r="R127" s="312">
        <f t="shared" si="28"/>
        <v>1962.8000000000004</v>
      </c>
      <c r="S127" s="15">
        <f t="shared" si="29"/>
        <v>-1962.8000000000004</v>
      </c>
      <c r="T127" s="189">
        <f>IF(AND('Total income package'!$A$22=TRUE,M127="Yes",S127&gt;9.99),MIN(S127,$I$2),0)</f>
        <v>0</v>
      </c>
    </row>
    <row r="128" spans="1:20" ht="15" customHeight="1" x14ac:dyDescent="0.25">
      <c r="A128" s="29">
        <v>59500</v>
      </c>
      <c r="B128" s="384">
        <f t="shared" si="33"/>
        <v>4958.333333333333</v>
      </c>
      <c r="C128" s="63">
        <f>'Total income package'!$D$80</f>
        <v>0</v>
      </c>
      <c r="D128" s="63">
        <f t="shared" si="20"/>
        <v>4958.333333333333</v>
      </c>
      <c r="E128" s="14" t="str">
        <f t="shared" si="21"/>
        <v>No</v>
      </c>
      <c r="F128" s="63">
        <f t="shared" si="17"/>
        <v>4749.333333333333</v>
      </c>
      <c r="G128" s="63">
        <f t="shared" si="30"/>
        <v>949.86666666666667</v>
      </c>
      <c r="H128" s="63">
        <f t="shared" si="22"/>
        <v>3799.4666666666662</v>
      </c>
      <c r="I128" s="312">
        <f t="shared" si="23"/>
        <v>3799.4666666666662</v>
      </c>
      <c r="J128" s="14" t="str">
        <f t="shared" si="24"/>
        <v>No</v>
      </c>
      <c r="K128" s="63">
        <f t="shared" si="18"/>
        <v>0</v>
      </c>
      <c r="L128" s="130">
        <f>IF('Total income package'!$A$20=TRUE,MIN(IF(K128&gt;9.99,K128,0),$I$2),0)</f>
        <v>0</v>
      </c>
      <c r="M128" s="14" t="str">
        <f t="shared" si="32"/>
        <v>No</v>
      </c>
      <c r="N128" s="14" t="str">
        <f t="shared" si="25"/>
        <v>Yes</v>
      </c>
      <c r="O128" s="312">
        <f t="shared" si="26"/>
        <v>0</v>
      </c>
      <c r="P128" s="63">
        <f t="shared" si="19"/>
        <v>3799.4666666666662</v>
      </c>
      <c r="Q128" s="312" t="str">
        <f t="shared" si="27"/>
        <v>No</v>
      </c>
      <c r="R128" s="312">
        <f t="shared" si="28"/>
        <v>1996.133333333333</v>
      </c>
      <c r="S128" s="15">
        <f t="shared" si="29"/>
        <v>-1996.133333333333</v>
      </c>
      <c r="T128" s="189">
        <f>IF(AND('Total income package'!$A$22=TRUE,M128="Yes",S128&gt;9.99),MIN(S128,$I$2),0)</f>
        <v>0</v>
      </c>
    </row>
    <row r="129" spans="1:20" ht="15" customHeight="1" x14ac:dyDescent="0.25">
      <c r="A129" s="117">
        <v>60000</v>
      </c>
      <c r="B129" s="384">
        <f t="shared" si="33"/>
        <v>5000</v>
      </c>
      <c r="C129" s="63">
        <f>'Total income package'!$D$80</f>
        <v>0</v>
      </c>
      <c r="D129" s="63">
        <f t="shared" si="20"/>
        <v>5000</v>
      </c>
      <c r="E129" s="14" t="str">
        <f t="shared" si="21"/>
        <v>No</v>
      </c>
      <c r="F129" s="63">
        <f t="shared" si="17"/>
        <v>4791</v>
      </c>
      <c r="G129" s="63">
        <f t="shared" si="30"/>
        <v>958.2</v>
      </c>
      <c r="H129" s="63">
        <f t="shared" si="22"/>
        <v>3832.8</v>
      </c>
      <c r="I129" s="312">
        <f t="shared" si="23"/>
        <v>3832.8</v>
      </c>
      <c r="J129" s="14" t="str">
        <f t="shared" si="24"/>
        <v>No</v>
      </c>
      <c r="K129" s="63">
        <f t="shared" si="18"/>
        <v>0</v>
      </c>
      <c r="L129" s="130">
        <f>IF('Total income package'!$A$20=TRUE,MIN(IF(K129&gt;9.99,K129,0),$I$2),0)</f>
        <v>0</v>
      </c>
      <c r="M129" s="14" t="str">
        <f t="shared" si="32"/>
        <v>No</v>
      </c>
      <c r="N129" s="14" t="str">
        <f t="shared" si="25"/>
        <v>Yes</v>
      </c>
      <c r="O129" s="312">
        <f t="shared" si="26"/>
        <v>0</v>
      </c>
      <c r="P129" s="63">
        <f t="shared" si="19"/>
        <v>3832.8</v>
      </c>
      <c r="Q129" s="312" t="str">
        <f t="shared" si="27"/>
        <v>No</v>
      </c>
      <c r="R129" s="312">
        <f t="shared" si="28"/>
        <v>2029.4666666666669</v>
      </c>
      <c r="S129" s="15">
        <f t="shared" si="29"/>
        <v>-2029.4666666666669</v>
      </c>
      <c r="T129" s="189">
        <f>IF(AND('Total income package'!$A$22=TRUE,M129="Yes",S129&gt;9.99),MIN(S129,$I$2),0)</f>
        <v>0</v>
      </c>
    </row>
    <row r="130" spans="1:20" ht="15" customHeight="1" x14ac:dyDescent="0.25">
      <c r="A130" s="117">
        <v>60500</v>
      </c>
      <c r="B130" s="384">
        <f t="shared" si="33"/>
        <v>5041.666666666667</v>
      </c>
      <c r="C130" s="63">
        <f>'Total income package'!$D$80</f>
        <v>0</v>
      </c>
      <c r="D130" s="63">
        <f t="shared" si="20"/>
        <v>5041.666666666667</v>
      </c>
      <c r="E130" s="14" t="str">
        <f t="shared" si="21"/>
        <v>No</v>
      </c>
      <c r="F130" s="63">
        <f t="shared" si="17"/>
        <v>4832.666666666667</v>
      </c>
      <c r="G130" s="63">
        <f t="shared" si="30"/>
        <v>966.53333333333342</v>
      </c>
      <c r="H130" s="63">
        <f t="shared" si="22"/>
        <v>3866.1333333333337</v>
      </c>
      <c r="I130" s="312">
        <f t="shared" si="23"/>
        <v>3866.1333333333337</v>
      </c>
      <c r="J130" s="14" t="str">
        <f t="shared" si="24"/>
        <v>No</v>
      </c>
      <c r="K130" s="63">
        <f t="shared" si="18"/>
        <v>0</v>
      </c>
      <c r="L130" s="130">
        <f>IF('Total income package'!$A$20=TRUE,MIN(IF(K130&gt;9.99,K130,0),$I$2),0)</f>
        <v>0</v>
      </c>
      <c r="M130" s="14" t="str">
        <f t="shared" si="32"/>
        <v>No</v>
      </c>
      <c r="N130" s="14" t="str">
        <f t="shared" si="25"/>
        <v>Yes</v>
      </c>
      <c r="O130" s="312">
        <f t="shared" si="26"/>
        <v>0</v>
      </c>
      <c r="P130" s="63">
        <f t="shared" si="19"/>
        <v>3866.1333333333337</v>
      </c>
      <c r="Q130" s="312" t="str">
        <f t="shared" si="27"/>
        <v>No</v>
      </c>
      <c r="R130" s="312">
        <f t="shared" si="28"/>
        <v>2062.8000000000002</v>
      </c>
      <c r="S130" s="15">
        <f t="shared" si="29"/>
        <v>-2062.8000000000002</v>
      </c>
      <c r="T130" s="189">
        <f>IF(AND('Total income package'!$A$22=TRUE,M130="Yes",S130&gt;9.99),MIN(S130,$I$2),0)</f>
        <v>0</v>
      </c>
    </row>
    <row r="131" spans="1:20" ht="15" customHeight="1" x14ac:dyDescent="0.25">
      <c r="A131" s="29">
        <v>61000</v>
      </c>
      <c r="B131" s="384">
        <f t="shared" si="33"/>
        <v>5083.333333333333</v>
      </c>
      <c r="C131" s="63">
        <f>'Total income package'!$D$80</f>
        <v>0</v>
      </c>
      <c r="D131" s="63">
        <f t="shared" si="20"/>
        <v>5083.333333333333</v>
      </c>
      <c r="E131" s="14" t="str">
        <f t="shared" si="21"/>
        <v>No</v>
      </c>
      <c r="F131" s="63">
        <f t="shared" si="17"/>
        <v>4874.333333333333</v>
      </c>
      <c r="G131" s="63">
        <f t="shared" si="30"/>
        <v>974.86666666666667</v>
      </c>
      <c r="H131" s="63">
        <f t="shared" si="22"/>
        <v>3899.4666666666662</v>
      </c>
      <c r="I131" s="312">
        <f t="shared" si="23"/>
        <v>3899.4666666666662</v>
      </c>
      <c r="J131" s="14" t="str">
        <f t="shared" si="24"/>
        <v>No</v>
      </c>
      <c r="K131" s="63">
        <f t="shared" si="18"/>
        <v>0</v>
      </c>
      <c r="L131" s="130">
        <f>IF('Total income package'!$A$20=TRUE,MIN(IF(K131&gt;9.99,K131,0),$I$2),0)</f>
        <v>0</v>
      </c>
      <c r="M131" s="14" t="str">
        <f t="shared" si="32"/>
        <v>No</v>
      </c>
      <c r="N131" s="14" t="str">
        <f t="shared" si="25"/>
        <v>Yes</v>
      </c>
      <c r="O131" s="312">
        <f t="shared" si="26"/>
        <v>0</v>
      </c>
      <c r="P131" s="63">
        <f t="shared" si="19"/>
        <v>3899.4666666666662</v>
      </c>
      <c r="Q131" s="312" t="str">
        <f t="shared" si="27"/>
        <v>No</v>
      </c>
      <c r="R131" s="312">
        <f t="shared" si="28"/>
        <v>2096.1333333333332</v>
      </c>
      <c r="S131" s="15">
        <f t="shared" si="29"/>
        <v>-2096.1333333333332</v>
      </c>
      <c r="T131" s="189">
        <f>IF(AND('Total income package'!$A$22=TRUE,M131="Yes",S131&gt;9.99),MIN(S131,$I$2),0)</f>
        <v>0</v>
      </c>
    </row>
    <row r="132" spans="1:20" ht="15" customHeight="1" x14ac:dyDescent="0.25">
      <c r="A132" s="117">
        <v>61500</v>
      </c>
      <c r="B132" s="384">
        <f t="shared" si="33"/>
        <v>5125</v>
      </c>
      <c r="C132" s="63">
        <f>'Total income package'!$D$80</f>
        <v>0</v>
      </c>
      <c r="D132" s="63">
        <f t="shared" si="20"/>
        <v>5125</v>
      </c>
      <c r="E132" s="14" t="str">
        <f t="shared" si="21"/>
        <v>No</v>
      </c>
      <c r="F132" s="63">
        <f t="shared" si="17"/>
        <v>4916</v>
      </c>
      <c r="G132" s="63">
        <f t="shared" si="30"/>
        <v>983.2</v>
      </c>
      <c r="H132" s="63">
        <f t="shared" si="22"/>
        <v>3932.8</v>
      </c>
      <c r="I132" s="312">
        <f t="shared" si="23"/>
        <v>3932.8</v>
      </c>
      <c r="J132" s="14" t="str">
        <f t="shared" si="24"/>
        <v>No</v>
      </c>
      <c r="K132" s="63">
        <f t="shared" si="18"/>
        <v>0</v>
      </c>
      <c r="L132" s="130">
        <f>IF('Total income package'!$A$20=TRUE,MIN(IF(K132&gt;9.99,K132,0),$I$2),0)</f>
        <v>0</v>
      </c>
      <c r="M132" s="14" t="str">
        <f t="shared" si="32"/>
        <v>No</v>
      </c>
      <c r="N132" s="14" t="str">
        <f t="shared" si="25"/>
        <v>Yes</v>
      </c>
      <c r="O132" s="312">
        <f t="shared" si="26"/>
        <v>0</v>
      </c>
      <c r="P132" s="63">
        <f t="shared" si="19"/>
        <v>3932.8</v>
      </c>
      <c r="Q132" s="312" t="str">
        <f t="shared" si="27"/>
        <v>No</v>
      </c>
      <c r="R132" s="312">
        <f t="shared" si="28"/>
        <v>2129.4666666666672</v>
      </c>
      <c r="S132" s="15">
        <f t="shared" si="29"/>
        <v>-2129.4666666666672</v>
      </c>
      <c r="T132" s="189">
        <f>IF(AND('Total income package'!$A$22=TRUE,M132="Yes",S132&gt;9.99),MIN(S132,$I$2),0)</f>
        <v>0</v>
      </c>
    </row>
    <row r="133" spans="1:20" ht="15" customHeight="1" x14ac:dyDescent="0.25">
      <c r="A133" s="117">
        <v>62000</v>
      </c>
      <c r="B133" s="384">
        <f t="shared" si="33"/>
        <v>5166.666666666667</v>
      </c>
      <c r="C133" s="63">
        <f>'Total income package'!$D$80</f>
        <v>0</v>
      </c>
      <c r="D133" s="63">
        <f t="shared" si="20"/>
        <v>5166.666666666667</v>
      </c>
      <c r="E133" s="14" t="str">
        <f t="shared" si="21"/>
        <v>No</v>
      </c>
      <c r="F133" s="63">
        <f t="shared" si="17"/>
        <v>4957.666666666667</v>
      </c>
      <c r="G133" s="63">
        <f t="shared" si="30"/>
        <v>991.53333333333342</v>
      </c>
      <c r="H133" s="63">
        <f t="shared" si="22"/>
        <v>3966.1333333333337</v>
      </c>
      <c r="I133" s="312">
        <f t="shared" si="23"/>
        <v>3966.1333333333337</v>
      </c>
      <c r="J133" s="14" t="str">
        <f t="shared" si="24"/>
        <v>No</v>
      </c>
      <c r="K133" s="63">
        <f t="shared" si="18"/>
        <v>0</v>
      </c>
      <c r="L133" s="130">
        <f>IF('Total income package'!$A$20=TRUE,MIN(IF(K133&gt;9.99,K133,0),$I$2),0)</f>
        <v>0</v>
      </c>
      <c r="M133" s="14" t="str">
        <f t="shared" si="32"/>
        <v>No</v>
      </c>
      <c r="N133" s="14" t="str">
        <f t="shared" si="25"/>
        <v>Yes</v>
      </c>
      <c r="O133" s="312">
        <f t="shared" si="26"/>
        <v>0</v>
      </c>
      <c r="P133" s="63">
        <f t="shared" si="19"/>
        <v>3966.1333333333337</v>
      </c>
      <c r="Q133" s="312" t="str">
        <f t="shared" si="27"/>
        <v>No</v>
      </c>
      <c r="R133" s="312">
        <f t="shared" si="28"/>
        <v>2162.8000000000002</v>
      </c>
      <c r="S133" s="15">
        <f t="shared" si="29"/>
        <v>-2162.8000000000002</v>
      </c>
      <c r="T133" s="189">
        <f>IF(AND('Total income package'!$A$22=TRUE,M133="Yes",S133&gt;9.99),MIN(S133,$I$2),0)</f>
        <v>0</v>
      </c>
    </row>
    <row r="134" spans="1:20" ht="15" customHeight="1" x14ac:dyDescent="0.25">
      <c r="A134" s="29">
        <v>62500</v>
      </c>
      <c r="B134" s="384">
        <f t="shared" si="33"/>
        <v>5208.333333333333</v>
      </c>
      <c r="C134" s="63">
        <f>'Total income package'!$D$80</f>
        <v>0</v>
      </c>
      <c r="D134" s="63">
        <f t="shared" si="20"/>
        <v>5208.333333333333</v>
      </c>
      <c r="E134" s="14" t="str">
        <f t="shared" si="21"/>
        <v>No</v>
      </c>
      <c r="F134" s="63">
        <f t="shared" si="17"/>
        <v>4999.333333333333</v>
      </c>
      <c r="G134" s="63">
        <f t="shared" si="30"/>
        <v>999.86666666666667</v>
      </c>
      <c r="H134" s="63">
        <f t="shared" si="22"/>
        <v>3999.4666666666662</v>
      </c>
      <c r="I134" s="312">
        <f t="shared" si="23"/>
        <v>3999.4666666666662</v>
      </c>
      <c r="J134" s="14" t="str">
        <f t="shared" si="24"/>
        <v>No</v>
      </c>
      <c r="K134" s="63">
        <f t="shared" si="18"/>
        <v>0</v>
      </c>
      <c r="L134" s="130">
        <f>IF('Total income package'!$A$20=TRUE,MIN(IF(K134&gt;9.99,K134,0),$I$2),0)</f>
        <v>0</v>
      </c>
      <c r="M134" s="14" t="str">
        <f t="shared" si="32"/>
        <v>No</v>
      </c>
      <c r="N134" s="14" t="str">
        <f t="shared" si="25"/>
        <v>Yes</v>
      </c>
      <c r="O134" s="312">
        <f t="shared" si="26"/>
        <v>0</v>
      </c>
      <c r="P134" s="63">
        <f t="shared" si="19"/>
        <v>3999.4666666666662</v>
      </c>
      <c r="Q134" s="312" t="str">
        <f t="shared" si="27"/>
        <v>No</v>
      </c>
      <c r="R134" s="312">
        <f t="shared" si="28"/>
        <v>2196.1333333333332</v>
      </c>
      <c r="S134" s="15">
        <f t="shared" si="29"/>
        <v>-2196.1333333333332</v>
      </c>
      <c r="T134" s="189">
        <f>IF(AND('Total income package'!$A$22=TRUE,M134="Yes",S134&gt;9.99),MIN(S134,$I$2),0)</f>
        <v>0</v>
      </c>
    </row>
    <row r="135" spans="1:20" ht="15" customHeight="1" x14ac:dyDescent="0.25">
      <c r="A135" s="117">
        <v>63000</v>
      </c>
      <c r="B135" s="384">
        <f t="shared" si="33"/>
        <v>5250</v>
      </c>
      <c r="C135" s="63">
        <f>'Total income package'!$D$80</f>
        <v>0</v>
      </c>
      <c r="D135" s="63">
        <f t="shared" si="20"/>
        <v>5250</v>
      </c>
      <c r="E135" s="14" t="str">
        <f t="shared" si="21"/>
        <v>No</v>
      </c>
      <c r="F135" s="63">
        <f t="shared" si="17"/>
        <v>5041</v>
      </c>
      <c r="G135" s="63">
        <f t="shared" si="30"/>
        <v>1008.2</v>
      </c>
      <c r="H135" s="63">
        <f t="shared" si="22"/>
        <v>4032.8</v>
      </c>
      <c r="I135" s="312">
        <f t="shared" si="23"/>
        <v>4032.8</v>
      </c>
      <c r="J135" s="14" t="str">
        <f t="shared" si="24"/>
        <v>No</v>
      </c>
      <c r="K135" s="63">
        <f t="shared" si="18"/>
        <v>0</v>
      </c>
      <c r="L135" s="130">
        <f>IF('Total income package'!$A$20=TRUE,MIN(IF(K135&gt;9.99,K135,0),$I$2),0)</f>
        <v>0</v>
      </c>
      <c r="M135" s="14" t="str">
        <f t="shared" si="32"/>
        <v>No</v>
      </c>
      <c r="N135" s="14" t="str">
        <f t="shared" si="25"/>
        <v>Yes</v>
      </c>
      <c r="O135" s="312">
        <f t="shared" si="26"/>
        <v>0</v>
      </c>
      <c r="P135" s="63">
        <f t="shared" si="19"/>
        <v>4032.8</v>
      </c>
      <c r="Q135" s="312" t="str">
        <f t="shared" si="27"/>
        <v>No</v>
      </c>
      <c r="R135" s="312">
        <f t="shared" si="28"/>
        <v>2229.4666666666672</v>
      </c>
      <c r="S135" s="15">
        <f t="shared" si="29"/>
        <v>-2229.4666666666672</v>
      </c>
      <c r="T135" s="189">
        <f>IF(AND('Total income package'!$A$22=TRUE,M135="Yes",S135&gt;9.99),MIN(S135,$I$2),0)</f>
        <v>0</v>
      </c>
    </row>
    <row r="136" spans="1:20" ht="15" customHeight="1" x14ac:dyDescent="0.25">
      <c r="A136" s="117">
        <v>63500</v>
      </c>
      <c r="B136" s="384">
        <f t="shared" si="33"/>
        <v>5291.666666666667</v>
      </c>
      <c r="C136" s="63">
        <f>'Total income package'!$D$80</f>
        <v>0</v>
      </c>
      <c r="D136" s="63">
        <f t="shared" si="20"/>
        <v>5291.666666666667</v>
      </c>
      <c r="E136" s="14" t="str">
        <f t="shared" si="21"/>
        <v>No</v>
      </c>
      <c r="F136" s="63">
        <f t="shared" si="17"/>
        <v>5082.666666666667</v>
      </c>
      <c r="G136" s="63">
        <f t="shared" si="30"/>
        <v>1016.5333333333334</v>
      </c>
      <c r="H136" s="63">
        <f t="shared" si="22"/>
        <v>4066.1333333333337</v>
      </c>
      <c r="I136" s="312">
        <f t="shared" si="23"/>
        <v>4066.1333333333337</v>
      </c>
      <c r="J136" s="14" t="str">
        <f t="shared" si="24"/>
        <v>No</v>
      </c>
      <c r="K136" s="63">
        <f t="shared" si="18"/>
        <v>0</v>
      </c>
      <c r="L136" s="130">
        <f>IF('Total income package'!$A$20=TRUE,MIN(IF(K136&gt;9.99,K136,0),$I$2),0)</f>
        <v>0</v>
      </c>
      <c r="M136" s="14" t="str">
        <f t="shared" si="32"/>
        <v>No</v>
      </c>
      <c r="N136" s="14" t="str">
        <f t="shared" si="25"/>
        <v>Yes</v>
      </c>
      <c r="O136" s="312">
        <f t="shared" si="26"/>
        <v>0</v>
      </c>
      <c r="P136" s="63">
        <f t="shared" si="19"/>
        <v>4066.1333333333337</v>
      </c>
      <c r="Q136" s="312" t="str">
        <f t="shared" si="27"/>
        <v>No</v>
      </c>
      <c r="R136" s="312">
        <f t="shared" si="28"/>
        <v>2262.8000000000002</v>
      </c>
      <c r="S136" s="15">
        <f t="shared" si="29"/>
        <v>-2262.8000000000002</v>
      </c>
      <c r="T136" s="189">
        <f>IF(AND('Total income package'!$A$22=TRUE,M136="Yes",S136&gt;9.99),MIN(S136,$I$2),0)</f>
        <v>0</v>
      </c>
    </row>
    <row r="137" spans="1:20" ht="15" customHeight="1" x14ac:dyDescent="0.25">
      <c r="A137" s="29">
        <v>64000</v>
      </c>
      <c r="B137" s="384">
        <f t="shared" si="33"/>
        <v>5333.333333333333</v>
      </c>
      <c r="C137" s="63">
        <f>'Total income package'!$D$80</f>
        <v>0</v>
      </c>
      <c r="D137" s="63">
        <f t="shared" si="20"/>
        <v>5333.333333333333</v>
      </c>
      <c r="E137" s="14" t="str">
        <f t="shared" si="21"/>
        <v>No</v>
      </c>
      <c r="F137" s="63">
        <f t="shared" ref="F137:F200" si="34">IF(B137-$D$2&gt;0,B137-$D$2,0)</f>
        <v>5124.333333333333</v>
      </c>
      <c r="G137" s="63">
        <f t="shared" si="30"/>
        <v>1024.8666666666666</v>
      </c>
      <c r="H137" s="63">
        <f t="shared" si="22"/>
        <v>4099.4666666666662</v>
      </c>
      <c r="I137" s="312">
        <f t="shared" si="23"/>
        <v>4099.4666666666662</v>
      </c>
      <c r="J137" s="14" t="str">
        <f t="shared" si="24"/>
        <v>No</v>
      </c>
      <c r="K137" s="63">
        <f t="shared" ref="K137:K200" si="35">IF(E137="Yes",MIN(IF($G$2-I137&gt;0,$G$2-I137,0),$I$2),0)</f>
        <v>0</v>
      </c>
      <c r="L137" s="130">
        <f>IF('Total income package'!$A$20=TRUE,MIN(IF(K137&gt;9.99,K137,0),$I$2),0)</f>
        <v>0</v>
      </c>
      <c r="M137" s="14" t="str">
        <f t="shared" si="32"/>
        <v>No</v>
      </c>
      <c r="N137" s="14" t="str">
        <f t="shared" si="25"/>
        <v>Yes</v>
      </c>
      <c r="O137" s="312">
        <f t="shared" si="26"/>
        <v>0</v>
      </c>
      <c r="P137" s="63">
        <f t="shared" ref="P137:P200" si="36">I137+O137</f>
        <v>4099.4666666666662</v>
      </c>
      <c r="Q137" s="312" t="str">
        <f t="shared" si="27"/>
        <v>No</v>
      </c>
      <c r="R137" s="312">
        <f t="shared" si="28"/>
        <v>2296.1333333333332</v>
      </c>
      <c r="S137" s="15">
        <f t="shared" si="29"/>
        <v>-2296.1333333333332</v>
      </c>
      <c r="T137" s="189">
        <f>IF(AND('Total income package'!$A$22=TRUE,M137="Yes",S137&gt;9.99),MIN(S137,$I$2),0)</f>
        <v>0</v>
      </c>
    </row>
    <row r="138" spans="1:20" ht="15" customHeight="1" x14ac:dyDescent="0.25">
      <c r="A138" s="117">
        <v>64500</v>
      </c>
      <c r="B138" s="384">
        <f t="shared" si="33"/>
        <v>5375</v>
      </c>
      <c r="C138" s="63">
        <f>'Total income package'!$D$80</f>
        <v>0</v>
      </c>
      <c r="D138" s="63">
        <f t="shared" ref="D138:D201" si="37">B138+C138</f>
        <v>5375</v>
      </c>
      <c r="E138" s="14" t="str">
        <f t="shared" ref="E138:E201" si="38">IF(D138&lt;=$F$2,"Yes","No")</f>
        <v>No</v>
      </c>
      <c r="F138" s="63">
        <f t="shared" si="34"/>
        <v>5166</v>
      </c>
      <c r="G138" s="63">
        <f t="shared" si="30"/>
        <v>1033.2</v>
      </c>
      <c r="H138" s="63">
        <f t="shared" ref="H138:H201" si="39">F138-G138</f>
        <v>4132.8</v>
      </c>
      <c r="I138" s="312">
        <f t="shared" ref="I138:I201" si="40">C138+H138</f>
        <v>4132.8</v>
      </c>
      <c r="J138" s="14" t="str">
        <f t="shared" ref="J138:J201" si="41">IF(I138&lt;$G$2,"Yes","No")</f>
        <v>No</v>
      </c>
      <c r="K138" s="63">
        <f t="shared" si="35"/>
        <v>0</v>
      </c>
      <c r="L138" s="130">
        <f>IF('Total income package'!$A$20=TRUE,MIN(IF(K138&gt;9.99,K138,0),$I$2),0)</f>
        <v>0</v>
      </c>
      <c r="M138" s="14" t="str">
        <f t="shared" si="32"/>
        <v>No</v>
      </c>
      <c r="N138" s="14" t="str">
        <f t="shared" ref="N138:N201" si="42">IF(C138&lt;$G$2,"Yes","No")</f>
        <v>Yes</v>
      </c>
      <c r="O138" s="312">
        <f t="shared" ref="O138:O201" si="43">IF(AND(M138="Yes",N138="Yes"),MIN($G$2,$I$2),0)</f>
        <v>0</v>
      </c>
      <c r="P138" s="63">
        <f t="shared" si="36"/>
        <v>4132.8</v>
      </c>
      <c r="Q138" s="312" t="str">
        <f t="shared" ref="Q138:Q201" si="44">IF(P138&lt;$H$2,"Yes","No")</f>
        <v>No</v>
      </c>
      <c r="R138" s="312">
        <f t="shared" ref="R138:R201" si="45">IF(P138&gt;$H$2,P138-$H$2,0)</f>
        <v>2329.4666666666672</v>
      </c>
      <c r="S138" s="15">
        <f t="shared" ref="S138:S201" si="46">IF(P138&gt;$H$2,O138-R138,O138)</f>
        <v>-2329.4666666666672</v>
      </c>
      <c r="T138" s="189">
        <f>IF(AND('Total income package'!$A$22=TRUE,M138="Yes",S138&gt;9.99),MIN(S138,$I$2),0)</f>
        <v>0</v>
      </c>
    </row>
    <row r="139" spans="1:20" ht="15" customHeight="1" x14ac:dyDescent="0.25">
      <c r="A139" s="117">
        <v>65000</v>
      </c>
      <c r="B139" s="384">
        <f t="shared" si="33"/>
        <v>5416.666666666667</v>
      </c>
      <c r="C139" s="63">
        <f>'Total income package'!$D$80</f>
        <v>0</v>
      </c>
      <c r="D139" s="63">
        <f t="shared" si="37"/>
        <v>5416.666666666667</v>
      </c>
      <c r="E139" s="14" t="str">
        <f t="shared" si="38"/>
        <v>No</v>
      </c>
      <c r="F139" s="63">
        <f t="shared" si="34"/>
        <v>5207.666666666667</v>
      </c>
      <c r="G139" s="63">
        <f t="shared" ref="G139:G202" si="47">F139*0.2</f>
        <v>1041.5333333333335</v>
      </c>
      <c r="H139" s="63">
        <f t="shared" si="39"/>
        <v>4166.1333333333332</v>
      </c>
      <c r="I139" s="312">
        <f t="shared" si="40"/>
        <v>4166.1333333333332</v>
      </c>
      <c r="J139" s="14" t="str">
        <f t="shared" si="41"/>
        <v>No</v>
      </c>
      <c r="K139" s="63">
        <f t="shared" si="35"/>
        <v>0</v>
      </c>
      <c r="L139" s="130">
        <f>IF('Total income package'!$A$20=TRUE,MIN(IF(K139&gt;9.99,K139,0),$I$2),0)</f>
        <v>0</v>
      </c>
      <c r="M139" s="14" t="str">
        <f t="shared" si="32"/>
        <v>No</v>
      </c>
      <c r="N139" s="14" t="str">
        <f t="shared" si="42"/>
        <v>Yes</v>
      </c>
      <c r="O139" s="312">
        <f t="shared" si="43"/>
        <v>0</v>
      </c>
      <c r="P139" s="63">
        <f t="shared" si="36"/>
        <v>4166.1333333333332</v>
      </c>
      <c r="Q139" s="312" t="str">
        <f t="shared" si="44"/>
        <v>No</v>
      </c>
      <c r="R139" s="312">
        <f t="shared" si="45"/>
        <v>2362.8000000000002</v>
      </c>
      <c r="S139" s="15">
        <f t="shared" si="46"/>
        <v>-2362.8000000000002</v>
      </c>
      <c r="T139" s="189">
        <f>IF(AND('Total income package'!$A$22=TRUE,M139="Yes",S139&gt;9.99),MIN(S139,$I$2),0)</f>
        <v>0</v>
      </c>
    </row>
    <row r="140" spans="1:20" ht="15" customHeight="1" x14ac:dyDescent="0.25">
      <c r="A140" s="29">
        <v>65500</v>
      </c>
      <c r="B140" s="384">
        <f t="shared" si="33"/>
        <v>5458.333333333333</v>
      </c>
      <c r="C140" s="63">
        <f>'Total income package'!$D$80</f>
        <v>0</v>
      </c>
      <c r="D140" s="63">
        <f t="shared" si="37"/>
        <v>5458.333333333333</v>
      </c>
      <c r="E140" s="14" t="str">
        <f t="shared" si="38"/>
        <v>No</v>
      </c>
      <c r="F140" s="63">
        <f t="shared" si="34"/>
        <v>5249.333333333333</v>
      </c>
      <c r="G140" s="63">
        <f t="shared" si="47"/>
        <v>1049.8666666666666</v>
      </c>
      <c r="H140" s="63">
        <f t="shared" si="39"/>
        <v>4199.4666666666662</v>
      </c>
      <c r="I140" s="312">
        <f t="shared" si="40"/>
        <v>4199.4666666666662</v>
      </c>
      <c r="J140" s="14" t="str">
        <f t="shared" si="41"/>
        <v>No</v>
      </c>
      <c r="K140" s="63">
        <f t="shared" si="35"/>
        <v>0</v>
      </c>
      <c r="L140" s="130">
        <f>IF('Total income package'!$A$20=TRUE,MIN(IF(K140&gt;9.99,K140,0),$I$2),0)</f>
        <v>0</v>
      </c>
      <c r="M140" s="14" t="str">
        <f t="shared" si="32"/>
        <v>No</v>
      </c>
      <c r="N140" s="14" t="str">
        <f t="shared" si="42"/>
        <v>Yes</v>
      </c>
      <c r="O140" s="312">
        <f t="shared" si="43"/>
        <v>0</v>
      </c>
      <c r="P140" s="63">
        <f t="shared" si="36"/>
        <v>4199.4666666666662</v>
      </c>
      <c r="Q140" s="312" t="str">
        <f t="shared" si="44"/>
        <v>No</v>
      </c>
      <c r="R140" s="312">
        <f t="shared" si="45"/>
        <v>2396.1333333333332</v>
      </c>
      <c r="S140" s="15">
        <f t="shared" si="46"/>
        <v>-2396.1333333333332</v>
      </c>
      <c r="T140" s="189">
        <f>IF(AND('Total income package'!$A$22=TRUE,M140="Yes",S140&gt;9.99),MIN(S140,$I$2),0)</f>
        <v>0</v>
      </c>
    </row>
    <row r="141" spans="1:20" ht="15" customHeight="1" x14ac:dyDescent="0.25">
      <c r="A141" s="117">
        <v>66000</v>
      </c>
      <c r="B141" s="384">
        <f t="shared" si="33"/>
        <v>5500</v>
      </c>
      <c r="C141" s="63">
        <f>'Total income package'!$D$80</f>
        <v>0</v>
      </c>
      <c r="D141" s="63">
        <f t="shared" si="37"/>
        <v>5500</v>
      </c>
      <c r="E141" s="14" t="str">
        <f t="shared" si="38"/>
        <v>No</v>
      </c>
      <c r="F141" s="63">
        <f t="shared" si="34"/>
        <v>5291</v>
      </c>
      <c r="G141" s="63">
        <f t="shared" si="47"/>
        <v>1058.2</v>
      </c>
      <c r="H141" s="63">
        <f t="shared" si="39"/>
        <v>4232.8</v>
      </c>
      <c r="I141" s="312">
        <f t="shared" si="40"/>
        <v>4232.8</v>
      </c>
      <c r="J141" s="14" t="str">
        <f t="shared" si="41"/>
        <v>No</v>
      </c>
      <c r="K141" s="63">
        <f t="shared" si="35"/>
        <v>0</v>
      </c>
      <c r="L141" s="130">
        <f>IF('Total income package'!$A$20=TRUE,MIN(IF(K141&gt;9.99,K141,0),$I$2),0)</f>
        <v>0</v>
      </c>
      <c r="M141" s="14" t="str">
        <f t="shared" si="32"/>
        <v>No</v>
      </c>
      <c r="N141" s="14" t="str">
        <f t="shared" si="42"/>
        <v>Yes</v>
      </c>
      <c r="O141" s="312">
        <f t="shared" si="43"/>
        <v>0</v>
      </c>
      <c r="P141" s="63">
        <f t="shared" si="36"/>
        <v>4232.8</v>
      </c>
      <c r="Q141" s="312" t="str">
        <f t="shared" si="44"/>
        <v>No</v>
      </c>
      <c r="R141" s="312">
        <f t="shared" si="45"/>
        <v>2429.4666666666672</v>
      </c>
      <c r="S141" s="15">
        <f t="shared" si="46"/>
        <v>-2429.4666666666672</v>
      </c>
      <c r="T141" s="189">
        <f>IF(AND('Total income package'!$A$22=TRUE,M141="Yes",S141&gt;9.99),MIN(S141,$I$2),0)</f>
        <v>0</v>
      </c>
    </row>
    <row r="142" spans="1:20" ht="15" customHeight="1" x14ac:dyDescent="0.25">
      <c r="A142" s="117">
        <v>66500</v>
      </c>
      <c r="B142" s="384">
        <f t="shared" si="33"/>
        <v>5541.666666666667</v>
      </c>
      <c r="C142" s="63">
        <f>'Total income package'!$D$80</f>
        <v>0</v>
      </c>
      <c r="D142" s="63">
        <f t="shared" si="37"/>
        <v>5541.666666666667</v>
      </c>
      <c r="E142" s="14" t="str">
        <f t="shared" si="38"/>
        <v>No</v>
      </c>
      <c r="F142" s="63">
        <f t="shared" si="34"/>
        <v>5332.666666666667</v>
      </c>
      <c r="G142" s="63">
        <f t="shared" si="47"/>
        <v>1066.5333333333335</v>
      </c>
      <c r="H142" s="63">
        <f t="shared" si="39"/>
        <v>4266.1333333333332</v>
      </c>
      <c r="I142" s="312">
        <f t="shared" si="40"/>
        <v>4266.1333333333332</v>
      </c>
      <c r="J142" s="14" t="str">
        <f t="shared" si="41"/>
        <v>No</v>
      </c>
      <c r="K142" s="63">
        <f t="shared" si="35"/>
        <v>0</v>
      </c>
      <c r="L142" s="130">
        <f>IF('Total income package'!$A$20=TRUE,MIN(IF(K142&gt;9.99,K142,0),$I$2),0)</f>
        <v>0</v>
      </c>
      <c r="M142" s="14" t="str">
        <f t="shared" si="32"/>
        <v>No</v>
      </c>
      <c r="N142" s="14" t="str">
        <f t="shared" si="42"/>
        <v>Yes</v>
      </c>
      <c r="O142" s="312">
        <f t="shared" si="43"/>
        <v>0</v>
      </c>
      <c r="P142" s="63">
        <f t="shared" si="36"/>
        <v>4266.1333333333332</v>
      </c>
      <c r="Q142" s="312" t="str">
        <f t="shared" si="44"/>
        <v>No</v>
      </c>
      <c r="R142" s="312">
        <f t="shared" si="45"/>
        <v>2462.8000000000002</v>
      </c>
      <c r="S142" s="15">
        <f t="shared" si="46"/>
        <v>-2462.8000000000002</v>
      </c>
      <c r="T142" s="189">
        <f>IF(AND('Total income package'!$A$22=TRUE,M142="Yes",S142&gt;9.99),MIN(S142,$I$2),0)</f>
        <v>0</v>
      </c>
    </row>
    <row r="143" spans="1:20" ht="15" customHeight="1" x14ac:dyDescent="0.25">
      <c r="A143" s="29">
        <v>67000</v>
      </c>
      <c r="B143" s="384">
        <f t="shared" si="33"/>
        <v>5583.333333333333</v>
      </c>
      <c r="C143" s="63">
        <f>'Total income package'!$D$80</f>
        <v>0</v>
      </c>
      <c r="D143" s="63">
        <f t="shared" si="37"/>
        <v>5583.333333333333</v>
      </c>
      <c r="E143" s="14" t="str">
        <f t="shared" si="38"/>
        <v>No</v>
      </c>
      <c r="F143" s="63">
        <f t="shared" si="34"/>
        <v>5374.333333333333</v>
      </c>
      <c r="G143" s="63">
        <f t="shared" si="47"/>
        <v>1074.8666666666666</v>
      </c>
      <c r="H143" s="63">
        <f t="shared" si="39"/>
        <v>4299.4666666666662</v>
      </c>
      <c r="I143" s="312">
        <f t="shared" si="40"/>
        <v>4299.4666666666662</v>
      </c>
      <c r="J143" s="14" t="str">
        <f t="shared" si="41"/>
        <v>No</v>
      </c>
      <c r="K143" s="63">
        <f t="shared" si="35"/>
        <v>0</v>
      </c>
      <c r="L143" s="130">
        <f>IF('Total income package'!$A$20=TRUE,MIN(IF(K143&gt;9.99,K143,0),$I$2),0)</f>
        <v>0</v>
      </c>
      <c r="M143" s="14" t="str">
        <f t="shared" si="32"/>
        <v>No</v>
      </c>
      <c r="N143" s="14" t="str">
        <f t="shared" si="42"/>
        <v>Yes</v>
      </c>
      <c r="O143" s="312">
        <f t="shared" si="43"/>
        <v>0</v>
      </c>
      <c r="P143" s="63">
        <f t="shared" si="36"/>
        <v>4299.4666666666662</v>
      </c>
      <c r="Q143" s="312" t="str">
        <f t="shared" si="44"/>
        <v>No</v>
      </c>
      <c r="R143" s="312">
        <f t="shared" si="45"/>
        <v>2496.1333333333332</v>
      </c>
      <c r="S143" s="15">
        <f t="shared" si="46"/>
        <v>-2496.1333333333332</v>
      </c>
      <c r="T143" s="189">
        <f>IF(AND('Total income package'!$A$22=TRUE,M143="Yes",S143&gt;9.99),MIN(S143,$I$2),0)</f>
        <v>0</v>
      </c>
    </row>
    <row r="144" spans="1:20" ht="15" customHeight="1" x14ac:dyDescent="0.25">
      <c r="A144" s="117">
        <v>67500</v>
      </c>
      <c r="B144" s="384">
        <f t="shared" si="33"/>
        <v>5625</v>
      </c>
      <c r="C144" s="63">
        <f>'Total income package'!$D$80</f>
        <v>0</v>
      </c>
      <c r="D144" s="63">
        <f t="shared" si="37"/>
        <v>5625</v>
      </c>
      <c r="E144" s="14" t="str">
        <f t="shared" si="38"/>
        <v>No</v>
      </c>
      <c r="F144" s="63">
        <f t="shared" si="34"/>
        <v>5416</v>
      </c>
      <c r="G144" s="63">
        <f t="shared" si="47"/>
        <v>1083.2</v>
      </c>
      <c r="H144" s="63">
        <f t="shared" si="39"/>
        <v>4332.8</v>
      </c>
      <c r="I144" s="312">
        <f t="shared" si="40"/>
        <v>4332.8</v>
      </c>
      <c r="J144" s="14" t="str">
        <f t="shared" si="41"/>
        <v>No</v>
      </c>
      <c r="K144" s="63">
        <f t="shared" si="35"/>
        <v>0</v>
      </c>
      <c r="L144" s="130">
        <f>IF('Total income package'!$A$20=TRUE,MIN(IF(K144&gt;9.99,K144,0),$I$2),0)</f>
        <v>0</v>
      </c>
      <c r="M144" s="14" t="str">
        <f t="shared" si="32"/>
        <v>No</v>
      </c>
      <c r="N144" s="14" t="str">
        <f t="shared" si="42"/>
        <v>Yes</v>
      </c>
      <c r="O144" s="312">
        <f t="shared" si="43"/>
        <v>0</v>
      </c>
      <c r="P144" s="63">
        <f t="shared" si="36"/>
        <v>4332.8</v>
      </c>
      <c r="Q144" s="312" t="str">
        <f t="shared" si="44"/>
        <v>No</v>
      </c>
      <c r="R144" s="312">
        <f t="shared" si="45"/>
        <v>2529.4666666666672</v>
      </c>
      <c r="S144" s="15">
        <f t="shared" si="46"/>
        <v>-2529.4666666666672</v>
      </c>
      <c r="T144" s="189">
        <f>IF(AND('Total income package'!$A$22=TRUE,M144="Yes",S144&gt;9.99),MIN(S144,$I$2),0)</f>
        <v>0</v>
      </c>
    </row>
    <row r="145" spans="1:20" ht="15" customHeight="1" x14ac:dyDescent="0.25">
      <c r="A145" s="117">
        <v>68000</v>
      </c>
      <c r="B145" s="384">
        <f t="shared" si="33"/>
        <v>5666.666666666667</v>
      </c>
      <c r="C145" s="63">
        <f>'Total income package'!$D$80</f>
        <v>0</v>
      </c>
      <c r="D145" s="63">
        <f t="shared" si="37"/>
        <v>5666.666666666667</v>
      </c>
      <c r="E145" s="14" t="str">
        <f t="shared" si="38"/>
        <v>No</v>
      </c>
      <c r="F145" s="63">
        <f t="shared" si="34"/>
        <v>5457.666666666667</v>
      </c>
      <c r="G145" s="63">
        <f t="shared" si="47"/>
        <v>1091.5333333333335</v>
      </c>
      <c r="H145" s="63">
        <f t="shared" si="39"/>
        <v>4366.1333333333332</v>
      </c>
      <c r="I145" s="312">
        <f t="shared" si="40"/>
        <v>4366.1333333333332</v>
      </c>
      <c r="J145" s="14" t="str">
        <f t="shared" si="41"/>
        <v>No</v>
      </c>
      <c r="K145" s="63">
        <f t="shared" si="35"/>
        <v>0</v>
      </c>
      <c r="L145" s="130">
        <f>IF('Total income package'!$A$20=TRUE,MIN(IF(K145&gt;9.99,K145,0),$I$2),0)</f>
        <v>0</v>
      </c>
      <c r="M145" s="14" t="str">
        <f t="shared" si="32"/>
        <v>No</v>
      </c>
      <c r="N145" s="14" t="str">
        <f t="shared" si="42"/>
        <v>Yes</v>
      </c>
      <c r="O145" s="312">
        <f t="shared" si="43"/>
        <v>0</v>
      </c>
      <c r="P145" s="63">
        <f t="shared" si="36"/>
        <v>4366.1333333333332</v>
      </c>
      <c r="Q145" s="312" t="str">
        <f t="shared" si="44"/>
        <v>No</v>
      </c>
      <c r="R145" s="312">
        <f t="shared" si="45"/>
        <v>2562.8000000000002</v>
      </c>
      <c r="S145" s="15">
        <f t="shared" si="46"/>
        <v>-2562.8000000000002</v>
      </c>
      <c r="T145" s="189">
        <f>IF(AND('Total income package'!$A$22=TRUE,M145="Yes",S145&gt;9.99),MIN(S145,$I$2),0)</f>
        <v>0</v>
      </c>
    </row>
    <row r="146" spans="1:20" ht="15" customHeight="1" x14ac:dyDescent="0.25">
      <c r="A146" s="29">
        <v>68500</v>
      </c>
      <c r="B146" s="384">
        <f t="shared" si="33"/>
        <v>5708.333333333333</v>
      </c>
      <c r="C146" s="63">
        <f>'Total income package'!$D$80</f>
        <v>0</v>
      </c>
      <c r="D146" s="63">
        <f t="shared" si="37"/>
        <v>5708.333333333333</v>
      </c>
      <c r="E146" s="14" t="str">
        <f t="shared" si="38"/>
        <v>No</v>
      </c>
      <c r="F146" s="63">
        <f t="shared" si="34"/>
        <v>5499.333333333333</v>
      </c>
      <c r="G146" s="63">
        <f t="shared" si="47"/>
        <v>1099.8666666666666</v>
      </c>
      <c r="H146" s="63">
        <f t="shared" si="39"/>
        <v>4399.4666666666662</v>
      </c>
      <c r="I146" s="312">
        <f t="shared" si="40"/>
        <v>4399.4666666666662</v>
      </c>
      <c r="J146" s="14" t="str">
        <f t="shared" si="41"/>
        <v>No</v>
      </c>
      <c r="K146" s="63">
        <f t="shared" si="35"/>
        <v>0</v>
      </c>
      <c r="L146" s="130">
        <f>IF('Total income package'!$A$20=TRUE,MIN(IF(K146&gt;9.99,K146,0),$I$2),0)</f>
        <v>0</v>
      </c>
      <c r="M146" s="14" t="str">
        <f t="shared" si="32"/>
        <v>No</v>
      </c>
      <c r="N146" s="14" t="str">
        <f t="shared" si="42"/>
        <v>Yes</v>
      </c>
      <c r="O146" s="312">
        <f t="shared" si="43"/>
        <v>0</v>
      </c>
      <c r="P146" s="63">
        <f t="shared" si="36"/>
        <v>4399.4666666666662</v>
      </c>
      <c r="Q146" s="312" t="str">
        <f t="shared" si="44"/>
        <v>No</v>
      </c>
      <c r="R146" s="312">
        <f t="shared" si="45"/>
        <v>2596.1333333333332</v>
      </c>
      <c r="S146" s="15">
        <f t="shared" si="46"/>
        <v>-2596.1333333333332</v>
      </c>
      <c r="T146" s="189">
        <f>IF(AND('Total income package'!$A$22=TRUE,M146="Yes",S146&gt;9.99),MIN(S146,$I$2),0)</f>
        <v>0</v>
      </c>
    </row>
    <row r="147" spans="1:20" ht="15" customHeight="1" x14ac:dyDescent="0.25">
      <c r="A147" s="117">
        <v>69000</v>
      </c>
      <c r="B147" s="384">
        <f t="shared" si="33"/>
        <v>5750</v>
      </c>
      <c r="C147" s="63">
        <f>'Total income package'!$D$80</f>
        <v>0</v>
      </c>
      <c r="D147" s="63">
        <f t="shared" si="37"/>
        <v>5750</v>
      </c>
      <c r="E147" s="14" t="str">
        <f t="shared" si="38"/>
        <v>No</v>
      </c>
      <c r="F147" s="63">
        <f t="shared" si="34"/>
        <v>5541</v>
      </c>
      <c r="G147" s="63">
        <f t="shared" si="47"/>
        <v>1108.2</v>
      </c>
      <c r="H147" s="63">
        <f t="shared" si="39"/>
        <v>4432.8</v>
      </c>
      <c r="I147" s="312">
        <f t="shared" si="40"/>
        <v>4432.8</v>
      </c>
      <c r="J147" s="14" t="str">
        <f t="shared" si="41"/>
        <v>No</v>
      </c>
      <c r="K147" s="63">
        <f t="shared" si="35"/>
        <v>0</v>
      </c>
      <c r="L147" s="130">
        <f>IF('Total income package'!$A$20=TRUE,MIN(IF(K147&gt;9.99,K147,0),$I$2),0)</f>
        <v>0</v>
      </c>
      <c r="M147" s="14" t="str">
        <f t="shared" si="32"/>
        <v>No</v>
      </c>
      <c r="N147" s="14" t="str">
        <f t="shared" si="42"/>
        <v>Yes</v>
      </c>
      <c r="O147" s="312">
        <f t="shared" si="43"/>
        <v>0</v>
      </c>
      <c r="P147" s="63">
        <f t="shared" si="36"/>
        <v>4432.8</v>
      </c>
      <c r="Q147" s="312" t="str">
        <f t="shared" si="44"/>
        <v>No</v>
      </c>
      <c r="R147" s="312">
        <f t="shared" si="45"/>
        <v>2629.4666666666672</v>
      </c>
      <c r="S147" s="15">
        <f t="shared" si="46"/>
        <v>-2629.4666666666672</v>
      </c>
      <c r="T147" s="189">
        <f>IF(AND('Total income package'!$A$22=TRUE,M147="Yes",S147&gt;9.99),MIN(S147,$I$2),0)</f>
        <v>0</v>
      </c>
    </row>
    <row r="148" spans="1:20" ht="15" customHeight="1" x14ac:dyDescent="0.25">
      <c r="A148" s="117">
        <v>69500</v>
      </c>
      <c r="B148" s="384">
        <f t="shared" si="33"/>
        <v>5791.666666666667</v>
      </c>
      <c r="C148" s="63">
        <f>'Total income package'!$D$80</f>
        <v>0</v>
      </c>
      <c r="D148" s="63">
        <f t="shared" si="37"/>
        <v>5791.666666666667</v>
      </c>
      <c r="E148" s="14" t="str">
        <f t="shared" si="38"/>
        <v>No</v>
      </c>
      <c r="F148" s="63">
        <f t="shared" si="34"/>
        <v>5582.666666666667</v>
      </c>
      <c r="G148" s="63">
        <f t="shared" si="47"/>
        <v>1116.5333333333335</v>
      </c>
      <c r="H148" s="63">
        <f t="shared" si="39"/>
        <v>4466.1333333333332</v>
      </c>
      <c r="I148" s="312">
        <f t="shared" si="40"/>
        <v>4466.1333333333332</v>
      </c>
      <c r="J148" s="14" t="str">
        <f t="shared" si="41"/>
        <v>No</v>
      </c>
      <c r="K148" s="63">
        <f t="shared" si="35"/>
        <v>0</v>
      </c>
      <c r="L148" s="130">
        <f>IF('Total income package'!$A$20=TRUE,MIN(IF(K148&gt;9.99,K148,0),$I$2),0)</f>
        <v>0</v>
      </c>
      <c r="M148" s="14" t="str">
        <f t="shared" si="32"/>
        <v>No</v>
      </c>
      <c r="N148" s="14" t="str">
        <f t="shared" si="42"/>
        <v>Yes</v>
      </c>
      <c r="O148" s="312">
        <f t="shared" si="43"/>
        <v>0</v>
      </c>
      <c r="P148" s="63">
        <f t="shared" si="36"/>
        <v>4466.1333333333332</v>
      </c>
      <c r="Q148" s="312" t="str">
        <f t="shared" si="44"/>
        <v>No</v>
      </c>
      <c r="R148" s="312">
        <f t="shared" si="45"/>
        <v>2662.8</v>
      </c>
      <c r="S148" s="15">
        <f t="shared" si="46"/>
        <v>-2662.8</v>
      </c>
      <c r="T148" s="189">
        <f>IF(AND('Total income package'!$A$22=TRUE,M148="Yes",S148&gt;9.99),MIN(S148,$I$2),0)</f>
        <v>0</v>
      </c>
    </row>
    <row r="149" spans="1:20" ht="15" customHeight="1" x14ac:dyDescent="0.25">
      <c r="A149" s="29">
        <v>70000</v>
      </c>
      <c r="B149" s="384">
        <f t="shared" si="33"/>
        <v>5833.333333333333</v>
      </c>
      <c r="C149" s="63">
        <f>'Total income package'!$D$80</f>
        <v>0</v>
      </c>
      <c r="D149" s="63">
        <f t="shared" si="37"/>
        <v>5833.333333333333</v>
      </c>
      <c r="E149" s="14" t="str">
        <f t="shared" si="38"/>
        <v>No</v>
      </c>
      <c r="F149" s="63">
        <f t="shared" si="34"/>
        <v>5624.333333333333</v>
      </c>
      <c r="G149" s="63">
        <f t="shared" si="47"/>
        <v>1124.8666666666666</v>
      </c>
      <c r="H149" s="63">
        <f t="shared" si="39"/>
        <v>4499.4666666666662</v>
      </c>
      <c r="I149" s="312">
        <f t="shared" si="40"/>
        <v>4499.4666666666662</v>
      </c>
      <c r="J149" s="14" t="str">
        <f t="shared" si="41"/>
        <v>No</v>
      </c>
      <c r="K149" s="63">
        <f t="shared" si="35"/>
        <v>0</v>
      </c>
      <c r="L149" s="130">
        <f>IF('Total income package'!$A$20=TRUE,MIN(IF(K149&gt;9.99,K149,0),$I$2),0)</f>
        <v>0</v>
      </c>
      <c r="M149" s="14" t="str">
        <f t="shared" si="32"/>
        <v>No</v>
      </c>
      <c r="N149" s="14" t="str">
        <f t="shared" si="42"/>
        <v>Yes</v>
      </c>
      <c r="O149" s="312">
        <f t="shared" si="43"/>
        <v>0</v>
      </c>
      <c r="P149" s="63">
        <f t="shared" si="36"/>
        <v>4499.4666666666662</v>
      </c>
      <c r="Q149" s="312" t="str">
        <f t="shared" si="44"/>
        <v>No</v>
      </c>
      <c r="R149" s="312">
        <f t="shared" si="45"/>
        <v>2696.1333333333332</v>
      </c>
      <c r="S149" s="15">
        <f t="shared" si="46"/>
        <v>-2696.1333333333332</v>
      </c>
      <c r="T149" s="189">
        <f>IF(AND('Total income package'!$A$22=TRUE,M149="Yes",S149&gt;9.99),MIN(S149,$I$2),0)</f>
        <v>0</v>
      </c>
    </row>
    <row r="150" spans="1:20" ht="15" customHeight="1" x14ac:dyDescent="0.25">
      <c r="A150" s="117">
        <v>70500</v>
      </c>
      <c r="B150" s="384">
        <f t="shared" si="33"/>
        <v>5875</v>
      </c>
      <c r="C150" s="63">
        <f>'Total income package'!$D$80</f>
        <v>0</v>
      </c>
      <c r="D150" s="63">
        <f t="shared" si="37"/>
        <v>5875</v>
      </c>
      <c r="E150" s="14" t="str">
        <f t="shared" si="38"/>
        <v>No</v>
      </c>
      <c r="F150" s="63">
        <f t="shared" si="34"/>
        <v>5666</v>
      </c>
      <c r="G150" s="63">
        <f t="shared" si="47"/>
        <v>1133.2</v>
      </c>
      <c r="H150" s="63">
        <f t="shared" si="39"/>
        <v>4532.8</v>
      </c>
      <c r="I150" s="312">
        <f t="shared" si="40"/>
        <v>4532.8</v>
      </c>
      <c r="J150" s="14" t="str">
        <f t="shared" si="41"/>
        <v>No</v>
      </c>
      <c r="K150" s="63">
        <f t="shared" si="35"/>
        <v>0</v>
      </c>
      <c r="L150" s="130">
        <f>IF('Total income package'!$A$20=TRUE,MIN(IF(K150&gt;9.99,K150,0),$I$2),0)</f>
        <v>0</v>
      </c>
      <c r="M150" s="14" t="str">
        <f t="shared" si="32"/>
        <v>No</v>
      </c>
      <c r="N150" s="14" t="str">
        <f t="shared" si="42"/>
        <v>Yes</v>
      </c>
      <c r="O150" s="312">
        <f t="shared" si="43"/>
        <v>0</v>
      </c>
      <c r="P150" s="63">
        <f t="shared" si="36"/>
        <v>4532.8</v>
      </c>
      <c r="Q150" s="312" t="str">
        <f t="shared" si="44"/>
        <v>No</v>
      </c>
      <c r="R150" s="312">
        <f t="shared" si="45"/>
        <v>2729.4666666666672</v>
      </c>
      <c r="S150" s="15">
        <f t="shared" si="46"/>
        <v>-2729.4666666666672</v>
      </c>
      <c r="T150" s="189">
        <f>IF(AND('Total income package'!$A$22=TRUE,M150="Yes",S150&gt;9.99),MIN(S150,$I$2),0)</f>
        <v>0</v>
      </c>
    </row>
    <row r="151" spans="1:20" ht="15" customHeight="1" x14ac:dyDescent="0.25">
      <c r="A151" s="117">
        <v>71000</v>
      </c>
      <c r="B151" s="384">
        <f t="shared" si="33"/>
        <v>5916.666666666667</v>
      </c>
      <c r="C151" s="63">
        <f>'Total income package'!$D$80</f>
        <v>0</v>
      </c>
      <c r="D151" s="63">
        <f t="shared" si="37"/>
        <v>5916.666666666667</v>
      </c>
      <c r="E151" s="14" t="str">
        <f t="shared" si="38"/>
        <v>No</v>
      </c>
      <c r="F151" s="63">
        <f t="shared" si="34"/>
        <v>5707.666666666667</v>
      </c>
      <c r="G151" s="63">
        <f t="shared" si="47"/>
        <v>1141.5333333333335</v>
      </c>
      <c r="H151" s="63">
        <f t="shared" si="39"/>
        <v>4566.1333333333332</v>
      </c>
      <c r="I151" s="312">
        <f t="shared" si="40"/>
        <v>4566.1333333333332</v>
      </c>
      <c r="J151" s="14" t="str">
        <f t="shared" si="41"/>
        <v>No</v>
      </c>
      <c r="K151" s="63">
        <f t="shared" si="35"/>
        <v>0</v>
      </c>
      <c r="L151" s="130">
        <f>IF('Total income package'!$A$20=TRUE,MIN(IF(K151&gt;9.99,K151,0),$I$2),0)</f>
        <v>0</v>
      </c>
      <c r="M151" s="14" t="str">
        <f t="shared" si="32"/>
        <v>No</v>
      </c>
      <c r="N151" s="14" t="str">
        <f t="shared" si="42"/>
        <v>Yes</v>
      </c>
      <c r="O151" s="312">
        <f t="shared" si="43"/>
        <v>0</v>
      </c>
      <c r="P151" s="63">
        <f t="shared" si="36"/>
        <v>4566.1333333333332</v>
      </c>
      <c r="Q151" s="312" t="str">
        <f t="shared" si="44"/>
        <v>No</v>
      </c>
      <c r="R151" s="312">
        <f t="shared" si="45"/>
        <v>2762.8</v>
      </c>
      <c r="S151" s="15">
        <f t="shared" si="46"/>
        <v>-2762.8</v>
      </c>
      <c r="T151" s="189">
        <f>IF(AND('Total income package'!$A$22=TRUE,M151="Yes",S151&gt;9.99),MIN(S151,$I$2),0)</f>
        <v>0</v>
      </c>
    </row>
    <row r="152" spans="1:20" ht="15" customHeight="1" x14ac:dyDescent="0.25">
      <c r="A152" s="29">
        <v>71500</v>
      </c>
      <c r="B152" s="384">
        <f t="shared" si="33"/>
        <v>5958.333333333333</v>
      </c>
      <c r="C152" s="63">
        <f>'Total income package'!$D$80</f>
        <v>0</v>
      </c>
      <c r="D152" s="63">
        <f t="shared" si="37"/>
        <v>5958.333333333333</v>
      </c>
      <c r="E152" s="14" t="str">
        <f t="shared" si="38"/>
        <v>No</v>
      </c>
      <c r="F152" s="63">
        <f t="shared" si="34"/>
        <v>5749.333333333333</v>
      </c>
      <c r="G152" s="63">
        <f t="shared" si="47"/>
        <v>1149.8666666666666</v>
      </c>
      <c r="H152" s="63">
        <f t="shared" si="39"/>
        <v>4599.4666666666662</v>
      </c>
      <c r="I152" s="312">
        <f t="shared" si="40"/>
        <v>4599.4666666666662</v>
      </c>
      <c r="J152" s="14" t="str">
        <f t="shared" si="41"/>
        <v>No</v>
      </c>
      <c r="K152" s="63">
        <f t="shared" si="35"/>
        <v>0</v>
      </c>
      <c r="L152" s="130">
        <f>IF('Total income package'!$A$20=TRUE,MIN(IF(K152&gt;9.99,K152,0),$I$2),0)</f>
        <v>0</v>
      </c>
      <c r="M152" s="14" t="str">
        <f t="shared" si="32"/>
        <v>No</v>
      </c>
      <c r="N152" s="14" t="str">
        <f t="shared" si="42"/>
        <v>Yes</v>
      </c>
      <c r="O152" s="312">
        <f t="shared" si="43"/>
        <v>0</v>
      </c>
      <c r="P152" s="63">
        <f t="shared" si="36"/>
        <v>4599.4666666666662</v>
      </c>
      <c r="Q152" s="312" t="str">
        <f t="shared" si="44"/>
        <v>No</v>
      </c>
      <c r="R152" s="312">
        <f t="shared" si="45"/>
        <v>2796.1333333333332</v>
      </c>
      <c r="S152" s="15">
        <f t="shared" si="46"/>
        <v>-2796.1333333333332</v>
      </c>
      <c r="T152" s="189">
        <f>IF(AND('Total income package'!$A$22=TRUE,M152="Yes",S152&gt;9.99),MIN(S152,$I$2),0)</f>
        <v>0</v>
      </c>
    </row>
    <row r="153" spans="1:20" ht="15" customHeight="1" x14ac:dyDescent="0.25">
      <c r="A153" s="117">
        <v>72000</v>
      </c>
      <c r="B153" s="384">
        <f t="shared" si="33"/>
        <v>6000</v>
      </c>
      <c r="C153" s="63">
        <f>'Total income package'!$D$80</f>
        <v>0</v>
      </c>
      <c r="D153" s="63">
        <f t="shared" si="37"/>
        <v>6000</v>
      </c>
      <c r="E153" s="14" t="str">
        <f t="shared" si="38"/>
        <v>No</v>
      </c>
      <c r="F153" s="63">
        <f t="shared" si="34"/>
        <v>5791</v>
      </c>
      <c r="G153" s="63">
        <f t="shared" si="47"/>
        <v>1158.2</v>
      </c>
      <c r="H153" s="63">
        <f t="shared" si="39"/>
        <v>4632.8</v>
      </c>
      <c r="I153" s="312">
        <f t="shared" si="40"/>
        <v>4632.8</v>
      </c>
      <c r="J153" s="14" t="str">
        <f t="shared" si="41"/>
        <v>No</v>
      </c>
      <c r="K153" s="63">
        <f t="shared" si="35"/>
        <v>0</v>
      </c>
      <c r="L153" s="130">
        <f>IF('Total income package'!$A$20=TRUE,MIN(IF(K153&gt;9.99,K153,0),$I$2),0)</f>
        <v>0</v>
      </c>
      <c r="M153" s="14" t="str">
        <f t="shared" si="32"/>
        <v>No</v>
      </c>
      <c r="N153" s="14" t="str">
        <f t="shared" si="42"/>
        <v>Yes</v>
      </c>
      <c r="O153" s="312">
        <f t="shared" si="43"/>
        <v>0</v>
      </c>
      <c r="P153" s="63">
        <f t="shared" si="36"/>
        <v>4632.8</v>
      </c>
      <c r="Q153" s="312" t="str">
        <f t="shared" si="44"/>
        <v>No</v>
      </c>
      <c r="R153" s="312">
        <f t="shared" si="45"/>
        <v>2829.4666666666672</v>
      </c>
      <c r="S153" s="15">
        <f t="shared" si="46"/>
        <v>-2829.4666666666672</v>
      </c>
      <c r="T153" s="189">
        <f>IF(AND('Total income package'!$A$22=TRUE,M153="Yes",S153&gt;9.99),MIN(S153,$I$2),0)</f>
        <v>0</v>
      </c>
    </row>
    <row r="154" spans="1:20" ht="15" customHeight="1" x14ac:dyDescent="0.25">
      <c r="A154" s="117">
        <v>72500</v>
      </c>
      <c r="B154" s="384">
        <f t="shared" si="33"/>
        <v>6041.666666666667</v>
      </c>
      <c r="C154" s="63">
        <f>'Total income package'!$D$80</f>
        <v>0</v>
      </c>
      <c r="D154" s="63">
        <f t="shared" si="37"/>
        <v>6041.666666666667</v>
      </c>
      <c r="E154" s="14" t="str">
        <f t="shared" si="38"/>
        <v>No</v>
      </c>
      <c r="F154" s="63">
        <f t="shared" si="34"/>
        <v>5832.666666666667</v>
      </c>
      <c r="G154" s="63">
        <f t="shared" si="47"/>
        <v>1166.5333333333335</v>
      </c>
      <c r="H154" s="63">
        <f t="shared" si="39"/>
        <v>4666.1333333333332</v>
      </c>
      <c r="I154" s="312">
        <f t="shared" si="40"/>
        <v>4666.1333333333332</v>
      </c>
      <c r="J154" s="14" t="str">
        <f t="shared" si="41"/>
        <v>No</v>
      </c>
      <c r="K154" s="63">
        <f t="shared" si="35"/>
        <v>0</v>
      </c>
      <c r="L154" s="130">
        <f>IF('Total income package'!$A$20=TRUE,MIN(IF(K154&gt;9.99,K154,0),$I$2),0)</f>
        <v>0</v>
      </c>
      <c r="M154" s="14" t="str">
        <f t="shared" si="32"/>
        <v>No</v>
      </c>
      <c r="N154" s="14" t="str">
        <f t="shared" si="42"/>
        <v>Yes</v>
      </c>
      <c r="O154" s="312">
        <f t="shared" si="43"/>
        <v>0</v>
      </c>
      <c r="P154" s="63">
        <f t="shared" si="36"/>
        <v>4666.1333333333332</v>
      </c>
      <c r="Q154" s="312" t="str">
        <f t="shared" si="44"/>
        <v>No</v>
      </c>
      <c r="R154" s="312">
        <f t="shared" si="45"/>
        <v>2862.8</v>
      </c>
      <c r="S154" s="15">
        <f t="shared" si="46"/>
        <v>-2862.8</v>
      </c>
      <c r="T154" s="189">
        <f>IF(AND('Total income package'!$A$22=TRUE,M154="Yes",S154&gt;9.99),MIN(S154,$I$2),0)</f>
        <v>0</v>
      </c>
    </row>
    <row r="155" spans="1:20" ht="15" customHeight="1" x14ac:dyDescent="0.25">
      <c r="A155" s="29">
        <v>73000</v>
      </c>
      <c r="B155" s="384">
        <f t="shared" si="33"/>
        <v>6083.333333333333</v>
      </c>
      <c r="C155" s="63">
        <f>'Total income package'!$D$80</f>
        <v>0</v>
      </c>
      <c r="D155" s="63">
        <f t="shared" si="37"/>
        <v>6083.333333333333</v>
      </c>
      <c r="E155" s="14" t="str">
        <f t="shared" si="38"/>
        <v>No</v>
      </c>
      <c r="F155" s="63">
        <f t="shared" si="34"/>
        <v>5874.333333333333</v>
      </c>
      <c r="G155" s="63">
        <f t="shared" si="47"/>
        <v>1174.8666666666666</v>
      </c>
      <c r="H155" s="63">
        <f t="shared" si="39"/>
        <v>4699.4666666666662</v>
      </c>
      <c r="I155" s="312">
        <f t="shared" si="40"/>
        <v>4699.4666666666662</v>
      </c>
      <c r="J155" s="14" t="str">
        <f t="shared" si="41"/>
        <v>No</v>
      </c>
      <c r="K155" s="63">
        <f t="shared" si="35"/>
        <v>0</v>
      </c>
      <c r="L155" s="130">
        <f>IF('Total income package'!$A$20=TRUE,MIN(IF(K155&gt;9.99,K155,0),$I$2),0)</f>
        <v>0</v>
      </c>
      <c r="M155" s="14" t="str">
        <f t="shared" ref="M155:M209" si="48">IF(D155&lt;$H$2,"Yes","No")</f>
        <v>No</v>
      </c>
      <c r="N155" s="14" t="str">
        <f t="shared" si="42"/>
        <v>Yes</v>
      </c>
      <c r="O155" s="312">
        <f t="shared" si="43"/>
        <v>0</v>
      </c>
      <c r="P155" s="63">
        <f t="shared" si="36"/>
        <v>4699.4666666666662</v>
      </c>
      <c r="Q155" s="312" t="str">
        <f t="shared" si="44"/>
        <v>No</v>
      </c>
      <c r="R155" s="312">
        <f t="shared" si="45"/>
        <v>2896.1333333333332</v>
      </c>
      <c r="S155" s="15">
        <f t="shared" si="46"/>
        <v>-2896.1333333333332</v>
      </c>
      <c r="T155" s="189">
        <f>IF(AND('Total income package'!$A$22=TRUE,M155="Yes",S155&gt;9.99),MIN(S155,$I$2),0)</f>
        <v>0</v>
      </c>
    </row>
    <row r="156" spans="1:20" ht="15" customHeight="1" x14ac:dyDescent="0.25">
      <c r="A156" s="117">
        <v>73500</v>
      </c>
      <c r="B156" s="384">
        <f t="shared" si="33"/>
        <v>6125</v>
      </c>
      <c r="C156" s="63">
        <f>'Total income package'!$D$80</f>
        <v>0</v>
      </c>
      <c r="D156" s="63">
        <f t="shared" si="37"/>
        <v>6125</v>
      </c>
      <c r="E156" s="14" t="str">
        <f t="shared" si="38"/>
        <v>No</v>
      </c>
      <c r="F156" s="63">
        <f t="shared" si="34"/>
        <v>5916</v>
      </c>
      <c r="G156" s="63">
        <f t="shared" si="47"/>
        <v>1183.2</v>
      </c>
      <c r="H156" s="63">
        <f t="shared" si="39"/>
        <v>4732.8</v>
      </c>
      <c r="I156" s="312">
        <f t="shared" si="40"/>
        <v>4732.8</v>
      </c>
      <c r="J156" s="14" t="str">
        <f t="shared" si="41"/>
        <v>No</v>
      </c>
      <c r="K156" s="63">
        <f t="shared" si="35"/>
        <v>0</v>
      </c>
      <c r="L156" s="130">
        <f>IF('Total income package'!$A$20=TRUE,MIN(IF(K156&gt;9.99,K156,0),$I$2),0)</f>
        <v>0</v>
      </c>
      <c r="M156" s="14" t="str">
        <f t="shared" si="48"/>
        <v>No</v>
      </c>
      <c r="N156" s="14" t="str">
        <f t="shared" si="42"/>
        <v>Yes</v>
      </c>
      <c r="O156" s="312">
        <f t="shared" si="43"/>
        <v>0</v>
      </c>
      <c r="P156" s="63">
        <f t="shared" si="36"/>
        <v>4732.8</v>
      </c>
      <c r="Q156" s="312" t="str">
        <f t="shared" si="44"/>
        <v>No</v>
      </c>
      <c r="R156" s="312">
        <f t="shared" si="45"/>
        <v>2929.4666666666672</v>
      </c>
      <c r="S156" s="15">
        <f t="shared" si="46"/>
        <v>-2929.4666666666672</v>
      </c>
      <c r="T156" s="189">
        <f>IF(AND('Total income package'!$A$22=TRUE,M156="Yes",S156&gt;9.99),MIN(S156,$I$2),0)</f>
        <v>0</v>
      </c>
    </row>
    <row r="157" spans="1:20" ht="15" customHeight="1" x14ac:dyDescent="0.25">
      <c r="A157" s="117">
        <v>74000</v>
      </c>
      <c r="B157" s="384">
        <f t="shared" si="33"/>
        <v>6166.666666666667</v>
      </c>
      <c r="C157" s="63">
        <f>'Total income package'!$D$80</f>
        <v>0</v>
      </c>
      <c r="D157" s="63">
        <f t="shared" si="37"/>
        <v>6166.666666666667</v>
      </c>
      <c r="E157" s="14" t="str">
        <f t="shared" si="38"/>
        <v>No</v>
      </c>
      <c r="F157" s="63">
        <f t="shared" si="34"/>
        <v>5957.666666666667</v>
      </c>
      <c r="G157" s="63">
        <f t="shared" si="47"/>
        <v>1191.5333333333335</v>
      </c>
      <c r="H157" s="63">
        <f t="shared" si="39"/>
        <v>4766.1333333333332</v>
      </c>
      <c r="I157" s="312">
        <f t="shared" si="40"/>
        <v>4766.1333333333332</v>
      </c>
      <c r="J157" s="14" t="str">
        <f t="shared" si="41"/>
        <v>No</v>
      </c>
      <c r="K157" s="63">
        <f t="shared" si="35"/>
        <v>0</v>
      </c>
      <c r="L157" s="130">
        <f>IF('Total income package'!$A$20=TRUE,MIN(IF(K157&gt;9.99,K157,0),$I$2),0)</f>
        <v>0</v>
      </c>
      <c r="M157" s="14" t="str">
        <f t="shared" si="48"/>
        <v>No</v>
      </c>
      <c r="N157" s="14" t="str">
        <f t="shared" si="42"/>
        <v>Yes</v>
      </c>
      <c r="O157" s="312">
        <f t="shared" si="43"/>
        <v>0</v>
      </c>
      <c r="P157" s="63">
        <f t="shared" si="36"/>
        <v>4766.1333333333332</v>
      </c>
      <c r="Q157" s="312" t="str">
        <f t="shared" si="44"/>
        <v>No</v>
      </c>
      <c r="R157" s="312">
        <f t="shared" si="45"/>
        <v>2962.8</v>
      </c>
      <c r="S157" s="15">
        <f t="shared" si="46"/>
        <v>-2962.8</v>
      </c>
      <c r="T157" s="189">
        <f>IF(AND('Total income package'!$A$22=TRUE,M157="Yes",S157&gt;9.99),MIN(S157,$I$2),0)</f>
        <v>0</v>
      </c>
    </row>
    <row r="158" spans="1:20" ht="15" customHeight="1" x14ac:dyDescent="0.25">
      <c r="A158" s="29">
        <v>74500</v>
      </c>
      <c r="B158" s="384">
        <f t="shared" si="33"/>
        <v>6208.333333333333</v>
      </c>
      <c r="C158" s="63">
        <f>'Total income package'!$D$80</f>
        <v>0</v>
      </c>
      <c r="D158" s="63">
        <f t="shared" si="37"/>
        <v>6208.333333333333</v>
      </c>
      <c r="E158" s="14" t="str">
        <f t="shared" si="38"/>
        <v>No</v>
      </c>
      <c r="F158" s="63">
        <f t="shared" si="34"/>
        <v>5999.333333333333</v>
      </c>
      <c r="G158" s="63">
        <f t="shared" si="47"/>
        <v>1199.8666666666666</v>
      </c>
      <c r="H158" s="63">
        <f t="shared" si="39"/>
        <v>4799.4666666666662</v>
      </c>
      <c r="I158" s="312">
        <f t="shared" si="40"/>
        <v>4799.4666666666662</v>
      </c>
      <c r="J158" s="14" t="str">
        <f t="shared" si="41"/>
        <v>No</v>
      </c>
      <c r="K158" s="63">
        <f t="shared" si="35"/>
        <v>0</v>
      </c>
      <c r="L158" s="130">
        <f>IF('Total income package'!$A$20=TRUE,MIN(IF(K158&gt;9.99,K158,0),$I$2),0)</f>
        <v>0</v>
      </c>
      <c r="M158" s="14" t="str">
        <f t="shared" si="48"/>
        <v>No</v>
      </c>
      <c r="N158" s="14" t="str">
        <f t="shared" si="42"/>
        <v>Yes</v>
      </c>
      <c r="O158" s="312">
        <f t="shared" si="43"/>
        <v>0</v>
      </c>
      <c r="P158" s="63">
        <f t="shared" si="36"/>
        <v>4799.4666666666662</v>
      </c>
      <c r="Q158" s="312" t="str">
        <f t="shared" si="44"/>
        <v>No</v>
      </c>
      <c r="R158" s="312">
        <f t="shared" si="45"/>
        <v>2996.1333333333332</v>
      </c>
      <c r="S158" s="15">
        <f t="shared" si="46"/>
        <v>-2996.1333333333332</v>
      </c>
      <c r="T158" s="189">
        <f>IF(AND('Total income package'!$A$22=TRUE,M158="Yes",S158&gt;9.99),MIN(S158,$I$2),0)</f>
        <v>0</v>
      </c>
    </row>
    <row r="159" spans="1:20" ht="15" customHeight="1" x14ac:dyDescent="0.25">
      <c r="A159" s="117">
        <v>75000</v>
      </c>
      <c r="B159" s="384">
        <f t="shared" si="33"/>
        <v>6250</v>
      </c>
      <c r="C159" s="63">
        <f>'Total income package'!$D$80</f>
        <v>0</v>
      </c>
      <c r="D159" s="63">
        <f t="shared" si="37"/>
        <v>6250</v>
      </c>
      <c r="E159" s="14" t="str">
        <f t="shared" si="38"/>
        <v>No</v>
      </c>
      <c r="F159" s="63">
        <f t="shared" si="34"/>
        <v>6041</v>
      </c>
      <c r="G159" s="63">
        <f t="shared" si="47"/>
        <v>1208.2</v>
      </c>
      <c r="H159" s="63">
        <f t="shared" si="39"/>
        <v>4832.8</v>
      </c>
      <c r="I159" s="312">
        <f t="shared" si="40"/>
        <v>4832.8</v>
      </c>
      <c r="J159" s="14" t="str">
        <f t="shared" si="41"/>
        <v>No</v>
      </c>
      <c r="K159" s="63">
        <f t="shared" si="35"/>
        <v>0</v>
      </c>
      <c r="L159" s="130">
        <f>IF('Total income package'!$A$20=TRUE,MIN(IF(K159&gt;9.99,K159,0),$I$2),0)</f>
        <v>0</v>
      </c>
      <c r="M159" s="14" t="str">
        <f t="shared" si="48"/>
        <v>No</v>
      </c>
      <c r="N159" s="14" t="str">
        <f t="shared" si="42"/>
        <v>Yes</v>
      </c>
      <c r="O159" s="312">
        <f t="shared" si="43"/>
        <v>0</v>
      </c>
      <c r="P159" s="63">
        <f t="shared" si="36"/>
        <v>4832.8</v>
      </c>
      <c r="Q159" s="312" t="str">
        <f t="shared" si="44"/>
        <v>No</v>
      </c>
      <c r="R159" s="312">
        <f t="shared" si="45"/>
        <v>3029.4666666666672</v>
      </c>
      <c r="S159" s="15">
        <f t="shared" si="46"/>
        <v>-3029.4666666666672</v>
      </c>
      <c r="T159" s="189">
        <f>IF(AND('Total income package'!$A$22=TRUE,M159="Yes",S159&gt;9.99),MIN(S159,$I$2),0)</f>
        <v>0</v>
      </c>
    </row>
    <row r="160" spans="1:20" ht="15" customHeight="1" x14ac:dyDescent="0.25">
      <c r="A160" s="117">
        <v>75500</v>
      </c>
      <c r="B160" s="384">
        <f t="shared" si="33"/>
        <v>6291.666666666667</v>
      </c>
      <c r="C160" s="63">
        <f>'Total income package'!$D$80</f>
        <v>0</v>
      </c>
      <c r="D160" s="63">
        <f t="shared" si="37"/>
        <v>6291.666666666667</v>
      </c>
      <c r="E160" s="14" t="str">
        <f t="shared" si="38"/>
        <v>No</v>
      </c>
      <c r="F160" s="63">
        <f t="shared" si="34"/>
        <v>6082.666666666667</v>
      </c>
      <c r="G160" s="63">
        <f t="shared" si="47"/>
        <v>1216.5333333333335</v>
      </c>
      <c r="H160" s="63">
        <f t="shared" si="39"/>
        <v>4866.1333333333332</v>
      </c>
      <c r="I160" s="312">
        <f t="shared" si="40"/>
        <v>4866.1333333333332</v>
      </c>
      <c r="J160" s="14" t="str">
        <f t="shared" si="41"/>
        <v>No</v>
      </c>
      <c r="K160" s="63">
        <f t="shared" si="35"/>
        <v>0</v>
      </c>
      <c r="L160" s="130">
        <f>IF('Total income package'!$A$20=TRUE,MIN(IF(K160&gt;9.99,K160,0),$I$2),0)</f>
        <v>0</v>
      </c>
      <c r="M160" s="14" t="str">
        <f t="shared" si="48"/>
        <v>No</v>
      </c>
      <c r="N160" s="14" t="str">
        <f t="shared" si="42"/>
        <v>Yes</v>
      </c>
      <c r="O160" s="312">
        <f t="shared" si="43"/>
        <v>0</v>
      </c>
      <c r="P160" s="63">
        <f t="shared" si="36"/>
        <v>4866.1333333333332</v>
      </c>
      <c r="Q160" s="312" t="str">
        <f t="shared" si="44"/>
        <v>No</v>
      </c>
      <c r="R160" s="312">
        <f t="shared" si="45"/>
        <v>3062.8</v>
      </c>
      <c r="S160" s="15">
        <f t="shared" si="46"/>
        <v>-3062.8</v>
      </c>
      <c r="T160" s="189">
        <f>IF(AND('Total income package'!$A$22=TRUE,M160="Yes",S160&gt;9.99),MIN(S160,$I$2),0)</f>
        <v>0</v>
      </c>
    </row>
    <row r="161" spans="1:20" ht="15" customHeight="1" x14ac:dyDescent="0.25">
      <c r="A161" s="29">
        <v>76000</v>
      </c>
      <c r="B161" s="384">
        <f t="shared" si="33"/>
        <v>6333.333333333333</v>
      </c>
      <c r="C161" s="63">
        <f>'Total income package'!$D$80</f>
        <v>0</v>
      </c>
      <c r="D161" s="63">
        <f t="shared" si="37"/>
        <v>6333.333333333333</v>
      </c>
      <c r="E161" s="14" t="str">
        <f t="shared" si="38"/>
        <v>No</v>
      </c>
      <c r="F161" s="63">
        <f t="shared" si="34"/>
        <v>6124.333333333333</v>
      </c>
      <c r="G161" s="63">
        <f t="shared" si="47"/>
        <v>1224.8666666666666</v>
      </c>
      <c r="H161" s="63">
        <f t="shared" si="39"/>
        <v>4899.4666666666662</v>
      </c>
      <c r="I161" s="312">
        <f t="shared" si="40"/>
        <v>4899.4666666666662</v>
      </c>
      <c r="J161" s="14" t="str">
        <f t="shared" si="41"/>
        <v>No</v>
      </c>
      <c r="K161" s="63">
        <f t="shared" si="35"/>
        <v>0</v>
      </c>
      <c r="L161" s="130">
        <f>IF('Total income package'!$A$20=TRUE,MIN(IF(K161&gt;9.99,K161,0),$I$2),0)</f>
        <v>0</v>
      </c>
      <c r="M161" s="14" t="str">
        <f t="shared" si="48"/>
        <v>No</v>
      </c>
      <c r="N161" s="14" t="str">
        <f t="shared" si="42"/>
        <v>Yes</v>
      </c>
      <c r="O161" s="312">
        <f t="shared" si="43"/>
        <v>0</v>
      </c>
      <c r="P161" s="63">
        <f t="shared" si="36"/>
        <v>4899.4666666666662</v>
      </c>
      <c r="Q161" s="312" t="str">
        <f t="shared" si="44"/>
        <v>No</v>
      </c>
      <c r="R161" s="312">
        <f t="shared" si="45"/>
        <v>3096.1333333333332</v>
      </c>
      <c r="S161" s="15">
        <f t="shared" si="46"/>
        <v>-3096.1333333333332</v>
      </c>
      <c r="T161" s="189">
        <f>IF(AND('Total income package'!$A$22=TRUE,M161="Yes",S161&gt;9.99),MIN(S161,$I$2),0)</f>
        <v>0</v>
      </c>
    </row>
    <row r="162" spans="1:20" ht="15" customHeight="1" x14ac:dyDescent="0.25">
      <c r="A162" s="117">
        <v>76500</v>
      </c>
      <c r="B162" s="384">
        <f t="shared" si="33"/>
        <v>6375</v>
      </c>
      <c r="C162" s="63">
        <f>'Total income package'!$D$80</f>
        <v>0</v>
      </c>
      <c r="D162" s="63">
        <f t="shared" si="37"/>
        <v>6375</v>
      </c>
      <c r="E162" s="14" t="str">
        <f t="shared" si="38"/>
        <v>No</v>
      </c>
      <c r="F162" s="63">
        <f t="shared" si="34"/>
        <v>6166</v>
      </c>
      <c r="G162" s="63">
        <f t="shared" si="47"/>
        <v>1233.2</v>
      </c>
      <c r="H162" s="63">
        <f t="shared" si="39"/>
        <v>4932.8</v>
      </c>
      <c r="I162" s="312">
        <f t="shared" si="40"/>
        <v>4932.8</v>
      </c>
      <c r="J162" s="14" t="str">
        <f t="shared" si="41"/>
        <v>No</v>
      </c>
      <c r="K162" s="63">
        <f t="shared" si="35"/>
        <v>0</v>
      </c>
      <c r="L162" s="130">
        <f>IF('Total income package'!$A$20=TRUE,MIN(IF(K162&gt;9.99,K162,0),$I$2),0)</f>
        <v>0</v>
      </c>
      <c r="M162" s="14" t="str">
        <f t="shared" si="48"/>
        <v>No</v>
      </c>
      <c r="N162" s="14" t="str">
        <f t="shared" si="42"/>
        <v>Yes</v>
      </c>
      <c r="O162" s="312">
        <f t="shared" si="43"/>
        <v>0</v>
      </c>
      <c r="P162" s="63">
        <f t="shared" si="36"/>
        <v>4932.8</v>
      </c>
      <c r="Q162" s="312" t="str">
        <f t="shared" si="44"/>
        <v>No</v>
      </c>
      <c r="R162" s="312">
        <f t="shared" si="45"/>
        <v>3129.4666666666672</v>
      </c>
      <c r="S162" s="15">
        <f t="shared" si="46"/>
        <v>-3129.4666666666672</v>
      </c>
      <c r="T162" s="189">
        <f>IF(AND('Total income package'!$A$22=TRUE,M162="Yes",S162&gt;9.99),MIN(S162,$I$2),0)</f>
        <v>0</v>
      </c>
    </row>
    <row r="163" spans="1:20" ht="15" customHeight="1" x14ac:dyDescent="0.25">
      <c r="A163" s="117">
        <v>77000</v>
      </c>
      <c r="B163" s="384">
        <f t="shared" si="33"/>
        <v>6416.666666666667</v>
      </c>
      <c r="C163" s="63">
        <f>'Total income package'!$D$80</f>
        <v>0</v>
      </c>
      <c r="D163" s="63">
        <f t="shared" si="37"/>
        <v>6416.666666666667</v>
      </c>
      <c r="E163" s="14" t="str">
        <f t="shared" si="38"/>
        <v>No</v>
      </c>
      <c r="F163" s="63">
        <f t="shared" si="34"/>
        <v>6207.666666666667</v>
      </c>
      <c r="G163" s="63">
        <f t="shared" si="47"/>
        <v>1241.5333333333335</v>
      </c>
      <c r="H163" s="63">
        <f t="shared" si="39"/>
        <v>4966.1333333333332</v>
      </c>
      <c r="I163" s="312">
        <f t="shared" si="40"/>
        <v>4966.1333333333332</v>
      </c>
      <c r="J163" s="14" t="str">
        <f t="shared" si="41"/>
        <v>No</v>
      </c>
      <c r="K163" s="63">
        <f t="shared" si="35"/>
        <v>0</v>
      </c>
      <c r="L163" s="130">
        <f>IF('Total income package'!$A$20=TRUE,MIN(IF(K163&gt;9.99,K163,0),$I$2),0)</f>
        <v>0</v>
      </c>
      <c r="M163" s="14" t="str">
        <f t="shared" si="48"/>
        <v>No</v>
      </c>
      <c r="N163" s="14" t="str">
        <f t="shared" si="42"/>
        <v>Yes</v>
      </c>
      <c r="O163" s="312">
        <f t="shared" si="43"/>
        <v>0</v>
      </c>
      <c r="P163" s="63">
        <f t="shared" si="36"/>
        <v>4966.1333333333332</v>
      </c>
      <c r="Q163" s="312" t="str">
        <f t="shared" si="44"/>
        <v>No</v>
      </c>
      <c r="R163" s="312">
        <f t="shared" si="45"/>
        <v>3162.8</v>
      </c>
      <c r="S163" s="15">
        <f t="shared" si="46"/>
        <v>-3162.8</v>
      </c>
      <c r="T163" s="189">
        <f>IF(AND('Total income package'!$A$22=TRUE,M163="Yes",S163&gt;9.99),MIN(S163,$I$2),0)</f>
        <v>0</v>
      </c>
    </row>
    <row r="164" spans="1:20" ht="15" customHeight="1" x14ac:dyDescent="0.25">
      <c r="A164" s="29">
        <v>77500</v>
      </c>
      <c r="B164" s="384">
        <f t="shared" si="33"/>
        <v>6458.333333333333</v>
      </c>
      <c r="C164" s="63">
        <f>'Total income package'!$D$80</f>
        <v>0</v>
      </c>
      <c r="D164" s="63">
        <f t="shared" si="37"/>
        <v>6458.333333333333</v>
      </c>
      <c r="E164" s="14" t="str">
        <f t="shared" si="38"/>
        <v>No</v>
      </c>
      <c r="F164" s="63">
        <f t="shared" si="34"/>
        <v>6249.333333333333</v>
      </c>
      <c r="G164" s="63">
        <f t="shared" si="47"/>
        <v>1249.8666666666668</v>
      </c>
      <c r="H164" s="63">
        <f t="shared" si="39"/>
        <v>4999.4666666666662</v>
      </c>
      <c r="I164" s="312">
        <f t="shared" si="40"/>
        <v>4999.4666666666662</v>
      </c>
      <c r="J164" s="14" t="str">
        <f t="shared" si="41"/>
        <v>No</v>
      </c>
      <c r="K164" s="63">
        <f t="shared" si="35"/>
        <v>0</v>
      </c>
      <c r="L164" s="130">
        <f>IF('Total income package'!$A$20=TRUE,MIN(IF(K164&gt;9.99,K164,0),$I$2),0)</f>
        <v>0</v>
      </c>
      <c r="M164" s="14" t="str">
        <f t="shared" si="48"/>
        <v>No</v>
      </c>
      <c r="N164" s="14" t="str">
        <f t="shared" si="42"/>
        <v>Yes</v>
      </c>
      <c r="O164" s="312">
        <f t="shared" si="43"/>
        <v>0</v>
      </c>
      <c r="P164" s="63">
        <f t="shared" si="36"/>
        <v>4999.4666666666662</v>
      </c>
      <c r="Q164" s="312" t="str">
        <f t="shared" si="44"/>
        <v>No</v>
      </c>
      <c r="R164" s="312">
        <f t="shared" si="45"/>
        <v>3196.1333333333332</v>
      </c>
      <c r="S164" s="15">
        <f t="shared" si="46"/>
        <v>-3196.1333333333332</v>
      </c>
      <c r="T164" s="189">
        <f>IF(AND('Total income package'!$A$22=TRUE,M164="Yes",S164&gt;9.99),MIN(S164,$I$2),0)</f>
        <v>0</v>
      </c>
    </row>
    <row r="165" spans="1:20" ht="15" customHeight="1" x14ac:dyDescent="0.25">
      <c r="A165" s="117">
        <v>78000</v>
      </c>
      <c r="B165" s="384">
        <f t="shared" si="33"/>
        <v>6500</v>
      </c>
      <c r="C165" s="63">
        <f>'Total income package'!$D$80</f>
        <v>0</v>
      </c>
      <c r="D165" s="63">
        <f t="shared" si="37"/>
        <v>6500</v>
      </c>
      <c r="E165" s="14" t="str">
        <f t="shared" si="38"/>
        <v>No</v>
      </c>
      <c r="F165" s="63">
        <f t="shared" si="34"/>
        <v>6291</v>
      </c>
      <c r="G165" s="63">
        <f t="shared" si="47"/>
        <v>1258.2</v>
      </c>
      <c r="H165" s="63">
        <f t="shared" si="39"/>
        <v>5032.8</v>
      </c>
      <c r="I165" s="312">
        <f t="shared" si="40"/>
        <v>5032.8</v>
      </c>
      <c r="J165" s="14" t="str">
        <f t="shared" si="41"/>
        <v>No</v>
      </c>
      <c r="K165" s="63">
        <f t="shared" si="35"/>
        <v>0</v>
      </c>
      <c r="L165" s="130">
        <f>IF('Total income package'!$A$20=TRUE,MIN(IF(K165&gt;9.99,K165,0),$I$2),0)</f>
        <v>0</v>
      </c>
      <c r="M165" s="14" t="str">
        <f t="shared" si="48"/>
        <v>No</v>
      </c>
      <c r="N165" s="14" t="str">
        <f t="shared" si="42"/>
        <v>Yes</v>
      </c>
      <c r="O165" s="312">
        <f t="shared" si="43"/>
        <v>0</v>
      </c>
      <c r="P165" s="63">
        <f t="shared" si="36"/>
        <v>5032.8</v>
      </c>
      <c r="Q165" s="312" t="str">
        <f t="shared" si="44"/>
        <v>No</v>
      </c>
      <c r="R165" s="312">
        <f t="shared" si="45"/>
        <v>3229.4666666666672</v>
      </c>
      <c r="S165" s="15">
        <f t="shared" si="46"/>
        <v>-3229.4666666666672</v>
      </c>
      <c r="T165" s="189">
        <f>IF(AND('Total income package'!$A$22=TRUE,M165="Yes",S165&gt;9.99),MIN(S165,$I$2),0)</f>
        <v>0</v>
      </c>
    </row>
    <row r="166" spans="1:20" ht="15" customHeight="1" x14ac:dyDescent="0.25">
      <c r="A166" s="117">
        <v>78500</v>
      </c>
      <c r="B166" s="384">
        <f t="shared" si="33"/>
        <v>6541.666666666667</v>
      </c>
      <c r="C166" s="63">
        <f>'Total income package'!$D$80</f>
        <v>0</v>
      </c>
      <c r="D166" s="63">
        <f t="shared" si="37"/>
        <v>6541.666666666667</v>
      </c>
      <c r="E166" s="14" t="str">
        <f t="shared" si="38"/>
        <v>No</v>
      </c>
      <c r="F166" s="63">
        <f t="shared" si="34"/>
        <v>6332.666666666667</v>
      </c>
      <c r="G166" s="63">
        <f t="shared" si="47"/>
        <v>1266.5333333333335</v>
      </c>
      <c r="H166" s="63">
        <f t="shared" si="39"/>
        <v>5066.1333333333332</v>
      </c>
      <c r="I166" s="312">
        <f t="shared" si="40"/>
        <v>5066.1333333333332</v>
      </c>
      <c r="J166" s="14" t="str">
        <f t="shared" si="41"/>
        <v>No</v>
      </c>
      <c r="K166" s="63">
        <f t="shared" si="35"/>
        <v>0</v>
      </c>
      <c r="L166" s="130">
        <f>IF('Total income package'!$A$20=TRUE,MIN(IF(K166&gt;9.99,K166,0),$I$2),0)</f>
        <v>0</v>
      </c>
      <c r="M166" s="14" t="str">
        <f t="shared" si="48"/>
        <v>No</v>
      </c>
      <c r="N166" s="14" t="str">
        <f t="shared" si="42"/>
        <v>Yes</v>
      </c>
      <c r="O166" s="312">
        <f t="shared" si="43"/>
        <v>0</v>
      </c>
      <c r="P166" s="63">
        <f t="shared" si="36"/>
        <v>5066.1333333333332</v>
      </c>
      <c r="Q166" s="312" t="str">
        <f t="shared" si="44"/>
        <v>No</v>
      </c>
      <c r="R166" s="312">
        <f t="shared" si="45"/>
        <v>3262.8</v>
      </c>
      <c r="S166" s="15">
        <f t="shared" si="46"/>
        <v>-3262.8</v>
      </c>
      <c r="T166" s="189">
        <f>IF(AND('Total income package'!$A$22=TRUE,M166="Yes",S166&gt;9.99),MIN(S166,$I$2),0)</f>
        <v>0</v>
      </c>
    </row>
    <row r="167" spans="1:20" ht="15" customHeight="1" x14ac:dyDescent="0.25">
      <c r="A167" s="29">
        <v>79000</v>
      </c>
      <c r="B167" s="384">
        <f t="shared" si="33"/>
        <v>6583.333333333333</v>
      </c>
      <c r="C167" s="63">
        <f>'Total income package'!$D$80</f>
        <v>0</v>
      </c>
      <c r="D167" s="63">
        <f t="shared" si="37"/>
        <v>6583.333333333333</v>
      </c>
      <c r="E167" s="14" t="str">
        <f t="shared" si="38"/>
        <v>No</v>
      </c>
      <c r="F167" s="63">
        <f t="shared" si="34"/>
        <v>6374.333333333333</v>
      </c>
      <c r="G167" s="63">
        <f t="shared" si="47"/>
        <v>1274.8666666666668</v>
      </c>
      <c r="H167" s="63">
        <f t="shared" si="39"/>
        <v>5099.4666666666662</v>
      </c>
      <c r="I167" s="312">
        <f t="shared" si="40"/>
        <v>5099.4666666666662</v>
      </c>
      <c r="J167" s="14" t="str">
        <f t="shared" si="41"/>
        <v>No</v>
      </c>
      <c r="K167" s="63">
        <f t="shared" si="35"/>
        <v>0</v>
      </c>
      <c r="L167" s="130">
        <f>IF('Total income package'!$A$20=TRUE,MIN(IF(K167&gt;9.99,K167,0),$I$2),0)</f>
        <v>0</v>
      </c>
      <c r="M167" s="14" t="str">
        <f t="shared" si="48"/>
        <v>No</v>
      </c>
      <c r="N167" s="14" t="str">
        <f t="shared" si="42"/>
        <v>Yes</v>
      </c>
      <c r="O167" s="312">
        <f t="shared" si="43"/>
        <v>0</v>
      </c>
      <c r="P167" s="63">
        <f t="shared" si="36"/>
        <v>5099.4666666666662</v>
      </c>
      <c r="Q167" s="312" t="str">
        <f t="shared" si="44"/>
        <v>No</v>
      </c>
      <c r="R167" s="312">
        <f t="shared" si="45"/>
        <v>3296.1333333333332</v>
      </c>
      <c r="S167" s="15">
        <f t="shared" si="46"/>
        <v>-3296.1333333333332</v>
      </c>
      <c r="T167" s="189">
        <f>IF(AND('Total income package'!$A$22=TRUE,M167="Yes",S167&gt;9.99),MIN(S167,$I$2),0)</f>
        <v>0</v>
      </c>
    </row>
    <row r="168" spans="1:20" ht="15" customHeight="1" x14ac:dyDescent="0.25">
      <c r="A168" s="117">
        <v>79500</v>
      </c>
      <c r="B168" s="384">
        <f t="shared" si="33"/>
        <v>6625</v>
      </c>
      <c r="C168" s="63">
        <f>'Total income package'!$D$80</f>
        <v>0</v>
      </c>
      <c r="D168" s="63">
        <f t="shared" si="37"/>
        <v>6625</v>
      </c>
      <c r="E168" s="14" t="str">
        <f t="shared" si="38"/>
        <v>No</v>
      </c>
      <c r="F168" s="63">
        <f t="shared" si="34"/>
        <v>6416</v>
      </c>
      <c r="G168" s="63">
        <f t="shared" si="47"/>
        <v>1283.2</v>
      </c>
      <c r="H168" s="63">
        <f t="shared" si="39"/>
        <v>5132.8</v>
      </c>
      <c r="I168" s="312">
        <f t="shared" si="40"/>
        <v>5132.8</v>
      </c>
      <c r="J168" s="14" t="str">
        <f t="shared" si="41"/>
        <v>No</v>
      </c>
      <c r="K168" s="63">
        <f t="shared" si="35"/>
        <v>0</v>
      </c>
      <c r="L168" s="130">
        <f>IF('Total income package'!$A$20=TRUE,MIN(IF(K168&gt;9.99,K168,0),$I$2),0)</f>
        <v>0</v>
      </c>
      <c r="M168" s="14" t="str">
        <f t="shared" si="48"/>
        <v>No</v>
      </c>
      <c r="N168" s="14" t="str">
        <f t="shared" si="42"/>
        <v>Yes</v>
      </c>
      <c r="O168" s="312">
        <f t="shared" si="43"/>
        <v>0</v>
      </c>
      <c r="P168" s="63">
        <f t="shared" si="36"/>
        <v>5132.8</v>
      </c>
      <c r="Q168" s="312" t="str">
        <f t="shared" si="44"/>
        <v>No</v>
      </c>
      <c r="R168" s="312">
        <f t="shared" si="45"/>
        <v>3329.4666666666672</v>
      </c>
      <c r="S168" s="15">
        <f t="shared" si="46"/>
        <v>-3329.4666666666672</v>
      </c>
      <c r="T168" s="189">
        <f>IF(AND('Total income package'!$A$22=TRUE,M168="Yes",S168&gt;9.99),MIN(S168,$I$2),0)</f>
        <v>0</v>
      </c>
    </row>
    <row r="169" spans="1:20" ht="15" customHeight="1" x14ac:dyDescent="0.25">
      <c r="A169" s="117">
        <v>80000</v>
      </c>
      <c r="B169" s="384">
        <f t="shared" si="33"/>
        <v>6666.666666666667</v>
      </c>
      <c r="C169" s="63">
        <f>'Total income package'!$D$80</f>
        <v>0</v>
      </c>
      <c r="D169" s="63">
        <f t="shared" si="37"/>
        <v>6666.666666666667</v>
      </c>
      <c r="E169" s="14" t="str">
        <f t="shared" si="38"/>
        <v>No</v>
      </c>
      <c r="F169" s="63">
        <f t="shared" si="34"/>
        <v>6457.666666666667</v>
      </c>
      <c r="G169" s="63">
        <f t="shared" si="47"/>
        <v>1291.5333333333335</v>
      </c>
      <c r="H169" s="63">
        <f t="shared" si="39"/>
        <v>5166.1333333333332</v>
      </c>
      <c r="I169" s="312">
        <f t="shared" si="40"/>
        <v>5166.1333333333332</v>
      </c>
      <c r="J169" s="14" t="str">
        <f t="shared" si="41"/>
        <v>No</v>
      </c>
      <c r="K169" s="63">
        <f t="shared" si="35"/>
        <v>0</v>
      </c>
      <c r="L169" s="130">
        <f>IF('Total income package'!$A$20=TRUE,MIN(IF(K169&gt;9.99,K169,0),$I$2),0)</f>
        <v>0</v>
      </c>
      <c r="M169" s="14" t="str">
        <f t="shared" si="48"/>
        <v>No</v>
      </c>
      <c r="N169" s="14" t="str">
        <f t="shared" si="42"/>
        <v>Yes</v>
      </c>
      <c r="O169" s="312">
        <f t="shared" si="43"/>
        <v>0</v>
      </c>
      <c r="P169" s="63">
        <f t="shared" si="36"/>
        <v>5166.1333333333332</v>
      </c>
      <c r="Q169" s="312" t="str">
        <f t="shared" si="44"/>
        <v>No</v>
      </c>
      <c r="R169" s="312">
        <f t="shared" si="45"/>
        <v>3362.8</v>
      </c>
      <c r="S169" s="15">
        <f t="shared" si="46"/>
        <v>-3362.8</v>
      </c>
      <c r="T169" s="189">
        <f>IF(AND('Total income package'!$A$22=TRUE,M169="Yes",S169&gt;9.99),MIN(S169,$I$2),0)</f>
        <v>0</v>
      </c>
    </row>
    <row r="170" spans="1:20" ht="15" customHeight="1" x14ac:dyDescent="0.25">
      <c r="A170" s="29">
        <v>80500</v>
      </c>
      <c r="B170" s="384">
        <f t="shared" si="33"/>
        <v>6708.333333333333</v>
      </c>
      <c r="C170" s="63">
        <f>'Total income package'!$D$80</f>
        <v>0</v>
      </c>
      <c r="D170" s="63">
        <f t="shared" si="37"/>
        <v>6708.333333333333</v>
      </c>
      <c r="E170" s="14" t="str">
        <f t="shared" si="38"/>
        <v>No</v>
      </c>
      <c r="F170" s="63">
        <f t="shared" si="34"/>
        <v>6499.333333333333</v>
      </c>
      <c r="G170" s="63">
        <f t="shared" si="47"/>
        <v>1299.8666666666668</v>
      </c>
      <c r="H170" s="63">
        <f t="shared" si="39"/>
        <v>5199.4666666666662</v>
      </c>
      <c r="I170" s="312">
        <f t="shared" si="40"/>
        <v>5199.4666666666662</v>
      </c>
      <c r="J170" s="14" t="str">
        <f t="shared" si="41"/>
        <v>No</v>
      </c>
      <c r="K170" s="63">
        <f t="shared" si="35"/>
        <v>0</v>
      </c>
      <c r="L170" s="130">
        <f>IF('Total income package'!$A$20=TRUE,MIN(IF(K170&gt;9.99,K170,0),$I$2),0)</f>
        <v>0</v>
      </c>
      <c r="M170" s="14" t="str">
        <f t="shared" si="48"/>
        <v>No</v>
      </c>
      <c r="N170" s="14" t="str">
        <f t="shared" si="42"/>
        <v>Yes</v>
      </c>
      <c r="O170" s="312">
        <f t="shared" si="43"/>
        <v>0</v>
      </c>
      <c r="P170" s="63">
        <f t="shared" si="36"/>
        <v>5199.4666666666662</v>
      </c>
      <c r="Q170" s="312" t="str">
        <f t="shared" si="44"/>
        <v>No</v>
      </c>
      <c r="R170" s="312">
        <f t="shared" si="45"/>
        <v>3396.1333333333332</v>
      </c>
      <c r="S170" s="15">
        <f t="shared" si="46"/>
        <v>-3396.1333333333332</v>
      </c>
      <c r="T170" s="189">
        <f>IF(AND('Total income package'!$A$22=TRUE,M170="Yes",S170&gt;9.99),MIN(S170,$I$2),0)</f>
        <v>0</v>
      </c>
    </row>
    <row r="171" spans="1:20" ht="15" customHeight="1" x14ac:dyDescent="0.25">
      <c r="A171" s="117">
        <v>81000</v>
      </c>
      <c r="B171" s="384">
        <f t="shared" si="33"/>
        <v>6750</v>
      </c>
      <c r="C171" s="63">
        <f>'Total income package'!$D$80</f>
        <v>0</v>
      </c>
      <c r="D171" s="63">
        <f t="shared" si="37"/>
        <v>6750</v>
      </c>
      <c r="E171" s="14" t="str">
        <f t="shared" si="38"/>
        <v>No</v>
      </c>
      <c r="F171" s="63">
        <f t="shared" si="34"/>
        <v>6541</v>
      </c>
      <c r="G171" s="63">
        <f t="shared" si="47"/>
        <v>1308.2</v>
      </c>
      <c r="H171" s="63">
        <f t="shared" si="39"/>
        <v>5232.8</v>
      </c>
      <c r="I171" s="312">
        <f t="shared" si="40"/>
        <v>5232.8</v>
      </c>
      <c r="J171" s="14" t="str">
        <f t="shared" si="41"/>
        <v>No</v>
      </c>
      <c r="K171" s="63">
        <f t="shared" si="35"/>
        <v>0</v>
      </c>
      <c r="L171" s="130">
        <f>IF('Total income package'!$A$20=TRUE,MIN(IF(K171&gt;9.99,K171,0),$I$2),0)</f>
        <v>0</v>
      </c>
      <c r="M171" s="14" t="str">
        <f t="shared" si="48"/>
        <v>No</v>
      </c>
      <c r="N171" s="14" t="str">
        <f t="shared" si="42"/>
        <v>Yes</v>
      </c>
      <c r="O171" s="312">
        <f t="shared" si="43"/>
        <v>0</v>
      </c>
      <c r="P171" s="63">
        <f t="shared" si="36"/>
        <v>5232.8</v>
      </c>
      <c r="Q171" s="312" t="str">
        <f t="shared" si="44"/>
        <v>No</v>
      </c>
      <c r="R171" s="312">
        <f t="shared" si="45"/>
        <v>3429.4666666666672</v>
      </c>
      <c r="S171" s="15">
        <f t="shared" si="46"/>
        <v>-3429.4666666666672</v>
      </c>
      <c r="T171" s="189">
        <f>IF(AND('Total income package'!$A$22=TRUE,M171="Yes",S171&gt;9.99),MIN(S171,$I$2),0)</f>
        <v>0</v>
      </c>
    </row>
    <row r="172" spans="1:20" ht="15" customHeight="1" x14ac:dyDescent="0.25">
      <c r="A172" s="117">
        <v>81500</v>
      </c>
      <c r="B172" s="384">
        <f t="shared" si="33"/>
        <v>6791.666666666667</v>
      </c>
      <c r="C172" s="63">
        <f>'Total income package'!$D$80</f>
        <v>0</v>
      </c>
      <c r="D172" s="63">
        <f t="shared" si="37"/>
        <v>6791.666666666667</v>
      </c>
      <c r="E172" s="14" t="str">
        <f t="shared" si="38"/>
        <v>No</v>
      </c>
      <c r="F172" s="63">
        <f t="shared" si="34"/>
        <v>6582.666666666667</v>
      </c>
      <c r="G172" s="63">
        <f t="shared" si="47"/>
        <v>1316.5333333333335</v>
      </c>
      <c r="H172" s="63">
        <f t="shared" si="39"/>
        <v>5266.1333333333332</v>
      </c>
      <c r="I172" s="312">
        <f t="shared" si="40"/>
        <v>5266.1333333333332</v>
      </c>
      <c r="J172" s="14" t="str">
        <f t="shared" si="41"/>
        <v>No</v>
      </c>
      <c r="K172" s="63">
        <f t="shared" si="35"/>
        <v>0</v>
      </c>
      <c r="L172" s="130">
        <f>IF('Total income package'!$A$20=TRUE,MIN(IF(K172&gt;9.99,K172,0),$I$2),0)</f>
        <v>0</v>
      </c>
      <c r="M172" s="14" t="str">
        <f t="shared" si="48"/>
        <v>No</v>
      </c>
      <c r="N172" s="14" t="str">
        <f t="shared" si="42"/>
        <v>Yes</v>
      </c>
      <c r="O172" s="312">
        <f t="shared" si="43"/>
        <v>0</v>
      </c>
      <c r="P172" s="63">
        <f t="shared" si="36"/>
        <v>5266.1333333333332</v>
      </c>
      <c r="Q172" s="312" t="str">
        <f t="shared" si="44"/>
        <v>No</v>
      </c>
      <c r="R172" s="312">
        <f t="shared" si="45"/>
        <v>3462.8</v>
      </c>
      <c r="S172" s="15">
        <f t="shared" si="46"/>
        <v>-3462.8</v>
      </c>
      <c r="T172" s="189">
        <f>IF(AND('Total income package'!$A$22=TRUE,M172="Yes",S172&gt;9.99),MIN(S172,$I$2),0)</f>
        <v>0</v>
      </c>
    </row>
    <row r="173" spans="1:20" ht="15" customHeight="1" x14ac:dyDescent="0.25">
      <c r="A173" s="29">
        <v>82000</v>
      </c>
      <c r="B173" s="384">
        <f t="shared" si="33"/>
        <v>6833.333333333333</v>
      </c>
      <c r="C173" s="63">
        <f>'Total income package'!$D$80</f>
        <v>0</v>
      </c>
      <c r="D173" s="63">
        <f t="shared" si="37"/>
        <v>6833.333333333333</v>
      </c>
      <c r="E173" s="14" t="str">
        <f t="shared" si="38"/>
        <v>No</v>
      </c>
      <c r="F173" s="63">
        <f t="shared" si="34"/>
        <v>6624.333333333333</v>
      </c>
      <c r="G173" s="63">
        <f t="shared" si="47"/>
        <v>1324.8666666666668</v>
      </c>
      <c r="H173" s="63">
        <f t="shared" si="39"/>
        <v>5299.4666666666662</v>
      </c>
      <c r="I173" s="312">
        <f t="shared" si="40"/>
        <v>5299.4666666666662</v>
      </c>
      <c r="J173" s="14" t="str">
        <f t="shared" si="41"/>
        <v>No</v>
      </c>
      <c r="K173" s="63">
        <f t="shared" si="35"/>
        <v>0</v>
      </c>
      <c r="L173" s="130">
        <f>IF('Total income package'!$A$20=TRUE,MIN(IF(K173&gt;9.99,K173,0),$I$2),0)</f>
        <v>0</v>
      </c>
      <c r="M173" s="14" t="str">
        <f t="shared" si="48"/>
        <v>No</v>
      </c>
      <c r="N173" s="14" t="str">
        <f t="shared" si="42"/>
        <v>Yes</v>
      </c>
      <c r="O173" s="312">
        <f t="shared" si="43"/>
        <v>0</v>
      </c>
      <c r="P173" s="63">
        <f t="shared" si="36"/>
        <v>5299.4666666666662</v>
      </c>
      <c r="Q173" s="312" t="str">
        <f t="shared" si="44"/>
        <v>No</v>
      </c>
      <c r="R173" s="312">
        <f t="shared" si="45"/>
        <v>3496.1333333333332</v>
      </c>
      <c r="S173" s="15">
        <f t="shared" si="46"/>
        <v>-3496.1333333333332</v>
      </c>
      <c r="T173" s="189">
        <f>IF(AND('Total income package'!$A$22=TRUE,M173="Yes",S173&gt;9.99),MIN(S173,$I$2),0)</f>
        <v>0</v>
      </c>
    </row>
    <row r="174" spans="1:20" ht="15" customHeight="1" x14ac:dyDescent="0.25">
      <c r="A174" s="117">
        <v>82500</v>
      </c>
      <c r="B174" s="384">
        <f t="shared" si="33"/>
        <v>6875</v>
      </c>
      <c r="C174" s="63">
        <f>'Total income package'!$D$80</f>
        <v>0</v>
      </c>
      <c r="D174" s="63">
        <f t="shared" si="37"/>
        <v>6875</v>
      </c>
      <c r="E174" s="14" t="str">
        <f t="shared" si="38"/>
        <v>No</v>
      </c>
      <c r="F174" s="63">
        <f t="shared" si="34"/>
        <v>6666</v>
      </c>
      <c r="G174" s="63">
        <f t="shared" si="47"/>
        <v>1333.2</v>
      </c>
      <c r="H174" s="63">
        <f t="shared" si="39"/>
        <v>5332.8</v>
      </c>
      <c r="I174" s="312">
        <f t="shared" si="40"/>
        <v>5332.8</v>
      </c>
      <c r="J174" s="14" t="str">
        <f t="shared" si="41"/>
        <v>No</v>
      </c>
      <c r="K174" s="63">
        <f t="shared" si="35"/>
        <v>0</v>
      </c>
      <c r="L174" s="130">
        <f>IF('Total income package'!$A$20=TRUE,MIN(IF(K174&gt;9.99,K174,0),$I$2),0)</f>
        <v>0</v>
      </c>
      <c r="M174" s="14" t="str">
        <f t="shared" si="48"/>
        <v>No</v>
      </c>
      <c r="N174" s="14" t="str">
        <f t="shared" si="42"/>
        <v>Yes</v>
      </c>
      <c r="O174" s="312">
        <f t="shared" si="43"/>
        <v>0</v>
      </c>
      <c r="P174" s="63">
        <f t="shared" si="36"/>
        <v>5332.8</v>
      </c>
      <c r="Q174" s="312" t="str">
        <f t="shared" si="44"/>
        <v>No</v>
      </c>
      <c r="R174" s="312">
        <f t="shared" si="45"/>
        <v>3529.4666666666672</v>
      </c>
      <c r="S174" s="15">
        <f t="shared" si="46"/>
        <v>-3529.4666666666672</v>
      </c>
      <c r="T174" s="189">
        <f>IF(AND('Total income package'!$A$22=TRUE,M174="Yes",S174&gt;9.99),MIN(S174,$I$2),0)</f>
        <v>0</v>
      </c>
    </row>
    <row r="175" spans="1:20" ht="15" customHeight="1" x14ac:dyDescent="0.25">
      <c r="A175" s="117">
        <v>83000</v>
      </c>
      <c r="B175" s="384">
        <f t="shared" ref="B175:B209" si="49">A175/12</f>
        <v>6916.666666666667</v>
      </c>
      <c r="C175" s="63">
        <f>'Total income package'!$D$80</f>
        <v>0</v>
      </c>
      <c r="D175" s="63">
        <f t="shared" si="37"/>
        <v>6916.666666666667</v>
      </c>
      <c r="E175" s="14" t="str">
        <f t="shared" si="38"/>
        <v>No</v>
      </c>
      <c r="F175" s="63">
        <f t="shared" si="34"/>
        <v>6707.666666666667</v>
      </c>
      <c r="G175" s="63">
        <f t="shared" si="47"/>
        <v>1341.5333333333335</v>
      </c>
      <c r="H175" s="63">
        <f t="shared" si="39"/>
        <v>5366.1333333333332</v>
      </c>
      <c r="I175" s="312">
        <f t="shared" si="40"/>
        <v>5366.1333333333332</v>
      </c>
      <c r="J175" s="14" t="str">
        <f t="shared" si="41"/>
        <v>No</v>
      </c>
      <c r="K175" s="63">
        <f t="shared" si="35"/>
        <v>0</v>
      </c>
      <c r="L175" s="130">
        <f>IF('Total income package'!$A$20=TRUE,MIN(IF(K175&gt;9.99,K175,0),$I$2),0)</f>
        <v>0</v>
      </c>
      <c r="M175" s="14" t="str">
        <f t="shared" si="48"/>
        <v>No</v>
      </c>
      <c r="N175" s="14" t="str">
        <f t="shared" si="42"/>
        <v>Yes</v>
      </c>
      <c r="O175" s="312">
        <f t="shared" si="43"/>
        <v>0</v>
      </c>
      <c r="P175" s="63">
        <f t="shared" si="36"/>
        <v>5366.1333333333332</v>
      </c>
      <c r="Q175" s="312" t="str">
        <f t="shared" si="44"/>
        <v>No</v>
      </c>
      <c r="R175" s="312">
        <f t="shared" si="45"/>
        <v>3562.8</v>
      </c>
      <c r="S175" s="15">
        <f t="shared" si="46"/>
        <v>-3562.8</v>
      </c>
      <c r="T175" s="189">
        <f>IF(AND('Total income package'!$A$22=TRUE,M175="Yes",S175&gt;9.99),MIN(S175,$I$2),0)</f>
        <v>0</v>
      </c>
    </row>
    <row r="176" spans="1:20" ht="15" customHeight="1" x14ac:dyDescent="0.25">
      <c r="A176" s="29">
        <v>83500</v>
      </c>
      <c r="B176" s="384">
        <f t="shared" si="49"/>
        <v>6958.333333333333</v>
      </c>
      <c r="C176" s="63">
        <f>'Total income package'!$D$80</f>
        <v>0</v>
      </c>
      <c r="D176" s="63">
        <f t="shared" si="37"/>
        <v>6958.333333333333</v>
      </c>
      <c r="E176" s="14" t="str">
        <f t="shared" si="38"/>
        <v>No</v>
      </c>
      <c r="F176" s="63">
        <f t="shared" si="34"/>
        <v>6749.333333333333</v>
      </c>
      <c r="G176" s="63">
        <f t="shared" si="47"/>
        <v>1349.8666666666668</v>
      </c>
      <c r="H176" s="63">
        <f t="shared" si="39"/>
        <v>5399.4666666666662</v>
      </c>
      <c r="I176" s="312">
        <f t="shared" si="40"/>
        <v>5399.4666666666662</v>
      </c>
      <c r="J176" s="14" t="str">
        <f t="shared" si="41"/>
        <v>No</v>
      </c>
      <c r="K176" s="63">
        <f t="shared" si="35"/>
        <v>0</v>
      </c>
      <c r="L176" s="130">
        <f>IF('Total income package'!$A$20=TRUE,MIN(IF(K176&gt;9.99,K176,0),$I$2),0)</f>
        <v>0</v>
      </c>
      <c r="M176" s="14" t="str">
        <f t="shared" si="48"/>
        <v>No</v>
      </c>
      <c r="N176" s="14" t="str">
        <f t="shared" si="42"/>
        <v>Yes</v>
      </c>
      <c r="O176" s="312">
        <f t="shared" si="43"/>
        <v>0</v>
      </c>
      <c r="P176" s="63">
        <f t="shared" si="36"/>
        <v>5399.4666666666662</v>
      </c>
      <c r="Q176" s="312" t="str">
        <f t="shared" si="44"/>
        <v>No</v>
      </c>
      <c r="R176" s="312">
        <f t="shared" si="45"/>
        <v>3596.1333333333332</v>
      </c>
      <c r="S176" s="15">
        <f t="shared" si="46"/>
        <v>-3596.1333333333332</v>
      </c>
      <c r="T176" s="189">
        <f>IF(AND('Total income package'!$A$22=TRUE,M176="Yes",S176&gt;9.99),MIN(S176,$I$2),0)</f>
        <v>0</v>
      </c>
    </row>
    <row r="177" spans="1:20" ht="15" customHeight="1" x14ac:dyDescent="0.25">
      <c r="A177" s="117">
        <v>84000</v>
      </c>
      <c r="B177" s="384">
        <f t="shared" si="49"/>
        <v>7000</v>
      </c>
      <c r="C177" s="63">
        <f>'Total income package'!$D$80</f>
        <v>0</v>
      </c>
      <c r="D177" s="63">
        <f t="shared" si="37"/>
        <v>7000</v>
      </c>
      <c r="E177" s="14" t="str">
        <f t="shared" si="38"/>
        <v>No</v>
      </c>
      <c r="F177" s="63">
        <f t="shared" si="34"/>
        <v>6791</v>
      </c>
      <c r="G177" s="63">
        <f t="shared" si="47"/>
        <v>1358.2</v>
      </c>
      <c r="H177" s="63">
        <f t="shared" si="39"/>
        <v>5432.8</v>
      </c>
      <c r="I177" s="312">
        <f t="shared" si="40"/>
        <v>5432.8</v>
      </c>
      <c r="J177" s="14" t="str">
        <f t="shared" si="41"/>
        <v>No</v>
      </c>
      <c r="K177" s="63">
        <f t="shared" si="35"/>
        <v>0</v>
      </c>
      <c r="L177" s="130">
        <f>IF('Total income package'!$A$20=TRUE,MIN(IF(K177&gt;9.99,K177,0),$I$2),0)</f>
        <v>0</v>
      </c>
      <c r="M177" s="14" t="str">
        <f t="shared" si="48"/>
        <v>No</v>
      </c>
      <c r="N177" s="14" t="str">
        <f t="shared" si="42"/>
        <v>Yes</v>
      </c>
      <c r="O177" s="312">
        <f t="shared" si="43"/>
        <v>0</v>
      </c>
      <c r="P177" s="63">
        <f t="shared" si="36"/>
        <v>5432.8</v>
      </c>
      <c r="Q177" s="312" t="str">
        <f t="shared" si="44"/>
        <v>No</v>
      </c>
      <c r="R177" s="312">
        <f t="shared" si="45"/>
        <v>3629.4666666666672</v>
      </c>
      <c r="S177" s="15">
        <f t="shared" si="46"/>
        <v>-3629.4666666666672</v>
      </c>
      <c r="T177" s="189">
        <f>IF(AND('Total income package'!$A$22=TRUE,M177="Yes",S177&gt;9.99),MIN(S177,$I$2),0)</f>
        <v>0</v>
      </c>
    </row>
    <row r="178" spans="1:20" ht="15" customHeight="1" x14ac:dyDescent="0.25">
      <c r="A178" s="117">
        <v>84500</v>
      </c>
      <c r="B178" s="384">
        <f t="shared" si="49"/>
        <v>7041.666666666667</v>
      </c>
      <c r="C178" s="63">
        <f>'Total income package'!$D$80</f>
        <v>0</v>
      </c>
      <c r="D178" s="63">
        <f t="shared" si="37"/>
        <v>7041.666666666667</v>
      </c>
      <c r="E178" s="14" t="str">
        <f t="shared" si="38"/>
        <v>No</v>
      </c>
      <c r="F178" s="63">
        <f t="shared" si="34"/>
        <v>6832.666666666667</v>
      </c>
      <c r="G178" s="63">
        <f t="shared" si="47"/>
        <v>1366.5333333333335</v>
      </c>
      <c r="H178" s="63">
        <f t="shared" si="39"/>
        <v>5466.1333333333332</v>
      </c>
      <c r="I178" s="312">
        <f t="shared" si="40"/>
        <v>5466.1333333333332</v>
      </c>
      <c r="J178" s="14" t="str">
        <f t="shared" si="41"/>
        <v>No</v>
      </c>
      <c r="K178" s="63">
        <f t="shared" si="35"/>
        <v>0</v>
      </c>
      <c r="L178" s="130">
        <f>IF('Total income package'!$A$20=TRUE,MIN(IF(K178&gt;9.99,K178,0),$I$2),0)</f>
        <v>0</v>
      </c>
      <c r="M178" s="14" t="str">
        <f t="shared" si="48"/>
        <v>No</v>
      </c>
      <c r="N178" s="14" t="str">
        <f t="shared" si="42"/>
        <v>Yes</v>
      </c>
      <c r="O178" s="312">
        <f t="shared" si="43"/>
        <v>0</v>
      </c>
      <c r="P178" s="63">
        <f t="shared" si="36"/>
        <v>5466.1333333333332</v>
      </c>
      <c r="Q178" s="312" t="str">
        <f t="shared" si="44"/>
        <v>No</v>
      </c>
      <c r="R178" s="312">
        <f t="shared" si="45"/>
        <v>3662.8</v>
      </c>
      <c r="S178" s="15">
        <f t="shared" si="46"/>
        <v>-3662.8</v>
      </c>
      <c r="T178" s="189">
        <f>IF(AND('Total income package'!$A$22=TRUE,M178="Yes",S178&gt;9.99),MIN(S178,$I$2),0)</f>
        <v>0</v>
      </c>
    </row>
    <row r="179" spans="1:20" ht="15" customHeight="1" x14ac:dyDescent="0.25">
      <c r="A179" s="29">
        <v>85000</v>
      </c>
      <c r="B179" s="384">
        <f t="shared" si="49"/>
        <v>7083.333333333333</v>
      </c>
      <c r="C179" s="63">
        <f>'Total income package'!$D$80</f>
        <v>0</v>
      </c>
      <c r="D179" s="63">
        <f t="shared" si="37"/>
        <v>7083.333333333333</v>
      </c>
      <c r="E179" s="14" t="str">
        <f t="shared" si="38"/>
        <v>No</v>
      </c>
      <c r="F179" s="63">
        <f t="shared" si="34"/>
        <v>6874.333333333333</v>
      </c>
      <c r="G179" s="63">
        <f t="shared" si="47"/>
        <v>1374.8666666666668</v>
      </c>
      <c r="H179" s="63">
        <f t="shared" si="39"/>
        <v>5499.4666666666662</v>
      </c>
      <c r="I179" s="312">
        <f t="shared" si="40"/>
        <v>5499.4666666666662</v>
      </c>
      <c r="J179" s="14" t="str">
        <f t="shared" si="41"/>
        <v>No</v>
      </c>
      <c r="K179" s="63">
        <f t="shared" si="35"/>
        <v>0</v>
      </c>
      <c r="L179" s="130">
        <f>IF('Total income package'!$A$20=TRUE,MIN(IF(K179&gt;9.99,K179,0),$I$2),0)</f>
        <v>0</v>
      </c>
      <c r="M179" s="14" t="str">
        <f t="shared" si="48"/>
        <v>No</v>
      </c>
      <c r="N179" s="14" t="str">
        <f t="shared" si="42"/>
        <v>Yes</v>
      </c>
      <c r="O179" s="312">
        <f t="shared" si="43"/>
        <v>0</v>
      </c>
      <c r="P179" s="63">
        <f t="shared" si="36"/>
        <v>5499.4666666666662</v>
      </c>
      <c r="Q179" s="312" t="str">
        <f t="shared" si="44"/>
        <v>No</v>
      </c>
      <c r="R179" s="312">
        <f t="shared" si="45"/>
        <v>3696.1333333333332</v>
      </c>
      <c r="S179" s="15">
        <f t="shared" si="46"/>
        <v>-3696.1333333333332</v>
      </c>
      <c r="T179" s="189">
        <f>IF(AND('Total income package'!$A$22=TRUE,M179="Yes",S179&gt;9.99),MIN(S179,$I$2),0)</f>
        <v>0</v>
      </c>
    </row>
    <row r="180" spans="1:20" ht="15" customHeight="1" x14ac:dyDescent="0.25">
      <c r="A180" s="117">
        <v>85500</v>
      </c>
      <c r="B180" s="384">
        <f t="shared" si="49"/>
        <v>7125</v>
      </c>
      <c r="C180" s="63">
        <f>'Total income package'!$D$80</f>
        <v>0</v>
      </c>
      <c r="D180" s="63">
        <f t="shared" si="37"/>
        <v>7125</v>
      </c>
      <c r="E180" s="14" t="str">
        <f t="shared" si="38"/>
        <v>No</v>
      </c>
      <c r="F180" s="63">
        <f t="shared" si="34"/>
        <v>6916</v>
      </c>
      <c r="G180" s="63">
        <f t="shared" si="47"/>
        <v>1383.2</v>
      </c>
      <c r="H180" s="63">
        <f t="shared" si="39"/>
        <v>5532.8</v>
      </c>
      <c r="I180" s="312">
        <f t="shared" si="40"/>
        <v>5532.8</v>
      </c>
      <c r="J180" s="14" t="str">
        <f t="shared" si="41"/>
        <v>No</v>
      </c>
      <c r="K180" s="63">
        <f t="shared" si="35"/>
        <v>0</v>
      </c>
      <c r="L180" s="130">
        <f>IF('Total income package'!$A$20=TRUE,MIN(IF(K180&gt;9.99,K180,0),$I$2),0)</f>
        <v>0</v>
      </c>
      <c r="M180" s="14" t="str">
        <f t="shared" si="48"/>
        <v>No</v>
      </c>
      <c r="N180" s="14" t="str">
        <f t="shared" si="42"/>
        <v>Yes</v>
      </c>
      <c r="O180" s="312">
        <f t="shared" si="43"/>
        <v>0</v>
      </c>
      <c r="P180" s="63">
        <f t="shared" si="36"/>
        <v>5532.8</v>
      </c>
      <c r="Q180" s="312" t="str">
        <f t="shared" si="44"/>
        <v>No</v>
      </c>
      <c r="R180" s="312">
        <f t="shared" si="45"/>
        <v>3729.4666666666672</v>
      </c>
      <c r="S180" s="15">
        <f t="shared" si="46"/>
        <v>-3729.4666666666672</v>
      </c>
      <c r="T180" s="189">
        <f>IF(AND('Total income package'!$A$22=TRUE,M180="Yes",S180&gt;9.99),MIN(S180,$I$2),0)</f>
        <v>0</v>
      </c>
    </row>
    <row r="181" spans="1:20" ht="15" customHeight="1" x14ac:dyDescent="0.25">
      <c r="A181" s="117">
        <v>86000</v>
      </c>
      <c r="B181" s="384">
        <f t="shared" si="49"/>
        <v>7166.666666666667</v>
      </c>
      <c r="C181" s="63">
        <f>'Total income package'!$D$80</f>
        <v>0</v>
      </c>
      <c r="D181" s="63">
        <f t="shared" si="37"/>
        <v>7166.666666666667</v>
      </c>
      <c r="E181" s="14" t="str">
        <f t="shared" si="38"/>
        <v>No</v>
      </c>
      <c r="F181" s="63">
        <f t="shared" si="34"/>
        <v>6957.666666666667</v>
      </c>
      <c r="G181" s="63">
        <f t="shared" si="47"/>
        <v>1391.5333333333335</v>
      </c>
      <c r="H181" s="63">
        <f t="shared" si="39"/>
        <v>5566.1333333333332</v>
      </c>
      <c r="I181" s="312">
        <f t="shared" si="40"/>
        <v>5566.1333333333332</v>
      </c>
      <c r="J181" s="14" t="str">
        <f t="shared" si="41"/>
        <v>No</v>
      </c>
      <c r="K181" s="63">
        <f t="shared" si="35"/>
        <v>0</v>
      </c>
      <c r="L181" s="130">
        <f>IF('Total income package'!$A$20=TRUE,MIN(IF(K181&gt;9.99,K181,0),$I$2),0)</f>
        <v>0</v>
      </c>
      <c r="M181" s="14" t="str">
        <f t="shared" si="48"/>
        <v>No</v>
      </c>
      <c r="N181" s="14" t="str">
        <f t="shared" si="42"/>
        <v>Yes</v>
      </c>
      <c r="O181" s="312">
        <f t="shared" si="43"/>
        <v>0</v>
      </c>
      <c r="P181" s="63">
        <f t="shared" si="36"/>
        <v>5566.1333333333332</v>
      </c>
      <c r="Q181" s="312" t="str">
        <f t="shared" si="44"/>
        <v>No</v>
      </c>
      <c r="R181" s="312">
        <f t="shared" si="45"/>
        <v>3762.8</v>
      </c>
      <c r="S181" s="15">
        <f t="shared" si="46"/>
        <v>-3762.8</v>
      </c>
      <c r="T181" s="189">
        <f>IF(AND('Total income package'!$A$22=TRUE,M181="Yes",S181&gt;9.99),MIN(S181,$I$2),0)</f>
        <v>0</v>
      </c>
    </row>
    <row r="182" spans="1:20" ht="15" customHeight="1" x14ac:dyDescent="0.25">
      <c r="A182" s="29">
        <v>86500</v>
      </c>
      <c r="B182" s="384">
        <f t="shared" si="49"/>
        <v>7208.333333333333</v>
      </c>
      <c r="C182" s="63">
        <f>'Total income package'!$D$80</f>
        <v>0</v>
      </c>
      <c r="D182" s="63">
        <f t="shared" si="37"/>
        <v>7208.333333333333</v>
      </c>
      <c r="E182" s="14" t="str">
        <f t="shared" si="38"/>
        <v>No</v>
      </c>
      <c r="F182" s="63">
        <f t="shared" si="34"/>
        <v>6999.333333333333</v>
      </c>
      <c r="G182" s="63">
        <f t="shared" si="47"/>
        <v>1399.8666666666668</v>
      </c>
      <c r="H182" s="63">
        <f t="shared" si="39"/>
        <v>5599.4666666666662</v>
      </c>
      <c r="I182" s="312">
        <f t="shared" si="40"/>
        <v>5599.4666666666662</v>
      </c>
      <c r="J182" s="14" t="str">
        <f t="shared" si="41"/>
        <v>No</v>
      </c>
      <c r="K182" s="63">
        <f t="shared" si="35"/>
        <v>0</v>
      </c>
      <c r="L182" s="130">
        <f>IF('Total income package'!$A$20=TRUE,MIN(IF(K182&gt;9.99,K182,0),$I$2),0)</f>
        <v>0</v>
      </c>
      <c r="M182" s="14" t="str">
        <f t="shared" si="48"/>
        <v>No</v>
      </c>
      <c r="N182" s="14" t="str">
        <f t="shared" si="42"/>
        <v>Yes</v>
      </c>
      <c r="O182" s="312">
        <f t="shared" si="43"/>
        <v>0</v>
      </c>
      <c r="P182" s="63">
        <f t="shared" si="36"/>
        <v>5599.4666666666662</v>
      </c>
      <c r="Q182" s="312" t="str">
        <f t="shared" si="44"/>
        <v>No</v>
      </c>
      <c r="R182" s="312">
        <f t="shared" si="45"/>
        <v>3796.1333333333332</v>
      </c>
      <c r="S182" s="15">
        <f t="shared" si="46"/>
        <v>-3796.1333333333332</v>
      </c>
      <c r="T182" s="189">
        <f>IF(AND('Total income package'!$A$22=TRUE,M182="Yes",S182&gt;9.99),MIN(S182,$I$2),0)</f>
        <v>0</v>
      </c>
    </row>
    <row r="183" spans="1:20" ht="15" customHeight="1" x14ac:dyDescent="0.25">
      <c r="A183" s="117">
        <v>87000</v>
      </c>
      <c r="B183" s="384">
        <f t="shared" si="49"/>
        <v>7250</v>
      </c>
      <c r="C183" s="63">
        <f>'Total income package'!$D$80</f>
        <v>0</v>
      </c>
      <c r="D183" s="63">
        <f t="shared" si="37"/>
        <v>7250</v>
      </c>
      <c r="E183" s="14" t="str">
        <f t="shared" si="38"/>
        <v>No</v>
      </c>
      <c r="F183" s="63">
        <f t="shared" si="34"/>
        <v>7041</v>
      </c>
      <c r="G183" s="63">
        <f t="shared" si="47"/>
        <v>1408.2</v>
      </c>
      <c r="H183" s="63">
        <f t="shared" si="39"/>
        <v>5632.8</v>
      </c>
      <c r="I183" s="312">
        <f t="shared" si="40"/>
        <v>5632.8</v>
      </c>
      <c r="J183" s="14" t="str">
        <f t="shared" si="41"/>
        <v>No</v>
      </c>
      <c r="K183" s="63">
        <f t="shared" si="35"/>
        <v>0</v>
      </c>
      <c r="L183" s="130">
        <f>IF('Total income package'!$A$20=TRUE,MIN(IF(K183&gt;9.99,K183,0),$I$2),0)</f>
        <v>0</v>
      </c>
      <c r="M183" s="14" t="str">
        <f t="shared" si="48"/>
        <v>No</v>
      </c>
      <c r="N183" s="14" t="str">
        <f t="shared" si="42"/>
        <v>Yes</v>
      </c>
      <c r="O183" s="312">
        <f t="shared" si="43"/>
        <v>0</v>
      </c>
      <c r="P183" s="63">
        <f t="shared" si="36"/>
        <v>5632.8</v>
      </c>
      <c r="Q183" s="312" t="str">
        <f t="shared" si="44"/>
        <v>No</v>
      </c>
      <c r="R183" s="312">
        <f t="shared" si="45"/>
        <v>3829.4666666666672</v>
      </c>
      <c r="S183" s="15">
        <f t="shared" si="46"/>
        <v>-3829.4666666666672</v>
      </c>
      <c r="T183" s="189">
        <f>IF(AND('Total income package'!$A$22=TRUE,M183="Yes",S183&gt;9.99),MIN(S183,$I$2),0)</f>
        <v>0</v>
      </c>
    </row>
    <row r="184" spans="1:20" ht="15" customHeight="1" x14ac:dyDescent="0.25">
      <c r="A184" s="117">
        <v>87500</v>
      </c>
      <c r="B184" s="384">
        <f t="shared" si="49"/>
        <v>7291.666666666667</v>
      </c>
      <c r="C184" s="63">
        <f>'Total income package'!$D$80</f>
        <v>0</v>
      </c>
      <c r="D184" s="63">
        <f t="shared" si="37"/>
        <v>7291.666666666667</v>
      </c>
      <c r="E184" s="14" t="str">
        <f t="shared" si="38"/>
        <v>No</v>
      </c>
      <c r="F184" s="63">
        <f t="shared" si="34"/>
        <v>7082.666666666667</v>
      </c>
      <c r="G184" s="63">
        <f t="shared" si="47"/>
        <v>1416.5333333333335</v>
      </c>
      <c r="H184" s="63">
        <f t="shared" si="39"/>
        <v>5666.1333333333332</v>
      </c>
      <c r="I184" s="312">
        <f t="shared" si="40"/>
        <v>5666.1333333333332</v>
      </c>
      <c r="J184" s="14" t="str">
        <f t="shared" si="41"/>
        <v>No</v>
      </c>
      <c r="K184" s="63">
        <f t="shared" si="35"/>
        <v>0</v>
      </c>
      <c r="L184" s="130">
        <f>IF('Total income package'!$A$20=TRUE,MIN(IF(K184&gt;9.99,K184,0),$I$2),0)</f>
        <v>0</v>
      </c>
      <c r="M184" s="14" t="str">
        <f t="shared" si="48"/>
        <v>No</v>
      </c>
      <c r="N184" s="14" t="str">
        <f t="shared" si="42"/>
        <v>Yes</v>
      </c>
      <c r="O184" s="312">
        <f t="shared" si="43"/>
        <v>0</v>
      </c>
      <c r="P184" s="63">
        <f t="shared" si="36"/>
        <v>5666.1333333333332</v>
      </c>
      <c r="Q184" s="312" t="str">
        <f t="shared" si="44"/>
        <v>No</v>
      </c>
      <c r="R184" s="312">
        <f t="shared" si="45"/>
        <v>3862.8</v>
      </c>
      <c r="S184" s="15">
        <f t="shared" si="46"/>
        <v>-3862.8</v>
      </c>
      <c r="T184" s="189">
        <f>IF(AND('Total income package'!$A$22=TRUE,M184="Yes",S184&gt;9.99),MIN(S184,$I$2),0)</f>
        <v>0</v>
      </c>
    </row>
    <row r="185" spans="1:20" ht="15" customHeight="1" x14ac:dyDescent="0.25">
      <c r="A185" s="29">
        <v>88000</v>
      </c>
      <c r="B185" s="384">
        <f t="shared" si="49"/>
        <v>7333.333333333333</v>
      </c>
      <c r="C185" s="63">
        <f>'Total income package'!$D$80</f>
        <v>0</v>
      </c>
      <c r="D185" s="63">
        <f t="shared" si="37"/>
        <v>7333.333333333333</v>
      </c>
      <c r="E185" s="14" t="str">
        <f t="shared" si="38"/>
        <v>No</v>
      </c>
      <c r="F185" s="63">
        <f t="shared" si="34"/>
        <v>7124.333333333333</v>
      </c>
      <c r="G185" s="63">
        <f t="shared" si="47"/>
        <v>1424.8666666666668</v>
      </c>
      <c r="H185" s="63">
        <f t="shared" si="39"/>
        <v>5699.4666666666662</v>
      </c>
      <c r="I185" s="312">
        <f t="shared" si="40"/>
        <v>5699.4666666666662</v>
      </c>
      <c r="J185" s="14" t="str">
        <f t="shared" si="41"/>
        <v>No</v>
      </c>
      <c r="K185" s="63">
        <f t="shared" si="35"/>
        <v>0</v>
      </c>
      <c r="L185" s="130">
        <f>IF('Total income package'!$A$20=TRUE,MIN(IF(K185&gt;9.99,K185,0),$I$2),0)</f>
        <v>0</v>
      </c>
      <c r="M185" s="14" t="str">
        <f t="shared" si="48"/>
        <v>No</v>
      </c>
      <c r="N185" s="14" t="str">
        <f t="shared" si="42"/>
        <v>Yes</v>
      </c>
      <c r="O185" s="312">
        <f t="shared" si="43"/>
        <v>0</v>
      </c>
      <c r="P185" s="63">
        <f t="shared" si="36"/>
        <v>5699.4666666666662</v>
      </c>
      <c r="Q185" s="312" t="str">
        <f t="shared" si="44"/>
        <v>No</v>
      </c>
      <c r="R185" s="312">
        <f t="shared" si="45"/>
        <v>3896.1333333333332</v>
      </c>
      <c r="S185" s="15">
        <f t="shared" si="46"/>
        <v>-3896.1333333333332</v>
      </c>
      <c r="T185" s="189">
        <f>IF(AND('Total income package'!$A$22=TRUE,M185="Yes",S185&gt;9.99),MIN(S185,$I$2),0)</f>
        <v>0</v>
      </c>
    </row>
    <row r="186" spans="1:20" ht="15" customHeight="1" x14ac:dyDescent="0.25">
      <c r="A186" s="117">
        <v>88500</v>
      </c>
      <c r="B186" s="384">
        <f t="shared" si="49"/>
        <v>7375</v>
      </c>
      <c r="C186" s="63">
        <f>'Total income package'!$D$80</f>
        <v>0</v>
      </c>
      <c r="D186" s="63">
        <f t="shared" si="37"/>
        <v>7375</v>
      </c>
      <c r="E186" s="14" t="str">
        <f t="shared" si="38"/>
        <v>No</v>
      </c>
      <c r="F186" s="63">
        <f t="shared" si="34"/>
        <v>7166</v>
      </c>
      <c r="G186" s="63">
        <f t="shared" si="47"/>
        <v>1433.2</v>
      </c>
      <c r="H186" s="63">
        <f t="shared" si="39"/>
        <v>5732.8</v>
      </c>
      <c r="I186" s="312">
        <f t="shared" si="40"/>
        <v>5732.8</v>
      </c>
      <c r="J186" s="14" t="str">
        <f t="shared" si="41"/>
        <v>No</v>
      </c>
      <c r="K186" s="63">
        <f t="shared" si="35"/>
        <v>0</v>
      </c>
      <c r="L186" s="130">
        <f>IF('Total income package'!$A$20=TRUE,MIN(IF(K186&gt;9.99,K186,0),$I$2),0)</f>
        <v>0</v>
      </c>
      <c r="M186" s="14" t="str">
        <f t="shared" si="48"/>
        <v>No</v>
      </c>
      <c r="N186" s="14" t="str">
        <f t="shared" si="42"/>
        <v>Yes</v>
      </c>
      <c r="O186" s="312">
        <f t="shared" si="43"/>
        <v>0</v>
      </c>
      <c r="P186" s="63">
        <f t="shared" si="36"/>
        <v>5732.8</v>
      </c>
      <c r="Q186" s="312" t="str">
        <f t="shared" si="44"/>
        <v>No</v>
      </c>
      <c r="R186" s="312">
        <f t="shared" si="45"/>
        <v>3929.4666666666672</v>
      </c>
      <c r="S186" s="15">
        <f t="shared" si="46"/>
        <v>-3929.4666666666672</v>
      </c>
      <c r="T186" s="189">
        <f>IF(AND('Total income package'!$A$22=TRUE,M186="Yes",S186&gt;9.99),MIN(S186,$I$2),0)</f>
        <v>0</v>
      </c>
    </row>
    <row r="187" spans="1:20" ht="15" customHeight="1" x14ac:dyDescent="0.25">
      <c r="A187" s="117">
        <v>89000</v>
      </c>
      <c r="B187" s="384">
        <f t="shared" si="49"/>
        <v>7416.666666666667</v>
      </c>
      <c r="C187" s="63">
        <f>'Total income package'!$D$80</f>
        <v>0</v>
      </c>
      <c r="D187" s="63">
        <f t="shared" si="37"/>
        <v>7416.666666666667</v>
      </c>
      <c r="E187" s="14" t="str">
        <f t="shared" si="38"/>
        <v>No</v>
      </c>
      <c r="F187" s="63">
        <f t="shared" si="34"/>
        <v>7207.666666666667</v>
      </c>
      <c r="G187" s="63">
        <f t="shared" si="47"/>
        <v>1441.5333333333335</v>
      </c>
      <c r="H187" s="63">
        <f t="shared" si="39"/>
        <v>5766.1333333333332</v>
      </c>
      <c r="I187" s="312">
        <f t="shared" si="40"/>
        <v>5766.1333333333332</v>
      </c>
      <c r="J187" s="14" t="str">
        <f t="shared" si="41"/>
        <v>No</v>
      </c>
      <c r="K187" s="63">
        <f t="shared" si="35"/>
        <v>0</v>
      </c>
      <c r="L187" s="130">
        <f>IF('Total income package'!$A$20=TRUE,MIN(IF(K187&gt;9.99,K187,0),$I$2),0)</f>
        <v>0</v>
      </c>
      <c r="M187" s="14" t="str">
        <f t="shared" si="48"/>
        <v>No</v>
      </c>
      <c r="N187" s="14" t="str">
        <f t="shared" si="42"/>
        <v>Yes</v>
      </c>
      <c r="O187" s="312">
        <f t="shared" si="43"/>
        <v>0</v>
      </c>
      <c r="P187" s="63">
        <f t="shared" si="36"/>
        <v>5766.1333333333332</v>
      </c>
      <c r="Q187" s="312" t="str">
        <f t="shared" si="44"/>
        <v>No</v>
      </c>
      <c r="R187" s="312">
        <f t="shared" si="45"/>
        <v>3962.8</v>
      </c>
      <c r="S187" s="15">
        <f t="shared" si="46"/>
        <v>-3962.8</v>
      </c>
      <c r="T187" s="189">
        <f>IF(AND('Total income package'!$A$22=TRUE,M187="Yes",S187&gt;9.99),MIN(S187,$I$2),0)</f>
        <v>0</v>
      </c>
    </row>
    <row r="188" spans="1:20" ht="15" customHeight="1" x14ac:dyDescent="0.25">
      <c r="A188" s="29">
        <v>89500</v>
      </c>
      <c r="B188" s="384">
        <f t="shared" si="49"/>
        <v>7458.333333333333</v>
      </c>
      <c r="C188" s="63">
        <f>'Total income package'!$D$80</f>
        <v>0</v>
      </c>
      <c r="D188" s="63">
        <f t="shared" si="37"/>
        <v>7458.333333333333</v>
      </c>
      <c r="E188" s="14" t="str">
        <f t="shared" si="38"/>
        <v>No</v>
      </c>
      <c r="F188" s="63">
        <f t="shared" si="34"/>
        <v>7249.333333333333</v>
      </c>
      <c r="G188" s="63">
        <f t="shared" si="47"/>
        <v>1449.8666666666668</v>
      </c>
      <c r="H188" s="63">
        <f t="shared" si="39"/>
        <v>5799.4666666666662</v>
      </c>
      <c r="I188" s="312">
        <f t="shared" si="40"/>
        <v>5799.4666666666662</v>
      </c>
      <c r="J188" s="14" t="str">
        <f t="shared" si="41"/>
        <v>No</v>
      </c>
      <c r="K188" s="63">
        <f t="shared" si="35"/>
        <v>0</v>
      </c>
      <c r="L188" s="130">
        <f>IF('Total income package'!$A$20=TRUE,MIN(IF(K188&gt;9.99,K188,0),$I$2),0)</f>
        <v>0</v>
      </c>
      <c r="M188" s="14" t="str">
        <f t="shared" si="48"/>
        <v>No</v>
      </c>
      <c r="N188" s="14" t="str">
        <f t="shared" si="42"/>
        <v>Yes</v>
      </c>
      <c r="O188" s="312">
        <f t="shared" si="43"/>
        <v>0</v>
      </c>
      <c r="P188" s="63">
        <f t="shared" si="36"/>
        <v>5799.4666666666662</v>
      </c>
      <c r="Q188" s="312" t="str">
        <f t="shared" si="44"/>
        <v>No</v>
      </c>
      <c r="R188" s="312">
        <f t="shared" si="45"/>
        <v>3996.1333333333332</v>
      </c>
      <c r="S188" s="15">
        <f t="shared" si="46"/>
        <v>-3996.1333333333332</v>
      </c>
      <c r="T188" s="189">
        <f>IF(AND('Total income package'!$A$22=TRUE,M188="Yes",S188&gt;9.99),MIN(S188,$I$2),0)</f>
        <v>0</v>
      </c>
    </row>
    <row r="189" spans="1:20" ht="15" customHeight="1" x14ac:dyDescent="0.25">
      <c r="A189" s="117">
        <v>90000</v>
      </c>
      <c r="B189" s="384">
        <f t="shared" si="49"/>
        <v>7500</v>
      </c>
      <c r="C189" s="63">
        <f>'Total income package'!$D$80</f>
        <v>0</v>
      </c>
      <c r="D189" s="63">
        <f t="shared" si="37"/>
        <v>7500</v>
      </c>
      <c r="E189" s="14" t="str">
        <f t="shared" si="38"/>
        <v>No</v>
      </c>
      <c r="F189" s="63">
        <f t="shared" si="34"/>
        <v>7291</v>
      </c>
      <c r="G189" s="63">
        <f t="shared" si="47"/>
        <v>1458.2</v>
      </c>
      <c r="H189" s="63">
        <f t="shared" si="39"/>
        <v>5832.8</v>
      </c>
      <c r="I189" s="312">
        <f t="shared" si="40"/>
        <v>5832.8</v>
      </c>
      <c r="J189" s="14" t="str">
        <f t="shared" si="41"/>
        <v>No</v>
      </c>
      <c r="K189" s="63">
        <f t="shared" si="35"/>
        <v>0</v>
      </c>
      <c r="L189" s="130">
        <f>IF('Total income package'!$A$20=TRUE,MIN(IF(K189&gt;9.99,K189,0),$I$2),0)</f>
        <v>0</v>
      </c>
      <c r="M189" s="14" t="str">
        <f t="shared" si="48"/>
        <v>No</v>
      </c>
      <c r="N189" s="14" t="str">
        <f t="shared" si="42"/>
        <v>Yes</v>
      </c>
      <c r="O189" s="312">
        <f t="shared" si="43"/>
        <v>0</v>
      </c>
      <c r="P189" s="63">
        <f t="shared" si="36"/>
        <v>5832.8</v>
      </c>
      <c r="Q189" s="312" t="str">
        <f t="shared" si="44"/>
        <v>No</v>
      </c>
      <c r="R189" s="312">
        <f t="shared" si="45"/>
        <v>4029.4666666666672</v>
      </c>
      <c r="S189" s="15">
        <f t="shared" si="46"/>
        <v>-4029.4666666666672</v>
      </c>
      <c r="T189" s="189">
        <f>IF(AND('Total income package'!$A$22=TRUE,M189="Yes",S189&gt;9.99),MIN(S189,$I$2),0)</f>
        <v>0</v>
      </c>
    </row>
    <row r="190" spans="1:20" ht="15" customHeight="1" x14ac:dyDescent="0.25">
      <c r="A190" s="117">
        <v>90500</v>
      </c>
      <c r="B190" s="384">
        <f t="shared" si="49"/>
        <v>7541.666666666667</v>
      </c>
      <c r="C190" s="63">
        <f>'Total income package'!$D$80</f>
        <v>0</v>
      </c>
      <c r="D190" s="63">
        <f t="shared" si="37"/>
        <v>7541.666666666667</v>
      </c>
      <c r="E190" s="14" t="str">
        <f t="shared" si="38"/>
        <v>No</v>
      </c>
      <c r="F190" s="63">
        <f t="shared" si="34"/>
        <v>7332.666666666667</v>
      </c>
      <c r="G190" s="63">
        <f t="shared" si="47"/>
        <v>1466.5333333333335</v>
      </c>
      <c r="H190" s="63">
        <f t="shared" si="39"/>
        <v>5866.1333333333332</v>
      </c>
      <c r="I190" s="312">
        <f t="shared" si="40"/>
        <v>5866.1333333333332</v>
      </c>
      <c r="J190" s="14" t="str">
        <f t="shared" si="41"/>
        <v>No</v>
      </c>
      <c r="K190" s="63">
        <f t="shared" si="35"/>
        <v>0</v>
      </c>
      <c r="L190" s="130">
        <f>IF('Total income package'!$A$20=TRUE,MIN(IF(K190&gt;9.99,K190,0),$I$2),0)</f>
        <v>0</v>
      </c>
      <c r="M190" s="14" t="str">
        <f t="shared" si="48"/>
        <v>No</v>
      </c>
      <c r="N190" s="14" t="str">
        <f t="shared" si="42"/>
        <v>Yes</v>
      </c>
      <c r="O190" s="312">
        <f t="shared" si="43"/>
        <v>0</v>
      </c>
      <c r="P190" s="63">
        <f t="shared" si="36"/>
        <v>5866.1333333333332</v>
      </c>
      <c r="Q190" s="312" t="str">
        <f t="shared" si="44"/>
        <v>No</v>
      </c>
      <c r="R190" s="312">
        <f t="shared" si="45"/>
        <v>4062.8</v>
      </c>
      <c r="S190" s="15">
        <f t="shared" si="46"/>
        <v>-4062.8</v>
      </c>
      <c r="T190" s="189">
        <f>IF(AND('Total income package'!$A$22=TRUE,M190="Yes",S190&gt;9.99),MIN(S190,$I$2),0)</f>
        <v>0</v>
      </c>
    </row>
    <row r="191" spans="1:20" ht="15" customHeight="1" x14ac:dyDescent="0.25">
      <c r="A191" s="29">
        <v>91000</v>
      </c>
      <c r="B191" s="384">
        <f t="shared" si="49"/>
        <v>7583.333333333333</v>
      </c>
      <c r="C191" s="63">
        <f>'Total income package'!$D$80</f>
        <v>0</v>
      </c>
      <c r="D191" s="63">
        <f t="shared" si="37"/>
        <v>7583.333333333333</v>
      </c>
      <c r="E191" s="14" t="str">
        <f t="shared" si="38"/>
        <v>No</v>
      </c>
      <c r="F191" s="63">
        <f t="shared" si="34"/>
        <v>7374.333333333333</v>
      </c>
      <c r="G191" s="63">
        <f t="shared" si="47"/>
        <v>1474.8666666666668</v>
      </c>
      <c r="H191" s="63">
        <f t="shared" si="39"/>
        <v>5899.4666666666662</v>
      </c>
      <c r="I191" s="312">
        <f t="shared" si="40"/>
        <v>5899.4666666666662</v>
      </c>
      <c r="J191" s="14" t="str">
        <f t="shared" si="41"/>
        <v>No</v>
      </c>
      <c r="K191" s="63">
        <f t="shared" si="35"/>
        <v>0</v>
      </c>
      <c r="L191" s="130">
        <f>IF('Total income package'!$A$20=TRUE,MIN(IF(K191&gt;9.99,K191,0),$I$2),0)</f>
        <v>0</v>
      </c>
      <c r="M191" s="14" t="str">
        <f t="shared" si="48"/>
        <v>No</v>
      </c>
      <c r="N191" s="14" t="str">
        <f t="shared" si="42"/>
        <v>Yes</v>
      </c>
      <c r="O191" s="312">
        <f t="shared" si="43"/>
        <v>0</v>
      </c>
      <c r="P191" s="63">
        <f t="shared" si="36"/>
        <v>5899.4666666666662</v>
      </c>
      <c r="Q191" s="312" t="str">
        <f t="shared" si="44"/>
        <v>No</v>
      </c>
      <c r="R191" s="312">
        <f t="shared" si="45"/>
        <v>4096.1333333333332</v>
      </c>
      <c r="S191" s="15">
        <f t="shared" si="46"/>
        <v>-4096.1333333333332</v>
      </c>
      <c r="T191" s="189">
        <f>IF(AND('Total income package'!$A$22=TRUE,M191="Yes",S191&gt;9.99),MIN(S191,$I$2),0)</f>
        <v>0</v>
      </c>
    </row>
    <row r="192" spans="1:20" ht="15" customHeight="1" x14ac:dyDescent="0.25">
      <c r="A192" s="117">
        <v>91500</v>
      </c>
      <c r="B192" s="384">
        <f t="shared" si="49"/>
        <v>7625</v>
      </c>
      <c r="C192" s="63">
        <f>'Total income package'!$D$80</f>
        <v>0</v>
      </c>
      <c r="D192" s="63">
        <f t="shared" si="37"/>
        <v>7625</v>
      </c>
      <c r="E192" s="14" t="str">
        <f t="shared" si="38"/>
        <v>No</v>
      </c>
      <c r="F192" s="63">
        <f t="shared" si="34"/>
        <v>7416</v>
      </c>
      <c r="G192" s="63">
        <f t="shared" si="47"/>
        <v>1483.2</v>
      </c>
      <c r="H192" s="63">
        <f t="shared" si="39"/>
        <v>5932.8</v>
      </c>
      <c r="I192" s="312">
        <f t="shared" si="40"/>
        <v>5932.8</v>
      </c>
      <c r="J192" s="14" t="str">
        <f t="shared" si="41"/>
        <v>No</v>
      </c>
      <c r="K192" s="63">
        <f t="shared" si="35"/>
        <v>0</v>
      </c>
      <c r="L192" s="130">
        <f>IF('Total income package'!$A$20=TRUE,MIN(IF(K192&gt;9.99,K192,0),$I$2),0)</f>
        <v>0</v>
      </c>
      <c r="M192" s="14" t="str">
        <f t="shared" si="48"/>
        <v>No</v>
      </c>
      <c r="N192" s="14" t="str">
        <f t="shared" si="42"/>
        <v>Yes</v>
      </c>
      <c r="O192" s="312">
        <f t="shared" si="43"/>
        <v>0</v>
      </c>
      <c r="P192" s="63">
        <f t="shared" si="36"/>
        <v>5932.8</v>
      </c>
      <c r="Q192" s="312" t="str">
        <f t="shared" si="44"/>
        <v>No</v>
      </c>
      <c r="R192" s="312">
        <f t="shared" si="45"/>
        <v>4129.4666666666672</v>
      </c>
      <c r="S192" s="15">
        <f t="shared" si="46"/>
        <v>-4129.4666666666672</v>
      </c>
      <c r="T192" s="189">
        <f>IF(AND('Total income package'!$A$22=TRUE,M192="Yes",S192&gt;9.99),MIN(S192,$I$2),0)</f>
        <v>0</v>
      </c>
    </row>
    <row r="193" spans="1:20" ht="15" customHeight="1" x14ac:dyDescent="0.25">
      <c r="A193" s="117">
        <v>92000</v>
      </c>
      <c r="B193" s="384">
        <f t="shared" si="49"/>
        <v>7666.666666666667</v>
      </c>
      <c r="C193" s="63">
        <f>'Total income package'!$D$80</f>
        <v>0</v>
      </c>
      <c r="D193" s="63">
        <f t="shared" si="37"/>
        <v>7666.666666666667</v>
      </c>
      <c r="E193" s="14" t="str">
        <f t="shared" si="38"/>
        <v>No</v>
      </c>
      <c r="F193" s="63">
        <f t="shared" si="34"/>
        <v>7457.666666666667</v>
      </c>
      <c r="G193" s="63">
        <f t="shared" si="47"/>
        <v>1491.5333333333335</v>
      </c>
      <c r="H193" s="63">
        <f t="shared" si="39"/>
        <v>5966.1333333333332</v>
      </c>
      <c r="I193" s="312">
        <f t="shared" si="40"/>
        <v>5966.1333333333332</v>
      </c>
      <c r="J193" s="14" t="str">
        <f t="shared" si="41"/>
        <v>No</v>
      </c>
      <c r="K193" s="63">
        <f t="shared" si="35"/>
        <v>0</v>
      </c>
      <c r="L193" s="130">
        <f>IF('Total income package'!$A$20=TRUE,MIN(IF(K193&gt;9.99,K193,0),$I$2),0)</f>
        <v>0</v>
      </c>
      <c r="M193" s="14" t="str">
        <f t="shared" si="48"/>
        <v>No</v>
      </c>
      <c r="N193" s="14" t="str">
        <f t="shared" si="42"/>
        <v>Yes</v>
      </c>
      <c r="O193" s="312">
        <f t="shared" si="43"/>
        <v>0</v>
      </c>
      <c r="P193" s="63">
        <f t="shared" si="36"/>
        <v>5966.1333333333332</v>
      </c>
      <c r="Q193" s="312" t="str">
        <f t="shared" si="44"/>
        <v>No</v>
      </c>
      <c r="R193" s="312">
        <f t="shared" si="45"/>
        <v>4162.8</v>
      </c>
      <c r="S193" s="15">
        <f t="shared" si="46"/>
        <v>-4162.8</v>
      </c>
      <c r="T193" s="189">
        <f>IF(AND('Total income package'!$A$22=TRUE,M193="Yes",S193&gt;9.99),MIN(S193,$I$2),0)</f>
        <v>0</v>
      </c>
    </row>
    <row r="194" spans="1:20" ht="15" customHeight="1" x14ac:dyDescent="0.25">
      <c r="A194" s="29">
        <v>92500</v>
      </c>
      <c r="B194" s="384">
        <f t="shared" si="49"/>
        <v>7708.333333333333</v>
      </c>
      <c r="C194" s="63">
        <f>'Total income package'!$D$80</f>
        <v>0</v>
      </c>
      <c r="D194" s="63">
        <f t="shared" si="37"/>
        <v>7708.333333333333</v>
      </c>
      <c r="E194" s="14" t="str">
        <f t="shared" si="38"/>
        <v>No</v>
      </c>
      <c r="F194" s="63">
        <f t="shared" si="34"/>
        <v>7499.333333333333</v>
      </c>
      <c r="G194" s="63">
        <f t="shared" si="47"/>
        <v>1499.8666666666668</v>
      </c>
      <c r="H194" s="63">
        <f t="shared" si="39"/>
        <v>5999.4666666666662</v>
      </c>
      <c r="I194" s="312">
        <f t="shared" si="40"/>
        <v>5999.4666666666662</v>
      </c>
      <c r="J194" s="14" t="str">
        <f t="shared" si="41"/>
        <v>No</v>
      </c>
      <c r="K194" s="63">
        <f t="shared" si="35"/>
        <v>0</v>
      </c>
      <c r="L194" s="130">
        <f>IF('Total income package'!$A$20=TRUE,MIN(IF(K194&gt;9.99,K194,0),$I$2),0)</f>
        <v>0</v>
      </c>
      <c r="M194" s="14" t="str">
        <f t="shared" si="48"/>
        <v>No</v>
      </c>
      <c r="N194" s="14" t="str">
        <f t="shared" si="42"/>
        <v>Yes</v>
      </c>
      <c r="O194" s="312">
        <f t="shared" si="43"/>
        <v>0</v>
      </c>
      <c r="P194" s="63">
        <f t="shared" si="36"/>
        <v>5999.4666666666662</v>
      </c>
      <c r="Q194" s="312" t="str">
        <f t="shared" si="44"/>
        <v>No</v>
      </c>
      <c r="R194" s="312">
        <f t="shared" si="45"/>
        <v>4196.1333333333332</v>
      </c>
      <c r="S194" s="15">
        <f t="shared" si="46"/>
        <v>-4196.1333333333332</v>
      </c>
      <c r="T194" s="189">
        <f>IF(AND('Total income package'!$A$22=TRUE,M194="Yes",S194&gt;9.99),MIN(S194,$I$2),0)</f>
        <v>0</v>
      </c>
    </row>
    <row r="195" spans="1:20" ht="15" customHeight="1" x14ac:dyDescent="0.25">
      <c r="A195" s="117">
        <v>93000</v>
      </c>
      <c r="B195" s="384">
        <f t="shared" si="49"/>
        <v>7750</v>
      </c>
      <c r="C195" s="63">
        <f>'Total income package'!$D$80</f>
        <v>0</v>
      </c>
      <c r="D195" s="63">
        <f t="shared" si="37"/>
        <v>7750</v>
      </c>
      <c r="E195" s="14" t="str">
        <f t="shared" si="38"/>
        <v>No</v>
      </c>
      <c r="F195" s="63">
        <f t="shared" si="34"/>
        <v>7541</v>
      </c>
      <c r="G195" s="63">
        <f t="shared" si="47"/>
        <v>1508.2</v>
      </c>
      <c r="H195" s="63">
        <f t="shared" si="39"/>
        <v>6032.8</v>
      </c>
      <c r="I195" s="312">
        <f t="shared" si="40"/>
        <v>6032.8</v>
      </c>
      <c r="J195" s="14" t="str">
        <f t="shared" si="41"/>
        <v>No</v>
      </c>
      <c r="K195" s="63">
        <f t="shared" si="35"/>
        <v>0</v>
      </c>
      <c r="L195" s="130">
        <f>IF('Total income package'!$A$20=TRUE,MIN(IF(K195&gt;9.99,K195,0),$I$2),0)</f>
        <v>0</v>
      </c>
      <c r="M195" s="14" t="str">
        <f t="shared" si="48"/>
        <v>No</v>
      </c>
      <c r="N195" s="14" t="str">
        <f t="shared" si="42"/>
        <v>Yes</v>
      </c>
      <c r="O195" s="312">
        <f t="shared" si="43"/>
        <v>0</v>
      </c>
      <c r="P195" s="63">
        <f t="shared" si="36"/>
        <v>6032.8</v>
      </c>
      <c r="Q195" s="312" t="str">
        <f t="shared" si="44"/>
        <v>No</v>
      </c>
      <c r="R195" s="312">
        <f t="shared" si="45"/>
        <v>4229.4666666666672</v>
      </c>
      <c r="S195" s="15">
        <f t="shared" si="46"/>
        <v>-4229.4666666666672</v>
      </c>
      <c r="T195" s="189">
        <f>IF(AND('Total income package'!$A$22=TRUE,M195="Yes",S195&gt;9.99),MIN(S195,$I$2),0)</f>
        <v>0</v>
      </c>
    </row>
    <row r="196" spans="1:20" ht="15" customHeight="1" x14ac:dyDescent="0.25">
      <c r="A196" s="117">
        <v>93500</v>
      </c>
      <c r="B196" s="384">
        <f t="shared" si="49"/>
        <v>7791.666666666667</v>
      </c>
      <c r="C196" s="63">
        <f>'Total income package'!$D$80</f>
        <v>0</v>
      </c>
      <c r="D196" s="63">
        <f t="shared" si="37"/>
        <v>7791.666666666667</v>
      </c>
      <c r="E196" s="14" t="str">
        <f t="shared" si="38"/>
        <v>No</v>
      </c>
      <c r="F196" s="63">
        <f t="shared" si="34"/>
        <v>7582.666666666667</v>
      </c>
      <c r="G196" s="63">
        <f t="shared" si="47"/>
        <v>1516.5333333333335</v>
      </c>
      <c r="H196" s="63">
        <f t="shared" si="39"/>
        <v>6066.1333333333332</v>
      </c>
      <c r="I196" s="312">
        <f t="shared" si="40"/>
        <v>6066.1333333333332</v>
      </c>
      <c r="J196" s="14" t="str">
        <f t="shared" si="41"/>
        <v>No</v>
      </c>
      <c r="K196" s="63">
        <f t="shared" si="35"/>
        <v>0</v>
      </c>
      <c r="L196" s="130">
        <f>IF('Total income package'!$A$20=TRUE,MIN(IF(K196&gt;9.99,K196,0),$I$2),0)</f>
        <v>0</v>
      </c>
      <c r="M196" s="14" t="str">
        <f t="shared" si="48"/>
        <v>No</v>
      </c>
      <c r="N196" s="14" t="str">
        <f t="shared" si="42"/>
        <v>Yes</v>
      </c>
      <c r="O196" s="312">
        <f t="shared" si="43"/>
        <v>0</v>
      </c>
      <c r="P196" s="63">
        <f t="shared" si="36"/>
        <v>6066.1333333333332</v>
      </c>
      <c r="Q196" s="312" t="str">
        <f t="shared" si="44"/>
        <v>No</v>
      </c>
      <c r="R196" s="312">
        <f t="shared" si="45"/>
        <v>4262.8</v>
      </c>
      <c r="S196" s="15">
        <f t="shared" si="46"/>
        <v>-4262.8</v>
      </c>
      <c r="T196" s="189">
        <f>IF(AND('Total income package'!$A$22=TRUE,M196="Yes",S196&gt;9.99),MIN(S196,$I$2),0)</f>
        <v>0</v>
      </c>
    </row>
    <row r="197" spans="1:20" ht="15" customHeight="1" x14ac:dyDescent="0.25">
      <c r="A197" s="29">
        <v>94000</v>
      </c>
      <c r="B197" s="384">
        <f t="shared" si="49"/>
        <v>7833.333333333333</v>
      </c>
      <c r="C197" s="63">
        <f>'Total income package'!$D$80</f>
        <v>0</v>
      </c>
      <c r="D197" s="63">
        <f t="shared" si="37"/>
        <v>7833.333333333333</v>
      </c>
      <c r="E197" s="14" t="str">
        <f t="shared" si="38"/>
        <v>No</v>
      </c>
      <c r="F197" s="63">
        <f t="shared" si="34"/>
        <v>7624.333333333333</v>
      </c>
      <c r="G197" s="63">
        <f t="shared" si="47"/>
        <v>1524.8666666666668</v>
      </c>
      <c r="H197" s="63">
        <f t="shared" si="39"/>
        <v>6099.4666666666662</v>
      </c>
      <c r="I197" s="312">
        <f t="shared" si="40"/>
        <v>6099.4666666666662</v>
      </c>
      <c r="J197" s="14" t="str">
        <f t="shared" si="41"/>
        <v>No</v>
      </c>
      <c r="K197" s="63">
        <f t="shared" si="35"/>
        <v>0</v>
      </c>
      <c r="L197" s="130">
        <f>IF('Total income package'!$A$20=TRUE,MIN(IF(K197&gt;9.99,K197,0),$I$2),0)</f>
        <v>0</v>
      </c>
      <c r="M197" s="14" t="str">
        <f t="shared" si="48"/>
        <v>No</v>
      </c>
      <c r="N197" s="14" t="str">
        <f t="shared" si="42"/>
        <v>Yes</v>
      </c>
      <c r="O197" s="312">
        <f t="shared" si="43"/>
        <v>0</v>
      </c>
      <c r="P197" s="63">
        <f t="shared" si="36"/>
        <v>6099.4666666666662</v>
      </c>
      <c r="Q197" s="312" t="str">
        <f t="shared" si="44"/>
        <v>No</v>
      </c>
      <c r="R197" s="312">
        <f t="shared" si="45"/>
        <v>4296.1333333333332</v>
      </c>
      <c r="S197" s="15">
        <f t="shared" si="46"/>
        <v>-4296.1333333333332</v>
      </c>
      <c r="T197" s="189">
        <f>IF(AND('Total income package'!$A$22=TRUE,M197="Yes",S197&gt;9.99),MIN(S197,$I$2),0)</f>
        <v>0</v>
      </c>
    </row>
    <row r="198" spans="1:20" ht="15" customHeight="1" x14ac:dyDescent="0.25">
      <c r="A198" s="117">
        <v>94500</v>
      </c>
      <c r="B198" s="384">
        <f t="shared" si="49"/>
        <v>7875</v>
      </c>
      <c r="C198" s="63">
        <f>'Total income package'!$D$80</f>
        <v>0</v>
      </c>
      <c r="D198" s="63">
        <f t="shared" si="37"/>
        <v>7875</v>
      </c>
      <c r="E198" s="14" t="str">
        <f t="shared" si="38"/>
        <v>No</v>
      </c>
      <c r="F198" s="63">
        <f t="shared" si="34"/>
        <v>7666</v>
      </c>
      <c r="G198" s="63">
        <f t="shared" si="47"/>
        <v>1533.2</v>
      </c>
      <c r="H198" s="63">
        <f t="shared" si="39"/>
        <v>6132.8</v>
      </c>
      <c r="I198" s="312">
        <f t="shared" si="40"/>
        <v>6132.8</v>
      </c>
      <c r="J198" s="14" t="str">
        <f t="shared" si="41"/>
        <v>No</v>
      </c>
      <c r="K198" s="63">
        <f t="shared" si="35"/>
        <v>0</v>
      </c>
      <c r="L198" s="130">
        <f>IF('Total income package'!$A$20=TRUE,MIN(IF(K198&gt;9.99,K198,0),$I$2),0)</f>
        <v>0</v>
      </c>
      <c r="M198" s="14" t="str">
        <f t="shared" si="48"/>
        <v>No</v>
      </c>
      <c r="N198" s="14" t="str">
        <f t="shared" si="42"/>
        <v>Yes</v>
      </c>
      <c r="O198" s="312">
        <f t="shared" si="43"/>
        <v>0</v>
      </c>
      <c r="P198" s="63">
        <f t="shared" si="36"/>
        <v>6132.8</v>
      </c>
      <c r="Q198" s="312" t="str">
        <f t="shared" si="44"/>
        <v>No</v>
      </c>
      <c r="R198" s="312">
        <f t="shared" si="45"/>
        <v>4329.4666666666672</v>
      </c>
      <c r="S198" s="15">
        <f t="shared" si="46"/>
        <v>-4329.4666666666672</v>
      </c>
      <c r="T198" s="189">
        <f>IF(AND('Total income package'!$A$22=TRUE,M198="Yes",S198&gt;9.99),MIN(S198,$I$2),0)</f>
        <v>0</v>
      </c>
    </row>
    <row r="199" spans="1:20" ht="15" customHeight="1" x14ac:dyDescent="0.25">
      <c r="A199" s="117">
        <v>95000</v>
      </c>
      <c r="B199" s="384">
        <f t="shared" si="49"/>
        <v>7916.666666666667</v>
      </c>
      <c r="C199" s="63">
        <f>'Total income package'!$D$80</f>
        <v>0</v>
      </c>
      <c r="D199" s="63">
        <f t="shared" si="37"/>
        <v>7916.666666666667</v>
      </c>
      <c r="E199" s="14" t="str">
        <f t="shared" si="38"/>
        <v>No</v>
      </c>
      <c r="F199" s="63">
        <f t="shared" si="34"/>
        <v>7707.666666666667</v>
      </c>
      <c r="G199" s="63">
        <f t="shared" si="47"/>
        <v>1541.5333333333335</v>
      </c>
      <c r="H199" s="63">
        <f t="shared" si="39"/>
        <v>6166.1333333333332</v>
      </c>
      <c r="I199" s="312">
        <f t="shared" si="40"/>
        <v>6166.1333333333332</v>
      </c>
      <c r="J199" s="14" t="str">
        <f t="shared" si="41"/>
        <v>No</v>
      </c>
      <c r="K199" s="63">
        <f t="shared" si="35"/>
        <v>0</v>
      </c>
      <c r="L199" s="130">
        <f>IF('Total income package'!$A$20=TRUE,MIN(IF(K199&gt;9.99,K199,0),$I$2),0)</f>
        <v>0</v>
      </c>
      <c r="M199" s="14" t="str">
        <f t="shared" si="48"/>
        <v>No</v>
      </c>
      <c r="N199" s="14" t="str">
        <f t="shared" si="42"/>
        <v>Yes</v>
      </c>
      <c r="O199" s="312">
        <f t="shared" si="43"/>
        <v>0</v>
      </c>
      <c r="P199" s="63">
        <f t="shared" si="36"/>
        <v>6166.1333333333332</v>
      </c>
      <c r="Q199" s="312" t="str">
        <f t="shared" si="44"/>
        <v>No</v>
      </c>
      <c r="R199" s="312">
        <f t="shared" si="45"/>
        <v>4362.8</v>
      </c>
      <c r="S199" s="15">
        <f t="shared" si="46"/>
        <v>-4362.8</v>
      </c>
      <c r="T199" s="189">
        <f>IF(AND('Total income package'!$A$22=TRUE,M199="Yes",S199&gt;9.99),MIN(S199,$I$2),0)</f>
        <v>0</v>
      </c>
    </row>
    <row r="200" spans="1:20" ht="15" customHeight="1" x14ac:dyDescent="0.25">
      <c r="A200" s="29">
        <v>95500</v>
      </c>
      <c r="B200" s="384">
        <f t="shared" si="49"/>
        <v>7958.333333333333</v>
      </c>
      <c r="C200" s="63">
        <f>'Total income package'!$D$80</f>
        <v>0</v>
      </c>
      <c r="D200" s="63">
        <f t="shared" si="37"/>
        <v>7958.333333333333</v>
      </c>
      <c r="E200" s="14" t="str">
        <f t="shared" si="38"/>
        <v>No</v>
      </c>
      <c r="F200" s="63">
        <f t="shared" si="34"/>
        <v>7749.333333333333</v>
      </c>
      <c r="G200" s="63">
        <f t="shared" si="47"/>
        <v>1549.8666666666668</v>
      </c>
      <c r="H200" s="63">
        <f t="shared" si="39"/>
        <v>6199.4666666666662</v>
      </c>
      <c r="I200" s="312">
        <f t="shared" si="40"/>
        <v>6199.4666666666662</v>
      </c>
      <c r="J200" s="14" t="str">
        <f t="shared" si="41"/>
        <v>No</v>
      </c>
      <c r="K200" s="63">
        <f t="shared" si="35"/>
        <v>0</v>
      </c>
      <c r="L200" s="130">
        <f>IF('Total income package'!$A$20=TRUE,MIN(IF(K200&gt;9.99,K200,0),$I$2),0)</f>
        <v>0</v>
      </c>
      <c r="M200" s="14" t="str">
        <f t="shared" si="48"/>
        <v>No</v>
      </c>
      <c r="N200" s="14" t="str">
        <f t="shared" si="42"/>
        <v>Yes</v>
      </c>
      <c r="O200" s="312">
        <f t="shared" si="43"/>
        <v>0</v>
      </c>
      <c r="P200" s="63">
        <f t="shared" si="36"/>
        <v>6199.4666666666662</v>
      </c>
      <c r="Q200" s="312" t="str">
        <f t="shared" si="44"/>
        <v>No</v>
      </c>
      <c r="R200" s="312">
        <f t="shared" si="45"/>
        <v>4396.1333333333332</v>
      </c>
      <c r="S200" s="15">
        <f t="shared" si="46"/>
        <v>-4396.1333333333332</v>
      </c>
      <c r="T200" s="189">
        <f>IF(AND('Total income package'!$A$22=TRUE,M200="Yes",S200&gt;9.99),MIN(S200,$I$2),0)</f>
        <v>0</v>
      </c>
    </row>
    <row r="201" spans="1:20" ht="15" customHeight="1" x14ac:dyDescent="0.25">
      <c r="A201" s="117">
        <v>96000</v>
      </c>
      <c r="B201" s="384">
        <f t="shared" si="49"/>
        <v>8000</v>
      </c>
      <c r="C201" s="63">
        <f>'Total income package'!$D$80</f>
        <v>0</v>
      </c>
      <c r="D201" s="63">
        <f t="shared" si="37"/>
        <v>8000</v>
      </c>
      <c r="E201" s="14" t="str">
        <f t="shared" si="38"/>
        <v>No</v>
      </c>
      <c r="F201" s="63">
        <f t="shared" ref="F201:F209" si="50">IF(B201-$D$2&gt;0,B201-$D$2,0)</f>
        <v>7791</v>
      </c>
      <c r="G201" s="63">
        <f t="shared" si="47"/>
        <v>1558.2</v>
      </c>
      <c r="H201" s="63">
        <f t="shared" si="39"/>
        <v>6232.8</v>
      </c>
      <c r="I201" s="312">
        <f t="shared" si="40"/>
        <v>6232.8</v>
      </c>
      <c r="J201" s="14" t="str">
        <f t="shared" si="41"/>
        <v>No</v>
      </c>
      <c r="K201" s="63">
        <f t="shared" ref="K201:K209" si="51">IF(E201="Yes",MIN(IF($G$2-I201&gt;0,$G$2-I201,0),$I$2),0)</f>
        <v>0</v>
      </c>
      <c r="L201" s="130">
        <f>IF('Total income package'!$A$20=TRUE,MIN(IF(K201&gt;9.99,K201,0),$I$2),0)</f>
        <v>0</v>
      </c>
      <c r="M201" s="14" t="str">
        <f t="shared" si="48"/>
        <v>No</v>
      </c>
      <c r="N201" s="14" t="str">
        <f t="shared" si="42"/>
        <v>Yes</v>
      </c>
      <c r="O201" s="312">
        <f t="shared" si="43"/>
        <v>0</v>
      </c>
      <c r="P201" s="63">
        <f t="shared" ref="P201:P209" si="52">I201+O201</f>
        <v>6232.8</v>
      </c>
      <c r="Q201" s="312" t="str">
        <f t="shared" si="44"/>
        <v>No</v>
      </c>
      <c r="R201" s="312">
        <f t="shared" si="45"/>
        <v>4429.4666666666672</v>
      </c>
      <c r="S201" s="15">
        <f t="shared" si="46"/>
        <v>-4429.4666666666672</v>
      </c>
      <c r="T201" s="189">
        <f>IF(AND('Total income package'!$A$22=TRUE,M201="Yes",S201&gt;9.99),MIN(S201,$I$2),0)</f>
        <v>0</v>
      </c>
    </row>
    <row r="202" spans="1:20" ht="15" customHeight="1" x14ac:dyDescent="0.25">
      <c r="A202" s="117">
        <v>96500</v>
      </c>
      <c r="B202" s="384">
        <f t="shared" si="49"/>
        <v>8041.666666666667</v>
      </c>
      <c r="C202" s="63">
        <f>'Total income package'!$D$80</f>
        <v>0</v>
      </c>
      <c r="D202" s="63">
        <f t="shared" ref="D202:D209" si="53">B202+C202</f>
        <v>8041.666666666667</v>
      </c>
      <c r="E202" s="14" t="str">
        <f t="shared" ref="E202:E209" si="54">IF(D202&lt;=$F$2,"Yes","No")</f>
        <v>No</v>
      </c>
      <c r="F202" s="63">
        <f t="shared" si="50"/>
        <v>7832.666666666667</v>
      </c>
      <c r="G202" s="63">
        <f t="shared" si="47"/>
        <v>1566.5333333333335</v>
      </c>
      <c r="H202" s="63">
        <f t="shared" ref="H202:H209" si="55">F202-G202</f>
        <v>6266.1333333333332</v>
      </c>
      <c r="I202" s="312">
        <f t="shared" ref="I202:I209" si="56">C202+H202</f>
        <v>6266.1333333333332</v>
      </c>
      <c r="J202" s="14" t="str">
        <f t="shared" ref="J202:J209" si="57">IF(I202&lt;$G$2,"Yes","No")</f>
        <v>No</v>
      </c>
      <c r="K202" s="63">
        <f t="shared" si="51"/>
        <v>0</v>
      </c>
      <c r="L202" s="130">
        <f>IF('Total income package'!$A$20=TRUE,MIN(IF(K202&gt;9.99,K202,0),$I$2),0)</f>
        <v>0</v>
      </c>
      <c r="M202" s="14" t="str">
        <f t="shared" si="48"/>
        <v>No</v>
      </c>
      <c r="N202" s="14" t="str">
        <f t="shared" ref="N202:N209" si="58">IF(C202&lt;$G$2,"Yes","No")</f>
        <v>Yes</v>
      </c>
      <c r="O202" s="312">
        <f t="shared" ref="O202:O209" si="59">IF(AND(M202="Yes",N202="Yes"),MIN($G$2,$I$2),0)</f>
        <v>0</v>
      </c>
      <c r="P202" s="63">
        <f t="shared" si="52"/>
        <v>6266.1333333333332</v>
      </c>
      <c r="Q202" s="312" t="str">
        <f t="shared" ref="Q202:Q209" si="60">IF(P202&lt;$H$2,"Yes","No")</f>
        <v>No</v>
      </c>
      <c r="R202" s="312">
        <f t="shared" ref="R202:R209" si="61">IF(P202&gt;$H$2,P202-$H$2,0)</f>
        <v>4462.8</v>
      </c>
      <c r="S202" s="15">
        <f t="shared" ref="S202:S209" si="62">IF(P202&gt;$H$2,O202-R202,O202)</f>
        <v>-4462.8</v>
      </c>
      <c r="T202" s="189">
        <f>IF(AND('Total income package'!$A$22=TRUE,M202="Yes",S202&gt;9.99),MIN(S202,$I$2),0)</f>
        <v>0</v>
      </c>
    </row>
    <row r="203" spans="1:20" ht="15" customHeight="1" x14ac:dyDescent="0.25">
      <c r="A203" s="29">
        <v>97000</v>
      </c>
      <c r="B203" s="384">
        <f t="shared" si="49"/>
        <v>8083.333333333333</v>
      </c>
      <c r="C203" s="63">
        <f>'Total income package'!$D$80</f>
        <v>0</v>
      </c>
      <c r="D203" s="63">
        <f t="shared" si="53"/>
        <v>8083.333333333333</v>
      </c>
      <c r="E203" s="14" t="str">
        <f t="shared" si="54"/>
        <v>No</v>
      </c>
      <c r="F203" s="63">
        <f t="shared" si="50"/>
        <v>7874.333333333333</v>
      </c>
      <c r="G203" s="63">
        <f t="shared" ref="G203:G209" si="63">F203*0.2</f>
        <v>1574.8666666666668</v>
      </c>
      <c r="H203" s="63">
        <f t="shared" si="55"/>
        <v>6299.4666666666662</v>
      </c>
      <c r="I203" s="312">
        <f t="shared" si="56"/>
        <v>6299.4666666666662</v>
      </c>
      <c r="J203" s="14" t="str">
        <f t="shared" si="57"/>
        <v>No</v>
      </c>
      <c r="K203" s="63">
        <f t="shared" si="51"/>
        <v>0</v>
      </c>
      <c r="L203" s="130">
        <f>IF('Total income package'!$A$20=TRUE,MIN(IF(K203&gt;9.99,K203,0),$I$2),0)</f>
        <v>0</v>
      </c>
      <c r="M203" s="14" t="str">
        <f t="shared" si="48"/>
        <v>No</v>
      </c>
      <c r="N203" s="14" t="str">
        <f t="shared" si="58"/>
        <v>Yes</v>
      </c>
      <c r="O203" s="312">
        <f t="shared" si="59"/>
        <v>0</v>
      </c>
      <c r="P203" s="63">
        <f t="shared" si="52"/>
        <v>6299.4666666666662</v>
      </c>
      <c r="Q203" s="312" t="str">
        <f t="shared" si="60"/>
        <v>No</v>
      </c>
      <c r="R203" s="312">
        <f t="shared" si="61"/>
        <v>4496.1333333333332</v>
      </c>
      <c r="S203" s="15">
        <f t="shared" si="62"/>
        <v>-4496.1333333333332</v>
      </c>
      <c r="T203" s="189">
        <f>IF(AND('Total income package'!$A$22=TRUE,M203="Yes",S203&gt;9.99),MIN(S203,$I$2),0)</f>
        <v>0</v>
      </c>
    </row>
    <row r="204" spans="1:20" ht="15" customHeight="1" x14ac:dyDescent="0.25">
      <c r="A204" s="117">
        <v>97500</v>
      </c>
      <c r="B204" s="384">
        <f t="shared" si="49"/>
        <v>8125</v>
      </c>
      <c r="C204" s="63">
        <f>'Total income package'!$D$80</f>
        <v>0</v>
      </c>
      <c r="D204" s="63">
        <f t="shared" si="53"/>
        <v>8125</v>
      </c>
      <c r="E204" s="14" t="str">
        <f t="shared" si="54"/>
        <v>No</v>
      </c>
      <c r="F204" s="63">
        <f t="shared" si="50"/>
        <v>7916</v>
      </c>
      <c r="G204" s="63">
        <f t="shared" si="63"/>
        <v>1583.2</v>
      </c>
      <c r="H204" s="63">
        <f t="shared" si="55"/>
        <v>6332.8</v>
      </c>
      <c r="I204" s="312">
        <f t="shared" si="56"/>
        <v>6332.8</v>
      </c>
      <c r="J204" s="14" t="str">
        <f t="shared" si="57"/>
        <v>No</v>
      </c>
      <c r="K204" s="63">
        <f t="shared" si="51"/>
        <v>0</v>
      </c>
      <c r="L204" s="130">
        <f>IF('Total income package'!$A$20=TRUE,MIN(IF(K204&gt;9.99,K204,0),$I$2),0)</f>
        <v>0</v>
      </c>
      <c r="M204" s="14" t="str">
        <f t="shared" si="48"/>
        <v>No</v>
      </c>
      <c r="N204" s="14" t="str">
        <f t="shared" si="58"/>
        <v>Yes</v>
      </c>
      <c r="O204" s="312">
        <f t="shared" si="59"/>
        <v>0</v>
      </c>
      <c r="P204" s="63">
        <f t="shared" si="52"/>
        <v>6332.8</v>
      </c>
      <c r="Q204" s="312" t="str">
        <f t="shared" si="60"/>
        <v>No</v>
      </c>
      <c r="R204" s="312">
        <f t="shared" si="61"/>
        <v>4529.4666666666672</v>
      </c>
      <c r="S204" s="15">
        <f t="shared" si="62"/>
        <v>-4529.4666666666672</v>
      </c>
      <c r="T204" s="189">
        <f>IF(AND('Total income package'!$A$22=TRUE,M204="Yes",S204&gt;9.99),MIN(S204,$I$2),0)</f>
        <v>0</v>
      </c>
    </row>
    <row r="205" spans="1:20" ht="15" customHeight="1" x14ac:dyDescent="0.25">
      <c r="A205" s="117">
        <v>98000</v>
      </c>
      <c r="B205" s="384">
        <f t="shared" si="49"/>
        <v>8166.666666666667</v>
      </c>
      <c r="C205" s="63">
        <f>'Total income package'!$D$80</f>
        <v>0</v>
      </c>
      <c r="D205" s="63">
        <f t="shared" si="53"/>
        <v>8166.666666666667</v>
      </c>
      <c r="E205" s="14" t="str">
        <f t="shared" si="54"/>
        <v>No</v>
      </c>
      <c r="F205" s="63">
        <f t="shared" si="50"/>
        <v>7957.666666666667</v>
      </c>
      <c r="G205" s="63">
        <f t="shared" si="63"/>
        <v>1591.5333333333335</v>
      </c>
      <c r="H205" s="63">
        <f t="shared" si="55"/>
        <v>6366.1333333333332</v>
      </c>
      <c r="I205" s="312">
        <f t="shared" si="56"/>
        <v>6366.1333333333332</v>
      </c>
      <c r="J205" s="14" t="str">
        <f t="shared" si="57"/>
        <v>No</v>
      </c>
      <c r="K205" s="63">
        <f t="shared" si="51"/>
        <v>0</v>
      </c>
      <c r="L205" s="130">
        <f>IF('Total income package'!$A$20=TRUE,MIN(IF(K205&gt;9.99,K205,0),$I$2),0)</f>
        <v>0</v>
      </c>
      <c r="M205" s="14" t="str">
        <f t="shared" si="48"/>
        <v>No</v>
      </c>
      <c r="N205" s="14" t="str">
        <f t="shared" si="58"/>
        <v>Yes</v>
      </c>
      <c r="O205" s="312">
        <f t="shared" si="59"/>
        <v>0</v>
      </c>
      <c r="P205" s="63">
        <f t="shared" si="52"/>
        <v>6366.1333333333332</v>
      </c>
      <c r="Q205" s="312" t="str">
        <f t="shared" si="60"/>
        <v>No</v>
      </c>
      <c r="R205" s="312">
        <f t="shared" si="61"/>
        <v>4562.8</v>
      </c>
      <c r="S205" s="15">
        <f t="shared" si="62"/>
        <v>-4562.8</v>
      </c>
      <c r="T205" s="189">
        <f>IF(AND('Total income package'!$A$22=TRUE,M205="Yes",S205&gt;9.99),MIN(S205,$I$2),0)</f>
        <v>0</v>
      </c>
    </row>
    <row r="206" spans="1:20" ht="15" customHeight="1" x14ac:dyDescent="0.25">
      <c r="A206" s="29">
        <v>98500</v>
      </c>
      <c r="B206" s="384">
        <f t="shared" si="49"/>
        <v>8208.3333333333339</v>
      </c>
      <c r="C206" s="63">
        <f>'Total income package'!$D$80</f>
        <v>0</v>
      </c>
      <c r="D206" s="63">
        <f t="shared" si="53"/>
        <v>8208.3333333333339</v>
      </c>
      <c r="E206" s="14" t="str">
        <f t="shared" si="54"/>
        <v>No</v>
      </c>
      <c r="F206" s="63">
        <f t="shared" si="50"/>
        <v>7999.3333333333339</v>
      </c>
      <c r="G206" s="63">
        <f t="shared" si="63"/>
        <v>1599.8666666666668</v>
      </c>
      <c r="H206" s="63">
        <f t="shared" si="55"/>
        <v>6399.4666666666672</v>
      </c>
      <c r="I206" s="312">
        <f t="shared" si="56"/>
        <v>6399.4666666666672</v>
      </c>
      <c r="J206" s="14" t="str">
        <f t="shared" si="57"/>
        <v>No</v>
      </c>
      <c r="K206" s="63">
        <f t="shared" si="51"/>
        <v>0</v>
      </c>
      <c r="L206" s="130">
        <f>IF('Total income package'!$A$20=TRUE,MIN(IF(K206&gt;9.99,K206,0),$I$2),0)</f>
        <v>0</v>
      </c>
      <c r="M206" s="14" t="str">
        <f t="shared" si="48"/>
        <v>No</v>
      </c>
      <c r="N206" s="14" t="str">
        <f t="shared" si="58"/>
        <v>Yes</v>
      </c>
      <c r="O206" s="312">
        <f t="shared" si="59"/>
        <v>0</v>
      </c>
      <c r="P206" s="63">
        <f t="shared" si="52"/>
        <v>6399.4666666666672</v>
      </c>
      <c r="Q206" s="312" t="str">
        <f t="shared" si="60"/>
        <v>No</v>
      </c>
      <c r="R206" s="312">
        <f t="shared" si="61"/>
        <v>4596.1333333333341</v>
      </c>
      <c r="S206" s="15">
        <f t="shared" si="62"/>
        <v>-4596.1333333333341</v>
      </c>
      <c r="T206" s="189">
        <f>IF(AND('Total income package'!$A$22=TRUE,M206="Yes",S206&gt;9.99),MIN(S206,$I$2),0)</f>
        <v>0</v>
      </c>
    </row>
    <row r="207" spans="1:20" ht="15" customHeight="1" x14ac:dyDescent="0.25">
      <c r="A207" s="117">
        <v>99000</v>
      </c>
      <c r="B207" s="384">
        <f t="shared" si="49"/>
        <v>8250</v>
      </c>
      <c r="C207" s="63">
        <f>'Total income package'!$D$80</f>
        <v>0</v>
      </c>
      <c r="D207" s="63">
        <f t="shared" si="53"/>
        <v>8250</v>
      </c>
      <c r="E207" s="14" t="str">
        <f t="shared" si="54"/>
        <v>No</v>
      </c>
      <c r="F207" s="63">
        <f t="shared" si="50"/>
        <v>8041</v>
      </c>
      <c r="G207" s="63">
        <f t="shared" si="63"/>
        <v>1608.2</v>
      </c>
      <c r="H207" s="63">
        <f t="shared" si="55"/>
        <v>6432.8</v>
      </c>
      <c r="I207" s="312">
        <f t="shared" si="56"/>
        <v>6432.8</v>
      </c>
      <c r="J207" s="14" t="str">
        <f t="shared" si="57"/>
        <v>No</v>
      </c>
      <c r="K207" s="63">
        <f t="shared" si="51"/>
        <v>0</v>
      </c>
      <c r="L207" s="130">
        <f>IF('Total income package'!$A$20=TRUE,MIN(IF(K207&gt;9.99,K207,0),$I$2),0)</f>
        <v>0</v>
      </c>
      <c r="M207" s="14" t="str">
        <f t="shared" si="48"/>
        <v>No</v>
      </c>
      <c r="N207" s="14" t="str">
        <f t="shared" si="58"/>
        <v>Yes</v>
      </c>
      <c r="O207" s="312">
        <f t="shared" si="59"/>
        <v>0</v>
      </c>
      <c r="P207" s="63">
        <f t="shared" si="52"/>
        <v>6432.8</v>
      </c>
      <c r="Q207" s="312" t="str">
        <f t="shared" si="60"/>
        <v>No</v>
      </c>
      <c r="R207" s="312">
        <f t="shared" si="61"/>
        <v>4629.4666666666672</v>
      </c>
      <c r="S207" s="15">
        <f t="shared" si="62"/>
        <v>-4629.4666666666672</v>
      </c>
      <c r="T207" s="189">
        <f>IF(AND('Total income package'!$A$22=TRUE,M207="Yes",S207&gt;9.99),MIN(S207,$I$2),0)</f>
        <v>0</v>
      </c>
    </row>
    <row r="208" spans="1:20" ht="15" customHeight="1" x14ac:dyDescent="0.25">
      <c r="A208" s="117">
        <v>99500</v>
      </c>
      <c r="B208" s="384">
        <f t="shared" si="49"/>
        <v>8291.6666666666661</v>
      </c>
      <c r="C208" s="63">
        <f>'Total income package'!$D$80</f>
        <v>0</v>
      </c>
      <c r="D208" s="63">
        <f t="shared" si="53"/>
        <v>8291.6666666666661</v>
      </c>
      <c r="E208" s="14" t="str">
        <f t="shared" si="54"/>
        <v>No</v>
      </c>
      <c r="F208" s="63">
        <f t="shared" si="50"/>
        <v>8082.6666666666661</v>
      </c>
      <c r="G208" s="63">
        <f t="shared" si="63"/>
        <v>1616.5333333333333</v>
      </c>
      <c r="H208" s="63">
        <f t="shared" si="55"/>
        <v>6466.1333333333332</v>
      </c>
      <c r="I208" s="312">
        <f t="shared" si="56"/>
        <v>6466.1333333333332</v>
      </c>
      <c r="J208" s="14" t="str">
        <f t="shared" si="57"/>
        <v>No</v>
      </c>
      <c r="K208" s="63">
        <f t="shared" si="51"/>
        <v>0</v>
      </c>
      <c r="L208" s="130">
        <f>IF('Total income package'!$A$20=TRUE,MIN(IF(K208&gt;9.99,K208,0),$I$2),0)</f>
        <v>0</v>
      </c>
      <c r="M208" s="14" t="str">
        <f t="shared" si="48"/>
        <v>No</v>
      </c>
      <c r="N208" s="14" t="str">
        <f t="shared" si="58"/>
        <v>Yes</v>
      </c>
      <c r="O208" s="312">
        <f t="shared" si="59"/>
        <v>0</v>
      </c>
      <c r="P208" s="63">
        <f t="shared" si="52"/>
        <v>6466.1333333333332</v>
      </c>
      <c r="Q208" s="312" t="str">
        <f t="shared" si="60"/>
        <v>No</v>
      </c>
      <c r="R208" s="312">
        <f t="shared" si="61"/>
        <v>4662.8</v>
      </c>
      <c r="S208" s="15">
        <f t="shared" si="62"/>
        <v>-4662.8</v>
      </c>
      <c r="T208" s="189">
        <f>IF(AND('Total income package'!$A$22=TRUE,M208="Yes",S208&gt;9.99),MIN(S208,$I$2),0)</f>
        <v>0</v>
      </c>
    </row>
    <row r="209" spans="1:20" ht="15" customHeight="1" x14ac:dyDescent="0.25">
      <c r="A209" s="29">
        <v>100000</v>
      </c>
      <c r="B209" s="384">
        <f t="shared" si="49"/>
        <v>8333.3333333333339</v>
      </c>
      <c r="C209" s="63">
        <f>'Total income package'!$D$80</f>
        <v>0</v>
      </c>
      <c r="D209" s="63">
        <f t="shared" si="53"/>
        <v>8333.3333333333339</v>
      </c>
      <c r="E209" s="14" t="str">
        <f t="shared" si="54"/>
        <v>No</v>
      </c>
      <c r="F209" s="63">
        <f t="shared" si="50"/>
        <v>8124.3333333333339</v>
      </c>
      <c r="G209" s="63">
        <f t="shared" si="63"/>
        <v>1624.8666666666668</v>
      </c>
      <c r="H209" s="63">
        <f t="shared" si="55"/>
        <v>6499.4666666666672</v>
      </c>
      <c r="I209" s="312">
        <f t="shared" si="56"/>
        <v>6499.4666666666672</v>
      </c>
      <c r="J209" s="14" t="str">
        <f t="shared" si="57"/>
        <v>No</v>
      </c>
      <c r="K209" s="63">
        <f t="shared" si="51"/>
        <v>0</v>
      </c>
      <c r="L209" s="130">
        <f>IF('Total income package'!$A$20=TRUE,MIN(IF(K209&gt;9.99,K209,0),$I$2),0)</f>
        <v>0</v>
      </c>
      <c r="M209" s="14" t="str">
        <f t="shared" si="48"/>
        <v>No</v>
      </c>
      <c r="N209" s="14" t="str">
        <f t="shared" si="58"/>
        <v>Yes</v>
      </c>
      <c r="O209" s="312">
        <f t="shared" si="59"/>
        <v>0</v>
      </c>
      <c r="P209" s="63">
        <f t="shared" si="52"/>
        <v>6499.4666666666672</v>
      </c>
      <c r="Q209" s="312" t="str">
        <f t="shared" si="60"/>
        <v>No</v>
      </c>
      <c r="R209" s="312">
        <f t="shared" si="61"/>
        <v>4696.1333333333341</v>
      </c>
      <c r="S209" s="15">
        <f t="shared" si="62"/>
        <v>-4696.1333333333341</v>
      </c>
      <c r="T209" s="189">
        <f>IF(AND('Total income package'!$A$22=TRUE,M209="Yes",S209&gt;9.99),MIN(S209,$I$2),0)</f>
        <v>0</v>
      </c>
    </row>
    <row r="210" spans="1:20" ht="15" customHeight="1" x14ac:dyDescent="0.25">
      <c r="A210" s="29"/>
      <c r="B210" s="384"/>
      <c r="C210" s="63"/>
      <c r="D210" s="63"/>
      <c r="E210" s="14"/>
      <c r="F210" s="63"/>
      <c r="G210" s="63"/>
      <c r="H210" s="63"/>
      <c r="I210" s="312"/>
      <c r="J210" s="14"/>
      <c r="K210" s="63"/>
      <c r="M210" s="14"/>
      <c r="N210" s="14"/>
      <c r="O210" s="312"/>
      <c r="P210" s="63"/>
      <c r="Q210" s="312"/>
      <c r="R210" s="312"/>
      <c r="S210" s="15"/>
      <c r="T210" s="189"/>
    </row>
    <row r="211" spans="1:20" ht="15" customHeight="1" x14ac:dyDescent="0.25">
      <c r="A211" s="116" t="s">
        <v>302</v>
      </c>
      <c r="B211" s="150"/>
      <c r="C211" s="63"/>
      <c r="D211" s="63"/>
      <c r="E211" s="14"/>
      <c r="H211" s="63"/>
      <c r="I211" s="312"/>
      <c r="K211"/>
      <c r="M211" s="14"/>
      <c r="N211" s="14"/>
      <c r="O211" s="12"/>
      <c r="P211"/>
      <c r="T211" s="12"/>
    </row>
    <row r="212" spans="1:20" ht="15" customHeight="1" x14ac:dyDescent="0.25">
      <c r="A212" s="7"/>
      <c r="B212" s="150">
        <f>IF($D$6&gt;0,'Total income package'!$B$90,0)</f>
        <v>1289</v>
      </c>
      <c r="C212" s="63">
        <f>'Total income package'!$D$80</f>
        <v>0</v>
      </c>
      <c r="D212" s="63">
        <f t="shared" ref="D212:D214" si="64">B212+C212</f>
        <v>1289</v>
      </c>
      <c r="E212" s="14" t="str">
        <f t="shared" ref="E212:E214" si="65">IF(D212&lt;=$F$2,"Yes","No")</f>
        <v>No</v>
      </c>
      <c r="F212" s="63">
        <f>IF(B212-$D$2&gt;0,B212-$D$2,0)</f>
        <v>1080</v>
      </c>
      <c r="G212" s="63">
        <f>F212*0.2</f>
        <v>216</v>
      </c>
      <c r="H212" s="63">
        <f t="shared" ref="H212:H214" si="66">F212-G212</f>
        <v>864</v>
      </c>
      <c r="I212" s="312">
        <f t="shared" ref="I212:I214" si="67">C212+H212</f>
        <v>864</v>
      </c>
      <c r="J212" s="14" t="str">
        <f>IF(I212&lt;$G$2,"Yes","No")</f>
        <v>No</v>
      </c>
      <c r="K212" s="63">
        <f>IF(E212="Yes",MIN(IF($G$2-I212&gt;0,$G$2-I212,0),$I$2),0)</f>
        <v>0</v>
      </c>
      <c r="L212" s="130">
        <f>IF('Total income package'!$A$20=TRUE,MIN(IF(K212&gt;9.99,K212,0),$I$2),0)</f>
        <v>0</v>
      </c>
      <c r="M212" s="14" t="str">
        <f t="shared" ref="M212:M214" si="68">IF(D212&lt;$H$2,"Yes","No")</f>
        <v>Yes</v>
      </c>
      <c r="N212" s="14" t="str">
        <f t="shared" ref="N212:N214" si="69">IF(C212&lt;$G$2,"Yes","No")</f>
        <v>Yes</v>
      </c>
      <c r="O212" s="312">
        <f>IF(M212="Yes",MIN($G$2,$I$2),0)</f>
        <v>385</v>
      </c>
      <c r="P212" s="63">
        <f>I212+O212</f>
        <v>1249</v>
      </c>
      <c r="Q212" s="312" t="str">
        <f>IF(P212&lt;$H$2,"Yes","No")</f>
        <v>Yes</v>
      </c>
      <c r="R212" s="312">
        <f>IF(P212&gt;$H$2,P212-$H$2,0)</f>
        <v>0</v>
      </c>
      <c r="S212" s="15">
        <f>IF(P212&gt;$H$2,O212-R212,O212)</f>
        <v>385</v>
      </c>
      <c r="T212" s="189">
        <f>IF(AND('Total income package'!$A$22=TRUE,M212="Yes",S212&gt;9.99),MIN(S212,$I$2),0)</f>
        <v>0</v>
      </c>
    </row>
    <row r="213" spans="1:20" ht="15" customHeight="1" x14ac:dyDescent="0.25">
      <c r="A213" s="116" t="s">
        <v>303</v>
      </c>
      <c r="B213" s="150"/>
      <c r="C213" s="63"/>
      <c r="D213" s="63"/>
      <c r="E213" s="14"/>
      <c r="H213" s="63"/>
      <c r="I213" s="312"/>
      <c r="J213" s="14"/>
      <c r="K213" s="63"/>
      <c r="L213" s="63"/>
      <c r="M213" s="14"/>
      <c r="N213" s="14"/>
      <c r="O213" s="12"/>
      <c r="P213"/>
      <c r="T213" s="12"/>
    </row>
    <row r="214" spans="1:20" ht="15" customHeight="1" x14ac:dyDescent="0.25">
      <c r="A214" s="7"/>
      <c r="B214" s="150">
        <f>IF($D$6&gt;0,'Total income package'!$B$90,0)</f>
        <v>1289</v>
      </c>
      <c r="C214" s="63">
        <f>'Total income package'!$D$80</f>
        <v>0</v>
      </c>
      <c r="D214" s="63">
        <f t="shared" si="64"/>
        <v>1289</v>
      </c>
      <c r="E214" s="14" t="str">
        <f t="shared" si="65"/>
        <v>No</v>
      </c>
      <c r="F214" s="63">
        <f>IF(B214-$D$2&gt;0,B214-$D$2,0)</f>
        <v>1080</v>
      </c>
      <c r="G214" s="63">
        <f>F214*0.2</f>
        <v>216</v>
      </c>
      <c r="H214" s="63">
        <f t="shared" si="66"/>
        <v>864</v>
      </c>
      <c r="I214" s="312">
        <f t="shared" si="67"/>
        <v>864</v>
      </c>
      <c r="J214" s="14" t="str">
        <f>IF(I214&lt;$G$2,"Yes","No")</f>
        <v>No</v>
      </c>
      <c r="K214" s="63">
        <f>IF(E214="Yes",MIN(IF($G$2-I214&gt;0,$G$2-I214,0),$I$2),0)</f>
        <v>0</v>
      </c>
      <c r="L214" s="130">
        <f>IF('Total income package'!$A$20=TRUE,MIN(IF(K214&gt;9.99,K214,0),$I$2),0)</f>
        <v>0</v>
      </c>
      <c r="M214" s="14" t="str">
        <f t="shared" si="68"/>
        <v>Yes</v>
      </c>
      <c r="N214" s="14" t="str">
        <f t="shared" si="69"/>
        <v>Yes</v>
      </c>
      <c r="O214" s="312">
        <f>IF(M214="Yes",MIN($G$2,$I$2),0)</f>
        <v>385</v>
      </c>
      <c r="P214" s="63">
        <f>I214+O214</f>
        <v>1249</v>
      </c>
      <c r="Q214" s="312" t="str">
        <f>IF(P214&lt;$H$2,"Yes","No")</f>
        <v>Yes</v>
      </c>
      <c r="R214" s="312">
        <f>IF(P214&gt;$H$2,P214-$H$2,0)</f>
        <v>0</v>
      </c>
      <c r="S214" s="15">
        <f>IF(P214&gt;$H$2,O214-R214,O214)</f>
        <v>385</v>
      </c>
      <c r="T214" s="189">
        <f>IF(AND('Total income package'!$A$22=TRUE,M214="Yes",S214&gt;9.99),MIN(S214,$I$2),0)</f>
        <v>0</v>
      </c>
    </row>
    <row r="215" spans="1:20" ht="15" customHeight="1" x14ac:dyDescent="0.25">
      <c r="G215" s="14"/>
      <c r="H215" s="14"/>
      <c r="I215" s="63"/>
      <c r="J215" s="63"/>
      <c r="K215" s="14"/>
      <c r="L215" s="312"/>
      <c r="M215" s="63"/>
      <c r="N215" s="63"/>
      <c r="O215" s="312"/>
      <c r="P215" s="312"/>
      <c r="Q215" s="15"/>
      <c r="R215" s="312"/>
    </row>
  </sheetData>
  <mergeCells count="8">
    <mergeCell ref="M7:T7"/>
    <mergeCell ref="A7:L7"/>
    <mergeCell ref="K2:O2"/>
    <mergeCell ref="K1:M1"/>
    <mergeCell ref="G5:H5"/>
    <mergeCell ref="G6:H6"/>
    <mergeCell ref="E5:F5"/>
    <mergeCell ref="E6:F6"/>
  </mergeCells>
  <pageMargins left="0.7" right="0.7" top="0.75" bottom="0.75" header="0.3" footer="0.3"/>
</worksheet>
</file>

<file path=xl/worksheets/sheet1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AA980A0-C2E2-456D-99B4-357B3A432BAF}">
  <sheetPr codeName="Sheet10"/>
  <dimension ref="A1:Q214"/>
  <sheetViews>
    <sheetView workbookViewId="0">
      <pane ySplit="7" topLeftCell="A197" activePane="bottomLeft" state="frozen"/>
      <selection pane="bottomLeft" activeCell="H7" sqref="H7"/>
    </sheetView>
  </sheetViews>
  <sheetFormatPr defaultRowHeight="15" x14ac:dyDescent="0.25"/>
  <cols>
    <col min="1" max="1" width="24.140625" customWidth="1"/>
    <col min="2" max="5" width="21.85546875" customWidth="1"/>
    <col min="6" max="6" width="20.42578125" style="7" customWidth="1"/>
    <col min="7" max="7" width="26.85546875" customWidth="1"/>
    <col min="8" max="8" width="19.7109375" customWidth="1"/>
    <col min="9" max="9" width="15.42578125" customWidth="1"/>
    <col min="10" max="10" width="13.85546875" customWidth="1"/>
    <col min="11" max="11" width="10.28515625" customWidth="1"/>
    <col min="12" max="12" width="10.85546875" customWidth="1"/>
    <col min="15" max="15" width="32.85546875" customWidth="1"/>
  </cols>
  <sheetData>
    <row r="1" spans="1:17" ht="47.25" customHeight="1" x14ac:dyDescent="0.25">
      <c r="A1" s="127" t="s">
        <v>271</v>
      </c>
      <c r="B1" s="127" t="s">
        <v>272</v>
      </c>
      <c r="C1" s="313" t="s">
        <v>273</v>
      </c>
      <c r="D1" s="313" t="s">
        <v>274</v>
      </c>
      <c r="E1" s="313" t="s">
        <v>275</v>
      </c>
      <c r="F1" s="313" t="s">
        <v>276</v>
      </c>
      <c r="G1" s="313" t="s">
        <v>490</v>
      </c>
      <c r="H1" s="313" t="s">
        <v>491</v>
      </c>
      <c r="I1" s="313" t="s">
        <v>492</v>
      </c>
      <c r="J1" s="458" t="s">
        <v>493</v>
      </c>
      <c r="K1" s="458"/>
      <c r="L1" s="458"/>
      <c r="M1" s="458"/>
      <c r="O1" s="347" t="s">
        <v>494</v>
      </c>
    </row>
    <row r="2" spans="1:17" ht="45" x14ac:dyDescent="0.25">
      <c r="A2" s="78" t="str">
        <f>'Total income package'!B3</f>
        <v>Pittsylvania</v>
      </c>
      <c r="B2" s="77">
        <f>'Total income package'!B32</f>
        <v>2</v>
      </c>
      <c r="C2" s="77">
        <f>COUNTIF('Total income package'!$B$48:$B$54,"Infant")</f>
        <v>0</v>
      </c>
      <c r="D2" s="77">
        <f>COUNTIF('Total income package'!$B$48:$B$54,"Toddler")</f>
        <v>0</v>
      </c>
      <c r="E2" s="77">
        <f>COUNTIF('Total income package'!$B$48:$B$54,"Two year old")</f>
        <v>0</v>
      </c>
      <c r="F2" s="77">
        <f>COUNTIF('Total income package'!$B$48:$B$54,"Preschool")</f>
        <v>0</v>
      </c>
      <c r="G2" s="77">
        <f>SUM(C2:F2)</f>
        <v>0</v>
      </c>
      <c r="H2" s="78">
        <f>'Total income package'!H61+'Total income package'!F66+'Total income package'!D80</f>
        <v>100</v>
      </c>
      <c r="I2" s="151">
        <f>VLOOKUP(B2,'Program specific data'!A109:B116,2)</f>
        <v>3261</v>
      </c>
      <c r="J2" s="313" t="s">
        <v>495</v>
      </c>
      <c r="K2" s="313" t="s">
        <v>496</v>
      </c>
      <c r="L2" s="313" t="s">
        <v>497</v>
      </c>
      <c r="M2" s="313" t="s">
        <v>498</v>
      </c>
    </row>
    <row r="6" spans="1:17" x14ac:dyDescent="0.25">
      <c r="E6" t="s">
        <v>499</v>
      </c>
    </row>
    <row r="7" spans="1:17" ht="30" x14ac:dyDescent="0.25">
      <c r="A7" s="18" t="s">
        <v>348</v>
      </c>
      <c r="B7" s="18" t="s">
        <v>349</v>
      </c>
      <c r="C7" s="13" t="s">
        <v>491</v>
      </c>
      <c r="D7" s="13" t="s">
        <v>408</v>
      </c>
      <c r="E7" s="18" t="s">
        <v>500</v>
      </c>
      <c r="F7" s="178" t="s">
        <v>501</v>
      </c>
    </row>
    <row r="8" spans="1:17" x14ac:dyDescent="0.25">
      <c r="A8" s="19">
        <v>0</v>
      </c>
      <c r="B8" s="20">
        <f t="shared" ref="B8:B73" si="0">A8/12</f>
        <v>0</v>
      </c>
      <c r="C8" s="20">
        <f>$H$2</f>
        <v>100</v>
      </c>
      <c r="D8" s="20">
        <f>MAX('TANF-VIEW'!L9,'TANF-VIEW'!T9)</f>
        <v>385</v>
      </c>
      <c r="E8" s="20">
        <f>B8+C8+D8</f>
        <v>485</v>
      </c>
      <c r="F8" s="178">
        <f>IF(AND('Total income package'!$A$24=TRUE,E8&lt;$I$2),'Program specific data'!$B$119*WIC!$G$2,0)</f>
        <v>0</v>
      </c>
    </row>
    <row r="9" spans="1:17" x14ac:dyDescent="0.25">
      <c r="A9" s="19">
        <v>500</v>
      </c>
      <c r="B9" s="20">
        <f t="shared" si="0"/>
        <v>41.666666666666664</v>
      </c>
      <c r="C9" s="20">
        <f>$H$2</f>
        <v>100</v>
      </c>
      <c r="D9" s="20">
        <f>MAX('TANF-VIEW'!L10,'TANF-VIEW'!T10)</f>
        <v>385</v>
      </c>
      <c r="E9" s="20">
        <f t="shared" ref="E9:E72" si="1">B9+C9+D9</f>
        <v>526.66666666666663</v>
      </c>
      <c r="F9" s="178">
        <f>IF(AND('Total income package'!$A$24=TRUE,E9&lt;$I$2),'Program specific data'!$B$119*WIC!$G$2,0)</f>
        <v>0</v>
      </c>
    </row>
    <row r="10" spans="1:17" x14ac:dyDescent="0.25">
      <c r="A10" s="19">
        <v>1000</v>
      </c>
      <c r="B10" s="20">
        <f t="shared" si="0"/>
        <v>83.333333333333329</v>
      </c>
      <c r="C10" s="20">
        <f t="shared" ref="C10:C72" si="2">$H$2</f>
        <v>100</v>
      </c>
      <c r="D10" s="20">
        <f>MAX('TANF-VIEW'!L11,'TANF-VIEW'!T11)</f>
        <v>385</v>
      </c>
      <c r="E10" s="20">
        <f t="shared" si="1"/>
        <v>568.33333333333326</v>
      </c>
      <c r="F10" s="178">
        <f>IF(AND('Total income package'!$A$24=TRUE,E10&lt;$I$2),'Program specific data'!$B$119*WIC!$G$2,0)</f>
        <v>0</v>
      </c>
    </row>
    <row r="11" spans="1:17" x14ac:dyDescent="0.25">
      <c r="A11" s="19">
        <v>1500</v>
      </c>
      <c r="B11" s="20">
        <f t="shared" si="0"/>
        <v>125</v>
      </c>
      <c r="C11" s="20">
        <f t="shared" si="2"/>
        <v>100</v>
      </c>
      <c r="D11" s="20">
        <f>MAX('TANF-VIEW'!L12,'TANF-VIEW'!T12)</f>
        <v>385</v>
      </c>
      <c r="E11" s="20">
        <f t="shared" si="1"/>
        <v>610</v>
      </c>
      <c r="F11" s="178">
        <f>IF(AND('Total income package'!$A$24=TRUE,E11&lt;$I$2),'Program specific data'!$B$119*WIC!$G$2,0)</f>
        <v>0</v>
      </c>
    </row>
    <row r="12" spans="1:17" x14ac:dyDescent="0.25">
      <c r="A12" s="19">
        <v>2000</v>
      </c>
      <c r="B12" s="20">
        <f t="shared" si="0"/>
        <v>166.66666666666666</v>
      </c>
      <c r="C12" s="20">
        <f t="shared" si="2"/>
        <v>100</v>
      </c>
      <c r="D12" s="20">
        <f>MAX('TANF-VIEW'!L13,'TANF-VIEW'!T13)</f>
        <v>385</v>
      </c>
      <c r="E12" s="20">
        <f t="shared" si="1"/>
        <v>651.66666666666663</v>
      </c>
      <c r="F12" s="178">
        <f>IF(AND('Total income package'!$A$24=TRUE,E12&lt;$I$2),'Program specific data'!$B$119*WIC!$G$2,0)</f>
        <v>0</v>
      </c>
      <c r="L12" s="16"/>
      <c r="M12" s="16"/>
      <c r="N12" s="16"/>
      <c r="O12" s="16"/>
      <c r="P12" s="16"/>
      <c r="Q12" s="7"/>
    </row>
    <row r="13" spans="1:17" x14ac:dyDescent="0.25">
      <c r="A13" s="19">
        <v>2500</v>
      </c>
      <c r="B13" s="20">
        <f t="shared" si="0"/>
        <v>208.33333333333334</v>
      </c>
      <c r="C13" s="20">
        <f t="shared" si="2"/>
        <v>100</v>
      </c>
      <c r="D13" s="20">
        <f>MAX('TANF-VIEW'!L14,'TANF-VIEW'!T14)</f>
        <v>385</v>
      </c>
      <c r="E13" s="20">
        <f t="shared" si="1"/>
        <v>693.33333333333337</v>
      </c>
      <c r="F13" s="178">
        <f>IF(AND('Total income package'!$A$24=TRUE,E13&lt;$I$2),'Program specific data'!$B$119*WIC!$G$2,0)</f>
        <v>0</v>
      </c>
      <c r="L13" s="17"/>
      <c r="Q13" s="7"/>
    </row>
    <row r="14" spans="1:17" x14ac:dyDescent="0.25">
      <c r="A14" s="19">
        <v>3000</v>
      </c>
      <c r="B14" s="20">
        <f t="shared" si="0"/>
        <v>250</v>
      </c>
      <c r="C14" s="20">
        <f t="shared" si="2"/>
        <v>100</v>
      </c>
      <c r="D14" s="20">
        <f>MAX('TANF-VIEW'!L15,'TANF-VIEW'!T15)</f>
        <v>352.2</v>
      </c>
      <c r="E14" s="20">
        <f t="shared" si="1"/>
        <v>702.2</v>
      </c>
      <c r="F14" s="178">
        <f>IF(AND('Total income package'!$A$24=TRUE,E14&lt;$I$2),'Program specific data'!$B$119*WIC!$G$2,0)</f>
        <v>0</v>
      </c>
      <c r="M14" s="7"/>
      <c r="Q14" s="7"/>
    </row>
    <row r="15" spans="1:17" x14ac:dyDescent="0.25">
      <c r="A15" s="19">
        <v>3500</v>
      </c>
      <c r="B15" s="20">
        <f t="shared" si="0"/>
        <v>291.66666666666669</v>
      </c>
      <c r="C15" s="20">
        <f t="shared" si="2"/>
        <v>100</v>
      </c>
      <c r="D15" s="20">
        <f>MAX('TANF-VIEW'!L16,'TANF-VIEW'!T16)</f>
        <v>318.86666666666667</v>
      </c>
      <c r="E15" s="20">
        <f t="shared" si="1"/>
        <v>710.5333333333333</v>
      </c>
      <c r="F15" s="178">
        <f>IF(AND('Total income package'!$A$24=TRUE,E15&lt;$I$2),'Program specific data'!$B$119*WIC!$G$2,0)</f>
        <v>0</v>
      </c>
      <c r="N15" s="7"/>
      <c r="O15" s="7"/>
      <c r="Q15" s="7"/>
    </row>
    <row r="16" spans="1:17" x14ac:dyDescent="0.25">
      <c r="A16" s="19">
        <v>4000</v>
      </c>
      <c r="B16" s="20">
        <f t="shared" si="0"/>
        <v>333.33333333333331</v>
      </c>
      <c r="C16" s="20">
        <f t="shared" si="2"/>
        <v>100</v>
      </c>
      <c r="D16" s="20">
        <f>MAX('TANF-VIEW'!L17,'TANF-VIEW'!T17)</f>
        <v>285.53333333333336</v>
      </c>
      <c r="E16" s="20">
        <f t="shared" si="1"/>
        <v>718.86666666666667</v>
      </c>
      <c r="F16" s="178">
        <f>IF(AND('Total income package'!$A$24=TRUE,E16&lt;$I$2),'Program specific data'!$B$119*WIC!$G$2,0)</f>
        <v>0</v>
      </c>
    </row>
    <row r="17" spans="1:6" x14ac:dyDescent="0.25">
      <c r="A17" s="19">
        <v>4500</v>
      </c>
      <c r="B17" s="20">
        <f t="shared" si="0"/>
        <v>375</v>
      </c>
      <c r="C17" s="20">
        <f t="shared" si="2"/>
        <v>100</v>
      </c>
      <c r="D17" s="20">
        <f>MAX('TANF-VIEW'!L18,'TANF-VIEW'!T18)</f>
        <v>252.2</v>
      </c>
      <c r="E17" s="20">
        <f t="shared" si="1"/>
        <v>727.2</v>
      </c>
      <c r="F17" s="178">
        <f>IF(AND('Total income package'!$A$24=TRUE,E17&lt;$I$2),'Program specific data'!$B$119*WIC!$G$2,0)</f>
        <v>0</v>
      </c>
    </row>
    <row r="18" spans="1:6" x14ac:dyDescent="0.25">
      <c r="A18" s="19">
        <v>5000</v>
      </c>
      <c r="B18" s="20">
        <f t="shared" si="0"/>
        <v>416.66666666666669</v>
      </c>
      <c r="C18" s="20">
        <f t="shared" si="2"/>
        <v>100</v>
      </c>
      <c r="D18" s="20">
        <f>MAX('TANF-VIEW'!L19,'TANF-VIEW'!T19)</f>
        <v>218.86666666666665</v>
      </c>
      <c r="E18" s="20">
        <f t="shared" si="1"/>
        <v>735.53333333333342</v>
      </c>
      <c r="F18" s="178">
        <f>IF(AND('Total income package'!$A$24=TRUE,E18&lt;$I$2),'Program specific data'!$B$119*WIC!$G$2,0)</f>
        <v>0</v>
      </c>
    </row>
    <row r="19" spans="1:6" x14ac:dyDescent="0.25">
      <c r="A19" s="19">
        <v>5500</v>
      </c>
      <c r="B19" s="20">
        <f t="shared" si="0"/>
        <v>458.33333333333331</v>
      </c>
      <c r="C19" s="20">
        <f t="shared" si="2"/>
        <v>100</v>
      </c>
      <c r="D19" s="20">
        <f>MAX('TANF-VIEW'!L20,'TANF-VIEW'!T20)</f>
        <v>185.53333333333336</v>
      </c>
      <c r="E19" s="20">
        <f t="shared" si="1"/>
        <v>743.86666666666656</v>
      </c>
      <c r="F19" s="178">
        <f>IF(AND('Total income package'!$A$24=TRUE,E19&lt;$I$2),'Program specific data'!$B$119*WIC!$G$2,0)</f>
        <v>0</v>
      </c>
    </row>
    <row r="20" spans="1:6" x14ac:dyDescent="0.25">
      <c r="A20" s="19">
        <v>6000</v>
      </c>
      <c r="B20" s="20">
        <f t="shared" si="0"/>
        <v>500</v>
      </c>
      <c r="C20" s="20">
        <f t="shared" si="2"/>
        <v>100</v>
      </c>
      <c r="D20" s="20">
        <f>MAX('TANF-VIEW'!L21,'TANF-VIEW'!T21)</f>
        <v>152.19999999999999</v>
      </c>
      <c r="E20" s="20">
        <f t="shared" si="1"/>
        <v>752.2</v>
      </c>
      <c r="F20" s="178">
        <f>IF(AND('Total income package'!$A$24=TRUE,E20&lt;$I$2),'Program specific data'!$B$119*WIC!$G$2,0)</f>
        <v>0</v>
      </c>
    </row>
    <row r="21" spans="1:6" x14ac:dyDescent="0.25">
      <c r="A21" s="19">
        <v>6500</v>
      </c>
      <c r="B21" s="20">
        <f t="shared" si="0"/>
        <v>541.66666666666663</v>
      </c>
      <c r="C21" s="20">
        <f t="shared" si="2"/>
        <v>100</v>
      </c>
      <c r="D21" s="20">
        <f>MAX('TANF-VIEW'!L22,'TANF-VIEW'!T22)</f>
        <v>118.86666666666667</v>
      </c>
      <c r="E21" s="20">
        <f t="shared" si="1"/>
        <v>760.5333333333333</v>
      </c>
      <c r="F21" s="178">
        <f>IF(AND('Total income package'!$A$24=TRUE,E21&lt;$I$2),'Program specific data'!$B$119*WIC!$G$2,0)</f>
        <v>0</v>
      </c>
    </row>
    <row r="22" spans="1:6" x14ac:dyDescent="0.25">
      <c r="A22" s="19">
        <v>7000</v>
      </c>
      <c r="B22" s="20">
        <f t="shared" si="0"/>
        <v>583.33333333333337</v>
      </c>
      <c r="C22" s="20">
        <f t="shared" si="2"/>
        <v>100</v>
      </c>
      <c r="D22" s="20">
        <f>MAX('TANF-VIEW'!L23,'TANF-VIEW'!T23)</f>
        <v>85.533333333333303</v>
      </c>
      <c r="E22" s="20">
        <f t="shared" si="1"/>
        <v>768.86666666666667</v>
      </c>
      <c r="F22" s="178">
        <f>IF(AND('Total income package'!$A$24=TRUE,E22&lt;$I$2),'Program specific data'!$B$119*WIC!$G$2,0)</f>
        <v>0</v>
      </c>
    </row>
    <row r="23" spans="1:6" x14ac:dyDescent="0.25">
      <c r="A23" s="19">
        <v>7500</v>
      </c>
      <c r="B23" s="20">
        <f t="shared" si="0"/>
        <v>625</v>
      </c>
      <c r="C23" s="20">
        <f t="shared" si="2"/>
        <v>100</v>
      </c>
      <c r="D23" s="20">
        <f>MAX('TANF-VIEW'!L24,'TANF-VIEW'!T24)</f>
        <v>52.199999999999989</v>
      </c>
      <c r="E23" s="20">
        <f t="shared" si="1"/>
        <v>777.2</v>
      </c>
      <c r="F23" s="178">
        <f>IF(AND('Total income package'!$A$24=TRUE,E23&lt;$I$2),'Program specific data'!$B$119*WIC!$G$2,0)</f>
        <v>0</v>
      </c>
    </row>
    <row r="24" spans="1:6" x14ac:dyDescent="0.25">
      <c r="A24" s="19">
        <v>8000</v>
      </c>
      <c r="B24" s="20">
        <f t="shared" si="0"/>
        <v>666.66666666666663</v>
      </c>
      <c r="C24" s="20">
        <f t="shared" si="2"/>
        <v>100</v>
      </c>
      <c r="D24" s="20">
        <f>MAX('TANF-VIEW'!L25,'TANF-VIEW'!T25)</f>
        <v>18.866666666666674</v>
      </c>
      <c r="E24" s="20">
        <f t="shared" si="1"/>
        <v>785.5333333333333</v>
      </c>
      <c r="F24" s="178">
        <f>IF(AND('Total income package'!$A$24=TRUE,E24&lt;$I$2),'Program specific data'!$B$119*WIC!$G$2,0)</f>
        <v>0</v>
      </c>
    </row>
    <row r="25" spans="1:6" x14ac:dyDescent="0.25">
      <c r="A25" s="19">
        <v>8500</v>
      </c>
      <c r="B25" s="20">
        <f t="shared" si="0"/>
        <v>708.33333333333337</v>
      </c>
      <c r="C25" s="20">
        <f t="shared" si="2"/>
        <v>100</v>
      </c>
      <c r="D25" s="20">
        <f>MAX('TANF-VIEW'!L26,'TANF-VIEW'!T26)</f>
        <v>0</v>
      </c>
      <c r="E25" s="20">
        <f t="shared" si="1"/>
        <v>808.33333333333337</v>
      </c>
      <c r="F25" s="178">
        <f>IF(AND('Total income package'!$A$24=TRUE,E25&lt;$I$2),'Program specific data'!$B$119*WIC!$G$2,0)</f>
        <v>0</v>
      </c>
    </row>
    <row r="26" spans="1:6" x14ac:dyDescent="0.25">
      <c r="A26" s="19">
        <v>9000</v>
      </c>
      <c r="B26" s="20">
        <f t="shared" si="0"/>
        <v>750</v>
      </c>
      <c r="C26" s="20">
        <f t="shared" si="2"/>
        <v>100</v>
      </c>
      <c r="D26" s="20">
        <f>MAX('TANF-VIEW'!L27,'TANF-VIEW'!T27)</f>
        <v>0</v>
      </c>
      <c r="E26" s="20">
        <f t="shared" si="1"/>
        <v>850</v>
      </c>
      <c r="F26" s="178">
        <f>IF(AND('Total income package'!$A$24=TRUE,E26&lt;$I$2),'Program specific data'!$B$119*WIC!$G$2,0)</f>
        <v>0</v>
      </c>
    </row>
    <row r="27" spans="1:6" x14ac:dyDescent="0.25">
      <c r="A27" s="19">
        <v>9500</v>
      </c>
      <c r="B27" s="20">
        <f t="shared" si="0"/>
        <v>791.66666666666663</v>
      </c>
      <c r="C27" s="20">
        <f t="shared" si="2"/>
        <v>100</v>
      </c>
      <c r="D27" s="20">
        <f>MAX('TANF-VIEW'!L28,'TANF-VIEW'!T28)</f>
        <v>0</v>
      </c>
      <c r="E27" s="20">
        <f t="shared" si="1"/>
        <v>891.66666666666663</v>
      </c>
      <c r="F27" s="178">
        <f>IF(AND('Total income package'!$A$24=TRUE,E27&lt;$I$2),'Program specific data'!$B$119*WIC!$G$2,0)</f>
        <v>0</v>
      </c>
    </row>
    <row r="28" spans="1:6" x14ac:dyDescent="0.25">
      <c r="A28" s="19">
        <v>10000</v>
      </c>
      <c r="B28" s="20">
        <f t="shared" si="0"/>
        <v>833.33333333333337</v>
      </c>
      <c r="C28" s="20">
        <f t="shared" si="2"/>
        <v>100</v>
      </c>
      <c r="D28" s="20">
        <f>MAX('TANF-VIEW'!L29,'TANF-VIEW'!T29)</f>
        <v>0</v>
      </c>
      <c r="E28" s="20">
        <f t="shared" si="1"/>
        <v>933.33333333333337</v>
      </c>
      <c r="F28" s="178">
        <f>IF(AND('Total income package'!$A$24=TRUE,E28&lt;$I$2),'Program specific data'!$B$119*WIC!$G$2,0)</f>
        <v>0</v>
      </c>
    </row>
    <row r="29" spans="1:6" x14ac:dyDescent="0.25">
      <c r="A29" s="19">
        <v>10500</v>
      </c>
      <c r="B29" s="20">
        <f t="shared" si="0"/>
        <v>875</v>
      </c>
      <c r="C29" s="20">
        <f t="shared" si="2"/>
        <v>100</v>
      </c>
      <c r="D29" s="20">
        <f>MAX('TANF-VIEW'!L30,'TANF-VIEW'!T30)</f>
        <v>0</v>
      </c>
      <c r="E29" s="20">
        <f t="shared" si="1"/>
        <v>975</v>
      </c>
      <c r="F29" s="178">
        <f>IF(AND('Total income package'!$A$24=TRUE,E29&lt;$I$2),'Program specific data'!$B$119*WIC!$G$2,0)</f>
        <v>0</v>
      </c>
    </row>
    <row r="30" spans="1:6" x14ac:dyDescent="0.25">
      <c r="A30" s="19">
        <v>11000</v>
      </c>
      <c r="B30" s="20">
        <f t="shared" si="0"/>
        <v>916.66666666666663</v>
      </c>
      <c r="C30" s="20">
        <f t="shared" si="2"/>
        <v>100</v>
      </c>
      <c r="D30" s="20">
        <f>MAX('TANF-VIEW'!L31,'TANF-VIEW'!T31)</f>
        <v>0</v>
      </c>
      <c r="E30" s="20">
        <f t="shared" si="1"/>
        <v>1016.6666666666666</v>
      </c>
      <c r="F30" s="178">
        <f>IF(AND('Total income package'!$A$24=TRUE,E30&lt;$I$2),'Program specific data'!$B$119*WIC!$G$2,0)</f>
        <v>0</v>
      </c>
    </row>
    <row r="31" spans="1:6" x14ac:dyDescent="0.25">
      <c r="A31" s="19">
        <v>11500</v>
      </c>
      <c r="B31" s="20">
        <f t="shared" si="0"/>
        <v>958.33333333333337</v>
      </c>
      <c r="C31" s="20">
        <f t="shared" si="2"/>
        <v>100</v>
      </c>
      <c r="D31" s="20">
        <f>MAX('TANF-VIEW'!L32,'TANF-VIEW'!T32)</f>
        <v>0</v>
      </c>
      <c r="E31" s="20">
        <f t="shared" si="1"/>
        <v>1058.3333333333335</v>
      </c>
      <c r="F31" s="178">
        <f>IF(AND('Total income package'!$A$24=TRUE,E31&lt;$I$2),'Program specific data'!$B$119*WIC!$G$2,0)</f>
        <v>0</v>
      </c>
    </row>
    <row r="32" spans="1:6" x14ac:dyDescent="0.25">
      <c r="A32" s="19">
        <v>12000</v>
      </c>
      <c r="B32" s="20">
        <f t="shared" si="0"/>
        <v>1000</v>
      </c>
      <c r="C32" s="20">
        <f t="shared" si="2"/>
        <v>100</v>
      </c>
      <c r="D32" s="20">
        <f>MAX('TANF-VIEW'!L33,'TANF-VIEW'!T33)</f>
        <v>0</v>
      </c>
      <c r="E32" s="20">
        <f t="shared" si="1"/>
        <v>1100</v>
      </c>
      <c r="F32" s="178">
        <f>IF(AND('Total income package'!$A$24=TRUE,E32&lt;$I$2),'Program specific data'!$B$119*WIC!$G$2,0)</f>
        <v>0</v>
      </c>
    </row>
    <row r="33" spans="1:6" x14ac:dyDescent="0.25">
      <c r="A33" s="19">
        <v>12500</v>
      </c>
      <c r="B33" s="20">
        <f t="shared" si="0"/>
        <v>1041.6666666666667</v>
      </c>
      <c r="C33" s="20">
        <f t="shared" si="2"/>
        <v>100</v>
      </c>
      <c r="D33" s="20">
        <f>MAX('TANF-VIEW'!L34,'TANF-VIEW'!T34)</f>
        <v>0</v>
      </c>
      <c r="E33" s="20">
        <f t="shared" si="1"/>
        <v>1141.6666666666667</v>
      </c>
      <c r="F33" s="178">
        <f>IF(AND('Total income package'!$A$24=TRUE,E33&lt;$I$2),'Program specific data'!$B$119*WIC!$G$2,0)</f>
        <v>0</v>
      </c>
    </row>
    <row r="34" spans="1:6" x14ac:dyDescent="0.25">
      <c r="A34" s="19">
        <v>13000</v>
      </c>
      <c r="B34" s="20">
        <f t="shared" si="0"/>
        <v>1083.3333333333333</v>
      </c>
      <c r="C34" s="20">
        <f t="shared" si="2"/>
        <v>100</v>
      </c>
      <c r="D34" s="20">
        <f>MAX('TANF-VIEW'!L35,'TANF-VIEW'!T35)</f>
        <v>0</v>
      </c>
      <c r="E34" s="20">
        <f t="shared" si="1"/>
        <v>1183.3333333333333</v>
      </c>
      <c r="F34" s="178">
        <f>IF(AND('Total income package'!$A$24=TRUE,E34&lt;$I$2),'Program specific data'!$B$119*WIC!$G$2,0)</f>
        <v>0</v>
      </c>
    </row>
    <row r="35" spans="1:6" x14ac:dyDescent="0.25">
      <c r="A35" s="19">
        <v>13500</v>
      </c>
      <c r="B35" s="20">
        <f t="shared" si="0"/>
        <v>1125</v>
      </c>
      <c r="C35" s="20">
        <f t="shared" si="2"/>
        <v>100</v>
      </c>
      <c r="D35" s="20">
        <f>MAX('TANF-VIEW'!L36,'TANF-VIEW'!T36)</f>
        <v>0</v>
      </c>
      <c r="E35" s="20">
        <f t="shared" si="1"/>
        <v>1225</v>
      </c>
      <c r="F35" s="178">
        <f>IF(AND('Total income package'!$A$24=TRUE,E35&lt;$I$2),'Program specific data'!$B$119*WIC!$G$2,0)</f>
        <v>0</v>
      </c>
    </row>
    <row r="36" spans="1:6" x14ac:dyDescent="0.25">
      <c r="A36" s="19">
        <v>14000</v>
      </c>
      <c r="B36" s="20">
        <f t="shared" si="0"/>
        <v>1166.6666666666667</v>
      </c>
      <c r="C36" s="20">
        <f t="shared" si="2"/>
        <v>100</v>
      </c>
      <c r="D36" s="20">
        <f>MAX('TANF-VIEW'!L37,'TANF-VIEW'!T37)</f>
        <v>0</v>
      </c>
      <c r="E36" s="20">
        <f t="shared" si="1"/>
        <v>1266.6666666666667</v>
      </c>
      <c r="F36" s="178">
        <f>IF(AND('Total income package'!$A$24=TRUE,E36&lt;$I$2),'Program specific data'!$B$119*WIC!$G$2,0)</f>
        <v>0</v>
      </c>
    </row>
    <row r="37" spans="1:6" x14ac:dyDescent="0.25">
      <c r="A37" s="19">
        <v>14500</v>
      </c>
      <c r="B37" s="20">
        <f t="shared" si="0"/>
        <v>1208.3333333333333</v>
      </c>
      <c r="C37" s="20">
        <f t="shared" si="2"/>
        <v>100</v>
      </c>
      <c r="D37" s="20">
        <f>MAX('TANF-VIEW'!L38,'TANF-VIEW'!T38)</f>
        <v>0</v>
      </c>
      <c r="E37" s="20">
        <f t="shared" si="1"/>
        <v>1308.3333333333333</v>
      </c>
      <c r="F37" s="178">
        <f>IF(AND('Total income package'!$A$24=TRUE,E37&lt;$I$2),'Program specific data'!$B$119*WIC!$G$2,0)</f>
        <v>0</v>
      </c>
    </row>
    <row r="38" spans="1:6" x14ac:dyDescent="0.25">
      <c r="A38" s="19">
        <v>15000</v>
      </c>
      <c r="B38" s="20">
        <f t="shared" si="0"/>
        <v>1250</v>
      </c>
      <c r="C38" s="20">
        <f t="shared" si="2"/>
        <v>100</v>
      </c>
      <c r="D38" s="20">
        <f>MAX('TANF-VIEW'!L39,'TANF-VIEW'!T39)</f>
        <v>0</v>
      </c>
      <c r="E38" s="20">
        <f t="shared" si="1"/>
        <v>1350</v>
      </c>
      <c r="F38" s="178">
        <f>IF(AND('Total income package'!$A$24=TRUE,E38&lt;$I$2),'Program specific data'!$B$119*WIC!$G$2,0)</f>
        <v>0</v>
      </c>
    </row>
    <row r="39" spans="1:6" x14ac:dyDescent="0.25">
      <c r="A39" s="19">
        <v>15500</v>
      </c>
      <c r="B39" s="20">
        <f t="shared" si="0"/>
        <v>1291.6666666666667</v>
      </c>
      <c r="C39" s="20">
        <f t="shared" si="2"/>
        <v>100</v>
      </c>
      <c r="D39" s="20">
        <f>MAX('TANF-VIEW'!L40,'TANF-VIEW'!T40)</f>
        <v>0</v>
      </c>
      <c r="E39" s="20">
        <f t="shared" si="1"/>
        <v>1391.6666666666667</v>
      </c>
      <c r="F39" s="178">
        <f>IF(AND('Total income package'!$A$24=TRUE,E39&lt;$I$2),'Program specific data'!$B$119*WIC!$G$2,0)</f>
        <v>0</v>
      </c>
    </row>
    <row r="40" spans="1:6" x14ac:dyDescent="0.25">
      <c r="A40" s="19">
        <v>16000</v>
      </c>
      <c r="B40" s="20">
        <f t="shared" si="0"/>
        <v>1333.3333333333333</v>
      </c>
      <c r="C40" s="20">
        <f t="shared" si="2"/>
        <v>100</v>
      </c>
      <c r="D40" s="20">
        <f>MAX('TANF-VIEW'!L41,'TANF-VIEW'!T41)</f>
        <v>0</v>
      </c>
      <c r="E40" s="20">
        <f t="shared" si="1"/>
        <v>1433.3333333333333</v>
      </c>
      <c r="F40" s="178">
        <f>IF(AND('Total income package'!$A$24=TRUE,E40&lt;$I$2),'Program specific data'!$B$119*WIC!$G$2,0)</f>
        <v>0</v>
      </c>
    </row>
    <row r="41" spans="1:6" x14ac:dyDescent="0.25">
      <c r="A41" s="19">
        <v>16500</v>
      </c>
      <c r="B41" s="20">
        <f t="shared" si="0"/>
        <v>1375</v>
      </c>
      <c r="C41" s="20">
        <f t="shared" si="2"/>
        <v>100</v>
      </c>
      <c r="D41" s="20">
        <f>MAX('TANF-VIEW'!L42,'TANF-VIEW'!T42)</f>
        <v>0</v>
      </c>
      <c r="E41" s="20">
        <f t="shared" si="1"/>
        <v>1475</v>
      </c>
      <c r="F41" s="178">
        <f>IF(AND('Total income package'!$A$24=TRUE,E41&lt;$I$2),'Program specific data'!$B$119*WIC!$G$2,0)</f>
        <v>0</v>
      </c>
    </row>
    <row r="42" spans="1:6" x14ac:dyDescent="0.25">
      <c r="A42" s="19">
        <v>17000</v>
      </c>
      <c r="B42" s="20">
        <f t="shared" si="0"/>
        <v>1416.6666666666667</v>
      </c>
      <c r="C42" s="20">
        <f t="shared" si="2"/>
        <v>100</v>
      </c>
      <c r="D42" s="20">
        <f>MAX('TANF-VIEW'!L43,'TANF-VIEW'!T43)</f>
        <v>0</v>
      </c>
      <c r="E42" s="20">
        <f t="shared" si="1"/>
        <v>1516.6666666666667</v>
      </c>
      <c r="F42" s="178">
        <f>IF(AND('Total income package'!$A$24=TRUE,E42&lt;$I$2),'Program specific data'!$B$119*WIC!$G$2,0)</f>
        <v>0</v>
      </c>
    </row>
    <row r="43" spans="1:6" x14ac:dyDescent="0.25">
      <c r="A43" s="19">
        <v>17500</v>
      </c>
      <c r="B43" s="20">
        <f t="shared" si="0"/>
        <v>1458.3333333333333</v>
      </c>
      <c r="C43" s="20">
        <f t="shared" si="2"/>
        <v>100</v>
      </c>
      <c r="D43" s="20">
        <f>MAX('TANF-VIEW'!L44,'TANF-VIEW'!T44)</f>
        <v>0</v>
      </c>
      <c r="E43" s="20">
        <f t="shared" si="1"/>
        <v>1558.3333333333333</v>
      </c>
      <c r="F43" s="178">
        <f>IF(AND('Total income package'!$A$24=TRUE,E43&lt;$I$2),'Program specific data'!$B$119*WIC!$G$2,0)</f>
        <v>0</v>
      </c>
    </row>
    <row r="44" spans="1:6" x14ac:dyDescent="0.25">
      <c r="A44" s="19">
        <v>18000</v>
      </c>
      <c r="B44" s="20">
        <f t="shared" si="0"/>
        <v>1500</v>
      </c>
      <c r="C44" s="20">
        <f t="shared" si="2"/>
        <v>100</v>
      </c>
      <c r="D44" s="20">
        <f>MAX('TANF-VIEW'!L45,'TANF-VIEW'!T45)</f>
        <v>0</v>
      </c>
      <c r="E44" s="20">
        <f t="shared" si="1"/>
        <v>1600</v>
      </c>
      <c r="F44" s="178">
        <f>IF(AND('Total income package'!$A$24=TRUE,E44&lt;$I$2),'Program specific data'!$B$119*WIC!$G$2,0)</f>
        <v>0</v>
      </c>
    </row>
    <row r="45" spans="1:6" x14ac:dyDescent="0.25">
      <c r="A45" s="19">
        <v>18500</v>
      </c>
      <c r="B45" s="20">
        <f t="shared" si="0"/>
        <v>1541.6666666666667</v>
      </c>
      <c r="C45" s="20">
        <f t="shared" si="2"/>
        <v>100</v>
      </c>
      <c r="D45" s="20">
        <f>MAX('TANF-VIEW'!L46,'TANF-VIEW'!T46)</f>
        <v>0</v>
      </c>
      <c r="E45" s="20">
        <f t="shared" si="1"/>
        <v>1641.6666666666667</v>
      </c>
      <c r="F45" s="178">
        <f>IF(AND('Total income package'!$A$24=TRUE,E45&lt;$I$2),'Program specific data'!$B$119*WIC!$G$2,0)</f>
        <v>0</v>
      </c>
    </row>
    <row r="46" spans="1:6" x14ac:dyDescent="0.25">
      <c r="A46" s="19">
        <v>19000</v>
      </c>
      <c r="B46" s="20">
        <f t="shared" si="0"/>
        <v>1583.3333333333333</v>
      </c>
      <c r="C46" s="20">
        <f t="shared" si="2"/>
        <v>100</v>
      </c>
      <c r="D46" s="20">
        <f>MAX('TANF-VIEW'!L47,'TANF-VIEW'!T47)</f>
        <v>0</v>
      </c>
      <c r="E46" s="20">
        <f t="shared" si="1"/>
        <v>1683.3333333333333</v>
      </c>
      <c r="F46" s="178">
        <f>IF(AND('Total income package'!$A$24=TRUE,E46&lt;$I$2),'Program specific data'!$B$119*WIC!$G$2,0)</f>
        <v>0</v>
      </c>
    </row>
    <row r="47" spans="1:6" x14ac:dyDescent="0.25">
      <c r="A47" s="19">
        <v>19500</v>
      </c>
      <c r="B47" s="20">
        <f t="shared" si="0"/>
        <v>1625</v>
      </c>
      <c r="C47" s="20">
        <f t="shared" si="2"/>
        <v>100</v>
      </c>
      <c r="D47" s="20">
        <f>MAX('TANF-VIEW'!L48,'TANF-VIEW'!T48)</f>
        <v>0</v>
      </c>
      <c r="E47" s="20">
        <f t="shared" si="1"/>
        <v>1725</v>
      </c>
      <c r="F47" s="178">
        <f>IF(AND('Total income package'!$A$24=TRUE,E47&lt;$I$2),'Program specific data'!$B$119*WIC!$G$2,0)</f>
        <v>0</v>
      </c>
    </row>
    <row r="48" spans="1:6" x14ac:dyDescent="0.25">
      <c r="A48" s="19">
        <v>20000</v>
      </c>
      <c r="B48" s="20">
        <f t="shared" si="0"/>
        <v>1666.6666666666667</v>
      </c>
      <c r="C48" s="20">
        <f t="shared" si="2"/>
        <v>100</v>
      </c>
      <c r="D48" s="20">
        <f>MAX('TANF-VIEW'!L49,'TANF-VIEW'!T49)</f>
        <v>0</v>
      </c>
      <c r="E48" s="20">
        <f t="shared" si="1"/>
        <v>1766.6666666666667</v>
      </c>
      <c r="F48" s="178">
        <f>IF(AND('Total income package'!$A$24=TRUE,E48&lt;$I$2),'Program specific data'!$B$119*WIC!$G$2,0)</f>
        <v>0</v>
      </c>
    </row>
    <row r="49" spans="1:6" x14ac:dyDescent="0.25">
      <c r="A49" s="19">
        <v>20500</v>
      </c>
      <c r="B49" s="20">
        <f t="shared" si="0"/>
        <v>1708.3333333333333</v>
      </c>
      <c r="C49" s="20">
        <f t="shared" si="2"/>
        <v>100</v>
      </c>
      <c r="D49" s="20">
        <f>MAX('TANF-VIEW'!L50,'TANF-VIEW'!T50)</f>
        <v>0</v>
      </c>
      <c r="E49" s="20">
        <f t="shared" si="1"/>
        <v>1808.3333333333333</v>
      </c>
      <c r="F49" s="178">
        <f>IF(AND('Total income package'!$A$24=TRUE,E49&lt;$I$2),'Program specific data'!$B$119*WIC!$G$2,0)</f>
        <v>0</v>
      </c>
    </row>
    <row r="50" spans="1:6" x14ac:dyDescent="0.25">
      <c r="A50" s="19">
        <v>21000</v>
      </c>
      <c r="B50" s="20">
        <f t="shared" si="0"/>
        <v>1750</v>
      </c>
      <c r="C50" s="20">
        <f t="shared" si="2"/>
        <v>100</v>
      </c>
      <c r="D50" s="20">
        <f>MAX('TANF-VIEW'!L51,'TANF-VIEW'!T51)</f>
        <v>0</v>
      </c>
      <c r="E50" s="20">
        <f t="shared" si="1"/>
        <v>1850</v>
      </c>
      <c r="F50" s="178">
        <f>IF(AND('Total income package'!$A$24=TRUE,E50&lt;$I$2),'Program specific data'!$B$119*WIC!$G$2,0)</f>
        <v>0</v>
      </c>
    </row>
    <row r="51" spans="1:6" x14ac:dyDescent="0.25">
      <c r="A51" s="19">
        <v>21500</v>
      </c>
      <c r="B51" s="20">
        <f t="shared" si="0"/>
        <v>1791.6666666666667</v>
      </c>
      <c r="C51" s="20">
        <f t="shared" si="2"/>
        <v>100</v>
      </c>
      <c r="D51" s="20">
        <f>MAX('TANF-VIEW'!L52,'TANF-VIEW'!T52)</f>
        <v>0</v>
      </c>
      <c r="E51" s="20">
        <f t="shared" si="1"/>
        <v>1891.6666666666667</v>
      </c>
      <c r="F51" s="178">
        <f>IF(AND('Total income package'!$A$24=TRUE,E51&lt;$I$2),'Program specific data'!$B$119*WIC!$G$2,0)</f>
        <v>0</v>
      </c>
    </row>
    <row r="52" spans="1:6" x14ac:dyDescent="0.25">
      <c r="A52" s="19">
        <v>22000</v>
      </c>
      <c r="B52" s="20">
        <f t="shared" si="0"/>
        <v>1833.3333333333333</v>
      </c>
      <c r="C52" s="20">
        <f t="shared" si="2"/>
        <v>100</v>
      </c>
      <c r="D52" s="20">
        <f>MAX('TANF-VIEW'!L53,'TANF-VIEW'!T53)</f>
        <v>0</v>
      </c>
      <c r="E52" s="20">
        <f t="shared" si="1"/>
        <v>1933.3333333333333</v>
      </c>
      <c r="F52" s="178">
        <f>IF(AND('Total income package'!$A$24=TRUE,E52&lt;$I$2),'Program specific data'!$B$119*WIC!$G$2,0)</f>
        <v>0</v>
      </c>
    </row>
    <row r="53" spans="1:6" x14ac:dyDescent="0.25">
      <c r="A53" s="19">
        <v>22500</v>
      </c>
      <c r="B53" s="20">
        <f t="shared" si="0"/>
        <v>1875</v>
      </c>
      <c r="C53" s="20">
        <f t="shared" si="2"/>
        <v>100</v>
      </c>
      <c r="D53" s="20">
        <f>MAX('TANF-VIEW'!L54,'TANF-VIEW'!T54)</f>
        <v>0</v>
      </c>
      <c r="E53" s="20">
        <f t="shared" si="1"/>
        <v>1975</v>
      </c>
      <c r="F53" s="178">
        <f>IF(AND('Total income package'!$A$24=TRUE,E53&lt;$I$2),'Program specific data'!$B$119*WIC!$G$2,0)</f>
        <v>0</v>
      </c>
    </row>
    <row r="54" spans="1:6" x14ac:dyDescent="0.25">
      <c r="A54" s="19">
        <v>23000</v>
      </c>
      <c r="B54" s="20">
        <f t="shared" si="0"/>
        <v>1916.6666666666667</v>
      </c>
      <c r="C54" s="20">
        <f t="shared" si="2"/>
        <v>100</v>
      </c>
      <c r="D54" s="20">
        <f>MAX('TANF-VIEW'!L55,'TANF-VIEW'!T55)</f>
        <v>0</v>
      </c>
      <c r="E54" s="20">
        <f t="shared" si="1"/>
        <v>2016.6666666666667</v>
      </c>
      <c r="F54" s="178">
        <f>IF(AND('Total income package'!$A$24=TRUE,E54&lt;$I$2),'Program specific data'!$B$119*WIC!$G$2,0)</f>
        <v>0</v>
      </c>
    </row>
    <row r="55" spans="1:6" x14ac:dyDescent="0.25">
      <c r="A55" s="19">
        <v>23500</v>
      </c>
      <c r="B55" s="20">
        <f t="shared" si="0"/>
        <v>1958.3333333333333</v>
      </c>
      <c r="C55" s="20">
        <f t="shared" si="2"/>
        <v>100</v>
      </c>
      <c r="D55" s="20">
        <f>MAX('TANF-VIEW'!L56,'TANF-VIEW'!T56)</f>
        <v>0</v>
      </c>
      <c r="E55" s="20">
        <f t="shared" si="1"/>
        <v>2058.333333333333</v>
      </c>
      <c r="F55" s="178">
        <f>IF(AND('Total income package'!$A$24=TRUE,E55&lt;$I$2),'Program specific data'!$B$119*WIC!$G$2,0)</f>
        <v>0</v>
      </c>
    </row>
    <row r="56" spans="1:6" x14ac:dyDescent="0.25">
      <c r="A56" s="19">
        <v>24000</v>
      </c>
      <c r="B56" s="20">
        <f t="shared" si="0"/>
        <v>2000</v>
      </c>
      <c r="C56" s="20">
        <f t="shared" si="2"/>
        <v>100</v>
      </c>
      <c r="D56" s="20">
        <f>MAX('TANF-VIEW'!L57,'TANF-VIEW'!T57)</f>
        <v>0</v>
      </c>
      <c r="E56" s="20">
        <f t="shared" si="1"/>
        <v>2100</v>
      </c>
      <c r="F56" s="178">
        <f>IF(AND('Total income package'!$A$24=TRUE,E56&lt;$I$2),'Program specific data'!$B$119*WIC!$G$2,0)</f>
        <v>0</v>
      </c>
    </row>
    <row r="57" spans="1:6" x14ac:dyDescent="0.25">
      <c r="A57" s="19">
        <v>24500</v>
      </c>
      <c r="B57" s="20">
        <f t="shared" si="0"/>
        <v>2041.6666666666667</v>
      </c>
      <c r="C57" s="20">
        <f t="shared" si="2"/>
        <v>100</v>
      </c>
      <c r="D57" s="20">
        <f>MAX('TANF-VIEW'!L58,'TANF-VIEW'!T58)</f>
        <v>0</v>
      </c>
      <c r="E57" s="20">
        <f t="shared" si="1"/>
        <v>2141.666666666667</v>
      </c>
      <c r="F57" s="178">
        <f>IF(AND('Total income package'!$A$24=TRUE,E57&lt;$I$2),'Program specific data'!$B$119*WIC!$G$2,0)</f>
        <v>0</v>
      </c>
    </row>
    <row r="58" spans="1:6" x14ac:dyDescent="0.25">
      <c r="A58" s="19">
        <v>25000</v>
      </c>
      <c r="B58" s="20">
        <f t="shared" si="0"/>
        <v>2083.3333333333335</v>
      </c>
      <c r="C58" s="20">
        <f t="shared" si="2"/>
        <v>100</v>
      </c>
      <c r="D58" s="20">
        <f>MAX('TANF-VIEW'!L59,'TANF-VIEW'!T59)</f>
        <v>0</v>
      </c>
      <c r="E58" s="20">
        <f t="shared" si="1"/>
        <v>2183.3333333333335</v>
      </c>
      <c r="F58" s="178">
        <f>IF(AND('Total income package'!$A$24=TRUE,E58&lt;$I$2),'Program specific data'!$B$119*WIC!$G$2,0)</f>
        <v>0</v>
      </c>
    </row>
    <row r="59" spans="1:6" x14ac:dyDescent="0.25">
      <c r="A59" s="19">
        <v>25500</v>
      </c>
      <c r="B59" s="20">
        <f t="shared" si="0"/>
        <v>2125</v>
      </c>
      <c r="C59" s="20">
        <f t="shared" si="2"/>
        <v>100</v>
      </c>
      <c r="D59" s="20">
        <f>MAX('TANF-VIEW'!L60,'TANF-VIEW'!T60)</f>
        <v>0</v>
      </c>
      <c r="E59" s="20">
        <f t="shared" si="1"/>
        <v>2225</v>
      </c>
      <c r="F59" s="178">
        <f>IF(AND('Total income package'!$A$24=TRUE,E59&lt;$I$2),'Program specific data'!$B$119*WIC!$G$2,0)</f>
        <v>0</v>
      </c>
    </row>
    <row r="60" spans="1:6" x14ac:dyDescent="0.25">
      <c r="A60" s="19">
        <v>26000</v>
      </c>
      <c r="B60" s="20">
        <f t="shared" si="0"/>
        <v>2166.6666666666665</v>
      </c>
      <c r="C60" s="20">
        <f t="shared" si="2"/>
        <v>100</v>
      </c>
      <c r="D60" s="20">
        <f>MAX('TANF-VIEW'!L61,'TANF-VIEW'!T61)</f>
        <v>0</v>
      </c>
      <c r="E60" s="20">
        <f t="shared" si="1"/>
        <v>2266.6666666666665</v>
      </c>
      <c r="F60" s="178">
        <f>IF(AND('Total income package'!$A$24=TRUE,E60&lt;$I$2),'Program specific data'!$B$119*WIC!$G$2,0)</f>
        <v>0</v>
      </c>
    </row>
    <row r="61" spans="1:6" x14ac:dyDescent="0.25">
      <c r="A61" s="19">
        <v>26500</v>
      </c>
      <c r="B61" s="20">
        <f t="shared" si="0"/>
        <v>2208.3333333333335</v>
      </c>
      <c r="C61" s="20">
        <f t="shared" si="2"/>
        <v>100</v>
      </c>
      <c r="D61" s="20">
        <f>MAX('TANF-VIEW'!L62,'TANF-VIEW'!T62)</f>
        <v>0</v>
      </c>
      <c r="E61" s="20">
        <f t="shared" si="1"/>
        <v>2308.3333333333335</v>
      </c>
      <c r="F61" s="178">
        <f>IF(AND('Total income package'!$A$24=TRUE,E61&lt;$I$2),'Program specific data'!$B$119*WIC!$G$2,0)</f>
        <v>0</v>
      </c>
    </row>
    <row r="62" spans="1:6" x14ac:dyDescent="0.25">
      <c r="A62" s="19">
        <v>27000</v>
      </c>
      <c r="B62" s="20">
        <f t="shared" si="0"/>
        <v>2250</v>
      </c>
      <c r="C62" s="20">
        <f t="shared" si="2"/>
        <v>100</v>
      </c>
      <c r="D62" s="20">
        <f>MAX('TANF-VIEW'!L63,'TANF-VIEW'!T63)</f>
        <v>0</v>
      </c>
      <c r="E62" s="20">
        <f t="shared" si="1"/>
        <v>2350</v>
      </c>
      <c r="F62" s="178">
        <f>IF(AND('Total income package'!$A$24=TRUE,E62&lt;$I$2),'Program specific data'!$B$119*WIC!$G$2,0)</f>
        <v>0</v>
      </c>
    </row>
    <row r="63" spans="1:6" x14ac:dyDescent="0.25">
      <c r="A63" s="19">
        <v>27500</v>
      </c>
      <c r="B63" s="20">
        <f t="shared" si="0"/>
        <v>2291.6666666666665</v>
      </c>
      <c r="C63" s="20">
        <f t="shared" si="2"/>
        <v>100</v>
      </c>
      <c r="D63" s="20">
        <f>MAX('TANF-VIEW'!L64,'TANF-VIEW'!T64)</f>
        <v>0</v>
      </c>
      <c r="E63" s="20">
        <f t="shared" si="1"/>
        <v>2391.6666666666665</v>
      </c>
      <c r="F63" s="178">
        <f>IF(AND('Total income package'!$A$24=TRUE,E63&lt;$I$2),'Program specific data'!$B$119*WIC!$G$2,0)</f>
        <v>0</v>
      </c>
    </row>
    <row r="64" spans="1:6" x14ac:dyDescent="0.25">
      <c r="A64" s="19">
        <v>28000</v>
      </c>
      <c r="B64" s="20">
        <f t="shared" si="0"/>
        <v>2333.3333333333335</v>
      </c>
      <c r="C64" s="20">
        <f t="shared" si="2"/>
        <v>100</v>
      </c>
      <c r="D64" s="20">
        <f>MAX('TANF-VIEW'!L65,'TANF-VIEW'!T65)</f>
        <v>0</v>
      </c>
      <c r="E64" s="20">
        <f t="shared" si="1"/>
        <v>2433.3333333333335</v>
      </c>
      <c r="F64" s="178">
        <f>IF(AND('Total income package'!$A$24=TRUE,E64&lt;$I$2),'Program specific data'!$B$119*WIC!$G$2,0)</f>
        <v>0</v>
      </c>
    </row>
    <row r="65" spans="1:6" x14ac:dyDescent="0.25">
      <c r="A65" s="19">
        <v>28500</v>
      </c>
      <c r="B65" s="20">
        <f t="shared" si="0"/>
        <v>2375</v>
      </c>
      <c r="C65" s="20">
        <f t="shared" si="2"/>
        <v>100</v>
      </c>
      <c r="D65" s="20">
        <f>MAX('TANF-VIEW'!L66,'TANF-VIEW'!T66)</f>
        <v>0</v>
      </c>
      <c r="E65" s="20">
        <f t="shared" si="1"/>
        <v>2475</v>
      </c>
      <c r="F65" s="178">
        <f>IF(AND('Total income package'!$A$24=TRUE,E65&lt;$I$2),'Program specific data'!$B$119*WIC!$G$2,0)</f>
        <v>0</v>
      </c>
    </row>
    <row r="66" spans="1:6" x14ac:dyDescent="0.25">
      <c r="A66" s="19">
        <v>29000</v>
      </c>
      <c r="B66" s="20">
        <f t="shared" si="0"/>
        <v>2416.6666666666665</v>
      </c>
      <c r="C66" s="20">
        <f t="shared" si="2"/>
        <v>100</v>
      </c>
      <c r="D66" s="20">
        <f>MAX('TANF-VIEW'!L67,'TANF-VIEW'!T67)</f>
        <v>0</v>
      </c>
      <c r="E66" s="20">
        <f t="shared" si="1"/>
        <v>2516.6666666666665</v>
      </c>
      <c r="F66" s="178">
        <f>IF(AND('Total income package'!$A$24=TRUE,E66&lt;$I$2),'Program specific data'!$B$119*WIC!$G$2,0)</f>
        <v>0</v>
      </c>
    </row>
    <row r="67" spans="1:6" x14ac:dyDescent="0.25">
      <c r="A67" s="19">
        <v>29500</v>
      </c>
      <c r="B67" s="20">
        <f t="shared" si="0"/>
        <v>2458.3333333333335</v>
      </c>
      <c r="C67" s="20">
        <f t="shared" si="2"/>
        <v>100</v>
      </c>
      <c r="D67" s="20">
        <f>MAX('TANF-VIEW'!L68,'TANF-VIEW'!T68)</f>
        <v>0</v>
      </c>
      <c r="E67" s="20">
        <f t="shared" si="1"/>
        <v>2558.3333333333335</v>
      </c>
      <c r="F67" s="178">
        <f>IF(AND('Total income package'!$A$24=TRUE,E67&lt;$I$2),'Program specific data'!$B$119*WIC!$G$2,0)</f>
        <v>0</v>
      </c>
    </row>
    <row r="68" spans="1:6" x14ac:dyDescent="0.25">
      <c r="A68" s="19">
        <v>30000</v>
      </c>
      <c r="B68" s="20">
        <f t="shared" si="0"/>
        <v>2500</v>
      </c>
      <c r="C68" s="20">
        <f t="shared" si="2"/>
        <v>100</v>
      </c>
      <c r="D68" s="20">
        <f>MAX('TANF-VIEW'!L69,'TANF-VIEW'!T69)</f>
        <v>0</v>
      </c>
      <c r="E68" s="20">
        <f t="shared" si="1"/>
        <v>2600</v>
      </c>
      <c r="F68" s="178">
        <f>IF(AND('Total income package'!$A$24=TRUE,E68&lt;$I$2),'Program specific data'!$B$119*WIC!$G$2,0)</f>
        <v>0</v>
      </c>
    </row>
    <row r="69" spans="1:6" x14ac:dyDescent="0.25">
      <c r="A69" s="19">
        <v>30500</v>
      </c>
      <c r="B69" s="20">
        <f t="shared" si="0"/>
        <v>2541.6666666666665</v>
      </c>
      <c r="C69" s="20">
        <f t="shared" si="2"/>
        <v>100</v>
      </c>
      <c r="D69" s="20">
        <f>MAX('TANF-VIEW'!L70,'TANF-VIEW'!T70)</f>
        <v>0</v>
      </c>
      <c r="E69" s="20">
        <f t="shared" si="1"/>
        <v>2641.6666666666665</v>
      </c>
      <c r="F69" s="178">
        <f>IF(AND('Total income package'!$A$24=TRUE,E69&lt;$I$2),'Program specific data'!$B$119*WIC!$G$2,0)</f>
        <v>0</v>
      </c>
    </row>
    <row r="70" spans="1:6" x14ac:dyDescent="0.25">
      <c r="A70" s="19">
        <v>31000</v>
      </c>
      <c r="B70" s="20">
        <f t="shared" si="0"/>
        <v>2583.3333333333335</v>
      </c>
      <c r="C70" s="20">
        <f t="shared" si="2"/>
        <v>100</v>
      </c>
      <c r="D70" s="20">
        <f>MAX('TANF-VIEW'!L71,'TANF-VIEW'!T71)</f>
        <v>0</v>
      </c>
      <c r="E70" s="20">
        <f t="shared" si="1"/>
        <v>2683.3333333333335</v>
      </c>
      <c r="F70" s="178">
        <f>IF(AND('Total income package'!$A$24=TRUE,E70&lt;$I$2),'Program specific data'!$B$119*WIC!$G$2,0)</f>
        <v>0</v>
      </c>
    </row>
    <row r="71" spans="1:6" x14ac:dyDescent="0.25">
      <c r="A71" s="19">
        <v>31500</v>
      </c>
      <c r="B71" s="20">
        <f t="shared" si="0"/>
        <v>2625</v>
      </c>
      <c r="C71" s="20">
        <f t="shared" si="2"/>
        <v>100</v>
      </c>
      <c r="D71" s="20">
        <f>MAX('TANF-VIEW'!L72,'TANF-VIEW'!T72)</f>
        <v>0</v>
      </c>
      <c r="E71" s="20">
        <f t="shared" si="1"/>
        <v>2725</v>
      </c>
      <c r="F71" s="178">
        <f>IF(AND('Total income package'!$A$24=TRUE,E71&lt;$I$2),'Program specific data'!$B$119*WIC!$G$2,0)</f>
        <v>0</v>
      </c>
    </row>
    <row r="72" spans="1:6" x14ac:dyDescent="0.25">
      <c r="A72" s="19">
        <v>32000</v>
      </c>
      <c r="B72" s="20">
        <f t="shared" si="0"/>
        <v>2666.6666666666665</v>
      </c>
      <c r="C72" s="20">
        <f t="shared" si="2"/>
        <v>100</v>
      </c>
      <c r="D72" s="20">
        <f>MAX('TANF-VIEW'!L73,'TANF-VIEW'!T73)</f>
        <v>0</v>
      </c>
      <c r="E72" s="20">
        <f t="shared" si="1"/>
        <v>2766.6666666666665</v>
      </c>
      <c r="F72" s="178">
        <f>IF(AND('Total income package'!$A$24=TRUE,E72&lt;$I$2),'Program specific data'!$B$119*WIC!$G$2,0)</f>
        <v>0</v>
      </c>
    </row>
    <row r="73" spans="1:6" x14ac:dyDescent="0.25">
      <c r="A73" s="19">
        <v>32500</v>
      </c>
      <c r="B73" s="20">
        <f t="shared" si="0"/>
        <v>2708.3333333333335</v>
      </c>
      <c r="C73" s="20">
        <f t="shared" ref="C73:C136" si="3">$H$2</f>
        <v>100</v>
      </c>
      <c r="D73" s="20">
        <f>MAX('TANF-VIEW'!L74,'TANF-VIEW'!T74)</f>
        <v>0</v>
      </c>
      <c r="E73" s="20">
        <f t="shared" ref="E73:E136" si="4">B73+C73+D73</f>
        <v>2808.3333333333335</v>
      </c>
      <c r="F73" s="178">
        <f>IF(AND('Total income package'!$A$24=TRUE,E73&lt;$I$2),'Program specific data'!$B$119*WIC!$G$2,0)</f>
        <v>0</v>
      </c>
    </row>
    <row r="74" spans="1:6" x14ac:dyDescent="0.25">
      <c r="A74" s="19">
        <v>33000</v>
      </c>
      <c r="B74" s="20">
        <f t="shared" ref="B74:B137" si="5">A74/12</f>
        <v>2750</v>
      </c>
      <c r="C74" s="20">
        <f t="shared" si="3"/>
        <v>100</v>
      </c>
      <c r="D74" s="20">
        <f>MAX('TANF-VIEW'!L75,'TANF-VIEW'!T75)</f>
        <v>0</v>
      </c>
      <c r="E74" s="20">
        <f t="shared" si="4"/>
        <v>2850</v>
      </c>
      <c r="F74" s="178">
        <f>IF(AND('Total income package'!$A$24=TRUE,E74&lt;$I$2),'Program specific data'!$B$119*WIC!$G$2,0)</f>
        <v>0</v>
      </c>
    </row>
    <row r="75" spans="1:6" x14ac:dyDescent="0.25">
      <c r="A75" s="19">
        <v>33500</v>
      </c>
      <c r="B75" s="20">
        <f t="shared" si="5"/>
        <v>2791.6666666666665</v>
      </c>
      <c r="C75" s="20">
        <f t="shared" si="3"/>
        <v>100</v>
      </c>
      <c r="D75" s="20">
        <f>MAX('TANF-VIEW'!L76,'TANF-VIEW'!T76)</f>
        <v>0</v>
      </c>
      <c r="E75" s="20">
        <f t="shared" si="4"/>
        <v>2891.6666666666665</v>
      </c>
      <c r="F75" s="178">
        <f>IF(AND('Total income package'!$A$24=TRUE,E75&lt;$I$2),'Program specific data'!$B$119*WIC!$G$2,0)</f>
        <v>0</v>
      </c>
    </row>
    <row r="76" spans="1:6" x14ac:dyDescent="0.25">
      <c r="A76" s="19">
        <v>34000</v>
      </c>
      <c r="B76" s="20">
        <f t="shared" si="5"/>
        <v>2833.3333333333335</v>
      </c>
      <c r="C76" s="20">
        <f t="shared" si="3"/>
        <v>100</v>
      </c>
      <c r="D76" s="20">
        <f>MAX('TANF-VIEW'!L77,'TANF-VIEW'!T77)</f>
        <v>0</v>
      </c>
      <c r="E76" s="20">
        <f t="shared" si="4"/>
        <v>2933.3333333333335</v>
      </c>
      <c r="F76" s="178">
        <f>IF(AND('Total income package'!$A$24=TRUE,E76&lt;$I$2),'Program specific data'!$B$119*WIC!$G$2,0)</f>
        <v>0</v>
      </c>
    </row>
    <row r="77" spans="1:6" x14ac:dyDescent="0.25">
      <c r="A77" s="19">
        <v>34500</v>
      </c>
      <c r="B77" s="20">
        <f t="shared" si="5"/>
        <v>2875</v>
      </c>
      <c r="C77" s="20">
        <f t="shared" si="3"/>
        <v>100</v>
      </c>
      <c r="D77" s="20">
        <f>MAX('TANF-VIEW'!L78,'TANF-VIEW'!T78)</f>
        <v>0</v>
      </c>
      <c r="E77" s="20">
        <f t="shared" si="4"/>
        <v>2975</v>
      </c>
      <c r="F77" s="178">
        <f>IF(AND('Total income package'!$A$24=TRUE,E77&lt;$I$2),'Program specific data'!$B$119*WIC!$G$2,0)</f>
        <v>0</v>
      </c>
    </row>
    <row r="78" spans="1:6" x14ac:dyDescent="0.25">
      <c r="A78" s="19">
        <v>35000</v>
      </c>
      <c r="B78" s="20">
        <f t="shared" si="5"/>
        <v>2916.6666666666665</v>
      </c>
      <c r="C78" s="20">
        <f t="shared" si="3"/>
        <v>100</v>
      </c>
      <c r="D78" s="20">
        <f>MAX('TANF-VIEW'!L79,'TANF-VIEW'!T79)</f>
        <v>0</v>
      </c>
      <c r="E78" s="20">
        <f t="shared" si="4"/>
        <v>3016.6666666666665</v>
      </c>
      <c r="F78" s="178">
        <f>IF(AND('Total income package'!$A$24=TRUE,E78&lt;$I$2),'Program specific data'!$B$119*WIC!$G$2,0)</f>
        <v>0</v>
      </c>
    </row>
    <row r="79" spans="1:6" x14ac:dyDescent="0.25">
      <c r="A79" s="19">
        <v>35500</v>
      </c>
      <c r="B79" s="20">
        <f t="shared" si="5"/>
        <v>2958.3333333333335</v>
      </c>
      <c r="C79" s="20">
        <f t="shared" si="3"/>
        <v>100</v>
      </c>
      <c r="D79" s="20">
        <f>MAX('TANF-VIEW'!L80,'TANF-VIEW'!T80)</f>
        <v>0</v>
      </c>
      <c r="E79" s="20">
        <f t="shared" si="4"/>
        <v>3058.3333333333335</v>
      </c>
      <c r="F79" s="178">
        <f>IF(AND('Total income package'!$A$24=TRUE,E79&lt;$I$2),'Program specific data'!$B$119*WIC!$G$2,0)</f>
        <v>0</v>
      </c>
    </row>
    <row r="80" spans="1:6" x14ac:dyDescent="0.25">
      <c r="A80" s="19">
        <v>36000</v>
      </c>
      <c r="B80" s="20">
        <f t="shared" si="5"/>
        <v>3000</v>
      </c>
      <c r="C80" s="20">
        <f t="shared" si="3"/>
        <v>100</v>
      </c>
      <c r="D80" s="20">
        <f>MAX('TANF-VIEW'!L81,'TANF-VIEW'!T81)</f>
        <v>0</v>
      </c>
      <c r="E80" s="20">
        <f t="shared" si="4"/>
        <v>3100</v>
      </c>
      <c r="F80" s="178">
        <f>IF(AND('Total income package'!$A$24=TRUE,E80&lt;$I$2),'Program specific data'!$B$119*WIC!$G$2,0)</f>
        <v>0</v>
      </c>
    </row>
    <row r="81" spans="1:6" x14ac:dyDescent="0.25">
      <c r="A81" s="19">
        <v>36500</v>
      </c>
      <c r="B81" s="20">
        <f t="shared" si="5"/>
        <v>3041.6666666666665</v>
      </c>
      <c r="C81" s="20">
        <f t="shared" si="3"/>
        <v>100</v>
      </c>
      <c r="D81" s="20">
        <f>MAX('TANF-VIEW'!L82,'TANF-VIEW'!T82)</f>
        <v>0</v>
      </c>
      <c r="E81" s="20">
        <f t="shared" si="4"/>
        <v>3141.6666666666665</v>
      </c>
      <c r="F81" s="178">
        <f>IF(AND('Total income package'!$A$24=TRUE,E81&lt;$I$2),'Program specific data'!$B$119*WIC!$G$2,0)</f>
        <v>0</v>
      </c>
    </row>
    <row r="82" spans="1:6" x14ac:dyDescent="0.25">
      <c r="A82" s="19">
        <v>37000</v>
      </c>
      <c r="B82" s="20">
        <f t="shared" si="5"/>
        <v>3083.3333333333335</v>
      </c>
      <c r="C82" s="20">
        <f t="shared" si="3"/>
        <v>100</v>
      </c>
      <c r="D82" s="20">
        <f>MAX('TANF-VIEW'!L83,'TANF-VIEW'!T83)</f>
        <v>0</v>
      </c>
      <c r="E82" s="20">
        <f t="shared" si="4"/>
        <v>3183.3333333333335</v>
      </c>
      <c r="F82" s="178">
        <f>IF(AND('Total income package'!$A$24=TRUE,E82&lt;$I$2),'Program specific data'!$B$119*WIC!$G$2,0)</f>
        <v>0</v>
      </c>
    </row>
    <row r="83" spans="1:6" x14ac:dyDescent="0.25">
      <c r="A83" s="19">
        <v>37500</v>
      </c>
      <c r="B83" s="20">
        <f t="shared" si="5"/>
        <v>3125</v>
      </c>
      <c r="C83" s="20">
        <f t="shared" si="3"/>
        <v>100</v>
      </c>
      <c r="D83" s="20">
        <f>MAX('TANF-VIEW'!L84,'TANF-VIEW'!T84)</f>
        <v>0</v>
      </c>
      <c r="E83" s="20">
        <f t="shared" si="4"/>
        <v>3225</v>
      </c>
      <c r="F83" s="178">
        <f>IF(AND('Total income package'!$A$24=TRUE,E83&lt;$I$2),'Program specific data'!$B$119*WIC!$G$2,0)</f>
        <v>0</v>
      </c>
    </row>
    <row r="84" spans="1:6" x14ac:dyDescent="0.25">
      <c r="A84" s="19">
        <v>38000</v>
      </c>
      <c r="B84" s="20">
        <f t="shared" si="5"/>
        <v>3166.6666666666665</v>
      </c>
      <c r="C84" s="20">
        <f t="shared" si="3"/>
        <v>100</v>
      </c>
      <c r="D84" s="20">
        <f>MAX('TANF-VIEW'!L85,'TANF-VIEW'!T85)</f>
        <v>0</v>
      </c>
      <c r="E84" s="20">
        <f t="shared" si="4"/>
        <v>3266.6666666666665</v>
      </c>
      <c r="F84" s="178">
        <f>IF(AND('Total income package'!$A$24=TRUE,E84&lt;$I$2),'Program specific data'!$B$119*WIC!$G$2,0)</f>
        <v>0</v>
      </c>
    </row>
    <row r="85" spans="1:6" x14ac:dyDescent="0.25">
      <c r="A85" s="19">
        <v>38500</v>
      </c>
      <c r="B85" s="20">
        <f t="shared" si="5"/>
        <v>3208.3333333333335</v>
      </c>
      <c r="C85" s="20">
        <f t="shared" si="3"/>
        <v>100</v>
      </c>
      <c r="D85" s="20">
        <f>MAX('TANF-VIEW'!L86,'TANF-VIEW'!T86)</f>
        <v>0</v>
      </c>
      <c r="E85" s="20">
        <f t="shared" si="4"/>
        <v>3308.3333333333335</v>
      </c>
      <c r="F85" s="178">
        <f>IF(AND('Total income package'!$A$24=TRUE,E85&lt;$I$2),'Program specific data'!$B$119*WIC!$G$2,0)</f>
        <v>0</v>
      </c>
    </row>
    <row r="86" spans="1:6" x14ac:dyDescent="0.25">
      <c r="A86" s="19">
        <v>39000</v>
      </c>
      <c r="B86" s="20">
        <f t="shared" si="5"/>
        <v>3250</v>
      </c>
      <c r="C86" s="20">
        <f t="shared" si="3"/>
        <v>100</v>
      </c>
      <c r="D86" s="20">
        <f>MAX('TANF-VIEW'!L87,'TANF-VIEW'!T87)</f>
        <v>0</v>
      </c>
      <c r="E86" s="20">
        <f t="shared" si="4"/>
        <v>3350</v>
      </c>
      <c r="F86" s="178">
        <f>IF(AND('Total income package'!$A$24=TRUE,E86&lt;$I$2),'Program specific data'!$B$119*WIC!$G$2,0)</f>
        <v>0</v>
      </c>
    </row>
    <row r="87" spans="1:6" x14ac:dyDescent="0.25">
      <c r="A87" s="19">
        <v>39500</v>
      </c>
      <c r="B87" s="20">
        <f t="shared" si="5"/>
        <v>3291.6666666666665</v>
      </c>
      <c r="C87" s="20">
        <f t="shared" si="3"/>
        <v>100</v>
      </c>
      <c r="D87" s="20">
        <f>MAX('TANF-VIEW'!L88,'TANF-VIEW'!T88)</f>
        <v>0</v>
      </c>
      <c r="E87" s="20">
        <f t="shared" si="4"/>
        <v>3391.6666666666665</v>
      </c>
      <c r="F87" s="178">
        <f>IF(AND('Total income package'!$A$24=TRUE,E87&lt;$I$2),'Program specific data'!$B$119*WIC!$G$2,0)</f>
        <v>0</v>
      </c>
    </row>
    <row r="88" spans="1:6" x14ac:dyDescent="0.25">
      <c r="A88" s="19">
        <v>40000</v>
      </c>
      <c r="B88" s="20">
        <f t="shared" si="5"/>
        <v>3333.3333333333335</v>
      </c>
      <c r="C88" s="20">
        <f t="shared" si="3"/>
        <v>100</v>
      </c>
      <c r="D88" s="20">
        <f>MAX('TANF-VIEW'!L89,'TANF-VIEW'!T89)</f>
        <v>0</v>
      </c>
      <c r="E88" s="20">
        <f t="shared" si="4"/>
        <v>3433.3333333333335</v>
      </c>
      <c r="F88" s="178">
        <f>IF(AND('Total income package'!$A$24=TRUE,E88&lt;$I$2),'Program specific data'!$B$119*WIC!$G$2,0)</f>
        <v>0</v>
      </c>
    </row>
    <row r="89" spans="1:6" x14ac:dyDescent="0.25">
      <c r="A89" s="19">
        <v>40500</v>
      </c>
      <c r="B89" s="20">
        <f t="shared" si="5"/>
        <v>3375</v>
      </c>
      <c r="C89" s="20">
        <f t="shared" si="3"/>
        <v>100</v>
      </c>
      <c r="D89" s="20">
        <f>MAX('TANF-VIEW'!L90,'TANF-VIEW'!T90)</f>
        <v>0</v>
      </c>
      <c r="E89" s="20">
        <f t="shared" si="4"/>
        <v>3475</v>
      </c>
      <c r="F89" s="178">
        <f>IF(AND('Total income package'!$A$24=TRUE,E89&lt;$I$2),'Program specific data'!$B$119*WIC!$G$2,0)</f>
        <v>0</v>
      </c>
    </row>
    <row r="90" spans="1:6" x14ac:dyDescent="0.25">
      <c r="A90" s="19">
        <v>41000</v>
      </c>
      <c r="B90" s="20">
        <f t="shared" si="5"/>
        <v>3416.6666666666665</v>
      </c>
      <c r="C90" s="20">
        <f t="shared" si="3"/>
        <v>100</v>
      </c>
      <c r="D90" s="20">
        <f>MAX('TANF-VIEW'!L91,'TANF-VIEW'!T91)</f>
        <v>0</v>
      </c>
      <c r="E90" s="20">
        <f t="shared" si="4"/>
        <v>3516.6666666666665</v>
      </c>
      <c r="F90" s="178">
        <f>IF(AND('Total income package'!$A$24=TRUE,E90&lt;$I$2),'Program specific data'!$B$119*WIC!$G$2,0)</f>
        <v>0</v>
      </c>
    </row>
    <row r="91" spans="1:6" x14ac:dyDescent="0.25">
      <c r="A91" s="19">
        <v>41500</v>
      </c>
      <c r="B91" s="20">
        <f t="shared" si="5"/>
        <v>3458.3333333333335</v>
      </c>
      <c r="C91" s="20">
        <f t="shared" si="3"/>
        <v>100</v>
      </c>
      <c r="D91" s="20">
        <f>MAX('TANF-VIEW'!L92,'TANF-VIEW'!T92)</f>
        <v>0</v>
      </c>
      <c r="E91" s="20">
        <f t="shared" si="4"/>
        <v>3558.3333333333335</v>
      </c>
      <c r="F91" s="178">
        <f>IF(AND('Total income package'!$A$24=TRUE,E91&lt;$I$2),'Program specific data'!$B$119*WIC!$G$2,0)</f>
        <v>0</v>
      </c>
    </row>
    <row r="92" spans="1:6" x14ac:dyDescent="0.25">
      <c r="A92" s="19">
        <v>42000</v>
      </c>
      <c r="B92" s="20">
        <f t="shared" si="5"/>
        <v>3500</v>
      </c>
      <c r="C92" s="20">
        <f t="shared" si="3"/>
        <v>100</v>
      </c>
      <c r="D92" s="20">
        <f>MAX('TANF-VIEW'!L93,'TANF-VIEW'!T93)</f>
        <v>0</v>
      </c>
      <c r="E92" s="20">
        <f t="shared" si="4"/>
        <v>3600</v>
      </c>
      <c r="F92" s="178">
        <f>IF(AND('Total income package'!$A$24=TRUE,E92&lt;$I$2),'Program specific data'!$B$119*WIC!$G$2,0)</f>
        <v>0</v>
      </c>
    </row>
    <row r="93" spans="1:6" x14ac:dyDescent="0.25">
      <c r="A93" s="19">
        <v>42500</v>
      </c>
      <c r="B93" s="20">
        <f t="shared" si="5"/>
        <v>3541.6666666666665</v>
      </c>
      <c r="C93" s="20">
        <f t="shared" si="3"/>
        <v>100</v>
      </c>
      <c r="D93" s="20">
        <f>MAX('TANF-VIEW'!L94,'TANF-VIEW'!T94)</f>
        <v>0</v>
      </c>
      <c r="E93" s="20">
        <f t="shared" si="4"/>
        <v>3641.6666666666665</v>
      </c>
      <c r="F93" s="178">
        <f>IF(AND('Total income package'!$A$24=TRUE,E93&lt;$I$2),'Program specific data'!$B$119*WIC!$G$2,0)</f>
        <v>0</v>
      </c>
    </row>
    <row r="94" spans="1:6" x14ac:dyDescent="0.25">
      <c r="A94" s="19">
        <v>43000</v>
      </c>
      <c r="B94" s="20">
        <f t="shared" si="5"/>
        <v>3583.3333333333335</v>
      </c>
      <c r="C94" s="20">
        <f t="shared" si="3"/>
        <v>100</v>
      </c>
      <c r="D94" s="20">
        <f>MAX('TANF-VIEW'!L95,'TANF-VIEW'!T95)</f>
        <v>0</v>
      </c>
      <c r="E94" s="20">
        <f t="shared" si="4"/>
        <v>3683.3333333333335</v>
      </c>
      <c r="F94" s="178">
        <f>IF(AND('Total income package'!$A$24=TRUE,E94&lt;$I$2),'Program specific data'!$B$119*WIC!$G$2,0)</f>
        <v>0</v>
      </c>
    </row>
    <row r="95" spans="1:6" x14ac:dyDescent="0.25">
      <c r="A95" s="19">
        <v>43500</v>
      </c>
      <c r="B95" s="20">
        <f t="shared" si="5"/>
        <v>3625</v>
      </c>
      <c r="C95" s="20">
        <f t="shared" si="3"/>
        <v>100</v>
      </c>
      <c r="D95" s="20">
        <f>MAX('TANF-VIEW'!L96,'TANF-VIEW'!T96)</f>
        <v>0</v>
      </c>
      <c r="E95" s="20">
        <f t="shared" si="4"/>
        <v>3725</v>
      </c>
      <c r="F95" s="178">
        <f>IF(AND('Total income package'!$A$24=TRUE,E95&lt;$I$2),'Program specific data'!$B$119*WIC!$G$2,0)</f>
        <v>0</v>
      </c>
    </row>
    <row r="96" spans="1:6" x14ac:dyDescent="0.25">
      <c r="A96" s="19">
        <v>44000</v>
      </c>
      <c r="B96" s="20">
        <f t="shared" si="5"/>
        <v>3666.6666666666665</v>
      </c>
      <c r="C96" s="20">
        <f t="shared" si="3"/>
        <v>100</v>
      </c>
      <c r="D96" s="20">
        <f>MAX('TANF-VIEW'!L97,'TANF-VIEW'!T97)</f>
        <v>0</v>
      </c>
      <c r="E96" s="20">
        <f t="shared" si="4"/>
        <v>3766.6666666666665</v>
      </c>
      <c r="F96" s="178">
        <f>IF(AND('Total income package'!$A$24=TRUE,E96&lt;$I$2),'Program specific data'!$B$119*WIC!$G$2,0)</f>
        <v>0</v>
      </c>
    </row>
    <row r="97" spans="1:6" x14ac:dyDescent="0.25">
      <c r="A97" s="19">
        <v>44500</v>
      </c>
      <c r="B97" s="20">
        <f t="shared" si="5"/>
        <v>3708.3333333333335</v>
      </c>
      <c r="C97" s="20">
        <f t="shared" si="3"/>
        <v>100</v>
      </c>
      <c r="D97" s="20">
        <f>MAX('TANF-VIEW'!L98,'TANF-VIEW'!T98)</f>
        <v>0</v>
      </c>
      <c r="E97" s="20">
        <f t="shared" si="4"/>
        <v>3808.3333333333335</v>
      </c>
      <c r="F97" s="178">
        <f>IF(AND('Total income package'!$A$24=TRUE,E97&lt;$I$2),'Program specific data'!$B$119*WIC!$G$2,0)</f>
        <v>0</v>
      </c>
    </row>
    <row r="98" spans="1:6" x14ac:dyDescent="0.25">
      <c r="A98" s="19">
        <v>45000</v>
      </c>
      <c r="B98" s="20">
        <f t="shared" si="5"/>
        <v>3750</v>
      </c>
      <c r="C98" s="20">
        <f t="shared" si="3"/>
        <v>100</v>
      </c>
      <c r="D98" s="20">
        <f>MAX('TANF-VIEW'!L99,'TANF-VIEW'!T99)</f>
        <v>0</v>
      </c>
      <c r="E98" s="20">
        <f t="shared" si="4"/>
        <v>3850</v>
      </c>
      <c r="F98" s="178">
        <f>IF(AND('Total income package'!$A$24=TRUE,E98&lt;$I$2),'Program specific data'!$B$119*WIC!$G$2,0)</f>
        <v>0</v>
      </c>
    </row>
    <row r="99" spans="1:6" x14ac:dyDescent="0.25">
      <c r="A99" s="19">
        <v>45500</v>
      </c>
      <c r="B99" s="20">
        <f t="shared" si="5"/>
        <v>3791.6666666666665</v>
      </c>
      <c r="C99" s="20">
        <f t="shared" si="3"/>
        <v>100</v>
      </c>
      <c r="D99" s="20">
        <f>MAX('TANF-VIEW'!L100,'TANF-VIEW'!T100)</f>
        <v>0</v>
      </c>
      <c r="E99" s="20">
        <f t="shared" si="4"/>
        <v>3891.6666666666665</v>
      </c>
      <c r="F99" s="178">
        <f>IF(AND('Total income package'!$A$24=TRUE,E99&lt;$I$2),'Program specific data'!$B$119*WIC!$G$2,0)</f>
        <v>0</v>
      </c>
    </row>
    <row r="100" spans="1:6" x14ac:dyDescent="0.25">
      <c r="A100" s="19">
        <v>46000</v>
      </c>
      <c r="B100" s="20">
        <f t="shared" si="5"/>
        <v>3833.3333333333335</v>
      </c>
      <c r="C100" s="20">
        <f t="shared" si="3"/>
        <v>100</v>
      </c>
      <c r="D100" s="20">
        <f>MAX('TANF-VIEW'!L101,'TANF-VIEW'!T101)</f>
        <v>0</v>
      </c>
      <c r="E100" s="20">
        <f t="shared" si="4"/>
        <v>3933.3333333333335</v>
      </c>
      <c r="F100" s="178">
        <f>IF(AND('Total income package'!$A$24=TRUE,E100&lt;$I$2),'Program specific data'!$B$119*WIC!$G$2,0)</f>
        <v>0</v>
      </c>
    </row>
    <row r="101" spans="1:6" x14ac:dyDescent="0.25">
      <c r="A101" s="19">
        <v>46500</v>
      </c>
      <c r="B101" s="20">
        <f t="shared" si="5"/>
        <v>3875</v>
      </c>
      <c r="C101" s="20">
        <f t="shared" si="3"/>
        <v>100</v>
      </c>
      <c r="D101" s="20">
        <f>MAX('TANF-VIEW'!L102,'TANF-VIEW'!T102)</f>
        <v>0</v>
      </c>
      <c r="E101" s="20">
        <f t="shared" si="4"/>
        <v>3975</v>
      </c>
      <c r="F101" s="178">
        <f>IF(AND('Total income package'!$A$24=TRUE,E101&lt;$I$2),'Program specific data'!$B$119*WIC!$G$2,0)</f>
        <v>0</v>
      </c>
    </row>
    <row r="102" spans="1:6" x14ac:dyDescent="0.25">
      <c r="A102" s="19">
        <v>47000</v>
      </c>
      <c r="B102" s="20">
        <f t="shared" si="5"/>
        <v>3916.6666666666665</v>
      </c>
      <c r="C102" s="20">
        <f t="shared" si="3"/>
        <v>100</v>
      </c>
      <c r="D102" s="20">
        <f>MAX('TANF-VIEW'!L103,'TANF-VIEW'!T103)</f>
        <v>0</v>
      </c>
      <c r="E102" s="20">
        <f t="shared" si="4"/>
        <v>4016.6666666666665</v>
      </c>
      <c r="F102" s="178">
        <f>IF(AND('Total income package'!$A$24=TRUE,E102&lt;$I$2),'Program specific data'!$B$119*WIC!$G$2,0)</f>
        <v>0</v>
      </c>
    </row>
    <row r="103" spans="1:6" x14ac:dyDescent="0.25">
      <c r="A103" s="19">
        <v>47500</v>
      </c>
      <c r="B103" s="20">
        <f t="shared" si="5"/>
        <v>3958.3333333333335</v>
      </c>
      <c r="C103" s="20">
        <f t="shared" si="3"/>
        <v>100</v>
      </c>
      <c r="D103" s="20">
        <f>MAX('TANF-VIEW'!L104,'TANF-VIEW'!T104)</f>
        <v>0</v>
      </c>
      <c r="E103" s="20">
        <f t="shared" si="4"/>
        <v>4058.3333333333335</v>
      </c>
      <c r="F103" s="178">
        <f>IF(AND('Total income package'!$A$24=TRUE,E103&lt;$I$2),'Program specific data'!$B$119*WIC!$G$2,0)</f>
        <v>0</v>
      </c>
    </row>
    <row r="104" spans="1:6" x14ac:dyDescent="0.25">
      <c r="A104" s="19">
        <v>48000</v>
      </c>
      <c r="B104" s="20">
        <f t="shared" si="5"/>
        <v>4000</v>
      </c>
      <c r="C104" s="20">
        <f t="shared" si="3"/>
        <v>100</v>
      </c>
      <c r="D104" s="20">
        <f>MAX('TANF-VIEW'!L105,'TANF-VIEW'!T105)</f>
        <v>0</v>
      </c>
      <c r="E104" s="20">
        <f t="shared" si="4"/>
        <v>4100</v>
      </c>
      <c r="F104" s="178">
        <f>IF(AND('Total income package'!$A$24=TRUE,E104&lt;$I$2),'Program specific data'!$B$119*WIC!$G$2,0)</f>
        <v>0</v>
      </c>
    </row>
    <row r="105" spans="1:6" x14ac:dyDescent="0.25">
      <c r="A105" s="19">
        <v>48500</v>
      </c>
      <c r="B105" s="20">
        <f t="shared" si="5"/>
        <v>4041.6666666666665</v>
      </c>
      <c r="C105" s="20">
        <f t="shared" si="3"/>
        <v>100</v>
      </c>
      <c r="D105" s="20">
        <f>MAX('TANF-VIEW'!L106,'TANF-VIEW'!T106)</f>
        <v>0</v>
      </c>
      <c r="E105" s="20">
        <f t="shared" si="4"/>
        <v>4141.6666666666661</v>
      </c>
      <c r="F105" s="178">
        <f>IF(AND('Total income package'!$A$24=TRUE,E105&lt;$I$2),'Program specific data'!$B$119*WIC!$G$2,0)</f>
        <v>0</v>
      </c>
    </row>
    <row r="106" spans="1:6" x14ac:dyDescent="0.25">
      <c r="A106" s="19">
        <v>49000</v>
      </c>
      <c r="B106" s="20">
        <f t="shared" si="5"/>
        <v>4083.3333333333335</v>
      </c>
      <c r="C106" s="20">
        <f t="shared" si="3"/>
        <v>100</v>
      </c>
      <c r="D106" s="20">
        <f>MAX('TANF-VIEW'!L107,'TANF-VIEW'!T107)</f>
        <v>0</v>
      </c>
      <c r="E106" s="20">
        <f t="shared" si="4"/>
        <v>4183.3333333333339</v>
      </c>
      <c r="F106" s="178">
        <f>IF(AND('Total income package'!$A$24=TRUE,E106&lt;$I$2),'Program specific data'!$B$119*WIC!$G$2,0)</f>
        <v>0</v>
      </c>
    </row>
    <row r="107" spans="1:6" x14ac:dyDescent="0.25">
      <c r="A107" s="19">
        <v>49500</v>
      </c>
      <c r="B107" s="20">
        <f t="shared" si="5"/>
        <v>4125</v>
      </c>
      <c r="C107" s="20">
        <f t="shared" si="3"/>
        <v>100</v>
      </c>
      <c r="D107" s="20">
        <f>MAX('TANF-VIEW'!L108,'TANF-VIEW'!T108)</f>
        <v>0</v>
      </c>
      <c r="E107" s="20">
        <f t="shared" si="4"/>
        <v>4225</v>
      </c>
      <c r="F107" s="178">
        <f>IF(AND('Total income package'!$A$24=TRUE,E107&lt;$I$2),'Program specific data'!$B$119*WIC!$G$2,0)</f>
        <v>0</v>
      </c>
    </row>
    <row r="108" spans="1:6" x14ac:dyDescent="0.25">
      <c r="A108" s="19">
        <v>50000</v>
      </c>
      <c r="B108" s="20">
        <f t="shared" si="5"/>
        <v>4166.666666666667</v>
      </c>
      <c r="C108" s="20">
        <f t="shared" si="3"/>
        <v>100</v>
      </c>
      <c r="D108" s="20">
        <f>MAX('TANF-VIEW'!L109,'TANF-VIEW'!T109)</f>
        <v>0</v>
      </c>
      <c r="E108" s="20">
        <f t="shared" si="4"/>
        <v>4266.666666666667</v>
      </c>
      <c r="F108" s="178">
        <f>IF(AND('Total income package'!$A$24=TRUE,E108&lt;$I$2),'Program specific data'!$B$119*WIC!$G$2,0)</f>
        <v>0</v>
      </c>
    </row>
    <row r="109" spans="1:6" x14ac:dyDescent="0.25">
      <c r="A109" s="19">
        <v>50500</v>
      </c>
      <c r="B109" s="20">
        <f t="shared" si="5"/>
        <v>4208.333333333333</v>
      </c>
      <c r="C109" s="20">
        <f t="shared" si="3"/>
        <v>100</v>
      </c>
      <c r="D109" s="20">
        <f>MAX('TANF-VIEW'!L110,'TANF-VIEW'!T110)</f>
        <v>0</v>
      </c>
      <c r="E109" s="20">
        <f t="shared" si="4"/>
        <v>4308.333333333333</v>
      </c>
      <c r="F109" s="178">
        <f>IF(AND('Total income package'!$A$24=TRUE,E109&lt;$I$2),'Program specific data'!$B$119*WIC!$G$2,0)</f>
        <v>0</v>
      </c>
    </row>
    <row r="110" spans="1:6" x14ac:dyDescent="0.25">
      <c r="A110" s="19">
        <v>51000</v>
      </c>
      <c r="B110" s="20">
        <f t="shared" si="5"/>
        <v>4250</v>
      </c>
      <c r="C110" s="20">
        <f t="shared" si="3"/>
        <v>100</v>
      </c>
      <c r="D110" s="20">
        <f>MAX('TANF-VIEW'!L111,'TANF-VIEW'!T111)</f>
        <v>0</v>
      </c>
      <c r="E110" s="20">
        <f t="shared" si="4"/>
        <v>4350</v>
      </c>
      <c r="F110" s="178">
        <f>IF(AND('Total income package'!$A$24=TRUE,E110&lt;$I$2),'Program specific data'!$B$119*WIC!$G$2,0)</f>
        <v>0</v>
      </c>
    </row>
    <row r="111" spans="1:6" x14ac:dyDescent="0.25">
      <c r="A111" s="19">
        <v>51500</v>
      </c>
      <c r="B111" s="20">
        <f t="shared" si="5"/>
        <v>4291.666666666667</v>
      </c>
      <c r="C111" s="20">
        <f t="shared" si="3"/>
        <v>100</v>
      </c>
      <c r="D111" s="20">
        <f>MAX('TANF-VIEW'!L112,'TANF-VIEW'!T112)</f>
        <v>0</v>
      </c>
      <c r="E111" s="20">
        <f t="shared" si="4"/>
        <v>4391.666666666667</v>
      </c>
      <c r="F111" s="178">
        <f>IF(AND('Total income package'!$A$24=TRUE,E111&lt;$I$2),'Program specific data'!$B$119*WIC!$G$2,0)</f>
        <v>0</v>
      </c>
    </row>
    <row r="112" spans="1:6" x14ac:dyDescent="0.25">
      <c r="A112" s="19">
        <v>52000</v>
      </c>
      <c r="B112" s="20">
        <f t="shared" si="5"/>
        <v>4333.333333333333</v>
      </c>
      <c r="C112" s="20">
        <f t="shared" si="3"/>
        <v>100</v>
      </c>
      <c r="D112" s="20">
        <f>MAX('TANF-VIEW'!L113,'TANF-VIEW'!T113)</f>
        <v>0</v>
      </c>
      <c r="E112" s="20">
        <f t="shared" si="4"/>
        <v>4433.333333333333</v>
      </c>
      <c r="F112" s="178">
        <f>IF(AND('Total income package'!$A$24=TRUE,E112&lt;$I$2),'Program specific data'!$B$119*WIC!$G$2,0)</f>
        <v>0</v>
      </c>
    </row>
    <row r="113" spans="1:6" x14ac:dyDescent="0.25">
      <c r="A113" s="19">
        <v>52500</v>
      </c>
      <c r="B113" s="20">
        <f t="shared" si="5"/>
        <v>4375</v>
      </c>
      <c r="C113" s="20">
        <f t="shared" si="3"/>
        <v>100</v>
      </c>
      <c r="D113" s="20">
        <f>MAX('TANF-VIEW'!L114,'TANF-VIEW'!T114)</f>
        <v>0</v>
      </c>
      <c r="E113" s="20">
        <f t="shared" si="4"/>
        <v>4475</v>
      </c>
      <c r="F113" s="178">
        <f>IF(AND('Total income package'!$A$24=TRUE,E113&lt;$I$2),'Program specific data'!$B$119*WIC!$G$2,0)</f>
        <v>0</v>
      </c>
    </row>
    <row r="114" spans="1:6" x14ac:dyDescent="0.25">
      <c r="A114" s="19">
        <v>53000</v>
      </c>
      <c r="B114" s="20">
        <f t="shared" si="5"/>
        <v>4416.666666666667</v>
      </c>
      <c r="C114" s="20">
        <f t="shared" si="3"/>
        <v>100</v>
      </c>
      <c r="D114" s="20">
        <f>MAX('TANF-VIEW'!L115,'TANF-VIEW'!T115)</f>
        <v>0</v>
      </c>
      <c r="E114" s="20">
        <f t="shared" si="4"/>
        <v>4516.666666666667</v>
      </c>
      <c r="F114" s="178">
        <f>IF(AND('Total income package'!$A$24=TRUE,E114&lt;$I$2),'Program specific data'!$B$119*WIC!$G$2,0)</f>
        <v>0</v>
      </c>
    </row>
    <row r="115" spans="1:6" x14ac:dyDescent="0.25">
      <c r="A115" s="19">
        <v>53500</v>
      </c>
      <c r="B115" s="20">
        <f t="shared" si="5"/>
        <v>4458.333333333333</v>
      </c>
      <c r="C115" s="20">
        <f t="shared" si="3"/>
        <v>100</v>
      </c>
      <c r="D115" s="20">
        <f>MAX('TANF-VIEW'!L116,'TANF-VIEW'!T116)</f>
        <v>0</v>
      </c>
      <c r="E115" s="20">
        <f t="shared" si="4"/>
        <v>4558.333333333333</v>
      </c>
      <c r="F115" s="178">
        <f>IF(AND('Total income package'!$A$24=TRUE,E115&lt;$I$2),'Program specific data'!$B$119*WIC!$G$2,0)</f>
        <v>0</v>
      </c>
    </row>
    <row r="116" spans="1:6" x14ac:dyDescent="0.25">
      <c r="A116" s="19">
        <v>54000</v>
      </c>
      <c r="B116" s="20">
        <f t="shared" si="5"/>
        <v>4500</v>
      </c>
      <c r="C116" s="20">
        <f t="shared" si="3"/>
        <v>100</v>
      </c>
      <c r="D116" s="20">
        <f>MAX('TANF-VIEW'!L117,'TANF-VIEW'!T117)</f>
        <v>0</v>
      </c>
      <c r="E116" s="20">
        <f t="shared" si="4"/>
        <v>4600</v>
      </c>
      <c r="F116" s="178">
        <f>IF(AND('Total income package'!$A$24=TRUE,E116&lt;$I$2),'Program specific data'!$B$119*WIC!$G$2,0)</f>
        <v>0</v>
      </c>
    </row>
    <row r="117" spans="1:6" x14ac:dyDescent="0.25">
      <c r="A117" s="19">
        <v>54500</v>
      </c>
      <c r="B117" s="20">
        <f t="shared" si="5"/>
        <v>4541.666666666667</v>
      </c>
      <c r="C117" s="20">
        <f t="shared" si="3"/>
        <v>100</v>
      </c>
      <c r="D117" s="20">
        <f>MAX('TANF-VIEW'!L118,'TANF-VIEW'!T118)</f>
        <v>0</v>
      </c>
      <c r="E117" s="20">
        <f t="shared" si="4"/>
        <v>4641.666666666667</v>
      </c>
      <c r="F117" s="178">
        <f>IF(AND('Total income package'!$A$24=TRUE,E117&lt;$I$2),'Program specific data'!$B$119*WIC!$G$2,0)</f>
        <v>0</v>
      </c>
    </row>
    <row r="118" spans="1:6" x14ac:dyDescent="0.25">
      <c r="A118" s="19">
        <v>55000</v>
      </c>
      <c r="B118" s="20">
        <f t="shared" si="5"/>
        <v>4583.333333333333</v>
      </c>
      <c r="C118" s="20">
        <f t="shared" si="3"/>
        <v>100</v>
      </c>
      <c r="D118" s="20">
        <f>MAX('TANF-VIEW'!L119,'TANF-VIEW'!T119)</f>
        <v>0</v>
      </c>
      <c r="E118" s="20">
        <f t="shared" si="4"/>
        <v>4683.333333333333</v>
      </c>
      <c r="F118" s="178">
        <f>IF(AND('Total income package'!$A$24=TRUE,E118&lt;$I$2),'Program specific data'!$B$119*WIC!$G$2,0)</f>
        <v>0</v>
      </c>
    </row>
    <row r="119" spans="1:6" x14ac:dyDescent="0.25">
      <c r="A119" s="19">
        <v>55500</v>
      </c>
      <c r="B119" s="20">
        <f t="shared" si="5"/>
        <v>4625</v>
      </c>
      <c r="C119" s="20">
        <f t="shared" si="3"/>
        <v>100</v>
      </c>
      <c r="D119" s="20">
        <f>MAX('TANF-VIEW'!L120,'TANF-VIEW'!T120)</f>
        <v>0</v>
      </c>
      <c r="E119" s="20">
        <f t="shared" si="4"/>
        <v>4725</v>
      </c>
      <c r="F119" s="178">
        <f>IF(AND('Total income package'!$A$24=TRUE,E119&lt;$I$2),'Program specific data'!$B$119*WIC!$G$2,0)</f>
        <v>0</v>
      </c>
    </row>
    <row r="120" spans="1:6" x14ac:dyDescent="0.25">
      <c r="A120" s="19">
        <v>56000</v>
      </c>
      <c r="B120" s="20">
        <f t="shared" si="5"/>
        <v>4666.666666666667</v>
      </c>
      <c r="C120" s="20">
        <f t="shared" si="3"/>
        <v>100</v>
      </c>
      <c r="D120" s="20">
        <f>MAX('TANF-VIEW'!L121,'TANF-VIEW'!T121)</f>
        <v>0</v>
      </c>
      <c r="E120" s="20">
        <f t="shared" si="4"/>
        <v>4766.666666666667</v>
      </c>
      <c r="F120" s="178">
        <f>IF(AND('Total income package'!$A$24=TRUE,E120&lt;$I$2),'Program specific data'!$B$119*WIC!$G$2,0)</f>
        <v>0</v>
      </c>
    </row>
    <row r="121" spans="1:6" x14ac:dyDescent="0.25">
      <c r="A121" s="19">
        <v>56500</v>
      </c>
      <c r="B121" s="20">
        <f t="shared" si="5"/>
        <v>4708.333333333333</v>
      </c>
      <c r="C121" s="20">
        <f t="shared" si="3"/>
        <v>100</v>
      </c>
      <c r="D121" s="20">
        <f>MAX('TANF-VIEW'!L122,'TANF-VIEW'!T122)</f>
        <v>0</v>
      </c>
      <c r="E121" s="20">
        <f t="shared" si="4"/>
        <v>4808.333333333333</v>
      </c>
      <c r="F121" s="178">
        <f>IF(AND('Total income package'!$A$24=TRUE,E121&lt;$I$2),'Program specific data'!$B$119*WIC!$G$2,0)</f>
        <v>0</v>
      </c>
    </row>
    <row r="122" spans="1:6" x14ac:dyDescent="0.25">
      <c r="A122" s="19">
        <v>57000</v>
      </c>
      <c r="B122" s="20">
        <f t="shared" si="5"/>
        <v>4750</v>
      </c>
      <c r="C122" s="20">
        <f t="shared" si="3"/>
        <v>100</v>
      </c>
      <c r="D122" s="20">
        <f>MAX('TANF-VIEW'!L123,'TANF-VIEW'!T123)</f>
        <v>0</v>
      </c>
      <c r="E122" s="20">
        <f t="shared" si="4"/>
        <v>4850</v>
      </c>
      <c r="F122" s="178">
        <f>IF(AND('Total income package'!$A$24=TRUE,E122&lt;$I$2),'Program specific data'!$B$119*WIC!$G$2,0)</f>
        <v>0</v>
      </c>
    </row>
    <row r="123" spans="1:6" x14ac:dyDescent="0.25">
      <c r="A123" s="19">
        <v>57500</v>
      </c>
      <c r="B123" s="20">
        <f t="shared" si="5"/>
        <v>4791.666666666667</v>
      </c>
      <c r="C123" s="20">
        <f t="shared" si="3"/>
        <v>100</v>
      </c>
      <c r="D123" s="20">
        <f>MAX('TANF-VIEW'!L124,'TANF-VIEW'!T124)</f>
        <v>0</v>
      </c>
      <c r="E123" s="20">
        <f t="shared" si="4"/>
        <v>4891.666666666667</v>
      </c>
      <c r="F123" s="178">
        <f>IF(AND('Total income package'!$A$24=TRUE,E123&lt;$I$2),'Program specific data'!$B$119*WIC!$G$2,0)</f>
        <v>0</v>
      </c>
    </row>
    <row r="124" spans="1:6" x14ac:dyDescent="0.25">
      <c r="A124" s="19">
        <v>58000</v>
      </c>
      <c r="B124" s="20">
        <f t="shared" si="5"/>
        <v>4833.333333333333</v>
      </c>
      <c r="C124" s="20">
        <f t="shared" si="3"/>
        <v>100</v>
      </c>
      <c r="D124" s="20">
        <f>MAX('TANF-VIEW'!L125,'TANF-VIEW'!T125)</f>
        <v>0</v>
      </c>
      <c r="E124" s="20">
        <f t="shared" si="4"/>
        <v>4933.333333333333</v>
      </c>
      <c r="F124" s="178">
        <f>IF(AND('Total income package'!$A$24=TRUE,E124&lt;$I$2),'Program specific data'!$B$119*WIC!$G$2,0)</f>
        <v>0</v>
      </c>
    </row>
    <row r="125" spans="1:6" x14ac:dyDescent="0.25">
      <c r="A125" s="19">
        <v>58500</v>
      </c>
      <c r="B125" s="20">
        <f t="shared" si="5"/>
        <v>4875</v>
      </c>
      <c r="C125" s="20">
        <f t="shared" si="3"/>
        <v>100</v>
      </c>
      <c r="D125" s="20">
        <f>MAX('TANF-VIEW'!L126,'TANF-VIEW'!T126)</f>
        <v>0</v>
      </c>
      <c r="E125" s="20">
        <f t="shared" si="4"/>
        <v>4975</v>
      </c>
      <c r="F125" s="178">
        <f>IF(AND('Total income package'!$A$24=TRUE,E125&lt;$I$2),'Program specific data'!$B$119*WIC!$G$2,0)</f>
        <v>0</v>
      </c>
    </row>
    <row r="126" spans="1:6" x14ac:dyDescent="0.25">
      <c r="A126" s="19">
        <v>59000</v>
      </c>
      <c r="B126" s="20">
        <f t="shared" si="5"/>
        <v>4916.666666666667</v>
      </c>
      <c r="C126" s="20">
        <f t="shared" si="3"/>
        <v>100</v>
      </c>
      <c r="D126" s="20">
        <f>MAX('TANF-VIEW'!L127,'TANF-VIEW'!T127)</f>
        <v>0</v>
      </c>
      <c r="E126" s="20">
        <f t="shared" si="4"/>
        <v>5016.666666666667</v>
      </c>
      <c r="F126" s="178">
        <f>IF(AND('Total income package'!$A$24=TRUE,E126&lt;$I$2),'Program specific data'!$B$119*WIC!$G$2,0)</f>
        <v>0</v>
      </c>
    </row>
    <row r="127" spans="1:6" x14ac:dyDescent="0.25">
      <c r="A127" s="19">
        <v>59500</v>
      </c>
      <c r="B127" s="20">
        <f t="shared" si="5"/>
        <v>4958.333333333333</v>
      </c>
      <c r="C127" s="20">
        <f t="shared" si="3"/>
        <v>100</v>
      </c>
      <c r="D127" s="20">
        <f>MAX('TANF-VIEW'!L128,'TANF-VIEW'!T128)</f>
        <v>0</v>
      </c>
      <c r="E127" s="20">
        <f t="shared" si="4"/>
        <v>5058.333333333333</v>
      </c>
      <c r="F127" s="178">
        <f>IF(AND('Total income package'!$A$24=TRUE,E127&lt;$I$2),'Program specific data'!$B$119*WIC!$G$2,0)</f>
        <v>0</v>
      </c>
    </row>
    <row r="128" spans="1:6" x14ac:dyDescent="0.25">
      <c r="A128" s="19">
        <v>60000</v>
      </c>
      <c r="B128" s="20">
        <f t="shared" si="5"/>
        <v>5000</v>
      </c>
      <c r="C128" s="20">
        <f t="shared" si="3"/>
        <v>100</v>
      </c>
      <c r="D128" s="20">
        <f>MAX('TANF-VIEW'!L129,'TANF-VIEW'!T129)</f>
        <v>0</v>
      </c>
      <c r="E128" s="20">
        <f t="shared" si="4"/>
        <v>5100</v>
      </c>
      <c r="F128" s="178">
        <f>IF(AND('Total income package'!$A$24=TRUE,E128&lt;$I$2),'Program specific data'!$B$119*WIC!$G$2,0)</f>
        <v>0</v>
      </c>
    </row>
    <row r="129" spans="1:6" x14ac:dyDescent="0.25">
      <c r="A129" s="19">
        <v>60500</v>
      </c>
      <c r="B129" s="20">
        <f t="shared" si="5"/>
        <v>5041.666666666667</v>
      </c>
      <c r="C129" s="20">
        <f t="shared" si="3"/>
        <v>100</v>
      </c>
      <c r="D129" s="20">
        <f>MAX('TANF-VIEW'!L130,'TANF-VIEW'!T130)</f>
        <v>0</v>
      </c>
      <c r="E129" s="20">
        <f t="shared" si="4"/>
        <v>5141.666666666667</v>
      </c>
      <c r="F129" s="178">
        <f>IF(AND('Total income package'!$A$24=TRUE,E129&lt;$I$2),'Program specific data'!$B$119*WIC!$G$2,0)</f>
        <v>0</v>
      </c>
    </row>
    <row r="130" spans="1:6" x14ac:dyDescent="0.25">
      <c r="A130" s="19">
        <v>61000</v>
      </c>
      <c r="B130" s="20">
        <f t="shared" si="5"/>
        <v>5083.333333333333</v>
      </c>
      <c r="C130" s="20">
        <f t="shared" si="3"/>
        <v>100</v>
      </c>
      <c r="D130" s="20">
        <f>MAX('TANF-VIEW'!L131,'TANF-VIEW'!T131)</f>
        <v>0</v>
      </c>
      <c r="E130" s="20">
        <f t="shared" si="4"/>
        <v>5183.333333333333</v>
      </c>
      <c r="F130" s="178">
        <f>IF(AND('Total income package'!$A$24=TRUE,E130&lt;$I$2),'Program specific data'!$B$119*WIC!$G$2,0)</f>
        <v>0</v>
      </c>
    </row>
    <row r="131" spans="1:6" x14ac:dyDescent="0.25">
      <c r="A131" s="19">
        <v>61500</v>
      </c>
      <c r="B131" s="20">
        <f t="shared" si="5"/>
        <v>5125</v>
      </c>
      <c r="C131" s="20">
        <f t="shared" si="3"/>
        <v>100</v>
      </c>
      <c r="D131" s="20">
        <f>MAX('TANF-VIEW'!L132,'TANF-VIEW'!T132)</f>
        <v>0</v>
      </c>
      <c r="E131" s="20">
        <f t="shared" si="4"/>
        <v>5225</v>
      </c>
      <c r="F131" s="178">
        <f>IF(AND('Total income package'!$A$24=TRUE,E131&lt;$I$2),'Program specific data'!$B$119*WIC!$G$2,0)</f>
        <v>0</v>
      </c>
    </row>
    <row r="132" spans="1:6" x14ac:dyDescent="0.25">
      <c r="A132" s="19">
        <v>62000</v>
      </c>
      <c r="B132" s="20">
        <f t="shared" si="5"/>
        <v>5166.666666666667</v>
      </c>
      <c r="C132" s="20">
        <f t="shared" si="3"/>
        <v>100</v>
      </c>
      <c r="D132" s="20">
        <f>MAX('TANF-VIEW'!L133,'TANF-VIEW'!T133)</f>
        <v>0</v>
      </c>
      <c r="E132" s="20">
        <f t="shared" si="4"/>
        <v>5266.666666666667</v>
      </c>
      <c r="F132" s="178">
        <f>IF(AND('Total income package'!$A$24=TRUE,E132&lt;$I$2),'Program specific data'!$B$119*WIC!$G$2,0)</f>
        <v>0</v>
      </c>
    </row>
    <row r="133" spans="1:6" x14ac:dyDescent="0.25">
      <c r="A133" s="19">
        <v>62500</v>
      </c>
      <c r="B133" s="20">
        <f t="shared" si="5"/>
        <v>5208.333333333333</v>
      </c>
      <c r="C133" s="20">
        <f t="shared" si="3"/>
        <v>100</v>
      </c>
      <c r="D133" s="20">
        <f>MAX('TANF-VIEW'!L134,'TANF-VIEW'!T134)</f>
        <v>0</v>
      </c>
      <c r="E133" s="20">
        <f t="shared" si="4"/>
        <v>5308.333333333333</v>
      </c>
      <c r="F133" s="178">
        <f>IF(AND('Total income package'!$A$24=TRUE,E133&lt;$I$2),'Program specific data'!$B$119*WIC!$G$2,0)</f>
        <v>0</v>
      </c>
    </row>
    <row r="134" spans="1:6" x14ac:dyDescent="0.25">
      <c r="A134" s="19">
        <v>63000</v>
      </c>
      <c r="B134" s="20">
        <f t="shared" si="5"/>
        <v>5250</v>
      </c>
      <c r="C134" s="20">
        <f t="shared" si="3"/>
        <v>100</v>
      </c>
      <c r="D134" s="20">
        <f>MAX('TANF-VIEW'!L135,'TANF-VIEW'!T135)</f>
        <v>0</v>
      </c>
      <c r="E134" s="20">
        <f t="shared" si="4"/>
        <v>5350</v>
      </c>
      <c r="F134" s="178">
        <f>IF(AND('Total income package'!$A$24=TRUE,E134&lt;$I$2),'Program specific data'!$B$119*WIC!$G$2,0)</f>
        <v>0</v>
      </c>
    </row>
    <row r="135" spans="1:6" x14ac:dyDescent="0.25">
      <c r="A135" s="19">
        <v>63500</v>
      </c>
      <c r="B135" s="20">
        <f t="shared" si="5"/>
        <v>5291.666666666667</v>
      </c>
      <c r="C135" s="20">
        <f t="shared" si="3"/>
        <v>100</v>
      </c>
      <c r="D135" s="20">
        <f>MAX('TANF-VIEW'!L136,'TANF-VIEW'!T136)</f>
        <v>0</v>
      </c>
      <c r="E135" s="20">
        <f t="shared" si="4"/>
        <v>5391.666666666667</v>
      </c>
      <c r="F135" s="178">
        <f>IF(AND('Total income package'!$A$24=TRUE,E135&lt;$I$2),'Program specific data'!$B$119*WIC!$G$2,0)</f>
        <v>0</v>
      </c>
    </row>
    <row r="136" spans="1:6" x14ac:dyDescent="0.25">
      <c r="A136" s="19">
        <v>64000</v>
      </c>
      <c r="B136" s="20">
        <f t="shared" si="5"/>
        <v>5333.333333333333</v>
      </c>
      <c r="C136" s="20">
        <f t="shared" si="3"/>
        <v>100</v>
      </c>
      <c r="D136" s="20">
        <f>MAX('TANF-VIEW'!L137,'TANF-VIEW'!T137)</f>
        <v>0</v>
      </c>
      <c r="E136" s="20">
        <f t="shared" si="4"/>
        <v>5433.333333333333</v>
      </c>
      <c r="F136" s="178">
        <f>IF(AND('Total income package'!$A$24=TRUE,E136&lt;$I$2),'Program specific data'!$B$119*WIC!$G$2,0)</f>
        <v>0</v>
      </c>
    </row>
    <row r="137" spans="1:6" x14ac:dyDescent="0.25">
      <c r="A137" s="19">
        <v>64500</v>
      </c>
      <c r="B137" s="20">
        <f t="shared" si="5"/>
        <v>5375</v>
      </c>
      <c r="C137" s="20">
        <f t="shared" ref="C137:C200" si="6">$H$2</f>
        <v>100</v>
      </c>
      <c r="D137" s="20">
        <f>MAX('TANF-VIEW'!L138,'TANF-VIEW'!T138)</f>
        <v>0</v>
      </c>
      <c r="E137" s="20">
        <f t="shared" ref="E137:E200" si="7">B137+C137+D137</f>
        <v>5475</v>
      </c>
      <c r="F137" s="178">
        <f>IF(AND('Total income package'!$A$24=TRUE,E137&lt;$I$2),'Program specific data'!$B$119*WIC!$G$2,0)</f>
        <v>0</v>
      </c>
    </row>
    <row r="138" spans="1:6" x14ac:dyDescent="0.25">
      <c r="A138" s="19">
        <v>65000</v>
      </c>
      <c r="B138" s="20">
        <f t="shared" ref="B138:B201" si="8">A138/12</f>
        <v>5416.666666666667</v>
      </c>
      <c r="C138" s="20">
        <f t="shared" si="6"/>
        <v>100</v>
      </c>
      <c r="D138" s="20">
        <f>MAX('TANF-VIEW'!L139,'TANF-VIEW'!T139)</f>
        <v>0</v>
      </c>
      <c r="E138" s="20">
        <f t="shared" si="7"/>
        <v>5516.666666666667</v>
      </c>
      <c r="F138" s="178">
        <f>IF(AND('Total income package'!$A$24=TRUE,E138&lt;$I$2),'Program specific data'!$B$119*WIC!$G$2,0)</f>
        <v>0</v>
      </c>
    </row>
    <row r="139" spans="1:6" x14ac:dyDescent="0.25">
      <c r="A139" s="19">
        <v>65500</v>
      </c>
      <c r="B139" s="20">
        <f t="shared" si="8"/>
        <v>5458.333333333333</v>
      </c>
      <c r="C139" s="20">
        <f t="shared" si="6"/>
        <v>100</v>
      </c>
      <c r="D139" s="20">
        <f>MAX('TANF-VIEW'!L140,'TANF-VIEW'!T140)</f>
        <v>0</v>
      </c>
      <c r="E139" s="20">
        <f t="shared" si="7"/>
        <v>5558.333333333333</v>
      </c>
      <c r="F139" s="178">
        <f>IF(AND('Total income package'!$A$24=TRUE,E139&lt;$I$2),'Program specific data'!$B$119*WIC!$G$2,0)</f>
        <v>0</v>
      </c>
    </row>
    <row r="140" spans="1:6" x14ac:dyDescent="0.25">
      <c r="A140" s="19">
        <v>66000</v>
      </c>
      <c r="B140" s="20">
        <f t="shared" si="8"/>
        <v>5500</v>
      </c>
      <c r="C140" s="20">
        <f t="shared" si="6"/>
        <v>100</v>
      </c>
      <c r="D140" s="20">
        <f>MAX('TANF-VIEW'!L141,'TANF-VIEW'!T141)</f>
        <v>0</v>
      </c>
      <c r="E140" s="20">
        <f t="shared" si="7"/>
        <v>5600</v>
      </c>
      <c r="F140" s="178">
        <f>IF(AND('Total income package'!$A$24=TRUE,E140&lt;$I$2),'Program specific data'!$B$119*WIC!$G$2,0)</f>
        <v>0</v>
      </c>
    </row>
    <row r="141" spans="1:6" x14ac:dyDescent="0.25">
      <c r="A141" s="19">
        <v>66500</v>
      </c>
      <c r="B141" s="20">
        <f t="shared" si="8"/>
        <v>5541.666666666667</v>
      </c>
      <c r="C141" s="20">
        <f t="shared" si="6"/>
        <v>100</v>
      </c>
      <c r="D141" s="20">
        <f>MAX('TANF-VIEW'!L142,'TANF-VIEW'!T142)</f>
        <v>0</v>
      </c>
      <c r="E141" s="20">
        <f t="shared" si="7"/>
        <v>5641.666666666667</v>
      </c>
      <c r="F141" s="178">
        <f>IF(AND('Total income package'!$A$24=TRUE,E141&lt;$I$2),'Program specific data'!$B$119*WIC!$G$2,0)</f>
        <v>0</v>
      </c>
    </row>
    <row r="142" spans="1:6" x14ac:dyDescent="0.25">
      <c r="A142" s="19">
        <v>67000</v>
      </c>
      <c r="B142" s="20">
        <f t="shared" si="8"/>
        <v>5583.333333333333</v>
      </c>
      <c r="C142" s="20">
        <f t="shared" si="6"/>
        <v>100</v>
      </c>
      <c r="D142" s="20">
        <f>MAX('TANF-VIEW'!L143,'TANF-VIEW'!T143)</f>
        <v>0</v>
      </c>
      <c r="E142" s="20">
        <f t="shared" si="7"/>
        <v>5683.333333333333</v>
      </c>
      <c r="F142" s="178">
        <f>IF(AND('Total income package'!$A$24=TRUE,E142&lt;$I$2),'Program specific data'!$B$119*WIC!$G$2,0)</f>
        <v>0</v>
      </c>
    </row>
    <row r="143" spans="1:6" x14ac:dyDescent="0.25">
      <c r="A143" s="19">
        <v>67500</v>
      </c>
      <c r="B143" s="20">
        <f t="shared" si="8"/>
        <v>5625</v>
      </c>
      <c r="C143" s="20">
        <f t="shared" si="6"/>
        <v>100</v>
      </c>
      <c r="D143" s="20">
        <f>MAX('TANF-VIEW'!L144,'TANF-VIEW'!T144)</f>
        <v>0</v>
      </c>
      <c r="E143" s="20">
        <f t="shared" si="7"/>
        <v>5725</v>
      </c>
      <c r="F143" s="178">
        <f>IF(AND('Total income package'!$A$24=TRUE,E143&lt;$I$2),'Program specific data'!$B$119*WIC!$G$2,0)</f>
        <v>0</v>
      </c>
    </row>
    <row r="144" spans="1:6" x14ac:dyDescent="0.25">
      <c r="A144" s="19">
        <v>68000</v>
      </c>
      <c r="B144" s="20">
        <f t="shared" si="8"/>
        <v>5666.666666666667</v>
      </c>
      <c r="C144" s="20">
        <f t="shared" si="6"/>
        <v>100</v>
      </c>
      <c r="D144" s="20">
        <f>MAX('TANF-VIEW'!L145,'TANF-VIEW'!T145)</f>
        <v>0</v>
      </c>
      <c r="E144" s="20">
        <f t="shared" si="7"/>
        <v>5766.666666666667</v>
      </c>
      <c r="F144" s="178">
        <f>IF(AND('Total income package'!$A$24=TRUE,E144&lt;$I$2),'Program specific data'!$B$119*WIC!$G$2,0)</f>
        <v>0</v>
      </c>
    </row>
    <row r="145" spans="1:6" x14ac:dyDescent="0.25">
      <c r="A145" s="19">
        <v>68500</v>
      </c>
      <c r="B145" s="20">
        <f t="shared" si="8"/>
        <v>5708.333333333333</v>
      </c>
      <c r="C145" s="20">
        <f t="shared" si="6"/>
        <v>100</v>
      </c>
      <c r="D145" s="20">
        <f>MAX('TANF-VIEW'!L146,'TANF-VIEW'!T146)</f>
        <v>0</v>
      </c>
      <c r="E145" s="20">
        <f t="shared" si="7"/>
        <v>5808.333333333333</v>
      </c>
      <c r="F145" s="178">
        <f>IF(AND('Total income package'!$A$24=TRUE,E145&lt;$I$2),'Program specific data'!$B$119*WIC!$G$2,0)</f>
        <v>0</v>
      </c>
    </row>
    <row r="146" spans="1:6" x14ac:dyDescent="0.25">
      <c r="A146" s="19">
        <v>69000</v>
      </c>
      <c r="B146" s="20">
        <f t="shared" si="8"/>
        <v>5750</v>
      </c>
      <c r="C146" s="20">
        <f t="shared" si="6"/>
        <v>100</v>
      </c>
      <c r="D146" s="20">
        <f>MAX('TANF-VIEW'!L147,'TANF-VIEW'!T147)</f>
        <v>0</v>
      </c>
      <c r="E146" s="20">
        <f t="shared" si="7"/>
        <v>5850</v>
      </c>
      <c r="F146" s="178">
        <f>IF(AND('Total income package'!$A$24=TRUE,E146&lt;$I$2),'Program specific data'!$B$119*WIC!$G$2,0)</f>
        <v>0</v>
      </c>
    </row>
    <row r="147" spans="1:6" x14ac:dyDescent="0.25">
      <c r="A147" s="19">
        <v>69500</v>
      </c>
      <c r="B147" s="20">
        <f t="shared" si="8"/>
        <v>5791.666666666667</v>
      </c>
      <c r="C147" s="20">
        <f t="shared" si="6"/>
        <v>100</v>
      </c>
      <c r="D147" s="20">
        <f>MAX('TANF-VIEW'!L148,'TANF-VIEW'!T148)</f>
        <v>0</v>
      </c>
      <c r="E147" s="20">
        <f t="shared" si="7"/>
        <v>5891.666666666667</v>
      </c>
      <c r="F147" s="178">
        <f>IF(AND('Total income package'!$A$24=TRUE,E147&lt;$I$2),'Program specific data'!$B$119*WIC!$G$2,0)</f>
        <v>0</v>
      </c>
    </row>
    <row r="148" spans="1:6" x14ac:dyDescent="0.25">
      <c r="A148" s="19">
        <v>70000</v>
      </c>
      <c r="B148" s="20">
        <f t="shared" si="8"/>
        <v>5833.333333333333</v>
      </c>
      <c r="C148" s="20">
        <f t="shared" si="6"/>
        <v>100</v>
      </c>
      <c r="D148" s="20">
        <f>MAX('TANF-VIEW'!L149,'TANF-VIEW'!T149)</f>
        <v>0</v>
      </c>
      <c r="E148" s="20">
        <f t="shared" si="7"/>
        <v>5933.333333333333</v>
      </c>
      <c r="F148" s="178">
        <f>IF(AND('Total income package'!$A$24=TRUE,E148&lt;$I$2),'Program specific data'!$B$119*WIC!$G$2,0)</f>
        <v>0</v>
      </c>
    </row>
    <row r="149" spans="1:6" x14ac:dyDescent="0.25">
      <c r="A149" s="19">
        <v>70500</v>
      </c>
      <c r="B149" s="20">
        <f t="shared" si="8"/>
        <v>5875</v>
      </c>
      <c r="C149" s="20">
        <f t="shared" si="6"/>
        <v>100</v>
      </c>
      <c r="D149" s="20">
        <f>MAX('TANF-VIEW'!L150,'TANF-VIEW'!T150)</f>
        <v>0</v>
      </c>
      <c r="E149" s="20">
        <f t="shared" si="7"/>
        <v>5975</v>
      </c>
      <c r="F149" s="178">
        <f>IF(AND('Total income package'!$A$24=TRUE,E149&lt;$I$2),'Program specific data'!$B$119*WIC!$G$2,0)</f>
        <v>0</v>
      </c>
    </row>
    <row r="150" spans="1:6" x14ac:dyDescent="0.25">
      <c r="A150" s="19">
        <v>71000</v>
      </c>
      <c r="B150" s="20">
        <f t="shared" si="8"/>
        <v>5916.666666666667</v>
      </c>
      <c r="C150" s="20">
        <f t="shared" si="6"/>
        <v>100</v>
      </c>
      <c r="D150" s="20">
        <f>MAX('TANF-VIEW'!L151,'TANF-VIEW'!T151)</f>
        <v>0</v>
      </c>
      <c r="E150" s="20">
        <f t="shared" si="7"/>
        <v>6016.666666666667</v>
      </c>
      <c r="F150" s="178">
        <f>IF(AND('Total income package'!$A$24=TRUE,E150&lt;$I$2),'Program specific data'!$B$119*WIC!$G$2,0)</f>
        <v>0</v>
      </c>
    </row>
    <row r="151" spans="1:6" x14ac:dyDescent="0.25">
      <c r="A151" s="19">
        <v>71500</v>
      </c>
      <c r="B151" s="20">
        <f t="shared" si="8"/>
        <v>5958.333333333333</v>
      </c>
      <c r="C151" s="20">
        <f t="shared" si="6"/>
        <v>100</v>
      </c>
      <c r="D151" s="20">
        <f>MAX('TANF-VIEW'!L152,'TANF-VIEW'!T152)</f>
        <v>0</v>
      </c>
      <c r="E151" s="20">
        <f t="shared" si="7"/>
        <v>6058.333333333333</v>
      </c>
      <c r="F151" s="178">
        <f>IF(AND('Total income package'!$A$24=TRUE,E151&lt;$I$2),'Program specific data'!$B$119*WIC!$G$2,0)</f>
        <v>0</v>
      </c>
    </row>
    <row r="152" spans="1:6" x14ac:dyDescent="0.25">
      <c r="A152" s="19">
        <v>72000</v>
      </c>
      <c r="B152" s="20">
        <f t="shared" si="8"/>
        <v>6000</v>
      </c>
      <c r="C152" s="20">
        <f t="shared" si="6"/>
        <v>100</v>
      </c>
      <c r="D152" s="20">
        <f>MAX('TANF-VIEW'!L153,'TANF-VIEW'!T153)</f>
        <v>0</v>
      </c>
      <c r="E152" s="20">
        <f t="shared" si="7"/>
        <v>6100</v>
      </c>
      <c r="F152" s="178">
        <f>IF(AND('Total income package'!$A$24=TRUE,E152&lt;$I$2),'Program specific data'!$B$119*WIC!$G$2,0)</f>
        <v>0</v>
      </c>
    </row>
    <row r="153" spans="1:6" x14ac:dyDescent="0.25">
      <c r="A153" s="19">
        <v>72500</v>
      </c>
      <c r="B153" s="20">
        <f t="shared" si="8"/>
        <v>6041.666666666667</v>
      </c>
      <c r="C153" s="20">
        <f t="shared" si="6"/>
        <v>100</v>
      </c>
      <c r="D153" s="20">
        <f>MAX('TANF-VIEW'!L154,'TANF-VIEW'!T154)</f>
        <v>0</v>
      </c>
      <c r="E153" s="20">
        <f t="shared" si="7"/>
        <v>6141.666666666667</v>
      </c>
      <c r="F153" s="178">
        <f>IF(AND('Total income package'!$A$24=TRUE,E153&lt;$I$2),'Program specific data'!$B$119*WIC!$G$2,0)</f>
        <v>0</v>
      </c>
    </row>
    <row r="154" spans="1:6" x14ac:dyDescent="0.25">
      <c r="A154" s="19">
        <v>73000</v>
      </c>
      <c r="B154" s="20">
        <f t="shared" si="8"/>
        <v>6083.333333333333</v>
      </c>
      <c r="C154" s="20">
        <f t="shared" si="6"/>
        <v>100</v>
      </c>
      <c r="D154" s="20">
        <f>MAX('TANF-VIEW'!L155,'TANF-VIEW'!T155)</f>
        <v>0</v>
      </c>
      <c r="E154" s="20">
        <f t="shared" si="7"/>
        <v>6183.333333333333</v>
      </c>
      <c r="F154" s="178">
        <f>IF(AND('Total income package'!$A$24=TRUE,E154&lt;$I$2),'Program specific data'!$B$119*WIC!$G$2,0)</f>
        <v>0</v>
      </c>
    </row>
    <row r="155" spans="1:6" x14ac:dyDescent="0.25">
      <c r="A155" s="19">
        <v>73500</v>
      </c>
      <c r="B155" s="20">
        <f t="shared" si="8"/>
        <v>6125</v>
      </c>
      <c r="C155" s="20">
        <f t="shared" si="6"/>
        <v>100</v>
      </c>
      <c r="D155" s="20">
        <f>MAX('TANF-VIEW'!L156,'TANF-VIEW'!T156)</f>
        <v>0</v>
      </c>
      <c r="E155" s="20">
        <f t="shared" si="7"/>
        <v>6225</v>
      </c>
      <c r="F155" s="178">
        <f>IF(AND('Total income package'!$A$24=TRUE,E155&lt;$I$2),'Program specific data'!$B$119*WIC!$G$2,0)</f>
        <v>0</v>
      </c>
    </row>
    <row r="156" spans="1:6" x14ac:dyDescent="0.25">
      <c r="A156" s="19">
        <v>74000</v>
      </c>
      <c r="B156" s="20">
        <f t="shared" si="8"/>
        <v>6166.666666666667</v>
      </c>
      <c r="C156" s="20">
        <f t="shared" si="6"/>
        <v>100</v>
      </c>
      <c r="D156" s="20">
        <f>MAX('TANF-VIEW'!L157,'TANF-VIEW'!T157)</f>
        <v>0</v>
      </c>
      <c r="E156" s="20">
        <f t="shared" si="7"/>
        <v>6266.666666666667</v>
      </c>
      <c r="F156" s="178">
        <f>IF(AND('Total income package'!$A$24=TRUE,E156&lt;$I$2),'Program specific data'!$B$119*WIC!$G$2,0)</f>
        <v>0</v>
      </c>
    </row>
    <row r="157" spans="1:6" x14ac:dyDescent="0.25">
      <c r="A157" s="19">
        <v>74500</v>
      </c>
      <c r="B157" s="20">
        <f t="shared" si="8"/>
        <v>6208.333333333333</v>
      </c>
      <c r="C157" s="20">
        <f t="shared" si="6"/>
        <v>100</v>
      </c>
      <c r="D157" s="20">
        <f>MAX('TANF-VIEW'!L158,'TANF-VIEW'!T158)</f>
        <v>0</v>
      </c>
      <c r="E157" s="20">
        <f t="shared" si="7"/>
        <v>6308.333333333333</v>
      </c>
      <c r="F157" s="178">
        <f>IF(AND('Total income package'!$A$24=TRUE,E157&lt;$I$2),'Program specific data'!$B$119*WIC!$G$2,0)</f>
        <v>0</v>
      </c>
    </row>
    <row r="158" spans="1:6" x14ac:dyDescent="0.25">
      <c r="A158" s="19">
        <v>75000</v>
      </c>
      <c r="B158" s="20">
        <f t="shared" si="8"/>
        <v>6250</v>
      </c>
      <c r="C158" s="20">
        <f t="shared" si="6"/>
        <v>100</v>
      </c>
      <c r="D158" s="20">
        <f>MAX('TANF-VIEW'!L159,'TANF-VIEW'!T159)</f>
        <v>0</v>
      </c>
      <c r="E158" s="20">
        <f t="shared" si="7"/>
        <v>6350</v>
      </c>
      <c r="F158" s="178">
        <f>IF(AND('Total income package'!$A$24=TRUE,E158&lt;$I$2),'Program specific data'!$B$119*WIC!$G$2,0)</f>
        <v>0</v>
      </c>
    </row>
    <row r="159" spans="1:6" x14ac:dyDescent="0.25">
      <c r="A159" s="19">
        <v>75500</v>
      </c>
      <c r="B159" s="20">
        <f t="shared" si="8"/>
        <v>6291.666666666667</v>
      </c>
      <c r="C159" s="20">
        <f t="shared" si="6"/>
        <v>100</v>
      </c>
      <c r="D159" s="20">
        <f>MAX('TANF-VIEW'!L160,'TANF-VIEW'!T160)</f>
        <v>0</v>
      </c>
      <c r="E159" s="20">
        <f t="shared" si="7"/>
        <v>6391.666666666667</v>
      </c>
      <c r="F159" s="178">
        <f>IF(AND('Total income package'!$A$24=TRUE,E159&lt;$I$2),'Program specific data'!$B$119*WIC!$G$2,0)</f>
        <v>0</v>
      </c>
    </row>
    <row r="160" spans="1:6" x14ac:dyDescent="0.25">
      <c r="A160" s="19">
        <v>76000</v>
      </c>
      <c r="B160" s="20">
        <f t="shared" si="8"/>
        <v>6333.333333333333</v>
      </c>
      <c r="C160" s="20">
        <f t="shared" si="6"/>
        <v>100</v>
      </c>
      <c r="D160" s="20">
        <f>MAX('TANF-VIEW'!L161,'TANF-VIEW'!T161)</f>
        <v>0</v>
      </c>
      <c r="E160" s="20">
        <f t="shared" si="7"/>
        <v>6433.333333333333</v>
      </c>
      <c r="F160" s="178">
        <f>IF(AND('Total income package'!$A$24=TRUE,E160&lt;$I$2),'Program specific data'!$B$119*WIC!$G$2,0)</f>
        <v>0</v>
      </c>
    </row>
    <row r="161" spans="1:6" x14ac:dyDescent="0.25">
      <c r="A161" s="19">
        <v>76500</v>
      </c>
      <c r="B161" s="20">
        <f t="shared" si="8"/>
        <v>6375</v>
      </c>
      <c r="C161" s="20">
        <f t="shared" si="6"/>
        <v>100</v>
      </c>
      <c r="D161" s="20">
        <f>MAX('TANF-VIEW'!L162,'TANF-VIEW'!T162)</f>
        <v>0</v>
      </c>
      <c r="E161" s="20">
        <f t="shared" si="7"/>
        <v>6475</v>
      </c>
      <c r="F161" s="178">
        <f>IF(AND('Total income package'!$A$24=TRUE,E161&lt;$I$2),'Program specific data'!$B$119*WIC!$G$2,0)</f>
        <v>0</v>
      </c>
    </row>
    <row r="162" spans="1:6" x14ac:dyDescent="0.25">
      <c r="A162" s="19">
        <v>77000</v>
      </c>
      <c r="B162" s="20">
        <f t="shared" si="8"/>
        <v>6416.666666666667</v>
      </c>
      <c r="C162" s="20">
        <f t="shared" si="6"/>
        <v>100</v>
      </c>
      <c r="D162" s="20">
        <f>MAX('TANF-VIEW'!L163,'TANF-VIEW'!T163)</f>
        <v>0</v>
      </c>
      <c r="E162" s="20">
        <f t="shared" si="7"/>
        <v>6516.666666666667</v>
      </c>
      <c r="F162" s="178">
        <f>IF(AND('Total income package'!$A$24=TRUE,E162&lt;$I$2),'Program specific data'!$B$119*WIC!$G$2,0)</f>
        <v>0</v>
      </c>
    </row>
    <row r="163" spans="1:6" x14ac:dyDescent="0.25">
      <c r="A163" s="19">
        <v>77500</v>
      </c>
      <c r="B163" s="20">
        <f t="shared" si="8"/>
        <v>6458.333333333333</v>
      </c>
      <c r="C163" s="20">
        <f t="shared" si="6"/>
        <v>100</v>
      </c>
      <c r="D163" s="20">
        <f>MAX('TANF-VIEW'!L164,'TANF-VIEW'!T164)</f>
        <v>0</v>
      </c>
      <c r="E163" s="20">
        <f t="shared" si="7"/>
        <v>6558.333333333333</v>
      </c>
      <c r="F163" s="178">
        <f>IF(AND('Total income package'!$A$24=TRUE,E163&lt;$I$2),'Program specific data'!$B$119*WIC!$G$2,0)</f>
        <v>0</v>
      </c>
    </row>
    <row r="164" spans="1:6" x14ac:dyDescent="0.25">
      <c r="A164" s="19">
        <v>78000</v>
      </c>
      <c r="B164" s="20">
        <f t="shared" si="8"/>
        <v>6500</v>
      </c>
      <c r="C164" s="20">
        <f t="shared" si="6"/>
        <v>100</v>
      </c>
      <c r="D164" s="20">
        <f>MAX('TANF-VIEW'!L165,'TANF-VIEW'!T165)</f>
        <v>0</v>
      </c>
      <c r="E164" s="20">
        <f t="shared" si="7"/>
        <v>6600</v>
      </c>
      <c r="F164" s="178">
        <f>IF(AND('Total income package'!$A$24=TRUE,E164&lt;$I$2),'Program specific data'!$B$119*WIC!$G$2,0)</f>
        <v>0</v>
      </c>
    </row>
    <row r="165" spans="1:6" x14ac:dyDescent="0.25">
      <c r="A165" s="19">
        <v>78500</v>
      </c>
      <c r="B165" s="20">
        <f t="shared" si="8"/>
        <v>6541.666666666667</v>
      </c>
      <c r="C165" s="20">
        <f t="shared" si="6"/>
        <v>100</v>
      </c>
      <c r="D165" s="20">
        <f>MAX('TANF-VIEW'!L166,'TANF-VIEW'!T166)</f>
        <v>0</v>
      </c>
      <c r="E165" s="20">
        <f t="shared" si="7"/>
        <v>6641.666666666667</v>
      </c>
      <c r="F165" s="178">
        <f>IF(AND('Total income package'!$A$24=TRUE,E165&lt;$I$2),'Program specific data'!$B$119*WIC!$G$2,0)</f>
        <v>0</v>
      </c>
    </row>
    <row r="166" spans="1:6" x14ac:dyDescent="0.25">
      <c r="A166" s="19">
        <v>79000</v>
      </c>
      <c r="B166" s="20">
        <f t="shared" si="8"/>
        <v>6583.333333333333</v>
      </c>
      <c r="C166" s="20">
        <f t="shared" si="6"/>
        <v>100</v>
      </c>
      <c r="D166" s="20">
        <f>MAX('TANF-VIEW'!L167,'TANF-VIEW'!T167)</f>
        <v>0</v>
      </c>
      <c r="E166" s="20">
        <f t="shared" si="7"/>
        <v>6683.333333333333</v>
      </c>
      <c r="F166" s="178">
        <f>IF(AND('Total income package'!$A$24=TRUE,E166&lt;$I$2),'Program specific data'!$B$119*WIC!$G$2,0)</f>
        <v>0</v>
      </c>
    </row>
    <row r="167" spans="1:6" x14ac:dyDescent="0.25">
      <c r="A167" s="19">
        <v>79500</v>
      </c>
      <c r="B167" s="20">
        <f t="shared" si="8"/>
        <v>6625</v>
      </c>
      <c r="C167" s="20">
        <f t="shared" si="6"/>
        <v>100</v>
      </c>
      <c r="D167" s="20">
        <f>MAX('TANF-VIEW'!L168,'TANF-VIEW'!T168)</f>
        <v>0</v>
      </c>
      <c r="E167" s="20">
        <f t="shared" si="7"/>
        <v>6725</v>
      </c>
      <c r="F167" s="178">
        <f>IF(AND('Total income package'!$A$24=TRUE,E167&lt;$I$2),'Program specific data'!$B$119*WIC!$G$2,0)</f>
        <v>0</v>
      </c>
    </row>
    <row r="168" spans="1:6" x14ac:dyDescent="0.25">
      <c r="A168" s="19">
        <v>80000</v>
      </c>
      <c r="B168" s="20">
        <f t="shared" si="8"/>
        <v>6666.666666666667</v>
      </c>
      <c r="C168" s="20">
        <f t="shared" si="6"/>
        <v>100</v>
      </c>
      <c r="D168" s="20">
        <f>MAX('TANF-VIEW'!L169,'TANF-VIEW'!T169)</f>
        <v>0</v>
      </c>
      <c r="E168" s="20">
        <f t="shared" si="7"/>
        <v>6766.666666666667</v>
      </c>
      <c r="F168" s="178">
        <f>IF(AND('Total income package'!$A$24=TRUE,E168&lt;$I$2),'Program specific data'!$B$119*WIC!$G$2,0)</f>
        <v>0</v>
      </c>
    </row>
    <row r="169" spans="1:6" x14ac:dyDescent="0.25">
      <c r="A169" s="19">
        <v>80500</v>
      </c>
      <c r="B169" s="20">
        <f t="shared" si="8"/>
        <v>6708.333333333333</v>
      </c>
      <c r="C169" s="20">
        <f t="shared" si="6"/>
        <v>100</v>
      </c>
      <c r="D169" s="20">
        <f>MAX('TANF-VIEW'!L170,'TANF-VIEW'!T170)</f>
        <v>0</v>
      </c>
      <c r="E169" s="20">
        <f t="shared" si="7"/>
        <v>6808.333333333333</v>
      </c>
      <c r="F169" s="178">
        <f>IF(AND('Total income package'!$A$24=TRUE,E169&lt;$I$2),'Program specific data'!$B$119*WIC!$G$2,0)</f>
        <v>0</v>
      </c>
    </row>
    <row r="170" spans="1:6" x14ac:dyDescent="0.25">
      <c r="A170" s="19">
        <v>81000</v>
      </c>
      <c r="B170" s="20">
        <f t="shared" si="8"/>
        <v>6750</v>
      </c>
      <c r="C170" s="20">
        <f t="shared" si="6"/>
        <v>100</v>
      </c>
      <c r="D170" s="20">
        <f>MAX('TANF-VIEW'!L171,'TANF-VIEW'!T171)</f>
        <v>0</v>
      </c>
      <c r="E170" s="20">
        <f t="shared" si="7"/>
        <v>6850</v>
      </c>
      <c r="F170" s="178">
        <f>IF(AND('Total income package'!$A$24=TRUE,E170&lt;$I$2),'Program specific data'!$B$119*WIC!$G$2,0)</f>
        <v>0</v>
      </c>
    </row>
    <row r="171" spans="1:6" x14ac:dyDescent="0.25">
      <c r="A171" s="19">
        <v>81500</v>
      </c>
      <c r="B171" s="20">
        <f t="shared" si="8"/>
        <v>6791.666666666667</v>
      </c>
      <c r="C171" s="20">
        <f t="shared" si="6"/>
        <v>100</v>
      </c>
      <c r="D171" s="20">
        <f>MAX('TANF-VIEW'!L172,'TANF-VIEW'!T172)</f>
        <v>0</v>
      </c>
      <c r="E171" s="20">
        <f t="shared" si="7"/>
        <v>6891.666666666667</v>
      </c>
      <c r="F171" s="178">
        <f>IF(AND('Total income package'!$A$24=TRUE,E171&lt;$I$2),'Program specific data'!$B$119*WIC!$G$2,0)</f>
        <v>0</v>
      </c>
    </row>
    <row r="172" spans="1:6" x14ac:dyDescent="0.25">
      <c r="A172" s="19">
        <v>82000</v>
      </c>
      <c r="B172" s="20">
        <f t="shared" si="8"/>
        <v>6833.333333333333</v>
      </c>
      <c r="C172" s="20">
        <f t="shared" si="6"/>
        <v>100</v>
      </c>
      <c r="D172" s="20">
        <f>MAX('TANF-VIEW'!L173,'TANF-VIEW'!T173)</f>
        <v>0</v>
      </c>
      <c r="E172" s="20">
        <f t="shared" si="7"/>
        <v>6933.333333333333</v>
      </c>
      <c r="F172" s="178">
        <f>IF(AND('Total income package'!$A$24=TRUE,E172&lt;$I$2),'Program specific data'!$B$119*WIC!$G$2,0)</f>
        <v>0</v>
      </c>
    </row>
    <row r="173" spans="1:6" x14ac:dyDescent="0.25">
      <c r="A173" s="19">
        <v>82500</v>
      </c>
      <c r="B173" s="20">
        <f t="shared" si="8"/>
        <v>6875</v>
      </c>
      <c r="C173" s="20">
        <f t="shared" si="6"/>
        <v>100</v>
      </c>
      <c r="D173" s="20">
        <f>MAX('TANF-VIEW'!L174,'TANF-VIEW'!T174)</f>
        <v>0</v>
      </c>
      <c r="E173" s="20">
        <f t="shared" si="7"/>
        <v>6975</v>
      </c>
      <c r="F173" s="178">
        <f>IF(AND('Total income package'!$A$24=TRUE,E173&lt;$I$2),'Program specific data'!$B$119*WIC!$G$2,0)</f>
        <v>0</v>
      </c>
    </row>
    <row r="174" spans="1:6" x14ac:dyDescent="0.25">
      <c r="A174" s="19">
        <v>83000</v>
      </c>
      <c r="B174" s="20">
        <f t="shared" si="8"/>
        <v>6916.666666666667</v>
      </c>
      <c r="C174" s="20">
        <f t="shared" si="6"/>
        <v>100</v>
      </c>
      <c r="D174" s="20">
        <f>MAX('TANF-VIEW'!L175,'TANF-VIEW'!T175)</f>
        <v>0</v>
      </c>
      <c r="E174" s="20">
        <f t="shared" si="7"/>
        <v>7016.666666666667</v>
      </c>
      <c r="F174" s="178">
        <f>IF(AND('Total income package'!$A$24=TRUE,E174&lt;$I$2),'Program specific data'!$B$119*WIC!$G$2,0)</f>
        <v>0</v>
      </c>
    </row>
    <row r="175" spans="1:6" x14ac:dyDescent="0.25">
      <c r="A175" s="19">
        <v>83500</v>
      </c>
      <c r="B175" s="20">
        <f t="shared" si="8"/>
        <v>6958.333333333333</v>
      </c>
      <c r="C175" s="20">
        <f t="shared" si="6"/>
        <v>100</v>
      </c>
      <c r="D175" s="20">
        <f>MAX('TANF-VIEW'!L176,'TANF-VIEW'!T176)</f>
        <v>0</v>
      </c>
      <c r="E175" s="20">
        <f t="shared" si="7"/>
        <v>7058.333333333333</v>
      </c>
      <c r="F175" s="178">
        <f>IF(AND('Total income package'!$A$24=TRUE,E175&lt;$I$2),'Program specific data'!$B$119*WIC!$G$2,0)</f>
        <v>0</v>
      </c>
    </row>
    <row r="176" spans="1:6" x14ac:dyDescent="0.25">
      <c r="A176" s="19">
        <v>84000</v>
      </c>
      <c r="B176" s="20">
        <f t="shared" si="8"/>
        <v>7000</v>
      </c>
      <c r="C176" s="20">
        <f t="shared" si="6"/>
        <v>100</v>
      </c>
      <c r="D176" s="20">
        <f>MAX('TANF-VIEW'!L177,'TANF-VIEW'!T177)</f>
        <v>0</v>
      </c>
      <c r="E176" s="20">
        <f t="shared" si="7"/>
        <v>7100</v>
      </c>
      <c r="F176" s="178">
        <f>IF(AND('Total income package'!$A$24=TRUE,E176&lt;$I$2),'Program specific data'!$B$119*WIC!$G$2,0)</f>
        <v>0</v>
      </c>
    </row>
    <row r="177" spans="1:6" x14ac:dyDescent="0.25">
      <c r="A177" s="19">
        <v>84500</v>
      </c>
      <c r="B177" s="20">
        <f t="shared" si="8"/>
        <v>7041.666666666667</v>
      </c>
      <c r="C177" s="20">
        <f t="shared" si="6"/>
        <v>100</v>
      </c>
      <c r="D177" s="20">
        <f>MAX('TANF-VIEW'!L178,'TANF-VIEW'!T178)</f>
        <v>0</v>
      </c>
      <c r="E177" s="20">
        <f t="shared" si="7"/>
        <v>7141.666666666667</v>
      </c>
      <c r="F177" s="178">
        <f>IF(AND('Total income package'!$A$24=TRUE,E177&lt;$I$2),'Program specific data'!$B$119*WIC!$G$2,0)</f>
        <v>0</v>
      </c>
    </row>
    <row r="178" spans="1:6" x14ac:dyDescent="0.25">
      <c r="A178" s="19">
        <v>85000</v>
      </c>
      <c r="B178" s="20">
        <f t="shared" si="8"/>
        <v>7083.333333333333</v>
      </c>
      <c r="C178" s="20">
        <f t="shared" si="6"/>
        <v>100</v>
      </c>
      <c r="D178" s="20">
        <f>MAX('TANF-VIEW'!L179,'TANF-VIEW'!T179)</f>
        <v>0</v>
      </c>
      <c r="E178" s="20">
        <f t="shared" si="7"/>
        <v>7183.333333333333</v>
      </c>
      <c r="F178" s="178">
        <f>IF(AND('Total income package'!$A$24=TRUE,E178&lt;$I$2),'Program specific data'!$B$119*WIC!$G$2,0)</f>
        <v>0</v>
      </c>
    </row>
    <row r="179" spans="1:6" x14ac:dyDescent="0.25">
      <c r="A179" s="19">
        <v>85500</v>
      </c>
      <c r="B179" s="20">
        <f t="shared" si="8"/>
        <v>7125</v>
      </c>
      <c r="C179" s="20">
        <f t="shared" si="6"/>
        <v>100</v>
      </c>
      <c r="D179" s="20">
        <f>MAX('TANF-VIEW'!L180,'TANF-VIEW'!T180)</f>
        <v>0</v>
      </c>
      <c r="E179" s="20">
        <f t="shared" si="7"/>
        <v>7225</v>
      </c>
      <c r="F179" s="178">
        <f>IF(AND('Total income package'!$A$24=TRUE,E179&lt;$I$2),'Program specific data'!$B$119*WIC!$G$2,0)</f>
        <v>0</v>
      </c>
    </row>
    <row r="180" spans="1:6" x14ac:dyDescent="0.25">
      <c r="A180" s="19">
        <v>86000</v>
      </c>
      <c r="B180" s="20">
        <f t="shared" si="8"/>
        <v>7166.666666666667</v>
      </c>
      <c r="C180" s="20">
        <f t="shared" si="6"/>
        <v>100</v>
      </c>
      <c r="D180" s="20">
        <f>MAX('TANF-VIEW'!L181,'TANF-VIEW'!T181)</f>
        <v>0</v>
      </c>
      <c r="E180" s="20">
        <f t="shared" si="7"/>
        <v>7266.666666666667</v>
      </c>
      <c r="F180" s="178">
        <f>IF(AND('Total income package'!$A$24=TRUE,E180&lt;$I$2),'Program specific data'!$B$119*WIC!$G$2,0)</f>
        <v>0</v>
      </c>
    </row>
    <row r="181" spans="1:6" x14ac:dyDescent="0.25">
      <c r="A181" s="19">
        <v>86500</v>
      </c>
      <c r="B181" s="20">
        <f t="shared" si="8"/>
        <v>7208.333333333333</v>
      </c>
      <c r="C181" s="20">
        <f t="shared" si="6"/>
        <v>100</v>
      </c>
      <c r="D181" s="20">
        <f>MAX('TANF-VIEW'!L182,'TANF-VIEW'!T182)</f>
        <v>0</v>
      </c>
      <c r="E181" s="20">
        <f t="shared" si="7"/>
        <v>7308.333333333333</v>
      </c>
      <c r="F181" s="178">
        <f>IF(AND('Total income package'!$A$24=TRUE,E181&lt;$I$2),'Program specific data'!$B$119*WIC!$G$2,0)</f>
        <v>0</v>
      </c>
    </row>
    <row r="182" spans="1:6" x14ac:dyDescent="0.25">
      <c r="A182" s="19">
        <v>87000</v>
      </c>
      <c r="B182" s="20">
        <f t="shared" si="8"/>
        <v>7250</v>
      </c>
      <c r="C182" s="20">
        <f t="shared" si="6"/>
        <v>100</v>
      </c>
      <c r="D182" s="20">
        <f>MAX('TANF-VIEW'!L183,'TANF-VIEW'!T183)</f>
        <v>0</v>
      </c>
      <c r="E182" s="20">
        <f t="shared" si="7"/>
        <v>7350</v>
      </c>
      <c r="F182" s="178">
        <f>IF(AND('Total income package'!$A$24=TRUE,E182&lt;$I$2),'Program specific data'!$B$119*WIC!$G$2,0)</f>
        <v>0</v>
      </c>
    </row>
    <row r="183" spans="1:6" x14ac:dyDescent="0.25">
      <c r="A183" s="19">
        <v>87500</v>
      </c>
      <c r="B183" s="20">
        <f t="shared" si="8"/>
        <v>7291.666666666667</v>
      </c>
      <c r="C183" s="20">
        <f t="shared" si="6"/>
        <v>100</v>
      </c>
      <c r="D183" s="20">
        <f>MAX('TANF-VIEW'!L184,'TANF-VIEW'!T184)</f>
        <v>0</v>
      </c>
      <c r="E183" s="20">
        <f t="shared" si="7"/>
        <v>7391.666666666667</v>
      </c>
      <c r="F183" s="178">
        <f>IF(AND('Total income package'!$A$24=TRUE,E183&lt;$I$2),'Program specific data'!$B$119*WIC!$G$2,0)</f>
        <v>0</v>
      </c>
    </row>
    <row r="184" spans="1:6" x14ac:dyDescent="0.25">
      <c r="A184" s="19">
        <v>88000</v>
      </c>
      <c r="B184" s="20">
        <f t="shared" si="8"/>
        <v>7333.333333333333</v>
      </c>
      <c r="C184" s="20">
        <f t="shared" si="6"/>
        <v>100</v>
      </c>
      <c r="D184" s="20">
        <f>MAX('TANF-VIEW'!L185,'TANF-VIEW'!T185)</f>
        <v>0</v>
      </c>
      <c r="E184" s="20">
        <f t="shared" si="7"/>
        <v>7433.333333333333</v>
      </c>
      <c r="F184" s="178">
        <f>IF(AND('Total income package'!$A$24=TRUE,E184&lt;$I$2),'Program specific data'!$B$119*WIC!$G$2,0)</f>
        <v>0</v>
      </c>
    </row>
    <row r="185" spans="1:6" x14ac:dyDescent="0.25">
      <c r="A185" s="19">
        <v>88500</v>
      </c>
      <c r="B185" s="20">
        <f t="shared" si="8"/>
        <v>7375</v>
      </c>
      <c r="C185" s="20">
        <f t="shared" si="6"/>
        <v>100</v>
      </c>
      <c r="D185" s="20">
        <f>MAX('TANF-VIEW'!L186,'TANF-VIEW'!T186)</f>
        <v>0</v>
      </c>
      <c r="E185" s="20">
        <f t="shared" si="7"/>
        <v>7475</v>
      </c>
      <c r="F185" s="178">
        <f>IF(AND('Total income package'!$A$24=TRUE,E185&lt;$I$2),'Program specific data'!$B$119*WIC!$G$2,0)</f>
        <v>0</v>
      </c>
    </row>
    <row r="186" spans="1:6" x14ac:dyDescent="0.25">
      <c r="A186" s="19">
        <v>89000</v>
      </c>
      <c r="B186" s="20">
        <f t="shared" si="8"/>
        <v>7416.666666666667</v>
      </c>
      <c r="C186" s="20">
        <f t="shared" si="6"/>
        <v>100</v>
      </c>
      <c r="D186" s="20">
        <f>MAX('TANF-VIEW'!L187,'TANF-VIEW'!T187)</f>
        <v>0</v>
      </c>
      <c r="E186" s="20">
        <f t="shared" si="7"/>
        <v>7516.666666666667</v>
      </c>
      <c r="F186" s="178">
        <f>IF(AND('Total income package'!$A$24=TRUE,E186&lt;$I$2),'Program specific data'!$B$119*WIC!$G$2,0)</f>
        <v>0</v>
      </c>
    </row>
    <row r="187" spans="1:6" x14ac:dyDescent="0.25">
      <c r="A187" s="19">
        <v>89500</v>
      </c>
      <c r="B187" s="20">
        <f t="shared" si="8"/>
        <v>7458.333333333333</v>
      </c>
      <c r="C187" s="20">
        <f t="shared" si="6"/>
        <v>100</v>
      </c>
      <c r="D187" s="20">
        <f>MAX('TANF-VIEW'!L188,'TANF-VIEW'!T188)</f>
        <v>0</v>
      </c>
      <c r="E187" s="20">
        <f t="shared" si="7"/>
        <v>7558.333333333333</v>
      </c>
      <c r="F187" s="178">
        <f>IF(AND('Total income package'!$A$24=TRUE,E187&lt;$I$2),'Program specific data'!$B$119*WIC!$G$2,0)</f>
        <v>0</v>
      </c>
    </row>
    <row r="188" spans="1:6" x14ac:dyDescent="0.25">
      <c r="A188" s="19">
        <v>90000</v>
      </c>
      <c r="B188" s="20">
        <f t="shared" si="8"/>
        <v>7500</v>
      </c>
      <c r="C188" s="20">
        <f t="shared" si="6"/>
        <v>100</v>
      </c>
      <c r="D188" s="20">
        <f>MAX('TANF-VIEW'!L189,'TANF-VIEW'!T189)</f>
        <v>0</v>
      </c>
      <c r="E188" s="20">
        <f t="shared" si="7"/>
        <v>7600</v>
      </c>
      <c r="F188" s="178">
        <f>IF(AND('Total income package'!$A$24=TRUE,E188&lt;$I$2),'Program specific data'!$B$119*WIC!$G$2,0)</f>
        <v>0</v>
      </c>
    </row>
    <row r="189" spans="1:6" x14ac:dyDescent="0.25">
      <c r="A189" s="19">
        <v>90500</v>
      </c>
      <c r="B189" s="20">
        <f t="shared" si="8"/>
        <v>7541.666666666667</v>
      </c>
      <c r="C189" s="20">
        <f t="shared" si="6"/>
        <v>100</v>
      </c>
      <c r="D189" s="20">
        <f>MAX('TANF-VIEW'!L190,'TANF-VIEW'!T190)</f>
        <v>0</v>
      </c>
      <c r="E189" s="20">
        <f t="shared" si="7"/>
        <v>7641.666666666667</v>
      </c>
      <c r="F189" s="178">
        <f>IF(AND('Total income package'!$A$24=TRUE,E189&lt;$I$2),'Program specific data'!$B$119*WIC!$G$2,0)</f>
        <v>0</v>
      </c>
    </row>
    <row r="190" spans="1:6" x14ac:dyDescent="0.25">
      <c r="A190" s="19">
        <v>91000</v>
      </c>
      <c r="B190" s="20">
        <f t="shared" si="8"/>
        <v>7583.333333333333</v>
      </c>
      <c r="C190" s="20">
        <f t="shared" si="6"/>
        <v>100</v>
      </c>
      <c r="D190" s="20">
        <f>MAX('TANF-VIEW'!L191,'TANF-VIEW'!T191)</f>
        <v>0</v>
      </c>
      <c r="E190" s="20">
        <f t="shared" si="7"/>
        <v>7683.333333333333</v>
      </c>
      <c r="F190" s="178">
        <f>IF(AND('Total income package'!$A$24=TRUE,E190&lt;$I$2),'Program specific data'!$B$119*WIC!$G$2,0)</f>
        <v>0</v>
      </c>
    </row>
    <row r="191" spans="1:6" x14ac:dyDescent="0.25">
      <c r="A191" s="19">
        <v>91500</v>
      </c>
      <c r="B191" s="20">
        <f t="shared" si="8"/>
        <v>7625</v>
      </c>
      <c r="C191" s="20">
        <f t="shared" si="6"/>
        <v>100</v>
      </c>
      <c r="D191" s="20">
        <f>MAX('TANF-VIEW'!L192,'TANF-VIEW'!T192)</f>
        <v>0</v>
      </c>
      <c r="E191" s="20">
        <f t="shared" si="7"/>
        <v>7725</v>
      </c>
      <c r="F191" s="178">
        <f>IF(AND('Total income package'!$A$24=TRUE,E191&lt;$I$2),'Program specific data'!$B$119*WIC!$G$2,0)</f>
        <v>0</v>
      </c>
    </row>
    <row r="192" spans="1:6" x14ac:dyDescent="0.25">
      <c r="A192" s="19">
        <v>92000</v>
      </c>
      <c r="B192" s="20">
        <f t="shared" si="8"/>
        <v>7666.666666666667</v>
      </c>
      <c r="C192" s="20">
        <f t="shared" si="6"/>
        <v>100</v>
      </c>
      <c r="D192" s="20">
        <f>MAX('TANF-VIEW'!L193,'TANF-VIEW'!T193)</f>
        <v>0</v>
      </c>
      <c r="E192" s="20">
        <f t="shared" si="7"/>
        <v>7766.666666666667</v>
      </c>
      <c r="F192" s="178">
        <f>IF(AND('Total income package'!$A$24=TRUE,E192&lt;$I$2),'Program specific data'!$B$119*WIC!$G$2,0)</f>
        <v>0</v>
      </c>
    </row>
    <row r="193" spans="1:6" x14ac:dyDescent="0.25">
      <c r="A193" s="19">
        <v>92500</v>
      </c>
      <c r="B193" s="20">
        <f t="shared" si="8"/>
        <v>7708.333333333333</v>
      </c>
      <c r="C193" s="20">
        <f t="shared" si="6"/>
        <v>100</v>
      </c>
      <c r="D193" s="20">
        <f>MAX('TANF-VIEW'!L194,'TANF-VIEW'!T194)</f>
        <v>0</v>
      </c>
      <c r="E193" s="20">
        <f t="shared" si="7"/>
        <v>7808.333333333333</v>
      </c>
      <c r="F193" s="178">
        <f>IF(AND('Total income package'!$A$24=TRUE,E193&lt;$I$2),'Program specific data'!$B$119*WIC!$G$2,0)</f>
        <v>0</v>
      </c>
    </row>
    <row r="194" spans="1:6" x14ac:dyDescent="0.25">
      <c r="A194" s="19">
        <v>93000</v>
      </c>
      <c r="B194" s="20">
        <f t="shared" si="8"/>
        <v>7750</v>
      </c>
      <c r="C194" s="20">
        <f t="shared" si="6"/>
        <v>100</v>
      </c>
      <c r="D194" s="20">
        <f>MAX('TANF-VIEW'!L195,'TANF-VIEW'!T195)</f>
        <v>0</v>
      </c>
      <c r="E194" s="20">
        <f t="shared" si="7"/>
        <v>7850</v>
      </c>
      <c r="F194" s="178">
        <f>IF(AND('Total income package'!$A$24=TRUE,E194&lt;$I$2),'Program specific data'!$B$119*WIC!$G$2,0)</f>
        <v>0</v>
      </c>
    </row>
    <row r="195" spans="1:6" x14ac:dyDescent="0.25">
      <c r="A195" s="19">
        <v>93500</v>
      </c>
      <c r="B195" s="20">
        <f t="shared" si="8"/>
        <v>7791.666666666667</v>
      </c>
      <c r="C195" s="20">
        <f t="shared" si="6"/>
        <v>100</v>
      </c>
      <c r="D195" s="20">
        <f>MAX('TANF-VIEW'!L196,'TANF-VIEW'!T196)</f>
        <v>0</v>
      </c>
      <c r="E195" s="20">
        <f t="shared" si="7"/>
        <v>7891.666666666667</v>
      </c>
      <c r="F195" s="178">
        <f>IF(AND('Total income package'!$A$24=TRUE,E195&lt;$I$2),'Program specific data'!$B$119*WIC!$G$2,0)</f>
        <v>0</v>
      </c>
    </row>
    <row r="196" spans="1:6" x14ac:dyDescent="0.25">
      <c r="A196" s="19">
        <v>94000</v>
      </c>
      <c r="B196" s="20">
        <f t="shared" si="8"/>
        <v>7833.333333333333</v>
      </c>
      <c r="C196" s="20">
        <f t="shared" si="6"/>
        <v>100</v>
      </c>
      <c r="D196" s="20">
        <f>MAX('TANF-VIEW'!L197,'TANF-VIEW'!T197)</f>
        <v>0</v>
      </c>
      <c r="E196" s="20">
        <f t="shared" si="7"/>
        <v>7933.333333333333</v>
      </c>
      <c r="F196" s="178">
        <f>IF(AND('Total income package'!$A$24=TRUE,E196&lt;$I$2),'Program specific data'!$B$119*WIC!$G$2,0)</f>
        <v>0</v>
      </c>
    </row>
    <row r="197" spans="1:6" x14ac:dyDescent="0.25">
      <c r="A197" s="19">
        <v>94500</v>
      </c>
      <c r="B197" s="20">
        <f t="shared" si="8"/>
        <v>7875</v>
      </c>
      <c r="C197" s="20">
        <f t="shared" si="6"/>
        <v>100</v>
      </c>
      <c r="D197" s="20">
        <f>MAX('TANF-VIEW'!L198,'TANF-VIEW'!T198)</f>
        <v>0</v>
      </c>
      <c r="E197" s="20">
        <f t="shared" si="7"/>
        <v>7975</v>
      </c>
      <c r="F197" s="178">
        <f>IF(AND('Total income package'!$A$24=TRUE,E197&lt;$I$2),'Program specific data'!$B$119*WIC!$G$2,0)</f>
        <v>0</v>
      </c>
    </row>
    <row r="198" spans="1:6" x14ac:dyDescent="0.25">
      <c r="A198" s="19">
        <v>95000</v>
      </c>
      <c r="B198" s="20">
        <f t="shared" si="8"/>
        <v>7916.666666666667</v>
      </c>
      <c r="C198" s="20">
        <f t="shared" si="6"/>
        <v>100</v>
      </c>
      <c r="D198" s="20">
        <f>MAX('TANF-VIEW'!L199,'TANF-VIEW'!T199)</f>
        <v>0</v>
      </c>
      <c r="E198" s="20">
        <f t="shared" si="7"/>
        <v>8016.666666666667</v>
      </c>
      <c r="F198" s="178">
        <f>IF(AND('Total income package'!$A$24=TRUE,E198&lt;$I$2),'Program specific data'!$B$119*WIC!$G$2,0)</f>
        <v>0</v>
      </c>
    </row>
    <row r="199" spans="1:6" x14ac:dyDescent="0.25">
      <c r="A199" s="19">
        <v>95500</v>
      </c>
      <c r="B199" s="20">
        <f t="shared" si="8"/>
        <v>7958.333333333333</v>
      </c>
      <c r="C199" s="20">
        <f t="shared" si="6"/>
        <v>100</v>
      </c>
      <c r="D199" s="20">
        <f>MAX('TANF-VIEW'!L200,'TANF-VIEW'!T200)</f>
        <v>0</v>
      </c>
      <c r="E199" s="20">
        <f t="shared" si="7"/>
        <v>8058.333333333333</v>
      </c>
      <c r="F199" s="178">
        <f>IF(AND('Total income package'!$A$24=TRUE,E199&lt;$I$2),'Program specific data'!$B$119*WIC!$G$2,0)</f>
        <v>0</v>
      </c>
    </row>
    <row r="200" spans="1:6" x14ac:dyDescent="0.25">
      <c r="A200" s="19">
        <v>96000</v>
      </c>
      <c r="B200" s="20">
        <f t="shared" si="8"/>
        <v>8000</v>
      </c>
      <c r="C200" s="20">
        <f t="shared" si="6"/>
        <v>100</v>
      </c>
      <c r="D200" s="20">
        <f>MAX('TANF-VIEW'!L201,'TANF-VIEW'!T201)</f>
        <v>0</v>
      </c>
      <c r="E200" s="20">
        <f t="shared" si="7"/>
        <v>8100</v>
      </c>
      <c r="F200" s="178">
        <f>IF(AND('Total income package'!$A$24=TRUE,E200&lt;$I$2),'Program specific data'!$B$119*WIC!$G$2,0)</f>
        <v>0</v>
      </c>
    </row>
    <row r="201" spans="1:6" x14ac:dyDescent="0.25">
      <c r="A201" s="19">
        <v>96500</v>
      </c>
      <c r="B201" s="20">
        <f t="shared" si="8"/>
        <v>8041.666666666667</v>
      </c>
      <c r="C201" s="20">
        <f t="shared" ref="C201:C213" si="9">$H$2</f>
        <v>100</v>
      </c>
      <c r="D201" s="20">
        <f>MAX('TANF-VIEW'!L202,'TANF-VIEW'!T202)</f>
        <v>0</v>
      </c>
      <c r="E201" s="20">
        <f t="shared" ref="E201:E208" si="10">B201+C201+D201</f>
        <v>8141.666666666667</v>
      </c>
      <c r="F201" s="178">
        <f>IF(AND('Total income package'!$A$24=TRUE,E201&lt;$I$2),'Program specific data'!$B$119*WIC!$G$2,0)</f>
        <v>0</v>
      </c>
    </row>
    <row r="202" spans="1:6" x14ac:dyDescent="0.25">
      <c r="A202" s="19">
        <v>97000</v>
      </c>
      <c r="B202" s="20">
        <f t="shared" ref="B202:B208" si="11">A202/12</f>
        <v>8083.333333333333</v>
      </c>
      <c r="C202" s="20">
        <f t="shared" si="9"/>
        <v>100</v>
      </c>
      <c r="D202" s="20">
        <f>MAX('TANF-VIEW'!L203,'TANF-VIEW'!T203)</f>
        <v>0</v>
      </c>
      <c r="E202" s="20">
        <f t="shared" si="10"/>
        <v>8183.333333333333</v>
      </c>
      <c r="F202" s="178">
        <f>IF(AND('Total income package'!$A$24=TRUE,E202&lt;$I$2),'Program specific data'!$B$119*WIC!$G$2,0)</f>
        <v>0</v>
      </c>
    </row>
    <row r="203" spans="1:6" x14ac:dyDescent="0.25">
      <c r="A203" s="19">
        <v>97500</v>
      </c>
      <c r="B203" s="20">
        <f t="shared" si="11"/>
        <v>8125</v>
      </c>
      <c r="C203" s="20">
        <f t="shared" si="9"/>
        <v>100</v>
      </c>
      <c r="D203" s="20">
        <f>MAX('TANF-VIEW'!L204,'TANF-VIEW'!T204)</f>
        <v>0</v>
      </c>
      <c r="E203" s="20">
        <f t="shared" si="10"/>
        <v>8225</v>
      </c>
      <c r="F203" s="178">
        <f>IF(AND('Total income package'!$A$24=TRUE,E203&lt;$I$2),'Program specific data'!$B$119*WIC!$G$2,0)</f>
        <v>0</v>
      </c>
    </row>
    <row r="204" spans="1:6" x14ac:dyDescent="0.25">
      <c r="A204" s="19">
        <v>98000</v>
      </c>
      <c r="B204" s="20">
        <f t="shared" si="11"/>
        <v>8166.666666666667</v>
      </c>
      <c r="C204" s="20">
        <f t="shared" si="9"/>
        <v>100</v>
      </c>
      <c r="D204" s="20">
        <f>MAX('TANF-VIEW'!L205,'TANF-VIEW'!T205)</f>
        <v>0</v>
      </c>
      <c r="E204" s="20">
        <f t="shared" si="10"/>
        <v>8266.6666666666679</v>
      </c>
      <c r="F204" s="178">
        <f>IF(AND('Total income package'!$A$24=TRUE,E204&lt;$I$2),'Program specific data'!$B$119*WIC!$G$2,0)</f>
        <v>0</v>
      </c>
    </row>
    <row r="205" spans="1:6" x14ac:dyDescent="0.25">
      <c r="A205" s="19">
        <v>98500</v>
      </c>
      <c r="B205" s="20">
        <f t="shared" si="11"/>
        <v>8208.3333333333339</v>
      </c>
      <c r="C205" s="20">
        <f t="shared" si="9"/>
        <v>100</v>
      </c>
      <c r="D205" s="20">
        <f>MAX('TANF-VIEW'!L206,'TANF-VIEW'!T206)</f>
        <v>0</v>
      </c>
      <c r="E205" s="20">
        <f t="shared" si="10"/>
        <v>8308.3333333333339</v>
      </c>
      <c r="F205" s="178">
        <f>IF(AND('Total income package'!$A$24=TRUE,E205&lt;$I$2),'Program specific data'!$B$119*WIC!$G$2,0)</f>
        <v>0</v>
      </c>
    </row>
    <row r="206" spans="1:6" x14ac:dyDescent="0.25">
      <c r="A206" s="19">
        <v>99000</v>
      </c>
      <c r="B206" s="20">
        <f t="shared" si="11"/>
        <v>8250</v>
      </c>
      <c r="C206" s="20">
        <f t="shared" si="9"/>
        <v>100</v>
      </c>
      <c r="D206" s="20">
        <f>MAX('TANF-VIEW'!L207,'TANF-VIEW'!T207)</f>
        <v>0</v>
      </c>
      <c r="E206" s="20">
        <f t="shared" si="10"/>
        <v>8350</v>
      </c>
      <c r="F206" s="178">
        <f>IF(AND('Total income package'!$A$24=TRUE,E206&lt;$I$2),'Program specific data'!$B$119*WIC!$G$2,0)</f>
        <v>0</v>
      </c>
    </row>
    <row r="207" spans="1:6" x14ac:dyDescent="0.25">
      <c r="A207" s="19">
        <v>99500</v>
      </c>
      <c r="B207" s="20">
        <f t="shared" si="11"/>
        <v>8291.6666666666661</v>
      </c>
      <c r="C207" s="20">
        <f t="shared" si="9"/>
        <v>100</v>
      </c>
      <c r="D207" s="20">
        <f>MAX('TANF-VIEW'!L208,'TANF-VIEW'!T208)</f>
        <v>0</v>
      </c>
      <c r="E207" s="20">
        <f t="shared" si="10"/>
        <v>8391.6666666666661</v>
      </c>
      <c r="F207" s="178">
        <f>IF(AND('Total income package'!$A$24=TRUE,E207&lt;$I$2),'Program specific data'!$B$119*WIC!$G$2,0)</f>
        <v>0</v>
      </c>
    </row>
    <row r="208" spans="1:6" x14ac:dyDescent="0.25">
      <c r="A208" s="19">
        <v>100000</v>
      </c>
      <c r="B208" s="20">
        <f t="shared" si="11"/>
        <v>8333.3333333333339</v>
      </c>
      <c r="C208" s="20">
        <f t="shared" si="9"/>
        <v>100</v>
      </c>
      <c r="D208" s="20">
        <f>MAX('TANF-VIEW'!L209,'TANF-VIEW'!T209)</f>
        <v>0</v>
      </c>
      <c r="E208" s="20">
        <f t="shared" si="10"/>
        <v>8433.3333333333339</v>
      </c>
      <c r="F208" s="178">
        <f>IF(AND('Total income package'!$A$24=TRUE,E208&lt;$I$2),'Program specific data'!$B$119*WIC!$G$2,0)</f>
        <v>0</v>
      </c>
    </row>
    <row r="209" spans="1:6" x14ac:dyDescent="0.25">
      <c r="C209" s="20"/>
    </row>
    <row r="210" spans="1:6" x14ac:dyDescent="0.25">
      <c r="A210" s="116" t="s">
        <v>302</v>
      </c>
      <c r="B210" s="7"/>
    </row>
    <row r="211" spans="1:6" x14ac:dyDescent="0.25">
      <c r="A211" s="7"/>
      <c r="B211" s="7">
        <f>'Total income package'!$B$90</f>
        <v>1289</v>
      </c>
      <c r="C211" s="7">
        <f t="shared" si="9"/>
        <v>100</v>
      </c>
      <c r="D211" s="4">
        <f>MAX('TANF-VIEW'!L212,'TANF-VIEW'!T212)</f>
        <v>0</v>
      </c>
      <c r="E211" s="4">
        <f>B211+C211+D211</f>
        <v>1389</v>
      </c>
      <c r="F211" s="179">
        <f>IF(AND('Total income package'!$A$24=TRUE,E211&lt;$I$2),'Program specific data'!$B$119*WIC!$G$2,0)</f>
        <v>0</v>
      </c>
    </row>
    <row r="212" spans="1:6" x14ac:dyDescent="0.25">
      <c r="A212" s="116" t="s">
        <v>303</v>
      </c>
      <c r="B212" s="7"/>
      <c r="C212" s="7"/>
    </row>
    <row r="213" spans="1:6" x14ac:dyDescent="0.25">
      <c r="A213" s="7"/>
      <c r="B213" s="7">
        <f>'Total income package'!$B$91</f>
        <v>1289</v>
      </c>
      <c r="C213" s="7">
        <f t="shared" si="9"/>
        <v>100</v>
      </c>
      <c r="D213" s="4">
        <f>MAX('TANF-VIEW'!L214,'TANF-VIEW'!T214)</f>
        <v>0</v>
      </c>
      <c r="E213" s="4">
        <f>B213+C213+D213</f>
        <v>1389</v>
      </c>
      <c r="F213" s="179">
        <f>IF(AND('Total income package'!$A$24=TRUE,E213&lt;$I$2),'Program specific data'!$B$119*WIC!$G$2,0)</f>
        <v>0</v>
      </c>
    </row>
    <row r="214" spans="1:6" x14ac:dyDescent="0.25">
      <c r="E214" s="7"/>
      <c r="F214"/>
    </row>
  </sheetData>
  <mergeCells count="1">
    <mergeCell ref="J1:M1"/>
  </mergeCells>
  <pageMargins left="0.7" right="0.7" top="0.75" bottom="0.75" header="0.3" footer="0.3"/>
</worksheet>
</file>

<file path=xl/worksheets/sheet1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DB2C1AF-CD84-40AE-966F-48766F70D284}">
  <sheetPr codeName="Sheet11"/>
  <dimension ref="A1:AP135"/>
  <sheetViews>
    <sheetView zoomScaleNormal="100" workbookViewId="0">
      <pane xSplit="1" ySplit="2" topLeftCell="S55" activePane="bottomRight" state="frozen"/>
      <selection pane="topRight" activeCell="B1" sqref="B1"/>
      <selection pane="bottomLeft" activeCell="A3" sqref="A3"/>
      <selection pane="bottomRight" activeCell="C1" sqref="C1:J1"/>
    </sheetView>
  </sheetViews>
  <sheetFormatPr defaultRowHeight="15" x14ac:dyDescent="0.25"/>
  <cols>
    <col min="1" max="1" width="34.5703125" customWidth="1"/>
    <col min="2" max="2" width="17.28515625" customWidth="1"/>
    <col min="3" max="3" width="19.7109375" customWidth="1"/>
    <col min="4" max="4" width="19.5703125" customWidth="1"/>
    <col min="5" max="5" width="14.28515625" customWidth="1"/>
    <col min="6" max="6" width="13" customWidth="1"/>
    <col min="7" max="7" width="19.7109375" customWidth="1"/>
    <col min="8" max="8" width="17" customWidth="1"/>
    <col min="9" max="9" width="21.28515625" customWidth="1"/>
    <col min="10" max="18" width="16.42578125" style="29" customWidth="1"/>
    <col min="19" max="19" width="15" style="29" customWidth="1"/>
    <col min="20" max="21" width="15.42578125" style="29" customWidth="1"/>
    <col min="22" max="22" width="13" style="29" customWidth="1"/>
    <col min="23" max="27" width="11" style="29" customWidth="1"/>
    <col min="28" max="28" width="11.5703125" style="29" customWidth="1"/>
    <col min="29" max="31" width="26.7109375" hidden="1" customWidth="1"/>
    <col min="32" max="32" width="6.28515625" hidden="1" customWidth="1"/>
    <col min="33" max="37" width="9.140625" style="107"/>
    <col min="38" max="38" width="16.42578125" customWidth="1"/>
    <col min="39" max="39" width="18.140625" customWidth="1"/>
  </cols>
  <sheetData>
    <row r="1" spans="1:39" ht="66.75" customHeight="1" x14ac:dyDescent="0.25">
      <c r="B1" s="93" t="s">
        <v>563</v>
      </c>
      <c r="C1" s="463" t="s">
        <v>564</v>
      </c>
      <c r="D1" s="463"/>
      <c r="E1" s="463"/>
      <c r="F1" s="463"/>
      <c r="G1" s="463"/>
      <c r="H1" s="463"/>
      <c r="I1" s="463"/>
      <c r="J1" s="463"/>
      <c r="K1" s="315"/>
      <c r="L1" s="315"/>
      <c r="M1" s="315"/>
      <c r="N1" s="315"/>
      <c r="O1" s="315"/>
      <c r="P1" s="315"/>
      <c r="Q1" s="315"/>
      <c r="R1" s="315"/>
      <c r="S1" s="462" t="s">
        <v>565</v>
      </c>
      <c r="T1" s="462"/>
      <c r="U1" s="462"/>
      <c r="V1" s="462"/>
      <c r="W1" s="462"/>
      <c r="X1" s="464" t="s">
        <v>566</v>
      </c>
      <c r="Y1" s="464"/>
      <c r="Z1" s="464"/>
      <c r="AA1" s="464"/>
      <c r="AB1" s="464"/>
      <c r="AC1" s="461" t="s">
        <v>567</v>
      </c>
      <c r="AD1" s="461"/>
      <c r="AE1" s="461"/>
      <c r="AG1" s="459" t="s">
        <v>568</v>
      </c>
      <c r="AH1" s="460"/>
      <c r="AI1" s="460"/>
      <c r="AJ1" s="460"/>
      <c r="AK1" s="460"/>
      <c r="AM1" s="24" t="s">
        <v>569</v>
      </c>
    </row>
    <row r="2" spans="1:39" s="92" customFormat="1" ht="53.25" customHeight="1" x14ac:dyDescent="0.25">
      <c r="A2" s="92" t="s">
        <v>271</v>
      </c>
      <c r="B2" s="93" t="s">
        <v>570</v>
      </c>
      <c r="C2" s="94" t="s">
        <v>571</v>
      </c>
      <c r="D2" s="94" t="s">
        <v>572</v>
      </c>
      <c r="E2" s="94" t="s">
        <v>573</v>
      </c>
      <c r="F2" s="94" t="s">
        <v>574</v>
      </c>
      <c r="G2" s="94" t="s">
        <v>575</v>
      </c>
      <c r="H2" s="94" t="s">
        <v>576</v>
      </c>
      <c r="I2" s="94" t="s">
        <v>577</v>
      </c>
      <c r="J2" s="94" t="s">
        <v>578</v>
      </c>
      <c r="K2" s="94" t="s">
        <v>579</v>
      </c>
      <c r="L2" s="94" t="s">
        <v>580</v>
      </c>
      <c r="M2" s="94" t="s">
        <v>581</v>
      </c>
      <c r="N2" s="94" t="s">
        <v>582</v>
      </c>
      <c r="O2" s="94" t="s">
        <v>583</v>
      </c>
      <c r="P2" s="94" t="s">
        <v>584</v>
      </c>
      <c r="Q2" s="94" t="s">
        <v>585</v>
      </c>
      <c r="R2" s="94" t="s">
        <v>586</v>
      </c>
      <c r="S2" s="94" t="s">
        <v>587</v>
      </c>
      <c r="T2" s="94" t="s">
        <v>588</v>
      </c>
      <c r="U2" s="94" t="s">
        <v>589</v>
      </c>
      <c r="V2" s="94" t="s">
        <v>590</v>
      </c>
      <c r="W2" s="94" t="s">
        <v>591</v>
      </c>
      <c r="X2" s="94" t="s">
        <v>592</v>
      </c>
      <c r="Y2" s="95" t="s">
        <v>593</v>
      </c>
      <c r="Z2" s="95" t="s">
        <v>594</v>
      </c>
      <c r="AA2" s="95" t="s">
        <v>595</v>
      </c>
      <c r="AB2" s="95" t="s">
        <v>596</v>
      </c>
      <c r="AC2" s="92" t="s">
        <v>597</v>
      </c>
      <c r="AD2" s="92" t="s">
        <v>598</v>
      </c>
      <c r="AE2" s="93" t="s">
        <v>599</v>
      </c>
      <c r="AF2" s="92" t="s">
        <v>600</v>
      </c>
      <c r="AG2" s="314" t="s">
        <v>120</v>
      </c>
      <c r="AH2" s="314" t="s">
        <v>123</v>
      </c>
      <c r="AI2" s="314" t="s">
        <v>601</v>
      </c>
      <c r="AJ2" s="314" t="s">
        <v>602</v>
      </c>
      <c r="AK2" s="314" t="s">
        <v>603</v>
      </c>
      <c r="AL2" s="93" t="s">
        <v>604</v>
      </c>
      <c r="AM2" s="93" t="s">
        <v>605</v>
      </c>
    </row>
    <row r="3" spans="1:39" x14ac:dyDescent="0.25">
      <c r="A3" t="s">
        <v>119</v>
      </c>
      <c r="B3" s="124">
        <v>2</v>
      </c>
      <c r="C3" s="90">
        <v>27550</v>
      </c>
      <c r="D3" s="90">
        <v>31450</v>
      </c>
      <c r="E3" s="90">
        <v>35400</v>
      </c>
      <c r="F3" s="90">
        <v>39300</v>
      </c>
      <c r="G3" s="90">
        <v>42450</v>
      </c>
      <c r="H3" s="90">
        <v>45600</v>
      </c>
      <c r="I3" s="90">
        <v>48750</v>
      </c>
      <c r="J3" s="28">
        <v>51900</v>
      </c>
      <c r="K3" s="28">
        <v>44050</v>
      </c>
      <c r="L3" s="28">
        <v>50350</v>
      </c>
      <c r="M3" s="28">
        <v>56650</v>
      </c>
      <c r="N3" s="28">
        <v>62900</v>
      </c>
      <c r="O3" s="28">
        <v>67950</v>
      </c>
      <c r="P3" s="28">
        <v>73000</v>
      </c>
      <c r="Q3" s="28">
        <v>78000</v>
      </c>
      <c r="R3" s="28">
        <v>83050</v>
      </c>
      <c r="S3" s="28">
        <v>690</v>
      </c>
      <c r="T3" s="28">
        <v>776</v>
      </c>
      <c r="U3" s="29">
        <v>940</v>
      </c>
      <c r="V3" s="28">
        <v>1257</v>
      </c>
      <c r="W3" s="29">
        <v>1521</v>
      </c>
      <c r="X3" s="29">
        <v>842</v>
      </c>
      <c r="Y3" s="29">
        <v>915</v>
      </c>
      <c r="Z3" s="29">
        <v>1031</v>
      </c>
      <c r="AA3" s="29">
        <v>1423</v>
      </c>
      <c r="AB3" s="29">
        <v>1751</v>
      </c>
      <c r="AC3" s="7">
        <v>279.7</v>
      </c>
      <c r="AD3" s="7">
        <v>315.91000000000003</v>
      </c>
      <c r="AE3" s="24"/>
      <c r="AF3">
        <v>23301</v>
      </c>
      <c r="AG3" s="105">
        <v>71</v>
      </c>
      <c r="AH3" s="105">
        <v>61</v>
      </c>
      <c r="AI3" s="105">
        <v>47</v>
      </c>
      <c r="AJ3" s="105">
        <v>42</v>
      </c>
      <c r="AK3" s="105">
        <v>30</v>
      </c>
      <c r="AL3" s="108">
        <v>1</v>
      </c>
      <c r="AM3" s="107">
        <v>1</v>
      </c>
    </row>
    <row r="4" spans="1:39" x14ac:dyDescent="0.25">
      <c r="A4" t="s">
        <v>121</v>
      </c>
      <c r="B4" s="125">
        <v>3</v>
      </c>
      <c r="C4" s="90">
        <v>44050</v>
      </c>
      <c r="D4" s="90">
        <v>50350</v>
      </c>
      <c r="E4" s="90">
        <v>56650</v>
      </c>
      <c r="F4" s="90">
        <v>62900</v>
      </c>
      <c r="G4" s="90">
        <v>67950</v>
      </c>
      <c r="H4" s="90">
        <v>73000</v>
      </c>
      <c r="I4" s="90">
        <v>78000</v>
      </c>
      <c r="J4" s="28">
        <v>83050</v>
      </c>
      <c r="K4" s="28">
        <v>70500</v>
      </c>
      <c r="L4" s="28">
        <v>80550</v>
      </c>
      <c r="M4" s="28">
        <v>90600</v>
      </c>
      <c r="N4" s="28">
        <v>100650</v>
      </c>
      <c r="O4" s="28">
        <v>108750</v>
      </c>
      <c r="P4" s="28">
        <v>116800</v>
      </c>
      <c r="Q4" s="28">
        <v>124850</v>
      </c>
      <c r="R4" s="28">
        <v>132900</v>
      </c>
      <c r="S4" s="28">
        <v>1404</v>
      </c>
      <c r="T4" s="28">
        <v>1487</v>
      </c>
      <c r="U4" s="29">
        <v>1729</v>
      </c>
      <c r="V4" s="28">
        <v>2155</v>
      </c>
      <c r="W4" s="29">
        <v>2621</v>
      </c>
      <c r="X4" s="29">
        <v>1531</v>
      </c>
      <c r="Y4" s="29">
        <v>1556</v>
      </c>
      <c r="Z4" s="29">
        <v>1845</v>
      </c>
      <c r="AA4" s="29">
        <v>2325</v>
      </c>
      <c r="AB4" s="29">
        <v>2868</v>
      </c>
      <c r="AE4" s="24"/>
      <c r="AG4" s="105">
        <v>70</v>
      </c>
      <c r="AH4" s="105">
        <v>61</v>
      </c>
      <c r="AI4" s="105">
        <v>47</v>
      </c>
      <c r="AJ4" s="105">
        <v>42</v>
      </c>
      <c r="AK4" s="105">
        <v>38</v>
      </c>
      <c r="AL4" s="108">
        <v>2</v>
      </c>
      <c r="AM4" s="107">
        <v>2</v>
      </c>
    </row>
    <row r="5" spans="1:39" x14ac:dyDescent="0.25">
      <c r="A5" s="88" t="s">
        <v>26</v>
      </c>
      <c r="B5" s="125">
        <v>3</v>
      </c>
      <c r="C5" s="90">
        <v>57400</v>
      </c>
      <c r="D5" s="90">
        <v>65600</v>
      </c>
      <c r="E5" s="90">
        <v>73800</v>
      </c>
      <c r="F5" s="90">
        <v>81950</v>
      </c>
      <c r="G5" s="90">
        <v>88550</v>
      </c>
      <c r="H5" s="90">
        <v>95100</v>
      </c>
      <c r="I5" s="90">
        <v>101650</v>
      </c>
      <c r="J5" s="28">
        <v>108200</v>
      </c>
      <c r="K5" s="28">
        <v>74800</v>
      </c>
      <c r="L5" s="28">
        <v>85450</v>
      </c>
      <c r="M5" s="28">
        <v>96150</v>
      </c>
      <c r="N5" s="28">
        <v>106800</v>
      </c>
      <c r="O5" s="28">
        <v>115350</v>
      </c>
      <c r="P5" s="28">
        <v>123900</v>
      </c>
      <c r="Q5" s="28">
        <v>132450</v>
      </c>
      <c r="R5" s="28">
        <v>141000</v>
      </c>
      <c r="S5" s="28">
        <v>2012</v>
      </c>
      <c r="T5" s="28">
        <v>2056</v>
      </c>
      <c r="U5" s="29">
        <v>2314</v>
      </c>
      <c r="V5" s="28">
        <v>2893</v>
      </c>
      <c r="W5" s="29">
        <v>3413</v>
      </c>
      <c r="X5" s="29">
        <v>1949</v>
      </c>
      <c r="Y5" s="29">
        <v>1983</v>
      </c>
      <c r="Z5" s="29">
        <v>2249</v>
      </c>
      <c r="AA5" s="29">
        <v>2798</v>
      </c>
      <c r="AB5" s="29">
        <v>3316</v>
      </c>
      <c r="AE5" s="24"/>
      <c r="AG5" s="105">
        <v>94</v>
      </c>
      <c r="AH5" s="105">
        <v>81</v>
      </c>
      <c r="AI5" s="105">
        <v>62</v>
      </c>
      <c r="AJ5" s="105">
        <v>58</v>
      </c>
      <c r="AK5" s="105">
        <v>56</v>
      </c>
      <c r="AL5" s="108">
        <v>3</v>
      </c>
      <c r="AM5" s="107">
        <v>4</v>
      </c>
    </row>
    <row r="6" spans="1:39" x14ac:dyDescent="0.25">
      <c r="A6" t="s">
        <v>126</v>
      </c>
      <c r="B6" s="124">
        <v>2</v>
      </c>
      <c r="C6" s="90">
        <v>27350</v>
      </c>
      <c r="D6" s="90">
        <v>31250</v>
      </c>
      <c r="E6" s="90">
        <v>35150</v>
      </c>
      <c r="F6" s="90">
        <v>39050</v>
      </c>
      <c r="G6" s="90">
        <v>42200</v>
      </c>
      <c r="H6" s="90">
        <v>45300</v>
      </c>
      <c r="I6" s="90">
        <v>48450</v>
      </c>
      <c r="J6" s="28">
        <v>51550</v>
      </c>
      <c r="K6" s="28">
        <v>43750</v>
      </c>
      <c r="L6" s="28">
        <v>50000</v>
      </c>
      <c r="M6" s="28">
        <v>56250</v>
      </c>
      <c r="N6" s="28">
        <v>62500</v>
      </c>
      <c r="O6" s="28">
        <v>67500</v>
      </c>
      <c r="P6" s="28">
        <v>72500</v>
      </c>
      <c r="Q6" s="28">
        <v>77500</v>
      </c>
      <c r="R6" s="28">
        <v>82500</v>
      </c>
      <c r="S6" s="28">
        <v>736</v>
      </c>
      <c r="T6" s="28">
        <v>738</v>
      </c>
      <c r="U6" s="29">
        <v>851</v>
      </c>
      <c r="V6" s="28">
        <v>1192</v>
      </c>
      <c r="W6" s="29">
        <v>1281</v>
      </c>
      <c r="X6" s="29">
        <v>823</v>
      </c>
      <c r="Y6" s="29">
        <v>828</v>
      </c>
      <c r="Z6" s="29">
        <v>995</v>
      </c>
      <c r="AA6" s="29">
        <v>1316</v>
      </c>
      <c r="AB6" s="29">
        <v>1379</v>
      </c>
      <c r="AE6" s="24"/>
      <c r="AG6" s="105">
        <v>67</v>
      </c>
      <c r="AH6" s="105">
        <v>58</v>
      </c>
      <c r="AI6" s="105">
        <v>45</v>
      </c>
      <c r="AJ6" s="105">
        <v>41</v>
      </c>
      <c r="AK6" s="105">
        <v>29</v>
      </c>
      <c r="AL6" s="108">
        <v>1</v>
      </c>
      <c r="AM6" s="107">
        <v>1</v>
      </c>
    </row>
    <row r="7" spans="1:39" x14ac:dyDescent="0.25">
      <c r="A7" t="s">
        <v>129</v>
      </c>
      <c r="B7" s="124">
        <v>2</v>
      </c>
      <c r="C7" s="90">
        <v>39750</v>
      </c>
      <c r="D7" s="90">
        <v>45400</v>
      </c>
      <c r="E7" s="90">
        <v>51100</v>
      </c>
      <c r="F7" s="90">
        <v>56750</v>
      </c>
      <c r="G7" s="90">
        <v>61300</v>
      </c>
      <c r="H7" s="90">
        <v>65850</v>
      </c>
      <c r="I7" s="90">
        <v>70400</v>
      </c>
      <c r="J7" s="28">
        <v>74950</v>
      </c>
      <c r="K7" s="28">
        <v>63600</v>
      </c>
      <c r="L7" s="28">
        <v>72650</v>
      </c>
      <c r="M7" s="28">
        <v>81750</v>
      </c>
      <c r="N7" s="28">
        <v>90800</v>
      </c>
      <c r="O7" s="28">
        <v>98100</v>
      </c>
      <c r="P7" s="28">
        <v>105350</v>
      </c>
      <c r="Q7" s="28">
        <v>112600</v>
      </c>
      <c r="R7" s="28">
        <v>119900</v>
      </c>
      <c r="S7" s="28">
        <v>1488</v>
      </c>
      <c r="T7" s="28">
        <v>1545</v>
      </c>
      <c r="U7" s="29">
        <v>1711</v>
      </c>
      <c r="V7" s="28">
        <v>2166</v>
      </c>
      <c r="W7" s="29">
        <v>2677</v>
      </c>
      <c r="X7" s="29">
        <v>1460</v>
      </c>
      <c r="Y7" s="29">
        <v>1501</v>
      </c>
      <c r="Z7" s="29">
        <v>1685</v>
      </c>
      <c r="AA7" s="29">
        <v>2154</v>
      </c>
      <c r="AB7" s="29">
        <v>2632</v>
      </c>
      <c r="AE7" s="24"/>
      <c r="AG7" s="105">
        <v>64</v>
      </c>
      <c r="AH7" s="105">
        <v>56</v>
      </c>
      <c r="AI7" s="105">
        <v>43</v>
      </c>
      <c r="AJ7" s="105">
        <v>39</v>
      </c>
      <c r="AK7" s="105">
        <v>28</v>
      </c>
      <c r="AL7" s="108">
        <v>1</v>
      </c>
      <c r="AM7" s="107">
        <v>1</v>
      </c>
    </row>
    <row r="8" spans="1:39" x14ac:dyDescent="0.25">
      <c r="A8" t="s">
        <v>130</v>
      </c>
      <c r="B8" s="124">
        <v>2</v>
      </c>
      <c r="C8" s="90">
        <v>31000</v>
      </c>
      <c r="D8" s="90">
        <v>35400</v>
      </c>
      <c r="E8" s="90">
        <v>39850</v>
      </c>
      <c r="F8" s="90">
        <v>44250</v>
      </c>
      <c r="G8" s="90">
        <v>47800</v>
      </c>
      <c r="H8" s="90">
        <v>51350</v>
      </c>
      <c r="I8" s="90">
        <v>54900</v>
      </c>
      <c r="J8" s="28">
        <v>58450</v>
      </c>
      <c r="K8" s="28">
        <v>49600</v>
      </c>
      <c r="L8" s="28">
        <v>56650</v>
      </c>
      <c r="M8" s="28">
        <v>63750</v>
      </c>
      <c r="N8" s="28">
        <v>70800</v>
      </c>
      <c r="O8" s="28">
        <v>76500</v>
      </c>
      <c r="P8" s="28">
        <v>82150</v>
      </c>
      <c r="Q8" s="28">
        <v>87800</v>
      </c>
      <c r="R8" s="28">
        <v>93500</v>
      </c>
      <c r="S8" s="28">
        <v>1043</v>
      </c>
      <c r="T8" s="28">
        <v>1062</v>
      </c>
      <c r="U8" s="29">
        <v>1200</v>
      </c>
      <c r="V8" s="28">
        <v>1647</v>
      </c>
      <c r="W8" s="29">
        <v>1785</v>
      </c>
      <c r="X8" s="29">
        <v>1042</v>
      </c>
      <c r="Y8" s="29">
        <v>1062</v>
      </c>
      <c r="Z8" s="29">
        <v>1202</v>
      </c>
      <c r="AA8" s="29">
        <v>1643</v>
      </c>
      <c r="AB8" s="29">
        <v>1789</v>
      </c>
      <c r="AE8" s="24"/>
      <c r="AG8" s="105">
        <v>64</v>
      </c>
      <c r="AH8" s="105">
        <v>56</v>
      </c>
      <c r="AI8" s="105">
        <v>43</v>
      </c>
      <c r="AJ8" s="105">
        <v>39</v>
      </c>
      <c r="AK8" s="105">
        <v>28</v>
      </c>
      <c r="AL8" s="108">
        <v>1</v>
      </c>
      <c r="AM8" s="107">
        <v>1</v>
      </c>
    </row>
    <row r="9" spans="1:39" x14ac:dyDescent="0.25">
      <c r="A9" t="s">
        <v>133</v>
      </c>
      <c r="B9" s="124">
        <v>2</v>
      </c>
      <c r="C9" s="90">
        <v>31000</v>
      </c>
      <c r="D9" s="90">
        <v>35400</v>
      </c>
      <c r="E9" s="90">
        <v>39850</v>
      </c>
      <c r="F9" s="90">
        <v>44250</v>
      </c>
      <c r="G9" s="90">
        <v>47800</v>
      </c>
      <c r="H9" s="90">
        <v>51350</v>
      </c>
      <c r="I9" s="90">
        <v>54900</v>
      </c>
      <c r="J9" s="28">
        <v>58450</v>
      </c>
      <c r="K9" s="28">
        <v>49600</v>
      </c>
      <c r="L9" s="28">
        <v>56650</v>
      </c>
      <c r="M9" s="28">
        <v>63750</v>
      </c>
      <c r="N9" s="28">
        <v>70800</v>
      </c>
      <c r="O9" s="28">
        <v>76500</v>
      </c>
      <c r="P9" s="28">
        <v>82150</v>
      </c>
      <c r="Q9" s="28">
        <v>87800</v>
      </c>
      <c r="R9" s="28">
        <v>93500</v>
      </c>
      <c r="S9" s="28">
        <v>1043</v>
      </c>
      <c r="T9" s="28">
        <v>1062</v>
      </c>
      <c r="U9" s="29">
        <v>1200</v>
      </c>
      <c r="V9" s="28">
        <v>1647</v>
      </c>
      <c r="W9" s="29">
        <v>1785</v>
      </c>
      <c r="X9" s="29">
        <v>1042</v>
      </c>
      <c r="Y9" s="29">
        <v>1062</v>
      </c>
      <c r="Z9" s="29">
        <v>1202</v>
      </c>
      <c r="AA9" s="29">
        <v>1643</v>
      </c>
      <c r="AB9" s="29">
        <v>1789</v>
      </c>
      <c r="AE9" s="24"/>
      <c r="AG9" s="105">
        <v>64</v>
      </c>
      <c r="AH9" s="105">
        <v>56</v>
      </c>
      <c r="AI9" s="105">
        <v>43</v>
      </c>
      <c r="AJ9" s="105">
        <v>39</v>
      </c>
      <c r="AK9" s="105">
        <v>28</v>
      </c>
      <c r="AL9" s="108">
        <v>1</v>
      </c>
      <c r="AM9" s="107">
        <v>1</v>
      </c>
    </row>
    <row r="10" spans="1:39" x14ac:dyDescent="0.25">
      <c r="A10" t="s">
        <v>135</v>
      </c>
      <c r="B10" s="125">
        <v>3</v>
      </c>
      <c r="C10" s="90">
        <v>57400</v>
      </c>
      <c r="D10" s="90">
        <v>65600</v>
      </c>
      <c r="E10" s="90">
        <v>73800</v>
      </c>
      <c r="F10" s="90">
        <v>81950</v>
      </c>
      <c r="G10" s="90">
        <v>88550</v>
      </c>
      <c r="H10" s="90">
        <v>95100</v>
      </c>
      <c r="I10" s="90">
        <v>101650</v>
      </c>
      <c r="J10" s="28">
        <v>108200</v>
      </c>
      <c r="K10" s="28">
        <v>74800</v>
      </c>
      <c r="L10" s="28">
        <v>85450</v>
      </c>
      <c r="M10" s="28">
        <v>96150</v>
      </c>
      <c r="N10" s="28">
        <v>106800</v>
      </c>
      <c r="O10" s="28">
        <v>115350</v>
      </c>
      <c r="P10" s="28">
        <v>123900</v>
      </c>
      <c r="Q10" s="28">
        <v>132450</v>
      </c>
      <c r="R10" s="28">
        <v>141000</v>
      </c>
      <c r="S10" s="28">
        <v>2012</v>
      </c>
      <c r="T10" s="28">
        <v>2056</v>
      </c>
      <c r="U10" s="29">
        <v>2314</v>
      </c>
      <c r="V10" s="28">
        <v>2893</v>
      </c>
      <c r="W10" s="29">
        <v>3413</v>
      </c>
      <c r="X10" s="29">
        <v>1949</v>
      </c>
      <c r="Y10" s="29">
        <v>1983</v>
      </c>
      <c r="Z10" s="29">
        <v>2249</v>
      </c>
      <c r="AA10" s="29">
        <v>2798</v>
      </c>
      <c r="AB10" s="29">
        <v>3316</v>
      </c>
      <c r="AE10" s="24"/>
      <c r="AG10" s="105">
        <v>94</v>
      </c>
      <c r="AH10" s="105">
        <v>81</v>
      </c>
      <c r="AI10" s="105">
        <v>70</v>
      </c>
      <c r="AJ10" s="105">
        <v>70</v>
      </c>
      <c r="AK10" s="105">
        <v>59</v>
      </c>
      <c r="AL10" s="108">
        <v>3</v>
      </c>
      <c r="AM10" s="107">
        <v>3</v>
      </c>
    </row>
    <row r="11" spans="1:39" x14ac:dyDescent="0.25">
      <c r="A11" t="s">
        <v>137</v>
      </c>
      <c r="B11" s="125">
        <v>3</v>
      </c>
      <c r="C11" s="90">
        <v>33050</v>
      </c>
      <c r="D11" s="90">
        <v>37800</v>
      </c>
      <c r="E11" s="90">
        <v>42500</v>
      </c>
      <c r="F11" s="90">
        <v>47200</v>
      </c>
      <c r="G11" s="90">
        <v>51000</v>
      </c>
      <c r="H11" s="90">
        <v>54800</v>
      </c>
      <c r="I11" s="90">
        <v>58550</v>
      </c>
      <c r="J11" s="28">
        <v>62350</v>
      </c>
      <c r="K11" s="28">
        <v>52850</v>
      </c>
      <c r="L11" s="28">
        <v>60400</v>
      </c>
      <c r="M11" s="28">
        <v>67950</v>
      </c>
      <c r="N11" s="28">
        <v>75500</v>
      </c>
      <c r="O11" s="28">
        <v>81550</v>
      </c>
      <c r="P11" s="28">
        <v>87600</v>
      </c>
      <c r="Q11" s="28">
        <v>93650</v>
      </c>
      <c r="R11" s="28">
        <v>99700</v>
      </c>
      <c r="S11" s="28">
        <v>1107</v>
      </c>
      <c r="T11" s="28">
        <v>1114</v>
      </c>
      <c r="U11" s="29">
        <v>1282</v>
      </c>
      <c r="V11" s="28">
        <v>1796</v>
      </c>
      <c r="W11" s="29">
        <v>2092</v>
      </c>
      <c r="X11" s="29">
        <v>1079</v>
      </c>
      <c r="Y11" s="29">
        <v>1085</v>
      </c>
      <c r="Z11" s="29">
        <v>1263</v>
      </c>
      <c r="AA11" s="29">
        <v>1777</v>
      </c>
      <c r="AB11" s="29">
        <v>2114</v>
      </c>
      <c r="AE11" s="24"/>
      <c r="AG11" s="105">
        <v>70</v>
      </c>
      <c r="AH11" s="105">
        <v>61</v>
      </c>
      <c r="AI11" s="105">
        <v>47</v>
      </c>
      <c r="AJ11" s="105">
        <v>42</v>
      </c>
      <c r="AK11" s="105">
        <v>30</v>
      </c>
      <c r="AL11" s="108">
        <v>2</v>
      </c>
      <c r="AM11" s="107">
        <v>1</v>
      </c>
    </row>
    <row r="12" spans="1:39" x14ac:dyDescent="0.25">
      <c r="A12" t="s">
        <v>139</v>
      </c>
      <c r="B12" s="124">
        <v>2</v>
      </c>
      <c r="C12" s="90">
        <v>30450</v>
      </c>
      <c r="D12" s="90">
        <v>34800</v>
      </c>
      <c r="E12" s="90">
        <v>39150</v>
      </c>
      <c r="F12" s="90">
        <v>43500</v>
      </c>
      <c r="G12" s="90">
        <v>47000</v>
      </c>
      <c r="H12" s="90">
        <v>50500</v>
      </c>
      <c r="I12" s="90">
        <v>53950</v>
      </c>
      <c r="J12" s="28">
        <v>57450</v>
      </c>
      <c r="K12" s="28">
        <v>48750</v>
      </c>
      <c r="L12" s="28">
        <v>55700</v>
      </c>
      <c r="M12" s="28">
        <v>62650</v>
      </c>
      <c r="N12" s="28">
        <v>69600</v>
      </c>
      <c r="O12" s="28">
        <v>75200</v>
      </c>
      <c r="P12" s="28">
        <v>80750</v>
      </c>
      <c r="Q12" s="28">
        <v>86350</v>
      </c>
      <c r="R12" s="28">
        <v>91900</v>
      </c>
      <c r="S12" s="28">
        <v>698</v>
      </c>
      <c r="T12" s="28">
        <v>702</v>
      </c>
      <c r="U12" s="29">
        <v>867</v>
      </c>
      <c r="V12" s="28">
        <v>1128</v>
      </c>
      <c r="W12" s="29">
        <v>1355</v>
      </c>
      <c r="X12" s="29">
        <v>804</v>
      </c>
      <c r="Y12" s="29">
        <v>808</v>
      </c>
      <c r="Z12" s="29">
        <v>1003</v>
      </c>
      <c r="AA12" s="29">
        <v>1314</v>
      </c>
      <c r="AB12" s="29">
        <v>1538</v>
      </c>
      <c r="AE12" s="24"/>
      <c r="AG12" s="105">
        <v>67</v>
      </c>
      <c r="AH12" s="105">
        <v>58</v>
      </c>
      <c r="AI12" s="105">
        <v>45</v>
      </c>
      <c r="AJ12" s="105">
        <v>41</v>
      </c>
      <c r="AK12" s="105">
        <v>29</v>
      </c>
      <c r="AL12" s="108">
        <v>1</v>
      </c>
      <c r="AM12" s="107">
        <v>1</v>
      </c>
    </row>
    <row r="13" spans="1:39" x14ac:dyDescent="0.25">
      <c r="A13" t="s">
        <v>141</v>
      </c>
      <c r="B13" s="124">
        <v>2</v>
      </c>
      <c r="C13" s="90">
        <v>31000</v>
      </c>
      <c r="D13" s="90">
        <v>35400</v>
      </c>
      <c r="E13" s="90">
        <v>39850</v>
      </c>
      <c r="F13" s="90">
        <v>44250</v>
      </c>
      <c r="G13" s="90">
        <v>47800</v>
      </c>
      <c r="H13" s="90">
        <v>51350</v>
      </c>
      <c r="I13" s="90">
        <v>54900</v>
      </c>
      <c r="J13" s="28">
        <v>58450</v>
      </c>
      <c r="K13" s="28">
        <v>49600</v>
      </c>
      <c r="L13" s="28">
        <v>56650</v>
      </c>
      <c r="M13" s="28">
        <v>63750</v>
      </c>
      <c r="N13" s="28">
        <v>70800</v>
      </c>
      <c r="O13" s="28">
        <v>76500</v>
      </c>
      <c r="P13" s="28">
        <v>82150</v>
      </c>
      <c r="Q13" s="28">
        <v>87800</v>
      </c>
      <c r="R13" s="28">
        <v>93500</v>
      </c>
      <c r="S13" s="28">
        <v>1043</v>
      </c>
      <c r="T13" s="28">
        <v>1062</v>
      </c>
      <c r="U13" s="29">
        <v>1200</v>
      </c>
      <c r="V13" s="28">
        <v>1647</v>
      </c>
      <c r="W13" s="29">
        <v>1785</v>
      </c>
      <c r="X13" s="29">
        <v>1042</v>
      </c>
      <c r="Y13" s="29">
        <v>1062</v>
      </c>
      <c r="Z13" s="29">
        <v>1202</v>
      </c>
      <c r="AA13" s="29">
        <v>1643</v>
      </c>
      <c r="AB13" s="29">
        <v>1789</v>
      </c>
      <c r="AE13" s="24"/>
      <c r="AG13" s="105">
        <v>64</v>
      </c>
      <c r="AH13" s="105">
        <v>56</v>
      </c>
      <c r="AI13" s="105">
        <v>43</v>
      </c>
      <c r="AJ13" s="105">
        <v>39</v>
      </c>
      <c r="AK13" s="105">
        <v>28</v>
      </c>
      <c r="AL13" s="108">
        <v>1</v>
      </c>
      <c r="AM13" s="107">
        <v>1</v>
      </c>
    </row>
    <row r="14" spans="1:39" x14ac:dyDescent="0.25">
      <c r="A14" t="s">
        <v>144</v>
      </c>
      <c r="B14" s="124">
        <v>2</v>
      </c>
      <c r="C14" s="90">
        <v>27350</v>
      </c>
      <c r="D14" s="90">
        <v>31250</v>
      </c>
      <c r="E14" s="90">
        <v>35150</v>
      </c>
      <c r="F14" s="90">
        <v>39050</v>
      </c>
      <c r="G14" s="90">
        <v>42200</v>
      </c>
      <c r="H14" s="90">
        <v>45300</v>
      </c>
      <c r="I14" s="90">
        <v>48450</v>
      </c>
      <c r="J14" s="28">
        <v>51550</v>
      </c>
      <c r="K14" s="28">
        <v>43750</v>
      </c>
      <c r="L14" s="28">
        <v>50000</v>
      </c>
      <c r="M14" s="28">
        <v>56250</v>
      </c>
      <c r="N14" s="28">
        <v>62500</v>
      </c>
      <c r="O14" s="28">
        <v>67500</v>
      </c>
      <c r="P14" s="28">
        <v>72500</v>
      </c>
      <c r="Q14" s="28">
        <v>77500</v>
      </c>
      <c r="R14" s="28">
        <v>82500</v>
      </c>
      <c r="S14" s="28">
        <v>685</v>
      </c>
      <c r="T14" s="28">
        <v>689</v>
      </c>
      <c r="U14" s="29">
        <v>851</v>
      </c>
      <c r="V14" s="28">
        <v>1192</v>
      </c>
      <c r="W14" s="29">
        <v>1330</v>
      </c>
      <c r="X14" s="29">
        <v>797</v>
      </c>
      <c r="Y14" s="29">
        <v>803</v>
      </c>
      <c r="Z14" s="29">
        <v>995</v>
      </c>
      <c r="AA14" s="29">
        <v>1402</v>
      </c>
      <c r="AB14" s="29">
        <v>1526</v>
      </c>
      <c r="AE14" s="24"/>
      <c r="AG14" s="105">
        <v>63</v>
      </c>
      <c r="AH14" s="105">
        <v>55</v>
      </c>
      <c r="AI14" s="105">
        <v>42</v>
      </c>
      <c r="AJ14" s="105">
        <v>38</v>
      </c>
      <c r="AK14" s="105">
        <v>27</v>
      </c>
      <c r="AL14" s="108">
        <v>1</v>
      </c>
      <c r="AM14" s="107">
        <v>1</v>
      </c>
    </row>
    <row r="15" spans="1:39" x14ac:dyDescent="0.25">
      <c r="A15" t="s">
        <v>145</v>
      </c>
      <c r="B15" s="124">
        <v>2</v>
      </c>
      <c r="C15" s="90">
        <v>31750</v>
      </c>
      <c r="D15" s="90">
        <v>36250</v>
      </c>
      <c r="E15" s="90">
        <v>40800</v>
      </c>
      <c r="F15" s="90">
        <v>45300</v>
      </c>
      <c r="G15" s="90">
        <v>48950</v>
      </c>
      <c r="H15" s="90">
        <v>52550</v>
      </c>
      <c r="I15" s="90">
        <v>56200</v>
      </c>
      <c r="J15" s="29">
        <v>59800</v>
      </c>
      <c r="K15" s="29">
        <v>50750</v>
      </c>
      <c r="L15" s="29">
        <v>58000</v>
      </c>
      <c r="M15" s="29">
        <v>65250</v>
      </c>
      <c r="N15" s="29">
        <v>72500</v>
      </c>
      <c r="O15" s="29">
        <v>78300</v>
      </c>
      <c r="P15" s="29">
        <v>84100</v>
      </c>
      <c r="Q15" s="29">
        <v>89900</v>
      </c>
      <c r="R15" s="29">
        <v>95700</v>
      </c>
      <c r="S15" s="29">
        <v>892</v>
      </c>
      <c r="T15" s="29">
        <v>948</v>
      </c>
      <c r="U15" s="29">
        <v>1141</v>
      </c>
      <c r="V15" s="29">
        <v>1597</v>
      </c>
      <c r="W15" s="29">
        <v>1885</v>
      </c>
      <c r="X15" s="29">
        <v>892</v>
      </c>
      <c r="Y15" s="29">
        <v>983</v>
      </c>
      <c r="Z15" s="29">
        <v>1196</v>
      </c>
      <c r="AA15" s="29">
        <v>1664</v>
      </c>
      <c r="AB15" s="29">
        <v>1936</v>
      </c>
      <c r="AG15" s="105">
        <v>67</v>
      </c>
      <c r="AH15" s="105">
        <v>58</v>
      </c>
      <c r="AI15" s="105">
        <v>45</v>
      </c>
      <c r="AJ15" s="105">
        <v>41</v>
      </c>
      <c r="AK15" s="105">
        <v>29</v>
      </c>
      <c r="AL15" s="108">
        <v>1</v>
      </c>
      <c r="AM15" s="107">
        <v>1</v>
      </c>
    </row>
    <row r="16" spans="1:39" x14ac:dyDescent="0.25">
      <c r="A16" t="s">
        <v>146</v>
      </c>
      <c r="B16" s="124">
        <v>2</v>
      </c>
      <c r="C16" s="90">
        <v>26850</v>
      </c>
      <c r="D16" s="90">
        <v>30700</v>
      </c>
      <c r="E16" s="90">
        <v>34550</v>
      </c>
      <c r="F16" s="90">
        <v>38350</v>
      </c>
      <c r="G16" s="90">
        <v>41450</v>
      </c>
      <c r="H16" s="90">
        <v>44500</v>
      </c>
      <c r="I16" s="90">
        <v>47600</v>
      </c>
      <c r="J16" s="28">
        <v>50650</v>
      </c>
      <c r="K16" s="28">
        <v>42950</v>
      </c>
      <c r="L16" s="28">
        <v>49100</v>
      </c>
      <c r="M16" s="28">
        <v>55250</v>
      </c>
      <c r="N16" s="28">
        <v>61350</v>
      </c>
      <c r="O16" s="28">
        <v>66300</v>
      </c>
      <c r="P16" s="28">
        <v>71200</v>
      </c>
      <c r="Q16" s="28">
        <v>76100</v>
      </c>
      <c r="R16" s="28">
        <v>81000</v>
      </c>
      <c r="S16" s="28">
        <v>738</v>
      </c>
      <c r="T16" s="28">
        <v>824</v>
      </c>
      <c r="U16" s="29">
        <v>1043</v>
      </c>
      <c r="V16" s="28">
        <v>1343</v>
      </c>
      <c r="W16" s="29">
        <v>1538</v>
      </c>
      <c r="X16" s="29">
        <v>744</v>
      </c>
      <c r="Y16" s="29">
        <v>788</v>
      </c>
      <c r="Z16" s="29">
        <v>995</v>
      </c>
      <c r="AA16" s="29">
        <v>1296</v>
      </c>
      <c r="AB16" s="29">
        <v>1468</v>
      </c>
      <c r="AE16" s="24"/>
      <c r="AG16" s="105">
        <v>63</v>
      </c>
      <c r="AH16" s="105">
        <v>55</v>
      </c>
      <c r="AI16" s="105">
        <v>42</v>
      </c>
      <c r="AJ16" s="105">
        <v>38</v>
      </c>
      <c r="AK16" s="105">
        <v>27</v>
      </c>
      <c r="AL16" s="108">
        <v>1</v>
      </c>
      <c r="AM16" s="107">
        <v>1</v>
      </c>
    </row>
    <row r="17" spans="1:41" x14ac:dyDescent="0.25">
      <c r="A17" t="s">
        <v>148</v>
      </c>
      <c r="B17" s="124">
        <v>2</v>
      </c>
      <c r="C17" s="90">
        <v>27350</v>
      </c>
      <c r="D17" s="90">
        <v>31250</v>
      </c>
      <c r="E17" s="90">
        <v>35150</v>
      </c>
      <c r="F17" s="90">
        <v>39050</v>
      </c>
      <c r="G17" s="90">
        <v>42200</v>
      </c>
      <c r="H17" s="90">
        <v>45300</v>
      </c>
      <c r="I17" s="90">
        <v>48450</v>
      </c>
      <c r="J17" s="28">
        <v>51550</v>
      </c>
      <c r="K17" s="28">
        <v>43750</v>
      </c>
      <c r="L17" s="28">
        <v>50000</v>
      </c>
      <c r="M17" s="28">
        <v>56250</v>
      </c>
      <c r="N17" s="28">
        <v>62500</v>
      </c>
      <c r="O17" s="28">
        <v>67500</v>
      </c>
      <c r="P17" s="28">
        <v>72500</v>
      </c>
      <c r="Q17" s="28">
        <v>77500</v>
      </c>
      <c r="R17" s="28">
        <v>82500</v>
      </c>
      <c r="S17" s="28">
        <v>685</v>
      </c>
      <c r="T17" s="28">
        <v>689</v>
      </c>
      <c r="U17" s="29">
        <v>851</v>
      </c>
      <c r="V17" s="28">
        <v>1192</v>
      </c>
      <c r="W17" s="29">
        <v>1340</v>
      </c>
      <c r="X17" s="29">
        <v>797</v>
      </c>
      <c r="Y17" s="29">
        <v>803</v>
      </c>
      <c r="Z17" s="29">
        <v>995</v>
      </c>
      <c r="AA17" s="29">
        <v>1402</v>
      </c>
      <c r="AB17" s="29">
        <v>1607</v>
      </c>
      <c r="AE17" s="24"/>
      <c r="AG17" s="105">
        <v>64</v>
      </c>
      <c r="AH17" s="105">
        <v>56</v>
      </c>
      <c r="AI17" s="105">
        <v>43</v>
      </c>
      <c r="AJ17" s="105">
        <v>39</v>
      </c>
      <c r="AK17" s="105">
        <v>28</v>
      </c>
      <c r="AL17" s="108">
        <v>1</v>
      </c>
      <c r="AM17" s="107">
        <v>1</v>
      </c>
    </row>
    <row r="18" spans="1:41" x14ac:dyDescent="0.25">
      <c r="A18" t="s">
        <v>150</v>
      </c>
      <c r="B18" s="124">
        <v>2</v>
      </c>
      <c r="C18" s="90">
        <v>27350</v>
      </c>
      <c r="D18" s="90">
        <v>31250</v>
      </c>
      <c r="E18" s="90">
        <v>35150</v>
      </c>
      <c r="F18" s="90">
        <v>39050</v>
      </c>
      <c r="G18" s="90">
        <v>42200</v>
      </c>
      <c r="H18" s="90">
        <v>45300</v>
      </c>
      <c r="I18" s="90">
        <v>48450</v>
      </c>
      <c r="J18" s="28">
        <v>51550</v>
      </c>
      <c r="K18" s="28">
        <v>43750</v>
      </c>
      <c r="L18" s="28">
        <v>50000</v>
      </c>
      <c r="M18" s="28">
        <v>56250</v>
      </c>
      <c r="N18" s="28">
        <v>62500</v>
      </c>
      <c r="O18" s="28">
        <v>67500</v>
      </c>
      <c r="P18" s="28">
        <v>72500</v>
      </c>
      <c r="Q18" s="28">
        <v>77500</v>
      </c>
      <c r="R18" s="28">
        <v>82500</v>
      </c>
      <c r="S18" s="28">
        <v>670</v>
      </c>
      <c r="T18" s="28">
        <v>674</v>
      </c>
      <c r="U18" s="29">
        <v>851</v>
      </c>
      <c r="V18" s="28">
        <v>1130</v>
      </c>
      <c r="W18" s="29">
        <v>1429</v>
      </c>
      <c r="X18" s="29">
        <v>797</v>
      </c>
      <c r="Y18" s="29">
        <v>803</v>
      </c>
      <c r="Z18" s="29">
        <v>995</v>
      </c>
      <c r="AA18" s="29">
        <v>1293</v>
      </c>
      <c r="AB18" s="29">
        <v>1456</v>
      </c>
      <c r="AE18" s="24"/>
      <c r="AG18" s="105">
        <v>63</v>
      </c>
      <c r="AH18" s="105">
        <v>55</v>
      </c>
      <c r="AI18" s="105">
        <v>42</v>
      </c>
      <c r="AJ18" s="105">
        <v>38</v>
      </c>
      <c r="AK18" s="105">
        <v>27</v>
      </c>
      <c r="AL18" s="108">
        <v>1</v>
      </c>
      <c r="AM18" s="107">
        <v>1</v>
      </c>
    </row>
    <row r="19" spans="1:41" x14ac:dyDescent="0.25">
      <c r="A19" t="s">
        <v>152</v>
      </c>
      <c r="B19" s="124">
        <v>2</v>
      </c>
      <c r="C19" s="90">
        <v>29550</v>
      </c>
      <c r="D19" s="90">
        <v>33800</v>
      </c>
      <c r="E19" s="90">
        <v>38000</v>
      </c>
      <c r="F19" s="90">
        <v>42200</v>
      </c>
      <c r="G19" s="90">
        <v>45600</v>
      </c>
      <c r="H19" s="90">
        <v>49000</v>
      </c>
      <c r="I19" s="90">
        <v>52350</v>
      </c>
      <c r="J19" s="28">
        <v>55750</v>
      </c>
      <c r="K19" s="28">
        <v>47250</v>
      </c>
      <c r="L19" s="28">
        <v>54000</v>
      </c>
      <c r="M19" s="28">
        <v>60750</v>
      </c>
      <c r="N19" s="28">
        <v>67500</v>
      </c>
      <c r="O19" s="28">
        <v>72900</v>
      </c>
      <c r="P19" s="28">
        <v>78300</v>
      </c>
      <c r="Q19" s="28">
        <v>83700</v>
      </c>
      <c r="R19" s="28">
        <v>89100</v>
      </c>
      <c r="S19" s="28">
        <v>809</v>
      </c>
      <c r="T19" s="28">
        <v>834</v>
      </c>
      <c r="U19" s="29">
        <v>935</v>
      </c>
      <c r="V19" s="28">
        <v>1180</v>
      </c>
      <c r="W19" s="29">
        <v>1342</v>
      </c>
      <c r="X19" s="29">
        <v>907</v>
      </c>
      <c r="Y19" s="29">
        <v>941</v>
      </c>
      <c r="Z19" s="29">
        <v>1111</v>
      </c>
      <c r="AA19" s="29">
        <v>1369</v>
      </c>
      <c r="AB19" s="29">
        <v>1494</v>
      </c>
      <c r="AE19" s="24"/>
      <c r="AG19" s="105">
        <v>70</v>
      </c>
      <c r="AH19" s="105">
        <v>61</v>
      </c>
      <c r="AI19" s="105">
        <v>47</v>
      </c>
      <c r="AJ19" s="105">
        <v>42</v>
      </c>
      <c r="AK19" s="105">
        <v>30</v>
      </c>
      <c r="AL19" s="108">
        <v>1</v>
      </c>
      <c r="AM19" s="107">
        <v>1</v>
      </c>
    </row>
    <row r="20" spans="1:41" x14ac:dyDescent="0.25">
      <c r="A20" t="s">
        <v>155</v>
      </c>
      <c r="B20" s="124">
        <v>2</v>
      </c>
      <c r="C20" s="90">
        <v>29850</v>
      </c>
      <c r="D20" s="90">
        <v>34100</v>
      </c>
      <c r="E20" s="90">
        <v>38350</v>
      </c>
      <c r="F20" s="90">
        <v>42600</v>
      </c>
      <c r="G20" s="90">
        <v>46050</v>
      </c>
      <c r="H20" s="90">
        <v>49450</v>
      </c>
      <c r="I20" s="90">
        <v>52850</v>
      </c>
      <c r="J20" s="28">
        <v>56250</v>
      </c>
      <c r="K20" s="28">
        <v>47750</v>
      </c>
      <c r="L20" s="28">
        <v>54550</v>
      </c>
      <c r="M20" s="28">
        <v>61350</v>
      </c>
      <c r="N20" s="28">
        <v>68150</v>
      </c>
      <c r="O20" s="28">
        <v>73650</v>
      </c>
      <c r="P20" s="28">
        <v>79100</v>
      </c>
      <c r="Q20" s="28">
        <v>84550</v>
      </c>
      <c r="R20" s="28">
        <v>90000</v>
      </c>
      <c r="S20" s="28">
        <v>777</v>
      </c>
      <c r="T20" s="28">
        <v>812</v>
      </c>
      <c r="U20" s="29">
        <v>899</v>
      </c>
      <c r="V20" s="28">
        <v>1260</v>
      </c>
      <c r="W20" s="29">
        <v>1510</v>
      </c>
      <c r="X20" s="29">
        <v>849</v>
      </c>
      <c r="Y20" s="29">
        <v>926</v>
      </c>
      <c r="Z20" s="29">
        <v>1039</v>
      </c>
      <c r="AA20" s="29">
        <v>1465</v>
      </c>
      <c r="AB20" s="29">
        <v>1612</v>
      </c>
      <c r="AE20" s="24"/>
      <c r="AG20" s="105">
        <v>67</v>
      </c>
      <c r="AH20" s="105">
        <v>58</v>
      </c>
      <c r="AI20" s="105">
        <v>45</v>
      </c>
      <c r="AJ20" s="105">
        <v>41</v>
      </c>
      <c r="AK20" s="105">
        <v>29</v>
      </c>
      <c r="AL20" s="108">
        <v>1</v>
      </c>
      <c r="AM20" s="107">
        <v>1</v>
      </c>
    </row>
    <row r="21" spans="1:41" x14ac:dyDescent="0.25">
      <c r="A21" t="s">
        <v>156</v>
      </c>
      <c r="B21" s="124">
        <v>2</v>
      </c>
      <c r="C21" s="90">
        <v>31000</v>
      </c>
      <c r="D21" s="90">
        <v>35400</v>
      </c>
      <c r="E21" s="90">
        <v>39850</v>
      </c>
      <c r="F21" s="90">
        <v>44250</v>
      </c>
      <c r="G21" s="90">
        <v>47800</v>
      </c>
      <c r="H21" s="90">
        <v>51350</v>
      </c>
      <c r="I21" s="90">
        <v>54900</v>
      </c>
      <c r="J21" s="28">
        <v>58450</v>
      </c>
      <c r="K21" s="28">
        <v>49600</v>
      </c>
      <c r="L21" s="28">
        <v>56650</v>
      </c>
      <c r="M21" s="28">
        <v>63750</v>
      </c>
      <c r="N21" s="28">
        <v>70800</v>
      </c>
      <c r="O21" s="28">
        <v>76500</v>
      </c>
      <c r="P21" s="28">
        <v>82150</v>
      </c>
      <c r="Q21" s="28">
        <v>87800</v>
      </c>
      <c r="R21" s="28">
        <v>93500</v>
      </c>
      <c r="S21" s="28">
        <v>1043</v>
      </c>
      <c r="T21" s="28">
        <v>1062</v>
      </c>
      <c r="U21" s="29">
        <v>1200</v>
      </c>
      <c r="V21" s="28">
        <v>1647</v>
      </c>
      <c r="W21" s="29">
        <v>1785</v>
      </c>
      <c r="X21" s="29">
        <v>1042</v>
      </c>
      <c r="Y21" s="29">
        <v>1062</v>
      </c>
      <c r="Z21" s="29">
        <v>1202</v>
      </c>
      <c r="AA21" s="29">
        <v>1643</v>
      </c>
      <c r="AB21" s="29">
        <v>1789</v>
      </c>
      <c r="AE21" s="24"/>
      <c r="AG21" s="105">
        <v>64</v>
      </c>
      <c r="AH21" s="105">
        <v>56</v>
      </c>
      <c r="AI21" s="105">
        <v>43</v>
      </c>
      <c r="AJ21" s="105">
        <v>39</v>
      </c>
      <c r="AK21" s="105">
        <v>28</v>
      </c>
      <c r="AL21" s="108">
        <v>1</v>
      </c>
      <c r="AM21" s="107">
        <v>1</v>
      </c>
    </row>
    <row r="22" spans="1:41" x14ac:dyDescent="0.25">
      <c r="A22" t="s">
        <v>157</v>
      </c>
      <c r="B22" s="125">
        <v>3</v>
      </c>
      <c r="C22" s="90">
        <v>37900</v>
      </c>
      <c r="D22" s="90">
        <v>43300</v>
      </c>
      <c r="E22" s="90">
        <v>48700</v>
      </c>
      <c r="F22" s="90">
        <v>54100</v>
      </c>
      <c r="G22" s="90">
        <v>58450</v>
      </c>
      <c r="H22" s="90">
        <v>62800</v>
      </c>
      <c r="I22" s="90">
        <v>67100</v>
      </c>
      <c r="J22" s="28">
        <v>71450</v>
      </c>
      <c r="K22" s="28">
        <v>60600</v>
      </c>
      <c r="L22" s="28">
        <v>69250</v>
      </c>
      <c r="M22" s="28">
        <v>77900</v>
      </c>
      <c r="N22" s="28">
        <v>86550</v>
      </c>
      <c r="O22" s="28">
        <v>93500</v>
      </c>
      <c r="P22" s="28">
        <v>100400</v>
      </c>
      <c r="Q22" s="28">
        <v>107350</v>
      </c>
      <c r="R22" s="28">
        <v>114250</v>
      </c>
      <c r="S22" s="28">
        <v>901</v>
      </c>
      <c r="T22" s="28">
        <v>906</v>
      </c>
      <c r="U22" s="29">
        <v>1119</v>
      </c>
      <c r="V22" s="28">
        <v>1568</v>
      </c>
      <c r="W22" s="29">
        <v>1859</v>
      </c>
      <c r="X22" s="29">
        <v>1040</v>
      </c>
      <c r="Y22" s="29">
        <v>1047</v>
      </c>
      <c r="Z22" s="29">
        <v>1299</v>
      </c>
      <c r="AA22" s="29">
        <v>1830</v>
      </c>
      <c r="AB22" s="29">
        <v>2140</v>
      </c>
      <c r="AE22" s="24"/>
      <c r="AG22" s="105">
        <v>83</v>
      </c>
      <c r="AH22" s="105">
        <v>72</v>
      </c>
      <c r="AI22" s="105">
        <v>55</v>
      </c>
      <c r="AJ22" s="105">
        <v>50</v>
      </c>
      <c r="AK22" s="105">
        <v>35</v>
      </c>
      <c r="AL22" s="108">
        <v>1</v>
      </c>
      <c r="AM22" s="107">
        <v>1</v>
      </c>
    </row>
    <row r="23" spans="1:41" x14ac:dyDescent="0.25">
      <c r="A23" t="s">
        <v>158</v>
      </c>
      <c r="B23" s="124">
        <v>2</v>
      </c>
      <c r="C23" s="90">
        <v>27350</v>
      </c>
      <c r="D23" s="90">
        <v>31250</v>
      </c>
      <c r="E23" s="90">
        <v>35150</v>
      </c>
      <c r="F23" s="90">
        <v>39050</v>
      </c>
      <c r="G23" s="90">
        <v>42200</v>
      </c>
      <c r="H23" s="90">
        <v>45300</v>
      </c>
      <c r="I23" s="90">
        <v>48450</v>
      </c>
      <c r="J23" s="28">
        <v>51550</v>
      </c>
      <c r="K23" s="28">
        <v>43750</v>
      </c>
      <c r="L23" s="28">
        <v>50000</v>
      </c>
      <c r="M23" s="28">
        <v>56250</v>
      </c>
      <c r="N23" s="28">
        <v>62500</v>
      </c>
      <c r="O23" s="28">
        <v>67500</v>
      </c>
      <c r="P23" s="28">
        <v>72500</v>
      </c>
      <c r="Q23" s="28">
        <v>77500</v>
      </c>
      <c r="R23" s="28">
        <v>82500</v>
      </c>
      <c r="S23" s="28">
        <v>701</v>
      </c>
      <c r="T23" s="28">
        <v>706</v>
      </c>
      <c r="U23" s="29">
        <v>851</v>
      </c>
      <c r="V23" s="28">
        <v>1192</v>
      </c>
      <c r="W23" s="29">
        <v>1402</v>
      </c>
      <c r="X23" s="29">
        <v>800</v>
      </c>
      <c r="Y23" s="29">
        <v>805</v>
      </c>
      <c r="Z23" s="29">
        <v>995</v>
      </c>
      <c r="AA23" s="29">
        <v>1393</v>
      </c>
      <c r="AB23" s="29">
        <v>1633</v>
      </c>
      <c r="AE23" s="24"/>
      <c r="AG23" s="105">
        <v>63</v>
      </c>
      <c r="AH23" s="105">
        <v>55</v>
      </c>
      <c r="AI23" s="105">
        <v>42</v>
      </c>
      <c r="AJ23" s="105">
        <v>38</v>
      </c>
      <c r="AK23" s="105">
        <v>27</v>
      </c>
      <c r="AL23" s="108">
        <v>1</v>
      </c>
      <c r="AM23" s="107">
        <v>1</v>
      </c>
    </row>
    <row r="24" spans="1:41" x14ac:dyDescent="0.25">
      <c r="A24" t="s">
        <v>159</v>
      </c>
      <c r="B24" s="124">
        <v>2</v>
      </c>
      <c r="C24" s="90">
        <v>39750</v>
      </c>
      <c r="D24" s="90">
        <v>45400</v>
      </c>
      <c r="E24" s="90">
        <v>51100</v>
      </c>
      <c r="F24" s="90">
        <v>56750</v>
      </c>
      <c r="G24" s="90">
        <v>61300</v>
      </c>
      <c r="H24" s="90">
        <v>65850</v>
      </c>
      <c r="I24" s="90">
        <v>70400</v>
      </c>
      <c r="J24" s="28">
        <v>74950</v>
      </c>
      <c r="K24" s="28">
        <v>63600</v>
      </c>
      <c r="L24" s="28">
        <v>72650</v>
      </c>
      <c r="M24" s="28">
        <v>81750</v>
      </c>
      <c r="N24" s="28">
        <v>90800</v>
      </c>
      <c r="O24" s="28">
        <v>98100</v>
      </c>
      <c r="P24" s="28">
        <v>105350</v>
      </c>
      <c r="Q24" s="28">
        <v>112600</v>
      </c>
      <c r="R24" s="28">
        <v>119900</v>
      </c>
      <c r="S24" s="28">
        <v>1488</v>
      </c>
      <c r="T24" s="28">
        <v>1545</v>
      </c>
      <c r="U24" s="29">
        <v>1711</v>
      </c>
      <c r="V24" s="28">
        <v>2166</v>
      </c>
      <c r="W24" s="29">
        <v>2677</v>
      </c>
      <c r="X24" s="29">
        <v>1460</v>
      </c>
      <c r="Y24" s="29">
        <v>1501</v>
      </c>
      <c r="Z24" s="29">
        <v>1685</v>
      </c>
      <c r="AA24" s="29">
        <v>2154</v>
      </c>
      <c r="AB24" s="29">
        <v>2632</v>
      </c>
      <c r="AE24" s="24"/>
      <c r="AG24" s="106">
        <v>69</v>
      </c>
      <c r="AH24" s="106">
        <v>60</v>
      </c>
      <c r="AI24" s="106">
        <v>47</v>
      </c>
      <c r="AJ24" s="106">
        <v>41</v>
      </c>
      <c r="AK24" s="106">
        <v>29</v>
      </c>
      <c r="AL24" s="108">
        <v>1</v>
      </c>
      <c r="AM24" s="107">
        <v>2</v>
      </c>
    </row>
    <row r="25" spans="1:41" x14ac:dyDescent="0.25">
      <c r="A25" t="s">
        <v>160</v>
      </c>
      <c r="B25" s="124">
        <v>2</v>
      </c>
      <c r="C25" s="90">
        <v>27350</v>
      </c>
      <c r="D25" s="90">
        <v>31250</v>
      </c>
      <c r="E25" s="90">
        <v>35150</v>
      </c>
      <c r="F25" s="90">
        <v>39050</v>
      </c>
      <c r="G25" s="90">
        <v>42200</v>
      </c>
      <c r="H25" s="90">
        <v>45300</v>
      </c>
      <c r="I25" s="90">
        <v>48450</v>
      </c>
      <c r="J25" s="28">
        <v>51550</v>
      </c>
      <c r="K25" s="28">
        <v>43750</v>
      </c>
      <c r="L25" s="28">
        <v>50000</v>
      </c>
      <c r="M25" s="28">
        <v>56250</v>
      </c>
      <c r="N25" s="28">
        <v>62500</v>
      </c>
      <c r="O25" s="28">
        <v>67500</v>
      </c>
      <c r="P25" s="28">
        <v>72500</v>
      </c>
      <c r="Q25" s="28">
        <v>77500</v>
      </c>
      <c r="R25" s="28">
        <v>82500</v>
      </c>
      <c r="S25" s="28">
        <v>644</v>
      </c>
      <c r="T25" s="28">
        <v>649</v>
      </c>
      <c r="U25" s="29">
        <v>851</v>
      </c>
      <c r="V25" s="28">
        <v>1079</v>
      </c>
      <c r="W25" s="29">
        <v>1429</v>
      </c>
      <c r="X25" s="29">
        <v>752</v>
      </c>
      <c r="Y25" s="29">
        <v>757</v>
      </c>
      <c r="Z25" s="29">
        <v>995</v>
      </c>
      <c r="AA25" s="29">
        <v>1240</v>
      </c>
      <c r="AB25" s="29">
        <v>1526</v>
      </c>
      <c r="AE25" s="24"/>
      <c r="AG25" s="105">
        <v>64</v>
      </c>
      <c r="AH25" s="105">
        <v>56</v>
      </c>
      <c r="AI25" s="105">
        <v>43</v>
      </c>
      <c r="AJ25" s="105">
        <v>39</v>
      </c>
      <c r="AK25" s="105">
        <v>28</v>
      </c>
      <c r="AL25" s="108">
        <v>1</v>
      </c>
      <c r="AM25" s="107">
        <v>1</v>
      </c>
    </row>
    <row r="26" spans="1:41" x14ac:dyDescent="0.25">
      <c r="A26" s="88" t="s">
        <v>161</v>
      </c>
      <c r="B26" s="125">
        <v>3</v>
      </c>
      <c r="C26" s="90">
        <v>44050</v>
      </c>
      <c r="D26" s="90">
        <v>50350</v>
      </c>
      <c r="E26" s="90">
        <v>56650</v>
      </c>
      <c r="F26" s="90">
        <v>62900</v>
      </c>
      <c r="G26" s="90">
        <v>67950</v>
      </c>
      <c r="H26" s="90">
        <v>73000</v>
      </c>
      <c r="I26" s="90">
        <v>78000</v>
      </c>
      <c r="J26" s="28">
        <v>83050</v>
      </c>
      <c r="K26" s="28">
        <v>70500</v>
      </c>
      <c r="L26" s="28">
        <v>80550</v>
      </c>
      <c r="M26" s="28">
        <v>90600</v>
      </c>
      <c r="N26" s="28">
        <v>100650</v>
      </c>
      <c r="O26" s="28">
        <v>108750</v>
      </c>
      <c r="P26" s="28">
        <v>116800</v>
      </c>
      <c r="Q26" s="28">
        <v>124850</v>
      </c>
      <c r="R26" s="28">
        <v>132900</v>
      </c>
      <c r="S26" s="28">
        <v>1404</v>
      </c>
      <c r="T26" s="28">
        <v>1487</v>
      </c>
      <c r="U26" s="29">
        <v>1729</v>
      </c>
      <c r="V26" s="28">
        <v>2155</v>
      </c>
      <c r="W26" s="29">
        <v>2621</v>
      </c>
      <c r="X26" s="29">
        <v>1531</v>
      </c>
      <c r="Y26" s="29">
        <v>1556</v>
      </c>
      <c r="Z26" s="29">
        <v>1845</v>
      </c>
      <c r="AA26" s="29">
        <v>2325</v>
      </c>
      <c r="AB26" s="29">
        <v>2868</v>
      </c>
      <c r="AE26" s="24"/>
      <c r="AG26" s="105">
        <v>70</v>
      </c>
      <c r="AH26" s="105">
        <v>61</v>
      </c>
      <c r="AI26" s="105">
        <v>47</v>
      </c>
      <c r="AJ26" s="105">
        <v>42</v>
      </c>
      <c r="AK26" s="105">
        <v>38</v>
      </c>
      <c r="AL26" s="108">
        <v>3</v>
      </c>
      <c r="AM26" s="107">
        <v>2</v>
      </c>
    </row>
    <row r="27" spans="1:41" x14ac:dyDescent="0.25">
      <c r="A27" s="26" t="s">
        <v>162</v>
      </c>
      <c r="B27" s="124">
        <v>2</v>
      </c>
      <c r="C27" s="90">
        <v>37300</v>
      </c>
      <c r="D27" s="90">
        <v>42600</v>
      </c>
      <c r="E27" s="90">
        <v>47950</v>
      </c>
      <c r="F27" s="90">
        <v>53250</v>
      </c>
      <c r="G27" s="90">
        <v>57550</v>
      </c>
      <c r="H27" s="90">
        <v>61800</v>
      </c>
      <c r="I27" s="90">
        <v>66050</v>
      </c>
      <c r="J27" s="29">
        <v>70300</v>
      </c>
      <c r="K27" s="29">
        <v>59650</v>
      </c>
      <c r="L27" s="29">
        <v>68200</v>
      </c>
      <c r="M27" s="29">
        <v>76700</v>
      </c>
      <c r="N27" s="29">
        <v>85200</v>
      </c>
      <c r="O27" s="29">
        <v>92050</v>
      </c>
      <c r="P27" s="29">
        <v>98850</v>
      </c>
      <c r="Q27" s="29">
        <v>105650</v>
      </c>
      <c r="R27" s="29">
        <v>112500</v>
      </c>
      <c r="S27" s="29">
        <v>1475</v>
      </c>
      <c r="T27" s="29">
        <v>1483</v>
      </c>
      <c r="U27" s="29">
        <v>1696</v>
      </c>
      <c r="V27" s="29">
        <v>2361</v>
      </c>
      <c r="W27" s="29">
        <v>2809</v>
      </c>
      <c r="X27" s="29">
        <v>1406</v>
      </c>
      <c r="Y27" s="29">
        <v>1415</v>
      </c>
      <c r="Z27" s="29">
        <v>1642</v>
      </c>
      <c r="AA27" s="29">
        <v>2286</v>
      </c>
      <c r="AB27" s="29">
        <v>2785</v>
      </c>
      <c r="AC27" s="29">
        <v>346</v>
      </c>
      <c r="AD27" s="29"/>
      <c r="AE27" s="29">
        <v>821</v>
      </c>
      <c r="AF27">
        <v>23220</v>
      </c>
      <c r="AG27" s="106">
        <v>71</v>
      </c>
      <c r="AH27" s="106">
        <v>61</v>
      </c>
      <c r="AI27" s="106">
        <v>47</v>
      </c>
      <c r="AJ27" s="106">
        <v>42</v>
      </c>
      <c r="AK27" s="106">
        <v>30</v>
      </c>
      <c r="AL27" s="107">
        <v>2</v>
      </c>
      <c r="AM27" s="107">
        <v>2</v>
      </c>
      <c r="AN27" s="29"/>
      <c r="AO27" s="29"/>
    </row>
    <row r="28" spans="1:41" x14ac:dyDescent="0.25">
      <c r="A28" s="26" t="s">
        <v>163</v>
      </c>
      <c r="B28" s="124">
        <v>2</v>
      </c>
      <c r="C28" s="90">
        <v>39750</v>
      </c>
      <c r="D28" s="90">
        <v>45400</v>
      </c>
      <c r="E28" s="90">
        <v>51100</v>
      </c>
      <c r="F28" s="90">
        <v>56750</v>
      </c>
      <c r="G28" s="90">
        <v>61300</v>
      </c>
      <c r="H28" s="90">
        <v>65850</v>
      </c>
      <c r="I28" s="90">
        <v>70400</v>
      </c>
      <c r="J28" s="29">
        <v>74950</v>
      </c>
      <c r="K28" s="29">
        <v>63600</v>
      </c>
      <c r="L28" s="29">
        <v>72650</v>
      </c>
      <c r="M28" s="29">
        <v>81750</v>
      </c>
      <c r="N28" s="29">
        <v>90800</v>
      </c>
      <c r="O28" s="29">
        <v>98100</v>
      </c>
      <c r="P28" s="29">
        <v>105350</v>
      </c>
      <c r="Q28" s="29">
        <v>112600</v>
      </c>
      <c r="R28" s="29">
        <v>119900</v>
      </c>
      <c r="S28" s="29">
        <v>1488</v>
      </c>
      <c r="T28" s="29">
        <v>1545</v>
      </c>
      <c r="U28" s="29">
        <v>1711</v>
      </c>
      <c r="V28" s="29">
        <v>2166</v>
      </c>
      <c r="W28" s="29">
        <v>2677</v>
      </c>
      <c r="X28" s="29">
        <v>1460</v>
      </c>
      <c r="Y28" s="29">
        <v>1501</v>
      </c>
      <c r="Z28" s="29">
        <v>1685</v>
      </c>
      <c r="AA28" s="29">
        <v>2154</v>
      </c>
      <c r="AB28" s="29">
        <v>2632</v>
      </c>
      <c r="AC28" s="29"/>
      <c r="AD28" s="29"/>
      <c r="AE28" s="29"/>
      <c r="AG28" s="106">
        <v>69</v>
      </c>
      <c r="AH28" s="106">
        <v>60</v>
      </c>
      <c r="AI28" s="106">
        <v>47</v>
      </c>
      <c r="AJ28" s="106">
        <v>41</v>
      </c>
      <c r="AK28" s="106">
        <v>35</v>
      </c>
      <c r="AL28" s="107">
        <v>2</v>
      </c>
      <c r="AM28" s="107">
        <v>2</v>
      </c>
      <c r="AN28" s="29"/>
      <c r="AO28" s="29"/>
    </row>
    <row r="29" spans="1:41" x14ac:dyDescent="0.25">
      <c r="A29" t="s">
        <v>164</v>
      </c>
      <c r="B29" s="124">
        <v>2</v>
      </c>
      <c r="C29" s="90">
        <v>57400</v>
      </c>
      <c r="D29" s="90">
        <v>65600</v>
      </c>
      <c r="E29" s="90">
        <v>73800</v>
      </c>
      <c r="F29" s="90">
        <v>81950</v>
      </c>
      <c r="G29" s="90">
        <v>88550</v>
      </c>
      <c r="H29" s="90">
        <v>95100</v>
      </c>
      <c r="I29" s="90">
        <v>101650</v>
      </c>
      <c r="J29" s="29">
        <v>108200</v>
      </c>
      <c r="K29" s="29">
        <v>74800</v>
      </c>
      <c r="L29" s="29">
        <v>85450</v>
      </c>
      <c r="M29" s="29">
        <v>96150</v>
      </c>
      <c r="N29" s="29">
        <v>106800</v>
      </c>
      <c r="O29" s="29">
        <v>115350</v>
      </c>
      <c r="P29" s="29">
        <v>123900</v>
      </c>
      <c r="Q29" s="29">
        <v>132450</v>
      </c>
      <c r="R29" s="29">
        <v>141000</v>
      </c>
      <c r="S29" s="28">
        <v>2012</v>
      </c>
      <c r="T29" s="28">
        <v>2056</v>
      </c>
      <c r="U29" s="29">
        <v>2314</v>
      </c>
      <c r="V29" s="28">
        <v>2893</v>
      </c>
      <c r="W29" s="29">
        <v>3413</v>
      </c>
      <c r="X29" s="29">
        <v>1949</v>
      </c>
      <c r="Y29" s="29">
        <v>1983</v>
      </c>
      <c r="Z29" s="29">
        <v>2249</v>
      </c>
      <c r="AA29" s="29">
        <v>2798</v>
      </c>
      <c r="AB29" s="29">
        <v>3316</v>
      </c>
      <c r="AE29" s="24"/>
      <c r="AG29" s="105">
        <v>70</v>
      </c>
      <c r="AH29" s="105">
        <v>61</v>
      </c>
      <c r="AI29" s="105">
        <v>47</v>
      </c>
      <c r="AJ29" s="105">
        <v>42</v>
      </c>
      <c r="AK29" s="105">
        <v>30</v>
      </c>
      <c r="AL29" s="108">
        <v>1</v>
      </c>
      <c r="AM29" s="107">
        <v>3</v>
      </c>
    </row>
    <row r="30" spans="1:41" x14ac:dyDescent="0.25">
      <c r="A30" t="s">
        <v>165</v>
      </c>
      <c r="B30" s="125">
        <v>3</v>
      </c>
      <c r="C30" s="90">
        <v>39750</v>
      </c>
      <c r="D30" s="90">
        <v>45400</v>
      </c>
      <c r="E30" s="90">
        <v>51100</v>
      </c>
      <c r="F30" s="90">
        <v>56750</v>
      </c>
      <c r="G30" s="90">
        <v>61300</v>
      </c>
      <c r="H30" s="90">
        <v>65850</v>
      </c>
      <c r="I30" s="90">
        <v>70400</v>
      </c>
      <c r="J30" s="28">
        <v>74950</v>
      </c>
      <c r="K30" s="28">
        <v>63600</v>
      </c>
      <c r="L30" s="28">
        <v>72650</v>
      </c>
      <c r="M30" s="28">
        <v>81750</v>
      </c>
      <c r="N30" s="28">
        <v>90800</v>
      </c>
      <c r="O30" s="28">
        <v>98100</v>
      </c>
      <c r="P30" s="28">
        <v>105350</v>
      </c>
      <c r="Q30" s="28">
        <v>112600</v>
      </c>
      <c r="R30" s="28">
        <v>119900</v>
      </c>
      <c r="S30" s="28">
        <v>1488</v>
      </c>
      <c r="T30" s="28">
        <v>1545</v>
      </c>
      <c r="U30" s="29">
        <v>1711</v>
      </c>
      <c r="V30" s="28">
        <v>2166</v>
      </c>
      <c r="W30" s="29">
        <v>2677</v>
      </c>
      <c r="X30" s="89">
        <v>1460</v>
      </c>
      <c r="Y30" s="89">
        <v>1501</v>
      </c>
      <c r="Z30" s="89">
        <v>1685</v>
      </c>
      <c r="AA30" s="89">
        <v>2154</v>
      </c>
      <c r="AB30" s="89">
        <v>2632</v>
      </c>
      <c r="AE30" s="24"/>
      <c r="AG30" s="106">
        <v>69</v>
      </c>
      <c r="AH30" s="106">
        <v>60</v>
      </c>
      <c r="AI30" s="106">
        <v>47</v>
      </c>
      <c r="AJ30" s="106">
        <v>41</v>
      </c>
      <c r="AK30" s="106">
        <v>35</v>
      </c>
      <c r="AL30" s="108">
        <v>3</v>
      </c>
      <c r="AM30" s="107">
        <v>2</v>
      </c>
    </row>
    <row r="31" spans="1:41" x14ac:dyDescent="0.25">
      <c r="A31" t="s">
        <v>166</v>
      </c>
      <c r="B31" s="124">
        <v>2</v>
      </c>
      <c r="C31" s="90">
        <v>27350</v>
      </c>
      <c r="D31" s="90">
        <v>31250</v>
      </c>
      <c r="E31" s="90">
        <v>35150</v>
      </c>
      <c r="F31" s="90">
        <v>39050</v>
      </c>
      <c r="G31" s="90">
        <v>42200</v>
      </c>
      <c r="H31" s="90">
        <v>45300</v>
      </c>
      <c r="I31" s="90">
        <v>48450</v>
      </c>
      <c r="J31" s="28">
        <v>51550</v>
      </c>
      <c r="K31" s="28">
        <v>43750</v>
      </c>
      <c r="L31" s="28">
        <v>50000</v>
      </c>
      <c r="M31" s="28">
        <v>56250</v>
      </c>
      <c r="N31" s="28">
        <v>62500</v>
      </c>
      <c r="O31" s="28">
        <v>67500</v>
      </c>
      <c r="P31" s="28">
        <v>72500</v>
      </c>
      <c r="Q31" s="28">
        <v>77500</v>
      </c>
      <c r="R31" s="28">
        <v>82500</v>
      </c>
      <c r="S31" s="28">
        <v>736</v>
      </c>
      <c r="T31" s="28">
        <v>738</v>
      </c>
      <c r="U31" s="29">
        <v>851</v>
      </c>
      <c r="V31" s="28">
        <v>1192</v>
      </c>
      <c r="W31" s="29">
        <v>1281</v>
      </c>
      <c r="X31" s="89">
        <v>823</v>
      </c>
      <c r="Y31" s="89">
        <v>828</v>
      </c>
      <c r="Z31" s="89">
        <v>995</v>
      </c>
      <c r="AA31" s="89">
        <v>1316</v>
      </c>
      <c r="AB31" s="89">
        <v>1379</v>
      </c>
      <c r="AE31" s="24"/>
      <c r="AG31" s="105">
        <v>67</v>
      </c>
      <c r="AH31" s="105">
        <v>58</v>
      </c>
      <c r="AI31" s="105">
        <v>45</v>
      </c>
      <c r="AJ31" s="105">
        <v>41</v>
      </c>
      <c r="AK31" s="105">
        <v>29</v>
      </c>
      <c r="AL31" s="108">
        <v>2</v>
      </c>
      <c r="AM31" s="107">
        <v>1</v>
      </c>
    </row>
    <row r="32" spans="1:41" x14ac:dyDescent="0.25">
      <c r="A32" t="s">
        <v>167</v>
      </c>
      <c r="B32" s="124">
        <v>2</v>
      </c>
      <c r="C32" s="90">
        <v>31750</v>
      </c>
      <c r="D32" s="90">
        <v>36250</v>
      </c>
      <c r="E32" s="90">
        <v>40800</v>
      </c>
      <c r="F32" s="90">
        <v>45300</v>
      </c>
      <c r="G32" s="90">
        <v>48950</v>
      </c>
      <c r="H32" s="90">
        <v>52550</v>
      </c>
      <c r="I32" s="90">
        <v>56200</v>
      </c>
      <c r="J32" s="28">
        <v>59800</v>
      </c>
      <c r="K32" s="28">
        <v>50750</v>
      </c>
      <c r="L32" s="28">
        <v>58000</v>
      </c>
      <c r="M32" s="28">
        <v>65250</v>
      </c>
      <c r="N32" s="28">
        <v>72500</v>
      </c>
      <c r="O32" s="28">
        <v>78300</v>
      </c>
      <c r="P32" s="28">
        <v>84100</v>
      </c>
      <c r="Q32" s="28">
        <v>89900</v>
      </c>
      <c r="R32" s="28">
        <v>95700</v>
      </c>
      <c r="S32" s="28">
        <v>892</v>
      </c>
      <c r="T32" s="28">
        <v>948</v>
      </c>
      <c r="U32" s="29">
        <v>1141</v>
      </c>
      <c r="V32" s="28">
        <v>1597</v>
      </c>
      <c r="W32" s="29">
        <v>1885</v>
      </c>
      <c r="X32" s="89">
        <v>892</v>
      </c>
      <c r="Y32" s="89">
        <v>983</v>
      </c>
      <c r="Z32" s="89">
        <v>1196</v>
      </c>
      <c r="AA32" s="89">
        <v>1664</v>
      </c>
      <c r="AB32" s="89">
        <v>1936</v>
      </c>
      <c r="AE32" s="24"/>
      <c r="AG32" s="105">
        <v>67</v>
      </c>
      <c r="AH32" s="105">
        <v>58</v>
      </c>
      <c r="AI32" s="105">
        <v>45</v>
      </c>
      <c r="AJ32" s="105">
        <v>41</v>
      </c>
      <c r="AK32" s="105">
        <v>29</v>
      </c>
      <c r="AL32" s="108">
        <v>1</v>
      </c>
      <c r="AM32" s="107">
        <v>1</v>
      </c>
    </row>
    <row r="33" spans="1:41" x14ac:dyDescent="0.25">
      <c r="A33" t="s">
        <v>168</v>
      </c>
      <c r="B33" s="124">
        <v>2</v>
      </c>
      <c r="C33" s="90">
        <v>40300</v>
      </c>
      <c r="D33" s="90">
        <v>46050</v>
      </c>
      <c r="E33" s="90">
        <v>51800</v>
      </c>
      <c r="F33" s="90">
        <v>57550</v>
      </c>
      <c r="G33" s="90">
        <v>62200</v>
      </c>
      <c r="H33" s="90">
        <v>66800</v>
      </c>
      <c r="I33" s="90">
        <v>71400</v>
      </c>
      <c r="J33" s="28">
        <v>76000</v>
      </c>
      <c r="K33" s="28">
        <v>64500</v>
      </c>
      <c r="L33" s="28">
        <v>73700</v>
      </c>
      <c r="M33" s="28">
        <v>82900</v>
      </c>
      <c r="N33" s="28">
        <v>92100</v>
      </c>
      <c r="O33" s="28">
        <v>99500</v>
      </c>
      <c r="P33" s="28">
        <v>106850</v>
      </c>
      <c r="Q33" s="28">
        <v>114250</v>
      </c>
      <c r="R33" s="28">
        <v>121600</v>
      </c>
      <c r="S33" s="28">
        <v>1148</v>
      </c>
      <c r="T33" s="28">
        <v>1148</v>
      </c>
      <c r="U33" s="29">
        <v>1421</v>
      </c>
      <c r="V33" s="28">
        <v>1882</v>
      </c>
      <c r="W33" s="29">
        <v>2036</v>
      </c>
      <c r="X33" s="89">
        <v>1048</v>
      </c>
      <c r="Y33" s="89">
        <v>1054</v>
      </c>
      <c r="Z33" s="89">
        <v>1376</v>
      </c>
      <c r="AA33" s="89">
        <v>1769</v>
      </c>
      <c r="AB33" s="89">
        <v>2077</v>
      </c>
      <c r="AE33" s="24"/>
      <c r="AG33" s="105">
        <v>83</v>
      </c>
      <c r="AH33" s="105">
        <v>72</v>
      </c>
      <c r="AI33" s="105">
        <v>55</v>
      </c>
      <c r="AJ33" s="105">
        <v>50</v>
      </c>
      <c r="AK33" s="105">
        <v>35</v>
      </c>
      <c r="AL33" s="108">
        <v>1</v>
      </c>
      <c r="AM33" s="107">
        <v>3</v>
      </c>
    </row>
    <row r="34" spans="1:41" x14ac:dyDescent="0.25">
      <c r="A34" t="s">
        <v>169</v>
      </c>
      <c r="B34" s="124">
        <v>2</v>
      </c>
      <c r="C34" s="90">
        <v>27350</v>
      </c>
      <c r="D34" s="90">
        <v>31250</v>
      </c>
      <c r="E34" s="90">
        <v>35150</v>
      </c>
      <c r="F34" s="90">
        <v>39050</v>
      </c>
      <c r="G34" s="90">
        <v>42200</v>
      </c>
      <c r="H34" s="90">
        <v>45300</v>
      </c>
      <c r="I34" s="90">
        <v>48450</v>
      </c>
      <c r="J34" s="28">
        <v>51550</v>
      </c>
      <c r="K34" s="28">
        <v>43750</v>
      </c>
      <c r="L34" s="28">
        <v>50000</v>
      </c>
      <c r="M34" s="28">
        <v>56250</v>
      </c>
      <c r="N34" s="28">
        <v>62500</v>
      </c>
      <c r="O34" s="28">
        <v>67500</v>
      </c>
      <c r="P34" s="28">
        <v>72500</v>
      </c>
      <c r="Q34" s="28">
        <v>77500</v>
      </c>
      <c r="R34" s="28">
        <v>82500</v>
      </c>
      <c r="S34" s="28">
        <v>735</v>
      </c>
      <c r="T34" s="28">
        <v>739</v>
      </c>
      <c r="U34" s="29">
        <v>913</v>
      </c>
      <c r="V34" s="28">
        <v>1100</v>
      </c>
      <c r="W34" s="29">
        <v>1540</v>
      </c>
      <c r="X34" s="89">
        <v>888</v>
      </c>
      <c r="Y34" s="89">
        <v>894</v>
      </c>
      <c r="Z34" s="89">
        <v>1108</v>
      </c>
      <c r="AA34" s="89">
        <v>1340</v>
      </c>
      <c r="AB34" s="89">
        <v>1882</v>
      </c>
      <c r="AE34" s="24"/>
      <c r="AG34" s="105">
        <v>64</v>
      </c>
      <c r="AH34" s="105">
        <v>56</v>
      </c>
      <c r="AI34" s="105">
        <v>43</v>
      </c>
      <c r="AJ34" s="105">
        <v>39</v>
      </c>
      <c r="AK34" s="105">
        <v>28</v>
      </c>
      <c r="AL34" s="108">
        <v>1</v>
      </c>
      <c r="AM34" s="107">
        <v>1</v>
      </c>
    </row>
    <row r="35" spans="1:41" x14ac:dyDescent="0.25">
      <c r="A35" t="s">
        <v>170</v>
      </c>
      <c r="B35" s="124">
        <v>2</v>
      </c>
      <c r="C35" s="90">
        <v>27350</v>
      </c>
      <c r="D35" s="90">
        <v>31250</v>
      </c>
      <c r="E35" s="90">
        <v>35150</v>
      </c>
      <c r="F35" s="90">
        <v>39050</v>
      </c>
      <c r="G35" s="90">
        <v>42200</v>
      </c>
      <c r="H35" s="90">
        <v>45300</v>
      </c>
      <c r="I35" s="90">
        <v>48450</v>
      </c>
      <c r="J35" s="28">
        <v>51550</v>
      </c>
      <c r="K35" s="28">
        <v>43750</v>
      </c>
      <c r="L35" s="28">
        <v>50000</v>
      </c>
      <c r="M35" s="28">
        <v>56250</v>
      </c>
      <c r="N35" s="28">
        <v>62500</v>
      </c>
      <c r="O35" s="28">
        <v>67500</v>
      </c>
      <c r="P35" s="28">
        <v>72500</v>
      </c>
      <c r="Q35" s="28">
        <v>77500</v>
      </c>
      <c r="R35" s="28">
        <v>82500</v>
      </c>
      <c r="S35" s="28">
        <v>584</v>
      </c>
      <c r="T35" s="28">
        <v>687</v>
      </c>
      <c r="U35" s="29">
        <v>851</v>
      </c>
      <c r="V35" s="28">
        <v>1165</v>
      </c>
      <c r="W35" s="29">
        <v>1311</v>
      </c>
      <c r="X35" s="89">
        <v>674</v>
      </c>
      <c r="Y35" s="89">
        <v>790</v>
      </c>
      <c r="Z35" s="89">
        <v>995</v>
      </c>
      <c r="AA35" s="89">
        <v>1350</v>
      </c>
      <c r="AB35" s="89">
        <v>1488</v>
      </c>
      <c r="AE35" s="24"/>
      <c r="AG35" s="105">
        <v>64</v>
      </c>
      <c r="AH35" s="105">
        <v>56</v>
      </c>
      <c r="AI35" s="105">
        <v>43</v>
      </c>
      <c r="AJ35" s="105">
        <v>39</v>
      </c>
      <c r="AK35" s="105">
        <v>28</v>
      </c>
      <c r="AL35" s="108">
        <v>1</v>
      </c>
      <c r="AM35" s="107">
        <v>1</v>
      </c>
    </row>
    <row r="36" spans="1:41" x14ac:dyDescent="0.25">
      <c r="A36" t="s">
        <v>171</v>
      </c>
      <c r="B36" s="124">
        <v>2</v>
      </c>
      <c r="C36" s="90">
        <v>27350</v>
      </c>
      <c r="D36" s="90">
        <v>31250</v>
      </c>
      <c r="E36" s="90">
        <v>35150</v>
      </c>
      <c r="F36" s="90">
        <v>39050</v>
      </c>
      <c r="G36" s="90">
        <v>42200</v>
      </c>
      <c r="H36" s="90">
        <v>45300</v>
      </c>
      <c r="I36" s="90">
        <v>48450</v>
      </c>
      <c r="J36" s="28">
        <v>51550</v>
      </c>
      <c r="K36" s="28">
        <v>43750</v>
      </c>
      <c r="L36" s="28">
        <v>50000</v>
      </c>
      <c r="M36" s="28">
        <v>56250</v>
      </c>
      <c r="N36" s="28">
        <v>62500</v>
      </c>
      <c r="O36" s="28">
        <v>67500</v>
      </c>
      <c r="P36" s="28">
        <v>72500</v>
      </c>
      <c r="Q36" s="28">
        <v>77500</v>
      </c>
      <c r="R36" s="28">
        <v>82500</v>
      </c>
      <c r="S36" s="28">
        <v>685</v>
      </c>
      <c r="T36" s="28">
        <v>689</v>
      </c>
      <c r="U36" s="29">
        <v>851</v>
      </c>
      <c r="V36" s="28">
        <v>1025</v>
      </c>
      <c r="W36" s="29">
        <v>1330</v>
      </c>
      <c r="X36" s="89">
        <v>797</v>
      </c>
      <c r="Y36" s="89">
        <v>803</v>
      </c>
      <c r="Z36" s="89">
        <v>995</v>
      </c>
      <c r="AA36" s="89">
        <v>1203</v>
      </c>
      <c r="AB36" s="89">
        <v>1526</v>
      </c>
      <c r="AE36" s="24"/>
      <c r="AG36" s="105">
        <v>63</v>
      </c>
      <c r="AH36" s="105">
        <v>55</v>
      </c>
      <c r="AI36" s="105">
        <v>42</v>
      </c>
      <c r="AJ36" s="105">
        <v>38</v>
      </c>
      <c r="AK36" s="105">
        <v>27</v>
      </c>
      <c r="AL36" s="108">
        <v>1</v>
      </c>
      <c r="AM36" s="107">
        <v>1</v>
      </c>
    </row>
    <row r="37" spans="1:41" x14ac:dyDescent="0.25">
      <c r="A37" t="s">
        <v>172</v>
      </c>
      <c r="B37" s="124">
        <v>2</v>
      </c>
      <c r="C37" s="90">
        <v>39750</v>
      </c>
      <c r="D37" s="90">
        <v>45400</v>
      </c>
      <c r="E37" s="90">
        <v>51100</v>
      </c>
      <c r="F37" s="90">
        <v>56750</v>
      </c>
      <c r="G37" s="90">
        <v>61300</v>
      </c>
      <c r="H37" s="90">
        <v>65850</v>
      </c>
      <c r="I37" s="90">
        <v>70400</v>
      </c>
      <c r="J37" s="28">
        <v>74950</v>
      </c>
      <c r="K37" s="28">
        <v>63600</v>
      </c>
      <c r="L37" s="28">
        <v>72650</v>
      </c>
      <c r="M37" s="28">
        <v>81750</v>
      </c>
      <c r="N37" s="28">
        <v>90800</v>
      </c>
      <c r="O37" s="28">
        <v>98100</v>
      </c>
      <c r="P37" s="28">
        <v>105350</v>
      </c>
      <c r="Q37" s="28">
        <v>112600</v>
      </c>
      <c r="R37" s="28">
        <v>119900</v>
      </c>
      <c r="S37" s="28">
        <v>1488</v>
      </c>
      <c r="T37" s="28">
        <v>1545</v>
      </c>
      <c r="U37" s="29">
        <v>1711</v>
      </c>
      <c r="V37" s="28">
        <v>2166</v>
      </c>
      <c r="W37" s="29">
        <v>2677</v>
      </c>
      <c r="X37" s="89">
        <v>1460</v>
      </c>
      <c r="Y37" s="89">
        <v>1501</v>
      </c>
      <c r="Z37" s="89">
        <v>1685</v>
      </c>
      <c r="AA37" s="89">
        <v>2154</v>
      </c>
      <c r="AB37" s="89">
        <v>2632</v>
      </c>
      <c r="AE37" s="24"/>
      <c r="AG37" s="106">
        <v>69</v>
      </c>
      <c r="AH37" s="106">
        <v>60</v>
      </c>
      <c r="AI37" s="106">
        <v>47</v>
      </c>
      <c r="AJ37" s="106">
        <v>41</v>
      </c>
      <c r="AK37" s="106">
        <v>29</v>
      </c>
      <c r="AL37" s="108">
        <v>1</v>
      </c>
      <c r="AM37" s="107">
        <v>2</v>
      </c>
    </row>
    <row r="38" spans="1:41" x14ac:dyDescent="0.25">
      <c r="A38" t="s">
        <v>173</v>
      </c>
      <c r="B38" s="124">
        <v>2</v>
      </c>
      <c r="C38" s="90">
        <v>27350</v>
      </c>
      <c r="D38" s="90">
        <v>31250</v>
      </c>
      <c r="E38" s="90">
        <v>35150</v>
      </c>
      <c r="F38" s="90">
        <v>39050</v>
      </c>
      <c r="G38" s="90">
        <v>42200</v>
      </c>
      <c r="H38" s="90">
        <v>45300</v>
      </c>
      <c r="I38" s="90">
        <v>48450</v>
      </c>
      <c r="J38" s="28">
        <v>51550</v>
      </c>
      <c r="K38" s="28">
        <v>43750</v>
      </c>
      <c r="L38" s="28">
        <v>50000</v>
      </c>
      <c r="M38" s="28">
        <v>56250</v>
      </c>
      <c r="N38" s="28">
        <v>62500</v>
      </c>
      <c r="O38" s="28">
        <v>67500</v>
      </c>
      <c r="P38" s="28">
        <v>72500</v>
      </c>
      <c r="Q38" s="28">
        <v>77500</v>
      </c>
      <c r="R38" s="28">
        <v>82500</v>
      </c>
      <c r="S38" s="28">
        <v>707</v>
      </c>
      <c r="T38" s="28">
        <v>711</v>
      </c>
      <c r="U38" s="29">
        <v>933</v>
      </c>
      <c r="V38" s="28">
        <v>1275</v>
      </c>
      <c r="W38" s="29">
        <v>1532</v>
      </c>
      <c r="X38" s="89">
        <v>805</v>
      </c>
      <c r="Y38" s="89">
        <v>810</v>
      </c>
      <c r="Z38" s="89">
        <v>1064</v>
      </c>
      <c r="AA38" s="89">
        <v>1437</v>
      </c>
      <c r="AB38" s="89">
        <v>1581</v>
      </c>
      <c r="AE38" s="24"/>
      <c r="AG38" s="106">
        <v>69</v>
      </c>
      <c r="AH38" s="106">
        <v>60</v>
      </c>
      <c r="AI38" s="106">
        <v>47</v>
      </c>
      <c r="AJ38" s="106">
        <v>41</v>
      </c>
      <c r="AK38" s="106">
        <v>29</v>
      </c>
      <c r="AL38" s="108">
        <v>1</v>
      </c>
      <c r="AM38" s="107">
        <v>1</v>
      </c>
    </row>
    <row r="39" spans="1:41" x14ac:dyDescent="0.25">
      <c r="A39" t="s">
        <v>174</v>
      </c>
      <c r="B39" s="124">
        <v>2</v>
      </c>
      <c r="C39" s="90">
        <v>27650</v>
      </c>
      <c r="D39" s="90">
        <v>31600</v>
      </c>
      <c r="E39" s="90">
        <v>35550</v>
      </c>
      <c r="F39" s="90">
        <v>39450</v>
      </c>
      <c r="G39" s="90">
        <v>42650</v>
      </c>
      <c r="H39" s="90">
        <v>45800</v>
      </c>
      <c r="I39" s="90">
        <v>48950</v>
      </c>
      <c r="J39" s="29">
        <v>52100</v>
      </c>
      <c r="K39" s="29">
        <v>44200</v>
      </c>
      <c r="L39" s="29">
        <v>50500</v>
      </c>
      <c r="M39" s="29">
        <v>56800</v>
      </c>
      <c r="N39" s="29">
        <v>63100</v>
      </c>
      <c r="O39" s="29">
        <v>68150</v>
      </c>
      <c r="P39" s="29">
        <v>73200</v>
      </c>
      <c r="Q39" s="29">
        <v>78250</v>
      </c>
      <c r="R39" s="29">
        <v>83300</v>
      </c>
      <c r="S39" s="29">
        <v>810</v>
      </c>
      <c r="T39" s="29">
        <v>815</v>
      </c>
      <c r="U39" s="29">
        <v>1006</v>
      </c>
      <c r="V39" s="29">
        <v>1246</v>
      </c>
      <c r="W39" s="29">
        <v>1438</v>
      </c>
      <c r="X39" s="89">
        <v>917</v>
      </c>
      <c r="Y39" s="89">
        <v>922</v>
      </c>
      <c r="Z39" s="89">
        <v>1145</v>
      </c>
      <c r="AA39" s="89">
        <v>1453</v>
      </c>
      <c r="AB39" s="89">
        <v>1756</v>
      </c>
      <c r="AG39" s="106">
        <v>68</v>
      </c>
      <c r="AH39" s="106">
        <v>59</v>
      </c>
      <c r="AI39" s="106">
        <v>45</v>
      </c>
      <c r="AJ39" s="106">
        <v>41</v>
      </c>
      <c r="AK39" s="106">
        <v>29</v>
      </c>
      <c r="AL39" s="108">
        <v>1</v>
      </c>
      <c r="AM39" s="107">
        <v>1</v>
      </c>
    </row>
    <row r="40" spans="1:41" x14ac:dyDescent="0.25">
      <c r="A40" s="88" t="s">
        <v>175</v>
      </c>
      <c r="B40" s="125">
        <v>3</v>
      </c>
      <c r="C40" s="90">
        <v>57400</v>
      </c>
      <c r="D40" s="90">
        <v>65600</v>
      </c>
      <c r="E40" s="90">
        <v>73800</v>
      </c>
      <c r="F40" s="90">
        <v>81950</v>
      </c>
      <c r="G40" s="90">
        <v>88550</v>
      </c>
      <c r="H40" s="90">
        <v>95100</v>
      </c>
      <c r="I40" s="90">
        <v>101650</v>
      </c>
      <c r="J40" s="89">
        <v>108200</v>
      </c>
      <c r="K40" s="89">
        <v>74800</v>
      </c>
      <c r="L40" s="89">
        <v>85450</v>
      </c>
      <c r="M40" s="89">
        <v>96150</v>
      </c>
      <c r="N40" s="89">
        <v>106800</v>
      </c>
      <c r="O40" s="89">
        <v>115350</v>
      </c>
      <c r="P40" s="89">
        <v>123900</v>
      </c>
      <c r="Q40" s="89">
        <v>132450</v>
      </c>
      <c r="R40" s="89">
        <v>141000</v>
      </c>
      <c r="S40" s="89">
        <v>2012</v>
      </c>
      <c r="T40" s="89">
        <v>2056</v>
      </c>
      <c r="U40" s="89">
        <v>2314</v>
      </c>
      <c r="V40" s="89">
        <v>2893</v>
      </c>
      <c r="W40" s="89">
        <v>3413</v>
      </c>
      <c r="X40" s="89">
        <v>1949</v>
      </c>
      <c r="Y40" s="89">
        <v>1983</v>
      </c>
      <c r="Z40" s="89">
        <v>2249</v>
      </c>
      <c r="AA40" s="89">
        <v>2798</v>
      </c>
      <c r="AB40" s="89">
        <v>3316</v>
      </c>
      <c r="AC40" s="88"/>
      <c r="AD40" s="88"/>
      <c r="AE40" s="88"/>
      <c r="AF40" s="88"/>
      <c r="AG40" s="106">
        <v>94</v>
      </c>
      <c r="AH40" s="106">
        <v>81</v>
      </c>
      <c r="AI40" s="106">
        <v>62</v>
      </c>
      <c r="AJ40" s="106">
        <v>59</v>
      </c>
      <c r="AK40" s="106">
        <v>52</v>
      </c>
      <c r="AL40" s="107">
        <v>3</v>
      </c>
      <c r="AM40" s="107">
        <v>4</v>
      </c>
    </row>
    <row r="41" spans="1:41" x14ac:dyDescent="0.25">
      <c r="A41" t="s">
        <v>176</v>
      </c>
      <c r="B41" s="125">
        <v>3</v>
      </c>
      <c r="C41" s="90">
        <v>57400</v>
      </c>
      <c r="D41" s="90">
        <v>65600</v>
      </c>
      <c r="E41" s="90">
        <v>73800</v>
      </c>
      <c r="F41" s="90">
        <v>81950</v>
      </c>
      <c r="G41" s="90">
        <v>88550</v>
      </c>
      <c r="H41" s="90">
        <v>95100</v>
      </c>
      <c r="I41" s="90">
        <v>101650</v>
      </c>
      <c r="J41" s="89">
        <v>108200</v>
      </c>
      <c r="K41" s="89">
        <v>74800</v>
      </c>
      <c r="L41" s="89">
        <v>85450</v>
      </c>
      <c r="M41" s="89">
        <v>96150</v>
      </c>
      <c r="N41" s="89">
        <v>106800</v>
      </c>
      <c r="O41" s="89">
        <v>115350</v>
      </c>
      <c r="P41" s="89">
        <v>123900</v>
      </c>
      <c r="Q41" s="89">
        <v>132450</v>
      </c>
      <c r="R41" s="89">
        <v>141000</v>
      </c>
      <c r="S41" s="89">
        <v>2012</v>
      </c>
      <c r="T41" s="89">
        <v>2056</v>
      </c>
      <c r="U41" s="89">
        <v>2314</v>
      </c>
      <c r="V41" s="89">
        <v>2893</v>
      </c>
      <c r="W41" s="89">
        <v>3413</v>
      </c>
      <c r="X41" s="89">
        <v>1949</v>
      </c>
      <c r="Y41" s="89">
        <v>1983</v>
      </c>
      <c r="Z41" s="89">
        <v>2249</v>
      </c>
      <c r="AA41" s="89">
        <v>2798</v>
      </c>
      <c r="AB41" s="89">
        <v>3316</v>
      </c>
      <c r="AG41" s="106">
        <v>94</v>
      </c>
      <c r="AH41" s="106">
        <v>81</v>
      </c>
      <c r="AI41" s="106">
        <v>62</v>
      </c>
      <c r="AJ41" s="106">
        <v>59</v>
      </c>
      <c r="AK41" s="106">
        <v>52</v>
      </c>
      <c r="AL41" s="108">
        <v>3</v>
      </c>
      <c r="AM41" s="107">
        <v>4</v>
      </c>
    </row>
    <row r="42" spans="1:41" x14ac:dyDescent="0.25">
      <c r="A42" s="88" t="s">
        <v>177</v>
      </c>
      <c r="B42" s="125">
        <v>3</v>
      </c>
      <c r="C42" s="90">
        <v>57400</v>
      </c>
      <c r="D42" s="90">
        <v>65600</v>
      </c>
      <c r="E42" s="90">
        <v>73800</v>
      </c>
      <c r="F42" s="90">
        <v>81950</v>
      </c>
      <c r="G42" s="90">
        <v>88550</v>
      </c>
      <c r="H42" s="90">
        <v>95100</v>
      </c>
      <c r="I42" s="90">
        <v>101650</v>
      </c>
      <c r="J42" s="89">
        <v>108200</v>
      </c>
      <c r="K42" s="89">
        <v>74800</v>
      </c>
      <c r="L42" s="89">
        <v>85450</v>
      </c>
      <c r="M42" s="89">
        <v>96150</v>
      </c>
      <c r="N42" s="89">
        <v>106800</v>
      </c>
      <c r="O42" s="89">
        <v>115350</v>
      </c>
      <c r="P42" s="89">
        <v>123900</v>
      </c>
      <c r="Q42" s="89">
        <v>132450</v>
      </c>
      <c r="R42" s="89">
        <v>141000</v>
      </c>
      <c r="S42" s="89">
        <v>2012</v>
      </c>
      <c r="T42" s="89">
        <v>2056</v>
      </c>
      <c r="U42" s="89">
        <v>2314</v>
      </c>
      <c r="V42" s="89">
        <v>2893</v>
      </c>
      <c r="W42" s="89">
        <v>3413</v>
      </c>
      <c r="X42" s="89">
        <v>1949</v>
      </c>
      <c r="Y42" s="89">
        <v>1983</v>
      </c>
      <c r="Z42" s="89">
        <v>2249</v>
      </c>
      <c r="AA42" s="89">
        <v>2798</v>
      </c>
      <c r="AB42" s="89">
        <v>3316</v>
      </c>
      <c r="AC42" s="88"/>
      <c r="AD42" s="88"/>
      <c r="AE42" s="88"/>
      <c r="AF42" s="88"/>
      <c r="AG42" s="106">
        <v>94</v>
      </c>
      <c r="AH42" s="106">
        <v>81</v>
      </c>
      <c r="AI42" s="106">
        <v>62</v>
      </c>
      <c r="AJ42" s="106">
        <v>59</v>
      </c>
      <c r="AK42" s="106">
        <v>52</v>
      </c>
      <c r="AL42" s="107">
        <v>3</v>
      </c>
      <c r="AM42" s="298">
        <v>4</v>
      </c>
      <c r="AN42" t="s">
        <v>606</v>
      </c>
    </row>
    <row r="43" spans="1:41" x14ac:dyDescent="0.25">
      <c r="A43" s="88" t="s">
        <v>178</v>
      </c>
      <c r="B43" s="125">
        <v>3</v>
      </c>
      <c r="C43" s="90">
        <v>57400</v>
      </c>
      <c r="D43" s="90">
        <v>65600</v>
      </c>
      <c r="E43" s="90">
        <v>73800</v>
      </c>
      <c r="F43" s="90">
        <v>81950</v>
      </c>
      <c r="G43" s="90">
        <v>88550</v>
      </c>
      <c r="H43" s="90">
        <v>95100</v>
      </c>
      <c r="I43" s="90">
        <v>101650</v>
      </c>
      <c r="J43" s="89">
        <v>108200</v>
      </c>
      <c r="K43" s="89">
        <v>74800</v>
      </c>
      <c r="L43" s="89">
        <v>85450</v>
      </c>
      <c r="M43" s="89">
        <v>96150</v>
      </c>
      <c r="N43" s="89">
        <v>106800</v>
      </c>
      <c r="O43" s="89">
        <v>115350</v>
      </c>
      <c r="P43" s="89">
        <v>123900</v>
      </c>
      <c r="Q43" s="89">
        <v>132450</v>
      </c>
      <c r="R43" s="89">
        <v>141000</v>
      </c>
      <c r="S43" s="89">
        <v>2012</v>
      </c>
      <c r="T43" s="89">
        <v>2056</v>
      </c>
      <c r="U43" s="89">
        <v>2314</v>
      </c>
      <c r="V43" s="89">
        <v>2893</v>
      </c>
      <c r="W43" s="89">
        <v>3413</v>
      </c>
      <c r="X43" s="89">
        <v>1949</v>
      </c>
      <c r="Y43" s="89">
        <v>1983</v>
      </c>
      <c r="Z43" s="89">
        <v>2249</v>
      </c>
      <c r="AA43" s="89">
        <v>2798</v>
      </c>
      <c r="AB43" s="89">
        <v>3316</v>
      </c>
      <c r="AC43" s="88"/>
      <c r="AD43" s="88"/>
      <c r="AE43" s="88"/>
      <c r="AF43" s="88"/>
      <c r="AG43" s="105">
        <v>83</v>
      </c>
      <c r="AH43" s="105">
        <v>72</v>
      </c>
      <c r="AI43" s="105">
        <v>55</v>
      </c>
      <c r="AJ43" s="105">
        <v>50</v>
      </c>
      <c r="AK43" s="105">
        <v>35</v>
      </c>
      <c r="AL43" s="107">
        <v>1</v>
      </c>
      <c r="AM43" s="107">
        <v>3</v>
      </c>
    </row>
    <row r="44" spans="1:41" x14ac:dyDescent="0.25">
      <c r="A44" s="88" t="s">
        <v>179</v>
      </c>
      <c r="B44" s="124">
        <v>2</v>
      </c>
      <c r="C44" s="90">
        <v>30900</v>
      </c>
      <c r="D44" s="90">
        <v>35250</v>
      </c>
      <c r="E44" s="90">
        <v>39700</v>
      </c>
      <c r="F44" s="90">
        <v>44100</v>
      </c>
      <c r="G44" s="90">
        <v>47650</v>
      </c>
      <c r="H44" s="90">
        <v>51200</v>
      </c>
      <c r="I44" s="90">
        <v>54700</v>
      </c>
      <c r="J44" s="89">
        <v>58250</v>
      </c>
      <c r="K44" s="89">
        <v>49400</v>
      </c>
      <c r="L44" s="89">
        <v>56450</v>
      </c>
      <c r="M44" s="89">
        <v>63500</v>
      </c>
      <c r="N44" s="89">
        <v>70550</v>
      </c>
      <c r="O44" s="89">
        <v>76200</v>
      </c>
      <c r="P44" s="89">
        <v>81850</v>
      </c>
      <c r="Q44" s="89">
        <v>87500</v>
      </c>
      <c r="R44" s="89">
        <v>93150</v>
      </c>
      <c r="S44" s="89">
        <v>691</v>
      </c>
      <c r="T44" s="89">
        <v>695</v>
      </c>
      <c r="U44" s="89">
        <v>912</v>
      </c>
      <c r="V44" s="89">
        <v>1149</v>
      </c>
      <c r="W44" s="89">
        <v>1209</v>
      </c>
      <c r="X44" s="89">
        <v>797</v>
      </c>
      <c r="Y44" s="89">
        <v>803</v>
      </c>
      <c r="Z44" s="89">
        <v>995</v>
      </c>
      <c r="AA44" s="89">
        <v>1333</v>
      </c>
      <c r="AB44" s="89">
        <v>1338</v>
      </c>
      <c r="AC44" s="88"/>
      <c r="AD44" s="88"/>
      <c r="AE44" s="88"/>
      <c r="AF44" s="88"/>
      <c r="AG44" s="105">
        <v>63</v>
      </c>
      <c r="AH44" s="105">
        <v>55</v>
      </c>
      <c r="AI44" s="105">
        <v>42</v>
      </c>
      <c r="AJ44" s="105">
        <v>38</v>
      </c>
      <c r="AK44" s="105">
        <v>27</v>
      </c>
      <c r="AL44" s="107">
        <v>1</v>
      </c>
      <c r="AM44" s="107">
        <v>1</v>
      </c>
    </row>
    <row r="45" spans="1:41" x14ac:dyDescent="0.25">
      <c r="A45" s="88" t="s">
        <v>180</v>
      </c>
      <c r="B45" s="124">
        <v>2</v>
      </c>
      <c r="C45" s="90">
        <v>44050</v>
      </c>
      <c r="D45" s="90">
        <v>50350</v>
      </c>
      <c r="E45" s="90">
        <v>56650</v>
      </c>
      <c r="F45" s="90">
        <v>62900</v>
      </c>
      <c r="G45" s="90">
        <v>67950</v>
      </c>
      <c r="H45" s="90">
        <v>73000</v>
      </c>
      <c r="I45" s="90">
        <v>78000</v>
      </c>
      <c r="J45" s="89">
        <v>83050</v>
      </c>
      <c r="K45" s="89">
        <v>70500</v>
      </c>
      <c r="L45" s="89">
        <v>80550</v>
      </c>
      <c r="M45" s="89">
        <v>90600</v>
      </c>
      <c r="N45" s="89">
        <v>100650</v>
      </c>
      <c r="O45" s="89">
        <v>108750</v>
      </c>
      <c r="P45" s="89">
        <v>116800</v>
      </c>
      <c r="Q45" s="89">
        <v>124850</v>
      </c>
      <c r="R45" s="89">
        <v>132900</v>
      </c>
      <c r="S45" s="89">
        <v>1404</v>
      </c>
      <c r="T45" s="89">
        <v>1487</v>
      </c>
      <c r="U45" s="89">
        <v>1729</v>
      </c>
      <c r="V45" s="89">
        <v>2155</v>
      </c>
      <c r="W45" s="89">
        <v>2621</v>
      </c>
      <c r="X45" s="89">
        <v>1531</v>
      </c>
      <c r="Y45" s="89">
        <v>1556</v>
      </c>
      <c r="Z45" s="89">
        <v>1845</v>
      </c>
      <c r="AA45" s="89">
        <v>2325</v>
      </c>
      <c r="AB45" s="89">
        <v>2868</v>
      </c>
      <c r="AC45" s="88"/>
      <c r="AD45" s="88"/>
      <c r="AE45" s="88"/>
      <c r="AF45" s="88"/>
      <c r="AG45" s="105">
        <v>70</v>
      </c>
      <c r="AH45" s="105">
        <v>61</v>
      </c>
      <c r="AI45" s="105">
        <v>47</v>
      </c>
      <c r="AJ45" s="105">
        <v>42</v>
      </c>
      <c r="AK45" s="105">
        <v>30</v>
      </c>
      <c r="AL45" s="107">
        <v>1</v>
      </c>
      <c r="AM45" s="107">
        <v>2</v>
      </c>
    </row>
    <row r="46" spans="1:41" x14ac:dyDescent="0.25">
      <c r="A46" s="88" t="s">
        <v>181</v>
      </c>
      <c r="B46" s="124">
        <v>2</v>
      </c>
      <c r="C46" s="90">
        <v>32800</v>
      </c>
      <c r="D46" s="90">
        <v>37500</v>
      </c>
      <c r="E46" s="90">
        <v>42200</v>
      </c>
      <c r="F46" s="90">
        <v>46900</v>
      </c>
      <c r="G46" s="90">
        <v>50650</v>
      </c>
      <c r="H46" s="90">
        <v>54400</v>
      </c>
      <c r="I46" s="90">
        <v>58150</v>
      </c>
      <c r="J46" s="89">
        <v>61900</v>
      </c>
      <c r="K46" s="89">
        <v>52500</v>
      </c>
      <c r="L46" s="89">
        <v>60000</v>
      </c>
      <c r="M46" s="89">
        <v>67500</v>
      </c>
      <c r="N46" s="89">
        <v>75000</v>
      </c>
      <c r="O46" s="89">
        <v>81000</v>
      </c>
      <c r="P46" s="89">
        <v>87000</v>
      </c>
      <c r="Q46" s="89">
        <v>93000</v>
      </c>
      <c r="R46" s="89">
        <v>99000</v>
      </c>
      <c r="S46" s="89">
        <v>884</v>
      </c>
      <c r="T46" s="89">
        <v>890</v>
      </c>
      <c r="U46" s="89">
        <v>1167</v>
      </c>
      <c r="V46" s="89">
        <v>1492</v>
      </c>
      <c r="W46" s="89">
        <v>1960</v>
      </c>
      <c r="X46" s="89">
        <v>998</v>
      </c>
      <c r="Y46" s="89">
        <v>1001</v>
      </c>
      <c r="Z46" s="89">
        <v>1158</v>
      </c>
      <c r="AA46" s="89">
        <v>1472</v>
      </c>
      <c r="AB46" s="89">
        <v>1965</v>
      </c>
      <c r="AC46" s="88"/>
      <c r="AD46" s="88"/>
      <c r="AE46" s="88"/>
      <c r="AF46" s="88"/>
      <c r="AG46" s="105">
        <v>71</v>
      </c>
      <c r="AH46" s="105">
        <v>61</v>
      </c>
      <c r="AI46" s="105">
        <v>47</v>
      </c>
      <c r="AJ46" s="105">
        <v>42</v>
      </c>
      <c r="AK46" s="105">
        <v>30</v>
      </c>
      <c r="AL46" s="107">
        <v>1</v>
      </c>
      <c r="AM46" s="107">
        <v>1</v>
      </c>
    </row>
    <row r="47" spans="1:41" x14ac:dyDescent="0.25">
      <c r="A47" s="88" t="s">
        <v>182</v>
      </c>
      <c r="B47" s="124">
        <v>2</v>
      </c>
      <c r="C47" s="90">
        <v>31800</v>
      </c>
      <c r="D47" s="90">
        <v>36350</v>
      </c>
      <c r="E47" s="90">
        <v>40900</v>
      </c>
      <c r="F47" s="90">
        <v>45400</v>
      </c>
      <c r="G47" s="90">
        <v>49050</v>
      </c>
      <c r="H47" s="90">
        <v>52700</v>
      </c>
      <c r="I47" s="90">
        <v>56300</v>
      </c>
      <c r="J47" s="89">
        <v>59950</v>
      </c>
      <c r="K47" s="89">
        <v>50900</v>
      </c>
      <c r="L47" s="89">
        <v>58150</v>
      </c>
      <c r="M47" s="89">
        <v>65400</v>
      </c>
      <c r="N47" s="89">
        <v>72650</v>
      </c>
      <c r="O47" s="89">
        <v>78500</v>
      </c>
      <c r="P47" s="89">
        <v>84300</v>
      </c>
      <c r="Q47" s="89">
        <v>90100</v>
      </c>
      <c r="R47" s="89">
        <v>95900</v>
      </c>
      <c r="S47" s="89">
        <v>691</v>
      </c>
      <c r="T47" s="89">
        <v>780</v>
      </c>
      <c r="U47" s="89">
        <v>871</v>
      </c>
      <c r="V47" s="89">
        <v>1220</v>
      </c>
      <c r="W47" s="89">
        <v>1463</v>
      </c>
      <c r="X47" s="89">
        <v>759</v>
      </c>
      <c r="Y47" s="89">
        <v>849</v>
      </c>
      <c r="Z47" s="89">
        <v>995</v>
      </c>
      <c r="AA47" s="89">
        <v>1285</v>
      </c>
      <c r="AB47" s="89">
        <v>1461</v>
      </c>
      <c r="AC47" s="88"/>
      <c r="AD47" s="88"/>
      <c r="AE47" s="88"/>
      <c r="AF47" s="88"/>
      <c r="AG47" s="105">
        <v>67</v>
      </c>
      <c r="AH47" s="105">
        <v>58</v>
      </c>
      <c r="AI47" s="105">
        <v>45</v>
      </c>
      <c r="AJ47" s="105">
        <v>41</v>
      </c>
      <c r="AK47" s="105">
        <v>29</v>
      </c>
      <c r="AL47" s="107">
        <v>1</v>
      </c>
      <c r="AM47" s="107">
        <v>1</v>
      </c>
    </row>
    <row r="48" spans="1:41" x14ac:dyDescent="0.25">
      <c r="A48" t="s">
        <v>183</v>
      </c>
      <c r="B48" s="124">
        <v>2</v>
      </c>
      <c r="C48" s="90">
        <v>39600</v>
      </c>
      <c r="D48" s="90">
        <v>45250</v>
      </c>
      <c r="E48" s="90">
        <v>50900</v>
      </c>
      <c r="F48" s="90">
        <v>56550</v>
      </c>
      <c r="G48" s="90">
        <v>61100</v>
      </c>
      <c r="H48" s="90">
        <v>65600</v>
      </c>
      <c r="I48" s="90">
        <v>70150</v>
      </c>
      <c r="J48" s="29">
        <v>74650</v>
      </c>
      <c r="K48" s="29">
        <v>63350</v>
      </c>
      <c r="L48" s="29">
        <v>72400</v>
      </c>
      <c r="M48" s="29">
        <v>81450</v>
      </c>
      <c r="N48" s="29">
        <v>90500</v>
      </c>
      <c r="O48" s="29">
        <v>97750</v>
      </c>
      <c r="P48" s="29">
        <v>105000</v>
      </c>
      <c r="Q48" s="29">
        <v>112250</v>
      </c>
      <c r="R48" s="29">
        <v>119500</v>
      </c>
      <c r="S48" s="89">
        <v>1095</v>
      </c>
      <c r="T48" s="89">
        <v>1253</v>
      </c>
      <c r="U48" s="89">
        <v>1569</v>
      </c>
      <c r="V48" s="89">
        <v>1952</v>
      </c>
      <c r="W48" s="89">
        <v>2635</v>
      </c>
      <c r="X48" s="89">
        <v>1081</v>
      </c>
      <c r="Y48" s="89">
        <v>1214</v>
      </c>
      <c r="Z48" s="89">
        <v>1529</v>
      </c>
      <c r="AA48" s="89">
        <v>1907</v>
      </c>
      <c r="AB48" s="89">
        <v>2581</v>
      </c>
      <c r="AG48" s="105">
        <v>70</v>
      </c>
      <c r="AH48" s="105">
        <v>61</v>
      </c>
      <c r="AI48" s="105">
        <v>47</v>
      </c>
      <c r="AJ48" s="105">
        <v>42</v>
      </c>
      <c r="AK48" s="105">
        <v>30</v>
      </c>
      <c r="AL48" s="107">
        <v>1</v>
      </c>
      <c r="AM48" s="107">
        <v>1</v>
      </c>
      <c r="AN48" s="29"/>
      <c r="AO48" s="29"/>
    </row>
    <row r="49" spans="1:42" x14ac:dyDescent="0.25">
      <c r="A49" s="88" t="s">
        <v>184</v>
      </c>
      <c r="B49" s="125">
        <v>3</v>
      </c>
      <c r="C49" s="90">
        <v>57400</v>
      </c>
      <c r="D49" s="90">
        <v>65600</v>
      </c>
      <c r="E49" s="90">
        <v>73800</v>
      </c>
      <c r="F49" s="90">
        <v>81950</v>
      </c>
      <c r="G49" s="90">
        <v>88550</v>
      </c>
      <c r="H49" s="90">
        <v>95100</v>
      </c>
      <c r="I49" s="90">
        <v>101650</v>
      </c>
      <c r="J49" s="29">
        <v>108200</v>
      </c>
      <c r="K49" s="29">
        <v>74800</v>
      </c>
      <c r="L49" s="29">
        <v>85450</v>
      </c>
      <c r="M49" s="29">
        <v>96150</v>
      </c>
      <c r="N49" s="29">
        <v>106800</v>
      </c>
      <c r="O49" s="29">
        <v>115350</v>
      </c>
      <c r="P49" s="29">
        <v>123900</v>
      </c>
      <c r="Q49" s="29">
        <v>132450</v>
      </c>
      <c r="R49" s="29">
        <v>141000</v>
      </c>
      <c r="S49" s="89">
        <v>2012</v>
      </c>
      <c r="T49" s="89">
        <v>2056</v>
      </c>
      <c r="U49" s="89">
        <v>2314</v>
      </c>
      <c r="V49" s="89">
        <v>2893</v>
      </c>
      <c r="W49" s="89">
        <v>3413</v>
      </c>
      <c r="X49" s="89">
        <v>1949</v>
      </c>
      <c r="Y49" s="89">
        <v>1983</v>
      </c>
      <c r="Z49" s="89">
        <v>2249</v>
      </c>
      <c r="AA49" s="89">
        <v>2798</v>
      </c>
      <c r="AB49" s="89">
        <v>3316</v>
      </c>
      <c r="AC49" s="29"/>
      <c r="AD49" s="29"/>
      <c r="AG49" s="105">
        <v>83</v>
      </c>
      <c r="AH49" s="105">
        <v>72</v>
      </c>
      <c r="AI49" s="105">
        <v>55</v>
      </c>
      <c r="AJ49" s="105">
        <v>50</v>
      </c>
      <c r="AK49" s="105">
        <v>35</v>
      </c>
      <c r="AL49" s="107">
        <v>3</v>
      </c>
      <c r="AM49" s="107">
        <v>3</v>
      </c>
      <c r="AN49" s="29"/>
      <c r="AO49" s="29"/>
      <c r="AP49" s="29"/>
    </row>
    <row r="50" spans="1:42" x14ac:dyDescent="0.25">
      <c r="A50" s="88" t="s">
        <v>185</v>
      </c>
      <c r="B50" s="124">
        <v>2</v>
      </c>
      <c r="C50" s="90">
        <v>27350</v>
      </c>
      <c r="D50" s="90">
        <v>31250</v>
      </c>
      <c r="E50" s="90">
        <v>35150</v>
      </c>
      <c r="F50" s="90">
        <v>39050</v>
      </c>
      <c r="G50" s="90">
        <v>42200</v>
      </c>
      <c r="H50" s="90">
        <v>45300</v>
      </c>
      <c r="I50" s="90">
        <v>48450</v>
      </c>
      <c r="J50" s="29">
        <v>51550</v>
      </c>
      <c r="K50" s="29">
        <v>43750</v>
      </c>
      <c r="L50" s="29">
        <v>50000</v>
      </c>
      <c r="M50" s="29">
        <v>56250</v>
      </c>
      <c r="N50" s="29">
        <v>62500</v>
      </c>
      <c r="O50" s="29">
        <v>67500</v>
      </c>
      <c r="P50" s="29">
        <v>72500</v>
      </c>
      <c r="Q50" s="29">
        <v>77500</v>
      </c>
      <c r="R50" s="29">
        <v>82500</v>
      </c>
      <c r="S50" s="89">
        <v>701</v>
      </c>
      <c r="T50" s="89">
        <v>706</v>
      </c>
      <c r="U50" s="89">
        <v>851</v>
      </c>
      <c r="V50" s="89">
        <v>1192</v>
      </c>
      <c r="W50" s="89">
        <v>1402</v>
      </c>
      <c r="X50" s="89">
        <v>800</v>
      </c>
      <c r="Y50" s="89">
        <v>805</v>
      </c>
      <c r="Z50" s="89">
        <v>995</v>
      </c>
      <c r="AA50" s="89">
        <v>1393</v>
      </c>
      <c r="AB50" s="89">
        <v>1633</v>
      </c>
      <c r="AC50" s="29"/>
      <c r="AD50" s="29"/>
      <c r="AG50" s="105">
        <v>63</v>
      </c>
      <c r="AH50" s="105">
        <v>55</v>
      </c>
      <c r="AI50" s="105">
        <v>42</v>
      </c>
      <c r="AJ50" s="105">
        <v>38</v>
      </c>
      <c r="AK50" s="105">
        <v>27</v>
      </c>
      <c r="AL50" s="107">
        <v>1</v>
      </c>
      <c r="AM50" s="107">
        <v>1</v>
      </c>
      <c r="AN50" s="29"/>
      <c r="AO50" s="29"/>
      <c r="AP50" s="29"/>
    </row>
    <row r="51" spans="1:42" x14ac:dyDescent="0.25">
      <c r="A51" s="88" t="s">
        <v>186</v>
      </c>
      <c r="B51" s="124">
        <v>2</v>
      </c>
      <c r="C51" s="90">
        <v>28800</v>
      </c>
      <c r="D51" s="90">
        <v>32950</v>
      </c>
      <c r="E51" s="90">
        <v>37050</v>
      </c>
      <c r="F51" s="90">
        <v>41150</v>
      </c>
      <c r="G51" s="90">
        <v>44450</v>
      </c>
      <c r="H51" s="90">
        <v>47750</v>
      </c>
      <c r="I51" s="90">
        <v>51050</v>
      </c>
      <c r="J51" s="29">
        <v>54350</v>
      </c>
      <c r="K51" s="29">
        <v>46100</v>
      </c>
      <c r="L51" s="29">
        <v>52700</v>
      </c>
      <c r="M51" s="29">
        <v>59300</v>
      </c>
      <c r="N51" s="29">
        <v>65850</v>
      </c>
      <c r="O51" s="29">
        <v>71150</v>
      </c>
      <c r="P51" s="29">
        <v>76400</v>
      </c>
      <c r="Q51" s="29">
        <v>81700</v>
      </c>
      <c r="R51" s="29">
        <v>86950</v>
      </c>
      <c r="S51" s="89">
        <v>750</v>
      </c>
      <c r="T51" s="89">
        <v>855</v>
      </c>
      <c r="U51" s="89">
        <v>947</v>
      </c>
      <c r="V51" s="89">
        <v>1180</v>
      </c>
      <c r="W51" s="89">
        <v>1504</v>
      </c>
      <c r="X51" s="89">
        <v>816</v>
      </c>
      <c r="Y51" s="89">
        <v>886</v>
      </c>
      <c r="Z51" s="89">
        <v>995</v>
      </c>
      <c r="AA51" s="89">
        <v>1296</v>
      </c>
      <c r="AB51" s="89">
        <v>1369</v>
      </c>
      <c r="AC51" s="29"/>
      <c r="AD51" s="29"/>
      <c r="AG51" s="105">
        <v>63</v>
      </c>
      <c r="AH51" s="105">
        <v>55</v>
      </c>
      <c r="AI51" s="105">
        <v>42</v>
      </c>
      <c r="AJ51" s="105">
        <v>38</v>
      </c>
      <c r="AK51" s="105">
        <v>27</v>
      </c>
      <c r="AL51" s="107">
        <v>1</v>
      </c>
      <c r="AM51" s="107">
        <v>1</v>
      </c>
    </row>
    <row r="52" spans="1:42" x14ac:dyDescent="0.25">
      <c r="A52" s="88" t="s">
        <v>187</v>
      </c>
      <c r="B52" s="124">
        <v>2</v>
      </c>
      <c r="C52" s="90">
        <v>37300</v>
      </c>
      <c r="D52" s="90">
        <v>42600</v>
      </c>
      <c r="E52" s="90">
        <v>47950</v>
      </c>
      <c r="F52" s="90">
        <v>53250</v>
      </c>
      <c r="G52" s="90">
        <v>57550</v>
      </c>
      <c r="H52" s="90">
        <v>61800</v>
      </c>
      <c r="I52" s="90">
        <v>66050</v>
      </c>
      <c r="J52" s="29">
        <v>70300</v>
      </c>
      <c r="K52" s="29">
        <v>59650</v>
      </c>
      <c r="L52" s="29">
        <v>68200</v>
      </c>
      <c r="M52" s="29">
        <v>76700</v>
      </c>
      <c r="N52" s="29">
        <v>85200</v>
      </c>
      <c r="O52" s="29">
        <v>92050</v>
      </c>
      <c r="P52" s="29">
        <v>98850</v>
      </c>
      <c r="Q52" s="29">
        <v>105650</v>
      </c>
      <c r="R52" s="29">
        <v>112500</v>
      </c>
      <c r="S52" s="89">
        <v>1475</v>
      </c>
      <c r="T52" s="89">
        <v>1483</v>
      </c>
      <c r="U52" s="89">
        <v>1696</v>
      </c>
      <c r="V52" s="89">
        <v>2361</v>
      </c>
      <c r="W52" s="89">
        <v>2809</v>
      </c>
      <c r="X52" s="89">
        <v>1406</v>
      </c>
      <c r="Y52" s="89">
        <v>1415</v>
      </c>
      <c r="Z52" s="89">
        <v>1642</v>
      </c>
      <c r="AA52" s="89">
        <v>2286</v>
      </c>
      <c r="AB52" s="29">
        <v>2785</v>
      </c>
      <c r="AC52" s="29"/>
      <c r="AD52" s="29"/>
      <c r="AG52" s="106">
        <v>68</v>
      </c>
      <c r="AH52" s="106">
        <v>59</v>
      </c>
      <c r="AI52" s="106">
        <v>45</v>
      </c>
      <c r="AJ52" s="106">
        <v>41</v>
      </c>
      <c r="AK52" s="106">
        <v>29</v>
      </c>
      <c r="AL52" s="107">
        <v>1</v>
      </c>
      <c r="AM52" s="107">
        <v>2</v>
      </c>
      <c r="AN52" s="29"/>
      <c r="AO52" s="29"/>
      <c r="AP52" s="29"/>
    </row>
    <row r="53" spans="1:42" x14ac:dyDescent="0.25">
      <c r="A53" s="88" t="s">
        <v>188</v>
      </c>
      <c r="B53" s="124">
        <v>2</v>
      </c>
      <c r="C53" s="90">
        <v>39750</v>
      </c>
      <c r="D53" s="90">
        <v>45400</v>
      </c>
      <c r="E53" s="90">
        <v>51100</v>
      </c>
      <c r="F53" s="90">
        <v>56750</v>
      </c>
      <c r="G53" s="90">
        <v>61300</v>
      </c>
      <c r="H53" s="90">
        <v>65850</v>
      </c>
      <c r="I53" s="90">
        <v>70400</v>
      </c>
      <c r="J53" s="29">
        <v>74950</v>
      </c>
      <c r="K53" s="29">
        <v>63600</v>
      </c>
      <c r="L53" s="29">
        <v>72650</v>
      </c>
      <c r="M53" s="29">
        <v>81750</v>
      </c>
      <c r="N53" s="29">
        <v>90800</v>
      </c>
      <c r="O53" s="29">
        <v>98100</v>
      </c>
      <c r="P53" s="29">
        <v>105350</v>
      </c>
      <c r="Q53" s="29">
        <v>112600</v>
      </c>
      <c r="R53" s="29">
        <v>119900</v>
      </c>
      <c r="S53" s="89">
        <v>1488</v>
      </c>
      <c r="T53" s="89">
        <v>1545</v>
      </c>
      <c r="U53" s="89">
        <v>1711</v>
      </c>
      <c r="V53" s="89">
        <v>2166</v>
      </c>
      <c r="W53" s="89">
        <v>2677</v>
      </c>
      <c r="X53" s="89">
        <v>1460</v>
      </c>
      <c r="Y53" s="89">
        <v>1501</v>
      </c>
      <c r="Z53" s="89">
        <v>1685</v>
      </c>
      <c r="AA53" s="89">
        <v>2154</v>
      </c>
      <c r="AB53" s="29">
        <v>2632</v>
      </c>
      <c r="AC53" s="29"/>
      <c r="AD53" s="29"/>
      <c r="AG53" s="106">
        <v>69</v>
      </c>
      <c r="AH53" s="106">
        <v>60</v>
      </c>
      <c r="AI53" s="106">
        <v>47</v>
      </c>
      <c r="AJ53" s="106">
        <v>41</v>
      </c>
      <c r="AK53" s="106">
        <v>32</v>
      </c>
      <c r="AL53" s="107">
        <v>1</v>
      </c>
      <c r="AM53" s="107">
        <v>2</v>
      </c>
      <c r="AN53" s="29"/>
      <c r="AO53" s="29"/>
      <c r="AP53" s="29"/>
    </row>
    <row r="54" spans="1:42" x14ac:dyDescent="0.25">
      <c r="A54" s="88" t="s">
        <v>189</v>
      </c>
      <c r="B54" s="124">
        <v>2</v>
      </c>
      <c r="C54" s="90">
        <v>27350</v>
      </c>
      <c r="D54" s="90">
        <v>31250</v>
      </c>
      <c r="E54" s="90">
        <v>35150</v>
      </c>
      <c r="F54" s="90">
        <v>39050</v>
      </c>
      <c r="G54" s="90">
        <v>42200</v>
      </c>
      <c r="H54" s="90">
        <v>45300</v>
      </c>
      <c r="I54" s="90">
        <v>48450</v>
      </c>
      <c r="J54" s="29">
        <v>51550</v>
      </c>
      <c r="K54" s="29">
        <v>43750</v>
      </c>
      <c r="L54" s="29">
        <v>50000</v>
      </c>
      <c r="M54" s="29">
        <v>56250</v>
      </c>
      <c r="N54" s="29">
        <v>62500</v>
      </c>
      <c r="O54" s="29">
        <v>67500</v>
      </c>
      <c r="P54" s="29">
        <v>72500</v>
      </c>
      <c r="Q54" s="29">
        <v>77500</v>
      </c>
      <c r="R54" s="29">
        <v>82500</v>
      </c>
      <c r="S54" s="89">
        <v>736</v>
      </c>
      <c r="T54" s="89">
        <v>769</v>
      </c>
      <c r="U54" s="89">
        <v>851</v>
      </c>
      <c r="V54" s="89">
        <v>1152</v>
      </c>
      <c r="W54" s="89">
        <v>1235</v>
      </c>
      <c r="X54" s="89">
        <v>797</v>
      </c>
      <c r="Y54" s="89">
        <v>803</v>
      </c>
      <c r="Z54" s="89">
        <v>995</v>
      </c>
      <c r="AA54" s="89">
        <v>1400</v>
      </c>
      <c r="AB54" s="29">
        <v>1509</v>
      </c>
      <c r="AC54" s="29"/>
      <c r="AD54" s="29"/>
      <c r="AG54" s="105">
        <v>63</v>
      </c>
      <c r="AH54" s="105">
        <v>55</v>
      </c>
      <c r="AI54" s="105">
        <v>42</v>
      </c>
      <c r="AJ54" s="105">
        <v>38</v>
      </c>
      <c r="AK54" s="105">
        <v>27</v>
      </c>
      <c r="AL54" s="107">
        <v>1</v>
      </c>
      <c r="AM54" s="107">
        <v>1</v>
      </c>
      <c r="AN54" s="29"/>
      <c r="AO54" s="29"/>
      <c r="AP54" s="29"/>
    </row>
    <row r="55" spans="1:42" x14ac:dyDescent="0.25">
      <c r="A55" s="88" t="s">
        <v>190</v>
      </c>
      <c r="B55" s="124">
        <v>2</v>
      </c>
      <c r="C55" s="90">
        <v>44050</v>
      </c>
      <c r="D55" s="90">
        <v>50350</v>
      </c>
      <c r="E55" s="90">
        <v>56650</v>
      </c>
      <c r="F55" s="90">
        <v>62900</v>
      </c>
      <c r="G55" s="90">
        <v>67950</v>
      </c>
      <c r="H55" s="90">
        <v>73000</v>
      </c>
      <c r="I55" s="90">
        <v>78000</v>
      </c>
      <c r="J55" s="29">
        <v>83050</v>
      </c>
      <c r="K55" s="29">
        <v>70500</v>
      </c>
      <c r="L55" s="29">
        <v>80550</v>
      </c>
      <c r="M55" s="29">
        <v>90600</v>
      </c>
      <c r="N55" s="29">
        <v>100650</v>
      </c>
      <c r="O55" s="29">
        <v>108750</v>
      </c>
      <c r="P55" s="29">
        <v>116800</v>
      </c>
      <c r="Q55" s="29">
        <v>124850</v>
      </c>
      <c r="R55" s="29">
        <v>132900</v>
      </c>
      <c r="S55" s="89">
        <v>1404</v>
      </c>
      <c r="T55" s="89">
        <v>1487</v>
      </c>
      <c r="U55" s="89">
        <v>1729</v>
      </c>
      <c r="V55" s="89">
        <v>2155</v>
      </c>
      <c r="W55" s="89">
        <v>2621</v>
      </c>
      <c r="X55" s="89">
        <v>1531</v>
      </c>
      <c r="Y55" s="89">
        <v>1556</v>
      </c>
      <c r="Z55" s="89">
        <v>1845</v>
      </c>
      <c r="AA55" s="89">
        <v>2325</v>
      </c>
      <c r="AB55" s="29">
        <v>2868</v>
      </c>
      <c r="AC55" s="29"/>
      <c r="AD55" s="29"/>
      <c r="AG55" s="105">
        <v>70</v>
      </c>
      <c r="AH55" s="105">
        <v>61</v>
      </c>
      <c r="AI55" s="105">
        <v>47</v>
      </c>
      <c r="AJ55" s="105">
        <v>42</v>
      </c>
      <c r="AK55" s="105">
        <v>30</v>
      </c>
      <c r="AL55" s="107">
        <v>1</v>
      </c>
      <c r="AM55" s="107">
        <v>2</v>
      </c>
      <c r="AN55" s="29"/>
      <c r="AO55" s="29"/>
      <c r="AP55" s="29"/>
    </row>
    <row r="56" spans="1:42" x14ac:dyDescent="0.25">
      <c r="A56" s="88" t="s">
        <v>191</v>
      </c>
      <c r="B56" s="124">
        <v>2</v>
      </c>
      <c r="C56" s="90">
        <v>27350</v>
      </c>
      <c r="D56" s="90">
        <v>31250</v>
      </c>
      <c r="E56" s="90">
        <v>35150</v>
      </c>
      <c r="F56" s="90">
        <v>39050</v>
      </c>
      <c r="G56" s="90">
        <v>42200</v>
      </c>
      <c r="H56" s="90">
        <v>45300</v>
      </c>
      <c r="I56" s="90">
        <v>48450</v>
      </c>
      <c r="J56" s="29">
        <v>51550</v>
      </c>
      <c r="K56" s="29">
        <v>43750</v>
      </c>
      <c r="L56" s="29">
        <v>50000</v>
      </c>
      <c r="M56" s="29">
        <v>56250</v>
      </c>
      <c r="N56" s="29">
        <v>62500</v>
      </c>
      <c r="O56" s="29">
        <v>67500</v>
      </c>
      <c r="P56" s="29">
        <v>72500</v>
      </c>
      <c r="Q56" s="29">
        <v>77500</v>
      </c>
      <c r="R56" s="29">
        <v>82500</v>
      </c>
      <c r="S56" s="89">
        <v>707</v>
      </c>
      <c r="T56" s="89">
        <v>711</v>
      </c>
      <c r="U56" s="89">
        <v>933</v>
      </c>
      <c r="V56" s="89">
        <v>1275</v>
      </c>
      <c r="W56" s="89">
        <v>1532</v>
      </c>
      <c r="X56" s="89">
        <v>805</v>
      </c>
      <c r="Y56" s="89">
        <v>810</v>
      </c>
      <c r="Z56" s="89">
        <v>1064</v>
      </c>
      <c r="AA56" s="89">
        <v>1437</v>
      </c>
      <c r="AB56" s="29">
        <v>1581</v>
      </c>
      <c r="AC56" s="29"/>
      <c r="AD56" s="29"/>
      <c r="AG56" s="106">
        <v>69</v>
      </c>
      <c r="AH56" s="106">
        <v>60</v>
      </c>
      <c r="AI56" s="106">
        <v>47</v>
      </c>
      <c r="AJ56" s="106">
        <v>41</v>
      </c>
      <c r="AK56" s="106">
        <v>29</v>
      </c>
      <c r="AL56" s="107">
        <v>1</v>
      </c>
      <c r="AM56" s="107">
        <v>1</v>
      </c>
      <c r="AN56" s="29"/>
      <c r="AO56" s="29"/>
      <c r="AP56" s="29"/>
    </row>
    <row r="57" spans="1:42" x14ac:dyDescent="0.25">
      <c r="A57" s="88" t="s">
        <v>192</v>
      </c>
      <c r="B57" s="124">
        <v>2</v>
      </c>
      <c r="C57" s="90">
        <v>27350</v>
      </c>
      <c r="D57" s="90">
        <v>31250</v>
      </c>
      <c r="E57" s="90">
        <v>35150</v>
      </c>
      <c r="F57" s="90">
        <v>39050</v>
      </c>
      <c r="G57" s="90">
        <v>42200</v>
      </c>
      <c r="H57" s="90">
        <v>45300</v>
      </c>
      <c r="I57" s="90">
        <v>48450</v>
      </c>
      <c r="J57" s="29">
        <v>51550</v>
      </c>
      <c r="K57" s="29">
        <v>43750</v>
      </c>
      <c r="L57" s="29">
        <v>50000</v>
      </c>
      <c r="M57" s="29">
        <v>56250</v>
      </c>
      <c r="N57" s="29">
        <v>62500</v>
      </c>
      <c r="O57" s="29">
        <v>67500</v>
      </c>
      <c r="P57" s="29">
        <v>72500</v>
      </c>
      <c r="Q57" s="29">
        <v>77500</v>
      </c>
      <c r="R57" s="29">
        <v>82500</v>
      </c>
      <c r="S57" s="89">
        <v>736</v>
      </c>
      <c r="T57" s="89">
        <v>755</v>
      </c>
      <c r="U57" s="89">
        <v>851</v>
      </c>
      <c r="V57" s="89">
        <v>1082</v>
      </c>
      <c r="W57" s="89">
        <v>1196</v>
      </c>
      <c r="X57" s="89">
        <v>812</v>
      </c>
      <c r="Y57" s="89">
        <v>853</v>
      </c>
      <c r="Z57" s="89">
        <v>995</v>
      </c>
      <c r="AA57" s="89">
        <v>1278</v>
      </c>
      <c r="AB57" s="29">
        <v>1349</v>
      </c>
      <c r="AC57" s="29"/>
      <c r="AD57" s="29"/>
      <c r="AG57" s="105">
        <v>64</v>
      </c>
      <c r="AH57" s="105">
        <v>56</v>
      </c>
      <c r="AI57" s="105">
        <v>43</v>
      </c>
      <c r="AJ57" s="105">
        <v>39</v>
      </c>
      <c r="AK57" s="105">
        <v>28</v>
      </c>
      <c r="AL57" s="107">
        <v>1</v>
      </c>
      <c r="AM57" s="107">
        <v>1</v>
      </c>
      <c r="AN57" s="29"/>
      <c r="AO57" s="29"/>
      <c r="AP57" s="29"/>
    </row>
    <row r="58" spans="1:42" x14ac:dyDescent="0.25">
      <c r="A58" s="88" t="s">
        <v>193</v>
      </c>
      <c r="B58" s="125">
        <v>3</v>
      </c>
      <c r="C58" s="90">
        <v>37300</v>
      </c>
      <c r="D58" s="90">
        <v>42600</v>
      </c>
      <c r="E58" s="90">
        <v>47950</v>
      </c>
      <c r="F58" s="90">
        <v>53250</v>
      </c>
      <c r="G58" s="90">
        <v>57550</v>
      </c>
      <c r="H58" s="90">
        <v>61800</v>
      </c>
      <c r="I58" s="90">
        <v>66050</v>
      </c>
      <c r="J58" s="29">
        <v>70300</v>
      </c>
      <c r="K58" s="29">
        <v>59650</v>
      </c>
      <c r="L58" s="29">
        <v>68200</v>
      </c>
      <c r="M58" s="29">
        <v>76700</v>
      </c>
      <c r="N58" s="29">
        <v>85200</v>
      </c>
      <c r="O58" s="29">
        <v>92050</v>
      </c>
      <c r="P58" s="29">
        <v>98850</v>
      </c>
      <c r="Q58" s="29">
        <v>105650</v>
      </c>
      <c r="R58" s="29">
        <v>112500</v>
      </c>
      <c r="S58" s="89">
        <v>1475</v>
      </c>
      <c r="T58" s="89">
        <v>1483</v>
      </c>
      <c r="U58" s="89">
        <v>1696</v>
      </c>
      <c r="V58" s="89">
        <v>2361</v>
      </c>
      <c r="W58" s="89">
        <v>2809</v>
      </c>
      <c r="X58" s="89">
        <v>1406</v>
      </c>
      <c r="Y58" s="89">
        <v>1415</v>
      </c>
      <c r="Z58" s="89">
        <v>1642</v>
      </c>
      <c r="AA58" s="89">
        <v>2286</v>
      </c>
      <c r="AB58" s="29">
        <v>2785</v>
      </c>
      <c r="AC58" s="29"/>
      <c r="AD58" s="29"/>
      <c r="AG58" s="106">
        <v>68</v>
      </c>
      <c r="AH58" s="106">
        <v>59</v>
      </c>
      <c r="AI58" s="106">
        <v>45</v>
      </c>
      <c r="AJ58" s="106">
        <v>41</v>
      </c>
      <c r="AK58" s="106">
        <v>29</v>
      </c>
      <c r="AL58" s="107">
        <v>3</v>
      </c>
      <c r="AM58" s="107">
        <v>2</v>
      </c>
      <c r="AN58" s="29"/>
      <c r="AO58" s="29"/>
      <c r="AP58" s="29"/>
    </row>
    <row r="59" spans="1:42" x14ac:dyDescent="0.25">
      <c r="A59" s="26" t="s">
        <v>194</v>
      </c>
      <c r="B59" s="124">
        <v>2</v>
      </c>
      <c r="C59" s="90">
        <v>39750</v>
      </c>
      <c r="D59" s="90">
        <v>45400</v>
      </c>
      <c r="E59" s="90">
        <v>51100</v>
      </c>
      <c r="F59" s="90">
        <v>56750</v>
      </c>
      <c r="G59" s="90">
        <v>61300</v>
      </c>
      <c r="H59" s="90">
        <v>65850</v>
      </c>
      <c r="I59" s="90">
        <v>70400</v>
      </c>
      <c r="J59" s="29">
        <v>74950</v>
      </c>
      <c r="K59" s="29">
        <v>63600</v>
      </c>
      <c r="L59" s="29">
        <v>72650</v>
      </c>
      <c r="M59" s="29">
        <v>81750</v>
      </c>
      <c r="N59" s="29">
        <v>90800</v>
      </c>
      <c r="O59" s="29">
        <v>98100</v>
      </c>
      <c r="P59" s="29">
        <v>105350</v>
      </c>
      <c r="Q59" s="29">
        <v>112600</v>
      </c>
      <c r="R59" s="29">
        <v>119900</v>
      </c>
      <c r="S59" s="89">
        <v>1488</v>
      </c>
      <c r="T59" s="89">
        <v>1545</v>
      </c>
      <c r="U59" s="89">
        <v>1711</v>
      </c>
      <c r="V59" s="89">
        <v>2166</v>
      </c>
      <c r="W59" s="89">
        <v>2677</v>
      </c>
      <c r="X59" s="89">
        <v>1460</v>
      </c>
      <c r="Y59" s="89">
        <v>1501</v>
      </c>
      <c r="Z59" s="89">
        <v>1685</v>
      </c>
      <c r="AA59" s="89">
        <v>2154</v>
      </c>
      <c r="AB59" s="29">
        <v>2632</v>
      </c>
      <c r="AC59" s="29">
        <v>353</v>
      </c>
      <c r="AD59" s="29"/>
      <c r="AE59" s="29">
        <v>836</v>
      </c>
      <c r="AF59">
        <v>23069</v>
      </c>
      <c r="AG59" s="106">
        <v>69</v>
      </c>
      <c r="AH59" s="106">
        <v>60</v>
      </c>
      <c r="AI59" s="106">
        <v>47</v>
      </c>
      <c r="AJ59" s="106">
        <v>41</v>
      </c>
      <c r="AK59" s="106">
        <v>32</v>
      </c>
      <c r="AL59" s="107">
        <v>1</v>
      </c>
      <c r="AM59" s="107">
        <v>2</v>
      </c>
      <c r="AN59" s="29"/>
      <c r="AO59" s="29"/>
    </row>
    <row r="60" spans="1:42" x14ac:dyDescent="0.25">
      <c r="A60" s="88" t="s">
        <v>195</v>
      </c>
      <c r="B60" s="124">
        <v>2</v>
      </c>
      <c r="C60" s="90">
        <v>34050</v>
      </c>
      <c r="D60" s="90">
        <v>38900</v>
      </c>
      <c r="E60" s="90">
        <v>43750</v>
      </c>
      <c r="F60" s="90">
        <v>48650</v>
      </c>
      <c r="G60" s="90">
        <v>52500</v>
      </c>
      <c r="H60" s="90">
        <v>56450</v>
      </c>
      <c r="I60" s="90">
        <v>60350</v>
      </c>
      <c r="J60" s="29">
        <v>64250</v>
      </c>
      <c r="K60" s="29">
        <v>54500</v>
      </c>
      <c r="L60" s="29">
        <v>62250</v>
      </c>
      <c r="M60" s="29">
        <v>70050</v>
      </c>
      <c r="N60" s="29">
        <v>77800</v>
      </c>
      <c r="O60" s="29">
        <v>84050</v>
      </c>
      <c r="P60" s="29">
        <v>90250</v>
      </c>
      <c r="Q60" s="29">
        <v>96500</v>
      </c>
      <c r="R60" s="29">
        <v>102700</v>
      </c>
      <c r="S60" s="89">
        <v>1081</v>
      </c>
      <c r="T60" s="89">
        <v>1088</v>
      </c>
      <c r="U60" s="89">
        <v>1392</v>
      </c>
      <c r="V60" s="89">
        <v>1883</v>
      </c>
      <c r="W60" s="89">
        <v>2314</v>
      </c>
      <c r="X60" s="89">
        <v>1013</v>
      </c>
      <c r="Y60" s="89">
        <v>1019</v>
      </c>
      <c r="Z60" s="89">
        <v>1323</v>
      </c>
      <c r="AA60" s="89">
        <v>1780</v>
      </c>
      <c r="AB60" s="29">
        <v>2245</v>
      </c>
      <c r="AC60" s="29"/>
      <c r="AD60" s="29"/>
      <c r="AG60" s="105">
        <v>70</v>
      </c>
      <c r="AH60" s="105">
        <v>61</v>
      </c>
      <c r="AI60" s="105">
        <v>47</v>
      </c>
      <c r="AJ60" s="105">
        <v>42</v>
      </c>
      <c r="AK60" s="105">
        <v>30</v>
      </c>
      <c r="AL60" s="107">
        <v>2</v>
      </c>
      <c r="AM60" s="107">
        <v>1</v>
      </c>
      <c r="AN60" s="29"/>
      <c r="AO60" s="29"/>
      <c r="AP60" s="29"/>
    </row>
    <row r="61" spans="1:42" x14ac:dyDescent="0.25">
      <c r="A61" s="88" t="s">
        <v>196</v>
      </c>
      <c r="B61" s="124">
        <v>2</v>
      </c>
      <c r="C61" s="90">
        <v>39750</v>
      </c>
      <c r="D61" s="90">
        <v>45400</v>
      </c>
      <c r="E61" s="90">
        <v>51100</v>
      </c>
      <c r="F61" s="90">
        <v>56750</v>
      </c>
      <c r="G61" s="90">
        <v>61300</v>
      </c>
      <c r="H61" s="90">
        <v>65850</v>
      </c>
      <c r="I61" s="90">
        <v>70400</v>
      </c>
      <c r="J61" s="29">
        <v>74950</v>
      </c>
      <c r="K61" s="29">
        <v>63600</v>
      </c>
      <c r="L61" s="29">
        <v>72650</v>
      </c>
      <c r="M61" s="29">
        <v>81750</v>
      </c>
      <c r="N61" s="29">
        <v>90800</v>
      </c>
      <c r="O61" s="29">
        <v>98100</v>
      </c>
      <c r="P61" s="29">
        <v>105350</v>
      </c>
      <c r="Q61" s="29">
        <v>112600</v>
      </c>
      <c r="R61" s="29">
        <v>119900</v>
      </c>
      <c r="S61" s="89">
        <v>1488</v>
      </c>
      <c r="T61" s="89">
        <v>1545</v>
      </c>
      <c r="U61" s="89">
        <v>1711</v>
      </c>
      <c r="V61" s="89">
        <v>2166</v>
      </c>
      <c r="W61" s="89">
        <v>2677</v>
      </c>
      <c r="X61" s="89">
        <v>1460</v>
      </c>
      <c r="Y61" s="89">
        <v>1501</v>
      </c>
      <c r="Z61" s="89">
        <v>1685</v>
      </c>
      <c r="AA61" s="89">
        <v>2154</v>
      </c>
      <c r="AB61" s="29">
        <v>2632</v>
      </c>
      <c r="AC61" s="29"/>
      <c r="AD61" s="29"/>
      <c r="AG61" s="106">
        <v>69</v>
      </c>
      <c r="AH61" s="106">
        <v>60</v>
      </c>
      <c r="AI61" s="106">
        <v>47</v>
      </c>
      <c r="AJ61" s="106">
        <v>41</v>
      </c>
      <c r="AK61" s="106">
        <v>32</v>
      </c>
      <c r="AL61" s="107">
        <v>2</v>
      </c>
      <c r="AM61" s="107">
        <v>2</v>
      </c>
      <c r="AN61" s="29"/>
      <c r="AO61" s="29"/>
      <c r="AP61" s="29"/>
    </row>
    <row r="62" spans="1:42" x14ac:dyDescent="0.25">
      <c r="A62" s="88" t="s">
        <v>197</v>
      </c>
      <c r="B62" s="124">
        <v>2</v>
      </c>
      <c r="C62" s="90">
        <v>27350</v>
      </c>
      <c r="D62" s="90">
        <v>31250</v>
      </c>
      <c r="E62" s="90">
        <v>35150</v>
      </c>
      <c r="F62" s="90">
        <v>39050</v>
      </c>
      <c r="G62" s="90">
        <v>42200</v>
      </c>
      <c r="H62" s="90">
        <v>45300</v>
      </c>
      <c r="I62" s="90">
        <v>48450</v>
      </c>
      <c r="J62" s="29">
        <v>51550</v>
      </c>
      <c r="K62" s="29">
        <v>43750</v>
      </c>
      <c r="L62" s="29">
        <v>50000</v>
      </c>
      <c r="M62" s="29">
        <v>56250</v>
      </c>
      <c r="N62" s="29">
        <v>62500</v>
      </c>
      <c r="O62" s="29">
        <v>67500</v>
      </c>
      <c r="P62" s="29">
        <v>72500</v>
      </c>
      <c r="Q62" s="29">
        <v>77500</v>
      </c>
      <c r="R62" s="29">
        <v>82500</v>
      </c>
      <c r="S62" s="89">
        <v>675</v>
      </c>
      <c r="T62" s="89">
        <v>680</v>
      </c>
      <c r="U62" s="89">
        <v>851</v>
      </c>
      <c r="V62" s="89">
        <v>1025</v>
      </c>
      <c r="W62" s="89">
        <v>1221</v>
      </c>
      <c r="X62" s="89">
        <v>766</v>
      </c>
      <c r="Y62" s="89">
        <v>771</v>
      </c>
      <c r="Z62" s="89">
        <v>995</v>
      </c>
      <c r="AA62" s="89">
        <v>1210</v>
      </c>
      <c r="AB62" s="29">
        <v>1442</v>
      </c>
      <c r="AC62" s="29"/>
      <c r="AD62" s="29"/>
      <c r="AG62" s="105">
        <v>67</v>
      </c>
      <c r="AH62" s="105">
        <v>58</v>
      </c>
      <c r="AI62" s="105">
        <v>45</v>
      </c>
      <c r="AJ62" s="105">
        <v>41</v>
      </c>
      <c r="AK62" s="105">
        <v>29</v>
      </c>
      <c r="AL62" s="107">
        <v>1</v>
      </c>
      <c r="AM62" s="107">
        <v>1</v>
      </c>
      <c r="AN62" s="29"/>
      <c r="AO62" s="29"/>
      <c r="AP62" s="29"/>
    </row>
    <row r="63" spans="1:42" x14ac:dyDescent="0.25">
      <c r="A63" s="88" t="s">
        <v>198</v>
      </c>
      <c r="B63" s="124">
        <v>2</v>
      </c>
      <c r="C63" s="90">
        <v>28000</v>
      </c>
      <c r="D63" s="90">
        <v>32000</v>
      </c>
      <c r="E63" s="90">
        <v>36000</v>
      </c>
      <c r="F63" s="90">
        <v>40000</v>
      </c>
      <c r="G63" s="90">
        <v>43200</v>
      </c>
      <c r="H63" s="90">
        <v>46400</v>
      </c>
      <c r="I63" s="90">
        <v>49600</v>
      </c>
      <c r="J63" s="29">
        <v>52800</v>
      </c>
      <c r="K63" s="29">
        <v>44800</v>
      </c>
      <c r="L63" s="29">
        <v>51200</v>
      </c>
      <c r="M63" s="29">
        <v>57600</v>
      </c>
      <c r="N63" s="29">
        <v>64000</v>
      </c>
      <c r="O63" s="29">
        <v>69150</v>
      </c>
      <c r="P63" s="29">
        <v>74250</v>
      </c>
      <c r="Q63" s="29">
        <v>79400</v>
      </c>
      <c r="R63" s="29">
        <v>84500</v>
      </c>
      <c r="S63" s="89">
        <v>685</v>
      </c>
      <c r="T63" s="89">
        <v>689</v>
      </c>
      <c r="U63" s="89">
        <v>851</v>
      </c>
      <c r="V63" s="89">
        <v>1108</v>
      </c>
      <c r="W63" s="89">
        <v>1330</v>
      </c>
      <c r="X63" s="89">
        <v>804</v>
      </c>
      <c r="Y63" s="89">
        <v>808</v>
      </c>
      <c r="Z63" s="89">
        <v>1003</v>
      </c>
      <c r="AA63" s="89">
        <v>1314</v>
      </c>
      <c r="AB63" s="29">
        <v>1538</v>
      </c>
      <c r="AC63" s="29"/>
      <c r="AD63" s="29"/>
      <c r="AG63" s="105">
        <v>67</v>
      </c>
      <c r="AH63" s="105">
        <v>58</v>
      </c>
      <c r="AI63" s="105">
        <v>45</v>
      </c>
      <c r="AJ63" s="105">
        <v>41</v>
      </c>
      <c r="AK63" s="105">
        <v>29</v>
      </c>
      <c r="AL63" s="107">
        <v>1</v>
      </c>
      <c r="AM63" s="107">
        <v>1</v>
      </c>
      <c r="AN63" s="29"/>
      <c r="AO63" s="29"/>
      <c r="AP63" s="29"/>
    </row>
    <row r="64" spans="1:42" x14ac:dyDescent="0.25">
      <c r="A64" s="88" t="s">
        <v>199</v>
      </c>
      <c r="B64" s="124">
        <v>2</v>
      </c>
      <c r="C64" s="90">
        <v>39750</v>
      </c>
      <c r="D64" s="90">
        <v>45400</v>
      </c>
      <c r="E64" s="90">
        <v>51100</v>
      </c>
      <c r="F64" s="90">
        <v>56750</v>
      </c>
      <c r="G64" s="90">
        <v>61300</v>
      </c>
      <c r="H64" s="90">
        <v>65850</v>
      </c>
      <c r="I64" s="90">
        <v>70400</v>
      </c>
      <c r="J64" s="29">
        <v>74950</v>
      </c>
      <c r="K64" s="29">
        <v>63600</v>
      </c>
      <c r="L64" s="29">
        <v>72650</v>
      </c>
      <c r="M64" s="29">
        <v>81750</v>
      </c>
      <c r="N64" s="29">
        <v>90800</v>
      </c>
      <c r="O64" s="29">
        <v>98100</v>
      </c>
      <c r="P64" s="29">
        <v>105350</v>
      </c>
      <c r="Q64" s="29">
        <v>112600</v>
      </c>
      <c r="R64" s="29">
        <v>119900</v>
      </c>
      <c r="S64" s="89">
        <v>1488</v>
      </c>
      <c r="T64" s="89">
        <v>1545</v>
      </c>
      <c r="U64" s="89">
        <v>1711</v>
      </c>
      <c r="V64" s="89">
        <v>2166</v>
      </c>
      <c r="W64" s="89">
        <v>2677</v>
      </c>
      <c r="X64" s="89">
        <v>1460</v>
      </c>
      <c r="Y64" s="89">
        <v>1501</v>
      </c>
      <c r="Z64" s="89">
        <v>1685</v>
      </c>
      <c r="AA64" s="89">
        <v>2154</v>
      </c>
      <c r="AB64" s="29">
        <v>2632</v>
      </c>
      <c r="AG64" s="106">
        <v>69</v>
      </c>
      <c r="AH64" s="106">
        <v>60</v>
      </c>
      <c r="AI64" s="106">
        <v>47</v>
      </c>
      <c r="AJ64" s="106">
        <v>41</v>
      </c>
      <c r="AK64" s="106">
        <v>29</v>
      </c>
      <c r="AL64" s="107">
        <v>2</v>
      </c>
      <c r="AM64" s="107">
        <v>2</v>
      </c>
    </row>
    <row r="65" spans="1:39" x14ac:dyDescent="0.25">
      <c r="A65" s="88" t="s">
        <v>200</v>
      </c>
      <c r="B65" s="124">
        <v>2</v>
      </c>
      <c r="C65" s="90">
        <v>37300</v>
      </c>
      <c r="D65" s="90">
        <v>42600</v>
      </c>
      <c r="E65" s="90">
        <v>47950</v>
      </c>
      <c r="F65" s="90">
        <v>53250</v>
      </c>
      <c r="G65" s="90">
        <v>57550</v>
      </c>
      <c r="H65" s="90">
        <v>61800</v>
      </c>
      <c r="I65" s="90">
        <v>66050</v>
      </c>
      <c r="J65" s="29">
        <v>70300</v>
      </c>
      <c r="K65" s="29">
        <v>59650</v>
      </c>
      <c r="L65" s="29">
        <v>68200</v>
      </c>
      <c r="M65" s="29">
        <v>76700</v>
      </c>
      <c r="N65" s="29">
        <v>85200</v>
      </c>
      <c r="O65" s="29">
        <v>92050</v>
      </c>
      <c r="P65" s="29">
        <v>98850</v>
      </c>
      <c r="Q65" s="29">
        <v>105650</v>
      </c>
      <c r="R65" s="29">
        <v>112500</v>
      </c>
      <c r="S65" s="89">
        <v>1475</v>
      </c>
      <c r="T65" s="89">
        <v>1483</v>
      </c>
      <c r="U65" s="89">
        <v>1696</v>
      </c>
      <c r="V65" s="89">
        <v>2361</v>
      </c>
      <c r="W65" s="89">
        <v>2809</v>
      </c>
      <c r="X65" s="89">
        <v>1406</v>
      </c>
      <c r="Y65" s="89">
        <v>1415</v>
      </c>
      <c r="Z65" s="89">
        <v>1642</v>
      </c>
      <c r="AA65" s="89">
        <v>2286</v>
      </c>
      <c r="AB65" s="29">
        <v>2785</v>
      </c>
      <c r="AG65" s="105">
        <v>71</v>
      </c>
      <c r="AH65" s="105">
        <v>61</v>
      </c>
      <c r="AI65" s="105">
        <v>47</v>
      </c>
      <c r="AJ65" s="105">
        <v>42</v>
      </c>
      <c r="AK65" s="105">
        <v>30</v>
      </c>
      <c r="AL65" s="107">
        <v>1</v>
      </c>
      <c r="AM65" s="107">
        <v>2</v>
      </c>
    </row>
    <row r="66" spans="1:39" x14ac:dyDescent="0.25">
      <c r="A66" s="88" t="s">
        <v>201</v>
      </c>
      <c r="B66" s="125">
        <v>3</v>
      </c>
      <c r="C66" s="90">
        <v>37300</v>
      </c>
      <c r="D66" s="90">
        <v>42600</v>
      </c>
      <c r="E66" s="90">
        <v>47950</v>
      </c>
      <c r="F66" s="90">
        <v>53250</v>
      </c>
      <c r="G66" s="90">
        <v>57550</v>
      </c>
      <c r="H66" s="90">
        <v>61800</v>
      </c>
      <c r="I66" s="90">
        <v>66050</v>
      </c>
      <c r="J66" s="29">
        <v>70300</v>
      </c>
      <c r="K66" s="29">
        <v>59650</v>
      </c>
      <c r="L66" s="29">
        <v>68200</v>
      </c>
      <c r="M66" s="29">
        <v>76700</v>
      </c>
      <c r="N66" s="29">
        <v>85200</v>
      </c>
      <c r="O66" s="29">
        <v>92050</v>
      </c>
      <c r="P66" s="29">
        <v>98850</v>
      </c>
      <c r="Q66" s="29">
        <v>105650</v>
      </c>
      <c r="R66" s="29">
        <v>112500</v>
      </c>
      <c r="S66" s="89">
        <v>1475</v>
      </c>
      <c r="T66" s="89">
        <v>1483</v>
      </c>
      <c r="U66" s="89">
        <v>1696</v>
      </c>
      <c r="V66" s="89">
        <v>2361</v>
      </c>
      <c r="W66" s="89">
        <v>2809</v>
      </c>
      <c r="X66" s="89">
        <v>1406</v>
      </c>
      <c r="Y66" s="89">
        <v>1415</v>
      </c>
      <c r="Z66" s="89">
        <v>1642</v>
      </c>
      <c r="AA66" s="89">
        <v>2286</v>
      </c>
      <c r="AB66" s="29">
        <v>2785</v>
      </c>
      <c r="AG66" s="106">
        <v>68</v>
      </c>
      <c r="AH66" s="106">
        <v>59</v>
      </c>
      <c r="AI66" s="106">
        <v>45</v>
      </c>
      <c r="AJ66" s="106">
        <v>41</v>
      </c>
      <c r="AK66" s="106">
        <v>29</v>
      </c>
      <c r="AL66" s="107">
        <v>1</v>
      </c>
      <c r="AM66" s="107">
        <v>2</v>
      </c>
    </row>
    <row r="67" spans="1:39" x14ac:dyDescent="0.25">
      <c r="A67" s="88" t="s">
        <v>202</v>
      </c>
      <c r="B67" s="124">
        <v>2</v>
      </c>
      <c r="C67" s="90">
        <v>31650</v>
      </c>
      <c r="D67" s="90">
        <v>36200</v>
      </c>
      <c r="E67" s="90">
        <v>40650</v>
      </c>
      <c r="F67" s="90">
        <v>45200</v>
      </c>
      <c r="G67" s="90">
        <v>48850</v>
      </c>
      <c r="H67" s="90">
        <v>52450</v>
      </c>
      <c r="I67" s="90">
        <v>56050</v>
      </c>
      <c r="J67" s="29">
        <v>59650</v>
      </c>
      <c r="K67" s="29">
        <v>50650</v>
      </c>
      <c r="L67" s="29">
        <v>57850</v>
      </c>
      <c r="M67" s="29">
        <v>65100</v>
      </c>
      <c r="N67" s="29">
        <v>72300</v>
      </c>
      <c r="O67" s="29">
        <v>78100</v>
      </c>
      <c r="P67" s="29">
        <v>83900</v>
      </c>
      <c r="Q67" s="29">
        <v>89700</v>
      </c>
      <c r="R67" s="29">
        <v>95450</v>
      </c>
      <c r="S67" s="89">
        <v>1152</v>
      </c>
      <c r="T67" s="89">
        <v>1197</v>
      </c>
      <c r="U67" s="89">
        <v>1325</v>
      </c>
      <c r="V67" s="89">
        <v>1645</v>
      </c>
      <c r="W67" s="89">
        <v>2075</v>
      </c>
      <c r="X67" s="89">
        <v>1041</v>
      </c>
      <c r="Y67" s="89">
        <v>1070</v>
      </c>
      <c r="Z67" s="89">
        <v>1201</v>
      </c>
      <c r="AA67" s="89">
        <v>1692</v>
      </c>
      <c r="AB67" s="29">
        <v>1878</v>
      </c>
      <c r="AG67" s="106">
        <v>68</v>
      </c>
      <c r="AH67" s="106">
        <v>59</v>
      </c>
      <c r="AI67" s="106">
        <v>45</v>
      </c>
      <c r="AJ67" s="106">
        <v>41</v>
      </c>
      <c r="AK67" s="106">
        <v>29</v>
      </c>
      <c r="AL67" s="107">
        <v>1</v>
      </c>
      <c r="AM67" s="107">
        <v>1</v>
      </c>
    </row>
    <row r="68" spans="1:39" x14ac:dyDescent="0.25">
      <c r="A68" s="88" t="s">
        <v>203</v>
      </c>
      <c r="B68" s="125">
        <v>3</v>
      </c>
      <c r="C68" s="90">
        <v>47000</v>
      </c>
      <c r="D68" s="90">
        <v>53700</v>
      </c>
      <c r="E68" s="90">
        <v>60400</v>
      </c>
      <c r="F68" s="90">
        <v>67100</v>
      </c>
      <c r="G68" s="90">
        <v>72500</v>
      </c>
      <c r="H68" s="90">
        <v>77850</v>
      </c>
      <c r="I68" s="90">
        <v>83250</v>
      </c>
      <c r="J68" s="29">
        <v>88600</v>
      </c>
      <c r="K68" s="29">
        <v>72950</v>
      </c>
      <c r="L68" s="29">
        <v>83400</v>
      </c>
      <c r="M68" s="29">
        <v>93800</v>
      </c>
      <c r="N68" s="29">
        <v>104200</v>
      </c>
      <c r="O68" s="29">
        <v>112550</v>
      </c>
      <c r="P68" s="29">
        <v>120900</v>
      </c>
      <c r="Q68" s="29">
        <v>129250</v>
      </c>
      <c r="R68" s="29">
        <v>137550</v>
      </c>
      <c r="S68" s="89">
        <v>1072</v>
      </c>
      <c r="T68" s="89">
        <v>1079</v>
      </c>
      <c r="U68" s="89">
        <v>1337</v>
      </c>
      <c r="V68" s="89">
        <v>1873</v>
      </c>
      <c r="W68" s="89">
        <v>2245</v>
      </c>
      <c r="X68" s="89">
        <v>1239</v>
      </c>
      <c r="Y68" s="89">
        <v>1247</v>
      </c>
      <c r="Z68" s="89">
        <v>1540</v>
      </c>
      <c r="AA68" s="89">
        <v>2170</v>
      </c>
      <c r="AB68" s="29">
        <v>2613</v>
      </c>
      <c r="AG68" s="105">
        <v>83</v>
      </c>
      <c r="AH68" s="105">
        <v>72</v>
      </c>
      <c r="AI68" s="105">
        <v>55</v>
      </c>
      <c r="AJ68" s="105">
        <v>50</v>
      </c>
      <c r="AK68" s="105">
        <v>35</v>
      </c>
      <c r="AL68" s="107">
        <v>1</v>
      </c>
      <c r="AM68" s="107">
        <v>3</v>
      </c>
    </row>
    <row r="69" spans="1:39" x14ac:dyDescent="0.25">
      <c r="A69" s="88" t="s">
        <v>204</v>
      </c>
      <c r="B69" s="124">
        <v>2</v>
      </c>
      <c r="C69" s="90">
        <v>39750</v>
      </c>
      <c r="D69" s="90">
        <v>45400</v>
      </c>
      <c r="E69" s="90">
        <v>51100</v>
      </c>
      <c r="F69" s="90">
        <v>56750</v>
      </c>
      <c r="G69" s="90">
        <v>61300</v>
      </c>
      <c r="H69" s="90">
        <v>65850</v>
      </c>
      <c r="I69" s="90">
        <v>70400</v>
      </c>
      <c r="J69" s="29">
        <v>74950</v>
      </c>
      <c r="K69" s="29">
        <v>63600</v>
      </c>
      <c r="L69" s="29">
        <v>72650</v>
      </c>
      <c r="M69" s="29">
        <v>81750</v>
      </c>
      <c r="N69" s="29">
        <v>90800</v>
      </c>
      <c r="O69" s="29">
        <v>98100</v>
      </c>
      <c r="P69" s="29">
        <v>105350</v>
      </c>
      <c r="Q69" s="29">
        <v>112600</v>
      </c>
      <c r="R69" s="29">
        <v>119900</v>
      </c>
      <c r="S69" s="29">
        <v>1488</v>
      </c>
      <c r="T69" s="29">
        <v>1545</v>
      </c>
      <c r="U69" s="29">
        <v>1711</v>
      </c>
      <c r="V69" s="29">
        <v>2166</v>
      </c>
      <c r="W69" s="29">
        <v>2677</v>
      </c>
      <c r="X69" s="29">
        <v>1460</v>
      </c>
      <c r="Y69" s="29">
        <v>1501</v>
      </c>
      <c r="Z69" s="29">
        <v>1685</v>
      </c>
      <c r="AA69" s="29">
        <v>2154</v>
      </c>
      <c r="AB69" s="29">
        <v>2632</v>
      </c>
      <c r="AG69" s="106">
        <v>68</v>
      </c>
      <c r="AH69" s="106">
        <v>59</v>
      </c>
      <c r="AI69" s="106">
        <v>45</v>
      </c>
      <c r="AJ69" s="106">
        <v>41</v>
      </c>
      <c r="AK69" s="106">
        <v>29</v>
      </c>
      <c r="AL69" s="107">
        <v>1</v>
      </c>
      <c r="AM69" s="107">
        <v>1</v>
      </c>
    </row>
    <row r="70" spans="1:39" x14ac:dyDescent="0.25">
      <c r="A70" s="88" t="s">
        <v>205</v>
      </c>
      <c r="B70" s="124">
        <v>2</v>
      </c>
      <c r="C70" s="90">
        <v>31850</v>
      </c>
      <c r="D70" s="90">
        <v>36400</v>
      </c>
      <c r="E70" s="90">
        <v>40950</v>
      </c>
      <c r="F70" s="90">
        <v>45500</v>
      </c>
      <c r="G70" s="90">
        <v>49150</v>
      </c>
      <c r="H70" s="90">
        <v>52800</v>
      </c>
      <c r="I70" s="90">
        <v>56450</v>
      </c>
      <c r="J70" s="29">
        <v>60100</v>
      </c>
      <c r="K70" s="29">
        <v>51000</v>
      </c>
      <c r="L70" s="29">
        <v>58250</v>
      </c>
      <c r="M70" s="29">
        <v>65550</v>
      </c>
      <c r="N70" s="29">
        <v>72800</v>
      </c>
      <c r="O70" s="29">
        <v>78650</v>
      </c>
      <c r="P70" s="29">
        <v>84450</v>
      </c>
      <c r="Q70" s="29">
        <v>90300</v>
      </c>
      <c r="R70" s="29">
        <v>96100</v>
      </c>
      <c r="S70" s="29">
        <v>829</v>
      </c>
      <c r="T70" s="29">
        <v>834</v>
      </c>
      <c r="U70" s="29">
        <v>1030</v>
      </c>
      <c r="V70" s="29">
        <v>1360</v>
      </c>
      <c r="W70" s="29">
        <v>1584</v>
      </c>
      <c r="X70" s="29">
        <v>982</v>
      </c>
      <c r="Y70" s="29">
        <v>987</v>
      </c>
      <c r="Z70" s="29">
        <v>1225</v>
      </c>
      <c r="AA70" s="29">
        <v>1515</v>
      </c>
      <c r="AB70" s="29">
        <v>1739</v>
      </c>
      <c r="AG70" s="106">
        <v>68</v>
      </c>
      <c r="AH70" s="106">
        <v>59</v>
      </c>
      <c r="AI70" s="106">
        <v>45</v>
      </c>
      <c r="AJ70" s="106">
        <v>41</v>
      </c>
      <c r="AK70" s="106">
        <v>29</v>
      </c>
      <c r="AL70" s="107">
        <v>1</v>
      </c>
      <c r="AM70" s="107">
        <v>1</v>
      </c>
    </row>
    <row r="71" spans="1:39" x14ac:dyDescent="0.25">
      <c r="A71" s="88" t="s">
        <v>206</v>
      </c>
      <c r="B71" s="124">
        <v>2</v>
      </c>
      <c r="C71" s="90">
        <v>27350</v>
      </c>
      <c r="D71" s="90">
        <v>31250</v>
      </c>
      <c r="E71" s="90">
        <v>35150</v>
      </c>
      <c r="F71" s="90">
        <v>39050</v>
      </c>
      <c r="G71" s="90">
        <v>42200</v>
      </c>
      <c r="H71" s="90">
        <v>45300</v>
      </c>
      <c r="I71" s="90">
        <v>48450</v>
      </c>
      <c r="J71" s="29">
        <v>51550</v>
      </c>
      <c r="K71" s="29">
        <v>43750</v>
      </c>
      <c r="L71" s="29">
        <v>50000</v>
      </c>
      <c r="M71" s="29">
        <v>56250</v>
      </c>
      <c r="N71" s="29">
        <v>62500</v>
      </c>
      <c r="O71" s="29">
        <v>67500</v>
      </c>
      <c r="P71" s="29">
        <v>72500</v>
      </c>
      <c r="Q71" s="29">
        <v>77500</v>
      </c>
      <c r="R71" s="29">
        <v>82500</v>
      </c>
      <c r="S71" s="29">
        <v>688</v>
      </c>
      <c r="T71" s="29">
        <v>698</v>
      </c>
      <c r="U71" s="29">
        <v>851</v>
      </c>
      <c r="V71" s="29">
        <v>1107</v>
      </c>
      <c r="W71" s="29">
        <v>1330</v>
      </c>
      <c r="X71" s="29">
        <v>812</v>
      </c>
      <c r="Y71" s="29">
        <v>852</v>
      </c>
      <c r="Z71" s="29">
        <v>995</v>
      </c>
      <c r="AA71" s="29">
        <v>1272</v>
      </c>
      <c r="AB71" s="29">
        <v>1526</v>
      </c>
      <c r="AG71" s="105">
        <v>63</v>
      </c>
      <c r="AH71" s="105">
        <v>55</v>
      </c>
      <c r="AI71" s="105">
        <v>42</v>
      </c>
      <c r="AJ71" s="105">
        <v>38</v>
      </c>
      <c r="AK71" s="105">
        <v>27</v>
      </c>
      <c r="AL71" s="107">
        <v>1</v>
      </c>
      <c r="AM71" s="107">
        <v>1</v>
      </c>
    </row>
    <row r="72" spans="1:39" x14ac:dyDescent="0.25">
      <c r="A72" s="88" t="s">
        <v>207</v>
      </c>
      <c r="B72" s="124">
        <v>2</v>
      </c>
      <c r="C72" s="90">
        <v>29850</v>
      </c>
      <c r="D72" s="90">
        <v>34100</v>
      </c>
      <c r="E72" s="90">
        <v>38350</v>
      </c>
      <c r="F72" s="90">
        <v>42600</v>
      </c>
      <c r="G72" s="90">
        <v>46050</v>
      </c>
      <c r="H72" s="90">
        <v>49450</v>
      </c>
      <c r="I72" s="90">
        <v>52850</v>
      </c>
      <c r="J72" s="29">
        <v>56250</v>
      </c>
      <c r="K72" s="29">
        <v>47750</v>
      </c>
      <c r="L72" s="29">
        <v>54550</v>
      </c>
      <c r="M72" s="29">
        <v>61350</v>
      </c>
      <c r="N72" s="29">
        <v>68150</v>
      </c>
      <c r="O72" s="29">
        <v>73650</v>
      </c>
      <c r="P72" s="29">
        <v>79100</v>
      </c>
      <c r="Q72" s="29">
        <v>84550</v>
      </c>
      <c r="R72" s="29">
        <v>90000</v>
      </c>
      <c r="S72" s="29">
        <v>777</v>
      </c>
      <c r="T72" s="29">
        <v>812</v>
      </c>
      <c r="U72" s="29">
        <v>899</v>
      </c>
      <c r="V72" s="29">
        <v>1260</v>
      </c>
      <c r="W72" s="29">
        <v>1510</v>
      </c>
      <c r="X72" s="29">
        <v>849</v>
      </c>
      <c r="Y72" s="29">
        <v>926</v>
      </c>
      <c r="Z72" s="29">
        <v>1039</v>
      </c>
      <c r="AA72" s="29">
        <v>1465</v>
      </c>
      <c r="AB72" s="29">
        <v>1612</v>
      </c>
      <c r="AG72" s="105">
        <v>67</v>
      </c>
      <c r="AH72" s="105">
        <v>58</v>
      </c>
      <c r="AI72" s="105">
        <v>45</v>
      </c>
      <c r="AJ72" s="105">
        <v>41</v>
      </c>
      <c r="AK72" s="105">
        <v>29</v>
      </c>
      <c r="AL72" s="107">
        <v>2</v>
      </c>
      <c r="AM72" s="107">
        <v>1</v>
      </c>
    </row>
    <row r="73" spans="1:39" x14ac:dyDescent="0.25">
      <c r="A73" s="88" t="s">
        <v>208</v>
      </c>
      <c r="B73" s="124">
        <v>2</v>
      </c>
      <c r="C73" s="90">
        <v>57400</v>
      </c>
      <c r="D73" s="90">
        <v>65600</v>
      </c>
      <c r="E73" s="90">
        <v>73800</v>
      </c>
      <c r="F73" s="90">
        <v>81950</v>
      </c>
      <c r="G73" s="90">
        <v>88550</v>
      </c>
      <c r="H73" s="90">
        <v>95100</v>
      </c>
      <c r="I73" s="90">
        <v>101650</v>
      </c>
      <c r="J73" s="29">
        <v>108200</v>
      </c>
      <c r="K73" s="29">
        <v>74800</v>
      </c>
      <c r="L73" s="29">
        <v>85450</v>
      </c>
      <c r="M73" s="29">
        <v>96150</v>
      </c>
      <c r="N73" s="29">
        <v>106800</v>
      </c>
      <c r="O73" s="29">
        <v>115350</v>
      </c>
      <c r="P73" s="29">
        <v>123900</v>
      </c>
      <c r="Q73" s="29">
        <v>132450</v>
      </c>
      <c r="R73" s="29">
        <v>141000</v>
      </c>
      <c r="S73" s="29">
        <v>2012</v>
      </c>
      <c r="T73" s="29">
        <v>2056</v>
      </c>
      <c r="U73" s="29">
        <v>2314</v>
      </c>
      <c r="V73" s="29">
        <v>2893</v>
      </c>
      <c r="W73" s="29">
        <v>3413</v>
      </c>
      <c r="X73" s="29">
        <v>1949</v>
      </c>
      <c r="Y73" s="29">
        <v>1983</v>
      </c>
      <c r="Z73" s="29">
        <v>2249</v>
      </c>
      <c r="AA73" s="29">
        <v>2798</v>
      </c>
      <c r="AB73" s="29">
        <v>3316</v>
      </c>
      <c r="AG73" s="105">
        <v>83</v>
      </c>
      <c r="AH73" s="105">
        <v>72</v>
      </c>
      <c r="AI73" s="105">
        <v>56</v>
      </c>
      <c r="AJ73" s="105">
        <v>56</v>
      </c>
      <c r="AK73" s="105">
        <v>49</v>
      </c>
      <c r="AL73" s="107">
        <v>2</v>
      </c>
      <c r="AM73" s="107">
        <v>3</v>
      </c>
    </row>
    <row r="74" spans="1:39" x14ac:dyDescent="0.25">
      <c r="A74" s="88" t="s">
        <v>209</v>
      </c>
      <c r="B74" s="124">
        <v>2</v>
      </c>
      <c r="C74" s="90">
        <v>36100</v>
      </c>
      <c r="D74" s="90">
        <v>41250</v>
      </c>
      <c r="E74" s="90">
        <v>46400</v>
      </c>
      <c r="F74" s="90">
        <v>51550</v>
      </c>
      <c r="G74" s="90">
        <v>55700</v>
      </c>
      <c r="H74" s="90">
        <v>59800</v>
      </c>
      <c r="I74" s="90">
        <v>63950</v>
      </c>
      <c r="J74" s="29">
        <v>68050</v>
      </c>
      <c r="K74" s="29">
        <v>57750</v>
      </c>
      <c r="L74" s="29">
        <v>66000</v>
      </c>
      <c r="M74" s="29">
        <v>74250</v>
      </c>
      <c r="N74" s="29">
        <v>82450</v>
      </c>
      <c r="O74" s="29">
        <v>89050</v>
      </c>
      <c r="P74" s="29">
        <v>95650</v>
      </c>
      <c r="Q74" s="29">
        <v>102250</v>
      </c>
      <c r="R74" s="29">
        <v>108850</v>
      </c>
      <c r="S74" s="29">
        <v>970</v>
      </c>
      <c r="T74" s="29">
        <v>1007</v>
      </c>
      <c r="U74" s="29">
        <v>1115</v>
      </c>
      <c r="V74" s="29">
        <v>1547</v>
      </c>
      <c r="W74" s="29">
        <v>1743</v>
      </c>
      <c r="X74" s="29">
        <v>1081</v>
      </c>
      <c r="Y74" s="29">
        <v>1111</v>
      </c>
      <c r="Z74" s="29">
        <v>1247</v>
      </c>
      <c r="AA74" s="29">
        <v>1739</v>
      </c>
      <c r="AB74" s="29">
        <v>2116</v>
      </c>
      <c r="AG74" s="105">
        <v>70</v>
      </c>
      <c r="AH74" s="105">
        <v>61</v>
      </c>
      <c r="AI74" s="105">
        <v>47</v>
      </c>
      <c r="AJ74" s="105">
        <v>42</v>
      </c>
      <c r="AK74" s="105">
        <v>30</v>
      </c>
      <c r="AL74" s="107">
        <v>1</v>
      </c>
      <c r="AM74" s="107">
        <v>1</v>
      </c>
    </row>
    <row r="75" spans="1:39" x14ac:dyDescent="0.25">
      <c r="A75" s="88" t="s">
        <v>210</v>
      </c>
      <c r="B75" s="124">
        <v>2</v>
      </c>
      <c r="C75" s="90">
        <v>27350</v>
      </c>
      <c r="D75" s="90">
        <v>31250</v>
      </c>
      <c r="E75" s="90">
        <v>35150</v>
      </c>
      <c r="F75" s="90">
        <v>39050</v>
      </c>
      <c r="G75" s="90">
        <v>42200</v>
      </c>
      <c r="H75" s="90">
        <v>45300</v>
      </c>
      <c r="I75" s="90">
        <v>48450</v>
      </c>
      <c r="J75" s="29">
        <v>51550</v>
      </c>
      <c r="K75" s="29">
        <v>43750</v>
      </c>
      <c r="L75" s="29">
        <v>50000</v>
      </c>
      <c r="M75" s="29">
        <v>56250</v>
      </c>
      <c r="N75" s="29">
        <v>62500</v>
      </c>
      <c r="O75" s="29">
        <v>67500</v>
      </c>
      <c r="P75" s="29">
        <v>72500</v>
      </c>
      <c r="Q75" s="29">
        <v>77500</v>
      </c>
      <c r="R75" s="29">
        <v>82500</v>
      </c>
      <c r="S75" s="29">
        <v>649</v>
      </c>
      <c r="T75" s="29">
        <v>653</v>
      </c>
      <c r="U75" s="29">
        <v>857</v>
      </c>
      <c r="V75" s="29">
        <v>1104</v>
      </c>
      <c r="W75" s="29">
        <v>1367</v>
      </c>
      <c r="X75" s="29">
        <v>772</v>
      </c>
      <c r="Y75" s="29">
        <v>777</v>
      </c>
      <c r="Z75" s="29">
        <v>995</v>
      </c>
      <c r="AA75" s="29">
        <v>1348</v>
      </c>
      <c r="AB75" s="29">
        <v>1669</v>
      </c>
      <c r="AG75" s="105">
        <v>64</v>
      </c>
      <c r="AH75" s="105">
        <v>56</v>
      </c>
      <c r="AI75" s="105">
        <v>43</v>
      </c>
      <c r="AJ75" s="105">
        <v>39</v>
      </c>
      <c r="AK75" s="105">
        <v>28</v>
      </c>
      <c r="AL75" s="107">
        <v>1</v>
      </c>
      <c r="AM75" s="107">
        <v>1</v>
      </c>
    </row>
    <row r="76" spans="1:39" x14ac:dyDescent="0.25">
      <c r="A76" s="88" t="s">
        <v>211</v>
      </c>
      <c r="B76" s="124">
        <v>2</v>
      </c>
      <c r="C76" s="90">
        <v>31000</v>
      </c>
      <c r="D76" s="90">
        <v>35400</v>
      </c>
      <c r="E76" s="90">
        <v>39850</v>
      </c>
      <c r="F76" s="90">
        <v>44250</v>
      </c>
      <c r="G76" s="90">
        <v>47800</v>
      </c>
      <c r="H76" s="90">
        <v>51350</v>
      </c>
      <c r="I76" s="90">
        <v>54900</v>
      </c>
      <c r="J76" s="29">
        <v>58450</v>
      </c>
      <c r="K76" s="29">
        <v>49600</v>
      </c>
      <c r="L76" s="29">
        <v>56650</v>
      </c>
      <c r="M76" s="29">
        <v>63750</v>
      </c>
      <c r="N76" s="29">
        <v>70800</v>
      </c>
      <c r="O76" s="29">
        <v>76500</v>
      </c>
      <c r="P76" s="29">
        <v>82150</v>
      </c>
      <c r="Q76" s="29">
        <v>87800</v>
      </c>
      <c r="R76" s="29">
        <v>93500</v>
      </c>
      <c r="S76" s="29">
        <v>1043</v>
      </c>
      <c r="T76" s="29">
        <v>1062</v>
      </c>
      <c r="U76" s="29">
        <v>1200</v>
      </c>
      <c r="V76" s="29">
        <v>1647</v>
      </c>
      <c r="W76" s="29">
        <v>1785</v>
      </c>
      <c r="X76" s="29">
        <v>1042</v>
      </c>
      <c r="Y76" s="29">
        <v>1062</v>
      </c>
      <c r="Z76" s="29">
        <v>1202</v>
      </c>
      <c r="AA76" s="29">
        <v>1643</v>
      </c>
      <c r="AB76" s="29">
        <v>1789</v>
      </c>
      <c r="AG76" s="105">
        <v>64</v>
      </c>
      <c r="AH76" s="105">
        <v>56</v>
      </c>
      <c r="AI76" s="105">
        <v>43</v>
      </c>
      <c r="AJ76" s="105">
        <v>39</v>
      </c>
      <c r="AK76" s="105">
        <v>28</v>
      </c>
      <c r="AL76" s="107">
        <v>2</v>
      </c>
      <c r="AM76" s="107">
        <v>1</v>
      </c>
    </row>
    <row r="77" spans="1:39" x14ac:dyDescent="0.25">
      <c r="A77" s="88" t="s">
        <v>212</v>
      </c>
      <c r="B77" s="124">
        <v>2</v>
      </c>
      <c r="C77" s="90">
        <v>31500</v>
      </c>
      <c r="D77" s="90">
        <v>36000</v>
      </c>
      <c r="E77" s="90">
        <v>40500</v>
      </c>
      <c r="F77" s="90">
        <v>45050</v>
      </c>
      <c r="G77" s="90">
        <v>48650</v>
      </c>
      <c r="H77" s="90">
        <v>52250</v>
      </c>
      <c r="I77" s="90">
        <v>55850</v>
      </c>
      <c r="J77" s="29">
        <v>59450</v>
      </c>
      <c r="K77" s="29">
        <v>50450</v>
      </c>
      <c r="L77" s="29">
        <v>57650</v>
      </c>
      <c r="M77" s="29">
        <v>64850</v>
      </c>
      <c r="N77" s="29">
        <v>72050</v>
      </c>
      <c r="O77" s="29">
        <v>77850</v>
      </c>
      <c r="P77" s="29">
        <v>83600</v>
      </c>
      <c r="Q77" s="29">
        <v>89350</v>
      </c>
      <c r="R77" s="29">
        <v>95150</v>
      </c>
      <c r="S77" s="29">
        <v>907</v>
      </c>
      <c r="T77" s="29">
        <v>913</v>
      </c>
      <c r="U77" s="29">
        <v>1096</v>
      </c>
      <c r="V77" s="29">
        <v>1361</v>
      </c>
      <c r="W77" s="29">
        <v>1609</v>
      </c>
      <c r="X77" s="29">
        <v>864</v>
      </c>
      <c r="Y77" s="29">
        <v>871</v>
      </c>
      <c r="Z77" s="29">
        <v>1144</v>
      </c>
      <c r="AA77" s="29">
        <v>1413</v>
      </c>
      <c r="AB77" s="29">
        <v>1678</v>
      </c>
      <c r="AG77" s="105">
        <v>70</v>
      </c>
      <c r="AH77" s="105">
        <v>61</v>
      </c>
      <c r="AI77" s="105">
        <v>47</v>
      </c>
      <c r="AJ77" s="105">
        <v>42</v>
      </c>
      <c r="AK77" s="105">
        <v>30</v>
      </c>
      <c r="AL77" s="107">
        <v>1</v>
      </c>
      <c r="AM77" s="107">
        <v>1</v>
      </c>
    </row>
    <row r="78" spans="1:39" x14ac:dyDescent="0.25">
      <c r="A78" s="88" t="s">
        <v>213</v>
      </c>
      <c r="B78" s="125">
        <v>3</v>
      </c>
      <c r="C78" s="90">
        <v>57400</v>
      </c>
      <c r="D78" s="90">
        <v>65600</v>
      </c>
      <c r="E78" s="90">
        <v>73800</v>
      </c>
      <c r="F78" s="90">
        <v>81950</v>
      </c>
      <c r="G78" s="90">
        <v>88550</v>
      </c>
      <c r="H78" s="90">
        <v>95100</v>
      </c>
      <c r="I78" s="90">
        <v>101650</v>
      </c>
      <c r="J78" s="29">
        <v>108200</v>
      </c>
      <c r="K78" s="29">
        <v>74800</v>
      </c>
      <c r="L78" s="29">
        <v>85450</v>
      </c>
      <c r="M78" s="29">
        <v>96150</v>
      </c>
      <c r="N78" s="29">
        <v>106800</v>
      </c>
      <c r="O78" s="29">
        <v>115350</v>
      </c>
      <c r="P78" s="29">
        <v>123900</v>
      </c>
      <c r="Q78" s="29">
        <v>132450</v>
      </c>
      <c r="R78" s="29">
        <v>141000</v>
      </c>
      <c r="S78" s="29">
        <v>2012</v>
      </c>
      <c r="T78" s="29">
        <v>2056</v>
      </c>
      <c r="U78" s="29">
        <v>2314</v>
      </c>
      <c r="V78" s="29">
        <v>2893</v>
      </c>
      <c r="W78" s="29">
        <v>3413</v>
      </c>
      <c r="X78" s="29">
        <v>1949</v>
      </c>
      <c r="Y78" s="29">
        <v>1983</v>
      </c>
      <c r="Z78" s="29">
        <v>2249</v>
      </c>
      <c r="AA78" s="29">
        <v>2798</v>
      </c>
      <c r="AB78" s="29">
        <v>3316</v>
      </c>
      <c r="AG78" s="105">
        <v>83</v>
      </c>
      <c r="AH78" s="105">
        <v>72</v>
      </c>
      <c r="AI78" s="105">
        <v>55</v>
      </c>
      <c r="AJ78" s="105">
        <v>50</v>
      </c>
      <c r="AK78" s="105">
        <v>35</v>
      </c>
      <c r="AL78" s="107">
        <v>3</v>
      </c>
      <c r="AM78" s="107">
        <v>3</v>
      </c>
    </row>
    <row r="79" spans="1:39" x14ac:dyDescent="0.25">
      <c r="A79" s="88" t="s">
        <v>214</v>
      </c>
      <c r="B79" s="125">
        <v>3</v>
      </c>
      <c r="C79" s="90">
        <v>57400</v>
      </c>
      <c r="D79" s="90">
        <v>65600</v>
      </c>
      <c r="E79" s="90">
        <v>73800</v>
      </c>
      <c r="F79" s="90">
        <v>81950</v>
      </c>
      <c r="G79" s="90">
        <v>88550</v>
      </c>
      <c r="H79" s="90">
        <v>95100</v>
      </c>
      <c r="I79" s="90">
        <v>101650</v>
      </c>
      <c r="J79" s="29">
        <v>108200</v>
      </c>
      <c r="K79" s="29">
        <v>74800</v>
      </c>
      <c r="L79" s="29">
        <v>85450</v>
      </c>
      <c r="M79" s="29">
        <v>96150</v>
      </c>
      <c r="N79" s="29">
        <v>106800</v>
      </c>
      <c r="O79" s="29">
        <v>115350</v>
      </c>
      <c r="P79" s="29">
        <v>123900</v>
      </c>
      <c r="Q79" s="29">
        <v>132450</v>
      </c>
      <c r="R79" s="29">
        <v>141000</v>
      </c>
      <c r="S79" s="29">
        <v>2012</v>
      </c>
      <c r="T79" s="29">
        <v>2056</v>
      </c>
      <c r="U79" s="29">
        <v>2314</v>
      </c>
      <c r="V79" s="29">
        <v>2893</v>
      </c>
      <c r="W79" s="29">
        <v>3413</v>
      </c>
      <c r="X79" s="29">
        <v>1949</v>
      </c>
      <c r="Y79" s="29">
        <v>1983</v>
      </c>
      <c r="Z79" s="29">
        <v>2249</v>
      </c>
      <c r="AA79" s="29">
        <v>2798</v>
      </c>
      <c r="AB79" s="29">
        <v>3316</v>
      </c>
      <c r="AG79" s="107">
        <v>83</v>
      </c>
      <c r="AH79" s="105">
        <v>73</v>
      </c>
      <c r="AI79" s="105">
        <v>56</v>
      </c>
      <c r="AJ79" s="105">
        <v>56</v>
      </c>
      <c r="AK79" s="105">
        <v>48</v>
      </c>
      <c r="AL79" s="107">
        <v>3</v>
      </c>
      <c r="AM79" s="107">
        <v>3</v>
      </c>
    </row>
    <row r="80" spans="1:39" x14ac:dyDescent="0.25">
      <c r="A80" s="88" t="s">
        <v>215</v>
      </c>
      <c r="B80" s="124">
        <v>2</v>
      </c>
      <c r="C80" s="90">
        <v>27350</v>
      </c>
      <c r="D80" s="90">
        <v>31250</v>
      </c>
      <c r="E80" s="90">
        <v>35150</v>
      </c>
      <c r="F80" s="90">
        <v>39050</v>
      </c>
      <c r="G80" s="90">
        <v>42200</v>
      </c>
      <c r="H80" s="90">
        <v>45300</v>
      </c>
      <c r="I80" s="90">
        <v>48450</v>
      </c>
      <c r="J80" s="29">
        <v>51550</v>
      </c>
      <c r="K80" s="29">
        <v>43750</v>
      </c>
      <c r="L80" s="29">
        <v>50000</v>
      </c>
      <c r="M80" s="29">
        <v>56250</v>
      </c>
      <c r="N80" s="29">
        <v>62500</v>
      </c>
      <c r="O80" s="29">
        <v>67500</v>
      </c>
      <c r="P80" s="29">
        <v>72500</v>
      </c>
      <c r="Q80" s="29">
        <v>77500</v>
      </c>
      <c r="R80" s="29">
        <v>82500</v>
      </c>
      <c r="S80" s="29">
        <v>675</v>
      </c>
      <c r="T80" s="29">
        <v>680</v>
      </c>
      <c r="U80" s="29">
        <v>851</v>
      </c>
      <c r="V80" s="29">
        <v>1025</v>
      </c>
      <c r="W80" s="29">
        <v>1221</v>
      </c>
      <c r="X80" s="29">
        <v>766</v>
      </c>
      <c r="Y80" s="29">
        <v>771</v>
      </c>
      <c r="Z80" s="29">
        <v>995</v>
      </c>
      <c r="AA80" s="29">
        <v>1210</v>
      </c>
      <c r="AB80" s="29">
        <v>1442</v>
      </c>
      <c r="AG80" s="105">
        <v>67</v>
      </c>
      <c r="AH80" s="105">
        <v>58</v>
      </c>
      <c r="AI80" s="105">
        <v>45</v>
      </c>
      <c r="AJ80" s="105">
        <v>41</v>
      </c>
      <c r="AK80" s="105">
        <v>29</v>
      </c>
      <c r="AL80" s="107">
        <v>2</v>
      </c>
      <c r="AM80" s="107">
        <v>1</v>
      </c>
    </row>
    <row r="81" spans="1:41" x14ac:dyDescent="0.25">
      <c r="A81" s="88" t="s">
        <v>216</v>
      </c>
      <c r="B81" s="124">
        <v>2</v>
      </c>
      <c r="C81" s="90">
        <v>37300</v>
      </c>
      <c r="D81" s="90">
        <v>42600</v>
      </c>
      <c r="E81" s="90">
        <v>47950</v>
      </c>
      <c r="F81" s="90">
        <v>53250</v>
      </c>
      <c r="G81" s="90">
        <v>57550</v>
      </c>
      <c r="H81" s="90">
        <v>61800</v>
      </c>
      <c r="I81" s="90">
        <v>66050</v>
      </c>
      <c r="J81" s="29">
        <v>70300</v>
      </c>
      <c r="K81" s="29">
        <v>59650</v>
      </c>
      <c r="L81" s="29">
        <v>68200</v>
      </c>
      <c r="M81" s="29">
        <v>76700</v>
      </c>
      <c r="N81" s="29">
        <v>85200</v>
      </c>
      <c r="O81" s="29">
        <v>92050</v>
      </c>
      <c r="P81" s="29">
        <v>98850</v>
      </c>
      <c r="Q81" s="29">
        <v>105650</v>
      </c>
      <c r="R81" s="29">
        <v>112500</v>
      </c>
      <c r="S81" s="29">
        <v>1475</v>
      </c>
      <c r="T81" s="29">
        <v>1483</v>
      </c>
      <c r="U81" s="29">
        <v>1696</v>
      </c>
      <c r="V81" s="29">
        <v>2361</v>
      </c>
      <c r="W81" s="29">
        <v>2809</v>
      </c>
      <c r="X81" s="29">
        <v>1406</v>
      </c>
      <c r="Y81" s="29">
        <v>1415</v>
      </c>
      <c r="Z81" s="29">
        <v>1642</v>
      </c>
      <c r="AA81" s="29">
        <v>2286</v>
      </c>
      <c r="AB81" s="29">
        <v>2785</v>
      </c>
      <c r="AG81" s="106">
        <v>68</v>
      </c>
      <c r="AH81" s="106">
        <v>59</v>
      </c>
      <c r="AI81" s="106">
        <v>45</v>
      </c>
      <c r="AJ81" s="106">
        <v>41</v>
      </c>
      <c r="AK81" s="106">
        <v>29</v>
      </c>
      <c r="AL81" s="107">
        <v>1</v>
      </c>
      <c r="AM81" s="107">
        <v>2</v>
      </c>
    </row>
    <row r="82" spans="1:41" x14ac:dyDescent="0.25">
      <c r="A82" s="88" t="s">
        <v>217</v>
      </c>
      <c r="B82" s="124">
        <v>2</v>
      </c>
      <c r="C82" s="90">
        <v>27850</v>
      </c>
      <c r="D82" s="90">
        <v>31800</v>
      </c>
      <c r="E82" s="90">
        <v>35800</v>
      </c>
      <c r="F82" s="90">
        <v>39750</v>
      </c>
      <c r="G82" s="90">
        <v>42950</v>
      </c>
      <c r="H82" s="90">
        <v>46150</v>
      </c>
      <c r="I82" s="90">
        <v>49300</v>
      </c>
      <c r="J82" s="29">
        <v>52500</v>
      </c>
      <c r="K82" s="29">
        <v>44550</v>
      </c>
      <c r="L82" s="29">
        <v>50900</v>
      </c>
      <c r="M82" s="29">
        <v>57250</v>
      </c>
      <c r="N82" s="29">
        <v>63600</v>
      </c>
      <c r="O82" s="29">
        <v>68700</v>
      </c>
      <c r="P82" s="29">
        <v>73800</v>
      </c>
      <c r="Q82" s="29">
        <v>78900</v>
      </c>
      <c r="R82" s="29">
        <v>84000</v>
      </c>
      <c r="S82" s="29">
        <v>672</v>
      </c>
      <c r="T82" s="29">
        <v>677</v>
      </c>
      <c r="U82" s="29">
        <v>888</v>
      </c>
      <c r="V82" s="29">
        <v>1145</v>
      </c>
      <c r="W82" s="29">
        <v>1177</v>
      </c>
      <c r="X82" s="29">
        <v>765</v>
      </c>
      <c r="Y82" s="29">
        <v>771</v>
      </c>
      <c r="Z82" s="29">
        <v>1013</v>
      </c>
      <c r="AA82" s="29">
        <v>1329</v>
      </c>
      <c r="AB82" s="29">
        <v>1349</v>
      </c>
      <c r="AG82" s="105">
        <v>64</v>
      </c>
      <c r="AH82" s="105">
        <v>56</v>
      </c>
      <c r="AI82" s="105">
        <v>43</v>
      </c>
      <c r="AJ82" s="105">
        <v>39</v>
      </c>
      <c r="AK82" s="105">
        <v>28</v>
      </c>
      <c r="AL82" s="107">
        <v>1</v>
      </c>
      <c r="AM82" s="107">
        <v>1</v>
      </c>
    </row>
    <row r="83" spans="1:41" x14ac:dyDescent="0.25">
      <c r="A83" s="88" t="s">
        <v>218</v>
      </c>
      <c r="B83" s="124">
        <v>2</v>
      </c>
      <c r="C83" s="90">
        <v>33450</v>
      </c>
      <c r="D83" s="90">
        <v>38250</v>
      </c>
      <c r="E83" s="90">
        <v>43050</v>
      </c>
      <c r="F83" s="90">
        <v>47800</v>
      </c>
      <c r="G83" s="90">
        <v>51650</v>
      </c>
      <c r="H83" s="90">
        <v>55450</v>
      </c>
      <c r="I83" s="90">
        <v>59300</v>
      </c>
      <c r="J83" s="29">
        <v>63100</v>
      </c>
      <c r="K83" s="29">
        <v>53550</v>
      </c>
      <c r="L83" s="29">
        <v>61200</v>
      </c>
      <c r="M83" s="29">
        <v>68850</v>
      </c>
      <c r="N83" s="29">
        <v>76500</v>
      </c>
      <c r="O83" s="29">
        <v>82650</v>
      </c>
      <c r="P83" s="29">
        <v>88750</v>
      </c>
      <c r="Q83" s="29">
        <v>94900</v>
      </c>
      <c r="R83" s="29">
        <v>101000</v>
      </c>
      <c r="S83" s="29">
        <v>959</v>
      </c>
      <c r="T83" s="29">
        <v>965</v>
      </c>
      <c r="U83" s="29">
        <v>1192</v>
      </c>
      <c r="V83" s="29">
        <v>1436</v>
      </c>
      <c r="W83" s="29">
        <v>1864</v>
      </c>
      <c r="X83" s="29">
        <v>999</v>
      </c>
      <c r="Y83" s="29">
        <v>1006</v>
      </c>
      <c r="Z83" s="29">
        <v>1322</v>
      </c>
      <c r="AA83" s="29">
        <v>1598</v>
      </c>
      <c r="AB83" s="29">
        <v>2028</v>
      </c>
      <c r="AG83" s="106">
        <v>68</v>
      </c>
      <c r="AH83" s="106">
        <v>59</v>
      </c>
      <c r="AI83" s="106">
        <v>45</v>
      </c>
      <c r="AJ83" s="106">
        <v>41</v>
      </c>
      <c r="AK83" s="106">
        <v>29</v>
      </c>
      <c r="AL83" s="107">
        <v>1</v>
      </c>
      <c r="AM83" s="107">
        <v>1</v>
      </c>
    </row>
    <row r="84" spans="1:41" x14ac:dyDescent="0.25">
      <c r="A84" s="88" t="s">
        <v>219</v>
      </c>
      <c r="B84" s="125">
        <v>3</v>
      </c>
      <c r="C84" s="90">
        <v>38350</v>
      </c>
      <c r="D84" s="90">
        <v>43850</v>
      </c>
      <c r="E84" s="90">
        <v>49350</v>
      </c>
      <c r="F84" s="90">
        <v>54800</v>
      </c>
      <c r="G84" s="90">
        <v>59200</v>
      </c>
      <c r="H84" s="90">
        <v>63600</v>
      </c>
      <c r="I84" s="90">
        <v>67950</v>
      </c>
      <c r="J84" s="29">
        <v>72350</v>
      </c>
      <c r="K84" s="29">
        <v>61400</v>
      </c>
      <c r="L84" s="29">
        <v>70200</v>
      </c>
      <c r="M84" s="29">
        <v>78950</v>
      </c>
      <c r="N84" s="29">
        <v>87700</v>
      </c>
      <c r="O84" s="29">
        <v>94750</v>
      </c>
      <c r="P84" s="29">
        <v>101750</v>
      </c>
      <c r="Q84" s="29">
        <v>108750</v>
      </c>
      <c r="R84" s="29">
        <v>115800</v>
      </c>
      <c r="S84" s="29">
        <v>925</v>
      </c>
      <c r="T84" s="29">
        <v>968</v>
      </c>
      <c r="U84" s="29">
        <v>1231</v>
      </c>
      <c r="V84" s="29">
        <v>1647</v>
      </c>
      <c r="W84" s="29">
        <v>2067</v>
      </c>
      <c r="X84" s="29">
        <v>1092</v>
      </c>
      <c r="Y84" s="29">
        <v>1098</v>
      </c>
      <c r="Z84" s="29">
        <v>1387</v>
      </c>
      <c r="AA84" s="29">
        <v>1893</v>
      </c>
      <c r="AB84" s="29">
        <v>2354</v>
      </c>
      <c r="AG84" s="107">
        <v>63</v>
      </c>
      <c r="AH84" s="105">
        <v>55</v>
      </c>
      <c r="AI84" s="105">
        <v>42</v>
      </c>
      <c r="AJ84" s="105">
        <v>38</v>
      </c>
      <c r="AK84" s="105">
        <v>28</v>
      </c>
      <c r="AL84" s="107">
        <v>3</v>
      </c>
      <c r="AM84" s="107">
        <v>1</v>
      </c>
    </row>
    <row r="85" spans="1:41" x14ac:dyDescent="0.25">
      <c r="A85" s="88" t="s">
        <v>220</v>
      </c>
      <c r="B85" s="124">
        <v>2</v>
      </c>
      <c r="C85" s="90">
        <v>44050</v>
      </c>
      <c r="D85" s="90">
        <v>50350</v>
      </c>
      <c r="E85" s="90">
        <v>56650</v>
      </c>
      <c r="F85" s="90">
        <v>62900</v>
      </c>
      <c r="G85" s="90">
        <v>67950</v>
      </c>
      <c r="H85" s="90">
        <v>73000</v>
      </c>
      <c r="I85" s="90">
        <v>78000</v>
      </c>
      <c r="J85" s="29">
        <v>83050</v>
      </c>
      <c r="K85" s="29">
        <v>70500</v>
      </c>
      <c r="L85" s="29">
        <v>80550</v>
      </c>
      <c r="M85" s="29">
        <v>90600</v>
      </c>
      <c r="N85" s="29">
        <v>100650</v>
      </c>
      <c r="O85" s="29">
        <v>108750</v>
      </c>
      <c r="P85" s="29">
        <v>116800</v>
      </c>
      <c r="Q85" s="29">
        <v>124850</v>
      </c>
      <c r="R85" s="29">
        <v>132900</v>
      </c>
      <c r="S85" s="29">
        <v>1404</v>
      </c>
      <c r="T85" s="29">
        <v>1487</v>
      </c>
      <c r="U85" s="29">
        <v>1729</v>
      </c>
      <c r="V85" s="29">
        <v>2155</v>
      </c>
      <c r="W85" s="29">
        <v>2621</v>
      </c>
      <c r="X85" s="29">
        <v>1531</v>
      </c>
      <c r="Y85" s="29">
        <v>1556</v>
      </c>
      <c r="Z85" s="29">
        <v>1845</v>
      </c>
      <c r="AA85" s="29">
        <v>2325</v>
      </c>
      <c r="AB85" s="29">
        <v>2868</v>
      </c>
      <c r="AG85" s="105">
        <v>70</v>
      </c>
      <c r="AH85" s="105">
        <v>61</v>
      </c>
      <c r="AI85" s="105">
        <v>47</v>
      </c>
      <c r="AJ85" s="105">
        <v>42</v>
      </c>
      <c r="AK85" s="105">
        <v>30</v>
      </c>
      <c r="AL85" s="107">
        <v>1</v>
      </c>
      <c r="AM85" s="107">
        <v>1</v>
      </c>
    </row>
    <row r="86" spans="1:41" x14ac:dyDescent="0.25">
      <c r="A86" s="88" t="s">
        <v>221</v>
      </c>
      <c r="B86" s="124">
        <v>2</v>
      </c>
      <c r="C86" s="90">
        <v>39750</v>
      </c>
      <c r="D86" s="90">
        <v>45400</v>
      </c>
      <c r="E86" s="90">
        <v>51100</v>
      </c>
      <c r="F86" s="90">
        <v>56750</v>
      </c>
      <c r="G86" s="90">
        <v>61300</v>
      </c>
      <c r="H86" s="90">
        <v>65850</v>
      </c>
      <c r="I86" s="90">
        <v>70400</v>
      </c>
      <c r="J86" s="29">
        <v>74950</v>
      </c>
      <c r="K86" s="29">
        <v>63600</v>
      </c>
      <c r="L86" s="29">
        <v>72650</v>
      </c>
      <c r="M86" s="29">
        <v>81750</v>
      </c>
      <c r="N86" s="29">
        <v>90800</v>
      </c>
      <c r="O86" s="29">
        <v>98100</v>
      </c>
      <c r="P86" s="29">
        <v>105350</v>
      </c>
      <c r="Q86" s="29">
        <v>112600</v>
      </c>
      <c r="R86" s="29">
        <v>119900</v>
      </c>
      <c r="S86" s="29">
        <v>1488</v>
      </c>
      <c r="T86" s="29">
        <v>1545</v>
      </c>
      <c r="U86" s="29">
        <v>1711</v>
      </c>
      <c r="V86" s="29">
        <v>2166</v>
      </c>
      <c r="W86" s="29">
        <v>2677</v>
      </c>
      <c r="X86" s="29">
        <v>1460</v>
      </c>
      <c r="Y86" s="29">
        <v>1501</v>
      </c>
      <c r="Z86" s="29">
        <v>1685</v>
      </c>
      <c r="AA86" s="29">
        <v>2154</v>
      </c>
      <c r="AB86" s="29">
        <v>2632</v>
      </c>
      <c r="AG86" s="106">
        <v>69</v>
      </c>
      <c r="AH86" s="106">
        <v>60</v>
      </c>
      <c r="AI86" s="106">
        <v>47</v>
      </c>
      <c r="AJ86" s="106">
        <v>41</v>
      </c>
      <c r="AK86" s="106">
        <v>29</v>
      </c>
      <c r="AL86" s="107">
        <v>1</v>
      </c>
      <c r="AM86" s="107">
        <v>2</v>
      </c>
    </row>
    <row r="87" spans="1:41" x14ac:dyDescent="0.25">
      <c r="A87" s="26" t="s">
        <v>222</v>
      </c>
      <c r="B87" s="125">
        <v>3</v>
      </c>
      <c r="C87" s="90">
        <v>37300</v>
      </c>
      <c r="D87" s="90">
        <v>42600</v>
      </c>
      <c r="E87" s="90">
        <v>47950</v>
      </c>
      <c r="F87" s="90">
        <v>53250</v>
      </c>
      <c r="G87" s="90">
        <v>57550</v>
      </c>
      <c r="H87" s="90">
        <v>61800</v>
      </c>
      <c r="I87" s="90">
        <v>66050</v>
      </c>
      <c r="J87" s="29">
        <v>70300</v>
      </c>
      <c r="K87" s="29">
        <v>59650</v>
      </c>
      <c r="L87" s="29">
        <v>68200</v>
      </c>
      <c r="M87" s="29">
        <v>76700</v>
      </c>
      <c r="N87" s="29">
        <v>85200</v>
      </c>
      <c r="O87" s="29">
        <v>92050</v>
      </c>
      <c r="P87" s="29">
        <v>98850</v>
      </c>
      <c r="Q87" s="29">
        <v>105650</v>
      </c>
      <c r="R87" s="29">
        <v>112500</v>
      </c>
      <c r="S87" s="29">
        <v>1475</v>
      </c>
      <c r="T87" s="29">
        <v>1483</v>
      </c>
      <c r="U87" s="29">
        <v>1696</v>
      </c>
      <c r="V87" s="29">
        <v>2361</v>
      </c>
      <c r="W87" s="29">
        <v>2809</v>
      </c>
      <c r="X87" s="29">
        <v>1406</v>
      </c>
      <c r="Y87" s="29">
        <v>1415</v>
      </c>
      <c r="Z87" s="29">
        <v>1642</v>
      </c>
      <c r="AA87" s="29">
        <v>2286</v>
      </c>
      <c r="AB87" s="29">
        <v>2785</v>
      </c>
      <c r="AC87" s="29">
        <v>346</v>
      </c>
      <c r="AD87" s="29"/>
      <c r="AE87" s="29">
        <v>821</v>
      </c>
      <c r="AF87">
        <v>23601</v>
      </c>
      <c r="AG87" s="106">
        <v>68</v>
      </c>
      <c r="AH87" s="106">
        <v>59</v>
      </c>
      <c r="AI87" s="106">
        <v>45</v>
      </c>
      <c r="AJ87" s="106">
        <v>41</v>
      </c>
      <c r="AK87" s="106">
        <v>29</v>
      </c>
      <c r="AL87" s="107">
        <v>2</v>
      </c>
      <c r="AM87" s="107">
        <v>2</v>
      </c>
      <c r="AN87" s="29"/>
      <c r="AO87" s="29"/>
    </row>
    <row r="88" spans="1:41" x14ac:dyDescent="0.25">
      <c r="A88" s="26" t="s">
        <v>223</v>
      </c>
      <c r="B88" s="124">
        <v>2</v>
      </c>
      <c r="C88" s="90">
        <v>37300</v>
      </c>
      <c r="D88" s="90">
        <v>42600</v>
      </c>
      <c r="E88" s="90">
        <v>47950</v>
      </c>
      <c r="F88" s="90">
        <v>53250</v>
      </c>
      <c r="G88" s="90">
        <v>57550</v>
      </c>
      <c r="H88" s="90">
        <v>61800</v>
      </c>
      <c r="I88" s="90">
        <v>66050</v>
      </c>
      <c r="J88" s="29">
        <v>70300</v>
      </c>
      <c r="K88" s="29">
        <v>59650</v>
      </c>
      <c r="L88" s="29">
        <v>68200</v>
      </c>
      <c r="M88" s="29">
        <v>76700</v>
      </c>
      <c r="N88" s="29">
        <v>85200</v>
      </c>
      <c r="O88" s="29">
        <v>92050</v>
      </c>
      <c r="P88" s="29">
        <v>98850</v>
      </c>
      <c r="Q88" s="29">
        <v>105650</v>
      </c>
      <c r="R88" s="29">
        <v>112500</v>
      </c>
      <c r="S88" s="29">
        <v>1475</v>
      </c>
      <c r="T88" s="29">
        <v>1483</v>
      </c>
      <c r="U88" s="29">
        <v>1696</v>
      </c>
      <c r="V88" s="29">
        <v>2361</v>
      </c>
      <c r="W88" s="29">
        <v>2809</v>
      </c>
      <c r="X88" s="29">
        <v>1406</v>
      </c>
      <c r="Y88" s="29">
        <v>1415</v>
      </c>
      <c r="Z88" s="29">
        <v>1642</v>
      </c>
      <c r="AA88" s="29">
        <v>2286</v>
      </c>
      <c r="AB88" s="29">
        <v>2785</v>
      </c>
      <c r="AC88" s="29">
        <v>346</v>
      </c>
      <c r="AD88" s="29"/>
      <c r="AE88" s="29">
        <v>821</v>
      </c>
      <c r="AF88" t="s">
        <v>607</v>
      </c>
      <c r="AG88" s="106">
        <v>71</v>
      </c>
      <c r="AH88" s="106">
        <v>61</v>
      </c>
      <c r="AI88" s="106">
        <v>47</v>
      </c>
      <c r="AJ88" s="106">
        <v>42</v>
      </c>
      <c r="AK88" s="106">
        <v>30</v>
      </c>
      <c r="AL88" s="107">
        <v>2</v>
      </c>
      <c r="AM88" s="107">
        <v>2</v>
      </c>
      <c r="AN88" s="29"/>
      <c r="AO88" s="29"/>
    </row>
    <row r="89" spans="1:41" x14ac:dyDescent="0.25">
      <c r="A89" s="88" t="s">
        <v>224</v>
      </c>
      <c r="B89" s="124">
        <v>2</v>
      </c>
      <c r="C89" s="90">
        <v>29850</v>
      </c>
      <c r="D89" s="90">
        <v>34150</v>
      </c>
      <c r="E89" s="90">
        <v>38400</v>
      </c>
      <c r="F89" s="90">
        <v>42700</v>
      </c>
      <c r="G89" s="90">
        <v>46100</v>
      </c>
      <c r="H89" s="90">
        <v>49500</v>
      </c>
      <c r="I89" s="90">
        <v>52950</v>
      </c>
      <c r="J89" s="29">
        <v>56350</v>
      </c>
      <c r="K89" s="29">
        <v>47850</v>
      </c>
      <c r="L89" s="29">
        <v>54650</v>
      </c>
      <c r="M89" s="29">
        <v>61500</v>
      </c>
      <c r="N89" s="29">
        <v>68300</v>
      </c>
      <c r="O89" s="29">
        <v>73800</v>
      </c>
      <c r="P89" s="29">
        <v>79250</v>
      </c>
      <c r="Q89" s="29">
        <v>84700</v>
      </c>
      <c r="R89" s="29">
        <v>90200</v>
      </c>
      <c r="S89" s="29">
        <v>670</v>
      </c>
      <c r="T89" s="29">
        <v>675</v>
      </c>
      <c r="U89" s="29">
        <v>885</v>
      </c>
      <c r="V89" s="29">
        <v>1229</v>
      </c>
      <c r="W89" s="29">
        <v>1486</v>
      </c>
      <c r="X89" s="29">
        <v>779</v>
      </c>
      <c r="Y89" s="29">
        <v>785</v>
      </c>
      <c r="Z89" s="29">
        <v>1031</v>
      </c>
      <c r="AA89" s="29">
        <v>1453</v>
      </c>
      <c r="AB89" s="29">
        <v>1751</v>
      </c>
      <c r="AG89" s="105">
        <v>71</v>
      </c>
      <c r="AH89" s="105">
        <v>61</v>
      </c>
      <c r="AI89" s="105">
        <v>47</v>
      </c>
      <c r="AJ89" s="105">
        <v>42</v>
      </c>
      <c r="AK89" s="105">
        <v>30</v>
      </c>
      <c r="AL89" s="107">
        <v>1</v>
      </c>
      <c r="AM89" s="107">
        <v>1</v>
      </c>
    </row>
    <row r="90" spans="1:41" x14ac:dyDescent="0.25">
      <c r="A90" s="88" t="s">
        <v>225</v>
      </c>
      <c r="B90" s="124">
        <v>2</v>
      </c>
      <c r="C90" s="90">
        <v>31700</v>
      </c>
      <c r="D90" s="90">
        <v>36200</v>
      </c>
      <c r="E90" s="90">
        <v>40750</v>
      </c>
      <c r="F90" s="90">
        <v>45250</v>
      </c>
      <c r="G90" s="90">
        <v>48900</v>
      </c>
      <c r="H90" s="90">
        <v>52500</v>
      </c>
      <c r="I90" s="90">
        <v>56150</v>
      </c>
      <c r="J90" s="29">
        <v>59750</v>
      </c>
      <c r="K90" s="29">
        <v>50700</v>
      </c>
      <c r="L90" s="29">
        <v>57950</v>
      </c>
      <c r="M90" s="29">
        <v>65200</v>
      </c>
      <c r="N90" s="29">
        <v>72400</v>
      </c>
      <c r="O90" s="29">
        <v>78200</v>
      </c>
      <c r="P90" s="29">
        <v>84000</v>
      </c>
      <c r="Q90" s="29">
        <v>89800</v>
      </c>
      <c r="R90" s="29">
        <v>95600</v>
      </c>
      <c r="S90" s="29">
        <v>946</v>
      </c>
      <c r="T90" s="29">
        <v>952</v>
      </c>
      <c r="U90" s="29">
        <v>1175</v>
      </c>
      <c r="V90" s="29">
        <v>1416</v>
      </c>
      <c r="W90" s="29">
        <v>1837</v>
      </c>
      <c r="X90" s="29">
        <v>1021</v>
      </c>
      <c r="Y90" s="29">
        <v>1028</v>
      </c>
      <c r="Z90" s="29">
        <v>1276</v>
      </c>
      <c r="AA90" s="29">
        <v>1543</v>
      </c>
      <c r="AB90" s="29">
        <v>1956</v>
      </c>
      <c r="AG90" s="106">
        <v>68</v>
      </c>
      <c r="AH90" s="106">
        <v>59</v>
      </c>
      <c r="AI90" s="106">
        <v>45</v>
      </c>
      <c r="AJ90" s="106">
        <v>41</v>
      </c>
      <c r="AK90" s="106">
        <v>29</v>
      </c>
      <c r="AL90" s="107">
        <v>1</v>
      </c>
      <c r="AM90" s="107">
        <v>1</v>
      </c>
    </row>
    <row r="91" spans="1:41" x14ac:dyDescent="0.25">
      <c r="A91" s="88" t="s">
        <v>226</v>
      </c>
      <c r="B91" s="124">
        <v>2</v>
      </c>
      <c r="C91" s="90">
        <v>27350</v>
      </c>
      <c r="D91" s="90">
        <v>31250</v>
      </c>
      <c r="E91" s="90">
        <v>35150</v>
      </c>
      <c r="F91" s="90">
        <v>39050</v>
      </c>
      <c r="G91" s="90">
        <v>42200</v>
      </c>
      <c r="H91" s="90">
        <v>45300</v>
      </c>
      <c r="I91" s="90">
        <v>48450</v>
      </c>
      <c r="J91" s="29">
        <v>51550</v>
      </c>
      <c r="K91" s="29">
        <v>43750</v>
      </c>
      <c r="L91" s="29">
        <v>50000</v>
      </c>
      <c r="M91" s="29">
        <v>56250</v>
      </c>
      <c r="N91" s="29">
        <v>62500</v>
      </c>
      <c r="O91" s="29">
        <v>67500</v>
      </c>
      <c r="P91" s="29">
        <v>72500</v>
      </c>
      <c r="Q91" s="29">
        <v>77500</v>
      </c>
      <c r="R91" s="29">
        <v>82500</v>
      </c>
      <c r="S91" s="29">
        <v>657</v>
      </c>
      <c r="T91" s="29">
        <v>661</v>
      </c>
      <c r="U91" s="29">
        <v>851</v>
      </c>
      <c r="V91" s="29">
        <v>1127</v>
      </c>
      <c r="W91" s="29">
        <v>1429</v>
      </c>
      <c r="X91" s="29">
        <v>803</v>
      </c>
      <c r="Y91" s="29">
        <v>807</v>
      </c>
      <c r="Z91" s="29">
        <v>995</v>
      </c>
      <c r="AA91" s="29">
        <v>1357</v>
      </c>
      <c r="AB91" s="29">
        <v>1689</v>
      </c>
      <c r="AG91" s="105">
        <v>63</v>
      </c>
      <c r="AH91" s="105">
        <v>55</v>
      </c>
      <c r="AI91" s="105">
        <v>42</v>
      </c>
      <c r="AJ91" s="105">
        <v>38</v>
      </c>
      <c r="AK91" s="105">
        <v>27</v>
      </c>
      <c r="AL91" s="107">
        <v>1</v>
      </c>
      <c r="AM91" s="107">
        <v>1</v>
      </c>
    </row>
    <row r="92" spans="1:41" x14ac:dyDescent="0.25">
      <c r="A92" s="88" t="s">
        <v>227</v>
      </c>
      <c r="B92" s="124">
        <v>2</v>
      </c>
      <c r="C92" s="90">
        <v>29650</v>
      </c>
      <c r="D92" s="90">
        <v>33900</v>
      </c>
      <c r="E92" s="90">
        <v>38150</v>
      </c>
      <c r="F92" s="90">
        <v>42350</v>
      </c>
      <c r="G92" s="90">
        <v>45750</v>
      </c>
      <c r="H92" s="90">
        <v>49150</v>
      </c>
      <c r="I92" s="90">
        <v>52550</v>
      </c>
      <c r="J92" s="29">
        <v>55950</v>
      </c>
      <c r="K92" s="29">
        <v>47450</v>
      </c>
      <c r="L92" s="29">
        <v>54200</v>
      </c>
      <c r="M92" s="29">
        <v>61000</v>
      </c>
      <c r="N92" s="29">
        <v>67750</v>
      </c>
      <c r="O92" s="29">
        <v>73200</v>
      </c>
      <c r="P92" s="29">
        <v>78600</v>
      </c>
      <c r="Q92" s="29">
        <v>84050</v>
      </c>
      <c r="R92" s="29">
        <v>89450</v>
      </c>
      <c r="S92" s="29">
        <v>677</v>
      </c>
      <c r="T92" s="29">
        <v>681</v>
      </c>
      <c r="U92" s="29">
        <v>894</v>
      </c>
      <c r="V92" s="29">
        <v>1253</v>
      </c>
      <c r="W92" s="29">
        <v>1414</v>
      </c>
      <c r="X92" s="29">
        <v>785</v>
      </c>
      <c r="Y92" s="29">
        <v>790</v>
      </c>
      <c r="Z92" s="29">
        <v>1019</v>
      </c>
      <c r="AA92" s="29">
        <v>1436</v>
      </c>
      <c r="AB92" s="29">
        <v>1683</v>
      </c>
      <c r="AG92" s="105">
        <v>64</v>
      </c>
      <c r="AH92" s="105">
        <v>56</v>
      </c>
      <c r="AI92" s="105">
        <v>43</v>
      </c>
      <c r="AJ92" s="105">
        <v>39</v>
      </c>
      <c r="AK92" s="105">
        <v>28</v>
      </c>
      <c r="AL92" s="107">
        <v>1</v>
      </c>
      <c r="AM92" s="107">
        <v>1</v>
      </c>
    </row>
    <row r="93" spans="1:41" x14ac:dyDescent="0.25">
      <c r="A93" s="88" t="s">
        <v>228</v>
      </c>
      <c r="B93" s="124">
        <v>2</v>
      </c>
      <c r="C93" s="90">
        <v>40750</v>
      </c>
      <c r="D93" s="90">
        <v>46600</v>
      </c>
      <c r="E93" s="90">
        <v>52400</v>
      </c>
      <c r="F93" s="90">
        <v>58250</v>
      </c>
      <c r="G93" s="90">
        <v>62900</v>
      </c>
      <c r="H93" s="90">
        <v>67600</v>
      </c>
      <c r="I93" s="90">
        <v>72250</v>
      </c>
      <c r="J93" s="29">
        <v>76900</v>
      </c>
      <c r="K93" s="29">
        <v>65250</v>
      </c>
      <c r="L93" s="29">
        <v>74550</v>
      </c>
      <c r="M93" s="29">
        <v>83850</v>
      </c>
      <c r="N93" s="29">
        <v>93150</v>
      </c>
      <c r="O93" s="29">
        <v>100650</v>
      </c>
      <c r="P93" s="29">
        <v>108100</v>
      </c>
      <c r="Q93" s="29">
        <v>115550</v>
      </c>
      <c r="R93" s="29">
        <v>123000</v>
      </c>
      <c r="S93" s="29">
        <v>899</v>
      </c>
      <c r="T93" s="29">
        <v>905</v>
      </c>
      <c r="U93" s="29">
        <v>1117</v>
      </c>
      <c r="V93" s="29">
        <v>1565</v>
      </c>
      <c r="W93" s="29">
        <v>1783</v>
      </c>
      <c r="X93" s="29">
        <v>1043</v>
      </c>
      <c r="Y93" s="29">
        <v>1050</v>
      </c>
      <c r="Z93" s="29">
        <v>1305</v>
      </c>
      <c r="AA93" s="29">
        <v>1742</v>
      </c>
      <c r="AB93" s="29">
        <v>2037</v>
      </c>
      <c r="AG93" s="105">
        <v>70</v>
      </c>
      <c r="AH93" s="105">
        <v>61</v>
      </c>
      <c r="AI93" s="105">
        <v>47</v>
      </c>
      <c r="AJ93" s="105">
        <v>42</v>
      </c>
      <c r="AK93" s="105">
        <v>30</v>
      </c>
      <c r="AL93" s="107">
        <v>1</v>
      </c>
      <c r="AM93" s="107">
        <v>1</v>
      </c>
    </row>
    <row r="94" spans="1:41" x14ac:dyDescent="0.25">
      <c r="A94" s="88" t="s">
        <v>229</v>
      </c>
      <c r="B94" s="124">
        <v>2</v>
      </c>
      <c r="C94" s="90">
        <v>27450</v>
      </c>
      <c r="D94" s="90">
        <v>31400</v>
      </c>
      <c r="E94" s="90">
        <v>35300</v>
      </c>
      <c r="F94" s="90">
        <v>39200</v>
      </c>
      <c r="G94" s="90">
        <v>42350</v>
      </c>
      <c r="H94" s="90">
        <v>45500</v>
      </c>
      <c r="I94" s="90">
        <v>48650</v>
      </c>
      <c r="J94" s="29">
        <v>51750</v>
      </c>
      <c r="K94" s="29">
        <v>43900</v>
      </c>
      <c r="L94" s="29">
        <v>50200</v>
      </c>
      <c r="M94" s="29">
        <v>56450</v>
      </c>
      <c r="N94" s="29">
        <v>62700</v>
      </c>
      <c r="O94" s="29">
        <v>67750</v>
      </c>
      <c r="P94" s="29">
        <v>72750</v>
      </c>
      <c r="Q94" s="29">
        <v>77750</v>
      </c>
      <c r="R94" s="29">
        <v>82800</v>
      </c>
      <c r="S94" s="29">
        <v>736</v>
      </c>
      <c r="T94" s="29">
        <v>755</v>
      </c>
      <c r="U94" s="29">
        <v>851</v>
      </c>
      <c r="V94" s="29">
        <v>1075</v>
      </c>
      <c r="W94" s="29">
        <v>1429</v>
      </c>
      <c r="X94" s="29">
        <v>812</v>
      </c>
      <c r="Y94" s="29">
        <v>886</v>
      </c>
      <c r="Z94" s="29">
        <v>995</v>
      </c>
      <c r="AA94" s="29">
        <v>1296</v>
      </c>
      <c r="AB94" s="29">
        <v>1689</v>
      </c>
      <c r="AG94" s="105">
        <v>70</v>
      </c>
      <c r="AH94" s="105">
        <v>61</v>
      </c>
      <c r="AI94" s="105">
        <v>47</v>
      </c>
      <c r="AJ94" s="105">
        <v>42</v>
      </c>
      <c r="AK94" s="105">
        <v>30</v>
      </c>
      <c r="AL94" s="107">
        <v>1</v>
      </c>
      <c r="AM94" s="107">
        <v>1</v>
      </c>
    </row>
    <row r="95" spans="1:41" x14ac:dyDescent="0.25">
      <c r="A95" s="88" t="s">
        <v>230</v>
      </c>
      <c r="B95" s="124">
        <v>2</v>
      </c>
      <c r="C95" s="90">
        <v>27550</v>
      </c>
      <c r="D95" s="90">
        <v>31500</v>
      </c>
      <c r="E95" s="90">
        <v>35450</v>
      </c>
      <c r="F95" s="90">
        <v>39350</v>
      </c>
      <c r="G95" s="90">
        <v>42500</v>
      </c>
      <c r="H95" s="90">
        <v>45650</v>
      </c>
      <c r="I95" s="90">
        <v>48800</v>
      </c>
      <c r="J95" s="29">
        <v>51950</v>
      </c>
      <c r="K95" s="29">
        <v>44100</v>
      </c>
      <c r="L95" s="29">
        <v>50400</v>
      </c>
      <c r="M95" s="29">
        <v>56700</v>
      </c>
      <c r="N95" s="29">
        <v>62950</v>
      </c>
      <c r="O95" s="29">
        <v>68000</v>
      </c>
      <c r="P95" s="29">
        <v>73050</v>
      </c>
      <c r="Q95" s="29">
        <v>78100</v>
      </c>
      <c r="R95" s="29">
        <v>83100</v>
      </c>
      <c r="S95" s="29">
        <v>697</v>
      </c>
      <c r="T95" s="29">
        <v>701</v>
      </c>
      <c r="U95" s="29">
        <v>851</v>
      </c>
      <c r="V95" s="29">
        <v>1034</v>
      </c>
      <c r="W95" s="29">
        <v>1330</v>
      </c>
      <c r="X95" s="29">
        <v>812</v>
      </c>
      <c r="Y95" s="29">
        <v>853</v>
      </c>
      <c r="Z95" s="29">
        <v>995</v>
      </c>
      <c r="AA95" s="29">
        <v>1203</v>
      </c>
      <c r="AB95" s="29">
        <v>1526</v>
      </c>
      <c r="AG95" s="105">
        <v>67</v>
      </c>
      <c r="AH95" s="105">
        <v>58</v>
      </c>
      <c r="AI95" s="105">
        <v>45</v>
      </c>
      <c r="AJ95" s="105">
        <v>41</v>
      </c>
      <c r="AK95" s="105">
        <v>29</v>
      </c>
      <c r="AL95" s="107">
        <v>1</v>
      </c>
      <c r="AM95" s="107">
        <v>1</v>
      </c>
    </row>
    <row r="96" spans="1:41" x14ac:dyDescent="0.25">
      <c r="A96" s="88" t="s">
        <v>231</v>
      </c>
      <c r="B96" s="124">
        <v>2</v>
      </c>
      <c r="C96" s="90">
        <v>39750</v>
      </c>
      <c r="D96" s="90">
        <v>45400</v>
      </c>
      <c r="E96" s="90">
        <v>51100</v>
      </c>
      <c r="F96" s="90">
        <v>56750</v>
      </c>
      <c r="G96" s="90">
        <v>61300</v>
      </c>
      <c r="H96" s="90">
        <v>65850</v>
      </c>
      <c r="I96" s="90">
        <v>70400</v>
      </c>
      <c r="J96" s="29">
        <v>74950</v>
      </c>
      <c r="K96" s="29">
        <v>63600</v>
      </c>
      <c r="L96" s="29">
        <v>72650</v>
      </c>
      <c r="M96" s="29">
        <v>81750</v>
      </c>
      <c r="N96" s="29">
        <v>90800</v>
      </c>
      <c r="O96" s="29">
        <v>98100</v>
      </c>
      <c r="P96" s="29">
        <v>105350</v>
      </c>
      <c r="Q96" s="29">
        <v>112600</v>
      </c>
      <c r="R96" s="29">
        <v>119900</v>
      </c>
      <c r="S96" s="29">
        <v>1488</v>
      </c>
      <c r="T96" s="29">
        <v>1545</v>
      </c>
      <c r="U96" s="29">
        <v>1711</v>
      </c>
      <c r="V96" s="29">
        <v>2166</v>
      </c>
      <c r="W96" s="29">
        <v>2677</v>
      </c>
      <c r="X96" s="29">
        <v>1460</v>
      </c>
      <c r="Y96" s="29">
        <v>1501</v>
      </c>
      <c r="Z96" s="29">
        <v>1685</v>
      </c>
      <c r="AA96" s="29">
        <v>2154</v>
      </c>
      <c r="AB96" s="29">
        <v>2632</v>
      </c>
      <c r="AG96" s="106">
        <v>69</v>
      </c>
      <c r="AH96" s="106">
        <v>60</v>
      </c>
      <c r="AI96" s="106">
        <v>47</v>
      </c>
      <c r="AJ96" s="106">
        <v>41</v>
      </c>
      <c r="AK96" s="106">
        <v>29</v>
      </c>
      <c r="AL96" s="107">
        <v>2</v>
      </c>
      <c r="AM96" s="107">
        <v>2</v>
      </c>
    </row>
    <row r="97" spans="1:41" x14ac:dyDescent="0.25">
      <c r="A97" s="88" t="s">
        <v>232</v>
      </c>
      <c r="B97" s="124">
        <v>2</v>
      </c>
      <c r="C97" s="90">
        <v>27350</v>
      </c>
      <c r="D97" s="90">
        <v>31250</v>
      </c>
      <c r="E97" s="90">
        <v>35150</v>
      </c>
      <c r="F97" s="90">
        <v>39050</v>
      </c>
      <c r="G97" s="90">
        <v>42200</v>
      </c>
      <c r="H97" s="90">
        <v>45300</v>
      </c>
      <c r="I97" s="90">
        <v>48450</v>
      </c>
      <c r="J97" s="29">
        <v>51550</v>
      </c>
      <c r="K97" s="29">
        <v>43750</v>
      </c>
      <c r="L97" s="29">
        <v>50000</v>
      </c>
      <c r="M97" s="29">
        <v>56250</v>
      </c>
      <c r="N97" s="29">
        <v>62500</v>
      </c>
      <c r="O97" s="29">
        <v>67500</v>
      </c>
      <c r="P97" s="29">
        <v>72500</v>
      </c>
      <c r="Q97" s="29">
        <v>77500</v>
      </c>
      <c r="R97" s="29">
        <v>82500</v>
      </c>
      <c r="S97" s="29">
        <v>584</v>
      </c>
      <c r="T97" s="29">
        <v>687</v>
      </c>
      <c r="U97" s="29">
        <v>851</v>
      </c>
      <c r="V97" s="29">
        <v>1165</v>
      </c>
      <c r="W97" s="29">
        <v>1311</v>
      </c>
      <c r="X97" s="29">
        <v>674</v>
      </c>
      <c r="Y97" s="29">
        <v>790</v>
      </c>
      <c r="Z97" s="29">
        <v>995</v>
      </c>
      <c r="AA97" s="29">
        <v>1350</v>
      </c>
      <c r="AB97" s="29">
        <v>1488</v>
      </c>
      <c r="AG97" s="105">
        <v>64</v>
      </c>
      <c r="AH97" s="105">
        <v>56</v>
      </c>
      <c r="AI97" s="105">
        <v>43</v>
      </c>
      <c r="AJ97" s="105">
        <v>39</v>
      </c>
      <c r="AK97" s="105">
        <v>28</v>
      </c>
      <c r="AL97" s="107">
        <v>1</v>
      </c>
      <c r="AM97" s="107">
        <v>1</v>
      </c>
    </row>
    <row r="98" spans="1:41" x14ac:dyDescent="0.25">
      <c r="A98" s="88" t="s">
        <v>233</v>
      </c>
      <c r="B98" s="125">
        <v>3</v>
      </c>
      <c r="C98" s="90">
        <v>37300</v>
      </c>
      <c r="D98" s="90">
        <v>42600</v>
      </c>
      <c r="E98" s="90">
        <v>47950</v>
      </c>
      <c r="F98" s="90">
        <v>53250</v>
      </c>
      <c r="G98" s="90">
        <v>57550</v>
      </c>
      <c r="H98" s="90">
        <v>61800</v>
      </c>
      <c r="I98" s="90">
        <v>66050</v>
      </c>
      <c r="J98" s="29">
        <v>70300</v>
      </c>
      <c r="K98" s="29">
        <v>59650</v>
      </c>
      <c r="L98" s="29">
        <v>68200</v>
      </c>
      <c r="M98" s="29">
        <v>76700</v>
      </c>
      <c r="N98" s="29">
        <v>85200</v>
      </c>
      <c r="O98" s="29">
        <v>92050</v>
      </c>
      <c r="P98" s="29">
        <v>98850</v>
      </c>
      <c r="Q98" s="29">
        <v>105650</v>
      </c>
      <c r="R98" s="29">
        <v>112500</v>
      </c>
      <c r="S98" s="29">
        <v>1475</v>
      </c>
      <c r="T98" s="29">
        <v>1483</v>
      </c>
      <c r="U98" s="29">
        <v>1696</v>
      </c>
      <c r="V98" s="29">
        <v>2361</v>
      </c>
      <c r="W98" s="29">
        <v>2809</v>
      </c>
      <c r="X98" s="29">
        <v>1406</v>
      </c>
      <c r="Y98" s="29">
        <v>1415</v>
      </c>
      <c r="Z98" s="29">
        <v>1642</v>
      </c>
      <c r="AA98" s="29">
        <v>2286</v>
      </c>
      <c r="AB98" s="29">
        <v>2785</v>
      </c>
      <c r="AG98" s="106">
        <v>68</v>
      </c>
      <c r="AH98" s="106">
        <v>59</v>
      </c>
      <c r="AI98" s="106">
        <v>45</v>
      </c>
      <c r="AJ98" s="106">
        <v>41</v>
      </c>
      <c r="AK98" s="106">
        <v>29</v>
      </c>
      <c r="AL98" s="107">
        <v>2</v>
      </c>
      <c r="AM98" s="107">
        <v>2</v>
      </c>
    </row>
    <row r="99" spans="1:41" x14ac:dyDescent="0.25">
      <c r="A99" s="88" t="s">
        <v>234</v>
      </c>
      <c r="B99" s="124">
        <v>2</v>
      </c>
      <c r="C99" s="90">
        <v>37300</v>
      </c>
      <c r="D99" s="90">
        <v>42600</v>
      </c>
      <c r="E99" s="90">
        <v>47950</v>
      </c>
      <c r="F99" s="90">
        <v>53250</v>
      </c>
      <c r="G99" s="90">
        <v>57550</v>
      </c>
      <c r="H99" s="90">
        <v>61800</v>
      </c>
      <c r="I99" s="90">
        <v>66050</v>
      </c>
      <c r="J99" s="29">
        <v>70300</v>
      </c>
      <c r="K99" s="29">
        <v>59650</v>
      </c>
      <c r="L99" s="29">
        <v>68200</v>
      </c>
      <c r="M99" s="29">
        <v>76700</v>
      </c>
      <c r="N99" s="29">
        <v>85200</v>
      </c>
      <c r="O99" s="29">
        <v>92050</v>
      </c>
      <c r="P99" s="29">
        <v>98850</v>
      </c>
      <c r="Q99" s="29">
        <v>105650</v>
      </c>
      <c r="R99" s="29">
        <v>112500</v>
      </c>
      <c r="S99" s="29">
        <v>1475</v>
      </c>
      <c r="T99" s="29">
        <v>1483</v>
      </c>
      <c r="U99" s="29">
        <v>1696</v>
      </c>
      <c r="V99" s="29">
        <v>2361</v>
      </c>
      <c r="W99" s="29">
        <v>2809</v>
      </c>
      <c r="X99" s="29">
        <v>1406</v>
      </c>
      <c r="Y99" s="29">
        <v>1415</v>
      </c>
      <c r="Z99" s="29">
        <v>1642</v>
      </c>
      <c r="AA99" s="29">
        <v>2286</v>
      </c>
      <c r="AB99" s="29">
        <v>2785</v>
      </c>
      <c r="AG99" s="105">
        <v>71</v>
      </c>
      <c r="AH99" s="105">
        <v>61</v>
      </c>
      <c r="AI99" s="105">
        <v>47</v>
      </c>
      <c r="AJ99" s="105">
        <v>42</v>
      </c>
      <c r="AK99" s="105">
        <v>30</v>
      </c>
      <c r="AL99" s="107">
        <v>2</v>
      </c>
      <c r="AM99" s="107">
        <v>2</v>
      </c>
    </row>
    <row r="100" spans="1:41" x14ac:dyDescent="0.25">
      <c r="A100" s="88" t="s">
        <v>235</v>
      </c>
      <c r="B100" s="124">
        <v>2</v>
      </c>
      <c r="C100" s="90">
        <v>39750</v>
      </c>
      <c r="D100" s="90">
        <v>45400</v>
      </c>
      <c r="E100" s="90">
        <v>51100</v>
      </c>
      <c r="F100" s="90">
        <v>56750</v>
      </c>
      <c r="G100" s="90">
        <v>61300</v>
      </c>
      <c r="H100" s="90">
        <v>65850</v>
      </c>
      <c r="I100" s="90">
        <v>70400</v>
      </c>
      <c r="J100" s="29">
        <v>74950</v>
      </c>
      <c r="K100" s="29">
        <v>63600</v>
      </c>
      <c r="L100" s="29">
        <v>72650</v>
      </c>
      <c r="M100" s="29">
        <v>81750</v>
      </c>
      <c r="N100" s="29">
        <v>90800</v>
      </c>
      <c r="O100" s="29">
        <v>98100</v>
      </c>
      <c r="P100" s="29">
        <v>105350</v>
      </c>
      <c r="Q100" s="29">
        <v>112600</v>
      </c>
      <c r="R100" s="29">
        <v>119900</v>
      </c>
      <c r="S100" s="29">
        <v>1488</v>
      </c>
      <c r="T100" s="29">
        <v>1545</v>
      </c>
      <c r="U100" s="29">
        <v>1711</v>
      </c>
      <c r="V100" s="29">
        <v>2166</v>
      </c>
      <c r="W100" s="29">
        <v>2677</v>
      </c>
      <c r="X100" s="29">
        <v>1460</v>
      </c>
      <c r="Y100" s="29">
        <v>1501</v>
      </c>
      <c r="Z100" s="29">
        <v>1685</v>
      </c>
      <c r="AA100" s="29">
        <v>2154</v>
      </c>
      <c r="AB100" s="29">
        <v>2632</v>
      </c>
      <c r="AG100" s="106">
        <v>69</v>
      </c>
      <c r="AH100" s="106">
        <v>60</v>
      </c>
      <c r="AI100" s="106">
        <v>47</v>
      </c>
      <c r="AJ100" s="106">
        <v>41</v>
      </c>
      <c r="AK100" s="106">
        <v>29</v>
      </c>
      <c r="AL100" s="107">
        <v>1</v>
      </c>
      <c r="AM100" s="107">
        <v>2</v>
      </c>
    </row>
    <row r="101" spans="1:41" x14ac:dyDescent="0.25">
      <c r="A101" s="88" t="s">
        <v>236</v>
      </c>
      <c r="B101" s="124">
        <v>2</v>
      </c>
      <c r="C101" s="90">
        <v>28900</v>
      </c>
      <c r="D101" s="90">
        <v>33000</v>
      </c>
      <c r="E101" s="90">
        <v>37150</v>
      </c>
      <c r="F101" s="90">
        <v>41250</v>
      </c>
      <c r="G101" s="90">
        <v>44550</v>
      </c>
      <c r="H101" s="90">
        <v>47850</v>
      </c>
      <c r="I101" s="90">
        <v>51150</v>
      </c>
      <c r="J101" s="29">
        <v>54450</v>
      </c>
      <c r="K101" s="29">
        <v>46200</v>
      </c>
      <c r="L101" s="29">
        <v>52800</v>
      </c>
      <c r="M101" s="29">
        <v>59400</v>
      </c>
      <c r="N101" s="29">
        <v>66000</v>
      </c>
      <c r="O101" s="29">
        <v>71300</v>
      </c>
      <c r="P101" s="29">
        <v>76600</v>
      </c>
      <c r="Q101" s="29">
        <v>81850</v>
      </c>
      <c r="R101" s="29">
        <v>87150</v>
      </c>
      <c r="S101" s="29">
        <v>827</v>
      </c>
      <c r="T101" s="29">
        <v>832</v>
      </c>
      <c r="U101" s="29">
        <v>992</v>
      </c>
      <c r="V101" s="29">
        <v>1195</v>
      </c>
      <c r="W101" s="29">
        <v>1315</v>
      </c>
      <c r="X101" s="29">
        <v>941</v>
      </c>
      <c r="Y101" s="29">
        <v>968</v>
      </c>
      <c r="Z101" s="29">
        <v>1152</v>
      </c>
      <c r="AA101" s="29">
        <v>1393</v>
      </c>
      <c r="AB101" s="29">
        <v>1535</v>
      </c>
      <c r="AG101" s="105">
        <v>64</v>
      </c>
      <c r="AH101" s="105">
        <v>56</v>
      </c>
      <c r="AI101" s="105">
        <v>43</v>
      </c>
      <c r="AJ101" s="105">
        <v>39</v>
      </c>
      <c r="AK101" s="105">
        <v>28</v>
      </c>
      <c r="AL101" s="107">
        <v>1</v>
      </c>
      <c r="AM101" s="107">
        <v>1</v>
      </c>
    </row>
    <row r="102" spans="1:41" x14ac:dyDescent="0.25">
      <c r="A102" s="88" t="s">
        <v>237</v>
      </c>
      <c r="B102" s="124">
        <v>2</v>
      </c>
      <c r="C102" s="90">
        <v>39750</v>
      </c>
      <c r="D102" s="90">
        <v>45400</v>
      </c>
      <c r="E102" s="90">
        <v>51100</v>
      </c>
      <c r="F102" s="90">
        <v>56750</v>
      </c>
      <c r="G102" s="90">
        <v>61300</v>
      </c>
      <c r="H102" s="90">
        <v>65850</v>
      </c>
      <c r="I102" s="90">
        <v>70400</v>
      </c>
      <c r="J102" s="29">
        <v>74950</v>
      </c>
      <c r="K102" s="29">
        <v>63600</v>
      </c>
      <c r="L102" s="29">
        <v>72650</v>
      </c>
      <c r="M102" s="29">
        <v>81750</v>
      </c>
      <c r="N102" s="29">
        <v>90800</v>
      </c>
      <c r="O102" s="29">
        <v>98100</v>
      </c>
      <c r="P102" s="29">
        <v>105350</v>
      </c>
      <c r="Q102" s="29">
        <v>112600</v>
      </c>
      <c r="R102" s="29">
        <v>119900</v>
      </c>
      <c r="S102" s="29">
        <v>1488</v>
      </c>
      <c r="T102" s="29">
        <v>1545</v>
      </c>
      <c r="U102" s="29">
        <v>1711</v>
      </c>
      <c r="V102" s="29">
        <v>2166</v>
      </c>
      <c r="W102" s="29">
        <v>2677</v>
      </c>
      <c r="X102" s="29">
        <v>1460</v>
      </c>
      <c r="Y102" s="29">
        <v>1501</v>
      </c>
      <c r="Z102" s="29">
        <v>1685</v>
      </c>
      <c r="AA102" s="29">
        <v>2154</v>
      </c>
      <c r="AB102" s="29">
        <v>2632</v>
      </c>
      <c r="AG102" s="106">
        <v>69</v>
      </c>
      <c r="AH102" s="106">
        <v>60</v>
      </c>
      <c r="AI102" s="106">
        <v>47</v>
      </c>
      <c r="AJ102" s="106">
        <v>41</v>
      </c>
      <c r="AK102" s="106">
        <v>29</v>
      </c>
      <c r="AL102" s="107">
        <v>1</v>
      </c>
      <c r="AM102" s="107">
        <v>2</v>
      </c>
    </row>
    <row r="103" spans="1:41" x14ac:dyDescent="0.25">
      <c r="A103" s="26" t="s">
        <v>238</v>
      </c>
      <c r="B103" s="125">
        <v>3</v>
      </c>
      <c r="C103" s="90">
        <v>57400</v>
      </c>
      <c r="D103" s="90">
        <v>65600</v>
      </c>
      <c r="E103" s="90">
        <v>73800</v>
      </c>
      <c r="F103" s="90">
        <v>81950</v>
      </c>
      <c r="G103" s="90">
        <v>88550</v>
      </c>
      <c r="H103" s="90">
        <v>95100</v>
      </c>
      <c r="I103" s="90">
        <v>101650</v>
      </c>
      <c r="J103" s="29">
        <v>108200</v>
      </c>
      <c r="K103" s="29">
        <v>74800</v>
      </c>
      <c r="L103" s="29">
        <v>85450</v>
      </c>
      <c r="M103" s="29">
        <v>96150</v>
      </c>
      <c r="N103" s="29">
        <v>106800</v>
      </c>
      <c r="O103" s="29">
        <v>115350</v>
      </c>
      <c r="P103" s="29">
        <v>123900</v>
      </c>
      <c r="Q103" s="29">
        <v>132450</v>
      </c>
      <c r="R103" s="29">
        <v>141000</v>
      </c>
      <c r="S103" s="29">
        <v>2012</v>
      </c>
      <c r="T103" s="29">
        <v>2056</v>
      </c>
      <c r="U103" s="29">
        <v>2314</v>
      </c>
      <c r="V103" s="29">
        <v>2893</v>
      </c>
      <c r="W103" s="29">
        <v>3413</v>
      </c>
      <c r="X103" s="29">
        <v>1949</v>
      </c>
      <c r="Y103" s="29">
        <v>1983</v>
      </c>
      <c r="Z103" s="29">
        <v>2249</v>
      </c>
      <c r="AA103" s="29">
        <v>2798</v>
      </c>
      <c r="AB103" s="29">
        <v>3316</v>
      </c>
      <c r="AC103" s="29">
        <v>334</v>
      </c>
      <c r="AD103" s="29"/>
      <c r="AE103" s="29">
        <v>793</v>
      </c>
      <c r="AF103" t="s">
        <v>608</v>
      </c>
      <c r="AG103" s="106">
        <v>83</v>
      </c>
      <c r="AH103" s="106">
        <v>72</v>
      </c>
      <c r="AI103" s="106">
        <v>55</v>
      </c>
      <c r="AJ103" s="106">
        <v>50</v>
      </c>
      <c r="AK103" s="106">
        <v>43</v>
      </c>
      <c r="AL103" s="107">
        <v>3</v>
      </c>
      <c r="AM103" s="107">
        <v>3</v>
      </c>
      <c r="AN103" s="29"/>
      <c r="AO103" s="29"/>
    </row>
    <row r="104" spans="1:41" x14ac:dyDescent="0.25">
      <c r="A104" s="88" t="s">
        <v>239</v>
      </c>
      <c r="B104" s="124">
        <v>2</v>
      </c>
      <c r="C104" s="90">
        <v>30000</v>
      </c>
      <c r="D104" s="90">
        <v>34300</v>
      </c>
      <c r="E104" s="90">
        <v>38600</v>
      </c>
      <c r="F104" s="90">
        <v>42850</v>
      </c>
      <c r="G104" s="90">
        <v>46300</v>
      </c>
      <c r="H104" s="90">
        <v>49750</v>
      </c>
      <c r="I104" s="90">
        <v>53150</v>
      </c>
      <c r="J104" s="29">
        <v>56600</v>
      </c>
      <c r="K104" s="29">
        <v>48000</v>
      </c>
      <c r="L104" s="29">
        <v>54850</v>
      </c>
      <c r="M104" s="29">
        <v>61700</v>
      </c>
      <c r="N104" s="29">
        <v>68550</v>
      </c>
      <c r="O104" s="29">
        <v>74050</v>
      </c>
      <c r="P104" s="29">
        <v>79550</v>
      </c>
      <c r="Q104" s="29">
        <v>85050</v>
      </c>
      <c r="R104" s="29">
        <v>90500</v>
      </c>
      <c r="S104" s="29">
        <v>726</v>
      </c>
      <c r="T104" s="29">
        <v>827</v>
      </c>
      <c r="U104" s="29">
        <v>916</v>
      </c>
      <c r="V104" s="29">
        <v>1250</v>
      </c>
      <c r="W104" s="29">
        <v>1538</v>
      </c>
      <c r="X104" s="29">
        <v>816</v>
      </c>
      <c r="Y104" s="29">
        <v>886</v>
      </c>
      <c r="Z104" s="29">
        <v>995</v>
      </c>
      <c r="AA104" s="29">
        <v>1366</v>
      </c>
      <c r="AB104" s="29">
        <v>1689</v>
      </c>
      <c r="AG104" s="105">
        <v>63</v>
      </c>
      <c r="AH104" s="105">
        <v>55</v>
      </c>
      <c r="AI104" s="105">
        <v>42</v>
      </c>
      <c r="AJ104" s="105">
        <v>38</v>
      </c>
      <c r="AK104" s="105">
        <v>27</v>
      </c>
      <c r="AL104" s="107">
        <v>1</v>
      </c>
      <c r="AM104" s="107">
        <v>1</v>
      </c>
    </row>
    <row r="105" spans="1:41" x14ac:dyDescent="0.25">
      <c r="A105" s="88" t="s">
        <v>240</v>
      </c>
      <c r="B105" s="124">
        <v>2</v>
      </c>
      <c r="C105" s="90">
        <v>38350</v>
      </c>
      <c r="D105" s="90">
        <v>43850</v>
      </c>
      <c r="E105" s="90">
        <v>49350</v>
      </c>
      <c r="F105" s="90">
        <v>54800</v>
      </c>
      <c r="G105" s="90">
        <v>59200</v>
      </c>
      <c r="H105" s="90">
        <v>63600</v>
      </c>
      <c r="I105" s="90">
        <v>67950</v>
      </c>
      <c r="J105" s="29">
        <v>72350</v>
      </c>
      <c r="K105" s="29">
        <v>61400</v>
      </c>
      <c r="L105" s="29">
        <v>70200</v>
      </c>
      <c r="M105" s="29">
        <v>78950</v>
      </c>
      <c r="N105" s="29">
        <v>87700</v>
      </c>
      <c r="O105" s="29">
        <v>94750</v>
      </c>
      <c r="P105" s="29">
        <v>101750</v>
      </c>
      <c r="Q105" s="29">
        <v>108750</v>
      </c>
      <c r="R105" s="29">
        <v>115800</v>
      </c>
      <c r="S105" s="29">
        <v>925</v>
      </c>
      <c r="T105" s="29">
        <v>968</v>
      </c>
      <c r="U105" s="29">
        <v>1231</v>
      </c>
      <c r="V105" s="29">
        <v>1647</v>
      </c>
      <c r="W105" s="29">
        <v>2067</v>
      </c>
      <c r="X105" s="29">
        <v>1092</v>
      </c>
      <c r="Y105" s="29">
        <v>1098</v>
      </c>
      <c r="Z105" s="29">
        <v>1387</v>
      </c>
      <c r="AA105" s="29">
        <v>1893</v>
      </c>
      <c r="AB105" s="29">
        <v>2354</v>
      </c>
      <c r="AG105" s="105">
        <v>63</v>
      </c>
      <c r="AH105" s="105">
        <v>55</v>
      </c>
      <c r="AI105" s="105">
        <v>42</v>
      </c>
      <c r="AJ105" s="105">
        <v>38</v>
      </c>
      <c r="AK105" s="105">
        <v>27</v>
      </c>
      <c r="AL105" s="107">
        <v>2</v>
      </c>
      <c r="AM105" s="107">
        <v>1</v>
      </c>
    </row>
    <row r="106" spans="1:41" x14ac:dyDescent="0.25">
      <c r="A106" s="88" t="s">
        <v>241</v>
      </c>
      <c r="B106" s="124">
        <v>2</v>
      </c>
      <c r="C106" s="90">
        <v>37950</v>
      </c>
      <c r="D106" s="90">
        <v>43350</v>
      </c>
      <c r="E106" s="90">
        <v>48750</v>
      </c>
      <c r="F106" s="90">
        <v>54150</v>
      </c>
      <c r="G106" s="90">
        <v>58500</v>
      </c>
      <c r="H106" s="90">
        <v>62850</v>
      </c>
      <c r="I106" s="90">
        <v>67150</v>
      </c>
      <c r="J106" s="29">
        <v>71500</v>
      </c>
      <c r="K106" s="29">
        <v>60700</v>
      </c>
      <c r="L106" s="29">
        <v>69350</v>
      </c>
      <c r="M106" s="29">
        <v>78000</v>
      </c>
      <c r="N106" s="29">
        <v>86650</v>
      </c>
      <c r="O106" s="29">
        <v>93600</v>
      </c>
      <c r="P106" s="29">
        <v>100550</v>
      </c>
      <c r="Q106" s="29">
        <v>107450</v>
      </c>
      <c r="R106" s="29">
        <v>114400</v>
      </c>
      <c r="S106" s="29">
        <v>1183</v>
      </c>
      <c r="T106" s="29">
        <v>1229</v>
      </c>
      <c r="U106" s="29">
        <v>1361</v>
      </c>
      <c r="V106" s="29">
        <v>1640</v>
      </c>
      <c r="W106" s="29">
        <v>2285</v>
      </c>
      <c r="X106" s="29">
        <v>1144</v>
      </c>
      <c r="Y106" s="29">
        <v>1175</v>
      </c>
      <c r="Z106" s="29">
        <v>1320</v>
      </c>
      <c r="AA106" s="29">
        <v>1596</v>
      </c>
      <c r="AB106" s="29">
        <v>2239</v>
      </c>
      <c r="AG106" s="105">
        <v>70</v>
      </c>
      <c r="AH106" s="105">
        <v>61</v>
      </c>
      <c r="AI106" s="105">
        <v>47</v>
      </c>
      <c r="AJ106" s="105">
        <v>42</v>
      </c>
      <c r="AK106" s="105">
        <v>31</v>
      </c>
      <c r="AL106" s="107">
        <v>1</v>
      </c>
      <c r="AM106" s="107">
        <v>1</v>
      </c>
    </row>
    <row r="107" spans="1:41" x14ac:dyDescent="0.25">
      <c r="A107" s="26" t="s">
        <v>242</v>
      </c>
      <c r="B107" s="124">
        <v>2</v>
      </c>
      <c r="C107" s="90">
        <v>39750</v>
      </c>
      <c r="D107" s="90">
        <v>45400</v>
      </c>
      <c r="E107" s="90">
        <v>51100</v>
      </c>
      <c r="F107" s="90">
        <v>56750</v>
      </c>
      <c r="G107" s="90">
        <v>61300</v>
      </c>
      <c r="H107" s="90">
        <v>65850</v>
      </c>
      <c r="I107" s="90">
        <v>70400</v>
      </c>
      <c r="J107" s="29">
        <v>74950</v>
      </c>
      <c r="K107" s="29">
        <v>63600</v>
      </c>
      <c r="L107" s="29">
        <v>72650</v>
      </c>
      <c r="M107" s="29">
        <v>81750</v>
      </c>
      <c r="N107" s="29">
        <v>90800</v>
      </c>
      <c r="O107" s="29">
        <v>98100</v>
      </c>
      <c r="P107" s="29">
        <v>105350</v>
      </c>
      <c r="Q107" s="29">
        <v>112600</v>
      </c>
      <c r="R107" s="29">
        <v>119900</v>
      </c>
      <c r="S107" s="29">
        <v>1488</v>
      </c>
      <c r="T107" s="29">
        <v>1545</v>
      </c>
      <c r="U107" s="29">
        <v>1711</v>
      </c>
      <c r="V107" s="29">
        <v>2166</v>
      </c>
      <c r="W107" s="29">
        <v>2677</v>
      </c>
      <c r="X107" s="29">
        <v>1460</v>
      </c>
      <c r="Y107" s="29">
        <v>1501</v>
      </c>
      <c r="Z107" s="29">
        <v>1685</v>
      </c>
      <c r="AA107" s="29">
        <v>2154</v>
      </c>
      <c r="AB107" s="29">
        <v>2632</v>
      </c>
      <c r="AC107" s="29">
        <v>353</v>
      </c>
      <c r="AD107" s="29"/>
      <c r="AE107" s="29">
        <v>837</v>
      </c>
      <c r="AF107">
        <v>23173</v>
      </c>
      <c r="AG107" s="106">
        <v>69</v>
      </c>
      <c r="AH107" s="106">
        <v>60</v>
      </c>
      <c r="AI107" s="106">
        <v>47</v>
      </c>
      <c r="AJ107" s="106">
        <v>41</v>
      </c>
      <c r="AK107" s="106">
        <v>29</v>
      </c>
      <c r="AL107" s="107">
        <v>2</v>
      </c>
      <c r="AM107" s="107">
        <v>2</v>
      </c>
      <c r="AN107" s="29"/>
      <c r="AO107" s="29"/>
    </row>
    <row r="108" spans="1:41" x14ac:dyDescent="0.25">
      <c r="A108" s="26" t="s">
        <v>243</v>
      </c>
      <c r="B108" s="124">
        <v>2</v>
      </c>
      <c r="C108" s="90">
        <v>30050</v>
      </c>
      <c r="D108" s="90">
        <v>34400</v>
      </c>
      <c r="E108" s="90">
        <v>38700</v>
      </c>
      <c r="F108" s="90">
        <v>42950</v>
      </c>
      <c r="G108" s="90">
        <v>46400</v>
      </c>
      <c r="H108" s="90">
        <v>49850</v>
      </c>
      <c r="I108" s="90">
        <v>53300</v>
      </c>
      <c r="J108" s="29">
        <v>56700</v>
      </c>
      <c r="K108" s="29">
        <v>48100</v>
      </c>
      <c r="L108" s="29">
        <v>55000</v>
      </c>
      <c r="M108" s="29">
        <v>61850</v>
      </c>
      <c r="N108" s="29">
        <v>68700</v>
      </c>
      <c r="O108" s="29">
        <v>74200</v>
      </c>
      <c r="P108" s="29">
        <v>79700</v>
      </c>
      <c r="Q108" s="29">
        <v>85200</v>
      </c>
      <c r="R108" s="29">
        <v>90700</v>
      </c>
      <c r="S108" s="29">
        <v>801</v>
      </c>
      <c r="T108" s="29">
        <v>806</v>
      </c>
      <c r="U108" s="29">
        <v>1056</v>
      </c>
      <c r="V108" s="29">
        <v>1338</v>
      </c>
      <c r="W108" s="29">
        <v>1773</v>
      </c>
      <c r="X108" s="29">
        <v>977</v>
      </c>
      <c r="Y108" s="29">
        <v>984</v>
      </c>
      <c r="Z108" s="29">
        <v>1221</v>
      </c>
      <c r="AA108" s="29">
        <v>1476</v>
      </c>
      <c r="AB108" s="29">
        <v>2072</v>
      </c>
      <c r="AC108" s="29"/>
      <c r="AD108" s="29"/>
      <c r="AE108" s="29"/>
      <c r="AG108" s="106">
        <v>68</v>
      </c>
      <c r="AH108" s="106">
        <v>59</v>
      </c>
      <c r="AI108" s="106">
        <v>45</v>
      </c>
      <c r="AJ108" s="106">
        <v>41</v>
      </c>
      <c r="AK108" s="106">
        <v>29</v>
      </c>
      <c r="AL108" s="107">
        <v>1</v>
      </c>
      <c r="AM108" s="107">
        <v>1</v>
      </c>
      <c r="AN108" s="29"/>
      <c r="AO108" s="29"/>
    </row>
    <row r="109" spans="1:41" x14ac:dyDescent="0.25">
      <c r="A109" s="26" t="s">
        <v>244</v>
      </c>
      <c r="B109" s="124">
        <v>2</v>
      </c>
      <c r="C109" s="90">
        <v>31750</v>
      </c>
      <c r="D109" s="90">
        <v>36250</v>
      </c>
      <c r="E109" s="90">
        <v>40800</v>
      </c>
      <c r="F109" s="90">
        <v>45300</v>
      </c>
      <c r="G109" s="90">
        <v>48950</v>
      </c>
      <c r="H109" s="90">
        <v>52550</v>
      </c>
      <c r="I109" s="90">
        <v>56200</v>
      </c>
      <c r="J109" s="29">
        <v>59800</v>
      </c>
      <c r="K109" s="29">
        <v>50750</v>
      </c>
      <c r="L109" s="29">
        <v>58000</v>
      </c>
      <c r="M109" s="29">
        <v>65250</v>
      </c>
      <c r="N109" s="29">
        <v>72500</v>
      </c>
      <c r="O109" s="29">
        <v>78300</v>
      </c>
      <c r="P109" s="29">
        <v>84100</v>
      </c>
      <c r="Q109" s="29">
        <v>89900</v>
      </c>
      <c r="R109" s="29">
        <v>95700</v>
      </c>
      <c r="S109" s="29">
        <v>892</v>
      </c>
      <c r="T109" s="29">
        <v>948</v>
      </c>
      <c r="U109" s="29">
        <v>1141</v>
      </c>
      <c r="V109" s="29">
        <v>1597</v>
      </c>
      <c r="W109" s="29">
        <v>1885</v>
      </c>
      <c r="X109" s="29">
        <v>892</v>
      </c>
      <c r="Y109" s="29">
        <v>983</v>
      </c>
      <c r="Z109" s="29">
        <v>1196</v>
      </c>
      <c r="AA109" s="29">
        <v>1664</v>
      </c>
      <c r="AB109" s="29">
        <v>1936</v>
      </c>
      <c r="AC109" s="29">
        <v>370</v>
      </c>
      <c r="AD109" s="29"/>
      <c r="AE109" s="29">
        <v>877</v>
      </c>
      <c r="AF109" t="s">
        <v>609</v>
      </c>
      <c r="AG109" s="106">
        <v>67</v>
      </c>
      <c r="AH109" s="106">
        <v>58</v>
      </c>
      <c r="AI109" s="106">
        <v>45</v>
      </c>
      <c r="AJ109" s="106">
        <v>41</v>
      </c>
      <c r="AK109" s="106">
        <v>29</v>
      </c>
      <c r="AL109" s="107">
        <v>2</v>
      </c>
      <c r="AM109" s="107">
        <v>1</v>
      </c>
      <c r="AN109" s="29"/>
      <c r="AO109" s="29"/>
    </row>
    <row r="110" spans="1:41" x14ac:dyDescent="0.25">
      <c r="A110" s="26" t="s">
        <v>245</v>
      </c>
      <c r="B110" s="124">
        <v>2</v>
      </c>
      <c r="C110" s="90">
        <v>31750</v>
      </c>
      <c r="D110" s="90">
        <v>36250</v>
      </c>
      <c r="E110" s="90">
        <v>40800</v>
      </c>
      <c r="F110" s="90">
        <v>45300</v>
      </c>
      <c r="G110" s="90">
        <v>48950</v>
      </c>
      <c r="H110" s="90">
        <v>52550</v>
      </c>
      <c r="I110" s="90">
        <v>56200</v>
      </c>
      <c r="J110" s="29">
        <v>59800</v>
      </c>
      <c r="K110" s="29">
        <v>50750</v>
      </c>
      <c r="L110" s="29">
        <v>58000</v>
      </c>
      <c r="M110" s="29">
        <v>65250</v>
      </c>
      <c r="N110" s="29">
        <v>72500</v>
      </c>
      <c r="O110" s="29">
        <v>78300</v>
      </c>
      <c r="P110" s="29">
        <v>84100</v>
      </c>
      <c r="Q110" s="29">
        <v>89900</v>
      </c>
      <c r="R110" s="29">
        <v>95700</v>
      </c>
      <c r="S110" s="29">
        <v>892</v>
      </c>
      <c r="T110" s="29">
        <v>948</v>
      </c>
      <c r="U110" s="29">
        <v>1141</v>
      </c>
      <c r="V110" s="29">
        <v>1597</v>
      </c>
      <c r="W110" s="29">
        <v>1885</v>
      </c>
      <c r="X110" s="29">
        <v>892</v>
      </c>
      <c r="Y110" s="29">
        <v>983</v>
      </c>
      <c r="Z110" s="29">
        <v>1196</v>
      </c>
      <c r="AA110" s="29">
        <v>1664</v>
      </c>
      <c r="AB110" s="29">
        <v>1936</v>
      </c>
      <c r="AC110" s="29">
        <v>370</v>
      </c>
      <c r="AD110" s="29"/>
      <c r="AE110" s="29">
        <v>877</v>
      </c>
      <c r="AF110" t="s">
        <v>610</v>
      </c>
      <c r="AG110" s="106">
        <v>67</v>
      </c>
      <c r="AH110" s="106">
        <v>58</v>
      </c>
      <c r="AI110" s="106">
        <v>45</v>
      </c>
      <c r="AJ110" s="106">
        <v>41</v>
      </c>
      <c r="AK110" s="106">
        <v>29</v>
      </c>
      <c r="AL110" s="107">
        <v>2</v>
      </c>
      <c r="AM110" s="107">
        <v>1</v>
      </c>
    </row>
    <row r="111" spans="1:41" x14ac:dyDescent="0.25">
      <c r="A111" s="26" t="s">
        <v>611</v>
      </c>
      <c r="B111" s="124">
        <v>2</v>
      </c>
      <c r="C111" s="90">
        <v>29850</v>
      </c>
      <c r="D111" s="90">
        <v>34100</v>
      </c>
      <c r="E111" s="90">
        <v>38350</v>
      </c>
      <c r="F111" s="90">
        <v>42600</v>
      </c>
      <c r="G111" s="90">
        <v>46050</v>
      </c>
      <c r="H111" s="90">
        <v>49450</v>
      </c>
      <c r="I111" s="90">
        <v>52850</v>
      </c>
      <c r="J111" s="29">
        <v>56250</v>
      </c>
      <c r="K111" s="29">
        <v>47750</v>
      </c>
      <c r="L111" s="29">
        <v>54550</v>
      </c>
      <c r="M111" s="29">
        <v>61350</v>
      </c>
      <c r="N111" s="29">
        <v>68150</v>
      </c>
      <c r="O111" s="29">
        <v>73650</v>
      </c>
      <c r="P111" s="29">
        <v>79100</v>
      </c>
      <c r="Q111" s="29">
        <v>84550</v>
      </c>
      <c r="R111" s="29">
        <v>90000</v>
      </c>
      <c r="S111" s="29">
        <v>777</v>
      </c>
      <c r="T111" s="29">
        <v>812</v>
      </c>
      <c r="U111" s="29">
        <v>899</v>
      </c>
      <c r="V111" s="29">
        <v>1260</v>
      </c>
      <c r="W111" s="29">
        <v>1510</v>
      </c>
      <c r="X111" s="29">
        <v>849</v>
      </c>
      <c r="Y111" s="29">
        <v>926</v>
      </c>
      <c r="Z111" s="29">
        <v>1039</v>
      </c>
      <c r="AA111" s="29">
        <v>1465</v>
      </c>
      <c r="AB111" s="29">
        <v>1612</v>
      </c>
      <c r="AC111" s="29">
        <v>370</v>
      </c>
      <c r="AD111" s="29"/>
      <c r="AE111" s="29">
        <v>866</v>
      </c>
      <c r="AF111" t="s">
        <v>612</v>
      </c>
      <c r="AG111" s="106">
        <v>67</v>
      </c>
      <c r="AH111" s="106">
        <v>58</v>
      </c>
      <c r="AI111" s="106">
        <v>45</v>
      </c>
      <c r="AJ111" s="106">
        <v>41</v>
      </c>
      <c r="AK111" s="106">
        <v>29</v>
      </c>
      <c r="AL111" s="107">
        <v>1</v>
      </c>
      <c r="AM111" s="107">
        <v>1</v>
      </c>
    </row>
    <row r="112" spans="1:41" x14ac:dyDescent="0.25">
      <c r="A112" s="88" t="s">
        <v>247</v>
      </c>
      <c r="B112" s="124">
        <v>2</v>
      </c>
      <c r="C112" s="90">
        <v>34050</v>
      </c>
      <c r="D112" s="90">
        <v>38900</v>
      </c>
      <c r="E112" s="90">
        <v>43750</v>
      </c>
      <c r="F112" s="90">
        <v>48650</v>
      </c>
      <c r="G112" s="90">
        <v>52500</v>
      </c>
      <c r="H112" s="90">
        <v>56450</v>
      </c>
      <c r="I112" s="90">
        <v>60350</v>
      </c>
      <c r="J112" s="29">
        <v>64250</v>
      </c>
      <c r="K112" s="29">
        <v>54500</v>
      </c>
      <c r="L112" s="29">
        <v>62250</v>
      </c>
      <c r="M112" s="29">
        <v>70050</v>
      </c>
      <c r="N112" s="29">
        <v>77800</v>
      </c>
      <c r="O112" s="29">
        <v>84050</v>
      </c>
      <c r="P112" s="29">
        <v>90250</v>
      </c>
      <c r="Q112" s="29">
        <v>96500</v>
      </c>
      <c r="R112" s="29">
        <v>102700</v>
      </c>
      <c r="S112" s="29">
        <v>1081</v>
      </c>
      <c r="T112" s="29">
        <v>1088</v>
      </c>
      <c r="U112" s="29">
        <v>1392</v>
      </c>
      <c r="V112" s="29">
        <v>1883</v>
      </c>
      <c r="W112" s="29">
        <v>2314</v>
      </c>
      <c r="X112" s="29">
        <v>1013</v>
      </c>
      <c r="Y112" s="29">
        <v>1019</v>
      </c>
      <c r="Z112" s="29">
        <v>1323</v>
      </c>
      <c r="AA112" s="29">
        <v>1780</v>
      </c>
      <c r="AB112" s="29">
        <v>2245</v>
      </c>
      <c r="AC112" s="29"/>
      <c r="AD112" s="29"/>
      <c r="AE112" s="29"/>
      <c r="AG112" s="105">
        <v>70</v>
      </c>
      <c r="AH112" s="105">
        <v>61</v>
      </c>
      <c r="AI112" s="105">
        <v>47</v>
      </c>
      <c r="AJ112" s="105">
        <v>42</v>
      </c>
      <c r="AK112" s="105">
        <v>30</v>
      </c>
      <c r="AL112" s="107">
        <v>2</v>
      </c>
      <c r="AM112" s="107">
        <v>1</v>
      </c>
    </row>
    <row r="113" spans="1:40" x14ac:dyDescent="0.25">
      <c r="A113" s="88" t="s">
        <v>248</v>
      </c>
      <c r="B113" s="124">
        <v>2</v>
      </c>
      <c r="C113" s="90">
        <v>27350</v>
      </c>
      <c r="D113" s="90">
        <v>31250</v>
      </c>
      <c r="E113" s="90">
        <v>35150</v>
      </c>
      <c r="F113" s="90">
        <v>39050</v>
      </c>
      <c r="G113" s="90">
        <v>42200</v>
      </c>
      <c r="H113" s="90">
        <v>45300</v>
      </c>
      <c r="I113" s="90">
        <v>48450</v>
      </c>
      <c r="J113" s="29">
        <v>51550</v>
      </c>
      <c r="K113" s="29">
        <v>43750</v>
      </c>
      <c r="L113" s="29">
        <v>50000</v>
      </c>
      <c r="M113" s="29">
        <v>56250</v>
      </c>
      <c r="N113" s="29">
        <v>62500</v>
      </c>
      <c r="O113" s="29">
        <v>67500</v>
      </c>
      <c r="P113" s="29">
        <v>72500</v>
      </c>
      <c r="Q113" s="29">
        <v>77500</v>
      </c>
      <c r="R113" s="29">
        <v>82500</v>
      </c>
      <c r="S113" s="29">
        <v>672</v>
      </c>
      <c r="T113" s="29">
        <v>676</v>
      </c>
      <c r="U113" s="29">
        <v>851</v>
      </c>
      <c r="V113" s="29">
        <v>1044</v>
      </c>
      <c r="W113" s="29">
        <v>1258</v>
      </c>
      <c r="X113" s="29">
        <v>786</v>
      </c>
      <c r="Y113" s="29">
        <v>792</v>
      </c>
      <c r="Z113" s="29">
        <v>995</v>
      </c>
      <c r="AA113" s="29">
        <v>1251</v>
      </c>
      <c r="AB113" s="29">
        <v>1422</v>
      </c>
      <c r="AC113" s="29"/>
      <c r="AD113" s="29"/>
      <c r="AE113" s="29"/>
      <c r="AG113" s="105">
        <v>63</v>
      </c>
      <c r="AH113" s="105">
        <v>55</v>
      </c>
      <c r="AI113" s="105">
        <v>42</v>
      </c>
      <c r="AJ113" s="105">
        <v>38</v>
      </c>
      <c r="AK113" s="105">
        <v>27</v>
      </c>
      <c r="AL113" s="107">
        <v>1</v>
      </c>
      <c r="AM113" s="107">
        <v>1</v>
      </c>
    </row>
    <row r="114" spans="1:40" x14ac:dyDescent="0.25">
      <c r="A114" s="88" t="s">
        <v>249</v>
      </c>
      <c r="B114" s="124">
        <v>2</v>
      </c>
      <c r="C114" s="90">
        <v>31750</v>
      </c>
      <c r="D114" s="90">
        <v>36250</v>
      </c>
      <c r="E114" s="90">
        <v>40800</v>
      </c>
      <c r="F114" s="90">
        <v>45300</v>
      </c>
      <c r="G114" s="90">
        <v>48950</v>
      </c>
      <c r="H114" s="90">
        <v>52550</v>
      </c>
      <c r="I114" s="90">
        <v>56200</v>
      </c>
      <c r="J114" s="29">
        <v>59800</v>
      </c>
      <c r="K114" s="29">
        <v>50750</v>
      </c>
      <c r="L114" s="29">
        <v>58000</v>
      </c>
      <c r="M114" s="29">
        <v>65250</v>
      </c>
      <c r="N114" s="29">
        <v>72500</v>
      </c>
      <c r="O114" s="29">
        <v>78300</v>
      </c>
      <c r="P114" s="29">
        <v>84100</v>
      </c>
      <c r="Q114" s="29">
        <v>89900</v>
      </c>
      <c r="R114" s="29">
        <v>95700</v>
      </c>
      <c r="S114" s="29">
        <v>892</v>
      </c>
      <c r="T114" s="29">
        <v>948</v>
      </c>
      <c r="U114" s="29">
        <v>1141</v>
      </c>
      <c r="V114" s="29">
        <v>1597</v>
      </c>
      <c r="W114" s="29">
        <v>1885</v>
      </c>
      <c r="X114" s="29">
        <v>892</v>
      </c>
      <c r="Y114" s="29">
        <v>983</v>
      </c>
      <c r="Z114" s="29">
        <v>1196</v>
      </c>
      <c r="AA114" s="29">
        <v>1664</v>
      </c>
      <c r="AB114" s="29">
        <v>1936</v>
      </c>
      <c r="AC114" s="29"/>
      <c r="AD114" s="29"/>
      <c r="AE114" s="29"/>
      <c r="AG114" s="105">
        <v>67</v>
      </c>
      <c r="AH114" s="105">
        <v>58</v>
      </c>
      <c r="AI114" s="105">
        <v>45</v>
      </c>
      <c r="AJ114" s="105">
        <v>41</v>
      </c>
      <c r="AK114" s="105">
        <v>29</v>
      </c>
      <c r="AL114" s="107">
        <v>2</v>
      </c>
      <c r="AM114" s="298">
        <v>1</v>
      </c>
      <c r="AN114" t="s">
        <v>613</v>
      </c>
    </row>
    <row r="115" spans="1:40" x14ac:dyDescent="0.25">
      <c r="A115" s="88" t="s">
        <v>250</v>
      </c>
      <c r="B115" s="124">
        <v>2</v>
      </c>
      <c r="C115" s="90">
        <v>26850</v>
      </c>
      <c r="D115" s="90">
        <v>30700</v>
      </c>
      <c r="E115" s="90">
        <v>34550</v>
      </c>
      <c r="F115" s="90">
        <v>38350</v>
      </c>
      <c r="G115" s="90">
        <v>41450</v>
      </c>
      <c r="H115" s="90">
        <v>44500</v>
      </c>
      <c r="I115" s="90">
        <v>47600</v>
      </c>
      <c r="J115" s="29">
        <v>50650</v>
      </c>
      <c r="K115" s="29">
        <v>42950</v>
      </c>
      <c r="L115" s="29">
        <v>49100</v>
      </c>
      <c r="M115" s="29">
        <v>55250</v>
      </c>
      <c r="N115" s="29">
        <v>61350</v>
      </c>
      <c r="O115" s="29">
        <v>66300</v>
      </c>
      <c r="P115" s="29">
        <v>71200</v>
      </c>
      <c r="Q115" s="29">
        <v>76100</v>
      </c>
      <c r="R115" s="29">
        <v>81000</v>
      </c>
      <c r="S115" s="29">
        <v>738</v>
      </c>
      <c r="T115" s="29">
        <v>824</v>
      </c>
      <c r="U115" s="29">
        <v>1043</v>
      </c>
      <c r="V115" s="29">
        <v>1343</v>
      </c>
      <c r="W115" s="29">
        <v>1538</v>
      </c>
      <c r="X115" s="29">
        <v>744</v>
      </c>
      <c r="Y115" s="29">
        <v>788</v>
      </c>
      <c r="Z115" s="29">
        <v>995</v>
      </c>
      <c r="AA115" s="29">
        <v>1296</v>
      </c>
      <c r="AB115" s="29">
        <v>1468</v>
      </c>
      <c r="AC115" s="29"/>
      <c r="AD115" s="29"/>
      <c r="AE115" s="29"/>
      <c r="AG115" s="105">
        <v>63</v>
      </c>
      <c r="AH115" s="105">
        <v>55</v>
      </c>
      <c r="AI115" s="105">
        <v>42</v>
      </c>
      <c r="AJ115" s="105">
        <v>38</v>
      </c>
      <c r="AK115" s="105">
        <v>27</v>
      </c>
      <c r="AL115" s="107">
        <v>1</v>
      </c>
      <c r="AM115" s="107">
        <v>1</v>
      </c>
    </row>
    <row r="116" spans="1:40" x14ac:dyDescent="0.25">
      <c r="A116" s="26" t="s">
        <v>251</v>
      </c>
      <c r="B116" s="124">
        <v>2</v>
      </c>
      <c r="C116" s="90">
        <v>30650</v>
      </c>
      <c r="D116" s="90">
        <v>35000</v>
      </c>
      <c r="E116" s="90">
        <v>39400</v>
      </c>
      <c r="F116" s="90">
        <v>43750</v>
      </c>
      <c r="G116" s="90">
        <v>47250</v>
      </c>
      <c r="H116" s="90">
        <v>50750</v>
      </c>
      <c r="I116" s="90">
        <v>54250</v>
      </c>
      <c r="J116" s="29">
        <v>57750</v>
      </c>
      <c r="K116" s="29">
        <v>49000</v>
      </c>
      <c r="L116" s="29">
        <v>56000</v>
      </c>
      <c r="M116" s="29">
        <v>63000</v>
      </c>
      <c r="N116" s="29">
        <v>70000</v>
      </c>
      <c r="O116" s="29">
        <v>75600</v>
      </c>
      <c r="P116" s="29">
        <v>81200</v>
      </c>
      <c r="Q116" s="29">
        <v>86800</v>
      </c>
      <c r="R116" s="29">
        <v>92400</v>
      </c>
      <c r="S116" s="29">
        <v>734</v>
      </c>
      <c r="T116" s="29">
        <v>816</v>
      </c>
      <c r="U116" s="29">
        <v>1071</v>
      </c>
      <c r="V116" s="29">
        <v>1420</v>
      </c>
      <c r="W116" s="29">
        <v>1453</v>
      </c>
      <c r="X116" s="29">
        <v>829</v>
      </c>
      <c r="Y116" s="29">
        <v>932</v>
      </c>
      <c r="Z116" s="29">
        <v>1224</v>
      </c>
      <c r="AA116" s="29">
        <v>1636</v>
      </c>
      <c r="AB116" s="29">
        <v>1643</v>
      </c>
      <c r="AC116" s="29">
        <v>370</v>
      </c>
      <c r="AD116" s="29"/>
      <c r="AE116" s="29">
        <v>866</v>
      </c>
      <c r="AF116" t="s">
        <v>614</v>
      </c>
      <c r="AG116" s="106">
        <v>70</v>
      </c>
      <c r="AH116" s="106">
        <v>61</v>
      </c>
      <c r="AI116" s="106">
        <v>47</v>
      </c>
      <c r="AJ116" s="106">
        <v>42</v>
      </c>
      <c r="AK116" s="106">
        <v>30</v>
      </c>
      <c r="AL116" s="107">
        <v>1</v>
      </c>
      <c r="AM116" s="107">
        <v>1</v>
      </c>
    </row>
    <row r="117" spans="1:40" x14ac:dyDescent="0.25">
      <c r="A117" s="88" t="s">
        <v>252</v>
      </c>
      <c r="B117" s="124">
        <v>2</v>
      </c>
      <c r="C117" s="90">
        <v>27350</v>
      </c>
      <c r="D117" s="90">
        <v>31250</v>
      </c>
      <c r="E117" s="90">
        <v>35150</v>
      </c>
      <c r="F117" s="90">
        <v>39050</v>
      </c>
      <c r="G117" s="90">
        <v>42200</v>
      </c>
      <c r="H117" s="90">
        <v>45300</v>
      </c>
      <c r="I117" s="90">
        <v>48450</v>
      </c>
      <c r="J117" s="29">
        <v>51550</v>
      </c>
      <c r="K117" s="29">
        <v>43750</v>
      </c>
      <c r="L117" s="29">
        <v>50000</v>
      </c>
      <c r="M117" s="29">
        <v>56250</v>
      </c>
      <c r="N117" s="29">
        <v>62500</v>
      </c>
      <c r="O117" s="29">
        <v>67500</v>
      </c>
      <c r="P117" s="29">
        <v>72500</v>
      </c>
      <c r="Q117" s="29">
        <v>77500</v>
      </c>
      <c r="R117" s="29">
        <v>82500</v>
      </c>
      <c r="S117" s="29">
        <v>584</v>
      </c>
      <c r="T117" s="29">
        <v>722</v>
      </c>
      <c r="U117" s="29">
        <v>851</v>
      </c>
      <c r="V117" s="29">
        <v>1099</v>
      </c>
      <c r="W117" s="29">
        <v>1383</v>
      </c>
      <c r="X117" s="29">
        <v>674</v>
      </c>
      <c r="Y117" s="29">
        <v>867</v>
      </c>
      <c r="Z117" s="29">
        <v>995</v>
      </c>
      <c r="AA117" s="29">
        <v>1288</v>
      </c>
      <c r="AB117" s="29">
        <v>1689</v>
      </c>
      <c r="AC117" s="29"/>
      <c r="AD117" s="29"/>
      <c r="AE117" s="29"/>
      <c r="AG117" s="105">
        <v>63</v>
      </c>
      <c r="AH117" s="105">
        <v>55</v>
      </c>
      <c r="AI117" s="105">
        <v>42</v>
      </c>
      <c r="AJ117" s="105">
        <v>38</v>
      </c>
      <c r="AK117" s="105">
        <v>27</v>
      </c>
      <c r="AL117" s="107">
        <v>1</v>
      </c>
      <c r="AM117" s="107">
        <v>1</v>
      </c>
    </row>
    <row r="118" spans="1:40" x14ac:dyDescent="0.25">
      <c r="A118" s="88" t="s">
        <v>253</v>
      </c>
      <c r="B118" s="124">
        <v>2</v>
      </c>
      <c r="C118" s="90">
        <v>32800</v>
      </c>
      <c r="D118" s="90">
        <v>37500</v>
      </c>
      <c r="E118" s="90">
        <v>42200</v>
      </c>
      <c r="F118" s="90">
        <v>46900</v>
      </c>
      <c r="G118" s="90">
        <v>50650</v>
      </c>
      <c r="H118" s="90">
        <v>54400</v>
      </c>
      <c r="I118" s="90">
        <v>58150</v>
      </c>
      <c r="J118" s="29">
        <v>61900</v>
      </c>
      <c r="K118" s="29">
        <v>52500</v>
      </c>
      <c r="L118" s="29">
        <v>60000</v>
      </c>
      <c r="M118" s="29">
        <v>67500</v>
      </c>
      <c r="N118" s="29">
        <v>75000</v>
      </c>
      <c r="O118" s="29">
        <v>81000</v>
      </c>
      <c r="P118" s="29">
        <v>87000</v>
      </c>
      <c r="Q118" s="29">
        <v>93000</v>
      </c>
      <c r="R118" s="29">
        <v>99000</v>
      </c>
      <c r="S118" s="29">
        <v>884</v>
      </c>
      <c r="T118" s="29">
        <v>890</v>
      </c>
      <c r="U118" s="29">
        <v>1167</v>
      </c>
      <c r="V118" s="29">
        <v>1492</v>
      </c>
      <c r="W118" s="29">
        <v>1960</v>
      </c>
      <c r="X118" s="29">
        <v>998</v>
      </c>
      <c r="Y118" s="29">
        <v>1001</v>
      </c>
      <c r="Z118" s="29">
        <v>1158</v>
      </c>
      <c r="AA118" s="29">
        <v>1472</v>
      </c>
      <c r="AB118" s="29">
        <v>1965</v>
      </c>
      <c r="AC118" s="29"/>
      <c r="AD118" s="29"/>
      <c r="AE118" s="29"/>
      <c r="AG118" s="105">
        <v>71</v>
      </c>
      <c r="AH118" s="105">
        <v>61</v>
      </c>
      <c r="AI118" s="105">
        <v>47</v>
      </c>
      <c r="AJ118" s="105">
        <v>42</v>
      </c>
      <c r="AK118" s="105">
        <v>30</v>
      </c>
      <c r="AL118" s="107">
        <v>1</v>
      </c>
      <c r="AM118" s="107">
        <v>1</v>
      </c>
    </row>
    <row r="119" spans="1:40" x14ac:dyDescent="0.25">
      <c r="A119" s="26" t="s">
        <v>254</v>
      </c>
      <c r="B119" s="126">
        <v>3</v>
      </c>
      <c r="C119" s="91">
        <v>57400</v>
      </c>
      <c r="D119" s="91">
        <v>65600</v>
      </c>
      <c r="E119" s="91">
        <v>73800</v>
      </c>
      <c r="F119" s="91">
        <v>81950</v>
      </c>
      <c r="G119" s="91">
        <v>88550</v>
      </c>
      <c r="H119" s="91">
        <v>95100</v>
      </c>
      <c r="I119" s="91">
        <v>101650</v>
      </c>
      <c r="J119" s="29">
        <v>108200</v>
      </c>
      <c r="K119" s="29">
        <v>74800</v>
      </c>
      <c r="L119" s="29">
        <v>85450</v>
      </c>
      <c r="M119" s="29">
        <v>96150</v>
      </c>
      <c r="N119" s="29">
        <v>106800</v>
      </c>
      <c r="O119" s="29">
        <v>115350</v>
      </c>
      <c r="P119" s="29">
        <v>123900</v>
      </c>
      <c r="Q119" s="29">
        <v>132450</v>
      </c>
      <c r="R119" s="29">
        <v>141000</v>
      </c>
      <c r="S119" s="29">
        <v>2012</v>
      </c>
      <c r="T119" s="29">
        <v>2056</v>
      </c>
      <c r="U119" s="29">
        <v>2314</v>
      </c>
      <c r="V119" s="29">
        <v>2893</v>
      </c>
      <c r="W119" s="29">
        <v>3413</v>
      </c>
      <c r="X119" s="29">
        <v>1949</v>
      </c>
      <c r="Y119" s="29">
        <v>1983</v>
      </c>
      <c r="Z119" s="29">
        <v>2249</v>
      </c>
      <c r="AA119" s="29">
        <v>2798</v>
      </c>
      <c r="AB119" s="29">
        <v>3316</v>
      </c>
      <c r="AC119" s="29">
        <v>334</v>
      </c>
      <c r="AD119" s="29"/>
      <c r="AE119" s="29">
        <v>793</v>
      </c>
      <c r="AF119" t="s">
        <v>615</v>
      </c>
      <c r="AG119" s="105">
        <v>83</v>
      </c>
      <c r="AH119" s="105">
        <v>72</v>
      </c>
      <c r="AI119" s="105">
        <v>55</v>
      </c>
      <c r="AJ119" s="105">
        <v>50</v>
      </c>
      <c r="AK119" s="105">
        <v>35</v>
      </c>
      <c r="AL119" s="107">
        <v>1</v>
      </c>
      <c r="AM119" s="107">
        <v>3</v>
      </c>
    </row>
    <row r="120" spans="1:40" x14ac:dyDescent="0.25">
      <c r="A120" s="26" t="s">
        <v>255</v>
      </c>
      <c r="B120" s="126">
        <v>3</v>
      </c>
      <c r="C120" s="91">
        <v>57400</v>
      </c>
      <c r="D120" s="91">
        <v>65600</v>
      </c>
      <c r="E120" s="91">
        <v>73800</v>
      </c>
      <c r="F120" s="91">
        <v>81950</v>
      </c>
      <c r="G120" s="91">
        <v>88550</v>
      </c>
      <c r="H120" s="91">
        <v>95100</v>
      </c>
      <c r="I120" s="91">
        <v>101650</v>
      </c>
      <c r="J120" s="29">
        <v>108200</v>
      </c>
      <c r="K120" s="29">
        <v>74800</v>
      </c>
      <c r="L120" s="29">
        <v>85450</v>
      </c>
      <c r="M120" s="29">
        <v>96150</v>
      </c>
      <c r="N120" s="29">
        <v>106800</v>
      </c>
      <c r="O120" s="29">
        <v>115350</v>
      </c>
      <c r="P120" s="29">
        <v>123900</v>
      </c>
      <c r="Q120" s="29">
        <v>132450</v>
      </c>
      <c r="R120" s="29">
        <v>141000</v>
      </c>
      <c r="S120" s="29">
        <v>2012</v>
      </c>
      <c r="T120" s="29">
        <v>2056</v>
      </c>
      <c r="U120" s="29">
        <v>2314</v>
      </c>
      <c r="V120" s="29">
        <v>2893</v>
      </c>
      <c r="W120" s="29">
        <v>3413</v>
      </c>
      <c r="X120" s="29">
        <v>1949</v>
      </c>
      <c r="Y120" s="29">
        <v>1983</v>
      </c>
      <c r="Z120" s="29">
        <v>2249</v>
      </c>
      <c r="AA120" s="29">
        <v>2798</v>
      </c>
      <c r="AB120" s="29">
        <v>3316</v>
      </c>
      <c r="AC120" s="29">
        <v>334</v>
      </c>
      <c r="AD120" s="29"/>
      <c r="AE120" s="29">
        <v>793</v>
      </c>
      <c r="AF120" t="s">
        <v>616</v>
      </c>
      <c r="AG120" s="105">
        <v>83</v>
      </c>
      <c r="AH120" s="105">
        <v>72</v>
      </c>
      <c r="AI120" s="105">
        <v>55</v>
      </c>
      <c r="AJ120" s="105">
        <v>50</v>
      </c>
      <c r="AK120" s="105">
        <v>35</v>
      </c>
      <c r="AL120" s="107">
        <v>1</v>
      </c>
      <c r="AM120" s="107">
        <v>3</v>
      </c>
    </row>
    <row r="121" spans="1:40" x14ac:dyDescent="0.25">
      <c r="A121" s="88" t="s">
        <v>256</v>
      </c>
      <c r="B121" s="125">
        <v>3</v>
      </c>
      <c r="C121" s="90">
        <v>33050</v>
      </c>
      <c r="D121" s="90">
        <v>37800</v>
      </c>
      <c r="E121" s="90">
        <v>42500</v>
      </c>
      <c r="F121" s="90">
        <v>47200</v>
      </c>
      <c r="G121" s="90">
        <v>51000</v>
      </c>
      <c r="H121" s="90">
        <v>54800</v>
      </c>
      <c r="I121" s="90">
        <v>58550</v>
      </c>
      <c r="J121" s="29">
        <v>62350</v>
      </c>
      <c r="K121" s="29">
        <v>52850</v>
      </c>
      <c r="L121" s="29">
        <v>60400</v>
      </c>
      <c r="M121" s="29">
        <v>67950</v>
      </c>
      <c r="N121" s="29">
        <v>75500</v>
      </c>
      <c r="O121" s="29">
        <v>81550</v>
      </c>
      <c r="P121" s="29">
        <v>87600</v>
      </c>
      <c r="Q121" s="29">
        <v>93650</v>
      </c>
      <c r="R121" s="29">
        <v>99700</v>
      </c>
      <c r="S121" s="29">
        <v>1107</v>
      </c>
      <c r="T121" s="29">
        <v>1114</v>
      </c>
      <c r="U121" s="29">
        <v>1282</v>
      </c>
      <c r="V121" s="29">
        <v>1796</v>
      </c>
      <c r="W121" s="29">
        <v>2092</v>
      </c>
      <c r="X121" s="29">
        <v>1079</v>
      </c>
      <c r="Y121" s="29">
        <v>1085</v>
      </c>
      <c r="Z121" s="29">
        <v>1263</v>
      </c>
      <c r="AA121" s="29">
        <v>1777</v>
      </c>
      <c r="AB121" s="29">
        <v>2114</v>
      </c>
      <c r="AC121" s="29"/>
      <c r="AD121" s="29"/>
      <c r="AE121" s="29"/>
      <c r="AG121" s="105">
        <v>70</v>
      </c>
      <c r="AH121" s="105">
        <v>61</v>
      </c>
      <c r="AI121" s="105">
        <v>47</v>
      </c>
      <c r="AJ121" s="105">
        <v>42</v>
      </c>
      <c r="AK121" s="105">
        <v>30</v>
      </c>
      <c r="AL121" s="107">
        <v>2</v>
      </c>
      <c r="AM121" s="107">
        <v>1</v>
      </c>
    </row>
    <row r="122" spans="1:40" x14ac:dyDescent="0.25">
      <c r="A122" s="26" t="s">
        <v>257</v>
      </c>
      <c r="B122" s="124">
        <v>2</v>
      </c>
      <c r="C122" s="90">
        <v>37300</v>
      </c>
      <c r="D122" s="90">
        <v>42600</v>
      </c>
      <c r="E122" s="90">
        <v>47950</v>
      </c>
      <c r="F122" s="90">
        <v>53250</v>
      </c>
      <c r="G122" s="90">
        <v>57550</v>
      </c>
      <c r="H122" s="90">
        <v>61800</v>
      </c>
      <c r="I122" s="90">
        <v>66050</v>
      </c>
      <c r="J122" s="29">
        <v>70300</v>
      </c>
      <c r="K122" s="29">
        <v>59650</v>
      </c>
      <c r="L122" s="29">
        <v>68200</v>
      </c>
      <c r="M122" s="29">
        <v>76700</v>
      </c>
      <c r="N122" s="29">
        <v>85200</v>
      </c>
      <c r="O122" s="29">
        <v>92050</v>
      </c>
      <c r="P122" s="29">
        <v>98850</v>
      </c>
      <c r="Q122" s="29">
        <v>105650</v>
      </c>
      <c r="R122" s="29">
        <v>112500</v>
      </c>
      <c r="S122" s="29">
        <v>1475</v>
      </c>
      <c r="T122" s="29">
        <v>1483</v>
      </c>
      <c r="U122" s="29">
        <v>1696</v>
      </c>
      <c r="V122" s="29">
        <v>2361</v>
      </c>
      <c r="W122" s="29">
        <v>2809</v>
      </c>
      <c r="X122" s="29">
        <v>1406</v>
      </c>
      <c r="Y122" s="29">
        <v>1415</v>
      </c>
      <c r="Z122" s="29">
        <v>1642</v>
      </c>
      <c r="AA122" s="29">
        <v>2286</v>
      </c>
      <c r="AB122" s="29">
        <v>2785</v>
      </c>
      <c r="AC122" s="29">
        <v>346</v>
      </c>
      <c r="AD122" s="29"/>
      <c r="AE122" s="29">
        <v>821</v>
      </c>
      <c r="AF122" t="s">
        <v>617</v>
      </c>
      <c r="AG122" s="106">
        <v>71</v>
      </c>
      <c r="AH122" s="106">
        <v>61</v>
      </c>
      <c r="AI122" s="106">
        <v>47</v>
      </c>
      <c r="AJ122" s="106">
        <v>42</v>
      </c>
      <c r="AK122" s="106">
        <v>30</v>
      </c>
      <c r="AL122" s="107">
        <v>1</v>
      </c>
      <c r="AM122" s="107">
        <v>2</v>
      </c>
    </row>
    <row r="123" spans="1:40" x14ac:dyDescent="0.25">
      <c r="A123" s="88" t="s">
        <v>258</v>
      </c>
      <c r="B123" s="124">
        <v>2</v>
      </c>
      <c r="C123" s="90">
        <v>33750</v>
      </c>
      <c r="D123" s="90">
        <v>38550</v>
      </c>
      <c r="E123" s="90">
        <v>43350</v>
      </c>
      <c r="F123" s="90">
        <v>48150</v>
      </c>
      <c r="G123" s="90">
        <v>52000</v>
      </c>
      <c r="H123" s="90">
        <v>55900</v>
      </c>
      <c r="I123" s="90">
        <v>59700</v>
      </c>
      <c r="J123" s="29">
        <v>63550</v>
      </c>
      <c r="K123" s="29">
        <v>53950</v>
      </c>
      <c r="L123" s="29">
        <v>61650</v>
      </c>
      <c r="M123" s="29">
        <v>69350</v>
      </c>
      <c r="N123" s="29">
        <v>77050</v>
      </c>
      <c r="O123" s="29">
        <v>83250</v>
      </c>
      <c r="P123" s="29">
        <v>89400</v>
      </c>
      <c r="Q123" s="29">
        <v>95550</v>
      </c>
      <c r="R123" s="29">
        <v>101750</v>
      </c>
      <c r="S123" s="29">
        <v>685</v>
      </c>
      <c r="T123" s="29">
        <v>689</v>
      </c>
      <c r="U123" s="29">
        <v>851</v>
      </c>
      <c r="V123" s="29">
        <v>1192</v>
      </c>
      <c r="W123" s="29">
        <v>1429</v>
      </c>
      <c r="X123" s="29">
        <v>797</v>
      </c>
      <c r="Y123" s="29">
        <v>803</v>
      </c>
      <c r="Z123" s="29">
        <v>995</v>
      </c>
      <c r="AA123" s="29">
        <v>1402</v>
      </c>
      <c r="AB123" s="29">
        <v>1689</v>
      </c>
      <c r="AC123" s="29"/>
      <c r="AD123" s="29"/>
      <c r="AE123" s="29"/>
      <c r="AG123" s="106">
        <v>69</v>
      </c>
      <c r="AH123" s="106">
        <v>60</v>
      </c>
      <c r="AI123" s="106">
        <v>47</v>
      </c>
      <c r="AJ123" s="106">
        <v>41</v>
      </c>
      <c r="AK123" s="106">
        <v>29</v>
      </c>
      <c r="AL123" s="107">
        <v>1</v>
      </c>
      <c r="AM123" s="107">
        <v>1</v>
      </c>
    </row>
    <row r="124" spans="1:40" x14ac:dyDescent="0.25">
      <c r="A124" s="88" t="s">
        <v>259</v>
      </c>
      <c r="B124" s="124">
        <v>2</v>
      </c>
      <c r="C124" s="90">
        <v>39750</v>
      </c>
      <c r="D124" s="90">
        <v>45400</v>
      </c>
      <c r="E124" s="90">
        <v>51100</v>
      </c>
      <c r="F124" s="90">
        <v>56750</v>
      </c>
      <c r="G124" s="90">
        <v>61300</v>
      </c>
      <c r="H124" s="90">
        <v>65850</v>
      </c>
      <c r="I124" s="90">
        <v>70400</v>
      </c>
      <c r="J124" s="29">
        <v>74950</v>
      </c>
      <c r="K124" s="29">
        <v>63600</v>
      </c>
      <c r="L124" s="29">
        <v>72650</v>
      </c>
      <c r="M124" s="29">
        <v>81750</v>
      </c>
      <c r="N124" s="29">
        <v>90800</v>
      </c>
      <c r="O124" s="29">
        <v>98100</v>
      </c>
      <c r="P124" s="29">
        <v>105350</v>
      </c>
      <c r="Q124" s="29">
        <v>112600</v>
      </c>
      <c r="R124" s="29">
        <v>119900</v>
      </c>
      <c r="S124" s="29">
        <v>1488</v>
      </c>
      <c r="T124" s="29">
        <v>1545</v>
      </c>
      <c r="U124" s="29">
        <v>1711</v>
      </c>
      <c r="V124" s="29">
        <v>2166</v>
      </c>
      <c r="W124" s="29">
        <v>2677</v>
      </c>
      <c r="X124" s="29">
        <v>1460</v>
      </c>
      <c r="Y124" s="29">
        <v>1501</v>
      </c>
      <c r="Z124" s="29">
        <v>1685</v>
      </c>
      <c r="AA124" s="29">
        <v>2154</v>
      </c>
      <c r="AB124" s="29">
        <v>2632</v>
      </c>
      <c r="AC124" s="29"/>
      <c r="AD124" s="29"/>
      <c r="AE124" s="29"/>
      <c r="AG124" s="106">
        <v>69</v>
      </c>
      <c r="AH124" s="106">
        <v>60</v>
      </c>
      <c r="AI124" s="106">
        <v>47</v>
      </c>
      <c r="AJ124" s="106">
        <v>41</v>
      </c>
      <c r="AK124" s="106">
        <v>29</v>
      </c>
      <c r="AL124" s="107">
        <v>1</v>
      </c>
      <c r="AM124" s="107">
        <v>1</v>
      </c>
    </row>
    <row r="125" spans="1:40" x14ac:dyDescent="0.25">
      <c r="A125" s="88" t="s">
        <v>260</v>
      </c>
      <c r="B125" s="124">
        <v>2</v>
      </c>
      <c r="C125" s="90">
        <v>27350</v>
      </c>
      <c r="D125" s="90">
        <v>31250</v>
      </c>
      <c r="E125" s="90">
        <v>35150</v>
      </c>
      <c r="F125" s="90">
        <v>39050</v>
      </c>
      <c r="G125" s="90">
        <v>42200</v>
      </c>
      <c r="H125" s="90">
        <v>45300</v>
      </c>
      <c r="I125" s="90">
        <v>48450</v>
      </c>
      <c r="J125" s="29">
        <v>51550</v>
      </c>
      <c r="K125" s="29">
        <v>43750</v>
      </c>
      <c r="L125" s="29">
        <v>50000</v>
      </c>
      <c r="M125" s="29">
        <v>56250</v>
      </c>
      <c r="N125" s="29">
        <v>62500</v>
      </c>
      <c r="O125" s="29">
        <v>67500</v>
      </c>
      <c r="P125" s="29">
        <v>72500</v>
      </c>
      <c r="Q125" s="29">
        <v>77500</v>
      </c>
      <c r="R125" s="29">
        <v>82500</v>
      </c>
      <c r="S125" s="29">
        <v>651</v>
      </c>
      <c r="T125" s="29">
        <v>655</v>
      </c>
      <c r="U125" s="29">
        <v>851</v>
      </c>
      <c r="V125" s="29">
        <v>1025</v>
      </c>
      <c r="W125" s="29">
        <v>1253</v>
      </c>
      <c r="X125" s="29">
        <v>752</v>
      </c>
      <c r="Y125" s="29">
        <v>757</v>
      </c>
      <c r="Z125" s="29">
        <v>995</v>
      </c>
      <c r="AA125" s="29">
        <v>1203</v>
      </c>
      <c r="AB125" s="29">
        <v>1480</v>
      </c>
      <c r="AC125" s="29"/>
      <c r="AD125" s="29"/>
      <c r="AE125" s="29"/>
      <c r="AG125" s="105">
        <v>63</v>
      </c>
      <c r="AH125" s="105">
        <v>55</v>
      </c>
      <c r="AI125" s="105">
        <v>42</v>
      </c>
      <c r="AJ125" s="105">
        <v>38</v>
      </c>
      <c r="AK125" s="105">
        <v>27</v>
      </c>
      <c r="AL125" s="107">
        <v>1</v>
      </c>
      <c r="AM125" s="107">
        <v>1</v>
      </c>
    </row>
    <row r="126" spans="1:40" x14ac:dyDescent="0.25">
      <c r="A126" s="88" t="s">
        <v>261</v>
      </c>
      <c r="B126" s="124">
        <v>2</v>
      </c>
      <c r="C126" s="90">
        <v>37300</v>
      </c>
      <c r="D126" s="90">
        <v>42600</v>
      </c>
      <c r="E126" s="90">
        <v>47950</v>
      </c>
      <c r="F126" s="90">
        <v>53250</v>
      </c>
      <c r="G126" s="90">
        <v>57550</v>
      </c>
      <c r="H126" s="90">
        <v>61800</v>
      </c>
      <c r="I126" s="90">
        <v>66050</v>
      </c>
      <c r="J126" s="29">
        <v>70300</v>
      </c>
      <c r="K126" s="29">
        <v>59650</v>
      </c>
      <c r="L126" s="29">
        <v>68200</v>
      </c>
      <c r="M126" s="29">
        <v>76700</v>
      </c>
      <c r="N126" s="29">
        <v>85200</v>
      </c>
      <c r="O126" s="29">
        <v>92050</v>
      </c>
      <c r="P126" s="29">
        <v>98850</v>
      </c>
      <c r="Q126" s="29">
        <v>105650</v>
      </c>
      <c r="R126" s="29">
        <v>112500</v>
      </c>
      <c r="S126" s="29">
        <v>1475</v>
      </c>
      <c r="T126" s="29">
        <v>1483</v>
      </c>
      <c r="U126" s="29">
        <v>1696</v>
      </c>
      <c r="V126" s="29">
        <v>2361</v>
      </c>
      <c r="W126" s="29">
        <v>2809</v>
      </c>
      <c r="X126" s="29">
        <v>1406</v>
      </c>
      <c r="Y126" s="29">
        <v>1415</v>
      </c>
      <c r="Z126" s="29">
        <v>1642</v>
      </c>
      <c r="AA126" s="29">
        <v>2286</v>
      </c>
      <c r="AB126" s="29">
        <v>2785</v>
      </c>
      <c r="AC126" s="29"/>
      <c r="AD126" s="29"/>
      <c r="AE126" s="29"/>
      <c r="AG126" s="105">
        <v>71</v>
      </c>
      <c r="AH126" s="105">
        <v>61</v>
      </c>
      <c r="AI126" s="105">
        <v>47</v>
      </c>
      <c r="AJ126" s="105">
        <v>42</v>
      </c>
      <c r="AK126" s="105">
        <v>30</v>
      </c>
      <c r="AL126" s="107">
        <v>2</v>
      </c>
      <c r="AM126" s="107">
        <v>2</v>
      </c>
    </row>
    <row r="127" spans="1:40" x14ac:dyDescent="0.25">
      <c r="A127" s="88" t="s">
        <v>262</v>
      </c>
      <c r="B127" s="124">
        <v>2</v>
      </c>
      <c r="C127" s="90">
        <v>36400</v>
      </c>
      <c r="D127" s="90">
        <v>41600</v>
      </c>
      <c r="E127" s="90">
        <v>46800</v>
      </c>
      <c r="F127" s="90">
        <v>51950</v>
      </c>
      <c r="G127" s="90">
        <v>56150</v>
      </c>
      <c r="H127" s="90">
        <v>60300</v>
      </c>
      <c r="I127" s="90">
        <v>64450</v>
      </c>
      <c r="J127" s="29">
        <v>68600</v>
      </c>
      <c r="K127" s="29">
        <v>58200</v>
      </c>
      <c r="L127" s="29">
        <v>66500</v>
      </c>
      <c r="M127" s="29">
        <v>74800</v>
      </c>
      <c r="N127" s="29">
        <v>83100</v>
      </c>
      <c r="O127" s="29">
        <v>89750</v>
      </c>
      <c r="P127" s="29">
        <v>96400</v>
      </c>
      <c r="Q127" s="29">
        <v>103050</v>
      </c>
      <c r="R127" s="29">
        <v>109700</v>
      </c>
      <c r="S127" s="29">
        <v>983</v>
      </c>
      <c r="T127" s="29">
        <v>989</v>
      </c>
      <c r="U127" s="29">
        <v>1298</v>
      </c>
      <c r="V127" s="29">
        <v>1744</v>
      </c>
      <c r="W127" s="29">
        <v>2180</v>
      </c>
      <c r="X127" s="29">
        <v>969</v>
      </c>
      <c r="Y127" s="29">
        <v>975</v>
      </c>
      <c r="Z127" s="29">
        <v>1281</v>
      </c>
      <c r="AA127" s="29">
        <v>1679</v>
      </c>
      <c r="AB127" s="29">
        <v>2174</v>
      </c>
      <c r="AC127" s="29"/>
      <c r="AD127" s="29"/>
      <c r="AE127" s="29"/>
      <c r="AG127" s="105">
        <v>70</v>
      </c>
      <c r="AH127" s="105">
        <v>61</v>
      </c>
      <c r="AI127" s="105">
        <v>47</v>
      </c>
      <c r="AJ127" s="105">
        <v>42</v>
      </c>
      <c r="AK127" s="105">
        <v>30</v>
      </c>
      <c r="AL127" s="107">
        <v>2</v>
      </c>
      <c r="AM127" s="107">
        <v>3</v>
      </c>
    </row>
    <row r="128" spans="1:40" x14ac:dyDescent="0.25">
      <c r="A128" s="26" t="s">
        <v>263</v>
      </c>
      <c r="B128" s="124">
        <v>2</v>
      </c>
      <c r="C128" s="90">
        <v>26850</v>
      </c>
      <c r="D128" s="90">
        <v>30700</v>
      </c>
      <c r="E128" s="90">
        <v>34550</v>
      </c>
      <c r="F128" s="90">
        <v>38350</v>
      </c>
      <c r="G128" s="90">
        <v>41450</v>
      </c>
      <c r="H128" s="90">
        <v>44500</v>
      </c>
      <c r="I128" s="90">
        <v>47600</v>
      </c>
      <c r="J128" s="29">
        <v>50650</v>
      </c>
      <c r="K128" s="29">
        <v>42950</v>
      </c>
      <c r="L128" s="29">
        <v>49100</v>
      </c>
      <c r="M128" s="29">
        <v>55250</v>
      </c>
      <c r="N128" s="29">
        <v>61350</v>
      </c>
      <c r="O128" s="29">
        <v>66300</v>
      </c>
      <c r="P128" s="29">
        <v>71200</v>
      </c>
      <c r="Q128" s="29">
        <v>76100</v>
      </c>
      <c r="R128" s="29">
        <v>81000</v>
      </c>
      <c r="S128" s="29">
        <v>738</v>
      </c>
      <c r="T128" s="29">
        <v>824</v>
      </c>
      <c r="U128" s="29">
        <v>1043</v>
      </c>
      <c r="V128" s="29">
        <v>1343</v>
      </c>
      <c r="W128" s="29">
        <v>1538</v>
      </c>
      <c r="X128" s="29">
        <v>744</v>
      </c>
      <c r="Y128" s="29">
        <v>788</v>
      </c>
      <c r="Z128" s="29">
        <v>995</v>
      </c>
      <c r="AA128" s="29">
        <v>1296</v>
      </c>
      <c r="AB128" s="29">
        <v>1468</v>
      </c>
      <c r="AC128" s="29">
        <v>370</v>
      </c>
      <c r="AD128" s="29"/>
      <c r="AE128" s="29">
        <v>852</v>
      </c>
      <c r="AF128" t="s">
        <v>618</v>
      </c>
      <c r="AG128" s="106">
        <v>63</v>
      </c>
      <c r="AH128" s="106">
        <v>55</v>
      </c>
      <c r="AI128" s="106">
        <v>42</v>
      </c>
      <c r="AJ128" s="106">
        <v>38</v>
      </c>
      <c r="AK128" s="106">
        <v>27</v>
      </c>
      <c r="AL128" s="107">
        <v>1</v>
      </c>
      <c r="AM128" s="107">
        <v>1</v>
      </c>
    </row>
    <row r="129" spans="1:39" x14ac:dyDescent="0.25">
      <c r="A129" s="88" t="s">
        <v>264</v>
      </c>
      <c r="B129" s="125">
        <v>3</v>
      </c>
      <c r="C129" s="90">
        <v>33050</v>
      </c>
      <c r="D129" s="90">
        <v>37800</v>
      </c>
      <c r="E129" s="90">
        <v>42500</v>
      </c>
      <c r="F129" s="90">
        <v>47200</v>
      </c>
      <c r="G129" s="90">
        <v>51000</v>
      </c>
      <c r="H129" s="90">
        <v>54800</v>
      </c>
      <c r="I129" s="90">
        <v>58550</v>
      </c>
      <c r="J129" s="29">
        <v>62350</v>
      </c>
      <c r="K129" s="29">
        <v>52850</v>
      </c>
      <c r="L129" s="29">
        <v>60400</v>
      </c>
      <c r="M129" s="29">
        <v>67950</v>
      </c>
      <c r="N129" s="29">
        <v>75500</v>
      </c>
      <c r="O129" s="29">
        <v>81550</v>
      </c>
      <c r="P129" s="29">
        <v>87600</v>
      </c>
      <c r="Q129" s="29">
        <v>93650</v>
      </c>
      <c r="R129" s="29">
        <v>99700</v>
      </c>
      <c r="S129" s="29">
        <v>1107</v>
      </c>
      <c r="T129" s="29">
        <v>1114</v>
      </c>
      <c r="U129" s="29">
        <v>1282</v>
      </c>
      <c r="V129" s="29">
        <v>1796</v>
      </c>
      <c r="W129" s="29">
        <v>2092</v>
      </c>
      <c r="X129" s="29">
        <v>1079</v>
      </c>
      <c r="Y129" s="29">
        <v>1085</v>
      </c>
      <c r="Z129" s="29">
        <v>1263</v>
      </c>
      <c r="AA129" s="29">
        <v>1777</v>
      </c>
      <c r="AB129" s="29">
        <v>2114</v>
      </c>
      <c r="AG129" s="105">
        <v>70</v>
      </c>
      <c r="AH129" s="105">
        <v>61</v>
      </c>
      <c r="AI129" s="105">
        <v>47</v>
      </c>
      <c r="AJ129" s="105">
        <v>42</v>
      </c>
      <c r="AK129" s="105">
        <v>30</v>
      </c>
      <c r="AL129" s="107">
        <v>3</v>
      </c>
      <c r="AM129" s="107">
        <v>1</v>
      </c>
    </row>
    <row r="130" spans="1:39" x14ac:dyDescent="0.25">
      <c r="A130" s="88" t="s">
        <v>265</v>
      </c>
      <c r="B130" s="124">
        <v>2</v>
      </c>
      <c r="C130" s="90">
        <v>31650</v>
      </c>
      <c r="D130" s="90">
        <v>36150</v>
      </c>
      <c r="E130" s="90">
        <v>40650</v>
      </c>
      <c r="F130" s="90">
        <v>45150</v>
      </c>
      <c r="G130" s="90">
        <v>48800</v>
      </c>
      <c r="H130" s="90">
        <v>52400</v>
      </c>
      <c r="I130" s="90">
        <v>56000</v>
      </c>
      <c r="J130" s="29">
        <v>59600</v>
      </c>
      <c r="K130" s="29">
        <v>50600</v>
      </c>
      <c r="L130" s="29">
        <v>57800</v>
      </c>
      <c r="M130" s="29">
        <v>65050</v>
      </c>
      <c r="N130" s="29">
        <v>72250</v>
      </c>
      <c r="O130" s="29">
        <v>78050</v>
      </c>
      <c r="P130" s="29">
        <v>83850</v>
      </c>
      <c r="Q130" s="29">
        <v>89600</v>
      </c>
      <c r="R130" s="29">
        <v>95400</v>
      </c>
      <c r="S130" s="29">
        <v>868</v>
      </c>
      <c r="T130" s="29">
        <v>873</v>
      </c>
      <c r="U130" s="29">
        <v>1078</v>
      </c>
      <c r="V130" s="29">
        <v>1511</v>
      </c>
      <c r="W130" s="29">
        <v>1690</v>
      </c>
      <c r="X130" s="29">
        <v>981</v>
      </c>
      <c r="Y130" s="29">
        <v>986</v>
      </c>
      <c r="Z130" s="29">
        <v>1224</v>
      </c>
      <c r="AA130" s="29">
        <v>1724</v>
      </c>
      <c r="AB130" s="29">
        <v>1977</v>
      </c>
      <c r="AG130" s="106">
        <v>68</v>
      </c>
      <c r="AH130" s="106">
        <v>59</v>
      </c>
      <c r="AI130" s="106">
        <v>45</v>
      </c>
      <c r="AJ130" s="106">
        <v>41</v>
      </c>
      <c r="AK130" s="106">
        <v>29</v>
      </c>
      <c r="AL130" s="107">
        <v>1</v>
      </c>
      <c r="AM130" s="107">
        <v>1</v>
      </c>
    </row>
    <row r="131" spans="1:39" x14ac:dyDescent="0.25">
      <c r="A131" s="88" t="s">
        <v>266</v>
      </c>
      <c r="B131" s="124">
        <v>2</v>
      </c>
      <c r="C131" s="90">
        <v>37300</v>
      </c>
      <c r="D131" s="90">
        <v>42600</v>
      </c>
      <c r="E131" s="90">
        <v>47950</v>
      </c>
      <c r="F131" s="90">
        <v>53250</v>
      </c>
      <c r="G131" s="90">
        <v>57550</v>
      </c>
      <c r="H131" s="90">
        <v>61800</v>
      </c>
      <c r="I131" s="90">
        <v>66050</v>
      </c>
      <c r="J131" s="29">
        <v>70300</v>
      </c>
      <c r="K131" s="29">
        <v>59650</v>
      </c>
      <c r="L131" s="29">
        <v>68200</v>
      </c>
      <c r="M131" s="29">
        <v>76700</v>
      </c>
      <c r="N131" s="29">
        <v>85200</v>
      </c>
      <c r="O131" s="29">
        <v>92050</v>
      </c>
      <c r="P131" s="29">
        <v>98850</v>
      </c>
      <c r="Q131" s="29">
        <v>105650</v>
      </c>
      <c r="R131" s="29">
        <v>112500</v>
      </c>
      <c r="S131" s="29">
        <v>1475</v>
      </c>
      <c r="T131" s="29">
        <v>1483</v>
      </c>
      <c r="U131" s="29">
        <v>1696</v>
      </c>
      <c r="V131" s="29">
        <v>2361</v>
      </c>
      <c r="W131" s="29">
        <v>2809</v>
      </c>
      <c r="X131" s="29">
        <v>1406</v>
      </c>
      <c r="Y131" s="29">
        <v>1415</v>
      </c>
      <c r="Z131" s="29">
        <v>1642</v>
      </c>
      <c r="AA131" s="29">
        <v>2286</v>
      </c>
      <c r="AB131" s="29">
        <v>2785</v>
      </c>
      <c r="AG131" s="106">
        <v>68</v>
      </c>
      <c r="AH131" s="106">
        <v>59</v>
      </c>
      <c r="AI131" s="106">
        <v>45</v>
      </c>
      <c r="AJ131" s="106">
        <v>41</v>
      </c>
      <c r="AK131" s="106">
        <v>29</v>
      </c>
      <c r="AL131" s="107">
        <v>2</v>
      </c>
      <c r="AM131" s="107">
        <v>2</v>
      </c>
    </row>
    <row r="132" spans="1:39" x14ac:dyDescent="0.25">
      <c r="A132" s="88" t="s">
        <v>267</v>
      </c>
      <c r="B132" s="124">
        <v>2</v>
      </c>
      <c r="C132" s="90">
        <v>39600</v>
      </c>
      <c r="D132" s="90">
        <v>45250</v>
      </c>
      <c r="E132" s="90">
        <v>50900</v>
      </c>
      <c r="F132" s="90">
        <v>56550</v>
      </c>
      <c r="G132" s="90">
        <v>61100</v>
      </c>
      <c r="H132" s="90">
        <v>65600</v>
      </c>
      <c r="I132" s="90">
        <v>70150</v>
      </c>
      <c r="J132" s="29">
        <v>74650</v>
      </c>
      <c r="K132" s="29">
        <v>63350</v>
      </c>
      <c r="L132" s="29">
        <v>72400</v>
      </c>
      <c r="M132" s="29">
        <v>81450</v>
      </c>
      <c r="N132" s="29">
        <v>90500</v>
      </c>
      <c r="O132" s="29">
        <v>97750</v>
      </c>
      <c r="P132" s="29">
        <v>105000</v>
      </c>
      <c r="Q132" s="29">
        <v>112250</v>
      </c>
      <c r="R132" s="29">
        <v>119500</v>
      </c>
      <c r="S132" s="29">
        <v>1095</v>
      </c>
      <c r="T132" s="29">
        <v>1253</v>
      </c>
      <c r="U132" s="29">
        <v>1569</v>
      </c>
      <c r="V132" s="29">
        <v>1952</v>
      </c>
      <c r="W132" s="29">
        <v>2635</v>
      </c>
      <c r="X132" s="29">
        <v>1081</v>
      </c>
      <c r="Y132" s="29">
        <v>1214</v>
      </c>
      <c r="Z132" s="29">
        <v>1529</v>
      </c>
      <c r="AA132" s="29">
        <v>1907</v>
      </c>
      <c r="AB132" s="29">
        <v>2581</v>
      </c>
      <c r="AG132" s="105">
        <v>70</v>
      </c>
      <c r="AH132" s="105">
        <v>61</v>
      </c>
      <c r="AI132" s="105">
        <v>47</v>
      </c>
      <c r="AJ132" s="105">
        <v>42</v>
      </c>
      <c r="AK132" s="105">
        <v>30</v>
      </c>
      <c r="AL132" s="107">
        <v>2</v>
      </c>
      <c r="AM132" s="107">
        <v>1</v>
      </c>
    </row>
    <row r="133" spans="1:39" x14ac:dyDescent="0.25">
      <c r="A133" s="88" t="s">
        <v>268</v>
      </c>
      <c r="B133" s="124">
        <v>2</v>
      </c>
      <c r="C133" s="90">
        <v>27350</v>
      </c>
      <c r="D133" s="90">
        <v>31250</v>
      </c>
      <c r="E133" s="90">
        <v>35150</v>
      </c>
      <c r="F133" s="90">
        <v>39050</v>
      </c>
      <c r="G133" s="90">
        <v>42200</v>
      </c>
      <c r="H133" s="90">
        <v>45300</v>
      </c>
      <c r="I133" s="90">
        <v>48450</v>
      </c>
      <c r="J133" s="29">
        <v>51550</v>
      </c>
      <c r="K133" s="29">
        <v>43750</v>
      </c>
      <c r="L133" s="29">
        <v>50000</v>
      </c>
      <c r="M133" s="29">
        <v>56250</v>
      </c>
      <c r="N133" s="29">
        <v>62500</v>
      </c>
      <c r="O133" s="29">
        <v>67500</v>
      </c>
      <c r="P133" s="29">
        <v>72500</v>
      </c>
      <c r="Q133" s="29">
        <v>77500</v>
      </c>
      <c r="R133" s="29">
        <v>82500</v>
      </c>
      <c r="S133" s="29">
        <v>657</v>
      </c>
      <c r="T133" s="29">
        <v>661</v>
      </c>
      <c r="U133" s="29">
        <v>851</v>
      </c>
      <c r="V133" s="29">
        <v>1127</v>
      </c>
      <c r="W133" s="29">
        <v>1429</v>
      </c>
      <c r="X133" s="29">
        <v>803</v>
      </c>
      <c r="Y133" s="29">
        <v>807</v>
      </c>
      <c r="Z133" s="29">
        <v>995</v>
      </c>
      <c r="AA133" s="29">
        <v>1357</v>
      </c>
      <c r="AB133" s="29">
        <v>1689</v>
      </c>
      <c r="AG133" s="105">
        <v>63</v>
      </c>
      <c r="AH133" s="105">
        <v>55</v>
      </c>
      <c r="AI133" s="105">
        <v>42</v>
      </c>
      <c r="AJ133" s="105">
        <v>38</v>
      </c>
      <c r="AK133" s="105">
        <v>27</v>
      </c>
      <c r="AL133" s="107">
        <v>1</v>
      </c>
      <c r="AM133" s="107">
        <v>1</v>
      </c>
    </row>
    <row r="134" spans="1:39" x14ac:dyDescent="0.25">
      <c r="A134" s="88" t="s">
        <v>269</v>
      </c>
      <c r="B134" s="124">
        <v>2</v>
      </c>
      <c r="C134" s="90">
        <v>29350</v>
      </c>
      <c r="D134" s="90">
        <v>33550</v>
      </c>
      <c r="E134" s="90">
        <v>37750</v>
      </c>
      <c r="F134" s="90">
        <v>41900</v>
      </c>
      <c r="G134" s="90">
        <v>45300</v>
      </c>
      <c r="H134" s="90">
        <v>48650</v>
      </c>
      <c r="I134" s="90">
        <v>52000</v>
      </c>
      <c r="J134" s="29">
        <v>55350</v>
      </c>
      <c r="K134" s="29">
        <v>46950</v>
      </c>
      <c r="L134" s="29">
        <v>53650</v>
      </c>
      <c r="M134" s="29">
        <v>60350</v>
      </c>
      <c r="N134" s="29">
        <v>67050</v>
      </c>
      <c r="O134" s="29">
        <v>72450</v>
      </c>
      <c r="P134" s="29">
        <v>77800</v>
      </c>
      <c r="Q134" s="29">
        <v>83150</v>
      </c>
      <c r="R134" s="29">
        <v>88550</v>
      </c>
      <c r="S134" s="29">
        <v>655</v>
      </c>
      <c r="T134" s="29">
        <v>659</v>
      </c>
      <c r="U134" s="29">
        <v>853</v>
      </c>
      <c r="V134" s="29">
        <v>1077</v>
      </c>
      <c r="W134" s="29">
        <v>1432</v>
      </c>
      <c r="X134" s="29">
        <v>759</v>
      </c>
      <c r="Y134" s="29">
        <v>764</v>
      </c>
      <c r="Z134" s="29">
        <v>1004</v>
      </c>
      <c r="AA134" s="29">
        <v>1216</v>
      </c>
      <c r="AB134" s="29">
        <v>1703</v>
      </c>
      <c r="AG134" s="105">
        <v>63</v>
      </c>
      <c r="AH134" s="105">
        <v>55</v>
      </c>
      <c r="AI134" s="105">
        <v>42</v>
      </c>
      <c r="AJ134" s="105">
        <v>38</v>
      </c>
      <c r="AK134" s="105">
        <v>27</v>
      </c>
      <c r="AL134" s="107">
        <v>1</v>
      </c>
      <c r="AM134" s="107">
        <v>1</v>
      </c>
    </row>
    <row r="135" spans="1:39" x14ac:dyDescent="0.25">
      <c r="A135" s="88" t="s">
        <v>270</v>
      </c>
      <c r="B135" s="125">
        <v>3</v>
      </c>
      <c r="C135" s="90">
        <v>37300</v>
      </c>
      <c r="D135" s="90">
        <v>42600</v>
      </c>
      <c r="E135" s="90">
        <v>47950</v>
      </c>
      <c r="F135" s="90">
        <v>53250</v>
      </c>
      <c r="G135" s="90">
        <v>57550</v>
      </c>
      <c r="H135" s="90">
        <v>61800</v>
      </c>
      <c r="I135" s="90">
        <v>66050</v>
      </c>
      <c r="J135" s="29">
        <v>70300</v>
      </c>
      <c r="K135" s="29">
        <v>59650</v>
      </c>
      <c r="L135" s="29">
        <v>68200</v>
      </c>
      <c r="M135" s="29">
        <v>76700</v>
      </c>
      <c r="N135" s="29">
        <v>85200</v>
      </c>
      <c r="O135" s="29">
        <v>92050</v>
      </c>
      <c r="P135" s="29">
        <v>98850</v>
      </c>
      <c r="Q135" s="29">
        <v>105650</v>
      </c>
      <c r="R135" s="29">
        <v>112500</v>
      </c>
      <c r="S135" s="29">
        <v>1475</v>
      </c>
      <c r="T135" s="29">
        <v>1483</v>
      </c>
      <c r="U135" s="29">
        <v>1696</v>
      </c>
      <c r="V135" s="29">
        <v>2361</v>
      </c>
      <c r="W135" s="29">
        <v>2809</v>
      </c>
      <c r="X135" s="29">
        <v>1406</v>
      </c>
      <c r="Y135" s="29">
        <v>1415</v>
      </c>
      <c r="Z135" s="29">
        <v>1642</v>
      </c>
      <c r="AA135" s="29">
        <v>2286</v>
      </c>
      <c r="AB135" s="29">
        <v>2785</v>
      </c>
      <c r="AG135" s="106">
        <v>68</v>
      </c>
      <c r="AH135" s="106">
        <v>59</v>
      </c>
      <c r="AI135" s="106">
        <v>45</v>
      </c>
      <c r="AJ135" s="106">
        <v>41</v>
      </c>
      <c r="AK135" s="106">
        <v>29</v>
      </c>
      <c r="AL135" s="107">
        <v>1</v>
      </c>
      <c r="AM135" s="107">
        <v>2</v>
      </c>
    </row>
  </sheetData>
  <sortState xmlns:xlrd2="http://schemas.microsoft.com/office/spreadsheetml/2017/richdata2" ref="A39:AO109">
    <sortCondition ref="A39:A109"/>
  </sortState>
  <mergeCells count="5">
    <mergeCell ref="AG1:AK1"/>
    <mergeCell ref="AC1:AE1"/>
    <mergeCell ref="S1:W1"/>
    <mergeCell ref="C1:J1"/>
    <mergeCell ref="X1:AB1"/>
  </mergeCells>
  <phoneticPr fontId="24" type="noConversion"/>
  <pageMargins left="0.7" right="0.7" top="0.75" bottom="0.75" header="0.3" footer="0.3"/>
  <drawing r:id="rId1"/>
</worksheet>
</file>

<file path=xl/worksheets/sheet1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B2C2E47-E905-4A55-94EB-78623C8A4ECA}">
  <sheetPr codeName="Sheet16"/>
  <dimension ref="A2:N24"/>
  <sheetViews>
    <sheetView workbookViewId="0">
      <selection activeCell="A36" sqref="A36"/>
    </sheetView>
  </sheetViews>
  <sheetFormatPr defaultRowHeight="15" x14ac:dyDescent="0.25"/>
  <cols>
    <col min="1" max="1" width="26.140625" customWidth="1"/>
    <col min="2" max="2" width="20" style="29" customWidth="1"/>
    <col min="3" max="9" width="16.140625" customWidth="1"/>
  </cols>
  <sheetData>
    <row r="2" spans="1:14" x14ac:dyDescent="0.25">
      <c r="A2" s="154" t="s">
        <v>700</v>
      </c>
      <c r="B2" s="29" t="s">
        <v>735</v>
      </c>
    </row>
    <row r="4" spans="1:14" x14ac:dyDescent="0.25">
      <c r="A4" t="s">
        <v>619</v>
      </c>
      <c r="I4" s="29" t="s">
        <v>391</v>
      </c>
      <c r="J4" t="s">
        <v>392</v>
      </c>
      <c r="K4" t="s">
        <v>393</v>
      </c>
      <c r="L4" t="s">
        <v>394</v>
      </c>
      <c r="M4" t="s">
        <v>395</v>
      </c>
      <c r="N4" t="s">
        <v>396</v>
      </c>
    </row>
    <row r="5" spans="1:14" x14ac:dyDescent="0.25">
      <c r="A5" t="s">
        <v>305</v>
      </c>
      <c r="B5" s="29" t="s">
        <v>391</v>
      </c>
      <c r="C5" t="s">
        <v>392</v>
      </c>
      <c r="D5" t="s">
        <v>393</v>
      </c>
      <c r="E5" t="s">
        <v>394</v>
      </c>
      <c r="F5" t="s">
        <v>395</v>
      </c>
      <c r="G5" t="s">
        <v>396</v>
      </c>
      <c r="M5" t="s">
        <v>395</v>
      </c>
      <c r="N5" t="s">
        <v>396</v>
      </c>
    </row>
    <row r="6" spans="1:14" x14ac:dyDescent="0.25">
      <c r="A6">
        <v>0</v>
      </c>
      <c r="B6" s="29">
        <v>19104</v>
      </c>
      <c r="C6" s="29">
        <v>664</v>
      </c>
      <c r="D6" s="147">
        <v>7.6499999999999999E-2</v>
      </c>
      <c r="E6" s="41">
        <v>7.6499999999999999E-2</v>
      </c>
      <c r="F6" s="29">
        <v>8680</v>
      </c>
      <c r="G6" s="29">
        <v>10860</v>
      </c>
      <c r="I6" s="29">
        <v>18591</v>
      </c>
      <c r="J6" s="29">
        <v>632</v>
      </c>
      <c r="K6" s="147">
        <v>7.6499999999999999E-2</v>
      </c>
      <c r="L6" s="41">
        <v>7.6499999999999999E-2</v>
      </c>
      <c r="M6" s="29">
        <v>8260</v>
      </c>
      <c r="N6" s="29">
        <v>10330</v>
      </c>
    </row>
    <row r="7" spans="1:14" x14ac:dyDescent="0.25">
      <c r="A7">
        <v>1</v>
      </c>
      <c r="B7" s="29">
        <v>50434</v>
      </c>
      <c r="C7" s="29">
        <v>4427</v>
      </c>
      <c r="D7" s="147">
        <v>0.34</v>
      </c>
      <c r="E7" s="41">
        <v>0.1598</v>
      </c>
      <c r="F7" s="29">
        <v>13020</v>
      </c>
      <c r="G7" s="29">
        <v>23890</v>
      </c>
      <c r="I7" s="29">
        <v>49084</v>
      </c>
      <c r="J7" s="29">
        <v>4213</v>
      </c>
      <c r="K7" s="147">
        <v>0.34</v>
      </c>
      <c r="L7" s="41">
        <v>0.1598</v>
      </c>
      <c r="M7" s="29">
        <v>12390</v>
      </c>
      <c r="N7" s="29">
        <v>22720</v>
      </c>
    </row>
    <row r="8" spans="1:14" x14ac:dyDescent="0.25">
      <c r="A8">
        <v>2</v>
      </c>
      <c r="B8" s="29">
        <v>57310</v>
      </c>
      <c r="C8" s="29">
        <v>7316</v>
      </c>
      <c r="D8" s="147">
        <v>0.4</v>
      </c>
      <c r="E8" s="41">
        <v>0.21060000000000001</v>
      </c>
      <c r="F8" s="29">
        <v>18290</v>
      </c>
      <c r="G8" s="29">
        <v>23890</v>
      </c>
      <c r="H8" s="29"/>
      <c r="I8" s="29">
        <v>55768</v>
      </c>
      <c r="J8" s="29">
        <v>6960</v>
      </c>
      <c r="K8" s="147">
        <v>0.4</v>
      </c>
      <c r="L8" s="41">
        <v>0.21060000000000001</v>
      </c>
      <c r="M8" s="29">
        <v>17400</v>
      </c>
      <c r="N8" s="29">
        <v>22720</v>
      </c>
    </row>
    <row r="9" spans="1:14" x14ac:dyDescent="0.25">
      <c r="A9">
        <v>3</v>
      </c>
      <c r="B9" s="29">
        <v>61555</v>
      </c>
      <c r="C9" s="29">
        <v>8231</v>
      </c>
      <c r="D9" s="147">
        <v>0.45</v>
      </c>
      <c r="E9" s="41">
        <v>0.21060000000000001</v>
      </c>
      <c r="F9" s="29">
        <v>18290</v>
      </c>
      <c r="G9" s="29">
        <v>23890</v>
      </c>
      <c r="I9" s="29">
        <v>59899</v>
      </c>
      <c r="J9" s="29">
        <v>7830</v>
      </c>
      <c r="K9" s="147">
        <v>0.45</v>
      </c>
      <c r="L9" s="41">
        <v>0.21060000000000001</v>
      </c>
      <c r="M9" s="29">
        <v>17400</v>
      </c>
      <c r="N9" s="29">
        <v>22720</v>
      </c>
    </row>
    <row r="10" spans="1:14" x14ac:dyDescent="0.25">
      <c r="A10">
        <v>4</v>
      </c>
      <c r="B10" s="29">
        <v>61555</v>
      </c>
      <c r="C10" s="29">
        <v>8231</v>
      </c>
      <c r="D10" s="147">
        <v>0.45</v>
      </c>
      <c r="E10" s="41">
        <v>0.21060000000000001</v>
      </c>
      <c r="F10" s="29">
        <v>18290</v>
      </c>
      <c r="G10" s="29">
        <v>23890</v>
      </c>
      <c r="I10" s="29">
        <v>59899</v>
      </c>
      <c r="J10" s="29">
        <v>7830</v>
      </c>
      <c r="K10" s="147">
        <v>0.45</v>
      </c>
      <c r="L10" s="41">
        <v>0.21060000000000001</v>
      </c>
      <c r="M10" s="29">
        <v>17400</v>
      </c>
      <c r="N10" s="29">
        <v>22720</v>
      </c>
    </row>
    <row r="11" spans="1:14" x14ac:dyDescent="0.25">
      <c r="A11">
        <v>5</v>
      </c>
      <c r="B11" s="29">
        <v>61555</v>
      </c>
      <c r="C11" s="29">
        <v>8231</v>
      </c>
      <c r="D11" s="147">
        <v>0.45</v>
      </c>
      <c r="E11" s="41">
        <v>0.21060000000000001</v>
      </c>
      <c r="F11" s="29">
        <v>18290</v>
      </c>
      <c r="G11" s="29">
        <v>23890</v>
      </c>
      <c r="I11" s="29">
        <v>59899</v>
      </c>
      <c r="J11" s="29">
        <v>7830</v>
      </c>
      <c r="K11" s="147">
        <v>0.45</v>
      </c>
      <c r="L11" s="41">
        <v>0.21060000000000001</v>
      </c>
      <c r="M11" s="29">
        <v>17400</v>
      </c>
      <c r="N11" s="29">
        <v>22720</v>
      </c>
    </row>
    <row r="12" spans="1:14" x14ac:dyDescent="0.25">
      <c r="A12">
        <v>6</v>
      </c>
      <c r="B12" s="29">
        <v>61555</v>
      </c>
      <c r="C12" s="29">
        <v>8231</v>
      </c>
      <c r="D12" s="147">
        <v>0.45</v>
      </c>
      <c r="E12" s="41">
        <v>0.21060000000000001</v>
      </c>
      <c r="F12" s="29">
        <v>18290</v>
      </c>
      <c r="G12" s="29">
        <v>23890</v>
      </c>
      <c r="I12" s="29">
        <v>59899</v>
      </c>
      <c r="J12" s="29">
        <v>7830</v>
      </c>
      <c r="K12" s="147">
        <v>0.45</v>
      </c>
      <c r="L12" s="41">
        <v>0.21060000000000001</v>
      </c>
      <c r="M12" s="29">
        <v>17400</v>
      </c>
      <c r="N12" s="29">
        <v>22720</v>
      </c>
    </row>
    <row r="13" spans="1:14" x14ac:dyDescent="0.25">
      <c r="A13">
        <v>7</v>
      </c>
      <c r="B13" s="29">
        <v>61555</v>
      </c>
      <c r="C13" s="29">
        <v>8231</v>
      </c>
      <c r="D13" s="147">
        <v>0.45</v>
      </c>
      <c r="E13" s="41">
        <v>0.21060000000000001</v>
      </c>
      <c r="F13" s="29">
        <v>18290</v>
      </c>
      <c r="G13" s="29">
        <v>23890</v>
      </c>
      <c r="I13" s="29">
        <v>59899</v>
      </c>
      <c r="J13" s="29">
        <v>7830</v>
      </c>
      <c r="K13" s="147">
        <v>0.45</v>
      </c>
      <c r="L13" s="41">
        <v>0.21060000000000001</v>
      </c>
      <c r="M13" s="29">
        <v>17400</v>
      </c>
      <c r="N13" s="29">
        <v>22720</v>
      </c>
    </row>
    <row r="14" spans="1:14" x14ac:dyDescent="0.25">
      <c r="C14" s="29"/>
      <c r="I14" s="29"/>
      <c r="J14" s="29"/>
    </row>
    <row r="15" spans="1:14" x14ac:dyDescent="0.25">
      <c r="A15" t="s">
        <v>620</v>
      </c>
      <c r="C15" s="29"/>
      <c r="I15" s="29"/>
      <c r="J15" s="29"/>
    </row>
    <row r="16" spans="1:14" x14ac:dyDescent="0.25">
      <c r="A16" t="s">
        <v>305</v>
      </c>
      <c r="C16" s="29"/>
      <c r="I16" s="29"/>
      <c r="J16" s="29"/>
    </row>
    <row r="17" spans="1:14" x14ac:dyDescent="0.25">
      <c r="A17">
        <v>0</v>
      </c>
      <c r="B17" s="29">
        <v>26214</v>
      </c>
      <c r="C17" s="29">
        <v>664</v>
      </c>
      <c r="D17" s="147">
        <v>7.6499999999999999E-2</v>
      </c>
      <c r="E17" s="41">
        <v>6.5000000000000002E-2</v>
      </c>
      <c r="F17" s="29">
        <v>8680</v>
      </c>
      <c r="G17" s="29">
        <v>18140</v>
      </c>
      <c r="H17" s="29"/>
      <c r="I17" s="29">
        <v>25511</v>
      </c>
      <c r="J17" s="29">
        <v>632</v>
      </c>
      <c r="K17" s="147">
        <v>7.6499999999999999E-2</v>
      </c>
      <c r="L17" s="41">
        <v>6.5000000000000002E-2</v>
      </c>
      <c r="M17" s="29">
        <v>8260</v>
      </c>
      <c r="N17" s="29">
        <f>N6+5000</f>
        <v>15330</v>
      </c>
    </row>
    <row r="18" spans="1:14" x14ac:dyDescent="0.25">
      <c r="A18">
        <v>1</v>
      </c>
      <c r="B18" s="29">
        <v>57554</v>
      </c>
      <c r="C18" s="29">
        <v>4427</v>
      </c>
      <c r="D18" s="147">
        <v>0.34</v>
      </c>
      <c r="E18" s="41">
        <v>0.1598</v>
      </c>
      <c r="F18" s="29">
        <v>13020</v>
      </c>
      <c r="G18" s="29">
        <v>31160</v>
      </c>
      <c r="I18" s="29">
        <v>56004</v>
      </c>
      <c r="J18" s="29">
        <v>4213</v>
      </c>
      <c r="K18" s="147">
        <v>0.34</v>
      </c>
      <c r="L18" s="41">
        <v>0.1598</v>
      </c>
      <c r="M18" s="29">
        <v>12390</v>
      </c>
      <c r="N18" s="29">
        <f t="shared" ref="N18:N24" si="0">N7+5000</f>
        <v>27720</v>
      </c>
    </row>
    <row r="19" spans="1:14" x14ac:dyDescent="0.25">
      <c r="A19">
        <v>2</v>
      </c>
      <c r="B19" s="29">
        <v>64430</v>
      </c>
      <c r="C19" s="29">
        <v>7316</v>
      </c>
      <c r="D19" s="147">
        <v>0.4</v>
      </c>
      <c r="E19" s="41">
        <v>0.21060000000000001</v>
      </c>
      <c r="F19" s="29">
        <v>18290</v>
      </c>
      <c r="G19" s="29">
        <v>31160</v>
      </c>
      <c r="I19" s="29">
        <v>62688</v>
      </c>
      <c r="J19" s="29">
        <v>6960</v>
      </c>
      <c r="K19" s="147">
        <v>0.4</v>
      </c>
      <c r="L19" s="41">
        <v>0.21060000000000001</v>
      </c>
      <c r="M19" s="29">
        <v>17400</v>
      </c>
      <c r="N19" s="29">
        <f t="shared" si="0"/>
        <v>27720</v>
      </c>
    </row>
    <row r="20" spans="1:14" x14ac:dyDescent="0.25">
      <c r="A20">
        <v>3</v>
      </c>
      <c r="B20" s="29">
        <v>68675</v>
      </c>
      <c r="C20" s="29">
        <v>8231</v>
      </c>
      <c r="D20" s="147">
        <v>0.45</v>
      </c>
      <c r="E20" s="41">
        <v>0.21060000000000001</v>
      </c>
      <c r="F20" s="29">
        <v>18290</v>
      </c>
      <c r="G20" s="29">
        <v>31160</v>
      </c>
      <c r="I20" s="29">
        <v>66819</v>
      </c>
      <c r="J20" s="29">
        <v>7830</v>
      </c>
      <c r="K20" s="147">
        <v>0.45</v>
      </c>
      <c r="L20" s="41">
        <v>0.21060000000000001</v>
      </c>
      <c r="M20" s="29">
        <v>17400</v>
      </c>
      <c r="N20" s="29">
        <f t="shared" si="0"/>
        <v>27720</v>
      </c>
    </row>
    <row r="21" spans="1:14" x14ac:dyDescent="0.25">
      <c r="A21">
        <v>4</v>
      </c>
      <c r="B21" s="29">
        <v>68675</v>
      </c>
      <c r="C21" s="29">
        <v>8231</v>
      </c>
      <c r="D21" s="147">
        <v>0.45</v>
      </c>
      <c r="E21" s="41">
        <v>0.21060000000000001</v>
      </c>
      <c r="F21" s="29">
        <v>18290</v>
      </c>
      <c r="G21" s="29">
        <v>31160</v>
      </c>
      <c r="I21" s="29">
        <v>66819</v>
      </c>
      <c r="J21" s="29">
        <v>7830</v>
      </c>
      <c r="K21" s="147">
        <v>0.45</v>
      </c>
      <c r="L21" s="41">
        <v>0.21060000000000001</v>
      </c>
      <c r="M21" s="29">
        <v>17400</v>
      </c>
      <c r="N21" s="29">
        <f t="shared" si="0"/>
        <v>27720</v>
      </c>
    </row>
    <row r="22" spans="1:14" x14ac:dyDescent="0.25">
      <c r="A22">
        <v>5</v>
      </c>
      <c r="B22" s="29">
        <v>68675</v>
      </c>
      <c r="C22" s="29">
        <v>8231</v>
      </c>
      <c r="D22" s="147">
        <v>0.45</v>
      </c>
      <c r="E22" s="41">
        <v>0.21060000000000001</v>
      </c>
      <c r="F22" s="29">
        <v>18290</v>
      </c>
      <c r="G22" s="29">
        <v>31160</v>
      </c>
      <c r="I22" s="29">
        <v>66819</v>
      </c>
      <c r="J22" s="29">
        <v>7830</v>
      </c>
      <c r="K22" s="147">
        <v>0.45</v>
      </c>
      <c r="L22" s="41">
        <v>0.21060000000000001</v>
      </c>
      <c r="M22" s="29">
        <v>17400</v>
      </c>
      <c r="N22" s="29">
        <f t="shared" si="0"/>
        <v>27720</v>
      </c>
    </row>
    <row r="23" spans="1:14" x14ac:dyDescent="0.25">
      <c r="A23">
        <v>6</v>
      </c>
      <c r="B23" s="29">
        <v>68675</v>
      </c>
      <c r="C23" s="29">
        <v>8231</v>
      </c>
      <c r="D23" s="147">
        <v>0.45</v>
      </c>
      <c r="E23" s="41">
        <v>0.21060000000000001</v>
      </c>
      <c r="F23" s="29">
        <v>18290</v>
      </c>
      <c r="G23" s="29">
        <v>31160</v>
      </c>
      <c r="I23" s="29">
        <v>66819</v>
      </c>
      <c r="J23" s="29">
        <v>7830</v>
      </c>
      <c r="K23" s="147">
        <v>0.45</v>
      </c>
      <c r="L23" s="41">
        <v>0.21060000000000001</v>
      </c>
      <c r="M23" s="29">
        <v>17400</v>
      </c>
      <c r="N23" s="29">
        <f t="shared" si="0"/>
        <v>27720</v>
      </c>
    </row>
    <row r="24" spans="1:14" x14ac:dyDescent="0.25">
      <c r="A24">
        <v>7</v>
      </c>
      <c r="B24" s="29">
        <v>68675</v>
      </c>
      <c r="C24" s="29">
        <v>8231</v>
      </c>
      <c r="D24" s="147">
        <v>0.45</v>
      </c>
      <c r="E24" s="41">
        <v>0.21060000000000001</v>
      </c>
      <c r="F24" s="29">
        <v>18290</v>
      </c>
      <c r="G24" s="29">
        <v>31160</v>
      </c>
      <c r="I24" s="29">
        <v>66819</v>
      </c>
      <c r="J24" s="29">
        <v>7830</v>
      </c>
      <c r="K24" s="147">
        <v>0.45</v>
      </c>
      <c r="L24" s="41">
        <v>0.21060000000000001</v>
      </c>
      <c r="M24" s="29">
        <v>17400</v>
      </c>
      <c r="N24" s="29">
        <f t="shared" si="0"/>
        <v>27720</v>
      </c>
    </row>
  </sheetData>
  <pageMargins left="0.7" right="0.7" top="0.75" bottom="0.75" header="0.3" footer="0.3"/>
</worksheet>
</file>

<file path=xl/worksheets/sheet2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B60D66D-A647-4DBA-92C5-913C548C0986}">
  <sheetPr codeName="Sheet15"/>
  <dimension ref="A1:M211"/>
  <sheetViews>
    <sheetView workbookViewId="0">
      <selection activeCell="J13" sqref="J13"/>
    </sheetView>
  </sheetViews>
  <sheetFormatPr defaultRowHeight="15" x14ac:dyDescent="0.25"/>
  <cols>
    <col min="1" max="1" width="16.7109375" customWidth="1"/>
    <col min="2" max="2" width="25.140625" customWidth="1"/>
    <col min="3" max="3" width="25.42578125" customWidth="1"/>
    <col min="4" max="4" width="14" customWidth="1"/>
    <col min="5" max="5" width="13.5703125" customWidth="1"/>
    <col min="10" max="10" width="13.5703125" customWidth="1"/>
    <col min="11" max="11" width="16" customWidth="1"/>
    <col min="12" max="12" width="12.28515625" customWidth="1"/>
    <col min="13" max="13" width="14.85546875" customWidth="1"/>
  </cols>
  <sheetData>
    <row r="1" spans="1:13" x14ac:dyDescent="0.25">
      <c r="A1" t="s">
        <v>621</v>
      </c>
      <c r="B1" t="s">
        <v>622</v>
      </c>
      <c r="C1" t="s">
        <v>623</v>
      </c>
      <c r="E1" t="s">
        <v>624</v>
      </c>
    </row>
    <row r="2" spans="1:13" ht="15.75" x14ac:dyDescent="0.25">
      <c r="A2" s="257">
        <v>0.1</v>
      </c>
      <c r="B2" s="258">
        <v>0</v>
      </c>
      <c r="C2" s="258">
        <v>11600</v>
      </c>
      <c r="D2" s="152">
        <v>0.1</v>
      </c>
      <c r="I2" s="259">
        <v>0.1</v>
      </c>
      <c r="J2" s="260">
        <v>0</v>
      </c>
      <c r="K2" s="260">
        <v>23200</v>
      </c>
      <c r="L2" s="152">
        <v>0.1</v>
      </c>
    </row>
    <row r="3" spans="1:13" ht="15.75" x14ac:dyDescent="0.25">
      <c r="A3" s="257">
        <v>0.12</v>
      </c>
      <c r="B3" s="258">
        <v>11601</v>
      </c>
      <c r="C3" s="258">
        <v>47150</v>
      </c>
      <c r="D3" s="257">
        <f t="shared" ref="D3:D8" si="0">A3-A2</f>
        <v>1.999999999999999E-2</v>
      </c>
      <c r="I3" s="259">
        <v>0.12</v>
      </c>
      <c r="J3" s="260">
        <v>23201</v>
      </c>
      <c r="K3" s="260">
        <v>94300</v>
      </c>
      <c r="L3" s="257">
        <f t="shared" ref="L3:L8" si="1">I3-I2</f>
        <v>1.999999999999999E-2</v>
      </c>
    </row>
    <row r="4" spans="1:13" ht="15.75" x14ac:dyDescent="0.25">
      <c r="A4" s="257">
        <v>0.22</v>
      </c>
      <c r="B4" s="258">
        <v>47151</v>
      </c>
      <c r="C4" s="258">
        <v>100525</v>
      </c>
      <c r="D4" s="257">
        <f t="shared" si="0"/>
        <v>0.1</v>
      </c>
      <c r="I4" s="259">
        <v>0.22</v>
      </c>
      <c r="J4" s="260">
        <v>94301</v>
      </c>
      <c r="K4" s="260">
        <v>201050</v>
      </c>
      <c r="L4" s="257">
        <f t="shared" si="1"/>
        <v>0.1</v>
      </c>
    </row>
    <row r="5" spans="1:13" ht="15.75" x14ac:dyDescent="0.25">
      <c r="A5" s="257">
        <v>0.24</v>
      </c>
      <c r="B5" s="258">
        <v>100526</v>
      </c>
      <c r="C5" s="258">
        <v>191950</v>
      </c>
      <c r="D5" s="257">
        <f t="shared" si="0"/>
        <v>1.999999999999999E-2</v>
      </c>
      <c r="I5" s="259">
        <v>0.24</v>
      </c>
      <c r="J5" s="260">
        <v>201051</v>
      </c>
      <c r="K5" s="260">
        <v>383900</v>
      </c>
      <c r="L5" s="257">
        <f t="shared" si="1"/>
        <v>1.999999999999999E-2</v>
      </c>
    </row>
    <row r="6" spans="1:13" ht="15.75" x14ac:dyDescent="0.25">
      <c r="A6" s="257">
        <v>0.32</v>
      </c>
      <c r="B6" s="258">
        <v>191951</v>
      </c>
      <c r="C6" s="258">
        <v>243725</v>
      </c>
      <c r="D6" s="257">
        <f t="shared" si="0"/>
        <v>8.0000000000000016E-2</v>
      </c>
      <c r="I6" s="259">
        <v>0.32</v>
      </c>
      <c r="J6" s="260">
        <v>383901</v>
      </c>
      <c r="K6" s="260">
        <v>487450</v>
      </c>
      <c r="L6" s="257">
        <f t="shared" si="1"/>
        <v>8.0000000000000016E-2</v>
      </c>
    </row>
    <row r="7" spans="1:13" ht="15.75" x14ac:dyDescent="0.25">
      <c r="A7" s="257">
        <v>0.35</v>
      </c>
      <c r="B7" s="258">
        <v>243726</v>
      </c>
      <c r="C7" s="258">
        <v>609350</v>
      </c>
      <c r="D7" s="257">
        <f t="shared" si="0"/>
        <v>2.9999999999999971E-2</v>
      </c>
      <c r="I7" s="259">
        <v>0.35</v>
      </c>
      <c r="J7" s="260">
        <v>487451</v>
      </c>
      <c r="K7" s="260">
        <v>731200</v>
      </c>
      <c r="L7" s="257">
        <f t="shared" si="1"/>
        <v>2.9999999999999971E-2</v>
      </c>
    </row>
    <row r="8" spans="1:13" ht="18.75" customHeight="1" x14ac:dyDescent="0.25">
      <c r="A8" s="257">
        <v>0.37</v>
      </c>
      <c r="B8" s="258">
        <v>609351</v>
      </c>
      <c r="C8" s="77" t="s">
        <v>625</v>
      </c>
      <c r="D8" s="257">
        <f t="shared" si="0"/>
        <v>2.0000000000000018E-2</v>
      </c>
      <c r="I8" s="259">
        <v>0.37</v>
      </c>
      <c r="J8" s="260">
        <v>731201</v>
      </c>
      <c r="K8" s="261" t="s">
        <v>625</v>
      </c>
      <c r="L8" s="257">
        <f t="shared" si="1"/>
        <v>2.0000000000000018E-2</v>
      </c>
    </row>
    <row r="9" spans="1:13" ht="16.5" customHeight="1" x14ac:dyDescent="0.3">
      <c r="A9" s="254"/>
      <c r="B9" s="465" t="s">
        <v>626</v>
      </c>
      <c r="C9" s="465"/>
      <c r="D9" s="465"/>
      <c r="E9" s="465"/>
      <c r="I9" s="465" t="s">
        <v>627</v>
      </c>
      <c r="J9" s="465"/>
      <c r="K9" s="465"/>
      <c r="L9" s="465"/>
    </row>
    <row r="10" spans="1:13" ht="24.75" customHeight="1" x14ac:dyDescent="0.25">
      <c r="B10" s="255">
        <f>A2</f>
        <v>0.1</v>
      </c>
      <c r="C10" s="255">
        <f>A3</f>
        <v>0.12</v>
      </c>
      <c r="D10" s="255">
        <f>A4</f>
        <v>0.22</v>
      </c>
      <c r="E10" s="256" t="s">
        <v>628</v>
      </c>
      <c r="J10" s="255">
        <f>I2</f>
        <v>0.1</v>
      </c>
      <c r="K10" s="255">
        <f>I3</f>
        <v>0.12</v>
      </c>
      <c r="L10" s="255">
        <f>I4</f>
        <v>0.22</v>
      </c>
      <c r="M10" s="256" t="s">
        <v>628</v>
      </c>
    </row>
    <row r="11" spans="1:13" x14ac:dyDescent="0.25">
      <c r="A11" s="105">
        <v>0</v>
      </c>
      <c r="B11" s="47">
        <f>A11*$D$2</f>
        <v>0</v>
      </c>
      <c r="C11" s="7">
        <f>IF(A11&gt;$C$2,A11*$D$3,0)</f>
        <v>0</v>
      </c>
      <c r="D11" s="7">
        <f>IF(A11&gt;$C$3,A11*$D$4,0)</f>
        <v>0</v>
      </c>
      <c r="E11" s="47">
        <f>SUM(B11:D11)</f>
        <v>0</v>
      </c>
      <c r="I11" s="105">
        <v>0</v>
      </c>
      <c r="J11" s="47">
        <f>I11*$L$2</f>
        <v>0</v>
      </c>
      <c r="K11" s="7">
        <f>IF(I11&gt;$K$2,I11*$L$3,0)</f>
        <v>0</v>
      </c>
      <c r="L11" s="7">
        <f>IF(I11&gt;$K$3,I11*$L$4,0)</f>
        <v>0</v>
      </c>
      <c r="M11" s="47">
        <f>SUM(J11:L11)</f>
        <v>0</v>
      </c>
    </row>
    <row r="12" spans="1:13" x14ac:dyDescent="0.25">
      <c r="A12" s="105">
        <v>500</v>
      </c>
      <c r="B12" s="47">
        <f t="shared" ref="B12:B75" si="2">A12*$D$2</f>
        <v>50</v>
      </c>
      <c r="C12" s="7">
        <f t="shared" ref="C12:C75" si="3">IF(A12&gt;$C$2,A12*$D$3,0)</f>
        <v>0</v>
      </c>
      <c r="D12" s="7">
        <f t="shared" ref="D12:D75" si="4">IF(A12&gt;$C$3,A12*$D$4,0)</f>
        <v>0</v>
      </c>
      <c r="E12" s="47">
        <f t="shared" ref="E12:E75" si="5">SUM(B12:D12)</f>
        <v>50</v>
      </c>
      <c r="I12" s="105">
        <v>500</v>
      </c>
      <c r="J12" s="47">
        <f t="shared" ref="J12:J75" si="6">I12*$L$2</f>
        <v>50</v>
      </c>
      <c r="K12" s="7">
        <f t="shared" ref="K12:K75" si="7">IF(I12&gt;$K$2,I12*$L$3,0)</f>
        <v>0</v>
      </c>
      <c r="L12" s="7">
        <f t="shared" ref="L12:L75" si="8">IF(I12&gt;$K$3,I12*$L$4,0)</f>
        <v>0</v>
      </c>
      <c r="M12" s="47">
        <f t="shared" ref="M12:M75" si="9">SUM(J12:L12)</f>
        <v>50</v>
      </c>
    </row>
    <row r="13" spans="1:13" x14ac:dyDescent="0.25">
      <c r="A13" s="105">
        <v>1000</v>
      </c>
      <c r="B13" s="47">
        <f t="shared" si="2"/>
        <v>100</v>
      </c>
      <c r="C13" s="7">
        <f t="shared" si="3"/>
        <v>0</v>
      </c>
      <c r="D13" s="7">
        <f t="shared" si="4"/>
        <v>0</v>
      </c>
      <c r="E13" s="47">
        <f t="shared" si="5"/>
        <v>100</v>
      </c>
      <c r="I13" s="105">
        <v>1000</v>
      </c>
      <c r="J13" s="47">
        <f t="shared" si="6"/>
        <v>100</v>
      </c>
      <c r="K13" s="7">
        <f t="shared" si="7"/>
        <v>0</v>
      </c>
      <c r="L13" s="7">
        <f t="shared" si="8"/>
        <v>0</v>
      </c>
      <c r="M13" s="47">
        <f t="shared" si="9"/>
        <v>100</v>
      </c>
    </row>
    <row r="14" spans="1:13" x14ac:dyDescent="0.25">
      <c r="A14" s="105">
        <v>1500</v>
      </c>
      <c r="B14" s="47">
        <f t="shared" si="2"/>
        <v>150</v>
      </c>
      <c r="C14" s="7">
        <f t="shared" si="3"/>
        <v>0</v>
      </c>
      <c r="D14" s="7">
        <f t="shared" si="4"/>
        <v>0</v>
      </c>
      <c r="E14" s="47">
        <f t="shared" si="5"/>
        <v>150</v>
      </c>
      <c r="I14" s="105">
        <v>1500</v>
      </c>
      <c r="J14" s="47">
        <f t="shared" si="6"/>
        <v>150</v>
      </c>
      <c r="K14" s="7">
        <f t="shared" si="7"/>
        <v>0</v>
      </c>
      <c r="L14" s="7">
        <f t="shared" si="8"/>
        <v>0</v>
      </c>
      <c r="M14" s="47">
        <f t="shared" si="9"/>
        <v>150</v>
      </c>
    </row>
    <row r="15" spans="1:13" x14ac:dyDescent="0.25">
      <c r="A15" s="105">
        <v>2000</v>
      </c>
      <c r="B15" s="47">
        <f t="shared" si="2"/>
        <v>200</v>
      </c>
      <c r="C15" s="7">
        <f t="shared" si="3"/>
        <v>0</v>
      </c>
      <c r="D15" s="7">
        <f t="shared" si="4"/>
        <v>0</v>
      </c>
      <c r="E15" s="47">
        <f t="shared" si="5"/>
        <v>200</v>
      </c>
      <c r="I15" s="105">
        <v>2000</v>
      </c>
      <c r="J15" s="47">
        <f t="shared" si="6"/>
        <v>200</v>
      </c>
      <c r="K15" s="7">
        <f t="shared" si="7"/>
        <v>0</v>
      </c>
      <c r="L15" s="7">
        <f t="shared" si="8"/>
        <v>0</v>
      </c>
      <c r="M15" s="47">
        <f t="shared" si="9"/>
        <v>200</v>
      </c>
    </row>
    <row r="16" spans="1:13" x14ac:dyDescent="0.25">
      <c r="A16" s="105">
        <v>2500</v>
      </c>
      <c r="B16" s="47">
        <f t="shared" si="2"/>
        <v>250</v>
      </c>
      <c r="C16" s="7">
        <f t="shared" si="3"/>
        <v>0</v>
      </c>
      <c r="D16" s="7">
        <f t="shared" si="4"/>
        <v>0</v>
      </c>
      <c r="E16" s="47">
        <f t="shared" si="5"/>
        <v>250</v>
      </c>
      <c r="I16" s="105">
        <v>2500</v>
      </c>
      <c r="J16" s="47">
        <f t="shared" si="6"/>
        <v>250</v>
      </c>
      <c r="K16" s="7">
        <f t="shared" si="7"/>
        <v>0</v>
      </c>
      <c r="L16" s="7">
        <f t="shared" si="8"/>
        <v>0</v>
      </c>
      <c r="M16" s="47">
        <f t="shared" si="9"/>
        <v>250</v>
      </c>
    </row>
    <row r="17" spans="1:13" x14ac:dyDescent="0.25">
      <c r="A17" s="105">
        <v>3000</v>
      </c>
      <c r="B17" s="47">
        <f t="shared" si="2"/>
        <v>300</v>
      </c>
      <c r="C17" s="7">
        <f t="shared" si="3"/>
        <v>0</v>
      </c>
      <c r="D17" s="7">
        <f t="shared" si="4"/>
        <v>0</v>
      </c>
      <c r="E17" s="47">
        <f t="shared" si="5"/>
        <v>300</v>
      </c>
      <c r="I17" s="105">
        <v>3000</v>
      </c>
      <c r="J17" s="47">
        <f t="shared" si="6"/>
        <v>300</v>
      </c>
      <c r="K17" s="7">
        <f t="shared" si="7"/>
        <v>0</v>
      </c>
      <c r="L17" s="7">
        <f t="shared" si="8"/>
        <v>0</v>
      </c>
      <c r="M17" s="47">
        <f t="shared" si="9"/>
        <v>300</v>
      </c>
    </row>
    <row r="18" spans="1:13" x14ac:dyDescent="0.25">
      <c r="A18" s="105">
        <v>3500</v>
      </c>
      <c r="B18" s="47">
        <f t="shared" si="2"/>
        <v>350</v>
      </c>
      <c r="C18" s="7">
        <f t="shared" si="3"/>
        <v>0</v>
      </c>
      <c r="D18" s="7">
        <f t="shared" si="4"/>
        <v>0</v>
      </c>
      <c r="E18" s="47">
        <f t="shared" si="5"/>
        <v>350</v>
      </c>
      <c r="I18" s="105">
        <v>3500</v>
      </c>
      <c r="J18" s="47">
        <f t="shared" si="6"/>
        <v>350</v>
      </c>
      <c r="K18" s="7">
        <f t="shared" si="7"/>
        <v>0</v>
      </c>
      <c r="L18" s="7">
        <f t="shared" si="8"/>
        <v>0</v>
      </c>
      <c r="M18" s="47">
        <f t="shared" si="9"/>
        <v>350</v>
      </c>
    </row>
    <row r="19" spans="1:13" x14ac:dyDescent="0.25">
      <c r="A19" s="105">
        <v>4000</v>
      </c>
      <c r="B19" s="47">
        <f t="shared" si="2"/>
        <v>400</v>
      </c>
      <c r="C19" s="7">
        <f t="shared" si="3"/>
        <v>0</v>
      </c>
      <c r="D19" s="7">
        <f t="shared" si="4"/>
        <v>0</v>
      </c>
      <c r="E19" s="47">
        <f t="shared" si="5"/>
        <v>400</v>
      </c>
      <c r="I19" s="105">
        <v>4000</v>
      </c>
      <c r="J19" s="47">
        <f t="shared" si="6"/>
        <v>400</v>
      </c>
      <c r="K19" s="7">
        <f t="shared" si="7"/>
        <v>0</v>
      </c>
      <c r="L19" s="7">
        <f t="shared" si="8"/>
        <v>0</v>
      </c>
      <c r="M19" s="47">
        <f t="shared" si="9"/>
        <v>400</v>
      </c>
    </row>
    <row r="20" spans="1:13" x14ac:dyDescent="0.25">
      <c r="A20" s="105">
        <v>4500</v>
      </c>
      <c r="B20" s="47">
        <f t="shared" si="2"/>
        <v>450</v>
      </c>
      <c r="C20" s="7">
        <f t="shared" si="3"/>
        <v>0</v>
      </c>
      <c r="D20" s="7">
        <f t="shared" si="4"/>
        <v>0</v>
      </c>
      <c r="E20" s="47">
        <f t="shared" si="5"/>
        <v>450</v>
      </c>
      <c r="I20" s="105">
        <v>4500</v>
      </c>
      <c r="J20" s="47">
        <f t="shared" si="6"/>
        <v>450</v>
      </c>
      <c r="K20" s="7">
        <f t="shared" si="7"/>
        <v>0</v>
      </c>
      <c r="L20" s="7">
        <f t="shared" si="8"/>
        <v>0</v>
      </c>
      <c r="M20" s="47">
        <f t="shared" si="9"/>
        <v>450</v>
      </c>
    </row>
    <row r="21" spans="1:13" x14ac:dyDescent="0.25">
      <c r="A21" s="105">
        <v>5000</v>
      </c>
      <c r="B21" s="47">
        <f t="shared" si="2"/>
        <v>500</v>
      </c>
      <c r="C21" s="7">
        <f t="shared" si="3"/>
        <v>0</v>
      </c>
      <c r="D21" s="7">
        <f t="shared" si="4"/>
        <v>0</v>
      </c>
      <c r="E21" s="47">
        <f t="shared" si="5"/>
        <v>500</v>
      </c>
      <c r="I21" s="105">
        <v>5000</v>
      </c>
      <c r="J21" s="47">
        <f t="shared" si="6"/>
        <v>500</v>
      </c>
      <c r="K21" s="7">
        <f t="shared" si="7"/>
        <v>0</v>
      </c>
      <c r="L21" s="7">
        <f t="shared" si="8"/>
        <v>0</v>
      </c>
      <c r="M21" s="47">
        <f t="shared" si="9"/>
        <v>500</v>
      </c>
    </row>
    <row r="22" spans="1:13" x14ac:dyDescent="0.25">
      <c r="A22" s="105">
        <v>5500</v>
      </c>
      <c r="B22" s="47">
        <f t="shared" si="2"/>
        <v>550</v>
      </c>
      <c r="C22" s="7">
        <f t="shared" si="3"/>
        <v>0</v>
      </c>
      <c r="D22" s="7">
        <f t="shared" si="4"/>
        <v>0</v>
      </c>
      <c r="E22" s="47">
        <f t="shared" si="5"/>
        <v>550</v>
      </c>
      <c r="I22" s="105">
        <v>5500</v>
      </c>
      <c r="J22" s="47">
        <f t="shared" si="6"/>
        <v>550</v>
      </c>
      <c r="K22" s="7">
        <f t="shared" si="7"/>
        <v>0</v>
      </c>
      <c r="L22" s="7">
        <f t="shared" si="8"/>
        <v>0</v>
      </c>
      <c r="M22" s="47">
        <f t="shared" si="9"/>
        <v>550</v>
      </c>
    </row>
    <row r="23" spans="1:13" x14ac:dyDescent="0.25">
      <c r="A23" s="105">
        <v>6000</v>
      </c>
      <c r="B23" s="47">
        <f t="shared" si="2"/>
        <v>600</v>
      </c>
      <c r="C23" s="7">
        <f t="shared" si="3"/>
        <v>0</v>
      </c>
      <c r="D23" s="7">
        <f t="shared" si="4"/>
        <v>0</v>
      </c>
      <c r="E23" s="47">
        <f t="shared" si="5"/>
        <v>600</v>
      </c>
      <c r="I23" s="105">
        <v>6000</v>
      </c>
      <c r="J23" s="47">
        <f t="shared" si="6"/>
        <v>600</v>
      </c>
      <c r="K23" s="7">
        <f t="shared" si="7"/>
        <v>0</v>
      </c>
      <c r="L23" s="7">
        <f t="shared" si="8"/>
        <v>0</v>
      </c>
      <c r="M23" s="47">
        <f t="shared" si="9"/>
        <v>600</v>
      </c>
    </row>
    <row r="24" spans="1:13" x14ac:dyDescent="0.25">
      <c r="A24" s="105">
        <v>6500</v>
      </c>
      <c r="B24" s="47">
        <f t="shared" si="2"/>
        <v>650</v>
      </c>
      <c r="C24" s="7">
        <f t="shared" si="3"/>
        <v>0</v>
      </c>
      <c r="D24" s="7">
        <f t="shared" si="4"/>
        <v>0</v>
      </c>
      <c r="E24" s="47">
        <f t="shared" si="5"/>
        <v>650</v>
      </c>
      <c r="I24" s="105">
        <v>6500</v>
      </c>
      <c r="J24" s="47">
        <f t="shared" si="6"/>
        <v>650</v>
      </c>
      <c r="K24" s="7">
        <f t="shared" si="7"/>
        <v>0</v>
      </c>
      <c r="L24" s="7">
        <f t="shared" si="8"/>
        <v>0</v>
      </c>
      <c r="M24" s="47">
        <f t="shared" si="9"/>
        <v>650</v>
      </c>
    </row>
    <row r="25" spans="1:13" x14ac:dyDescent="0.25">
      <c r="A25" s="105">
        <v>7000</v>
      </c>
      <c r="B25" s="47">
        <f t="shared" si="2"/>
        <v>700</v>
      </c>
      <c r="C25" s="7">
        <f t="shared" si="3"/>
        <v>0</v>
      </c>
      <c r="D25" s="7">
        <f t="shared" si="4"/>
        <v>0</v>
      </c>
      <c r="E25" s="47">
        <f t="shared" si="5"/>
        <v>700</v>
      </c>
      <c r="I25" s="105">
        <v>7000</v>
      </c>
      <c r="J25" s="47">
        <f t="shared" si="6"/>
        <v>700</v>
      </c>
      <c r="K25" s="7">
        <f t="shared" si="7"/>
        <v>0</v>
      </c>
      <c r="L25" s="7">
        <f t="shared" si="8"/>
        <v>0</v>
      </c>
      <c r="M25" s="47">
        <f t="shared" si="9"/>
        <v>700</v>
      </c>
    </row>
    <row r="26" spans="1:13" x14ac:dyDescent="0.25">
      <c r="A26" s="105">
        <v>7500</v>
      </c>
      <c r="B26" s="47">
        <f t="shared" si="2"/>
        <v>750</v>
      </c>
      <c r="C26" s="7">
        <f t="shared" si="3"/>
        <v>0</v>
      </c>
      <c r="D26" s="7">
        <f t="shared" si="4"/>
        <v>0</v>
      </c>
      <c r="E26" s="47">
        <f t="shared" si="5"/>
        <v>750</v>
      </c>
      <c r="I26" s="105">
        <v>7500</v>
      </c>
      <c r="J26" s="47">
        <f t="shared" si="6"/>
        <v>750</v>
      </c>
      <c r="K26" s="7">
        <f t="shared" si="7"/>
        <v>0</v>
      </c>
      <c r="L26" s="7">
        <f t="shared" si="8"/>
        <v>0</v>
      </c>
      <c r="M26" s="47">
        <f t="shared" si="9"/>
        <v>750</v>
      </c>
    </row>
    <row r="27" spans="1:13" x14ac:dyDescent="0.25">
      <c r="A27" s="105">
        <v>8000</v>
      </c>
      <c r="B27" s="47">
        <f t="shared" si="2"/>
        <v>800</v>
      </c>
      <c r="C27" s="7">
        <f t="shared" si="3"/>
        <v>0</v>
      </c>
      <c r="D27" s="7">
        <f t="shared" si="4"/>
        <v>0</v>
      </c>
      <c r="E27" s="47">
        <f t="shared" si="5"/>
        <v>800</v>
      </c>
      <c r="I27" s="105">
        <v>8000</v>
      </c>
      <c r="J27" s="47">
        <f t="shared" si="6"/>
        <v>800</v>
      </c>
      <c r="K27" s="7">
        <f t="shared" si="7"/>
        <v>0</v>
      </c>
      <c r="L27" s="7">
        <f t="shared" si="8"/>
        <v>0</v>
      </c>
      <c r="M27" s="47">
        <f t="shared" si="9"/>
        <v>800</v>
      </c>
    </row>
    <row r="28" spans="1:13" x14ac:dyDescent="0.25">
      <c r="A28" s="105">
        <v>8500</v>
      </c>
      <c r="B28" s="47">
        <f t="shared" si="2"/>
        <v>850</v>
      </c>
      <c r="C28" s="7">
        <f t="shared" si="3"/>
        <v>0</v>
      </c>
      <c r="D28" s="7">
        <f t="shared" si="4"/>
        <v>0</v>
      </c>
      <c r="E28" s="47">
        <f t="shared" si="5"/>
        <v>850</v>
      </c>
      <c r="I28" s="105">
        <v>8500</v>
      </c>
      <c r="J28" s="47">
        <f t="shared" si="6"/>
        <v>850</v>
      </c>
      <c r="K28" s="7">
        <f t="shared" si="7"/>
        <v>0</v>
      </c>
      <c r="L28" s="7">
        <f t="shared" si="8"/>
        <v>0</v>
      </c>
      <c r="M28" s="47">
        <f t="shared" si="9"/>
        <v>850</v>
      </c>
    </row>
    <row r="29" spans="1:13" x14ac:dyDescent="0.25">
      <c r="A29" s="105">
        <v>9000</v>
      </c>
      <c r="B29" s="47">
        <f t="shared" si="2"/>
        <v>900</v>
      </c>
      <c r="C29" s="7">
        <f t="shared" si="3"/>
        <v>0</v>
      </c>
      <c r="D29" s="7">
        <f t="shared" si="4"/>
        <v>0</v>
      </c>
      <c r="E29" s="47">
        <f t="shared" si="5"/>
        <v>900</v>
      </c>
      <c r="I29" s="105">
        <v>9000</v>
      </c>
      <c r="J29" s="47">
        <f t="shared" si="6"/>
        <v>900</v>
      </c>
      <c r="K29" s="7">
        <f t="shared" si="7"/>
        <v>0</v>
      </c>
      <c r="L29" s="7">
        <f t="shared" si="8"/>
        <v>0</v>
      </c>
      <c r="M29" s="47">
        <f t="shared" si="9"/>
        <v>900</v>
      </c>
    </row>
    <row r="30" spans="1:13" x14ac:dyDescent="0.25">
      <c r="A30" s="105">
        <v>9500</v>
      </c>
      <c r="B30" s="47">
        <f t="shared" si="2"/>
        <v>950</v>
      </c>
      <c r="C30" s="7">
        <f t="shared" si="3"/>
        <v>0</v>
      </c>
      <c r="D30" s="7">
        <f t="shared" si="4"/>
        <v>0</v>
      </c>
      <c r="E30" s="47">
        <f t="shared" si="5"/>
        <v>950</v>
      </c>
      <c r="I30" s="105">
        <v>9500</v>
      </c>
      <c r="J30" s="47">
        <f t="shared" si="6"/>
        <v>950</v>
      </c>
      <c r="K30" s="7">
        <f t="shared" si="7"/>
        <v>0</v>
      </c>
      <c r="L30" s="7">
        <f t="shared" si="8"/>
        <v>0</v>
      </c>
      <c r="M30" s="47">
        <f t="shared" si="9"/>
        <v>950</v>
      </c>
    </row>
    <row r="31" spans="1:13" x14ac:dyDescent="0.25">
      <c r="A31" s="105">
        <v>10000</v>
      </c>
      <c r="B31" s="47">
        <f t="shared" si="2"/>
        <v>1000</v>
      </c>
      <c r="C31" s="7">
        <f t="shared" si="3"/>
        <v>0</v>
      </c>
      <c r="D31" s="7">
        <f t="shared" si="4"/>
        <v>0</v>
      </c>
      <c r="E31" s="47">
        <f t="shared" si="5"/>
        <v>1000</v>
      </c>
      <c r="I31" s="105">
        <v>10000</v>
      </c>
      <c r="J31" s="47">
        <f t="shared" si="6"/>
        <v>1000</v>
      </c>
      <c r="K31" s="7">
        <f t="shared" si="7"/>
        <v>0</v>
      </c>
      <c r="L31" s="7">
        <f t="shared" si="8"/>
        <v>0</v>
      </c>
      <c r="M31" s="47">
        <f t="shared" si="9"/>
        <v>1000</v>
      </c>
    </row>
    <row r="32" spans="1:13" x14ac:dyDescent="0.25">
      <c r="A32" s="105">
        <v>10500</v>
      </c>
      <c r="B32" s="47">
        <f t="shared" si="2"/>
        <v>1050</v>
      </c>
      <c r="C32" s="7">
        <f t="shared" si="3"/>
        <v>0</v>
      </c>
      <c r="D32" s="7">
        <f t="shared" si="4"/>
        <v>0</v>
      </c>
      <c r="E32" s="47">
        <f t="shared" si="5"/>
        <v>1050</v>
      </c>
      <c r="I32" s="105">
        <v>10500</v>
      </c>
      <c r="J32" s="47">
        <f t="shared" si="6"/>
        <v>1050</v>
      </c>
      <c r="K32" s="7">
        <f t="shared" si="7"/>
        <v>0</v>
      </c>
      <c r="L32" s="7">
        <f t="shared" si="8"/>
        <v>0</v>
      </c>
      <c r="M32" s="47">
        <f t="shared" si="9"/>
        <v>1050</v>
      </c>
    </row>
    <row r="33" spans="1:13" x14ac:dyDescent="0.25">
      <c r="A33" s="105">
        <v>11000</v>
      </c>
      <c r="B33" s="47">
        <f t="shared" si="2"/>
        <v>1100</v>
      </c>
      <c r="C33" s="7">
        <f t="shared" si="3"/>
        <v>0</v>
      </c>
      <c r="D33" s="7">
        <f t="shared" si="4"/>
        <v>0</v>
      </c>
      <c r="E33" s="47">
        <f t="shared" si="5"/>
        <v>1100</v>
      </c>
      <c r="I33" s="105">
        <v>11000</v>
      </c>
      <c r="J33" s="47">
        <f t="shared" si="6"/>
        <v>1100</v>
      </c>
      <c r="K33" s="7">
        <f t="shared" si="7"/>
        <v>0</v>
      </c>
      <c r="L33" s="7">
        <f t="shared" si="8"/>
        <v>0</v>
      </c>
      <c r="M33" s="47">
        <f t="shared" si="9"/>
        <v>1100</v>
      </c>
    </row>
    <row r="34" spans="1:13" x14ac:dyDescent="0.25">
      <c r="A34" s="105">
        <v>11500</v>
      </c>
      <c r="B34" s="47">
        <f t="shared" si="2"/>
        <v>1150</v>
      </c>
      <c r="C34" s="7">
        <f t="shared" si="3"/>
        <v>0</v>
      </c>
      <c r="D34" s="7">
        <f t="shared" si="4"/>
        <v>0</v>
      </c>
      <c r="E34" s="47">
        <f t="shared" si="5"/>
        <v>1150</v>
      </c>
      <c r="I34" s="105">
        <v>11500</v>
      </c>
      <c r="J34" s="47">
        <f t="shared" si="6"/>
        <v>1150</v>
      </c>
      <c r="K34" s="7">
        <f t="shared" si="7"/>
        <v>0</v>
      </c>
      <c r="L34" s="7">
        <f t="shared" si="8"/>
        <v>0</v>
      </c>
      <c r="M34" s="47">
        <f t="shared" si="9"/>
        <v>1150</v>
      </c>
    </row>
    <row r="35" spans="1:13" x14ac:dyDescent="0.25">
      <c r="A35" s="105">
        <v>12000</v>
      </c>
      <c r="B35" s="47">
        <f t="shared" si="2"/>
        <v>1200</v>
      </c>
      <c r="C35" s="7">
        <f t="shared" si="3"/>
        <v>239.99999999999989</v>
      </c>
      <c r="D35" s="7">
        <f t="shared" si="4"/>
        <v>0</v>
      </c>
      <c r="E35" s="47">
        <f t="shared" si="5"/>
        <v>1440</v>
      </c>
      <c r="I35" s="105">
        <v>12000</v>
      </c>
      <c r="J35" s="47">
        <f t="shared" si="6"/>
        <v>1200</v>
      </c>
      <c r="K35" s="7">
        <f t="shared" si="7"/>
        <v>0</v>
      </c>
      <c r="L35" s="7">
        <f t="shared" si="8"/>
        <v>0</v>
      </c>
      <c r="M35" s="47">
        <f t="shared" si="9"/>
        <v>1200</v>
      </c>
    </row>
    <row r="36" spans="1:13" x14ac:dyDescent="0.25">
      <c r="A36" s="105">
        <v>12500</v>
      </c>
      <c r="B36" s="47">
        <f t="shared" si="2"/>
        <v>1250</v>
      </c>
      <c r="C36" s="7">
        <f t="shared" si="3"/>
        <v>249.99999999999989</v>
      </c>
      <c r="D36" s="7">
        <f t="shared" si="4"/>
        <v>0</v>
      </c>
      <c r="E36" s="47">
        <f t="shared" si="5"/>
        <v>1500</v>
      </c>
      <c r="I36" s="105">
        <v>12500</v>
      </c>
      <c r="J36" s="47">
        <f t="shared" si="6"/>
        <v>1250</v>
      </c>
      <c r="K36" s="7">
        <f t="shared" si="7"/>
        <v>0</v>
      </c>
      <c r="L36" s="7">
        <f t="shared" si="8"/>
        <v>0</v>
      </c>
      <c r="M36" s="47">
        <f t="shared" si="9"/>
        <v>1250</v>
      </c>
    </row>
    <row r="37" spans="1:13" x14ac:dyDescent="0.25">
      <c r="A37" s="105">
        <v>13000</v>
      </c>
      <c r="B37" s="47">
        <f t="shared" si="2"/>
        <v>1300</v>
      </c>
      <c r="C37" s="7">
        <f t="shared" si="3"/>
        <v>259.99999999999989</v>
      </c>
      <c r="D37" s="7">
        <f t="shared" si="4"/>
        <v>0</v>
      </c>
      <c r="E37" s="47">
        <f t="shared" si="5"/>
        <v>1560</v>
      </c>
      <c r="I37" s="105">
        <v>13000</v>
      </c>
      <c r="J37" s="47">
        <f t="shared" si="6"/>
        <v>1300</v>
      </c>
      <c r="K37" s="7">
        <f t="shared" si="7"/>
        <v>0</v>
      </c>
      <c r="L37" s="7">
        <f t="shared" si="8"/>
        <v>0</v>
      </c>
      <c r="M37" s="47">
        <f t="shared" si="9"/>
        <v>1300</v>
      </c>
    </row>
    <row r="38" spans="1:13" x14ac:dyDescent="0.25">
      <c r="A38" s="105">
        <v>13500</v>
      </c>
      <c r="B38" s="47">
        <f t="shared" si="2"/>
        <v>1350</v>
      </c>
      <c r="C38" s="7">
        <f t="shared" si="3"/>
        <v>269.99999999999989</v>
      </c>
      <c r="D38" s="7">
        <f t="shared" si="4"/>
        <v>0</v>
      </c>
      <c r="E38" s="47">
        <f t="shared" si="5"/>
        <v>1620</v>
      </c>
      <c r="I38" s="105">
        <v>13500</v>
      </c>
      <c r="J38" s="47">
        <f t="shared" si="6"/>
        <v>1350</v>
      </c>
      <c r="K38" s="7">
        <f t="shared" si="7"/>
        <v>0</v>
      </c>
      <c r="L38" s="7">
        <f t="shared" si="8"/>
        <v>0</v>
      </c>
      <c r="M38" s="47">
        <f t="shared" si="9"/>
        <v>1350</v>
      </c>
    </row>
    <row r="39" spans="1:13" x14ac:dyDescent="0.25">
      <c r="A39" s="105">
        <v>14000</v>
      </c>
      <c r="B39" s="47">
        <f t="shared" si="2"/>
        <v>1400</v>
      </c>
      <c r="C39" s="7">
        <f t="shared" si="3"/>
        <v>279.99999999999989</v>
      </c>
      <c r="D39" s="7">
        <f t="shared" si="4"/>
        <v>0</v>
      </c>
      <c r="E39" s="47">
        <f t="shared" si="5"/>
        <v>1680</v>
      </c>
      <c r="I39" s="105">
        <v>14000</v>
      </c>
      <c r="J39" s="47">
        <f t="shared" si="6"/>
        <v>1400</v>
      </c>
      <c r="K39" s="7">
        <f t="shared" si="7"/>
        <v>0</v>
      </c>
      <c r="L39" s="7">
        <f t="shared" si="8"/>
        <v>0</v>
      </c>
      <c r="M39" s="47">
        <f t="shared" si="9"/>
        <v>1400</v>
      </c>
    </row>
    <row r="40" spans="1:13" x14ac:dyDescent="0.25">
      <c r="A40" s="105">
        <v>14500</v>
      </c>
      <c r="B40" s="47">
        <f t="shared" si="2"/>
        <v>1450</v>
      </c>
      <c r="C40" s="7">
        <f t="shared" si="3"/>
        <v>289.99999999999983</v>
      </c>
      <c r="D40" s="7">
        <f t="shared" si="4"/>
        <v>0</v>
      </c>
      <c r="E40" s="47">
        <f t="shared" si="5"/>
        <v>1739.9999999999998</v>
      </c>
      <c r="I40" s="105">
        <v>14500</v>
      </c>
      <c r="J40" s="47">
        <f t="shared" si="6"/>
        <v>1450</v>
      </c>
      <c r="K40" s="7">
        <f t="shared" si="7"/>
        <v>0</v>
      </c>
      <c r="L40" s="7">
        <f t="shared" si="8"/>
        <v>0</v>
      </c>
      <c r="M40" s="47">
        <f t="shared" si="9"/>
        <v>1450</v>
      </c>
    </row>
    <row r="41" spans="1:13" x14ac:dyDescent="0.25">
      <c r="A41" s="105">
        <v>15000</v>
      </c>
      <c r="B41" s="47">
        <f t="shared" si="2"/>
        <v>1500</v>
      </c>
      <c r="C41" s="7">
        <f t="shared" si="3"/>
        <v>299.99999999999983</v>
      </c>
      <c r="D41" s="7">
        <f t="shared" si="4"/>
        <v>0</v>
      </c>
      <c r="E41" s="47">
        <f t="shared" si="5"/>
        <v>1799.9999999999998</v>
      </c>
      <c r="I41" s="105">
        <v>15000</v>
      </c>
      <c r="J41" s="47">
        <f t="shared" si="6"/>
        <v>1500</v>
      </c>
      <c r="K41" s="7">
        <f t="shared" si="7"/>
        <v>0</v>
      </c>
      <c r="L41" s="7">
        <f t="shared" si="8"/>
        <v>0</v>
      </c>
      <c r="M41" s="47">
        <f t="shared" si="9"/>
        <v>1500</v>
      </c>
    </row>
    <row r="42" spans="1:13" x14ac:dyDescent="0.25">
      <c r="A42" s="105">
        <v>15500</v>
      </c>
      <c r="B42" s="47">
        <f t="shared" si="2"/>
        <v>1550</v>
      </c>
      <c r="C42" s="7">
        <f t="shared" si="3"/>
        <v>309.99999999999983</v>
      </c>
      <c r="D42" s="7">
        <f t="shared" si="4"/>
        <v>0</v>
      </c>
      <c r="E42" s="47">
        <f t="shared" si="5"/>
        <v>1859.9999999999998</v>
      </c>
      <c r="I42" s="105">
        <v>15500</v>
      </c>
      <c r="J42" s="47">
        <f t="shared" si="6"/>
        <v>1550</v>
      </c>
      <c r="K42" s="7">
        <f t="shared" si="7"/>
        <v>0</v>
      </c>
      <c r="L42" s="7">
        <f t="shared" si="8"/>
        <v>0</v>
      </c>
      <c r="M42" s="47">
        <f t="shared" si="9"/>
        <v>1550</v>
      </c>
    </row>
    <row r="43" spans="1:13" x14ac:dyDescent="0.25">
      <c r="A43" s="105">
        <v>16000</v>
      </c>
      <c r="B43" s="47">
        <f t="shared" si="2"/>
        <v>1600</v>
      </c>
      <c r="C43" s="7">
        <f t="shared" si="3"/>
        <v>319.99999999999983</v>
      </c>
      <c r="D43" s="7">
        <f t="shared" si="4"/>
        <v>0</v>
      </c>
      <c r="E43" s="47">
        <f t="shared" si="5"/>
        <v>1919.9999999999998</v>
      </c>
      <c r="I43" s="105">
        <v>16000</v>
      </c>
      <c r="J43" s="47">
        <f t="shared" si="6"/>
        <v>1600</v>
      </c>
      <c r="K43" s="7">
        <f t="shared" si="7"/>
        <v>0</v>
      </c>
      <c r="L43" s="7">
        <f t="shared" si="8"/>
        <v>0</v>
      </c>
      <c r="M43" s="47">
        <f t="shared" si="9"/>
        <v>1600</v>
      </c>
    </row>
    <row r="44" spans="1:13" x14ac:dyDescent="0.25">
      <c r="A44" s="105">
        <v>16500</v>
      </c>
      <c r="B44" s="47">
        <f t="shared" si="2"/>
        <v>1650</v>
      </c>
      <c r="C44" s="7">
        <f t="shared" si="3"/>
        <v>329.99999999999983</v>
      </c>
      <c r="D44" s="7">
        <f t="shared" si="4"/>
        <v>0</v>
      </c>
      <c r="E44" s="47">
        <f t="shared" si="5"/>
        <v>1979.9999999999998</v>
      </c>
      <c r="I44" s="105">
        <v>16500</v>
      </c>
      <c r="J44" s="47">
        <f t="shared" si="6"/>
        <v>1650</v>
      </c>
      <c r="K44" s="7">
        <f t="shared" si="7"/>
        <v>0</v>
      </c>
      <c r="L44" s="7">
        <f t="shared" si="8"/>
        <v>0</v>
      </c>
      <c r="M44" s="47">
        <f t="shared" si="9"/>
        <v>1650</v>
      </c>
    </row>
    <row r="45" spans="1:13" x14ac:dyDescent="0.25">
      <c r="A45" s="105">
        <v>17000</v>
      </c>
      <c r="B45" s="47">
        <f t="shared" si="2"/>
        <v>1700</v>
      </c>
      <c r="C45" s="7">
        <f t="shared" si="3"/>
        <v>339.99999999999983</v>
      </c>
      <c r="D45" s="7">
        <f t="shared" si="4"/>
        <v>0</v>
      </c>
      <c r="E45" s="47">
        <f t="shared" si="5"/>
        <v>2039.9999999999998</v>
      </c>
      <c r="I45" s="105">
        <v>17000</v>
      </c>
      <c r="J45" s="47">
        <f t="shared" si="6"/>
        <v>1700</v>
      </c>
      <c r="K45" s="7">
        <f t="shared" si="7"/>
        <v>0</v>
      </c>
      <c r="L45" s="7">
        <f t="shared" si="8"/>
        <v>0</v>
      </c>
      <c r="M45" s="47">
        <f t="shared" si="9"/>
        <v>1700</v>
      </c>
    </row>
    <row r="46" spans="1:13" x14ac:dyDescent="0.25">
      <c r="A46" s="105">
        <v>17500</v>
      </c>
      <c r="B46" s="47">
        <f t="shared" si="2"/>
        <v>1750</v>
      </c>
      <c r="C46" s="7">
        <f t="shared" si="3"/>
        <v>349.99999999999983</v>
      </c>
      <c r="D46" s="7">
        <f t="shared" si="4"/>
        <v>0</v>
      </c>
      <c r="E46" s="47">
        <f t="shared" si="5"/>
        <v>2100</v>
      </c>
      <c r="I46" s="105">
        <v>17500</v>
      </c>
      <c r="J46" s="47">
        <f t="shared" si="6"/>
        <v>1750</v>
      </c>
      <c r="K46" s="7">
        <f t="shared" si="7"/>
        <v>0</v>
      </c>
      <c r="L46" s="7">
        <f t="shared" si="8"/>
        <v>0</v>
      </c>
      <c r="M46" s="47">
        <f t="shared" si="9"/>
        <v>1750</v>
      </c>
    </row>
    <row r="47" spans="1:13" x14ac:dyDescent="0.25">
      <c r="A47" s="105">
        <v>18000</v>
      </c>
      <c r="B47" s="47">
        <f t="shared" si="2"/>
        <v>1800</v>
      </c>
      <c r="C47" s="7">
        <f t="shared" si="3"/>
        <v>359.99999999999983</v>
      </c>
      <c r="D47" s="7">
        <f t="shared" si="4"/>
        <v>0</v>
      </c>
      <c r="E47" s="47">
        <f t="shared" si="5"/>
        <v>2160</v>
      </c>
      <c r="I47" s="105">
        <v>18000</v>
      </c>
      <c r="J47" s="47">
        <f t="shared" si="6"/>
        <v>1800</v>
      </c>
      <c r="K47" s="7">
        <f t="shared" si="7"/>
        <v>0</v>
      </c>
      <c r="L47" s="7">
        <f t="shared" si="8"/>
        <v>0</v>
      </c>
      <c r="M47" s="47">
        <f t="shared" si="9"/>
        <v>1800</v>
      </c>
    </row>
    <row r="48" spans="1:13" x14ac:dyDescent="0.25">
      <c r="A48" s="105">
        <v>18500</v>
      </c>
      <c r="B48" s="47">
        <f t="shared" si="2"/>
        <v>1850</v>
      </c>
      <c r="C48" s="7">
        <f t="shared" si="3"/>
        <v>369.99999999999983</v>
      </c>
      <c r="D48" s="7">
        <f t="shared" si="4"/>
        <v>0</v>
      </c>
      <c r="E48" s="47">
        <f t="shared" si="5"/>
        <v>2220</v>
      </c>
      <c r="I48" s="105">
        <v>18500</v>
      </c>
      <c r="J48" s="47">
        <f t="shared" si="6"/>
        <v>1850</v>
      </c>
      <c r="K48" s="7">
        <f t="shared" si="7"/>
        <v>0</v>
      </c>
      <c r="L48" s="7">
        <f t="shared" si="8"/>
        <v>0</v>
      </c>
      <c r="M48" s="47">
        <f t="shared" si="9"/>
        <v>1850</v>
      </c>
    </row>
    <row r="49" spans="1:13" x14ac:dyDescent="0.25">
      <c r="A49" s="105">
        <v>19000</v>
      </c>
      <c r="B49" s="47">
        <f t="shared" si="2"/>
        <v>1900</v>
      </c>
      <c r="C49" s="7">
        <f t="shared" si="3"/>
        <v>379.99999999999983</v>
      </c>
      <c r="D49" s="7">
        <f t="shared" si="4"/>
        <v>0</v>
      </c>
      <c r="E49" s="47">
        <f t="shared" si="5"/>
        <v>2280</v>
      </c>
      <c r="I49" s="105">
        <v>19000</v>
      </c>
      <c r="J49" s="47">
        <f t="shared" si="6"/>
        <v>1900</v>
      </c>
      <c r="K49" s="7">
        <f t="shared" si="7"/>
        <v>0</v>
      </c>
      <c r="L49" s="7">
        <f t="shared" si="8"/>
        <v>0</v>
      </c>
      <c r="M49" s="47">
        <f t="shared" si="9"/>
        <v>1900</v>
      </c>
    </row>
    <row r="50" spans="1:13" x14ac:dyDescent="0.25">
      <c r="A50" s="105">
        <v>19500</v>
      </c>
      <c r="B50" s="47">
        <f t="shared" si="2"/>
        <v>1950</v>
      </c>
      <c r="C50" s="7">
        <f t="shared" si="3"/>
        <v>389.99999999999983</v>
      </c>
      <c r="D50" s="7">
        <f t="shared" si="4"/>
        <v>0</v>
      </c>
      <c r="E50" s="47">
        <f t="shared" si="5"/>
        <v>2340</v>
      </c>
      <c r="I50" s="105">
        <v>19500</v>
      </c>
      <c r="J50" s="47">
        <f t="shared" si="6"/>
        <v>1950</v>
      </c>
      <c r="K50" s="7">
        <f t="shared" si="7"/>
        <v>0</v>
      </c>
      <c r="L50" s="7">
        <f t="shared" si="8"/>
        <v>0</v>
      </c>
      <c r="M50" s="47">
        <f t="shared" si="9"/>
        <v>1950</v>
      </c>
    </row>
    <row r="51" spans="1:13" x14ac:dyDescent="0.25">
      <c r="A51" s="105">
        <v>20000</v>
      </c>
      <c r="B51" s="47">
        <f t="shared" si="2"/>
        <v>2000</v>
      </c>
      <c r="C51" s="7">
        <f t="shared" si="3"/>
        <v>399.99999999999977</v>
      </c>
      <c r="D51" s="7">
        <f t="shared" si="4"/>
        <v>0</v>
      </c>
      <c r="E51" s="47">
        <f t="shared" si="5"/>
        <v>2400</v>
      </c>
      <c r="I51" s="105">
        <v>20000</v>
      </c>
      <c r="J51" s="47">
        <f t="shared" si="6"/>
        <v>2000</v>
      </c>
      <c r="K51" s="7">
        <f t="shared" si="7"/>
        <v>0</v>
      </c>
      <c r="L51" s="7">
        <f t="shared" si="8"/>
        <v>0</v>
      </c>
      <c r="M51" s="47">
        <f t="shared" si="9"/>
        <v>2000</v>
      </c>
    </row>
    <row r="52" spans="1:13" x14ac:dyDescent="0.25">
      <c r="A52" s="105">
        <v>20500</v>
      </c>
      <c r="B52" s="47">
        <f t="shared" si="2"/>
        <v>2050</v>
      </c>
      <c r="C52" s="7">
        <f t="shared" si="3"/>
        <v>409.99999999999977</v>
      </c>
      <c r="D52" s="7">
        <f t="shared" si="4"/>
        <v>0</v>
      </c>
      <c r="E52" s="47">
        <f t="shared" si="5"/>
        <v>2460</v>
      </c>
      <c r="I52" s="105">
        <v>20500</v>
      </c>
      <c r="J52" s="47">
        <f t="shared" si="6"/>
        <v>2050</v>
      </c>
      <c r="K52" s="7">
        <f t="shared" si="7"/>
        <v>0</v>
      </c>
      <c r="L52" s="7">
        <f t="shared" si="8"/>
        <v>0</v>
      </c>
      <c r="M52" s="47">
        <f t="shared" si="9"/>
        <v>2050</v>
      </c>
    </row>
    <row r="53" spans="1:13" x14ac:dyDescent="0.25">
      <c r="A53" s="105">
        <v>21000</v>
      </c>
      <c r="B53" s="47">
        <f t="shared" si="2"/>
        <v>2100</v>
      </c>
      <c r="C53" s="7">
        <f t="shared" si="3"/>
        <v>419.99999999999977</v>
      </c>
      <c r="D53" s="7">
        <f t="shared" si="4"/>
        <v>0</v>
      </c>
      <c r="E53" s="47">
        <f t="shared" si="5"/>
        <v>2520</v>
      </c>
      <c r="I53" s="105">
        <v>21000</v>
      </c>
      <c r="J53" s="47">
        <f t="shared" si="6"/>
        <v>2100</v>
      </c>
      <c r="K53" s="7">
        <f t="shared" si="7"/>
        <v>0</v>
      </c>
      <c r="L53" s="7">
        <f t="shared" si="8"/>
        <v>0</v>
      </c>
      <c r="M53" s="47">
        <f t="shared" si="9"/>
        <v>2100</v>
      </c>
    </row>
    <row r="54" spans="1:13" x14ac:dyDescent="0.25">
      <c r="A54" s="105">
        <v>21500</v>
      </c>
      <c r="B54" s="47">
        <f t="shared" si="2"/>
        <v>2150</v>
      </c>
      <c r="C54" s="7">
        <f t="shared" si="3"/>
        <v>429.99999999999977</v>
      </c>
      <c r="D54" s="7">
        <f t="shared" si="4"/>
        <v>0</v>
      </c>
      <c r="E54" s="47">
        <f t="shared" si="5"/>
        <v>2580</v>
      </c>
      <c r="I54" s="105">
        <v>21500</v>
      </c>
      <c r="J54" s="47">
        <f t="shared" si="6"/>
        <v>2150</v>
      </c>
      <c r="K54" s="7">
        <f t="shared" si="7"/>
        <v>0</v>
      </c>
      <c r="L54" s="7">
        <f t="shared" si="8"/>
        <v>0</v>
      </c>
      <c r="M54" s="47">
        <f t="shared" si="9"/>
        <v>2150</v>
      </c>
    </row>
    <row r="55" spans="1:13" x14ac:dyDescent="0.25">
      <c r="A55" s="105">
        <v>22000</v>
      </c>
      <c r="B55" s="47">
        <f t="shared" si="2"/>
        <v>2200</v>
      </c>
      <c r="C55" s="7">
        <f t="shared" si="3"/>
        <v>439.99999999999977</v>
      </c>
      <c r="D55" s="7">
        <f t="shared" si="4"/>
        <v>0</v>
      </c>
      <c r="E55" s="47">
        <f t="shared" si="5"/>
        <v>2640</v>
      </c>
      <c r="I55" s="105">
        <v>22000</v>
      </c>
      <c r="J55" s="47">
        <f t="shared" si="6"/>
        <v>2200</v>
      </c>
      <c r="K55" s="7">
        <f t="shared" si="7"/>
        <v>0</v>
      </c>
      <c r="L55" s="7">
        <f t="shared" si="8"/>
        <v>0</v>
      </c>
      <c r="M55" s="47">
        <f t="shared" si="9"/>
        <v>2200</v>
      </c>
    </row>
    <row r="56" spans="1:13" x14ac:dyDescent="0.25">
      <c r="A56" s="105">
        <v>22500</v>
      </c>
      <c r="B56" s="47">
        <f t="shared" si="2"/>
        <v>2250</v>
      </c>
      <c r="C56" s="7">
        <f t="shared" si="3"/>
        <v>449.99999999999977</v>
      </c>
      <c r="D56" s="7">
        <f t="shared" si="4"/>
        <v>0</v>
      </c>
      <c r="E56" s="47">
        <f t="shared" si="5"/>
        <v>2700</v>
      </c>
      <c r="I56" s="105">
        <v>22500</v>
      </c>
      <c r="J56" s="47">
        <f t="shared" si="6"/>
        <v>2250</v>
      </c>
      <c r="K56" s="7">
        <f t="shared" si="7"/>
        <v>0</v>
      </c>
      <c r="L56" s="7">
        <f t="shared" si="8"/>
        <v>0</v>
      </c>
      <c r="M56" s="47">
        <f t="shared" si="9"/>
        <v>2250</v>
      </c>
    </row>
    <row r="57" spans="1:13" x14ac:dyDescent="0.25">
      <c r="A57" s="105">
        <v>23000</v>
      </c>
      <c r="B57" s="47">
        <f t="shared" si="2"/>
        <v>2300</v>
      </c>
      <c r="C57" s="7">
        <f t="shared" si="3"/>
        <v>459.99999999999977</v>
      </c>
      <c r="D57" s="7">
        <f t="shared" si="4"/>
        <v>0</v>
      </c>
      <c r="E57" s="47">
        <f t="shared" si="5"/>
        <v>2760</v>
      </c>
      <c r="I57" s="105">
        <v>23000</v>
      </c>
      <c r="J57" s="47">
        <f t="shared" si="6"/>
        <v>2300</v>
      </c>
      <c r="K57" s="7">
        <f t="shared" si="7"/>
        <v>0</v>
      </c>
      <c r="L57" s="7">
        <f t="shared" si="8"/>
        <v>0</v>
      </c>
      <c r="M57" s="47">
        <f t="shared" si="9"/>
        <v>2300</v>
      </c>
    </row>
    <row r="58" spans="1:13" x14ac:dyDescent="0.25">
      <c r="A58" s="105">
        <v>23500</v>
      </c>
      <c r="B58" s="47">
        <f t="shared" si="2"/>
        <v>2350</v>
      </c>
      <c r="C58" s="7">
        <f t="shared" si="3"/>
        <v>469.99999999999977</v>
      </c>
      <c r="D58" s="7">
        <f t="shared" si="4"/>
        <v>0</v>
      </c>
      <c r="E58" s="47">
        <f t="shared" si="5"/>
        <v>2820</v>
      </c>
      <c r="I58" s="105">
        <v>23500</v>
      </c>
      <c r="J58" s="47">
        <f t="shared" si="6"/>
        <v>2350</v>
      </c>
      <c r="K58" s="7">
        <f t="shared" si="7"/>
        <v>469.99999999999977</v>
      </c>
      <c r="L58" s="7">
        <f t="shared" si="8"/>
        <v>0</v>
      </c>
      <c r="M58" s="47">
        <f t="shared" si="9"/>
        <v>2820</v>
      </c>
    </row>
    <row r="59" spans="1:13" x14ac:dyDescent="0.25">
      <c r="A59" s="105">
        <v>24000</v>
      </c>
      <c r="B59" s="47">
        <f t="shared" si="2"/>
        <v>2400</v>
      </c>
      <c r="C59" s="7">
        <f t="shared" si="3"/>
        <v>479.99999999999977</v>
      </c>
      <c r="D59" s="7">
        <f t="shared" si="4"/>
        <v>0</v>
      </c>
      <c r="E59" s="47">
        <f t="shared" si="5"/>
        <v>2880</v>
      </c>
      <c r="I59" s="105">
        <v>24000</v>
      </c>
      <c r="J59" s="47">
        <f t="shared" si="6"/>
        <v>2400</v>
      </c>
      <c r="K59" s="7">
        <f t="shared" si="7"/>
        <v>479.99999999999977</v>
      </c>
      <c r="L59" s="7">
        <f t="shared" si="8"/>
        <v>0</v>
      </c>
      <c r="M59" s="47">
        <f t="shared" si="9"/>
        <v>2880</v>
      </c>
    </row>
    <row r="60" spans="1:13" x14ac:dyDescent="0.25">
      <c r="A60" s="105">
        <v>24500</v>
      </c>
      <c r="B60" s="47">
        <f t="shared" si="2"/>
        <v>2450</v>
      </c>
      <c r="C60" s="7">
        <f t="shared" si="3"/>
        <v>489.99999999999977</v>
      </c>
      <c r="D60" s="7">
        <f t="shared" si="4"/>
        <v>0</v>
      </c>
      <c r="E60" s="47">
        <f t="shared" si="5"/>
        <v>2940</v>
      </c>
      <c r="I60" s="105">
        <v>24500</v>
      </c>
      <c r="J60" s="47">
        <f t="shared" si="6"/>
        <v>2450</v>
      </c>
      <c r="K60" s="7">
        <f t="shared" si="7"/>
        <v>489.99999999999977</v>
      </c>
      <c r="L60" s="7">
        <f t="shared" si="8"/>
        <v>0</v>
      </c>
      <c r="M60" s="47">
        <f t="shared" si="9"/>
        <v>2940</v>
      </c>
    </row>
    <row r="61" spans="1:13" x14ac:dyDescent="0.25">
      <c r="A61" s="105">
        <v>25000</v>
      </c>
      <c r="B61" s="47">
        <f t="shared" si="2"/>
        <v>2500</v>
      </c>
      <c r="C61" s="7">
        <f t="shared" si="3"/>
        <v>499.99999999999977</v>
      </c>
      <c r="D61" s="7">
        <f t="shared" si="4"/>
        <v>0</v>
      </c>
      <c r="E61" s="47">
        <f t="shared" si="5"/>
        <v>3000</v>
      </c>
      <c r="I61" s="105">
        <v>25000</v>
      </c>
      <c r="J61" s="47">
        <f t="shared" si="6"/>
        <v>2500</v>
      </c>
      <c r="K61" s="7">
        <f t="shared" si="7"/>
        <v>499.99999999999977</v>
      </c>
      <c r="L61" s="7">
        <f t="shared" si="8"/>
        <v>0</v>
      </c>
      <c r="M61" s="47">
        <f t="shared" si="9"/>
        <v>3000</v>
      </c>
    </row>
    <row r="62" spans="1:13" x14ac:dyDescent="0.25">
      <c r="A62" s="105">
        <v>25500</v>
      </c>
      <c r="B62" s="47">
        <f t="shared" si="2"/>
        <v>2550</v>
      </c>
      <c r="C62" s="7">
        <f t="shared" si="3"/>
        <v>509.99999999999977</v>
      </c>
      <c r="D62" s="7">
        <f t="shared" si="4"/>
        <v>0</v>
      </c>
      <c r="E62" s="47">
        <f t="shared" si="5"/>
        <v>3060</v>
      </c>
      <c r="I62" s="105">
        <v>25500</v>
      </c>
      <c r="J62" s="47">
        <f t="shared" si="6"/>
        <v>2550</v>
      </c>
      <c r="K62" s="7">
        <f t="shared" si="7"/>
        <v>509.99999999999977</v>
      </c>
      <c r="L62" s="7">
        <f t="shared" si="8"/>
        <v>0</v>
      </c>
      <c r="M62" s="47">
        <f t="shared" si="9"/>
        <v>3060</v>
      </c>
    </row>
    <row r="63" spans="1:13" x14ac:dyDescent="0.25">
      <c r="A63" s="105">
        <v>26000</v>
      </c>
      <c r="B63" s="47">
        <f t="shared" si="2"/>
        <v>2600</v>
      </c>
      <c r="C63" s="7">
        <f t="shared" si="3"/>
        <v>519.99999999999977</v>
      </c>
      <c r="D63" s="7">
        <f t="shared" si="4"/>
        <v>0</v>
      </c>
      <c r="E63" s="47">
        <f t="shared" si="5"/>
        <v>3120</v>
      </c>
      <c r="I63" s="105">
        <v>26000</v>
      </c>
      <c r="J63" s="47">
        <f t="shared" si="6"/>
        <v>2600</v>
      </c>
      <c r="K63" s="7">
        <f t="shared" si="7"/>
        <v>519.99999999999977</v>
      </c>
      <c r="L63" s="7">
        <f t="shared" si="8"/>
        <v>0</v>
      </c>
      <c r="M63" s="47">
        <f t="shared" si="9"/>
        <v>3120</v>
      </c>
    </row>
    <row r="64" spans="1:13" x14ac:dyDescent="0.25">
      <c r="A64" s="105">
        <v>26500</v>
      </c>
      <c r="B64" s="47">
        <f t="shared" si="2"/>
        <v>2650</v>
      </c>
      <c r="C64" s="7">
        <f t="shared" si="3"/>
        <v>529.99999999999977</v>
      </c>
      <c r="D64" s="7">
        <f t="shared" si="4"/>
        <v>0</v>
      </c>
      <c r="E64" s="47">
        <f t="shared" si="5"/>
        <v>3180</v>
      </c>
      <c r="I64" s="105">
        <v>26500</v>
      </c>
      <c r="J64" s="47">
        <f t="shared" si="6"/>
        <v>2650</v>
      </c>
      <c r="K64" s="7">
        <f t="shared" si="7"/>
        <v>529.99999999999977</v>
      </c>
      <c r="L64" s="7">
        <f t="shared" si="8"/>
        <v>0</v>
      </c>
      <c r="M64" s="47">
        <f t="shared" si="9"/>
        <v>3180</v>
      </c>
    </row>
    <row r="65" spans="1:13" x14ac:dyDescent="0.25">
      <c r="A65" s="105">
        <v>27000</v>
      </c>
      <c r="B65" s="47">
        <f t="shared" si="2"/>
        <v>2700</v>
      </c>
      <c r="C65" s="7">
        <f t="shared" si="3"/>
        <v>539.99999999999977</v>
      </c>
      <c r="D65" s="7">
        <f t="shared" si="4"/>
        <v>0</v>
      </c>
      <c r="E65" s="47">
        <f t="shared" si="5"/>
        <v>3240</v>
      </c>
      <c r="I65" s="105">
        <v>27000</v>
      </c>
      <c r="J65" s="47">
        <f t="shared" si="6"/>
        <v>2700</v>
      </c>
      <c r="K65" s="7">
        <f t="shared" si="7"/>
        <v>539.99999999999977</v>
      </c>
      <c r="L65" s="7">
        <f t="shared" si="8"/>
        <v>0</v>
      </c>
      <c r="M65" s="47">
        <f t="shared" si="9"/>
        <v>3240</v>
      </c>
    </row>
    <row r="66" spans="1:13" x14ac:dyDescent="0.25">
      <c r="A66" s="105">
        <v>27500</v>
      </c>
      <c r="B66" s="47">
        <f t="shared" si="2"/>
        <v>2750</v>
      </c>
      <c r="C66" s="7">
        <f t="shared" si="3"/>
        <v>549.99999999999977</v>
      </c>
      <c r="D66" s="7">
        <f t="shared" si="4"/>
        <v>0</v>
      </c>
      <c r="E66" s="47">
        <f t="shared" si="5"/>
        <v>3300</v>
      </c>
      <c r="I66" s="105">
        <v>27500</v>
      </c>
      <c r="J66" s="47">
        <f t="shared" si="6"/>
        <v>2750</v>
      </c>
      <c r="K66" s="7">
        <f t="shared" si="7"/>
        <v>549.99999999999977</v>
      </c>
      <c r="L66" s="7">
        <f t="shared" si="8"/>
        <v>0</v>
      </c>
      <c r="M66" s="47">
        <f t="shared" si="9"/>
        <v>3300</v>
      </c>
    </row>
    <row r="67" spans="1:13" x14ac:dyDescent="0.25">
      <c r="A67" s="105">
        <v>28000</v>
      </c>
      <c r="B67" s="47">
        <f t="shared" si="2"/>
        <v>2800</v>
      </c>
      <c r="C67" s="7">
        <f t="shared" si="3"/>
        <v>559.99999999999977</v>
      </c>
      <c r="D67" s="7">
        <f t="shared" si="4"/>
        <v>0</v>
      </c>
      <c r="E67" s="47">
        <f t="shared" si="5"/>
        <v>3360</v>
      </c>
      <c r="I67" s="105">
        <v>28000</v>
      </c>
      <c r="J67" s="47">
        <f t="shared" si="6"/>
        <v>2800</v>
      </c>
      <c r="K67" s="7">
        <f t="shared" si="7"/>
        <v>559.99999999999977</v>
      </c>
      <c r="L67" s="7">
        <f t="shared" si="8"/>
        <v>0</v>
      </c>
      <c r="M67" s="47">
        <f t="shared" si="9"/>
        <v>3360</v>
      </c>
    </row>
    <row r="68" spans="1:13" x14ac:dyDescent="0.25">
      <c r="A68" s="105">
        <v>28500</v>
      </c>
      <c r="B68" s="47">
        <f t="shared" si="2"/>
        <v>2850</v>
      </c>
      <c r="C68" s="7">
        <f t="shared" si="3"/>
        <v>569.99999999999966</v>
      </c>
      <c r="D68" s="7">
        <f t="shared" si="4"/>
        <v>0</v>
      </c>
      <c r="E68" s="47">
        <f t="shared" si="5"/>
        <v>3419.9999999999995</v>
      </c>
      <c r="I68" s="105">
        <v>28500</v>
      </c>
      <c r="J68" s="47">
        <f t="shared" si="6"/>
        <v>2850</v>
      </c>
      <c r="K68" s="7">
        <f t="shared" si="7"/>
        <v>569.99999999999966</v>
      </c>
      <c r="L68" s="7">
        <f t="shared" si="8"/>
        <v>0</v>
      </c>
      <c r="M68" s="47">
        <f t="shared" si="9"/>
        <v>3419.9999999999995</v>
      </c>
    </row>
    <row r="69" spans="1:13" x14ac:dyDescent="0.25">
      <c r="A69" s="105">
        <v>29000</v>
      </c>
      <c r="B69" s="47">
        <f t="shared" si="2"/>
        <v>2900</v>
      </c>
      <c r="C69" s="7">
        <f t="shared" si="3"/>
        <v>579.99999999999966</v>
      </c>
      <c r="D69" s="7">
        <f t="shared" si="4"/>
        <v>0</v>
      </c>
      <c r="E69" s="47">
        <f t="shared" si="5"/>
        <v>3479.9999999999995</v>
      </c>
      <c r="I69" s="105">
        <v>29000</v>
      </c>
      <c r="J69" s="47">
        <f t="shared" si="6"/>
        <v>2900</v>
      </c>
      <c r="K69" s="7">
        <f t="shared" si="7"/>
        <v>579.99999999999966</v>
      </c>
      <c r="L69" s="7">
        <f t="shared" si="8"/>
        <v>0</v>
      </c>
      <c r="M69" s="47">
        <f t="shared" si="9"/>
        <v>3479.9999999999995</v>
      </c>
    </row>
    <row r="70" spans="1:13" x14ac:dyDescent="0.25">
      <c r="A70" s="105">
        <v>29500</v>
      </c>
      <c r="B70" s="47">
        <f t="shared" si="2"/>
        <v>2950</v>
      </c>
      <c r="C70" s="7">
        <f t="shared" si="3"/>
        <v>589.99999999999966</v>
      </c>
      <c r="D70" s="7">
        <f t="shared" si="4"/>
        <v>0</v>
      </c>
      <c r="E70" s="47">
        <f t="shared" si="5"/>
        <v>3539.9999999999995</v>
      </c>
      <c r="I70" s="105">
        <v>29500</v>
      </c>
      <c r="J70" s="47">
        <f t="shared" si="6"/>
        <v>2950</v>
      </c>
      <c r="K70" s="7">
        <f t="shared" si="7"/>
        <v>589.99999999999966</v>
      </c>
      <c r="L70" s="7">
        <f t="shared" si="8"/>
        <v>0</v>
      </c>
      <c r="M70" s="47">
        <f t="shared" si="9"/>
        <v>3539.9999999999995</v>
      </c>
    </row>
    <row r="71" spans="1:13" x14ac:dyDescent="0.25">
      <c r="A71" s="105">
        <v>30000</v>
      </c>
      <c r="B71" s="47">
        <f t="shared" si="2"/>
        <v>3000</v>
      </c>
      <c r="C71" s="7">
        <f t="shared" si="3"/>
        <v>599.99999999999966</v>
      </c>
      <c r="D71" s="7">
        <f t="shared" si="4"/>
        <v>0</v>
      </c>
      <c r="E71" s="47">
        <f t="shared" si="5"/>
        <v>3599.9999999999995</v>
      </c>
      <c r="I71" s="105">
        <v>30000</v>
      </c>
      <c r="J71" s="47">
        <f t="shared" si="6"/>
        <v>3000</v>
      </c>
      <c r="K71" s="7">
        <f t="shared" si="7"/>
        <v>599.99999999999966</v>
      </c>
      <c r="L71" s="7">
        <f t="shared" si="8"/>
        <v>0</v>
      </c>
      <c r="M71" s="47">
        <f t="shared" si="9"/>
        <v>3599.9999999999995</v>
      </c>
    </row>
    <row r="72" spans="1:13" x14ac:dyDescent="0.25">
      <c r="A72" s="105">
        <v>30500</v>
      </c>
      <c r="B72" s="47">
        <f t="shared" si="2"/>
        <v>3050</v>
      </c>
      <c r="C72" s="7">
        <f t="shared" si="3"/>
        <v>609.99999999999966</v>
      </c>
      <c r="D72" s="7">
        <f t="shared" si="4"/>
        <v>0</v>
      </c>
      <c r="E72" s="47">
        <f t="shared" si="5"/>
        <v>3659.9999999999995</v>
      </c>
      <c r="I72" s="105">
        <v>30500</v>
      </c>
      <c r="J72" s="47">
        <f t="shared" si="6"/>
        <v>3050</v>
      </c>
      <c r="K72" s="7">
        <f t="shared" si="7"/>
        <v>609.99999999999966</v>
      </c>
      <c r="L72" s="7">
        <f t="shared" si="8"/>
        <v>0</v>
      </c>
      <c r="M72" s="47">
        <f t="shared" si="9"/>
        <v>3659.9999999999995</v>
      </c>
    </row>
    <row r="73" spans="1:13" x14ac:dyDescent="0.25">
      <c r="A73" s="105">
        <v>31000</v>
      </c>
      <c r="B73" s="47">
        <f t="shared" si="2"/>
        <v>3100</v>
      </c>
      <c r="C73" s="7">
        <f t="shared" si="3"/>
        <v>619.99999999999966</v>
      </c>
      <c r="D73" s="7">
        <f t="shared" si="4"/>
        <v>0</v>
      </c>
      <c r="E73" s="47">
        <f t="shared" si="5"/>
        <v>3719.9999999999995</v>
      </c>
      <c r="I73" s="105">
        <v>31000</v>
      </c>
      <c r="J73" s="47">
        <f t="shared" si="6"/>
        <v>3100</v>
      </c>
      <c r="K73" s="7">
        <f t="shared" si="7"/>
        <v>619.99999999999966</v>
      </c>
      <c r="L73" s="7">
        <f t="shared" si="8"/>
        <v>0</v>
      </c>
      <c r="M73" s="47">
        <f t="shared" si="9"/>
        <v>3719.9999999999995</v>
      </c>
    </row>
    <row r="74" spans="1:13" x14ac:dyDescent="0.25">
      <c r="A74" s="105">
        <v>31500</v>
      </c>
      <c r="B74" s="47">
        <f t="shared" si="2"/>
        <v>3150</v>
      </c>
      <c r="C74" s="7">
        <f t="shared" si="3"/>
        <v>629.99999999999966</v>
      </c>
      <c r="D74" s="7">
        <f t="shared" si="4"/>
        <v>0</v>
      </c>
      <c r="E74" s="47">
        <f t="shared" si="5"/>
        <v>3779.9999999999995</v>
      </c>
      <c r="I74" s="105">
        <v>31500</v>
      </c>
      <c r="J74" s="47">
        <f t="shared" si="6"/>
        <v>3150</v>
      </c>
      <c r="K74" s="7">
        <f t="shared" si="7"/>
        <v>629.99999999999966</v>
      </c>
      <c r="L74" s="7">
        <f t="shared" si="8"/>
        <v>0</v>
      </c>
      <c r="M74" s="47">
        <f t="shared" si="9"/>
        <v>3779.9999999999995</v>
      </c>
    </row>
    <row r="75" spans="1:13" x14ac:dyDescent="0.25">
      <c r="A75" s="105">
        <v>32000</v>
      </c>
      <c r="B75" s="47">
        <f t="shared" si="2"/>
        <v>3200</v>
      </c>
      <c r="C75" s="7">
        <f t="shared" si="3"/>
        <v>639.99999999999966</v>
      </c>
      <c r="D75" s="7">
        <f t="shared" si="4"/>
        <v>0</v>
      </c>
      <c r="E75" s="47">
        <f t="shared" si="5"/>
        <v>3839.9999999999995</v>
      </c>
      <c r="I75" s="105">
        <v>32000</v>
      </c>
      <c r="J75" s="47">
        <f t="shared" si="6"/>
        <v>3200</v>
      </c>
      <c r="K75" s="7">
        <f t="shared" si="7"/>
        <v>639.99999999999966</v>
      </c>
      <c r="L75" s="7">
        <f t="shared" si="8"/>
        <v>0</v>
      </c>
      <c r="M75" s="47">
        <f t="shared" si="9"/>
        <v>3839.9999999999995</v>
      </c>
    </row>
    <row r="76" spans="1:13" x14ac:dyDescent="0.25">
      <c r="A76" s="105">
        <v>32500</v>
      </c>
      <c r="B76" s="47">
        <f t="shared" ref="B76:B139" si="10">A76*$D$2</f>
        <v>3250</v>
      </c>
      <c r="C76" s="7">
        <f t="shared" ref="C76:C139" si="11">IF(A76&gt;$C$2,A76*$D$3,0)</f>
        <v>649.99999999999966</v>
      </c>
      <c r="D76" s="7">
        <f t="shared" ref="D76:D139" si="12">IF(A76&gt;$C$3,A76*$D$4,0)</f>
        <v>0</v>
      </c>
      <c r="E76" s="47">
        <f t="shared" ref="E76:E139" si="13">SUM(B76:D76)</f>
        <v>3899.9999999999995</v>
      </c>
      <c r="I76" s="105">
        <v>32500</v>
      </c>
      <c r="J76" s="47">
        <f t="shared" ref="J76:J139" si="14">I76*$L$2</f>
        <v>3250</v>
      </c>
      <c r="K76" s="7">
        <f t="shared" ref="K76:K139" si="15">IF(I76&gt;$K$2,I76*$L$3,0)</f>
        <v>649.99999999999966</v>
      </c>
      <c r="L76" s="7">
        <f t="shared" ref="L76:L139" si="16">IF(I76&gt;$K$3,I76*$L$4,0)</f>
        <v>0</v>
      </c>
      <c r="M76" s="47">
        <f t="shared" ref="M76:M139" si="17">SUM(J76:L76)</f>
        <v>3899.9999999999995</v>
      </c>
    </row>
    <row r="77" spans="1:13" x14ac:dyDescent="0.25">
      <c r="A77" s="105">
        <v>33000</v>
      </c>
      <c r="B77" s="47">
        <f t="shared" si="10"/>
        <v>3300</v>
      </c>
      <c r="C77" s="7">
        <f t="shared" si="11"/>
        <v>659.99999999999966</v>
      </c>
      <c r="D77" s="7">
        <f t="shared" si="12"/>
        <v>0</v>
      </c>
      <c r="E77" s="47">
        <f t="shared" si="13"/>
        <v>3959.9999999999995</v>
      </c>
      <c r="I77" s="105">
        <v>33000</v>
      </c>
      <c r="J77" s="47">
        <f t="shared" si="14"/>
        <v>3300</v>
      </c>
      <c r="K77" s="7">
        <f t="shared" si="15"/>
        <v>659.99999999999966</v>
      </c>
      <c r="L77" s="7">
        <f t="shared" si="16"/>
        <v>0</v>
      </c>
      <c r="M77" s="47">
        <f t="shared" si="17"/>
        <v>3959.9999999999995</v>
      </c>
    </row>
    <row r="78" spans="1:13" x14ac:dyDescent="0.25">
      <c r="A78" s="105">
        <v>33500</v>
      </c>
      <c r="B78" s="47">
        <f t="shared" si="10"/>
        <v>3350</v>
      </c>
      <c r="C78" s="7">
        <f t="shared" si="11"/>
        <v>669.99999999999966</v>
      </c>
      <c r="D78" s="7">
        <f t="shared" si="12"/>
        <v>0</v>
      </c>
      <c r="E78" s="47">
        <f t="shared" si="13"/>
        <v>4019.9999999999995</v>
      </c>
      <c r="I78" s="105">
        <v>33500</v>
      </c>
      <c r="J78" s="47">
        <f t="shared" si="14"/>
        <v>3350</v>
      </c>
      <c r="K78" s="7">
        <f t="shared" si="15"/>
        <v>669.99999999999966</v>
      </c>
      <c r="L78" s="7">
        <f t="shared" si="16"/>
        <v>0</v>
      </c>
      <c r="M78" s="47">
        <f t="shared" si="17"/>
        <v>4019.9999999999995</v>
      </c>
    </row>
    <row r="79" spans="1:13" x14ac:dyDescent="0.25">
      <c r="A79" s="105">
        <v>34000</v>
      </c>
      <c r="B79" s="47">
        <f t="shared" si="10"/>
        <v>3400</v>
      </c>
      <c r="C79" s="7">
        <f t="shared" si="11"/>
        <v>679.99999999999966</v>
      </c>
      <c r="D79" s="7">
        <f t="shared" si="12"/>
        <v>0</v>
      </c>
      <c r="E79" s="47">
        <f t="shared" si="13"/>
        <v>4079.9999999999995</v>
      </c>
      <c r="I79" s="105">
        <v>34000</v>
      </c>
      <c r="J79" s="47">
        <f t="shared" si="14"/>
        <v>3400</v>
      </c>
      <c r="K79" s="7">
        <f t="shared" si="15"/>
        <v>679.99999999999966</v>
      </c>
      <c r="L79" s="7">
        <f t="shared" si="16"/>
        <v>0</v>
      </c>
      <c r="M79" s="47">
        <f t="shared" si="17"/>
        <v>4079.9999999999995</v>
      </c>
    </row>
    <row r="80" spans="1:13" x14ac:dyDescent="0.25">
      <c r="A80" s="105">
        <v>34500</v>
      </c>
      <c r="B80" s="47">
        <f t="shared" si="10"/>
        <v>3450</v>
      </c>
      <c r="C80" s="7">
        <f t="shared" si="11"/>
        <v>689.99999999999966</v>
      </c>
      <c r="D80" s="7">
        <f t="shared" si="12"/>
        <v>0</v>
      </c>
      <c r="E80" s="47">
        <f t="shared" si="13"/>
        <v>4140</v>
      </c>
      <c r="I80" s="105">
        <v>34500</v>
      </c>
      <c r="J80" s="47">
        <f t="shared" si="14"/>
        <v>3450</v>
      </c>
      <c r="K80" s="7">
        <f t="shared" si="15"/>
        <v>689.99999999999966</v>
      </c>
      <c r="L80" s="7">
        <f t="shared" si="16"/>
        <v>0</v>
      </c>
      <c r="M80" s="47">
        <f t="shared" si="17"/>
        <v>4140</v>
      </c>
    </row>
    <row r="81" spans="1:13" x14ac:dyDescent="0.25">
      <c r="A81" s="105">
        <v>35000</v>
      </c>
      <c r="B81" s="47">
        <f t="shared" si="10"/>
        <v>3500</v>
      </c>
      <c r="C81" s="7">
        <f t="shared" si="11"/>
        <v>699.99999999999966</v>
      </c>
      <c r="D81" s="7">
        <f t="shared" si="12"/>
        <v>0</v>
      </c>
      <c r="E81" s="47">
        <f t="shared" si="13"/>
        <v>4200</v>
      </c>
      <c r="I81" s="105">
        <v>35000</v>
      </c>
      <c r="J81" s="47">
        <f t="shared" si="14"/>
        <v>3500</v>
      </c>
      <c r="K81" s="7">
        <f t="shared" si="15"/>
        <v>699.99999999999966</v>
      </c>
      <c r="L81" s="7">
        <f t="shared" si="16"/>
        <v>0</v>
      </c>
      <c r="M81" s="47">
        <f t="shared" si="17"/>
        <v>4200</v>
      </c>
    </row>
    <row r="82" spans="1:13" x14ac:dyDescent="0.25">
      <c r="A82" s="105">
        <v>35500</v>
      </c>
      <c r="B82" s="47">
        <f t="shared" si="10"/>
        <v>3550</v>
      </c>
      <c r="C82" s="7">
        <f t="shared" si="11"/>
        <v>709.99999999999966</v>
      </c>
      <c r="D82" s="7">
        <f t="shared" si="12"/>
        <v>0</v>
      </c>
      <c r="E82" s="47">
        <f t="shared" si="13"/>
        <v>4260</v>
      </c>
      <c r="I82" s="105">
        <v>35500</v>
      </c>
      <c r="J82" s="47">
        <f t="shared" si="14"/>
        <v>3550</v>
      </c>
      <c r="K82" s="7">
        <f t="shared" si="15"/>
        <v>709.99999999999966</v>
      </c>
      <c r="L82" s="7">
        <f t="shared" si="16"/>
        <v>0</v>
      </c>
      <c r="M82" s="47">
        <f t="shared" si="17"/>
        <v>4260</v>
      </c>
    </row>
    <row r="83" spans="1:13" x14ac:dyDescent="0.25">
      <c r="A83" s="105">
        <v>36000</v>
      </c>
      <c r="B83" s="47">
        <f t="shared" si="10"/>
        <v>3600</v>
      </c>
      <c r="C83" s="7">
        <f t="shared" si="11"/>
        <v>719.99999999999966</v>
      </c>
      <c r="D83" s="7">
        <f t="shared" si="12"/>
        <v>0</v>
      </c>
      <c r="E83" s="47">
        <f t="shared" si="13"/>
        <v>4320</v>
      </c>
      <c r="I83" s="105">
        <v>36000</v>
      </c>
      <c r="J83" s="47">
        <f t="shared" si="14"/>
        <v>3600</v>
      </c>
      <c r="K83" s="7">
        <f t="shared" si="15"/>
        <v>719.99999999999966</v>
      </c>
      <c r="L83" s="7">
        <f t="shared" si="16"/>
        <v>0</v>
      </c>
      <c r="M83" s="47">
        <f t="shared" si="17"/>
        <v>4320</v>
      </c>
    </row>
    <row r="84" spans="1:13" x14ac:dyDescent="0.25">
      <c r="A84" s="105">
        <v>36500</v>
      </c>
      <c r="B84" s="47">
        <f t="shared" si="10"/>
        <v>3650</v>
      </c>
      <c r="C84" s="7">
        <f t="shared" si="11"/>
        <v>729.99999999999966</v>
      </c>
      <c r="D84" s="7">
        <f t="shared" si="12"/>
        <v>0</v>
      </c>
      <c r="E84" s="47">
        <f t="shared" si="13"/>
        <v>4380</v>
      </c>
      <c r="I84" s="105">
        <v>36500</v>
      </c>
      <c r="J84" s="47">
        <f t="shared" si="14"/>
        <v>3650</v>
      </c>
      <c r="K84" s="7">
        <f t="shared" si="15"/>
        <v>729.99999999999966</v>
      </c>
      <c r="L84" s="7">
        <f t="shared" si="16"/>
        <v>0</v>
      </c>
      <c r="M84" s="47">
        <f t="shared" si="17"/>
        <v>4380</v>
      </c>
    </row>
    <row r="85" spans="1:13" x14ac:dyDescent="0.25">
      <c r="A85" s="105">
        <v>37000</v>
      </c>
      <c r="B85" s="47">
        <f t="shared" si="10"/>
        <v>3700</v>
      </c>
      <c r="C85" s="7">
        <f t="shared" si="11"/>
        <v>739.99999999999966</v>
      </c>
      <c r="D85" s="7">
        <f t="shared" si="12"/>
        <v>0</v>
      </c>
      <c r="E85" s="47">
        <f t="shared" si="13"/>
        <v>4440</v>
      </c>
      <c r="I85" s="105">
        <v>37000</v>
      </c>
      <c r="J85" s="47">
        <f t="shared" si="14"/>
        <v>3700</v>
      </c>
      <c r="K85" s="7">
        <f t="shared" si="15"/>
        <v>739.99999999999966</v>
      </c>
      <c r="L85" s="7">
        <f t="shared" si="16"/>
        <v>0</v>
      </c>
      <c r="M85" s="47">
        <f t="shared" si="17"/>
        <v>4440</v>
      </c>
    </row>
    <row r="86" spans="1:13" x14ac:dyDescent="0.25">
      <c r="A86" s="105">
        <v>37500</v>
      </c>
      <c r="B86" s="47">
        <f t="shared" si="10"/>
        <v>3750</v>
      </c>
      <c r="C86" s="7">
        <f t="shared" si="11"/>
        <v>749.99999999999966</v>
      </c>
      <c r="D86" s="7">
        <f t="shared" si="12"/>
        <v>0</v>
      </c>
      <c r="E86" s="47">
        <f t="shared" si="13"/>
        <v>4500</v>
      </c>
      <c r="I86" s="105">
        <v>37500</v>
      </c>
      <c r="J86" s="47">
        <f t="shared" si="14"/>
        <v>3750</v>
      </c>
      <c r="K86" s="7">
        <f t="shared" si="15"/>
        <v>749.99999999999966</v>
      </c>
      <c r="L86" s="7">
        <f t="shared" si="16"/>
        <v>0</v>
      </c>
      <c r="M86" s="47">
        <f t="shared" si="17"/>
        <v>4500</v>
      </c>
    </row>
    <row r="87" spans="1:13" x14ac:dyDescent="0.25">
      <c r="A87" s="105">
        <v>38000</v>
      </c>
      <c r="B87" s="47">
        <f t="shared" si="10"/>
        <v>3800</v>
      </c>
      <c r="C87" s="7">
        <f t="shared" si="11"/>
        <v>759.99999999999966</v>
      </c>
      <c r="D87" s="7">
        <f t="shared" si="12"/>
        <v>0</v>
      </c>
      <c r="E87" s="47">
        <f t="shared" si="13"/>
        <v>4560</v>
      </c>
      <c r="I87" s="105">
        <v>38000</v>
      </c>
      <c r="J87" s="47">
        <f t="shared" si="14"/>
        <v>3800</v>
      </c>
      <c r="K87" s="7">
        <f t="shared" si="15"/>
        <v>759.99999999999966</v>
      </c>
      <c r="L87" s="7">
        <f t="shared" si="16"/>
        <v>0</v>
      </c>
      <c r="M87" s="47">
        <f t="shared" si="17"/>
        <v>4560</v>
      </c>
    </row>
    <row r="88" spans="1:13" x14ac:dyDescent="0.25">
      <c r="A88" s="105">
        <v>38500</v>
      </c>
      <c r="B88" s="47">
        <f t="shared" si="10"/>
        <v>3850</v>
      </c>
      <c r="C88" s="7">
        <f t="shared" si="11"/>
        <v>769.99999999999966</v>
      </c>
      <c r="D88" s="7">
        <f t="shared" si="12"/>
        <v>0</v>
      </c>
      <c r="E88" s="47">
        <f t="shared" si="13"/>
        <v>4620</v>
      </c>
      <c r="I88" s="105">
        <v>38500</v>
      </c>
      <c r="J88" s="47">
        <f t="shared" si="14"/>
        <v>3850</v>
      </c>
      <c r="K88" s="7">
        <f t="shared" si="15"/>
        <v>769.99999999999966</v>
      </c>
      <c r="L88" s="7">
        <f t="shared" si="16"/>
        <v>0</v>
      </c>
      <c r="M88" s="47">
        <f t="shared" si="17"/>
        <v>4620</v>
      </c>
    </row>
    <row r="89" spans="1:13" x14ac:dyDescent="0.25">
      <c r="A89" s="105">
        <v>39000</v>
      </c>
      <c r="B89" s="47">
        <f t="shared" si="10"/>
        <v>3900</v>
      </c>
      <c r="C89" s="7">
        <f t="shared" si="11"/>
        <v>779.99999999999966</v>
      </c>
      <c r="D89" s="7">
        <f t="shared" si="12"/>
        <v>0</v>
      </c>
      <c r="E89" s="47">
        <f t="shared" si="13"/>
        <v>4680</v>
      </c>
      <c r="I89" s="105">
        <v>39000</v>
      </c>
      <c r="J89" s="47">
        <f t="shared" si="14"/>
        <v>3900</v>
      </c>
      <c r="K89" s="7">
        <f t="shared" si="15"/>
        <v>779.99999999999966</v>
      </c>
      <c r="L89" s="7">
        <f t="shared" si="16"/>
        <v>0</v>
      </c>
      <c r="M89" s="47">
        <f t="shared" si="17"/>
        <v>4680</v>
      </c>
    </row>
    <row r="90" spans="1:13" x14ac:dyDescent="0.25">
      <c r="A90" s="105">
        <v>39500</v>
      </c>
      <c r="B90" s="47">
        <f t="shared" si="10"/>
        <v>3950</v>
      </c>
      <c r="C90" s="7">
        <f t="shared" si="11"/>
        <v>789.99999999999966</v>
      </c>
      <c r="D90" s="7">
        <f t="shared" si="12"/>
        <v>0</v>
      </c>
      <c r="E90" s="47">
        <f t="shared" si="13"/>
        <v>4740</v>
      </c>
      <c r="I90" s="105">
        <v>39500</v>
      </c>
      <c r="J90" s="47">
        <f t="shared" si="14"/>
        <v>3950</v>
      </c>
      <c r="K90" s="7">
        <f t="shared" si="15"/>
        <v>789.99999999999966</v>
      </c>
      <c r="L90" s="7">
        <f t="shared" si="16"/>
        <v>0</v>
      </c>
      <c r="M90" s="47">
        <f t="shared" si="17"/>
        <v>4740</v>
      </c>
    </row>
    <row r="91" spans="1:13" x14ac:dyDescent="0.25">
      <c r="A91" s="105">
        <v>40000</v>
      </c>
      <c r="B91" s="47">
        <f t="shared" si="10"/>
        <v>4000</v>
      </c>
      <c r="C91" s="7">
        <f t="shared" si="11"/>
        <v>799.99999999999955</v>
      </c>
      <c r="D91" s="7">
        <f t="shared" si="12"/>
        <v>0</v>
      </c>
      <c r="E91" s="47">
        <f t="shared" si="13"/>
        <v>4800</v>
      </c>
      <c r="I91" s="105">
        <v>40000</v>
      </c>
      <c r="J91" s="47">
        <f t="shared" si="14"/>
        <v>4000</v>
      </c>
      <c r="K91" s="7">
        <f t="shared" si="15"/>
        <v>799.99999999999955</v>
      </c>
      <c r="L91" s="7">
        <f t="shared" si="16"/>
        <v>0</v>
      </c>
      <c r="M91" s="47">
        <f t="shared" si="17"/>
        <v>4800</v>
      </c>
    </row>
    <row r="92" spans="1:13" x14ac:dyDescent="0.25">
      <c r="A92" s="105">
        <v>40500</v>
      </c>
      <c r="B92" s="47">
        <f t="shared" si="10"/>
        <v>4050</v>
      </c>
      <c r="C92" s="7">
        <f t="shared" si="11"/>
        <v>809.99999999999955</v>
      </c>
      <c r="D92" s="7">
        <f t="shared" si="12"/>
        <v>0</v>
      </c>
      <c r="E92" s="47">
        <f t="shared" si="13"/>
        <v>4860</v>
      </c>
      <c r="I92" s="105">
        <v>40500</v>
      </c>
      <c r="J92" s="47">
        <f t="shared" si="14"/>
        <v>4050</v>
      </c>
      <c r="K92" s="7">
        <f t="shared" si="15"/>
        <v>809.99999999999955</v>
      </c>
      <c r="L92" s="7">
        <f t="shared" si="16"/>
        <v>0</v>
      </c>
      <c r="M92" s="47">
        <f t="shared" si="17"/>
        <v>4860</v>
      </c>
    </row>
    <row r="93" spans="1:13" x14ac:dyDescent="0.25">
      <c r="A93" s="105">
        <v>41000</v>
      </c>
      <c r="B93" s="47">
        <f t="shared" si="10"/>
        <v>4100</v>
      </c>
      <c r="C93" s="7">
        <f t="shared" si="11"/>
        <v>819.99999999999955</v>
      </c>
      <c r="D93" s="7">
        <f t="shared" si="12"/>
        <v>0</v>
      </c>
      <c r="E93" s="47">
        <f t="shared" si="13"/>
        <v>4920</v>
      </c>
      <c r="I93" s="105">
        <v>41000</v>
      </c>
      <c r="J93" s="47">
        <f t="shared" si="14"/>
        <v>4100</v>
      </c>
      <c r="K93" s="7">
        <f t="shared" si="15"/>
        <v>819.99999999999955</v>
      </c>
      <c r="L93" s="7">
        <f t="shared" si="16"/>
        <v>0</v>
      </c>
      <c r="M93" s="47">
        <f t="shared" si="17"/>
        <v>4920</v>
      </c>
    </row>
    <row r="94" spans="1:13" x14ac:dyDescent="0.25">
      <c r="A94" s="105">
        <v>41500</v>
      </c>
      <c r="B94" s="47">
        <f t="shared" si="10"/>
        <v>4150</v>
      </c>
      <c r="C94" s="7">
        <f t="shared" si="11"/>
        <v>829.99999999999955</v>
      </c>
      <c r="D94" s="7">
        <f t="shared" si="12"/>
        <v>0</v>
      </c>
      <c r="E94" s="47">
        <f t="shared" si="13"/>
        <v>4980</v>
      </c>
      <c r="I94" s="105">
        <v>41500</v>
      </c>
      <c r="J94" s="47">
        <f t="shared" si="14"/>
        <v>4150</v>
      </c>
      <c r="K94" s="7">
        <f t="shared" si="15"/>
        <v>829.99999999999955</v>
      </c>
      <c r="L94" s="7">
        <f t="shared" si="16"/>
        <v>0</v>
      </c>
      <c r="M94" s="47">
        <f t="shared" si="17"/>
        <v>4980</v>
      </c>
    </row>
    <row r="95" spans="1:13" x14ac:dyDescent="0.25">
      <c r="A95" s="105">
        <v>42000</v>
      </c>
      <c r="B95" s="47">
        <f t="shared" si="10"/>
        <v>4200</v>
      </c>
      <c r="C95" s="7">
        <f t="shared" si="11"/>
        <v>839.99999999999955</v>
      </c>
      <c r="D95" s="7">
        <f t="shared" si="12"/>
        <v>0</v>
      </c>
      <c r="E95" s="47">
        <f t="shared" si="13"/>
        <v>5040</v>
      </c>
      <c r="I95" s="105">
        <v>42000</v>
      </c>
      <c r="J95" s="47">
        <f t="shared" si="14"/>
        <v>4200</v>
      </c>
      <c r="K95" s="7">
        <f t="shared" si="15"/>
        <v>839.99999999999955</v>
      </c>
      <c r="L95" s="7">
        <f t="shared" si="16"/>
        <v>0</v>
      </c>
      <c r="M95" s="47">
        <f t="shared" si="17"/>
        <v>5040</v>
      </c>
    </row>
    <row r="96" spans="1:13" x14ac:dyDescent="0.25">
      <c r="A96" s="105">
        <v>42500</v>
      </c>
      <c r="B96" s="47">
        <f t="shared" si="10"/>
        <v>4250</v>
      </c>
      <c r="C96" s="7">
        <f t="shared" si="11"/>
        <v>849.99999999999955</v>
      </c>
      <c r="D96" s="7">
        <f t="shared" si="12"/>
        <v>0</v>
      </c>
      <c r="E96" s="47">
        <f t="shared" si="13"/>
        <v>5100</v>
      </c>
      <c r="I96" s="105">
        <v>42500</v>
      </c>
      <c r="J96" s="47">
        <f t="shared" si="14"/>
        <v>4250</v>
      </c>
      <c r="K96" s="7">
        <f t="shared" si="15"/>
        <v>849.99999999999955</v>
      </c>
      <c r="L96" s="7">
        <f t="shared" si="16"/>
        <v>0</v>
      </c>
      <c r="M96" s="47">
        <f t="shared" si="17"/>
        <v>5100</v>
      </c>
    </row>
    <row r="97" spans="1:13" x14ac:dyDescent="0.25">
      <c r="A97" s="105">
        <v>43000</v>
      </c>
      <c r="B97" s="47">
        <f t="shared" si="10"/>
        <v>4300</v>
      </c>
      <c r="C97" s="7">
        <f t="shared" si="11"/>
        <v>859.99999999999955</v>
      </c>
      <c r="D97" s="7">
        <f t="shared" si="12"/>
        <v>0</v>
      </c>
      <c r="E97" s="47">
        <f t="shared" si="13"/>
        <v>5160</v>
      </c>
      <c r="I97" s="105">
        <v>43000</v>
      </c>
      <c r="J97" s="47">
        <f t="shared" si="14"/>
        <v>4300</v>
      </c>
      <c r="K97" s="7">
        <f t="shared" si="15"/>
        <v>859.99999999999955</v>
      </c>
      <c r="L97" s="7">
        <f t="shared" si="16"/>
        <v>0</v>
      </c>
      <c r="M97" s="47">
        <f t="shared" si="17"/>
        <v>5160</v>
      </c>
    </row>
    <row r="98" spans="1:13" x14ac:dyDescent="0.25">
      <c r="A98" s="105">
        <v>43500</v>
      </c>
      <c r="B98" s="47">
        <f t="shared" si="10"/>
        <v>4350</v>
      </c>
      <c r="C98" s="7">
        <f t="shared" si="11"/>
        <v>869.99999999999955</v>
      </c>
      <c r="D98" s="7">
        <f t="shared" si="12"/>
        <v>0</v>
      </c>
      <c r="E98" s="47">
        <f t="shared" si="13"/>
        <v>5220</v>
      </c>
      <c r="I98" s="105">
        <v>43500</v>
      </c>
      <c r="J98" s="47">
        <f t="shared" si="14"/>
        <v>4350</v>
      </c>
      <c r="K98" s="7">
        <f t="shared" si="15"/>
        <v>869.99999999999955</v>
      </c>
      <c r="L98" s="7">
        <f t="shared" si="16"/>
        <v>0</v>
      </c>
      <c r="M98" s="47">
        <f t="shared" si="17"/>
        <v>5220</v>
      </c>
    </row>
    <row r="99" spans="1:13" x14ac:dyDescent="0.25">
      <c r="A99" s="105">
        <v>44000</v>
      </c>
      <c r="B99" s="47">
        <f t="shared" si="10"/>
        <v>4400</v>
      </c>
      <c r="C99" s="7">
        <f t="shared" si="11"/>
        <v>879.99999999999955</v>
      </c>
      <c r="D99" s="7">
        <f t="shared" si="12"/>
        <v>0</v>
      </c>
      <c r="E99" s="47">
        <f t="shared" si="13"/>
        <v>5280</v>
      </c>
      <c r="I99" s="105">
        <v>44000</v>
      </c>
      <c r="J99" s="47">
        <f t="shared" si="14"/>
        <v>4400</v>
      </c>
      <c r="K99" s="7">
        <f t="shared" si="15"/>
        <v>879.99999999999955</v>
      </c>
      <c r="L99" s="7">
        <f t="shared" si="16"/>
        <v>0</v>
      </c>
      <c r="M99" s="47">
        <f t="shared" si="17"/>
        <v>5280</v>
      </c>
    </row>
    <row r="100" spans="1:13" x14ac:dyDescent="0.25">
      <c r="A100" s="105">
        <v>44500</v>
      </c>
      <c r="B100" s="47">
        <f t="shared" si="10"/>
        <v>4450</v>
      </c>
      <c r="C100" s="7">
        <f t="shared" si="11"/>
        <v>889.99999999999955</v>
      </c>
      <c r="D100" s="7">
        <f t="shared" si="12"/>
        <v>0</v>
      </c>
      <c r="E100" s="47">
        <f t="shared" si="13"/>
        <v>5340</v>
      </c>
      <c r="I100" s="105">
        <v>44500</v>
      </c>
      <c r="J100" s="47">
        <f t="shared" si="14"/>
        <v>4450</v>
      </c>
      <c r="K100" s="7">
        <f t="shared" si="15"/>
        <v>889.99999999999955</v>
      </c>
      <c r="L100" s="7">
        <f t="shared" si="16"/>
        <v>0</v>
      </c>
      <c r="M100" s="47">
        <f t="shared" si="17"/>
        <v>5340</v>
      </c>
    </row>
    <row r="101" spans="1:13" x14ac:dyDescent="0.25">
      <c r="A101" s="105">
        <v>45000</v>
      </c>
      <c r="B101" s="47">
        <f t="shared" si="10"/>
        <v>4500</v>
      </c>
      <c r="C101" s="7">
        <f t="shared" si="11"/>
        <v>899.99999999999955</v>
      </c>
      <c r="D101" s="7">
        <f t="shared" si="12"/>
        <v>0</v>
      </c>
      <c r="E101" s="47">
        <f t="shared" si="13"/>
        <v>5400</v>
      </c>
      <c r="I101" s="105">
        <v>45000</v>
      </c>
      <c r="J101" s="47">
        <f t="shared" si="14"/>
        <v>4500</v>
      </c>
      <c r="K101" s="7">
        <f t="shared" si="15"/>
        <v>899.99999999999955</v>
      </c>
      <c r="L101" s="7">
        <f t="shared" si="16"/>
        <v>0</v>
      </c>
      <c r="M101" s="47">
        <f t="shared" si="17"/>
        <v>5400</v>
      </c>
    </row>
    <row r="102" spans="1:13" x14ac:dyDescent="0.25">
      <c r="A102" s="105">
        <v>45500</v>
      </c>
      <c r="B102" s="47">
        <f t="shared" si="10"/>
        <v>4550</v>
      </c>
      <c r="C102" s="7">
        <f t="shared" si="11"/>
        <v>909.99999999999955</v>
      </c>
      <c r="D102" s="7">
        <f t="shared" si="12"/>
        <v>0</v>
      </c>
      <c r="E102" s="47">
        <f t="shared" si="13"/>
        <v>5460</v>
      </c>
      <c r="I102" s="105">
        <v>45500</v>
      </c>
      <c r="J102" s="47">
        <f t="shared" si="14"/>
        <v>4550</v>
      </c>
      <c r="K102" s="7">
        <f t="shared" si="15"/>
        <v>909.99999999999955</v>
      </c>
      <c r="L102" s="7">
        <f t="shared" si="16"/>
        <v>0</v>
      </c>
      <c r="M102" s="47">
        <f t="shared" si="17"/>
        <v>5460</v>
      </c>
    </row>
    <row r="103" spans="1:13" x14ac:dyDescent="0.25">
      <c r="A103" s="105">
        <v>46000</v>
      </c>
      <c r="B103" s="47">
        <f t="shared" si="10"/>
        <v>4600</v>
      </c>
      <c r="C103" s="7">
        <f t="shared" si="11"/>
        <v>919.99999999999955</v>
      </c>
      <c r="D103" s="7">
        <f t="shared" si="12"/>
        <v>0</v>
      </c>
      <c r="E103" s="47">
        <f t="shared" si="13"/>
        <v>5520</v>
      </c>
      <c r="I103" s="105">
        <v>46000</v>
      </c>
      <c r="J103" s="47">
        <f t="shared" si="14"/>
        <v>4600</v>
      </c>
      <c r="K103" s="7">
        <f t="shared" si="15"/>
        <v>919.99999999999955</v>
      </c>
      <c r="L103" s="7">
        <f t="shared" si="16"/>
        <v>0</v>
      </c>
      <c r="M103" s="47">
        <f t="shared" si="17"/>
        <v>5520</v>
      </c>
    </row>
    <row r="104" spans="1:13" x14ac:dyDescent="0.25">
      <c r="A104" s="105">
        <v>46500</v>
      </c>
      <c r="B104" s="47">
        <f t="shared" si="10"/>
        <v>4650</v>
      </c>
      <c r="C104" s="7">
        <f t="shared" si="11"/>
        <v>929.99999999999955</v>
      </c>
      <c r="D104" s="7">
        <f t="shared" si="12"/>
        <v>0</v>
      </c>
      <c r="E104" s="47">
        <f t="shared" si="13"/>
        <v>5580</v>
      </c>
      <c r="I104" s="105">
        <v>46500</v>
      </c>
      <c r="J104" s="47">
        <f t="shared" si="14"/>
        <v>4650</v>
      </c>
      <c r="K104" s="7">
        <f t="shared" si="15"/>
        <v>929.99999999999955</v>
      </c>
      <c r="L104" s="7">
        <f t="shared" si="16"/>
        <v>0</v>
      </c>
      <c r="M104" s="47">
        <f t="shared" si="17"/>
        <v>5580</v>
      </c>
    </row>
    <row r="105" spans="1:13" x14ac:dyDescent="0.25">
      <c r="A105" s="105">
        <v>47000</v>
      </c>
      <c r="B105" s="47">
        <f t="shared" si="10"/>
        <v>4700</v>
      </c>
      <c r="C105" s="7">
        <f t="shared" si="11"/>
        <v>939.99999999999955</v>
      </c>
      <c r="D105" s="7">
        <f t="shared" si="12"/>
        <v>0</v>
      </c>
      <c r="E105" s="47">
        <f t="shared" si="13"/>
        <v>5640</v>
      </c>
      <c r="I105" s="105">
        <v>47000</v>
      </c>
      <c r="J105" s="47">
        <f t="shared" si="14"/>
        <v>4700</v>
      </c>
      <c r="K105" s="7">
        <f t="shared" si="15"/>
        <v>939.99999999999955</v>
      </c>
      <c r="L105" s="7">
        <f t="shared" si="16"/>
        <v>0</v>
      </c>
      <c r="M105" s="47">
        <f t="shared" si="17"/>
        <v>5640</v>
      </c>
    </row>
    <row r="106" spans="1:13" x14ac:dyDescent="0.25">
      <c r="A106" s="105">
        <v>47500</v>
      </c>
      <c r="B106" s="47">
        <f t="shared" si="10"/>
        <v>4750</v>
      </c>
      <c r="C106" s="7">
        <f t="shared" si="11"/>
        <v>949.99999999999955</v>
      </c>
      <c r="D106" s="7">
        <f t="shared" si="12"/>
        <v>4750</v>
      </c>
      <c r="E106" s="47">
        <f t="shared" si="13"/>
        <v>10450</v>
      </c>
      <c r="I106" s="105">
        <v>47500</v>
      </c>
      <c r="J106" s="47">
        <f t="shared" si="14"/>
        <v>4750</v>
      </c>
      <c r="K106" s="7">
        <f t="shared" si="15"/>
        <v>949.99999999999955</v>
      </c>
      <c r="L106" s="7">
        <f t="shared" si="16"/>
        <v>0</v>
      </c>
      <c r="M106" s="47">
        <f t="shared" si="17"/>
        <v>5700</v>
      </c>
    </row>
    <row r="107" spans="1:13" x14ac:dyDescent="0.25">
      <c r="A107" s="105">
        <v>48000</v>
      </c>
      <c r="B107" s="47">
        <f t="shared" si="10"/>
        <v>4800</v>
      </c>
      <c r="C107" s="7">
        <f t="shared" si="11"/>
        <v>959.99999999999955</v>
      </c>
      <c r="D107" s="7">
        <f t="shared" si="12"/>
        <v>4800</v>
      </c>
      <c r="E107" s="47">
        <f t="shared" si="13"/>
        <v>10560</v>
      </c>
      <c r="I107" s="105">
        <v>48000</v>
      </c>
      <c r="J107" s="47">
        <f t="shared" si="14"/>
        <v>4800</v>
      </c>
      <c r="K107" s="7">
        <f t="shared" si="15"/>
        <v>959.99999999999955</v>
      </c>
      <c r="L107" s="7">
        <f t="shared" si="16"/>
        <v>0</v>
      </c>
      <c r="M107" s="47">
        <f t="shared" si="17"/>
        <v>5760</v>
      </c>
    </row>
    <row r="108" spans="1:13" x14ac:dyDescent="0.25">
      <c r="A108" s="105">
        <v>48500</v>
      </c>
      <c r="B108" s="47">
        <f t="shared" si="10"/>
        <v>4850</v>
      </c>
      <c r="C108" s="7">
        <f t="shared" si="11"/>
        <v>969.99999999999955</v>
      </c>
      <c r="D108" s="7">
        <f t="shared" si="12"/>
        <v>4850</v>
      </c>
      <c r="E108" s="47">
        <f t="shared" si="13"/>
        <v>10670</v>
      </c>
      <c r="I108" s="105">
        <v>48500</v>
      </c>
      <c r="J108" s="47">
        <f t="shared" si="14"/>
        <v>4850</v>
      </c>
      <c r="K108" s="7">
        <f t="shared" si="15"/>
        <v>969.99999999999955</v>
      </c>
      <c r="L108" s="7">
        <f t="shared" si="16"/>
        <v>0</v>
      </c>
      <c r="M108" s="47">
        <f t="shared" si="17"/>
        <v>5820</v>
      </c>
    </row>
    <row r="109" spans="1:13" x14ac:dyDescent="0.25">
      <c r="A109" s="105">
        <v>49000</v>
      </c>
      <c r="B109" s="47">
        <f t="shared" si="10"/>
        <v>4900</v>
      </c>
      <c r="C109" s="7">
        <f t="shared" si="11"/>
        <v>979.99999999999955</v>
      </c>
      <c r="D109" s="7">
        <f t="shared" si="12"/>
        <v>4900</v>
      </c>
      <c r="E109" s="47">
        <f t="shared" si="13"/>
        <v>10780</v>
      </c>
      <c r="I109" s="105">
        <v>49000</v>
      </c>
      <c r="J109" s="47">
        <f t="shared" si="14"/>
        <v>4900</v>
      </c>
      <c r="K109" s="7">
        <f t="shared" si="15"/>
        <v>979.99999999999955</v>
      </c>
      <c r="L109" s="7">
        <f t="shared" si="16"/>
        <v>0</v>
      </c>
      <c r="M109" s="47">
        <f t="shared" si="17"/>
        <v>5880</v>
      </c>
    </row>
    <row r="110" spans="1:13" x14ac:dyDescent="0.25">
      <c r="A110" s="105">
        <v>49500</v>
      </c>
      <c r="B110" s="47">
        <f t="shared" si="10"/>
        <v>4950</v>
      </c>
      <c r="C110" s="7">
        <f t="shared" si="11"/>
        <v>989.99999999999955</v>
      </c>
      <c r="D110" s="7">
        <f t="shared" si="12"/>
        <v>4950</v>
      </c>
      <c r="E110" s="47">
        <f t="shared" si="13"/>
        <v>10890</v>
      </c>
      <c r="I110" s="105">
        <v>49500</v>
      </c>
      <c r="J110" s="47">
        <f t="shared" si="14"/>
        <v>4950</v>
      </c>
      <c r="K110" s="7">
        <f t="shared" si="15"/>
        <v>989.99999999999955</v>
      </c>
      <c r="L110" s="7">
        <f t="shared" si="16"/>
        <v>0</v>
      </c>
      <c r="M110" s="47">
        <f t="shared" si="17"/>
        <v>5940</v>
      </c>
    </row>
    <row r="111" spans="1:13" x14ac:dyDescent="0.25">
      <c r="A111" s="105">
        <v>50000</v>
      </c>
      <c r="B111" s="47">
        <f t="shared" si="10"/>
        <v>5000</v>
      </c>
      <c r="C111" s="7">
        <f t="shared" si="11"/>
        <v>999.99999999999955</v>
      </c>
      <c r="D111" s="7">
        <f t="shared" si="12"/>
        <v>5000</v>
      </c>
      <c r="E111" s="47">
        <f t="shared" si="13"/>
        <v>11000</v>
      </c>
      <c r="I111" s="105">
        <v>50000</v>
      </c>
      <c r="J111" s="47">
        <f t="shared" si="14"/>
        <v>5000</v>
      </c>
      <c r="K111" s="7">
        <f t="shared" si="15"/>
        <v>999.99999999999955</v>
      </c>
      <c r="L111" s="7">
        <f t="shared" si="16"/>
        <v>0</v>
      </c>
      <c r="M111" s="47">
        <f t="shared" si="17"/>
        <v>6000</v>
      </c>
    </row>
    <row r="112" spans="1:13" x14ac:dyDescent="0.25">
      <c r="A112" s="105">
        <v>50500</v>
      </c>
      <c r="B112" s="47">
        <f t="shared" si="10"/>
        <v>5050</v>
      </c>
      <c r="C112" s="7">
        <f t="shared" si="11"/>
        <v>1009.9999999999995</v>
      </c>
      <c r="D112" s="7">
        <f t="shared" si="12"/>
        <v>5050</v>
      </c>
      <c r="E112" s="47">
        <f t="shared" si="13"/>
        <v>11110</v>
      </c>
      <c r="I112" s="105">
        <v>50500</v>
      </c>
      <c r="J112" s="47">
        <f t="shared" si="14"/>
        <v>5050</v>
      </c>
      <c r="K112" s="7">
        <f t="shared" si="15"/>
        <v>1009.9999999999995</v>
      </c>
      <c r="L112" s="7">
        <f t="shared" si="16"/>
        <v>0</v>
      </c>
      <c r="M112" s="47">
        <f t="shared" si="17"/>
        <v>6060</v>
      </c>
    </row>
    <row r="113" spans="1:13" x14ac:dyDescent="0.25">
      <c r="A113" s="105">
        <v>51000</v>
      </c>
      <c r="B113" s="47">
        <f t="shared" si="10"/>
        <v>5100</v>
      </c>
      <c r="C113" s="7">
        <f t="shared" si="11"/>
        <v>1019.9999999999995</v>
      </c>
      <c r="D113" s="7">
        <f t="shared" si="12"/>
        <v>5100</v>
      </c>
      <c r="E113" s="47">
        <f t="shared" si="13"/>
        <v>11220</v>
      </c>
      <c r="I113" s="105">
        <v>51000</v>
      </c>
      <c r="J113" s="47">
        <f t="shared" si="14"/>
        <v>5100</v>
      </c>
      <c r="K113" s="7">
        <f t="shared" si="15"/>
        <v>1019.9999999999995</v>
      </c>
      <c r="L113" s="7">
        <f t="shared" si="16"/>
        <v>0</v>
      </c>
      <c r="M113" s="47">
        <f t="shared" si="17"/>
        <v>6120</v>
      </c>
    </row>
    <row r="114" spans="1:13" x14ac:dyDescent="0.25">
      <c r="A114" s="105">
        <v>51500</v>
      </c>
      <c r="B114" s="47">
        <f t="shared" si="10"/>
        <v>5150</v>
      </c>
      <c r="C114" s="7">
        <f t="shared" si="11"/>
        <v>1029.9999999999995</v>
      </c>
      <c r="D114" s="7">
        <f t="shared" si="12"/>
        <v>5150</v>
      </c>
      <c r="E114" s="47">
        <f t="shared" si="13"/>
        <v>11330</v>
      </c>
      <c r="I114" s="105">
        <v>51500</v>
      </c>
      <c r="J114" s="47">
        <f t="shared" si="14"/>
        <v>5150</v>
      </c>
      <c r="K114" s="7">
        <f t="shared" si="15"/>
        <v>1029.9999999999995</v>
      </c>
      <c r="L114" s="7">
        <f t="shared" si="16"/>
        <v>0</v>
      </c>
      <c r="M114" s="47">
        <f t="shared" si="17"/>
        <v>6180</v>
      </c>
    </row>
    <row r="115" spans="1:13" x14ac:dyDescent="0.25">
      <c r="A115" s="105">
        <v>52000</v>
      </c>
      <c r="B115" s="47">
        <f t="shared" si="10"/>
        <v>5200</v>
      </c>
      <c r="C115" s="7">
        <f t="shared" si="11"/>
        <v>1039.9999999999995</v>
      </c>
      <c r="D115" s="7">
        <f t="shared" si="12"/>
        <v>5200</v>
      </c>
      <c r="E115" s="47">
        <f t="shared" si="13"/>
        <v>11440</v>
      </c>
      <c r="I115" s="105">
        <v>52000</v>
      </c>
      <c r="J115" s="47">
        <f t="shared" si="14"/>
        <v>5200</v>
      </c>
      <c r="K115" s="7">
        <f t="shared" si="15"/>
        <v>1039.9999999999995</v>
      </c>
      <c r="L115" s="7">
        <f t="shared" si="16"/>
        <v>0</v>
      </c>
      <c r="M115" s="47">
        <f t="shared" si="17"/>
        <v>6240</v>
      </c>
    </row>
    <row r="116" spans="1:13" x14ac:dyDescent="0.25">
      <c r="A116" s="105">
        <v>52500</v>
      </c>
      <c r="B116" s="47">
        <f t="shared" si="10"/>
        <v>5250</v>
      </c>
      <c r="C116" s="7">
        <f t="shared" si="11"/>
        <v>1049.9999999999995</v>
      </c>
      <c r="D116" s="7">
        <f t="shared" si="12"/>
        <v>5250</v>
      </c>
      <c r="E116" s="47">
        <f t="shared" si="13"/>
        <v>11550</v>
      </c>
      <c r="I116" s="105">
        <v>52500</v>
      </c>
      <c r="J116" s="47">
        <f t="shared" si="14"/>
        <v>5250</v>
      </c>
      <c r="K116" s="7">
        <f t="shared" si="15"/>
        <v>1049.9999999999995</v>
      </c>
      <c r="L116" s="7">
        <f t="shared" si="16"/>
        <v>0</v>
      </c>
      <c r="M116" s="47">
        <f t="shared" si="17"/>
        <v>6300</v>
      </c>
    </row>
    <row r="117" spans="1:13" x14ac:dyDescent="0.25">
      <c r="A117" s="105">
        <v>53000</v>
      </c>
      <c r="B117" s="47">
        <f t="shared" si="10"/>
        <v>5300</v>
      </c>
      <c r="C117" s="7">
        <f t="shared" si="11"/>
        <v>1059.9999999999995</v>
      </c>
      <c r="D117" s="7">
        <f t="shared" si="12"/>
        <v>5300</v>
      </c>
      <c r="E117" s="47">
        <f t="shared" si="13"/>
        <v>11660</v>
      </c>
      <c r="I117" s="105">
        <v>53000</v>
      </c>
      <c r="J117" s="47">
        <f t="shared" si="14"/>
        <v>5300</v>
      </c>
      <c r="K117" s="7">
        <f t="shared" si="15"/>
        <v>1059.9999999999995</v>
      </c>
      <c r="L117" s="7">
        <f t="shared" si="16"/>
        <v>0</v>
      </c>
      <c r="M117" s="47">
        <f t="shared" si="17"/>
        <v>6360</v>
      </c>
    </row>
    <row r="118" spans="1:13" x14ac:dyDescent="0.25">
      <c r="A118" s="105">
        <v>53500</v>
      </c>
      <c r="B118" s="47">
        <f t="shared" si="10"/>
        <v>5350</v>
      </c>
      <c r="C118" s="7">
        <f t="shared" si="11"/>
        <v>1069.9999999999995</v>
      </c>
      <c r="D118" s="7">
        <f t="shared" si="12"/>
        <v>5350</v>
      </c>
      <c r="E118" s="47">
        <f t="shared" si="13"/>
        <v>11770</v>
      </c>
      <c r="I118" s="105">
        <v>53500</v>
      </c>
      <c r="J118" s="47">
        <f t="shared" si="14"/>
        <v>5350</v>
      </c>
      <c r="K118" s="7">
        <f t="shared" si="15"/>
        <v>1069.9999999999995</v>
      </c>
      <c r="L118" s="7">
        <f t="shared" si="16"/>
        <v>0</v>
      </c>
      <c r="M118" s="47">
        <f t="shared" si="17"/>
        <v>6420</v>
      </c>
    </row>
    <row r="119" spans="1:13" x14ac:dyDescent="0.25">
      <c r="A119" s="105">
        <v>54000</v>
      </c>
      <c r="B119" s="47">
        <f t="shared" si="10"/>
        <v>5400</v>
      </c>
      <c r="C119" s="7">
        <f t="shared" si="11"/>
        <v>1079.9999999999995</v>
      </c>
      <c r="D119" s="7">
        <f t="shared" si="12"/>
        <v>5400</v>
      </c>
      <c r="E119" s="47">
        <f t="shared" si="13"/>
        <v>11880</v>
      </c>
      <c r="I119" s="105">
        <v>54000</v>
      </c>
      <c r="J119" s="47">
        <f t="shared" si="14"/>
        <v>5400</v>
      </c>
      <c r="K119" s="7">
        <f t="shared" si="15"/>
        <v>1079.9999999999995</v>
      </c>
      <c r="L119" s="7">
        <f t="shared" si="16"/>
        <v>0</v>
      </c>
      <c r="M119" s="47">
        <f t="shared" si="17"/>
        <v>6480</v>
      </c>
    </row>
    <row r="120" spans="1:13" x14ac:dyDescent="0.25">
      <c r="A120" s="105">
        <v>54500</v>
      </c>
      <c r="B120" s="47">
        <f t="shared" si="10"/>
        <v>5450</v>
      </c>
      <c r="C120" s="7">
        <f t="shared" si="11"/>
        <v>1089.9999999999995</v>
      </c>
      <c r="D120" s="7">
        <f t="shared" si="12"/>
        <v>5450</v>
      </c>
      <c r="E120" s="47">
        <f t="shared" si="13"/>
        <v>11990</v>
      </c>
      <c r="I120" s="105">
        <v>54500</v>
      </c>
      <c r="J120" s="47">
        <f t="shared" si="14"/>
        <v>5450</v>
      </c>
      <c r="K120" s="7">
        <f t="shared" si="15"/>
        <v>1089.9999999999995</v>
      </c>
      <c r="L120" s="7">
        <f t="shared" si="16"/>
        <v>0</v>
      </c>
      <c r="M120" s="47">
        <f t="shared" si="17"/>
        <v>6540</v>
      </c>
    </row>
    <row r="121" spans="1:13" x14ac:dyDescent="0.25">
      <c r="A121" s="105">
        <v>55000</v>
      </c>
      <c r="B121" s="47">
        <f t="shared" si="10"/>
        <v>5500</v>
      </c>
      <c r="C121" s="7">
        <f t="shared" si="11"/>
        <v>1099.9999999999995</v>
      </c>
      <c r="D121" s="7">
        <f t="shared" si="12"/>
        <v>5500</v>
      </c>
      <c r="E121" s="47">
        <f t="shared" si="13"/>
        <v>12100</v>
      </c>
      <c r="I121" s="105">
        <v>55000</v>
      </c>
      <c r="J121" s="47">
        <f t="shared" si="14"/>
        <v>5500</v>
      </c>
      <c r="K121" s="7">
        <f t="shared" si="15"/>
        <v>1099.9999999999995</v>
      </c>
      <c r="L121" s="7">
        <f t="shared" si="16"/>
        <v>0</v>
      </c>
      <c r="M121" s="47">
        <f t="shared" si="17"/>
        <v>6600</v>
      </c>
    </row>
    <row r="122" spans="1:13" x14ac:dyDescent="0.25">
      <c r="A122" s="105">
        <v>55500</v>
      </c>
      <c r="B122" s="47">
        <f t="shared" si="10"/>
        <v>5550</v>
      </c>
      <c r="C122" s="7">
        <f t="shared" si="11"/>
        <v>1109.9999999999995</v>
      </c>
      <c r="D122" s="7">
        <f t="shared" si="12"/>
        <v>5550</v>
      </c>
      <c r="E122" s="47">
        <f t="shared" si="13"/>
        <v>12210</v>
      </c>
      <c r="I122" s="105">
        <v>55500</v>
      </c>
      <c r="J122" s="47">
        <f t="shared" si="14"/>
        <v>5550</v>
      </c>
      <c r="K122" s="7">
        <f t="shared" si="15"/>
        <v>1109.9999999999995</v>
      </c>
      <c r="L122" s="7">
        <f t="shared" si="16"/>
        <v>0</v>
      </c>
      <c r="M122" s="47">
        <f t="shared" si="17"/>
        <v>6660</v>
      </c>
    </row>
    <row r="123" spans="1:13" x14ac:dyDescent="0.25">
      <c r="A123" s="105">
        <v>56000</v>
      </c>
      <c r="B123" s="47">
        <f t="shared" si="10"/>
        <v>5600</v>
      </c>
      <c r="C123" s="7">
        <f t="shared" si="11"/>
        <v>1119.9999999999995</v>
      </c>
      <c r="D123" s="7">
        <f t="shared" si="12"/>
        <v>5600</v>
      </c>
      <c r="E123" s="47">
        <f t="shared" si="13"/>
        <v>12320</v>
      </c>
      <c r="I123" s="105">
        <v>56000</v>
      </c>
      <c r="J123" s="47">
        <f t="shared" si="14"/>
        <v>5600</v>
      </c>
      <c r="K123" s="7">
        <f t="shared" si="15"/>
        <v>1119.9999999999995</v>
      </c>
      <c r="L123" s="7">
        <f t="shared" si="16"/>
        <v>0</v>
      </c>
      <c r="M123" s="47">
        <f t="shared" si="17"/>
        <v>6720</v>
      </c>
    </row>
    <row r="124" spans="1:13" x14ac:dyDescent="0.25">
      <c r="A124" s="105">
        <v>56500</v>
      </c>
      <c r="B124" s="47">
        <f t="shared" si="10"/>
        <v>5650</v>
      </c>
      <c r="C124" s="7">
        <f t="shared" si="11"/>
        <v>1129.9999999999995</v>
      </c>
      <c r="D124" s="7">
        <f t="shared" si="12"/>
        <v>5650</v>
      </c>
      <c r="E124" s="47">
        <f t="shared" si="13"/>
        <v>12430</v>
      </c>
      <c r="I124" s="105">
        <v>56500</v>
      </c>
      <c r="J124" s="47">
        <f t="shared" si="14"/>
        <v>5650</v>
      </c>
      <c r="K124" s="7">
        <f t="shared" si="15"/>
        <v>1129.9999999999995</v>
      </c>
      <c r="L124" s="7">
        <f t="shared" si="16"/>
        <v>0</v>
      </c>
      <c r="M124" s="47">
        <f t="shared" si="17"/>
        <v>6780</v>
      </c>
    </row>
    <row r="125" spans="1:13" x14ac:dyDescent="0.25">
      <c r="A125" s="105">
        <v>57000</v>
      </c>
      <c r="B125" s="47">
        <f t="shared" si="10"/>
        <v>5700</v>
      </c>
      <c r="C125" s="7">
        <f t="shared" si="11"/>
        <v>1139.9999999999993</v>
      </c>
      <c r="D125" s="7">
        <f t="shared" si="12"/>
        <v>5700</v>
      </c>
      <c r="E125" s="47">
        <f t="shared" si="13"/>
        <v>12540</v>
      </c>
      <c r="I125" s="105">
        <v>57000</v>
      </c>
      <c r="J125" s="47">
        <f t="shared" si="14"/>
        <v>5700</v>
      </c>
      <c r="K125" s="7">
        <f t="shared" si="15"/>
        <v>1139.9999999999993</v>
      </c>
      <c r="L125" s="7">
        <f t="shared" si="16"/>
        <v>0</v>
      </c>
      <c r="M125" s="47">
        <f t="shared" si="17"/>
        <v>6839.9999999999991</v>
      </c>
    </row>
    <row r="126" spans="1:13" x14ac:dyDescent="0.25">
      <c r="A126" s="105">
        <v>57500</v>
      </c>
      <c r="B126" s="47">
        <f t="shared" si="10"/>
        <v>5750</v>
      </c>
      <c r="C126" s="7">
        <f t="shared" si="11"/>
        <v>1149.9999999999993</v>
      </c>
      <c r="D126" s="7">
        <f t="shared" si="12"/>
        <v>5750</v>
      </c>
      <c r="E126" s="47">
        <f t="shared" si="13"/>
        <v>12650</v>
      </c>
      <c r="I126" s="105">
        <v>57500</v>
      </c>
      <c r="J126" s="47">
        <f t="shared" si="14"/>
        <v>5750</v>
      </c>
      <c r="K126" s="7">
        <f t="shared" si="15"/>
        <v>1149.9999999999993</v>
      </c>
      <c r="L126" s="7">
        <f t="shared" si="16"/>
        <v>0</v>
      </c>
      <c r="M126" s="47">
        <f t="shared" si="17"/>
        <v>6899.9999999999991</v>
      </c>
    </row>
    <row r="127" spans="1:13" x14ac:dyDescent="0.25">
      <c r="A127" s="105">
        <v>58000</v>
      </c>
      <c r="B127" s="47">
        <f t="shared" si="10"/>
        <v>5800</v>
      </c>
      <c r="C127" s="7">
        <f t="shared" si="11"/>
        <v>1159.9999999999993</v>
      </c>
      <c r="D127" s="7">
        <f t="shared" si="12"/>
        <v>5800</v>
      </c>
      <c r="E127" s="47">
        <f t="shared" si="13"/>
        <v>12760</v>
      </c>
      <c r="I127" s="105">
        <v>58000</v>
      </c>
      <c r="J127" s="47">
        <f t="shared" si="14"/>
        <v>5800</v>
      </c>
      <c r="K127" s="7">
        <f t="shared" si="15"/>
        <v>1159.9999999999993</v>
      </c>
      <c r="L127" s="7">
        <f t="shared" si="16"/>
        <v>0</v>
      </c>
      <c r="M127" s="47">
        <f t="shared" si="17"/>
        <v>6959.9999999999991</v>
      </c>
    </row>
    <row r="128" spans="1:13" x14ac:dyDescent="0.25">
      <c r="A128" s="105">
        <v>58500</v>
      </c>
      <c r="B128" s="47">
        <f t="shared" si="10"/>
        <v>5850</v>
      </c>
      <c r="C128" s="7">
        <f t="shared" si="11"/>
        <v>1169.9999999999993</v>
      </c>
      <c r="D128" s="7">
        <f t="shared" si="12"/>
        <v>5850</v>
      </c>
      <c r="E128" s="47">
        <f t="shared" si="13"/>
        <v>12870</v>
      </c>
      <c r="I128" s="105">
        <v>58500</v>
      </c>
      <c r="J128" s="47">
        <f t="shared" si="14"/>
        <v>5850</v>
      </c>
      <c r="K128" s="7">
        <f t="shared" si="15"/>
        <v>1169.9999999999993</v>
      </c>
      <c r="L128" s="7">
        <f t="shared" si="16"/>
        <v>0</v>
      </c>
      <c r="M128" s="47">
        <f t="shared" si="17"/>
        <v>7019.9999999999991</v>
      </c>
    </row>
    <row r="129" spans="1:13" x14ac:dyDescent="0.25">
      <c r="A129" s="105">
        <v>59000</v>
      </c>
      <c r="B129" s="47">
        <f t="shared" si="10"/>
        <v>5900</v>
      </c>
      <c r="C129" s="7">
        <f t="shared" si="11"/>
        <v>1179.9999999999993</v>
      </c>
      <c r="D129" s="7">
        <f t="shared" si="12"/>
        <v>5900</v>
      </c>
      <c r="E129" s="47">
        <f t="shared" si="13"/>
        <v>12980</v>
      </c>
      <c r="I129" s="105">
        <v>59000</v>
      </c>
      <c r="J129" s="47">
        <f t="shared" si="14"/>
        <v>5900</v>
      </c>
      <c r="K129" s="7">
        <f t="shared" si="15"/>
        <v>1179.9999999999993</v>
      </c>
      <c r="L129" s="7">
        <f t="shared" si="16"/>
        <v>0</v>
      </c>
      <c r="M129" s="47">
        <f t="shared" si="17"/>
        <v>7079.9999999999991</v>
      </c>
    </row>
    <row r="130" spans="1:13" x14ac:dyDescent="0.25">
      <c r="A130" s="105">
        <v>59500</v>
      </c>
      <c r="B130" s="47">
        <f t="shared" si="10"/>
        <v>5950</v>
      </c>
      <c r="C130" s="7">
        <f t="shared" si="11"/>
        <v>1189.9999999999993</v>
      </c>
      <c r="D130" s="7">
        <f t="shared" si="12"/>
        <v>5950</v>
      </c>
      <c r="E130" s="47">
        <f t="shared" si="13"/>
        <v>13090</v>
      </c>
      <c r="I130" s="105">
        <v>59500</v>
      </c>
      <c r="J130" s="47">
        <f t="shared" si="14"/>
        <v>5950</v>
      </c>
      <c r="K130" s="7">
        <f t="shared" si="15"/>
        <v>1189.9999999999993</v>
      </c>
      <c r="L130" s="7">
        <f t="shared" si="16"/>
        <v>0</v>
      </c>
      <c r="M130" s="47">
        <f t="shared" si="17"/>
        <v>7139.9999999999991</v>
      </c>
    </row>
    <row r="131" spans="1:13" x14ac:dyDescent="0.25">
      <c r="A131" s="105">
        <v>60000</v>
      </c>
      <c r="B131" s="47">
        <f t="shared" si="10"/>
        <v>6000</v>
      </c>
      <c r="C131" s="7">
        <f t="shared" si="11"/>
        <v>1199.9999999999993</v>
      </c>
      <c r="D131" s="7">
        <f t="shared" si="12"/>
        <v>6000</v>
      </c>
      <c r="E131" s="47">
        <f t="shared" si="13"/>
        <v>13200</v>
      </c>
      <c r="I131" s="105">
        <v>60000</v>
      </c>
      <c r="J131" s="47">
        <f t="shared" si="14"/>
        <v>6000</v>
      </c>
      <c r="K131" s="7">
        <f t="shared" si="15"/>
        <v>1199.9999999999993</v>
      </c>
      <c r="L131" s="7">
        <f t="shared" si="16"/>
        <v>0</v>
      </c>
      <c r="M131" s="47">
        <f t="shared" si="17"/>
        <v>7199.9999999999991</v>
      </c>
    </row>
    <row r="132" spans="1:13" x14ac:dyDescent="0.25">
      <c r="A132" s="105">
        <v>60500</v>
      </c>
      <c r="B132" s="47">
        <f t="shared" si="10"/>
        <v>6050</v>
      </c>
      <c r="C132" s="7">
        <f t="shared" si="11"/>
        <v>1209.9999999999993</v>
      </c>
      <c r="D132" s="7">
        <f t="shared" si="12"/>
        <v>6050</v>
      </c>
      <c r="E132" s="47">
        <f t="shared" si="13"/>
        <v>13310</v>
      </c>
      <c r="I132" s="105">
        <v>60500</v>
      </c>
      <c r="J132" s="47">
        <f t="shared" si="14"/>
        <v>6050</v>
      </c>
      <c r="K132" s="7">
        <f t="shared" si="15"/>
        <v>1209.9999999999993</v>
      </c>
      <c r="L132" s="7">
        <f t="shared" si="16"/>
        <v>0</v>
      </c>
      <c r="M132" s="47">
        <f t="shared" si="17"/>
        <v>7259.9999999999991</v>
      </c>
    </row>
    <row r="133" spans="1:13" x14ac:dyDescent="0.25">
      <c r="A133" s="105">
        <v>61000</v>
      </c>
      <c r="B133" s="47">
        <f t="shared" si="10"/>
        <v>6100</v>
      </c>
      <c r="C133" s="7">
        <f t="shared" si="11"/>
        <v>1219.9999999999993</v>
      </c>
      <c r="D133" s="7">
        <f t="shared" si="12"/>
        <v>6100</v>
      </c>
      <c r="E133" s="47">
        <f t="shared" si="13"/>
        <v>13420</v>
      </c>
      <c r="I133" s="105">
        <v>61000</v>
      </c>
      <c r="J133" s="47">
        <f t="shared" si="14"/>
        <v>6100</v>
      </c>
      <c r="K133" s="7">
        <f t="shared" si="15"/>
        <v>1219.9999999999993</v>
      </c>
      <c r="L133" s="7">
        <f t="shared" si="16"/>
        <v>0</v>
      </c>
      <c r="M133" s="47">
        <f t="shared" si="17"/>
        <v>7319.9999999999991</v>
      </c>
    </row>
    <row r="134" spans="1:13" x14ac:dyDescent="0.25">
      <c r="A134" s="105">
        <v>61500</v>
      </c>
      <c r="B134" s="47">
        <f t="shared" si="10"/>
        <v>6150</v>
      </c>
      <c r="C134" s="7">
        <f t="shared" si="11"/>
        <v>1229.9999999999993</v>
      </c>
      <c r="D134" s="7">
        <f t="shared" si="12"/>
        <v>6150</v>
      </c>
      <c r="E134" s="47">
        <f t="shared" si="13"/>
        <v>13530</v>
      </c>
      <c r="I134" s="105">
        <v>61500</v>
      </c>
      <c r="J134" s="47">
        <f t="shared" si="14"/>
        <v>6150</v>
      </c>
      <c r="K134" s="7">
        <f t="shared" si="15"/>
        <v>1229.9999999999993</v>
      </c>
      <c r="L134" s="7">
        <f t="shared" si="16"/>
        <v>0</v>
      </c>
      <c r="M134" s="47">
        <f t="shared" si="17"/>
        <v>7379.9999999999991</v>
      </c>
    </row>
    <row r="135" spans="1:13" x14ac:dyDescent="0.25">
      <c r="A135" s="105">
        <v>62000</v>
      </c>
      <c r="B135" s="47">
        <f t="shared" si="10"/>
        <v>6200</v>
      </c>
      <c r="C135" s="7">
        <f t="shared" si="11"/>
        <v>1239.9999999999993</v>
      </c>
      <c r="D135" s="7">
        <f t="shared" si="12"/>
        <v>6200</v>
      </c>
      <c r="E135" s="47">
        <f t="shared" si="13"/>
        <v>13640</v>
      </c>
      <c r="I135" s="105">
        <v>62000</v>
      </c>
      <c r="J135" s="47">
        <f t="shared" si="14"/>
        <v>6200</v>
      </c>
      <c r="K135" s="7">
        <f t="shared" si="15"/>
        <v>1239.9999999999993</v>
      </c>
      <c r="L135" s="7">
        <f t="shared" si="16"/>
        <v>0</v>
      </c>
      <c r="M135" s="47">
        <f t="shared" si="17"/>
        <v>7439.9999999999991</v>
      </c>
    </row>
    <row r="136" spans="1:13" x14ac:dyDescent="0.25">
      <c r="A136" s="105">
        <v>62500</v>
      </c>
      <c r="B136" s="47">
        <f t="shared" si="10"/>
        <v>6250</v>
      </c>
      <c r="C136" s="7">
        <f t="shared" si="11"/>
        <v>1249.9999999999993</v>
      </c>
      <c r="D136" s="7">
        <f t="shared" si="12"/>
        <v>6250</v>
      </c>
      <c r="E136" s="47">
        <f t="shared" si="13"/>
        <v>13750</v>
      </c>
      <c r="I136" s="105">
        <v>62500</v>
      </c>
      <c r="J136" s="47">
        <f t="shared" si="14"/>
        <v>6250</v>
      </c>
      <c r="K136" s="7">
        <f t="shared" si="15"/>
        <v>1249.9999999999993</v>
      </c>
      <c r="L136" s="7">
        <f t="shared" si="16"/>
        <v>0</v>
      </c>
      <c r="M136" s="47">
        <f t="shared" si="17"/>
        <v>7499.9999999999991</v>
      </c>
    </row>
    <row r="137" spans="1:13" x14ac:dyDescent="0.25">
      <c r="A137" s="105">
        <v>63000</v>
      </c>
      <c r="B137" s="47">
        <f t="shared" si="10"/>
        <v>6300</v>
      </c>
      <c r="C137" s="7">
        <f t="shared" si="11"/>
        <v>1259.9999999999993</v>
      </c>
      <c r="D137" s="7">
        <f t="shared" si="12"/>
        <v>6300</v>
      </c>
      <c r="E137" s="47">
        <f t="shared" si="13"/>
        <v>13860</v>
      </c>
      <c r="I137" s="105">
        <v>63000</v>
      </c>
      <c r="J137" s="47">
        <f t="shared" si="14"/>
        <v>6300</v>
      </c>
      <c r="K137" s="7">
        <f t="shared" si="15"/>
        <v>1259.9999999999993</v>
      </c>
      <c r="L137" s="7">
        <f t="shared" si="16"/>
        <v>0</v>
      </c>
      <c r="M137" s="47">
        <f t="shared" si="17"/>
        <v>7559.9999999999991</v>
      </c>
    </row>
    <row r="138" spans="1:13" x14ac:dyDescent="0.25">
      <c r="A138" s="105">
        <v>63500</v>
      </c>
      <c r="B138" s="47">
        <f t="shared" si="10"/>
        <v>6350</v>
      </c>
      <c r="C138" s="7">
        <f t="shared" si="11"/>
        <v>1269.9999999999993</v>
      </c>
      <c r="D138" s="7">
        <f t="shared" si="12"/>
        <v>6350</v>
      </c>
      <c r="E138" s="47">
        <f t="shared" si="13"/>
        <v>13970</v>
      </c>
      <c r="I138" s="105">
        <v>63500</v>
      </c>
      <c r="J138" s="47">
        <f t="shared" si="14"/>
        <v>6350</v>
      </c>
      <c r="K138" s="7">
        <f t="shared" si="15"/>
        <v>1269.9999999999993</v>
      </c>
      <c r="L138" s="7">
        <f t="shared" si="16"/>
        <v>0</v>
      </c>
      <c r="M138" s="47">
        <f t="shared" si="17"/>
        <v>7619.9999999999991</v>
      </c>
    </row>
    <row r="139" spans="1:13" x14ac:dyDescent="0.25">
      <c r="A139" s="105">
        <v>64000</v>
      </c>
      <c r="B139" s="47">
        <f t="shared" si="10"/>
        <v>6400</v>
      </c>
      <c r="C139" s="7">
        <f t="shared" si="11"/>
        <v>1279.9999999999993</v>
      </c>
      <c r="D139" s="7">
        <f t="shared" si="12"/>
        <v>6400</v>
      </c>
      <c r="E139" s="47">
        <f t="shared" si="13"/>
        <v>14080</v>
      </c>
      <c r="I139" s="105">
        <v>64000</v>
      </c>
      <c r="J139" s="47">
        <f t="shared" si="14"/>
        <v>6400</v>
      </c>
      <c r="K139" s="7">
        <f t="shared" si="15"/>
        <v>1279.9999999999993</v>
      </c>
      <c r="L139" s="7">
        <f t="shared" si="16"/>
        <v>0</v>
      </c>
      <c r="M139" s="47">
        <f t="shared" si="17"/>
        <v>7679.9999999999991</v>
      </c>
    </row>
    <row r="140" spans="1:13" x14ac:dyDescent="0.25">
      <c r="A140" s="105">
        <v>64500</v>
      </c>
      <c r="B140" s="47">
        <f t="shared" ref="B140:B203" si="18">A140*$D$2</f>
        <v>6450</v>
      </c>
      <c r="C140" s="7">
        <f t="shared" ref="C140:C203" si="19">IF(A140&gt;$C$2,A140*$D$3,0)</f>
        <v>1289.9999999999993</v>
      </c>
      <c r="D140" s="7">
        <f t="shared" ref="D140:D203" si="20">IF(A140&gt;$C$3,A140*$D$4,0)</f>
        <v>6450</v>
      </c>
      <c r="E140" s="47">
        <f t="shared" ref="E140:E203" si="21">SUM(B140:D140)</f>
        <v>14190</v>
      </c>
      <c r="I140" s="105">
        <v>64500</v>
      </c>
      <c r="J140" s="47">
        <f t="shared" ref="J140:J203" si="22">I140*$L$2</f>
        <v>6450</v>
      </c>
      <c r="K140" s="7">
        <f t="shared" ref="K140:K203" si="23">IF(I140&gt;$K$2,I140*$L$3,0)</f>
        <v>1289.9999999999993</v>
      </c>
      <c r="L140" s="7">
        <f t="shared" ref="L140:L203" si="24">IF(I140&gt;$K$3,I140*$L$4,0)</f>
        <v>0</v>
      </c>
      <c r="M140" s="47">
        <f t="shared" ref="M140:M203" si="25">SUM(J140:L140)</f>
        <v>7739.9999999999991</v>
      </c>
    </row>
    <row r="141" spans="1:13" x14ac:dyDescent="0.25">
      <c r="A141" s="105">
        <v>65000</v>
      </c>
      <c r="B141" s="47">
        <f t="shared" si="18"/>
        <v>6500</v>
      </c>
      <c r="C141" s="7">
        <f t="shared" si="19"/>
        <v>1299.9999999999993</v>
      </c>
      <c r="D141" s="7">
        <f t="shared" si="20"/>
        <v>6500</v>
      </c>
      <c r="E141" s="47">
        <f t="shared" si="21"/>
        <v>14300</v>
      </c>
      <c r="I141" s="105">
        <v>65000</v>
      </c>
      <c r="J141" s="47">
        <f t="shared" si="22"/>
        <v>6500</v>
      </c>
      <c r="K141" s="7">
        <f t="shared" si="23"/>
        <v>1299.9999999999993</v>
      </c>
      <c r="L141" s="7">
        <f t="shared" si="24"/>
        <v>0</v>
      </c>
      <c r="M141" s="47">
        <f t="shared" si="25"/>
        <v>7799.9999999999991</v>
      </c>
    </row>
    <row r="142" spans="1:13" x14ac:dyDescent="0.25">
      <c r="A142" s="105">
        <v>65500</v>
      </c>
      <c r="B142" s="47">
        <f t="shared" si="18"/>
        <v>6550</v>
      </c>
      <c r="C142" s="7">
        <f t="shared" si="19"/>
        <v>1309.9999999999993</v>
      </c>
      <c r="D142" s="7">
        <f t="shared" si="20"/>
        <v>6550</v>
      </c>
      <c r="E142" s="47">
        <f t="shared" si="21"/>
        <v>14410</v>
      </c>
      <c r="I142" s="105">
        <v>65500</v>
      </c>
      <c r="J142" s="47">
        <f t="shared" si="22"/>
        <v>6550</v>
      </c>
      <c r="K142" s="7">
        <f t="shared" si="23"/>
        <v>1309.9999999999993</v>
      </c>
      <c r="L142" s="7">
        <f t="shared" si="24"/>
        <v>0</v>
      </c>
      <c r="M142" s="47">
        <f t="shared" si="25"/>
        <v>7859.9999999999991</v>
      </c>
    </row>
    <row r="143" spans="1:13" x14ac:dyDescent="0.25">
      <c r="A143" s="105">
        <v>66000</v>
      </c>
      <c r="B143" s="47">
        <f t="shared" si="18"/>
        <v>6600</v>
      </c>
      <c r="C143" s="7">
        <f t="shared" si="19"/>
        <v>1319.9999999999993</v>
      </c>
      <c r="D143" s="7">
        <f t="shared" si="20"/>
        <v>6600</v>
      </c>
      <c r="E143" s="47">
        <f t="shared" si="21"/>
        <v>14520</v>
      </c>
      <c r="I143" s="105">
        <v>66000</v>
      </c>
      <c r="J143" s="47">
        <f t="shared" si="22"/>
        <v>6600</v>
      </c>
      <c r="K143" s="7">
        <f t="shared" si="23"/>
        <v>1319.9999999999993</v>
      </c>
      <c r="L143" s="7">
        <f t="shared" si="24"/>
        <v>0</v>
      </c>
      <c r="M143" s="47">
        <f t="shared" si="25"/>
        <v>7919.9999999999991</v>
      </c>
    </row>
    <row r="144" spans="1:13" x14ac:dyDescent="0.25">
      <c r="A144" s="105">
        <v>66500</v>
      </c>
      <c r="B144" s="47">
        <f t="shared" si="18"/>
        <v>6650</v>
      </c>
      <c r="C144" s="7">
        <f t="shared" si="19"/>
        <v>1329.9999999999993</v>
      </c>
      <c r="D144" s="7">
        <f t="shared" si="20"/>
        <v>6650</v>
      </c>
      <c r="E144" s="47">
        <f t="shared" si="21"/>
        <v>14630</v>
      </c>
      <c r="I144" s="105">
        <v>66500</v>
      </c>
      <c r="J144" s="47">
        <f t="shared" si="22"/>
        <v>6650</v>
      </c>
      <c r="K144" s="7">
        <f t="shared" si="23"/>
        <v>1329.9999999999993</v>
      </c>
      <c r="L144" s="7">
        <f t="shared" si="24"/>
        <v>0</v>
      </c>
      <c r="M144" s="47">
        <f t="shared" si="25"/>
        <v>7979.9999999999991</v>
      </c>
    </row>
    <row r="145" spans="1:13" x14ac:dyDescent="0.25">
      <c r="A145" s="105">
        <v>67000</v>
      </c>
      <c r="B145" s="47">
        <f t="shared" si="18"/>
        <v>6700</v>
      </c>
      <c r="C145" s="7">
        <f t="shared" si="19"/>
        <v>1339.9999999999993</v>
      </c>
      <c r="D145" s="7">
        <f t="shared" si="20"/>
        <v>6700</v>
      </c>
      <c r="E145" s="47">
        <f t="shared" si="21"/>
        <v>14740</v>
      </c>
      <c r="I145" s="105">
        <v>67000</v>
      </c>
      <c r="J145" s="47">
        <f t="shared" si="22"/>
        <v>6700</v>
      </c>
      <c r="K145" s="7">
        <f t="shared" si="23"/>
        <v>1339.9999999999993</v>
      </c>
      <c r="L145" s="7">
        <f t="shared" si="24"/>
        <v>0</v>
      </c>
      <c r="M145" s="47">
        <f t="shared" si="25"/>
        <v>8039.9999999999991</v>
      </c>
    </row>
    <row r="146" spans="1:13" x14ac:dyDescent="0.25">
      <c r="A146" s="105">
        <v>67500</v>
      </c>
      <c r="B146" s="47">
        <f t="shared" si="18"/>
        <v>6750</v>
      </c>
      <c r="C146" s="7">
        <f t="shared" si="19"/>
        <v>1349.9999999999993</v>
      </c>
      <c r="D146" s="7">
        <f t="shared" si="20"/>
        <v>6750</v>
      </c>
      <c r="E146" s="47">
        <f t="shared" si="21"/>
        <v>14850</v>
      </c>
      <c r="I146" s="105">
        <v>67500</v>
      </c>
      <c r="J146" s="47">
        <f t="shared" si="22"/>
        <v>6750</v>
      </c>
      <c r="K146" s="7">
        <f t="shared" si="23"/>
        <v>1349.9999999999993</v>
      </c>
      <c r="L146" s="7">
        <f t="shared" si="24"/>
        <v>0</v>
      </c>
      <c r="M146" s="47">
        <f t="shared" si="25"/>
        <v>8099.9999999999991</v>
      </c>
    </row>
    <row r="147" spans="1:13" x14ac:dyDescent="0.25">
      <c r="A147" s="105">
        <v>68000</v>
      </c>
      <c r="B147" s="47">
        <f t="shared" si="18"/>
        <v>6800</v>
      </c>
      <c r="C147" s="7">
        <f t="shared" si="19"/>
        <v>1359.9999999999993</v>
      </c>
      <c r="D147" s="7">
        <f t="shared" si="20"/>
        <v>6800</v>
      </c>
      <c r="E147" s="47">
        <f t="shared" si="21"/>
        <v>14960</v>
      </c>
      <c r="I147" s="105">
        <v>68000</v>
      </c>
      <c r="J147" s="47">
        <f t="shared" si="22"/>
        <v>6800</v>
      </c>
      <c r="K147" s="7">
        <f t="shared" si="23"/>
        <v>1359.9999999999993</v>
      </c>
      <c r="L147" s="7">
        <f t="shared" si="24"/>
        <v>0</v>
      </c>
      <c r="M147" s="47">
        <f t="shared" si="25"/>
        <v>8159.9999999999991</v>
      </c>
    </row>
    <row r="148" spans="1:13" x14ac:dyDescent="0.25">
      <c r="A148" s="105">
        <v>68500</v>
      </c>
      <c r="B148" s="47">
        <f t="shared" si="18"/>
        <v>6850</v>
      </c>
      <c r="C148" s="7">
        <f t="shared" si="19"/>
        <v>1369.9999999999993</v>
      </c>
      <c r="D148" s="7">
        <f t="shared" si="20"/>
        <v>6850</v>
      </c>
      <c r="E148" s="47">
        <f t="shared" si="21"/>
        <v>15070</v>
      </c>
      <c r="I148" s="105">
        <v>68500</v>
      </c>
      <c r="J148" s="47">
        <f t="shared" si="22"/>
        <v>6850</v>
      </c>
      <c r="K148" s="7">
        <f t="shared" si="23"/>
        <v>1369.9999999999993</v>
      </c>
      <c r="L148" s="7">
        <f t="shared" si="24"/>
        <v>0</v>
      </c>
      <c r="M148" s="47">
        <f t="shared" si="25"/>
        <v>8220</v>
      </c>
    </row>
    <row r="149" spans="1:13" x14ac:dyDescent="0.25">
      <c r="A149" s="105">
        <v>69000</v>
      </c>
      <c r="B149" s="47">
        <f t="shared" si="18"/>
        <v>6900</v>
      </c>
      <c r="C149" s="7">
        <f t="shared" si="19"/>
        <v>1379.9999999999993</v>
      </c>
      <c r="D149" s="7">
        <f t="shared" si="20"/>
        <v>6900</v>
      </c>
      <c r="E149" s="47">
        <f t="shared" si="21"/>
        <v>15180</v>
      </c>
      <c r="I149" s="105">
        <v>69000</v>
      </c>
      <c r="J149" s="47">
        <f t="shared" si="22"/>
        <v>6900</v>
      </c>
      <c r="K149" s="7">
        <f t="shared" si="23"/>
        <v>1379.9999999999993</v>
      </c>
      <c r="L149" s="7">
        <f t="shared" si="24"/>
        <v>0</v>
      </c>
      <c r="M149" s="47">
        <f t="shared" si="25"/>
        <v>8280</v>
      </c>
    </row>
    <row r="150" spans="1:13" x14ac:dyDescent="0.25">
      <c r="A150" s="105">
        <v>69500</v>
      </c>
      <c r="B150" s="47">
        <f t="shared" si="18"/>
        <v>6950</v>
      </c>
      <c r="C150" s="7">
        <f t="shared" si="19"/>
        <v>1389.9999999999993</v>
      </c>
      <c r="D150" s="7">
        <f t="shared" si="20"/>
        <v>6950</v>
      </c>
      <c r="E150" s="47">
        <f t="shared" si="21"/>
        <v>15290</v>
      </c>
      <c r="I150" s="105">
        <v>69500</v>
      </c>
      <c r="J150" s="47">
        <f t="shared" si="22"/>
        <v>6950</v>
      </c>
      <c r="K150" s="7">
        <f t="shared" si="23"/>
        <v>1389.9999999999993</v>
      </c>
      <c r="L150" s="7">
        <f t="shared" si="24"/>
        <v>0</v>
      </c>
      <c r="M150" s="47">
        <f t="shared" si="25"/>
        <v>8340</v>
      </c>
    </row>
    <row r="151" spans="1:13" x14ac:dyDescent="0.25">
      <c r="A151" s="105">
        <v>70000</v>
      </c>
      <c r="B151" s="47">
        <f t="shared" si="18"/>
        <v>7000</v>
      </c>
      <c r="C151" s="7">
        <f t="shared" si="19"/>
        <v>1399.9999999999993</v>
      </c>
      <c r="D151" s="7">
        <f t="shared" si="20"/>
        <v>7000</v>
      </c>
      <c r="E151" s="47">
        <f t="shared" si="21"/>
        <v>15400</v>
      </c>
      <c r="I151" s="105">
        <v>70000</v>
      </c>
      <c r="J151" s="47">
        <f t="shared" si="22"/>
        <v>7000</v>
      </c>
      <c r="K151" s="7">
        <f t="shared" si="23"/>
        <v>1399.9999999999993</v>
      </c>
      <c r="L151" s="7">
        <f t="shared" si="24"/>
        <v>0</v>
      </c>
      <c r="M151" s="47">
        <f t="shared" si="25"/>
        <v>8400</v>
      </c>
    </row>
    <row r="152" spans="1:13" x14ac:dyDescent="0.25">
      <c r="A152" s="105">
        <v>70500</v>
      </c>
      <c r="B152" s="47">
        <f t="shared" si="18"/>
        <v>7050</v>
      </c>
      <c r="C152" s="7">
        <f t="shared" si="19"/>
        <v>1409.9999999999993</v>
      </c>
      <c r="D152" s="7">
        <f t="shared" si="20"/>
        <v>7050</v>
      </c>
      <c r="E152" s="47">
        <f t="shared" si="21"/>
        <v>15510</v>
      </c>
      <c r="I152" s="105">
        <v>70500</v>
      </c>
      <c r="J152" s="47">
        <f t="shared" si="22"/>
        <v>7050</v>
      </c>
      <c r="K152" s="7">
        <f t="shared" si="23"/>
        <v>1409.9999999999993</v>
      </c>
      <c r="L152" s="7">
        <f t="shared" si="24"/>
        <v>0</v>
      </c>
      <c r="M152" s="47">
        <f t="shared" si="25"/>
        <v>8460</v>
      </c>
    </row>
    <row r="153" spans="1:13" x14ac:dyDescent="0.25">
      <c r="A153" s="105">
        <v>71000</v>
      </c>
      <c r="B153" s="47">
        <f t="shared" si="18"/>
        <v>7100</v>
      </c>
      <c r="C153" s="7">
        <f t="shared" si="19"/>
        <v>1419.9999999999993</v>
      </c>
      <c r="D153" s="7">
        <f t="shared" si="20"/>
        <v>7100</v>
      </c>
      <c r="E153" s="47">
        <f t="shared" si="21"/>
        <v>15620</v>
      </c>
      <c r="I153" s="105">
        <v>71000</v>
      </c>
      <c r="J153" s="47">
        <f t="shared" si="22"/>
        <v>7100</v>
      </c>
      <c r="K153" s="7">
        <f t="shared" si="23"/>
        <v>1419.9999999999993</v>
      </c>
      <c r="L153" s="7">
        <f t="shared" si="24"/>
        <v>0</v>
      </c>
      <c r="M153" s="47">
        <f t="shared" si="25"/>
        <v>8520</v>
      </c>
    </row>
    <row r="154" spans="1:13" x14ac:dyDescent="0.25">
      <c r="A154" s="105">
        <v>71500</v>
      </c>
      <c r="B154" s="47">
        <f t="shared" si="18"/>
        <v>7150</v>
      </c>
      <c r="C154" s="7">
        <f t="shared" si="19"/>
        <v>1429.9999999999993</v>
      </c>
      <c r="D154" s="7">
        <f t="shared" si="20"/>
        <v>7150</v>
      </c>
      <c r="E154" s="47">
        <f t="shared" si="21"/>
        <v>15730</v>
      </c>
      <c r="I154" s="105">
        <v>71500</v>
      </c>
      <c r="J154" s="47">
        <f t="shared" si="22"/>
        <v>7150</v>
      </c>
      <c r="K154" s="7">
        <f t="shared" si="23"/>
        <v>1429.9999999999993</v>
      </c>
      <c r="L154" s="7">
        <f t="shared" si="24"/>
        <v>0</v>
      </c>
      <c r="M154" s="47">
        <f t="shared" si="25"/>
        <v>8580</v>
      </c>
    </row>
    <row r="155" spans="1:13" x14ac:dyDescent="0.25">
      <c r="A155" s="105">
        <v>72000</v>
      </c>
      <c r="B155" s="47">
        <f t="shared" si="18"/>
        <v>7200</v>
      </c>
      <c r="C155" s="7">
        <f t="shared" si="19"/>
        <v>1439.9999999999993</v>
      </c>
      <c r="D155" s="7">
        <f t="shared" si="20"/>
        <v>7200</v>
      </c>
      <c r="E155" s="47">
        <f t="shared" si="21"/>
        <v>15840</v>
      </c>
      <c r="I155" s="105">
        <v>72000</v>
      </c>
      <c r="J155" s="47">
        <f t="shared" si="22"/>
        <v>7200</v>
      </c>
      <c r="K155" s="7">
        <f t="shared" si="23"/>
        <v>1439.9999999999993</v>
      </c>
      <c r="L155" s="7">
        <f t="shared" si="24"/>
        <v>0</v>
      </c>
      <c r="M155" s="47">
        <f t="shared" si="25"/>
        <v>8640</v>
      </c>
    </row>
    <row r="156" spans="1:13" x14ac:dyDescent="0.25">
      <c r="A156" s="105">
        <v>72500</v>
      </c>
      <c r="B156" s="47">
        <f t="shared" si="18"/>
        <v>7250</v>
      </c>
      <c r="C156" s="7">
        <f t="shared" si="19"/>
        <v>1449.9999999999993</v>
      </c>
      <c r="D156" s="7">
        <f t="shared" si="20"/>
        <v>7250</v>
      </c>
      <c r="E156" s="47">
        <f t="shared" si="21"/>
        <v>15950</v>
      </c>
      <c r="I156" s="105">
        <v>72500</v>
      </c>
      <c r="J156" s="47">
        <f t="shared" si="22"/>
        <v>7250</v>
      </c>
      <c r="K156" s="7">
        <f t="shared" si="23"/>
        <v>1449.9999999999993</v>
      </c>
      <c r="L156" s="7">
        <f t="shared" si="24"/>
        <v>0</v>
      </c>
      <c r="M156" s="47">
        <f t="shared" si="25"/>
        <v>8700</v>
      </c>
    </row>
    <row r="157" spans="1:13" x14ac:dyDescent="0.25">
      <c r="A157" s="105">
        <v>73000</v>
      </c>
      <c r="B157" s="47">
        <f t="shared" si="18"/>
        <v>7300</v>
      </c>
      <c r="C157" s="7">
        <f t="shared" si="19"/>
        <v>1459.9999999999993</v>
      </c>
      <c r="D157" s="7">
        <f t="shared" si="20"/>
        <v>7300</v>
      </c>
      <c r="E157" s="47">
        <f t="shared" si="21"/>
        <v>16060</v>
      </c>
      <c r="I157" s="105">
        <v>73000</v>
      </c>
      <c r="J157" s="47">
        <f t="shared" si="22"/>
        <v>7300</v>
      </c>
      <c r="K157" s="7">
        <f t="shared" si="23"/>
        <v>1459.9999999999993</v>
      </c>
      <c r="L157" s="7">
        <f t="shared" si="24"/>
        <v>0</v>
      </c>
      <c r="M157" s="47">
        <f t="shared" si="25"/>
        <v>8760</v>
      </c>
    </row>
    <row r="158" spans="1:13" x14ac:dyDescent="0.25">
      <c r="A158" s="105">
        <v>73500</v>
      </c>
      <c r="B158" s="47">
        <f t="shared" si="18"/>
        <v>7350</v>
      </c>
      <c r="C158" s="7">
        <f t="shared" si="19"/>
        <v>1469.9999999999993</v>
      </c>
      <c r="D158" s="7">
        <f t="shared" si="20"/>
        <v>7350</v>
      </c>
      <c r="E158" s="47">
        <f t="shared" si="21"/>
        <v>16170</v>
      </c>
      <c r="I158" s="105">
        <v>73500</v>
      </c>
      <c r="J158" s="47">
        <f t="shared" si="22"/>
        <v>7350</v>
      </c>
      <c r="K158" s="7">
        <f t="shared" si="23"/>
        <v>1469.9999999999993</v>
      </c>
      <c r="L158" s="7">
        <f t="shared" si="24"/>
        <v>0</v>
      </c>
      <c r="M158" s="47">
        <f t="shared" si="25"/>
        <v>8820</v>
      </c>
    </row>
    <row r="159" spans="1:13" x14ac:dyDescent="0.25">
      <c r="A159" s="105">
        <v>74000</v>
      </c>
      <c r="B159" s="47">
        <f t="shared" si="18"/>
        <v>7400</v>
      </c>
      <c r="C159" s="7">
        <f t="shared" si="19"/>
        <v>1479.9999999999993</v>
      </c>
      <c r="D159" s="7">
        <f t="shared" si="20"/>
        <v>7400</v>
      </c>
      <c r="E159" s="47">
        <f t="shared" si="21"/>
        <v>16280</v>
      </c>
      <c r="I159" s="105">
        <v>74000</v>
      </c>
      <c r="J159" s="47">
        <f t="shared" si="22"/>
        <v>7400</v>
      </c>
      <c r="K159" s="7">
        <f t="shared" si="23"/>
        <v>1479.9999999999993</v>
      </c>
      <c r="L159" s="7">
        <f t="shared" si="24"/>
        <v>0</v>
      </c>
      <c r="M159" s="47">
        <f t="shared" si="25"/>
        <v>8880</v>
      </c>
    </row>
    <row r="160" spans="1:13" x14ac:dyDescent="0.25">
      <c r="A160" s="105">
        <v>74500</v>
      </c>
      <c r="B160" s="47">
        <f t="shared" si="18"/>
        <v>7450</v>
      </c>
      <c r="C160" s="7">
        <f t="shared" si="19"/>
        <v>1489.9999999999993</v>
      </c>
      <c r="D160" s="7">
        <f t="shared" si="20"/>
        <v>7450</v>
      </c>
      <c r="E160" s="47">
        <f t="shared" si="21"/>
        <v>16390</v>
      </c>
      <c r="I160" s="105">
        <v>74500</v>
      </c>
      <c r="J160" s="47">
        <f t="shared" si="22"/>
        <v>7450</v>
      </c>
      <c r="K160" s="7">
        <f t="shared" si="23"/>
        <v>1489.9999999999993</v>
      </c>
      <c r="L160" s="7">
        <f t="shared" si="24"/>
        <v>0</v>
      </c>
      <c r="M160" s="47">
        <f t="shared" si="25"/>
        <v>8940</v>
      </c>
    </row>
    <row r="161" spans="1:13" x14ac:dyDescent="0.25">
      <c r="A161" s="105">
        <v>75000</v>
      </c>
      <c r="B161" s="47">
        <f t="shared" si="18"/>
        <v>7500</v>
      </c>
      <c r="C161" s="7">
        <f t="shared" si="19"/>
        <v>1499.9999999999993</v>
      </c>
      <c r="D161" s="7">
        <f t="shared" si="20"/>
        <v>7500</v>
      </c>
      <c r="E161" s="47">
        <f t="shared" si="21"/>
        <v>16500</v>
      </c>
      <c r="I161" s="105">
        <v>75000</v>
      </c>
      <c r="J161" s="47">
        <f t="shared" si="22"/>
        <v>7500</v>
      </c>
      <c r="K161" s="7">
        <f t="shared" si="23"/>
        <v>1499.9999999999993</v>
      </c>
      <c r="L161" s="7">
        <f t="shared" si="24"/>
        <v>0</v>
      </c>
      <c r="M161" s="47">
        <f t="shared" si="25"/>
        <v>9000</v>
      </c>
    </row>
    <row r="162" spans="1:13" x14ac:dyDescent="0.25">
      <c r="A162" s="105">
        <v>75500</v>
      </c>
      <c r="B162" s="47">
        <f t="shared" si="18"/>
        <v>7550</v>
      </c>
      <c r="C162" s="7">
        <f t="shared" si="19"/>
        <v>1509.9999999999993</v>
      </c>
      <c r="D162" s="7">
        <f t="shared" si="20"/>
        <v>7550</v>
      </c>
      <c r="E162" s="47">
        <f t="shared" si="21"/>
        <v>16610</v>
      </c>
      <c r="I162" s="105">
        <v>75500</v>
      </c>
      <c r="J162" s="47">
        <f t="shared" si="22"/>
        <v>7550</v>
      </c>
      <c r="K162" s="7">
        <f t="shared" si="23"/>
        <v>1509.9999999999993</v>
      </c>
      <c r="L162" s="7">
        <f t="shared" si="24"/>
        <v>0</v>
      </c>
      <c r="M162" s="47">
        <f t="shared" si="25"/>
        <v>9060</v>
      </c>
    </row>
    <row r="163" spans="1:13" x14ac:dyDescent="0.25">
      <c r="A163" s="105">
        <v>76000</v>
      </c>
      <c r="B163" s="47">
        <f t="shared" si="18"/>
        <v>7600</v>
      </c>
      <c r="C163" s="7">
        <f t="shared" si="19"/>
        <v>1519.9999999999993</v>
      </c>
      <c r="D163" s="7">
        <f t="shared" si="20"/>
        <v>7600</v>
      </c>
      <c r="E163" s="47">
        <f t="shared" si="21"/>
        <v>16720</v>
      </c>
      <c r="I163" s="105">
        <v>76000</v>
      </c>
      <c r="J163" s="47">
        <f t="shared" si="22"/>
        <v>7600</v>
      </c>
      <c r="K163" s="7">
        <f t="shared" si="23"/>
        <v>1519.9999999999993</v>
      </c>
      <c r="L163" s="7">
        <f t="shared" si="24"/>
        <v>0</v>
      </c>
      <c r="M163" s="47">
        <f t="shared" si="25"/>
        <v>9120</v>
      </c>
    </row>
    <row r="164" spans="1:13" x14ac:dyDescent="0.25">
      <c r="A164" s="105">
        <v>76500</v>
      </c>
      <c r="B164" s="47">
        <f t="shared" si="18"/>
        <v>7650</v>
      </c>
      <c r="C164" s="7">
        <f t="shared" si="19"/>
        <v>1529.9999999999993</v>
      </c>
      <c r="D164" s="7">
        <f t="shared" si="20"/>
        <v>7650</v>
      </c>
      <c r="E164" s="47">
        <f t="shared" si="21"/>
        <v>16830</v>
      </c>
      <c r="I164" s="105">
        <v>76500</v>
      </c>
      <c r="J164" s="47">
        <f t="shared" si="22"/>
        <v>7650</v>
      </c>
      <c r="K164" s="7">
        <f t="shared" si="23"/>
        <v>1529.9999999999993</v>
      </c>
      <c r="L164" s="7">
        <f t="shared" si="24"/>
        <v>0</v>
      </c>
      <c r="M164" s="47">
        <f t="shared" si="25"/>
        <v>9180</v>
      </c>
    </row>
    <row r="165" spans="1:13" x14ac:dyDescent="0.25">
      <c r="A165" s="105">
        <v>77000</v>
      </c>
      <c r="B165" s="47">
        <f t="shared" si="18"/>
        <v>7700</v>
      </c>
      <c r="C165" s="7">
        <f t="shared" si="19"/>
        <v>1539.9999999999993</v>
      </c>
      <c r="D165" s="7">
        <f t="shared" si="20"/>
        <v>7700</v>
      </c>
      <c r="E165" s="47">
        <f t="shared" si="21"/>
        <v>16940</v>
      </c>
      <c r="I165" s="105">
        <v>77000</v>
      </c>
      <c r="J165" s="47">
        <f t="shared" si="22"/>
        <v>7700</v>
      </c>
      <c r="K165" s="7">
        <f t="shared" si="23"/>
        <v>1539.9999999999993</v>
      </c>
      <c r="L165" s="7">
        <f t="shared" si="24"/>
        <v>0</v>
      </c>
      <c r="M165" s="47">
        <f t="shared" si="25"/>
        <v>9240</v>
      </c>
    </row>
    <row r="166" spans="1:13" x14ac:dyDescent="0.25">
      <c r="A166" s="105">
        <v>77500</v>
      </c>
      <c r="B166" s="47">
        <f t="shared" si="18"/>
        <v>7750</v>
      </c>
      <c r="C166" s="7">
        <f t="shared" si="19"/>
        <v>1549.9999999999993</v>
      </c>
      <c r="D166" s="7">
        <f t="shared" si="20"/>
        <v>7750</v>
      </c>
      <c r="E166" s="47">
        <f t="shared" si="21"/>
        <v>17050</v>
      </c>
      <c r="I166" s="105">
        <v>77500</v>
      </c>
      <c r="J166" s="47">
        <f t="shared" si="22"/>
        <v>7750</v>
      </c>
      <c r="K166" s="7">
        <f t="shared" si="23"/>
        <v>1549.9999999999993</v>
      </c>
      <c r="L166" s="7">
        <f t="shared" si="24"/>
        <v>0</v>
      </c>
      <c r="M166" s="47">
        <f t="shared" si="25"/>
        <v>9300</v>
      </c>
    </row>
    <row r="167" spans="1:13" x14ac:dyDescent="0.25">
      <c r="A167" s="105">
        <v>78000</v>
      </c>
      <c r="B167" s="47">
        <f t="shared" si="18"/>
        <v>7800</v>
      </c>
      <c r="C167" s="7">
        <f t="shared" si="19"/>
        <v>1559.9999999999993</v>
      </c>
      <c r="D167" s="7">
        <f t="shared" si="20"/>
        <v>7800</v>
      </c>
      <c r="E167" s="47">
        <f t="shared" si="21"/>
        <v>17160</v>
      </c>
      <c r="I167" s="105">
        <v>78000</v>
      </c>
      <c r="J167" s="47">
        <f t="shared" si="22"/>
        <v>7800</v>
      </c>
      <c r="K167" s="7">
        <f t="shared" si="23"/>
        <v>1559.9999999999993</v>
      </c>
      <c r="L167" s="7">
        <f t="shared" si="24"/>
        <v>0</v>
      </c>
      <c r="M167" s="47">
        <f t="shared" si="25"/>
        <v>9360</v>
      </c>
    </row>
    <row r="168" spans="1:13" x14ac:dyDescent="0.25">
      <c r="A168" s="105">
        <v>78500</v>
      </c>
      <c r="B168" s="47">
        <f t="shared" si="18"/>
        <v>7850</v>
      </c>
      <c r="C168" s="7">
        <f t="shared" si="19"/>
        <v>1569.9999999999993</v>
      </c>
      <c r="D168" s="7">
        <f t="shared" si="20"/>
        <v>7850</v>
      </c>
      <c r="E168" s="47">
        <f t="shared" si="21"/>
        <v>17270</v>
      </c>
      <c r="I168" s="105">
        <v>78500</v>
      </c>
      <c r="J168" s="47">
        <f t="shared" si="22"/>
        <v>7850</v>
      </c>
      <c r="K168" s="7">
        <f t="shared" si="23"/>
        <v>1569.9999999999993</v>
      </c>
      <c r="L168" s="7">
        <f t="shared" si="24"/>
        <v>0</v>
      </c>
      <c r="M168" s="47">
        <f t="shared" si="25"/>
        <v>9420</v>
      </c>
    </row>
    <row r="169" spans="1:13" x14ac:dyDescent="0.25">
      <c r="A169" s="105">
        <v>79000</v>
      </c>
      <c r="B169" s="47">
        <f t="shared" si="18"/>
        <v>7900</v>
      </c>
      <c r="C169" s="7">
        <f t="shared" si="19"/>
        <v>1579.9999999999993</v>
      </c>
      <c r="D169" s="7">
        <f t="shared" si="20"/>
        <v>7900</v>
      </c>
      <c r="E169" s="47">
        <f t="shared" si="21"/>
        <v>17380</v>
      </c>
      <c r="I169" s="105">
        <v>79000</v>
      </c>
      <c r="J169" s="47">
        <f t="shared" si="22"/>
        <v>7900</v>
      </c>
      <c r="K169" s="7">
        <f t="shared" si="23"/>
        <v>1579.9999999999993</v>
      </c>
      <c r="L169" s="7">
        <f t="shared" si="24"/>
        <v>0</v>
      </c>
      <c r="M169" s="47">
        <f t="shared" si="25"/>
        <v>9480</v>
      </c>
    </row>
    <row r="170" spans="1:13" x14ac:dyDescent="0.25">
      <c r="A170" s="105">
        <v>79500</v>
      </c>
      <c r="B170" s="47">
        <f t="shared" si="18"/>
        <v>7950</v>
      </c>
      <c r="C170" s="7">
        <f t="shared" si="19"/>
        <v>1589.9999999999993</v>
      </c>
      <c r="D170" s="7">
        <f t="shared" si="20"/>
        <v>7950</v>
      </c>
      <c r="E170" s="47">
        <f t="shared" si="21"/>
        <v>17490</v>
      </c>
      <c r="I170" s="105">
        <v>79500</v>
      </c>
      <c r="J170" s="47">
        <f t="shared" si="22"/>
        <v>7950</v>
      </c>
      <c r="K170" s="7">
        <f t="shared" si="23"/>
        <v>1589.9999999999993</v>
      </c>
      <c r="L170" s="7">
        <f t="shared" si="24"/>
        <v>0</v>
      </c>
      <c r="M170" s="47">
        <f t="shared" si="25"/>
        <v>9540</v>
      </c>
    </row>
    <row r="171" spans="1:13" x14ac:dyDescent="0.25">
      <c r="A171" s="105">
        <v>80000</v>
      </c>
      <c r="B171" s="47">
        <f t="shared" si="18"/>
        <v>8000</v>
      </c>
      <c r="C171" s="7">
        <f t="shared" si="19"/>
        <v>1599.9999999999991</v>
      </c>
      <c r="D171" s="7">
        <f t="shared" si="20"/>
        <v>8000</v>
      </c>
      <c r="E171" s="47">
        <f t="shared" si="21"/>
        <v>17600</v>
      </c>
      <c r="I171" s="105">
        <v>80000</v>
      </c>
      <c r="J171" s="47">
        <f t="shared" si="22"/>
        <v>8000</v>
      </c>
      <c r="K171" s="7">
        <f t="shared" si="23"/>
        <v>1599.9999999999991</v>
      </c>
      <c r="L171" s="7">
        <f t="shared" si="24"/>
        <v>0</v>
      </c>
      <c r="M171" s="47">
        <f t="shared" si="25"/>
        <v>9600</v>
      </c>
    </row>
    <row r="172" spans="1:13" x14ac:dyDescent="0.25">
      <c r="A172" s="105">
        <v>80500</v>
      </c>
      <c r="B172" s="47">
        <f t="shared" si="18"/>
        <v>8050</v>
      </c>
      <c r="C172" s="7">
        <f t="shared" si="19"/>
        <v>1609.9999999999991</v>
      </c>
      <c r="D172" s="7">
        <f t="shared" si="20"/>
        <v>8050</v>
      </c>
      <c r="E172" s="47">
        <f t="shared" si="21"/>
        <v>17710</v>
      </c>
      <c r="I172" s="105">
        <v>80500</v>
      </c>
      <c r="J172" s="47">
        <f t="shared" si="22"/>
        <v>8050</v>
      </c>
      <c r="K172" s="7">
        <f t="shared" si="23"/>
        <v>1609.9999999999991</v>
      </c>
      <c r="L172" s="7">
        <f t="shared" si="24"/>
        <v>0</v>
      </c>
      <c r="M172" s="47">
        <f t="shared" si="25"/>
        <v>9660</v>
      </c>
    </row>
    <row r="173" spans="1:13" x14ac:dyDescent="0.25">
      <c r="A173" s="105">
        <v>81000</v>
      </c>
      <c r="B173" s="47">
        <f t="shared" si="18"/>
        <v>8100</v>
      </c>
      <c r="C173" s="7">
        <f t="shared" si="19"/>
        <v>1619.9999999999991</v>
      </c>
      <c r="D173" s="7">
        <f t="shared" si="20"/>
        <v>8100</v>
      </c>
      <c r="E173" s="47">
        <f t="shared" si="21"/>
        <v>17820</v>
      </c>
      <c r="I173" s="105">
        <v>81000</v>
      </c>
      <c r="J173" s="47">
        <f t="shared" si="22"/>
        <v>8100</v>
      </c>
      <c r="K173" s="7">
        <f t="shared" si="23"/>
        <v>1619.9999999999991</v>
      </c>
      <c r="L173" s="7">
        <f t="shared" si="24"/>
        <v>0</v>
      </c>
      <c r="M173" s="47">
        <f t="shared" si="25"/>
        <v>9720</v>
      </c>
    </row>
    <row r="174" spans="1:13" x14ac:dyDescent="0.25">
      <c r="A174" s="105">
        <v>81500</v>
      </c>
      <c r="B174" s="47">
        <f t="shared" si="18"/>
        <v>8150</v>
      </c>
      <c r="C174" s="7">
        <f t="shared" si="19"/>
        <v>1629.9999999999991</v>
      </c>
      <c r="D174" s="7">
        <f t="shared" si="20"/>
        <v>8150</v>
      </c>
      <c r="E174" s="47">
        <f t="shared" si="21"/>
        <v>17930</v>
      </c>
      <c r="I174" s="105">
        <v>81500</v>
      </c>
      <c r="J174" s="47">
        <f t="shared" si="22"/>
        <v>8150</v>
      </c>
      <c r="K174" s="7">
        <f t="shared" si="23"/>
        <v>1629.9999999999991</v>
      </c>
      <c r="L174" s="7">
        <f t="shared" si="24"/>
        <v>0</v>
      </c>
      <c r="M174" s="47">
        <f t="shared" si="25"/>
        <v>9780</v>
      </c>
    </row>
    <row r="175" spans="1:13" x14ac:dyDescent="0.25">
      <c r="A175" s="105">
        <v>82000</v>
      </c>
      <c r="B175" s="47">
        <f t="shared" si="18"/>
        <v>8200</v>
      </c>
      <c r="C175" s="7">
        <f t="shared" si="19"/>
        <v>1639.9999999999991</v>
      </c>
      <c r="D175" s="7">
        <f t="shared" si="20"/>
        <v>8200</v>
      </c>
      <c r="E175" s="47">
        <f t="shared" si="21"/>
        <v>18040</v>
      </c>
      <c r="I175" s="105">
        <v>82000</v>
      </c>
      <c r="J175" s="47">
        <f t="shared" si="22"/>
        <v>8200</v>
      </c>
      <c r="K175" s="7">
        <f t="shared" si="23"/>
        <v>1639.9999999999991</v>
      </c>
      <c r="L175" s="7">
        <f t="shared" si="24"/>
        <v>0</v>
      </c>
      <c r="M175" s="47">
        <f t="shared" si="25"/>
        <v>9840</v>
      </c>
    </row>
    <row r="176" spans="1:13" x14ac:dyDescent="0.25">
      <c r="A176" s="105">
        <v>82500</v>
      </c>
      <c r="B176" s="47">
        <f t="shared" si="18"/>
        <v>8250</v>
      </c>
      <c r="C176" s="7">
        <f t="shared" si="19"/>
        <v>1649.9999999999991</v>
      </c>
      <c r="D176" s="7">
        <f t="shared" si="20"/>
        <v>8250</v>
      </c>
      <c r="E176" s="47">
        <f t="shared" si="21"/>
        <v>18150</v>
      </c>
      <c r="I176" s="105">
        <v>82500</v>
      </c>
      <c r="J176" s="47">
        <f t="shared" si="22"/>
        <v>8250</v>
      </c>
      <c r="K176" s="7">
        <f t="shared" si="23"/>
        <v>1649.9999999999991</v>
      </c>
      <c r="L176" s="7">
        <f t="shared" si="24"/>
        <v>0</v>
      </c>
      <c r="M176" s="47">
        <f t="shared" si="25"/>
        <v>9900</v>
      </c>
    </row>
    <row r="177" spans="1:13" x14ac:dyDescent="0.25">
      <c r="A177" s="105">
        <v>83000</v>
      </c>
      <c r="B177" s="47">
        <f t="shared" si="18"/>
        <v>8300</v>
      </c>
      <c r="C177" s="7">
        <f t="shared" si="19"/>
        <v>1659.9999999999991</v>
      </c>
      <c r="D177" s="7">
        <f t="shared" si="20"/>
        <v>8300</v>
      </c>
      <c r="E177" s="47">
        <f t="shared" si="21"/>
        <v>18260</v>
      </c>
      <c r="I177" s="105">
        <v>83000</v>
      </c>
      <c r="J177" s="47">
        <f t="shared" si="22"/>
        <v>8300</v>
      </c>
      <c r="K177" s="7">
        <f t="shared" si="23"/>
        <v>1659.9999999999991</v>
      </c>
      <c r="L177" s="7">
        <f t="shared" si="24"/>
        <v>0</v>
      </c>
      <c r="M177" s="47">
        <f t="shared" si="25"/>
        <v>9960</v>
      </c>
    </row>
    <row r="178" spans="1:13" x14ac:dyDescent="0.25">
      <c r="A178" s="105">
        <v>83500</v>
      </c>
      <c r="B178" s="47">
        <f t="shared" si="18"/>
        <v>8350</v>
      </c>
      <c r="C178" s="7">
        <f t="shared" si="19"/>
        <v>1669.9999999999991</v>
      </c>
      <c r="D178" s="7">
        <f t="shared" si="20"/>
        <v>8350</v>
      </c>
      <c r="E178" s="47">
        <f t="shared" si="21"/>
        <v>18370</v>
      </c>
      <c r="I178" s="105">
        <v>83500</v>
      </c>
      <c r="J178" s="47">
        <f t="shared" si="22"/>
        <v>8350</v>
      </c>
      <c r="K178" s="7">
        <f t="shared" si="23"/>
        <v>1669.9999999999991</v>
      </c>
      <c r="L178" s="7">
        <f t="shared" si="24"/>
        <v>0</v>
      </c>
      <c r="M178" s="47">
        <f t="shared" si="25"/>
        <v>10020</v>
      </c>
    </row>
    <row r="179" spans="1:13" x14ac:dyDescent="0.25">
      <c r="A179" s="105">
        <v>84000</v>
      </c>
      <c r="B179" s="47">
        <f t="shared" si="18"/>
        <v>8400</v>
      </c>
      <c r="C179" s="7">
        <f t="shared" si="19"/>
        <v>1679.9999999999991</v>
      </c>
      <c r="D179" s="7">
        <f t="shared" si="20"/>
        <v>8400</v>
      </c>
      <c r="E179" s="47">
        <f t="shared" si="21"/>
        <v>18480</v>
      </c>
      <c r="I179" s="105">
        <v>84000</v>
      </c>
      <c r="J179" s="47">
        <f t="shared" si="22"/>
        <v>8400</v>
      </c>
      <c r="K179" s="7">
        <f t="shared" si="23"/>
        <v>1679.9999999999991</v>
      </c>
      <c r="L179" s="7">
        <f t="shared" si="24"/>
        <v>0</v>
      </c>
      <c r="M179" s="47">
        <f t="shared" si="25"/>
        <v>10080</v>
      </c>
    </row>
    <row r="180" spans="1:13" x14ac:dyDescent="0.25">
      <c r="A180" s="105">
        <v>84500</v>
      </c>
      <c r="B180" s="47">
        <f t="shared" si="18"/>
        <v>8450</v>
      </c>
      <c r="C180" s="7">
        <f t="shared" si="19"/>
        <v>1689.9999999999991</v>
      </c>
      <c r="D180" s="7">
        <f t="shared" si="20"/>
        <v>8450</v>
      </c>
      <c r="E180" s="47">
        <f t="shared" si="21"/>
        <v>18590</v>
      </c>
      <c r="I180" s="105">
        <v>84500</v>
      </c>
      <c r="J180" s="47">
        <f t="shared" si="22"/>
        <v>8450</v>
      </c>
      <c r="K180" s="7">
        <f t="shared" si="23"/>
        <v>1689.9999999999991</v>
      </c>
      <c r="L180" s="7">
        <f t="shared" si="24"/>
        <v>0</v>
      </c>
      <c r="M180" s="47">
        <f t="shared" si="25"/>
        <v>10140</v>
      </c>
    </row>
    <row r="181" spans="1:13" x14ac:dyDescent="0.25">
      <c r="A181" s="105">
        <v>85000</v>
      </c>
      <c r="B181" s="47">
        <f t="shared" si="18"/>
        <v>8500</v>
      </c>
      <c r="C181" s="7">
        <f t="shared" si="19"/>
        <v>1699.9999999999991</v>
      </c>
      <c r="D181" s="7">
        <f t="shared" si="20"/>
        <v>8500</v>
      </c>
      <c r="E181" s="47">
        <f t="shared" si="21"/>
        <v>18700</v>
      </c>
      <c r="I181" s="105">
        <v>85000</v>
      </c>
      <c r="J181" s="47">
        <f t="shared" si="22"/>
        <v>8500</v>
      </c>
      <c r="K181" s="7">
        <f t="shared" si="23"/>
        <v>1699.9999999999991</v>
      </c>
      <c r="L181" s="7">
        <f t="shared" si="24"/>
        <v>0</v>
      </c>
      <c r="M181" s="47">
        <f t="shared" si="25"/>
        <v>10200</v>
      </c>
    </row>
    <row r="182" spans="1:13" x14ac:dyDescent="0.25">
      <c r="A182" s="105">
        <v>85500</v>
      </c>
      <c r="B182" s="47">
        <f t="shared" si="18"/>
        <v>8550</v>
      </c>
      <c r="C182" s="7">
        <f t="shared" si="19"/>
        <v>1709.9999999999991</v>
      </c>
      <c r="D182" s="7">
        <f t="shared" si="20"/>
        <v>8550</v>
      </c>
      <c r="E182" s="47">
        <f t="shared" si="21"/>
        <v>18810</v>
      </c>
      <c r="I182" s="105">
        <v>85500</v>
      </c>
      <c r="J182" s="47">
        <f t="shared" si="22"/>
        <v>8550</v>
      </c>
      <c r="K182" s="7">
        <f t="shared" si="23"/>
        <v>1709.9999999999991</v>
      </c>
      <c r="L182" s="7">
        <f t="shared" si="24"/>
        <v>0</v>
      </c>
      <c r="M182" s="47">
        <f t="shared" si="25"/>
        <v>10260</v>
      </c>
    </row>
    <row r="183" spans="1:13" x14ac:dyDescent="0.25">
      <c r="A183" s="105">
        <v>86000</v>
      </c>
      <c r="B183" s="47">
        <f t="shared" si="18"/>
        <v>8600</v>
      </c>
      <c r="C183" s="7">
        <f t="shared" si="19"/>
        <v>1719.9999999999991</v>
      </c>
      <c r="D183" s="7">
        <f t="shared" si="20"/>
        <v>8600</v>
      </c>
      <c r="E183" s="47">
        <f t="shared" si="21"/>
        <v>18920</v>
      </c>
      <c r="I183" s="105">
        <v>86000</v>
      </c>
      <c r="J183" s="47">
        <f t="shared" si="22"/>
        <v>8600</v>
      </c>
      <c r="K183" s="7">
        <f t="shared" si="23"/>
        <v>1719.9999999999991</v>
      </c>
      <c r="L183" s="7">
        <f t="shared" si="24"/>
        <v>0</v>
      </c>
      <c r="M183" s="47">
        <f t="shared" si="25"/>
        <v>10320</v>
      </c>
    </row>
    <row r="184" spans="1:13" x14ac:dyDescent="0.25">
      <c r="A184" s="105">
        <v>86500</v>
      </c>
      <c r="B184" s="47">
        <f t="shared" si="18"/>
        <v>8650</v>
      </c>
      <c r="C184" s="7">
        <f t="shared" si="19"/>
        <v>1729.9999999999991</v>
      </c>
      <c r="D184" s="7">
        <f t="shared" si="20"/>
        <v>8650</v>
      </c>
      <c r="E184" s="47">
        <f t="shared" si="21"/>
        <v>19030</v>
      </c>
      <c r="I184" s="105">
        <v>86500</v>
      </c>
      <c r="J184" s="47">
        <f t="shared" si="22"/>
        <v>8650</v>
      </c>
      <c r="K184" s="7">
        <f t="shared" si="23"/>
        <v>1729.9999999999991</v>
      </c>
      <c r="L184" s="7">
        <f t="shared" si="24"/>
        <v>0</v>
      </c>
      <c r="M184" s="47">
        <f t="shared" si="25"/>
        <v>10380</v>
      </c>
    </row>
    <row r="185" spans="1:13" x14ac:dyDescent="0.25">
      <c r="A185" s="105">
        <v>87000</v>
      </c>
      <c r="B185" s="47">
        <f t="shared" si="18"/>
        <v>8700</v>
      </c>
      <c r="C185" s="7">
        <f t="shared" si="19"/>
        <v>1739.9999999999991</v>
      </c>
      <c r="D185" s="7">
        <f t="shared" si="20"/>
        <v>8700</v>
      </c>
      <c r="E185" s="47">
        <f t="shared" si="21"/>
        <v>19140</v>
      </c>
      <c r="I185" s="105">
        <v>87000</v>
      </c>
      <c r="J185" s="47">
        <f t="shared" si="22"/>
        <v>8700</v>
      </c>
      <c r="K185" s="7">
        <f t="shared" si="23"/>
        <v>1739.9999999999991</v>
      </c>
      <c r="L185" s="7">
        <f t="shared" si="24"/>
        <v>0</v>
      </c>
      <c r="M185" s="47">
        <f t="shared" si="25"/>
        <v>10440</v>
      </c>
    </row>
    <row r="186" spans="1:13" x14ac:dyDescent="0.25">
      <c r="A186" s="105">
        <v>87500</v>
      </c>
      <c r="B186" s="47">
        <f t="shared" si="18"/>
        <v>8750</v>
      </c>
      <c r="C186" s="7">
        <f t="shared" si="19"/>
        <v>1749.9999999999991</v>
      </c>
      <c r="D186" s="7">
        <f t="shared" si="20"/>
        <v>8750</v>
      </c>
      <c r="E186" s="47">
        <f t="shared" si="21"/>
        <v>19250</v>
      </c>
      <c r="I186" s="105">
        <v>87500</v>
      </c>
      <c r="J186" s="47">
        <f t="shared" si="22"/>
        <v>8750</v>
      </c>
      <c r="K186" s="7">
        <f t="shared" si="23"/>
        <v>1749.9999999999991</v>
      </c>
      <c r="L186" s="7">
        <f t="shared" si="24"/>
        <v>0</v>
      </c>
      <c r="M186" s="47">
        <f t="shared" si="25"/>
        <v>10500</v>
      </c>
    </row>
    <row r="187" spans="1:13" x14ac:dyDescent="0.25">
      <c r="A187" s="105">
        <v>88000</v>
      </c>
      <c r="B187" s="47">
        <f t="shared" si="18"/>
        <v>8800</v>
      </c>
      <c r="C187" s="7">
        <f t="shared" si="19"/>
        <v>1759.9999999999991</v>
      </c>
      <c r="D187" s="7">
        <f t="shared" si="20"/>
        <v>8800</v>
      </c>
      <c r="E187" s="47">
        <f t="shared" si="21"/>
        <v>19360</v>
      </c>
      <c r="I187" s="105">
        <v>88000</v>
      </c>
      <c r="J187" s="47">
        <f t="shared" si="22"/>
        <v>8800</v>
      </c>
      <c r="K187" s="7">
        <f t="shared" si="23"/>
        <v>1759.9999999999991</v>
      </c>
      <c r="L187" s="7">
        <f t="shared" si="24"/>
        <v>0</v>
      </c>
      <c r="M187" s="47">
        <f t="shared" si="25"/>
        <v>10560</v>
      </c>
    </row>
    <row r="188" spans="1:13" x14ac:dyDescent="0.25">
      <c r="A188" s="105">
        <v>88500</v>
      </c>
      <c r="B188" s="47">
        <f t="shared" si="18"/>
        <v>8850</v>
      </c>
      <c r="C188" s="7">
        <f t="shared" si="19"/>
        <v>1769.9999999999991</v>
      </c>
      <c r="D188" s="7">
        <f t="shared" si="20"/>
        <v>8850</v>
      </c>
      <c r="E188" s="47">
        <f t="shared" si="21"/>
        <v>19470</v>
      </c>
      <c r="I188" s="105">
        <v>88500</v>
      </c>
      <c r="J188" s="47">
        <f t="shared" si="22"/>
        <v>8850</v>
      </c>
      <c r="K188" s="7">
        <f t="shared" si="23"/>
        <v>1769.9999999999991</v>
      </c>
      <c r="L188" s="7">
        <f t="shared" si="24"/>
        <v>0</v>
      </c>
      <c r="M188" s="47">
        <f t="shared" si="25"/>
        <v>10620</v>
      </c>
    </row>
    <row r="189" spans="1:13" x14ac:dyDescent="0.25">
      <c r="A189" s="105">
        <v>89000</v>
      </c>
      <c r="B189" s="47">
        <f t="shared" si="18"/>
        <v>8900</v>
      </c>
      <c r="C189" s="7">
        <f t="shared" si="19"/>
        <v>1779.9999999999991</v>
      </c>
      <c r="D189" s="7">
        <f t="shared" si="20"/>
        <v>8900</v>
      </c>
      <c r="E189" s="47">
        <f t="shared" si="21"/>
        <v>19580</v>
      </c>
      <c r="I189" s="105">
        <v>89000</v>
      </c>
      <c r="J189" s="47">
        <f t="shared" si="22"/>
        <v>8900</v>
      </c>
      <c r="K189" s="7">
        <f t="shared" si="23"/>
        <v>1779.9999999999991</v>
      </c>
      <c r="L189" s="7">
        <f t="shared" si="24"/>
        <v>0</v>
      </c>
      <c r="M189" s="47">
        <f t="shared" si="25"/>
        <v>10680</v>
      </c>
    </row>
    <row r="190" spans="1:13" x14ac:dyDescent="0.25">
      <c r="A190" s="105">
        <v>89500</v>
      </c>
      <c r="B190" s="47">
        <f t="shared" si="18"/>
        <v>8950</v>
      </c>
      <c r="C190" s="7">
        <f t="shared" si="19"/>
        <v>1789.9999999999991</v>
      </c>
      <c r="D190" s="7">
        <f t="shared" si="20"/>
        <v>8950</v>
      </c>
      <c r="E190" s="47">
        <f t="shared" si="21"/>
        <v>19690</v>
      </c>
      <c r="I190" s="105">
        <v>89500</v>
      </c>
      <c r="J190" s="47">
        <f t="shared" si="22"/>
        <v>8950</v>
      </c>
      <c r="K190" s="7">
        <f t="shared" si="23"/>
        <v>1789.9999999999991</v>
      </c>
      <c r="L190" s="7">
        <f t="shared" si="24"/>
        <v>0</v>
      </c>
      <c r="M190" s="47">
        <f t="shared" si="25"/>
        <v>10740</v>
      </c>
    </row>
    <row r="191" spans="1:13" x14ac:dyDescent="0.25">
      <c r="A191" s="105">
        <v>90000</v>
      </c>
      <c r="B191" s="47">
        <f t="shared" si="18"/>
        <v>9000</v>
      </c>
      <c r="C191" s="7">
        <f t="shared" si="19"/>
        <v>1799.9999999999991</v>
      </c>
      <c r="D191" s="7">
        <f t="shared" si="20"/>
        <v>9000</v>
      </c>
      <c r="E191" s="47">
        <f t="shared" si="21"/>
        <v>19800</v>
      </c>
      <c r="I191" s="105">
        <v>90000</v>
      </c>
      <c r="J191" s="47">
        <f t="shared" si="22"/>
        <v>9000</v>
      </c>
      <c r="K191" s="7">
        <f t="shared" si="23"/>
        <v>1799.9999999999991</v>
      </c>
      <c r="L191" s="7">
        <f t="shared" si="24"/>
        <v>0</v>
      </c>
      <c r="M191" s="47">
        <f t="shared" si="25"/>
        <v>10800</v>
      </c>
    </row>
    <row r="192" spans="1:13" x14ac:dyDescent="0.25">
      <c r="A192" s="105">
        <v>90500</v>
      </c>
      <c r="B192" s="47">
        <f t="shared" si="18"/>
        <v>9050</v>
      </c>
      <c r="C192" s="7">
        <f t="shared" si="19"/>
        <v>1809.9999999999991</v>
      </c>
      <c r="D192" s="7">
        <f t="shared" si="20"/>
        <v>9050</v>
      </c>
      <c r="E192" s="47">
        <f t="shared" si="21"/>
        <v>19910</v>
      </c>
      <c r="I192" s="105">
        <v>90500</v>
      </c>
      <c r="J192" s="47">
        <f t="shared" si="22"/>
        <v>9050</v>
      </c>
      <c r="K192" s="7">
        <f t="shared" si="23"/>
        <v>1809.9999999999991</v>
      </c>
      <c r="L192" s="7">
        <f t="shared" si="24"/>
        <v>0</v>
      </c>
      <c r="M192" s="47">
        <f t="shared" si="25"/>
        <v>10860</v>
      </c>
    </row>
    <row r="193" spans="1:13" x14ac:dyDescent="0.25">
      <c r="A193" s="105">
        <v>91000</v>
      </c>
      <c r="B193" s="47">
        <f t="shared" si="18"/>
        <v>9100</v>
      </c>
      <c r="C193" s="7">
        <f t="shared" si="19"/>
        <v>1819.9999999999991</v>
      </c>
      <c r="D193" s="7">
        <f t="shared" si="20"/>
        <v>9100</v>
      </c>
      <c r="E193" s="47">
        <f t="shared" si="21"/>
        <v>20020</v>
      </c>
      <c r="I193" s="105">
        <v>91000</v>
      </c>
      <c r="J193" s="47">
        <f t="shared" si="22"/>
        <v>9100</v>
      </c>
      <c r="K193" s="7">
        <f t="shared" si="23"/>
        <v>1819.9999999999991</v>
      </c>
      <c r="L193" s="7">
        <f t="shared" si="24"/>
        <v>0</v>
      </c>
      <c r="M193" s="47">
        <f t="shared" si="25"/>
        <v>10920</v>
      </c>
    </row>
    <row r="194" spans="1:13" x14ac:dyDescent="0.25">
      <c r="A194" s="105">
        <v>91500</v>
      </c>
      <c r="B194" s="47">
        <f t="shared" si="18"/>
        <v>9150</v>
      </c>
      <c r="C194" s="7">
        <f t="shared" si="19"/>
        <v>1829.9999999999991</v>
      </c>
      <c r="D194" s="7">
        <f t="shared" si="20"/>
        <v>9150</v>
      </c>
      <c r="E194" s="47">
        <f t="shared" si="21"/>
        <v>20130</v>
      </c>
      <c r="I194" s="105">
        <v>91500</v>
      </c>
      <c r="J194" s="47">
        <f t="shared" si="22"/>
        <v>9150</v>
      </c>
      <c r="K194" s="7">
        <f t="shared" si="23"/>
        <v>1829.9999999999991</v>
      </c>
      <c r="L194" s="7">
        <f t="shared" si="24"/>
        <v>0</v>
      </c>
      <c r="M194" s="47">
        <f t="shared" si="25"/>
        <v>10980</v>
      </c>
    </row>
    <row r="195" spans="1:13" x14ac:dyDescent="0.25">
      <c r="A195" s="105">
        <v>92000</v>
      </c>
      <c r="B195" s="47">
        <f t="shared" si="18"/>
        <v>9200</v>
      </c>
      <c r="C195" s="7">
        <f t="shared" si="19"/>
        <v>1839.9999999999991</v>
      </c>
      <c r="D195" s="7">
        <f t="shared" si="20"/>
        <v>9200</v>
      </c>
      <c r="E195" s="47">
        <f t="shared" si="21"/>
        <v>20240</v>
      </c>
      <c r="I195" s="105">
        <v>92000</v>
      </c>
      <c r="J195" s="47">
        <f t="shared" si="22"/>
        <v>9200</v>
      </c>
      <c r="K195" s="7">
        <f t="shared" si="23"/>
        <v>1839.9999999999991</v>
      </c>
      <c r="L195" s="7">
        <f t="shared" si="24"/>
        <v>0</v>
      </c>
      <c r="M195" s="47">
        <f t="shared" si="25"/>
        <v>11040</v>
      </c>
    </row>
    <row r="196" spans="1:13" x14ac:dyDescent="0.25">
      <c r="A196" s="105">
        <v>92500</v>
      </c>
      <c r="B196" s="47">
        <f t="shared" si="18"/>
        <v>9250</v>
      </c>
      <c r="C196" s="7">
        <f t="shared" si="19"/>
        <v>1849.9999999999991</v>
      </c>
      <c r="D196" s="7">
        <f t="shared" si="20"/>
        <v>9250</v>
      </c>
      <c r="E196" s="47">
        <f t="shared" si="21"/>
        <v>20350</v>
      </c>
      <c r="I196" s="105">
        <v>92500</v>
      </c>
      <c r="J196" s="47">
        <f t="shared" si="22"/>
        <v>9250</v>
      </c>
      <c r="K196" s="7">
        <f t="shared" si="23"/>
        <v>1849.9999999999991</v>
      </c>
      <c r="L196" s="7">
        <f t="shared" si="24"/>
        <v>0</v>
      </c>
      <c r="M196" s="47">
        <f t="shared" si="25"/>
        <v>11100</v>
      </c>
    </row>
    <row r="197" spans="1:13" x14ac:dyDescent="0.25">
      <c r="A197" s="105">
        <v>93000</v>
      </c>
      <c r="B197" s="47">
        <f t="shared" si="18"/>
        <v>9300</v>
      </c>
      <c r="C197" s="7">
        <f t="shared" si="19"/>
        <v>1859.9999999999991</v>
      </c>
      <c r="D197" s="7">
        <f t="shared" si="20"/>
        <v>9300</v>
      </c>
      <c r="E197" s="47">
        <f t="shared" si="21"/>
        <v>20460</v>
      </c>
      <c r="I197" s="105">
        <v>93000</v>
      </c>
      <c r="J197" s="47">
        <f t="shared" si="22"/>
        <v>9300</v>
      </c>
      <c r="K197" s="7">
        <f t="shared" si="23"/>
        <v>1859.9999999999991</v>
      </c>
      <c r="L197" s="7">
        <f t="shared" si="24"/>
        <v>0</v>
      </c>
      <c r="M197" s="47">
        <f t="shared" si="25"/>
        <v>11160</v>
      </c>
    </row>
    <row r="198" spans="1:13" x14ac:dyDescent="0.25">
      <c r="A198" s="105">
        <v>93500</v>
      </c>
      <c r="B198" s="47">
        <f t="shared" si="18"/>
        <v>9350</v>
      </c>
      <c r="C198" s="7">
        <f t="shared" si="19"/>
        <v>1869.9999999999991</v>
      </c>
      <c r="D198" s="7">
        <f t="shared" si="20"/>
        <v>9350</v>
      </c>
      <c r="E198" s="47">
        <f t="shared" si="21"/>
        <v>20570</v>
      </c>
      <c r="I198" s="105">
        <v>93500</v>
      </c>
      <c r="J198" s="47">
        <f t="shared" si="22"/>
        <v>9350</v>
      </c>
      <c r="K198" s="7">
        <f t="shared" si="23"/>
        <v>1869.9999999999991</v>
      </c>
      <c r="L198" s="7">
        <f t="shared" si="24"/>
        <v>0</v>
      </c>
      <c r="M198" s="47">
        <f t="shared" si="25"/>
        <v>11220</v>
      </c>
    </row>
    <row r="199" spans="1:13" x14ac:dyDescent="0.25">
      <c r="A199" s="105">
        <v>94000</v>
      </c>
      <c r="B199" s="47">
        <f t="shared" si="18"/>
        <v>9400</v>
      </c>
      <c r="C199" s="7">
        <f t="shared" si="19"/>
        <v>1879.9999999999991</v>
      </c>
      <c r="D199" s="7">
        <f t="shared" si="20"/>
        <v>9400</v>
      </c>
      <c r="E199" s="47">
        <f t="shared" si="21"/>
        <v>20680</v>
      </c>
      <c r="I199" s="105">
        <v>94000</v>
      </c>
      <c r="J199" s="47">
        <f t="shared" si="22"/>
        <v>9400</v>
      </c>
      <c r="K199" s="7">
        <f t="shared" si="23"/>
        <v>1879.9999999999991</v>
      </c>
      <c r="L199" s="7">
        <f t="shared" si="24"/>
        <v>0</v>
      </c>
      <c r="M199" s="47">
        <f t="shared" si="25"/>
        <v>11280</v>
      </c>
    </row>
    <row r="200" spans="1:13" x14ac:dyDescent="0.25">
      <c r="A200" s="105">
        <v>94500</v>
      </c>
      <c r="B200" s="47">
        <f t="shared" si="18"/>
        <v>9450</v>
      </c>
      <c r="C200" s="7">
        <f t="shared" si="19"/>
        <v>1889.9999999999991</v>
      </c>
      <c r="D200" s="7">
        <f t="shared" si="20"/>
        <v>9450</v>
      </c>
      <c r="E200" s="47">
        <f t="shared" si="21"/>
        <v>20790</v>
      </c>
      <c r="I200" s="105">
        <v>94500</v>
      </c>
      <c r="J200" s="47">
        <f t="shared" si="22"/>
        <v>9450</v>
      </c>
      <c r="K200" s="7">
        <f t="shared" si="23"/>
        <v>1889.9999999999991</v>
      </c>
      <c r="L200" s="7">
        <f t="shared" si="24"/>
        <v>9450</v>
      </c>
      <c r="M200" s="47">
        <f t="shared" si="25"/>
        <v>20790</v>
      </c>
    </row>
    <row r="201" spans="1:13" x14ac:dyDescent="0.25">
      <c r="A201" s="105">
        <v>95000</v>
      </c>
      <c r="B201" s="47">
        <f t="shared" si="18"/>
        <v>9500</v>
      </c>
      <c r="C201" s="7">
        <f t="shared" si="19"/>
        <v>1899.9999999999991</v>
      </c>
      <c r="D201" s="7">
        <f t="shared" si="20"/>
        <v>9500</v>
      </c>
      <c r="E201" s="47">
        <f t="shared" si="21"/>
        <v>20900</v>
      </c>
      <c r="I201" s="105">
        <v>95000</v>
      </c>
      <c r="J201" s="47">
        <f t="shared" si="22"/>
        <v>9500</v>
      </c>
      <c r="K201" s="7">
        <f t="shared" si="23"/>
        <v>1899.9999999999991</v>
      </c>
      <c r="L201" s="7">
        <f t="shared" si="24"/>
        <v>9500</v>
      </c>
      <c r="M201" s="47">
        <f t="shared" si="25"/>
        <v>20900</v>
      </c>
    </row>
    <row r="202" spans="1:13" x14ac:dyDescent="0.25">
      <c r="A202" s="105">
        <v>95500</v>
      </c>
      <c r="B202" s="47">
        <f t="shared" si="18"/>
        <v>9550</v>
      </c>
      <c r="C202" s="7">
        <f t="shared" si="19"/>
        <v>1909.9999999999991</v>
      </c>
      <c r="D202" s="7">
        <f t="shared" si="20"/>
        <v>9550</v>
      </c>
      <c r="E202" s="47">
        <f t="shared" si="21"/>
        <v>21010</v>
      </c>
      <c r="I202" s="105">
        <v>95500</v>
      </c>
      <c r="J202" s="47">
        <f t="shared" si="22"/>
        <v>9550</v>
      </c>
      <c r="K202" s="7">
        <f t="shared" si="23"/>
        <v>1909.9999999999991</v>
      </c>
      <c r="L202" s="7">
        <f t="shared" si="24"/>
        <v>9550</v>
      </c>
      <c r="M202" s="47">
        <f t="shared" si="25"/>
        <v>21010</v>
      </c>
    </row>
    <row r="203" spans="1:13" x14ac:dyDescent="0.25">
      <c r="A203" s="105">
        <v>96000</v>
      </c>
      <c r="B203" s="47">
        <f t="shared" si="18"/>
        <v>9600</v>
      </c>
      <c r="C203" s="7">
        <f t="shared" si="19"/>
        <v>1919.9999999999991</v>
      </c>
      <c r="D203" s="7">
        <f t="shared" si="20"/>
        <v>9600</v>
      </c>
      <c r="E203" s="47">
        <f t="shared" si="21"/>
        <v>21120</v>
      </c>
      <c r="I203" s="105">
        <v>96000</v>
      </c>
      <c r="J203" s="47">
        <f t="shared" si="22"/>
        <v>9600</v>
      </c>
      <c r="K203" s="7">
        <f t="shared" si="23"/>
        <v>1919.9999999999991</v>
      </c>
      <c r="L203" s="7">
        <f t="shared" si="24"/>
        <v>9600</v>
      </c>
      <c r="M203" s="47">
        <f t="shared" si="25"/>
        <v>21120</v>
      </c>
    </row>
    <row r="204" spans="1:13" x14ac:dyDescent="0.25">
      <c r="A204" s="105">
        <v>96500</v>
      </c>
      <c r="B204" s="47">
        <f t="shared" ref="B204:B211" si="26">A204*$D$2</f>
        <v>9650</v>
      </c>
      <c r="C204" s="7">
        <f t="shared" ref="C204:C211" si="27">IF(A204&gt;$C$2,A204*$D$3,0)</f>
        <v>1929.9999999999991</v>
      </c>
      <c r="D204" s="7">
        <f t="shared" ref="D204:D211" si="28">IF(A204&gt;$C$3,A204*$D$4,0)</f>
        <v>9650</v>
      </c>
      <c r="E204" s="47">
        <f t="shared" ref="E204:E211" si="29">SUM(B204:D204)</f>
        <v>21230</v>
      </c>
      <c r="I204" s="105">
        <v>96500</v>
      </c>
      <c r="J204" s="47">
        <f t="shared" ref="J204:J211" si="30">I204*$L$2</f>
        <v>9650</v>
      </c>
      <c r="K204" s="7">
        <f t="shared" ref="K204:K211" si="31">IF(I204&gt;$K$2,I204*$L$3,0)</f>
        <v>1929.9999999999991</v>
      </c>
      <c r="L204" s="7">
        <f t="shared" ref="L204:L211" si="32">IF(I204&gt;$K$3,I204*$L$4,0)</f>
        <v>9650</v>
      </c>
      <c r="M204" s="47">
        <f t="shared" ref="M204:M211" si="33">SUM(J204:L204)</f>
        <v>21230</v>
      </c>
    </row>
    <row r="205" spans="1:13" x14ac:dyDescent="0.25">
      <c r="A205" s="105">
        <v>97000</v>
      </c>
      <c r="B205" s="47">
        <f t="shared" si="26"/>
        <v>9700</v>
      </c>
      <c r="C205" s="7">
        <f t="shared" si="27"/>
        <v>1939.9999999999991</v>
      </c>
      <c r="D205" s="7">
        <f t="shared" si="28"/>
        <v>9700</v>
      </c>
      <c r="E205" s="47">
        <f t="shared" si="29"/>
        <v>21340</v>
      </c>
      <c r="I205" s="105">
        <v>97000</v>
      </c>
      <c r="J205" s="47">
        <f t="shared" si="30"/>
        <v>9700</v>
      </c>
      <c r="K205" s="7">
        <f t="shared" si="31"/>
        <v>1939.9999999999991</v>
      </c>
      <c r="L205" s="7">
        <f t="shared" si="32"/>
        <v>9700</v>
      </c>
      <c r="M205" s="47">
        <f t="shared" si="33"/>
        <v>21340</v>
      </c>
    </row>
    <row r="206" spans="1:13" x14ac:dyDescent="0.25">
      <c r="A206" s="105">
        <v>97500</v>
      </c>
      <c r="B206" s="47">
        <f t="shared" si="26"/>
        <v>9750</v>
      </c>
      <c r="C206" s="7">
        <f t="shared" si="27"/>
        <v>1949.9999999999991</v>
      </c>
      <c r="D206" s="7">
        <f t="shared" si="28"/>
        <v>9750</v>
      </c>
      <c r="E206" s="47">
        <f t="shared" si="29"/>
        <v>21450</v>
      </c>
      <c r="I206" s="105">
        <v>97500</v>
      </c>
      <c r="J206" s="47">
        <f t="shared" si="30"/>
        <v>9750</v>
      </c>
      <c r="K206" s="7">
        <f t="shared" si="31"/>
        <v>1949.9999999999991</v>
      </c>
      <c r="L206" s="7">
        <f t="shared" si="32"/>
        <v>9750</v>
      </c>
      <c r="M206" s="47">
        <f t="shared" si="33"/>
        <v>21450</v>
      </c>
    </row>
    <row r="207" spans="1:13" x14ac:dyDescent="0.25">
      <c r="A207" s="105">
        <v>98000</v>
      </c>
      <c r="B207" s="47">
        <f t="shared" si="26"/>
        <v>9800</v>
      </c>
      <c r="C207" s="7">
        <f t="shared" si="27"/>
        <v>1959.9999999999991</v>
      </c>
      <c r="D207" s="7">
        <f t="shared" si="28"/>
        <v>9800</v>
      </c>
      <c r="E207" s="47">
        <f t="shared" si="29"/>
        <v>21560</v>
      </c>
      <c r="I207" s="105">
        <v>98000</v>
      </c>
      <c r="J207" s="47">
        <f t="shared" si="30"/>
        <v>9800</v>
      </c>
      <c r="K207" s="7">
        <f t="shared" si="31"/>
        <v>1959.9999999999991</v>
      </c>
      <c r="L207" s="7">
        <f t="shared" si="32"/>
        <v>9800</v>
      </c>
      <c r="M207" s="47">
        <f t="shared" si="33"/>
        <v>21560</v>
      </c>
    </row>
    <row r="208" spans="1:13" x14ac:dyDescent="0.25">
      <c r="A208" s="105">
        <v>98500</v>
      </c>
      <c r="B208" s="47">
        <f t="shared" si="26"/>
        <v>9850</v>
      </c>
      <c r="C208" s="7">
        <f t="shared" si="27"/>
        <v>1969.9999999999991</v>
      </c>
      <c r="D208" s="7">
        <f t="shared" si="28"/>
        <v>9850</v>
      </c>
      <c r="E208" s="47">
        <f t="shared" si="29"/>
        <v>21670</v>
      </c>
      <c r="I208" s="105">
        <v>98500</v>
      </c>
      <c r="J208" s="47">
        <f t="shared" si="30"/>
        <v>9850</v>
      </c>
      <c r="K208" s="7">
        <f t="shared" si="31"/>
        <v>1969.9999999999991</v>
      </c>
      <c r="L208" s="7">
        <f t="shared" si="32"/>
        <v>9850</v>
      </c>
      <c r="M208" s="47">
        <f t="shared" si="33"/>
        <v>21670</v>
      </c>
    </row>
    <row r="209" spans="1:13" x14ac:dyDescent="0.25">
      <c r="A209" s="105">
        <v>99000</v>
      </c>
      <c r="B209" s="47">
        <f t="shared" si="26"/>
        <v>9900</v>
      </c>
      <c r="C209" s="7">
        <f t="shared" si="27"/>
        <v>1979.9999999999991</v>
      </c>
      <c r="D209" s="7">
        <f t="shared" si="28"/>
        <v>9900</v>
      </c>
      <c r="E209" s="47">
        <f t="shared" si="29"/>
        <v>21780</v>
      </c>
      <c r="I209" s="105">
        <v>99000</v>
      </c>
      <c r="J209" s="47">
        <f t="shared" si="30"/>
        <v>9900</v>
      </c>
      <c r="K209" s="7">
        <f t="shared" si="31"/>
        <v>1979.9999999999991</v>
      </c>
      <c r="L209" s="7">
        <f t="shared" si="32"/>
        <v>9900</v>
      </c>
      <c r="M209" s="47">
        <f t="shared" si="33"/>
        <v>21780</v>
      </c>
    </row>
    <row r="210" spans="1:13" x14ac:dyDescent="0.25">
      <c r="A210" s="105">
        <v>99500</v>
      </c>
      <c r="B210" s="47">
        <f t="shared" si="26"/>
        <v>9950</v>
      </c>
      <c r="C210" s="7">
        <f t="shared" si="27"/>
        <v>1989.9999999999991</v>
      </c>
      <c r="D210" s="7">
        <f t="shared" si="28"/>
        <v>9950</v>
      </c>
      <c r="E210" s="47">
        <f t="shared" si="29"/>
        <v>21890</v>
      </c>
      <c r="I210" s="105">
        <v>99500</v>
      </c>
      <c r="J210" s="47">
        <f t="shared" si="30"/>
        <v>9950</v>
      </c>
      <c r="K210" s="7">
        <f t="shared" si="31"/>
        <v>1989.9999999999991</v>
      </c>
      <c r="L210" s="7">
        <f t="shared" si="32"/>
        <v>9950</v>
      </c>
      <c r="M210" s="47">
        <f t="shared" si="33"/>
        <v>21890</v>
      </c>
    </row>
    <row r="211" spans="1:13" x14ac:dyDescent="0.25">
      <c r="A211" s="105">
        <v>100000</v>
      </c>
      <c r="B211" s="47">
        <f t="shared" si="26"/>
        <v>10000</v>
      </c>
      <c r="C211" s="7">
        <f t="shared" si="27"/>
        <v>1999.9999999999991</v>
      </c>
      <c r="D211" s="7">
        <f t="shared" si="28"/>
        <v>10000</v>
      </c>
      <c r="E211" s="47">
        <f t="shared" si="29"/>
        <v>22000</v>
      </c>
      <c r="I211" s="105">
        <v>100000</v>
      </c>
      <c r="J211" s="47">
        <f t="shared" si="30"/>
        <v>10000</v>
      </c>
      <c r="K211" s="7">
        <f t="shared" si="31"/>
        <v>1999.9999999999991</v>
      </c>
      <c r="L211" s="7">
        <f t="shared" si="32"/>
        <v>10000</v>
      </c>
      <c r="M211" s="47">
        <f t="shared" si="33"/>
        <v>22000</v>
      </c>
    </row>
  </sheetData>
  <sheetProtection algorithmName="SHA-512" hashValue="9/WI1M0SOatqJWJ1fwmLRCGs2Z6lAlAtlFuf2jIZ9etjAn33fV+YA0H+2KNeMVAhxjpqBLQzb9/A2hSwJ+kNAQ==" saltValue="BjqzzFdq5Wi6ByxuTAKNmQ==" spinCount="100000" sheet="1" objects="1" scenarios="1"/>
  <mergeCells count="2">
    <mergeCell ref="B9:E9"/>
    <mergeCell ref="I9:L9"/>
  </mergeCells>
  <pageMargins left="0.7" right="0.7" top="0.75" bottom="0.75" header="0.3" footer="0.3"/>
</worksheet>
</file>

<file path=xl/worksheets/sheet2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9D93F89-2723-421A-8D56-FE59C005558E}">
  <sheetPr codeName="Sheet12"/>
  <dimension ref="A1:B203"/>
  <sheetViews>
    <sheetView workbookViewId="0">
      <selection activeCell="B5" sqref="B5"/>
    </sheetView>
  </sheetViews>
  <sheetFormatPr defaultRowHeight="15" x14ac:dyDescent="0.25"/>
  <cols>
    <col min="2" max="2" width="15.5703125" customWidth="1"/>
  </cols>
  <sheetData>
    <row r="1" spans="1:2" x14ac:dyDescent="0.25">
      <c r="B1" t="s">
        <v>629</v>
      </c>
    </row>
    <row r="2" spans="1:2" x14ac:dyDescent="0.25">
      <c r="B2" t="s">
        <v>630</v>
      </c>
    </row>
    <row r="3" spans="1:2" x14ac:dyDescent="0.25">
      <c r="A3" s="105">
        <v>0</v>
      </c>
      <c r="B3" s="4">
        <f>A3*0.0765</f>
        <v>0</v>
      </c>
    </row>
    <row r="4" spans="1:2" x14ac:dyDescent="0.25">
      <c r="A4" s="105">
        <v>500</v>
      </c>
      <c r="B4" s="4">
        <f t="shared" ref="B4:B67" si="0">A4*0.0765</f>
        <v>38.25</v>
      </c>
    </row>
    <row r="5" spans="1:2" x14ac:dyDescent="0.25">
      <c r="A5" s="105">
        <v>1000</v>
      </c>
      <c r="B5" s="4">
        <f t="shared" si="0"/>
        <v>76.5</v>
      </c>
    </row>
    <row r="6" spans="1:2" x14ac:dyDescent="0.25">
      <c r="A6" s="105">
        <v>1500</v>
      </c>
      <c r="B6" s="4">
        <f t="shared" si="0"/>
        <v>114.75</v>
      </c>
    </row>
    <row r="7" spans="1:2" x14ac:dyDescent="0.25">
      <c r="A7" s="105">
        <v>2000</v>
      </c>
      <c r="B7" s="4">
        <f t="shared" si="0"/>
        <v>153</v>
      </c>
    </row>
    <row r="8" spans="1:2" x14ac:dyDescent="0.25">
      <c r="A8" s="105">
        <v>2500</v>
      </c>
      <c r="B8" s="4">
        <f t="shared" si="0"/>
        <v>191.25</v>
      </c>
    </row>
    <row r="9" spans="1:2" x14ac:dyDescent="0.25">
      <c r="A9" s="105">
        <v>3000</v>
      </c>
      <c r="B9" s="4">
        <f t="shared" si="0"/>
        <v>229.5</v>
      </c>
    </row>
    <row r="10" spans="1:2" x14ac:dyDescent="0.25">
      <c r="A10" s="105">
        <v>3500</v>
      </c>
      <c r="B10" s="4">
        <f t="shared" si="0"/>
        <v>267.75</v>
      </c>
    </row>
    <row r="11" spans="1:2" x14ac:dyDescent="0.25">
      <c r="A11" s="105">
        <v>4000</v>
      </c>
      <c r="B11" s="4">
        <f t="shared" si="0"/>
        <v>306</v>
      </c>
    </row>
    <row r="12" spans="1:2" x14ac:dyDescent="0.25">
      <c r="A12" s="105">
        <v>4500</v>
      </c>
      <c r="B12" s="4">
        <f t="shared" si="0"/>
        <v>344.25</v>
      </c>
    </row>
    <row r="13" spans="1:2" x14ac:dyDescent="0.25">
      <c r="A13" s="105">
        <v>5000</v>
      </c>
      <c r="B13" s="4">
        <f t="shared" si="0"/>
        <v>382.5</v>
      </c>
    </row>
    <row r="14" spans="1:2" x14ac:dyDescent="0.25">
      <c r="A14" s="105">
        <v>5500</v>
      </c>
      <c r="B14" s="4">
        <f t="shared" si="0"/>
        <v>420.75</v>
      </c>
    </row>
    <row r="15" spans="1:2" x14ac:dyDescent="0.25">
      <c r="A15" s="105">
        <v>6000</v>
      </c>
      <c r="B15" s="4">
        <f t="shared" si="0"/>
        <v>459</v>
      </c>
    </row>
    <row r="16" spans="1:2" x14ac:dyDescent="0.25">
      <c r="A16" s="105">
        <v>6500</v>
      </c>
      <c r="B16" s="4">
        <f t="shared" si="0"/>
        <v>497.25</v>
      </c>
    </row>
    <row r="17" spans="1:2" x14ac:dyDescent="0.25">
      <c r="A17" s="105">
        <v>7000</v>
      </c>
      <c r="B17" s="4">
        <f t="shared" si="0"/>
        <v>535.5</v>
      </c>
    </row>
    <row r="18" spans="1:2" x14ac:dyDescent="0.25">
      <c r="A18" s="105">
        <v>7500</v>
      </c>
      <c r="B18" s="4">
        <f t="shared" si="0"/>
        <v>573.75</v>
      </c>
    </row>
    <row r="19" spans="1:2" x14ac:dyDescent="0.25">
      <c r="A19" s="105">
        <v>8000</v>
      </c>
      <c r="B19" s="4">
        <f t="shared" si="0"/>
        <v>612</v>
      </c>
    </row>
    <row r="20" spans="1:2" x14ac:dyDescent="0.25">
      <c r="A20" s="105">
        <v>8500</v>
      </c>
      <c r="B20" s="4">
        <f t="shared" si="0"/>
        <v>650.25</v>
      </c>
    </row>
    <row r="21" spans="1:2" x14ac:dyDescent="0.25">
      <c r="A21" s="105">
        <v>9000</v>
      </c>
      <c r="B21" s="4">
        <f t="shared" si="0"/>
        <v>688.5</v>
      </c>
    </row>
    <row r="22" spans="1:2" x14ac:dyDescent="0.25">
      <c r="A22" s="105">
        <v>9500</v>
      </c>
      <c r="B22" s="4">
        <f t="shared" si="0"/>
        <v>726.75</v>
      </c>
    </row>
    <row r="23" spans="1:2" x14ac:dyDescent="0.25">
      <c r="A23" s="105">
        <v>10000</v>
      </c>
      <c r="B23" s="4">
        <f t="shared" si="0"/>
        <v>765</v>
      </c>
    </row>
    <row r="24" spans="1:2" x14ac:dyDescent="0.25">
      <c r="A24" s="105">
        <v>10500</v>
      </c>
      <c r="B24" s="4">
        <f t="shared" si="0"/>
        <v>803.25</v>
      </c>
    </row>
    <row r="25" spans="1:2" x14ac:dyDescent="0.25">
      <c r="A25" s="105">
        <v>11000</v>
      </c>
      <c r="B25" s="4">
        <f t="shared" si="0"/>
        <v>841.5</v>
      </c>
    </row>
    <row r="26" spans="1:2" x14ac:dyDescent="0.25">
      <c r="A26" s="105">
        <v>11500</v>
      </c>
      <c r="B26" s="4">
        <f t="shared" si="0"/>
        <v>879.75</v>
      </c>
    </row>
    <row r="27" spans="1:2" x14ac:dyDescent="0.25">
      <c r="A27" s="105">
        <v>12000</v>
      </c>
      <c r="B27" s="4">
        <f t="shared" si="0"/>
        <v>918</v>
      </c>
    </row>
    <row r="28" spans="1:2" x14ac:dyDescent="0.25">
      <c r="A28" s="105">
        <v>12500</v>
      </c>
      <c r="B28" s="4">
        <f t="shared" si="0"/>
        <v>956.25</v>
      </c>
    </row>
    <row r="29" spans="1:2" x14ac:dyDescent="0.25">
      <c r="A29" s="105">
        <v>13000</v>
      </c>
      <c r="B29" s="4">
        <f t="shared" si="0"/>
        <v>994.5</v>
      </c>
    </row>
    <row r="30" spans="1:2" x14ac:dyDescent="0.25">
      <c r="A30" s="105">
        <v>13500</v>
      </c>
      <c r="B30" s="4">
        <f t="shared" si="0"/>
        <v>1032.75</v>
      </c>
    </row>
    <row r="31" spans="1:2" x14ac:dyDescent="0.25">
      <c r="A31" s="105">
        <v>14000</v>
      </c>
      <c r="B31" s="4">
        <f t="shared" si="0"/>
        <v>1071</v>
      </c>
    </row>
    <row r="32" spans="1:2" x14ac:dyDescent="0.25">
      <c r="A32" s="105">
        <v>14500</v>
      </c>
      <c r="B32" s="4">
        <f t="shared" si="0"/>
        <v>1109.25</v>
      </c>
    </row>
    <row r="33" spans="1:2" x14ac:dyDescent="0.25">
      <c r="A33" s="105">
        <v>15000</v>
      </c>
      <c r="B33" s="4">
        <f t="shared" si="0"/>
        <v>1147.5</v>
      </c>
    </row>
    <row r="34" spans="1:2" x14ac:dyDescent="0.25">
      <c r="A34" s="105">
        <v>15500</v>
      </c>
      <c r="B34" s="4">
        <f t="shared" si="0"/>
        <v>1185.75</v>
      </c>
    </row>
    <row r="35" spans="1:2" x14ac:dyDescent="0.25">
      <c r="A35" s="105">
        <v>16000</v>
      </c>
      <c r="B35" s="4">
        <f t="shared" si="0"/>
        <v>1224</v>
      </c>
    </row>
    <row r="36" spans="1:2" x14ac:dyDescent="0.25">
      <c r="A36" s="105">
        <v>16500</v>
      </c>
      <c r="B36" s="4">
        <f t="shared" si="0"/>
        <v>1262.25</v>
      </c>
    </row>
    <row r="37" spans="1:2" x14ac:dyDescent="0.25">
      <c r="A37" s="105">
        <v>17000</v>
      </c>
      <c r="B37" s="4">
        <f t="shared" si="0"/>
        <v>1300.5</v>
      </c>
    </row>
    <row r="38" spans="1:2" x14ac:dyDescent="0.25">
      <c r="A38" s="105">
        <v>17500</v>
      </c>
      <c r="B38" s="4">
        <f t="shared" si="0"/>
        <v>1338.75</v>
      </c>
    </row>
    <row r="39" spans="1:2" x14ac:dyDescent="0.25">
      <c r="A39" s="105">
        <v>18000</v>
      </c>
      <c r="B39" s="4">
        <f t="shared" si="0"/>
        <v>1377</v>
      </c>
    </row>
    <row r="40" spans="1:2" x14ac:dyDescent="0.25">
      <c r="A40" s="105">
        <v>18500</v>
      </c>
      <c r="B40" s="4">
        <f t="shared" si="0"/>
        <v>1415.25</v>
      </c>
    </row>
    <row r="41" spans="1:2" x14ac:dyDescent="0.25">
      <c r="A41" s="105">
        <v>19000</v>
      </c>
      <c r="B41" s="4">
        <f t="shared" si="0"/>
        <v>1453.5</v>
      </c>
    </row>
    <row r="42" spans="1:2" x14ac:dyDescent="0.25">
      <c r="A42" s="105">
        <v>19500</v>
      </c>
      <c r="B42" s="4">
        <f t="shared" si="0"/>
        <v>1491.75</v>
      </c>
    </row>
    <row r="43" spans="1:2" x14ac:dyDescent="0.25">
      <c r="A43" s="105">
        <v>20000</v>
      </c>
      <c r="B43" s="4">
        <f t="shared" si="0"/>
        <v>1530</v>
      </c>
    </row>
    <row r="44" spans="1:2" x14ac:dyDescent="0.25">
      <c r="A44" s="105">
        <v>20500</v>
      </c>
      <c r="B44" s="4">
        <f t="shared" si="0"/>
        <v>1568.25</v>
      </c>
    </row>
    <row r="45" spans="1:2" x14ac:dyDescent="0.25">
      <c r="A45" s="105">
        <v>21000</v>
      </c>
      <c r="B45" s="4">
        <f t="shared" si="0"/>
        <v>1606.5</v>
      </c>
    </row>
    <row r="46" spans="1:2" x14ac:dyDescent="0.25">
      <c r="A46" s="105">
        <v>21500</v>
      </c>
      <c r="B46" s="4">
        <f t="shared" si="0"/>
        <v>1644.75</v>
      </c>
    </row>
    <row r="47" spans="1:2" x14ac:dyDescent="0.25">
      <c r="A47" s="105">
        <v>22000</v>
      </c>
      <c r="B47" s="4">
        <f t="shared" si="0"/>
        <v>1683</v>
      </c>
    </row>
    <row r="48" spans="1:2" x14ac:dyDescent="0.25">
      <c r="A48" s="105">
        <v>22500</v>
      </c>
      <c r="B48" s="4">
        <f t="shared" si="0"/>
        <v>1721.25</v>
      </c>
    </row>
    <row r="49" spans="1:2" x14ac:dyDescent="0.25">
      <c r="A49" s="105">
        <v>23000</v>
      </c>
      <c r="B49" s="4">
        <f t="shared" si="0"/>
        <v>1759.5</v>
      </c>
    </row>
    <row r="50" spans="1:2" x14ac:dyDescent="0.25">
      <c r="A50" s="105">
        <v>23500</v>
      </c>
      <c r="B50" s="4">
        <f t="shared" si="0"/>
        <v>1797.75</v>
      </c>
    </row>
    <row r="51" spans="1:2" x14ac:dyDescent="0.25">
      <c r="A51" s="105">
        <v>24000</v>
      </c>
      <c r="B51" s="4">
        <f t="shared" si="0"/>
        <v>1836</v>
      </c>
    </row>
    <row r="52" spans="1:2" x14ac:dyDescent="0.25">
      <c r="A52" s="105">
        <v>24500</v>
      </c>
      <c r="B52" s="4">
        <f t="shared" si="0"/>
        <v>1874.25</v>
      </c>
    </row>
    <row r="53" spans="1:2" x14ac:dyDescent="0.25">
      <c r="A53" s="105">
        <v>25000</v>
      </c>
      <c r="B53" s="4">
        <f t="shared" si="0"/>
        <v>1912.5</v>
      </c>
    </row>
    <row r="54" spans="1:2" x14ac:dyDescent="0.25">
      <c r="A54" s="105">
        <v>25500</v>
      </c>
      <c r="B54" s="4">
        <f t="shared" si="0"/>
        <v>1950.75</v>
      </c>
    </row>
    <row r="55" spans="1:2" x14ac:dyDescent="0.25">
      <c r="A55" s="105">
        <v>26000</v>
      </c>
      <c r="B55" s="4">
        <f t="shared" si="0"/>
        <v>1989</v>
      </c>
    </row>
    <row r="56" spans="1:2" x14ac:dyDescent="0.25">
      <c r="A56" s="105">
        <v>26500</v>
      </c>
      <c r="B56" s="4">
        <f t="shared" si="0"/>
        <v>2027.25</v>
      </c>
    </row>
    <row r="57" spans="1:2" x14ac:dyDescent="0.25">
      <c r="A57" s="105">
        <v>27000</v>
      </c>
      <c r="B57" s="4">
        <f t="shared" si="0"/>
        <v>2065.5</v>
      </c>
    </row>
    <row r="58" spans="1:2" x14ac:dyDescent="0.25">
      <c r="A58" s="105">
        <v>27500</v>
      </c>
      <c r="B58" s="4">
        <f t="shared" si="0"/>
        <v>2103.75</v>
      </c>
    </row>
    <row r="59" spans="1:2" x14ac:dyDescent="0.25">
      <c r="A59" s="105">
        <v>28000</v>
      </c>
      <c r="B59" s="4">
        <f t="shared" si="0"/>
        <v>2142</v>
      </c>
    </row>
    <row r="60" spans="1:2" x14ac:dyDescent="0.25">
      <c r="A60" s="105">
        <v>28500</v>
      </c>
      <c r="B60" s="4">
        <f t="shared" si="0"/>
        <v>2180.25</v>
      </c>
    </row>
    <row r="61" spans="1:2" x14ac:dyDescent="0.25">
      <c r="A61" s="105">
        <v>29000</v>
      </c>
      <c r="B61" s="4">
        <f t="shared" si="0"/>
        <v>2218.5</v>
      </c>
    </row>
    <row r="62" spans="1:2" x14ac:dyDescent="0.25">
      <c r="A62" s="105">
        <v>29500</v>
      </c>
      <c r="B62" s="4">
        <f t="shared" si="0"/>
        <v>2256.75</v>
      </c>
    </row>
    <row r="63" spans="1:2" x14ac:dyDescent="0.25">
      <c r="A63" s="105">
        <v>30000</v>
      </c>
      <c r="B63" s="4">
        <f t="shared" si="0"/>
        <v>2295</v>
      </c>
    </row>
    <row r="64" spans="1:2" x14ac:dyDescent="0.25">
      <c r="A64" s="105">
        <v>30500</v>
      </c>
      <c r="B64" s="4">
        <f t="shared" si="0"/>
        <v>2333.25</v>
      </c>
    </row>
    <row r="65" spans="1:2" x14ac:dyDescent="0.25">
      <c r="A65" s="105">
        <v>31000</v>
      </c>
      <c r="B65" s="4">
        <f t="shared" si="0"/>
        <v>2371.5</v>
      </c>
    </row>
    <row r="66" spans="1:2" x14ac:dyDescent="0.25">
      <c r="A66" s="105">
        <v>31500</v>
      </c>
      <c r="B66" s="4">
        <f t="shared" si="0"/>
        <v>2409.75</v>
      </c>
    </row>
    <row r="67" spans="1:2" x14ac:dyDescent="0.25">
      <c r="A67" s="105">
        <v>32000</v>
      </c>
      <c r="B67" s="4">
        <f t="shared" si="0"/>
        <v>2448</v>
      </c>
    </row>
    <row r="68" spans="1:2" x14ac:dyDescent="0.25">
      <c r="A68" s="105">
        <v>32500</v>
      </c>
      <c r="B68" s="4">
        <f t="shared" ref="B68:B131" si="1">A68*0.0765</f>
        <v>2486.25</v>
      </c>
    </row>
    <row r="69" spans="1:2" x14ac:dyDescent="0.25">
      <c r="A69" s="105">
        <v>33000</v>
      </c>
      <c r="B69" s="4">
        <f t="shared" si="1"/>
        <v>2524.5</v>
      </c>
    </row>
    <row r="70" spans="1:2" x14ac:dyDescent="0.25">
      <c r="A70" s="105">
        <v>33500</v>
      </c>
      <c r="B70" s="4">
        <f t="shared" si="1"/>
        <v>2562.75</v>
      </c>
    </row>
    <row r="71" spans="1:2" x14ac:dyDescent="0.25">
      <c r="A71" s="105">
        <v>34000</v>
      </c>
      <c r="B71" s="4">
        <f t="shared" si="1"/>
        <v>2601</v>
      </c>
    </row>
    <row r="72" spans="1:2" x14ac:dyDescent="0.25">
      <c r="A72" s="105">
        <v>34500</v>
      </c>
      <c r="B72" s="4">
        <f t="shared" si="1"/>
        <v>2639.25</v>
      </c>
    </row>
    <row r="73" spans="1:2" x14ac:dyDescent="0.25">
      <c r="A73" s="105">
        <v>35000</v>
      </c>
      <c r="B73" s="4">
        <f t="shared" si="1"/>
        <v>2677.5</v>
      </c>
    </row>
    <row r="74" spans="1:2" x14ac:dyDescent="0.25">
      <c r="A74" s="105">
        <v>35500</v>
      </c>
      <c r="B74" s="4">
        <f t="shared" si="1"/>
        <v>2715.75</v>
      </c>
    </row>
    <row r="75" spans="1:2" x14ac:dyDescent="0.25">
      <c r="A75" s="105">
        <v>36000</v>
      </c>
      <c r="B75" s="4">
        <f t="shared" si="1"/>
        <v>2754</v>
      </c>
    </row>
    <row r="76" spans="1:2" x14ac:dyDescent="0.25">
      <c r="A76" s="105">
        <v>36500</v>
      </c>
      <c r="B76" s="4">
        <f t="shared" si="1"/>
        <v>2792.25</v>
      </c>
    </row>
    <row r="77" spans="1:2" x14ac:dyDescent="0.25">
      <c r="A77" s="105">
        <v>37000</v>
      </c>
      <c r="B77" s="4">
        <f t="shared" si="1"/>
        <v>2830.5</v>
      </c>
    </row>
    <row r="78" spans="1:2" x14ac:dyDescent="0.25">
      <c r="A78" s="105">
        <v>37500</v>
      </c>
      <c r="B78" s="4">
        <f t="shared" si="1"/>
        <v>2868.75</v>
      </c>
    </row>
    <row r="79" spans="1:2" x14ac:dyDescent="0.25">
      <c r="A79" s="105">
        <v>38000</v>
      </c>
      <c r="B79" s="4">
        <f t="shared" si="1"/>
        <v>2907</v>
      </c>
    </row>
    <row r="80" spans="1:2" x14ac:dyDescent="0.25">
      <c r="A80" s="105">
        <v>38500</v>
      </c>
      <c r="B80" s="4">
        <f t="shared" si="1"/>
        <v>2945.25</v>
      </c>
    </row>
    <row r="81" spans="1:2" x14ac:dyDescent="0.25">
      <c r="A81" s="105">
        <v>39000</v>
      </c>
      <c r="B81" s="4">
        <f t="shared" si="1"/>
        <v>2983.5</v>
      </c>
    </row>
    <row r="82" spans="1:2" x14ac:dyDescent="0.25">
      <c r="A82" s="105">
        <v>39500</v>
      </c>
      <c r="B82" s="4">
        <f t="shared" si="1"/>
        <v>3021.75</v>
      </c>
    </row>
    <row r="83" spans="1:2" x14ac:dyDescent="0.25">
      <c r="A83" s="105">
        <v>40000</v>
      </c>
      <c r="B83" s="4">
        <f t="shared" si="1"/>
        <v>3060</v>
      </c>
    </row>
    <row r="84" spans="1:2" x14ac:dyDescent="0.25">
      <c r="A84" s="105">
        <v>40500</v>
      </c>
      <c r="B84" s="4">
        <f t="shared" si="1"/>
        <v>3098.25</v>
      </c>
    </row>
    <row r="85" spans="1:2" x14ac:dyDescent="0.25">
      <c r="A85" s="105">
        <v>41000</v>
      </c>
      <c r="B85" s="4">
        <f t="shared" si="1"/>
        <v>3136.5</v>
      </c>
    </row>
    <row r="86" spans="1:2" x14ac:dyDescent="0.25">
      <c r="A86" s="105">
        <v>41500</v>
      </c>
      <c r="B86" s="4">
        <f t="shared" si="1"/>
        <v>3174.75</v>
      </c>
    </row>
    <row r="87" spans="1:2" x14ac:dyDescent="0.25">
      <c r="A87" s="105">
        <v>42000</v>
      </c>
      <c r="B87" s="4">
        <f t="shared" si="1"/>
        <v>3213</v>
      </c>
    </row>
    <row r="88" spans="1:2" x14ac:dyDescent="0.25">
      <c r="A88" s="105">
        <v>42500</v>
      </c>
      <c r="B88" s="4">
        <f t="shared" si="1"/>
        <v>3251.25</v>
      </c>
    </row>
    <row r="89" spans="1:2" x14ac:dyDescent="0.25">
      <c r="A89" s="105">
        <v>43000</v>
      </c>
      <c r="B89" s="4">
        <f t="shared" si="1"/>
        <v>3289.5</v>
      </c>
    </row>
    <row r="90" spans="1:2" x14ac:dyDescent="0.25">
      <c r="A90" s="105">
        <v>43500</v>
      </c>
      <c r="B90" s="4">
        <f t="shared" si="1"/>
        <v>3327.75</v>
      </c>
    </row>
    <row r="91" spans="1:2" x14ac:dyDescent="0.25">
      <c r="A91" s="105">
        <v>44000</v>
      </c>
      <c r="B91" s="4">
        <f t="shared" si="1"/>
        <v>3366</v>
      </c>
    </row>
    <row r="92" spans="1:2" x14ac:dyDescent="0.25">
      <c r="A92" s="105">
        <v>44500</v>
      </c>
      <c r="B92" s="4">
        <f t="shared" si="1"/>
        <v>3404.25</v>
      </c>
    </row>
    <row r="93" spans="1:2" x14ac:dyDescent="0.25">
      <c r="A93" s="105">
        <v>45000</v>
      </c>
      <c r="B93" s="4">
        <f t="shared" si="1"/>
        <v>3442.5</v>
      </c>
    </row>
    <row r="94" spans="1:2" x14ac:dyDescent="0.25">
      <c r="A94" s="105">
        <v>45500</v>
      </c>
      <c r="B94" s="4">
        <f t="shared" si="1"/>
        <v>3480.75</v>
      </c>
    </row>
    <row r="95" spans="1:2" x14ac:dyDescent="0.25">
      <c r="A95" s="105">
        <v>46000</v>
      </c>
      <c r="B95" s="4">
        <f t="shared" si="1"/>
        <v>3519</v>
      </c>
    </row>
    <row r="96" spans="1:2" x14ac:dyDescent="0.25">
      <c r="A96" s="105">
        <v>46500</v>
      </c>
      <c r="B96" s="4">
        <f t="shared" si="1"/>
        <v>3557.25</v>
      </c>
    </row>
    <row r="97" spans="1:2" x14ac:dyDescent="0.25">
      <c r="A97" s="105">
        <v>47000</v>
      </c>
      <c r="B97" s="4">
        <f t="shared" si="1"/>
        <v>3595.5</v>
      </c>
    </row>
    <row r="98" spans="1:2" x14ac:dyDescent="0.25">
      <c r="A98" s="105">
        <v>47500</v>
      </c>
      <c r="B98" s="4">
        <f t="shared" si="1"/>
        <v>3633.75</v>
      </c>
    </row>
    <row r="99" spans="1:2" x14ac:dyDescent="0.25">
      <c r="A99" s="105">
        <v>48000</v>
      </c>
      <c r="B99" s="4">
        <f t="shared" si="1"/>
        <v>3672</v>
      </c>
    </row>
    <row r="100" spans="1:2" x14ac:dyDescent="0.25">
      <c r="A100" s="105">
        <v>48500</v>
      </c>
      <c r="B100" s="4">
        <f t="shared" si="1"/>
        <v>3710.25</v>
      </c>
    </row>
    <row r="101" spans="1:2" x14ac:dyDescent="0.25">
      <c r="A101" s="105">
        <v>49000</v>
      </c>
      <c r="B101" s="4">
        <f t="shared" si="1"/>
        <v>3748.5</v>
      </c>
    </row>
    <row r="102" spans="1:2" x14ac:dyDescent="0.25">
      <c r="A102" s="105">
        <v>49500</v>
      </c>
      <c r="B102" s="4">
        <f t="shared" si="1"/>
        <v>3786.75</v>
      </c>
    </row>
    <row r="103" spans="1:2" x14ac:dyDescent="0.25">
      <c r="A103" s="105">
        <v>50000</v>
      </c>
      <c r="B103" s="4">
        <f t="shared" si="1"/>
        <v>3825</v>
      </c>
    </row>
    <row r="104" spans="1:2" x14ac:dyDescent="0.25">
      <c r="A104" s="105">
        <v>50500</v>
      </c>
      <c r="B104" s="4">
        <f t="shared" si="1"/>
        <v>3863.25</v>
      </c>
    </row>
    <row r="105" spans="1:2" x14ac:dyDescent="0.25">
      <c r="A105" s="105">
        <v>51000</v>
      </c>
      <c r="B105" s="4">
        <f t="shared" si="1"/>
        <v>3901.5</v>
      </c>
    </row>
    <row r="106" spans="1:2" x14ac:dyDescent="0.25">
      <c r="A106" s="105">
        <v>51500</v>
      </c>
      <c r="B106" s="4">
        <f t="shared" si="1"/>
        <v>3939.75</v>
      </c>
    </row>
    <row r="107" spans="1:2" x14ac:dyDescent="0.25">
      <c r="A107" s="105">
        <v>52000</v>
      </c>
      <c r="B107" s="4">
        <f t="shared" si="1"/>
        <v>3978</v>
      </c>
    </row>
    <row r="108" spans="1:2" x14ac:dyDescent="0.25">
      <c r="A108" s="105">
        <v>52500</v>
      </c>
      <c r="B108" s="4">
        <f t="shared" si="1"/>
        <v>4016.25</v>
      </c>
    </row>
    <row r="109" spans="1:2" x14ac:dyDescent="0.25">
      <c r="A109" s="105">
        <v>53000</v>
      </c>
      <c r="B109" s="4">
        <f t="shared" si="1"/>
        <v>4054.5</v>
      </c>
    </row>
    <row r="110" spans="1:2" x14ac:dyDescent="0.25">
      <c r="A110" s="105">
        <v>53500</v>
      </c>
      <c r="B110" s="4">
        <f t="shared" si="1"/>
        <v>4092.75</v>
      </c>
    </row>
    <row r="111" spans="1:2" x14ac:dyDescent="0.25">
      <c r="A111" s="105">
        <v>54000</v>
      </c>
      <c r="B111" s="4">
        <f t="shared" si="1"/>
        <v>4131</v>
      </c>
    </row>
    <row r="112" spans="1:2" x14ac:dyDescent="0.25">
      <c r="A112" s="105">
        <v>54500</v>
      </c>
      <c r="B112" s="4">
        <f t="shared" si="1"/>
        <v>4169.25</v>
      </c>
    </row>
    <row r="113" spans="1:2" x14ac:dyDescent="0.25">
      <c r="A113" s="105">
        <v>55000</v>
      </c>
      <c r="B113" s="4">
        <f t="shared" si="1"/>
        <v>4207.5</v>
      </c>
    </row>
    <row r="114" spans="1:2" x14ac:dyDescent="0.25">
      <c r="A114" s="105">
        <v>55500</v>
      </c>
      <c r="B114" s="4">
        <f t="shared" si="1"/>
        <v>4245.75</v>
      </c>
    </row>
    <row r="115" spans="1:2" x14ac:dyDescent="0.25">
      <c r="A115" s="105">
        <v>56000</v>
      </c>
      <c r="B115" s="4">
        <f t="shared" si="1"/>
        <v>4284</v>
      </c>
    </row>
    <row r="116" spans="1:2" x14ac:dyDescent="0.25">
      <c r="A116" s="105">
        <v>56500</v>
      </c>
      <c r="B116" s="4">
        <f t="shared" si="1"/>
        <v>4322.25</v>
      </c>
    </row>
    <row r="117" spans="1:2" x14ac:dyDescent="0.25">
      <c r="A117" s="105">
        <v>57000</v>
      </c>
      <c r="B117" s="4">
        <f t="shared" si="1"/>
        <v>4360.5</v>
      </c>
    </row>
    <row r="118" spans="1:2" x14ac:dyDescent="0.25">
      <c r="A118" s="105">
        <v>57500</v>
      </c>
      <c r="B118" s="4">
        <f t="shared" si="1"/>
        <v>4398.75</v>
      </c>
    </row>
    <row r="119" spans="1:2" x14ac:dyDescent="0.25">
      <c r="A119" s="105">
        <v>58000</v>
      </c>
      <c r="B119" s="4">
        <f t="shared" si="1"/>
        <v>4437</v>
      </c>
    </row>
    <row r="120" spans="1:2" x14ac:dyDescent="0.25">
      <c r="A120" s="105">
        <v>58500</v>
      </c>
      <c r="B120" s="4">
        <f t="shared" si="1"/>
        <v>4475.25</v>
      </c>
    </row>
    <row r="121" spans="1:2" x14ac:dyDescent="0.25">
      <c r="A121" s="105">
        <v>59000</v>
      </c>
      <c r="B121" s="4">
        <f t="shared" si="1"/>
        <v>4513.5</v>
      </c>
    </row>
    <row r="122" spans="1:2" x14ac:dyDescent="0.25">
      <c r="A122" s="105">
        <v>59500</v>
      </c>
      <c r="B122" s="4">
        <f t="shared" si="1"/>
        <v>4551.75</v>
      </c>
    </row>
    <row r="123" spans="1:2" x14ac:dyDescent="0.25">
      <c r="A123" s="105">
        <v>60000</v>
      </c>
      <c r="B123" s="4">
        <f t="shared" si="1"/>
        <v>4590</v>
      </c>
    </row>
    <row r="124" spans="1:2" x14ac:dyDescent="0.25">
      <c r="A124" s="105">
        <v>60500</v>
      </c>
      <c r="B124" s="4">
        <f t="shared" si="1"/>
        <v>4628.25</v>
      </c>
    </row>
    <row r="125" spans="1:2" x14ac:dyDescent="0.25">
      <c r="A125" s="105">
        <v>61000</v>
      </c>
      <c r="B125" s="4">
        <f t="shared" si="1"/>
        <v>4666.5</v>
      </c>
    </row>
    <row r="126" spans="1:2" x14ac:dyDescent="0.25">
      <c r="A126" s="105">
        <v>61500</v>
      </c>
      <c r="B126" s="4">
        <f t="shared" si="1"/>
        <v>4704.75</v>
      </c>
    </row>
    <row r="127" spans="1:2" x14ac:dyDescent="0.25">
      <c r="A127" s="105">
        <v>62000</v>
      </c>
      <c r="B127" s="4">
        <f t="shared" si="1"/>
        <v>4743</v>
      </c>
    </row>
    <row r="128" spans="1:2" x14ac:dyDescent="0.25">
      <c r="A128" s="105">
        <v>62500</v>
      </c>
      <c r="B128" s="4">
        <f t="shared" si="1"/>
        <v>4781.25</v>
      </c>
    </row>
    <row r="129" spans="1:2" x14ac:dyDescent="0.25">
      <c r="A129" s="105">
        <v>63000</v>
      </c>
      <c r="B129" s="4">
        <f t="shared" si="1"/>
        <v>4819.5</v>
      </c>
    </row>
    <row r="130" spans="1:2" x14ac:dyDescent="0.25">
      <c r="A130" s="105">
        <v>63500</v>
      </c>
      <c r="B130" s="4">
        <f t="shared" si="1"/>
        <v>4857.75</v>
      </c>
    </row>
    <row r="131" spans="1:2" x14ac:dyDescent="0.25">
      <c r="A131" s="105">
        <v>64000</v>
      </c>
      <c r="B131" s="4">
        <f t="shared" si="1"/>
        <v>4896</v>
      </c>
    </row>
    <row r="132" spans="1:2" x14ac:dyDescent="0.25">
      <c r="A132" s="105">
        <v>64500</v>
      </c>
      <c r="B132" s="4">
        <f t="shared" ref="B132:B195" si="2">A132*0.0765</f>
        <v>4934.25</v>
      </c>
    </row>
    <row r="133" spans="1:2" x14ac:dyDescent="0.25">
      <c r="A133" s="105">
        <v>65000</v>
      </c>
      <c r="B133" s="4">
        <f t="shared" si="2"/>
        <v>4972.5</v>
      </c>
    </row>
    <row r="134" spans="1:2" x14ac:dyDescent="0.25">
      <c r="A134" s="105">
        <v>65500</v>
      </c>
      <c r="B134" s="4">
        <f t="shared" si="2"/>
        <v>5010.75</v>
      </c>
    </row>
    <row r="135" spans="1:2" x14ac:dyDescent="0.25">
      <c r="A135" s="105">
        <v>66000</v>
      </c>
      <c r="B135" s="4">
        <f t="shared" si="2"/>
        <v>5049</v>
      </c>
    </row>
    <row r="136" spans="1:2" x14ac:dyDescent="0.25">
      <c r="A136" s="105">
        <v>66500</v>
      </c>
      <c r="B136" s="4">
        <f t="shared" si="2"/>
        <v>5087.25</v>
      </c>
    </row>
    <row r="137" spans="1:2" x14ac:dyDescent="0.25">
      <c r="A137" s="105">
        <v>67000</v>
      </c>
      <c r="B137" s="4">
        <f t="shared" si="2"/>
        <v>5125.5</v>
      </c>
    </row>
    <row r="138" spans="1:2" x14ac:dyDescent="0.25">
      <c r="A138" s="105">
        <v>67500</v>
      </c>
      <c r="B138" s="4">
        <f t="shared" si="2"/>
        <v>5163.75</v>
      </c>
    </row>
    <row r="139" spans="1:2" x14ac:dyDescent="0.25">
      <c r="A139" s="105">
        <v>68000</v>
      </c>
      <c r="B139" s="4">
        <f t="shared" si="2"/>
        <v>5202</v>
      </c>
    </row>
    <row r="140" spans="1:2" x14ac:dyDescent="0.25">
      <c r="A140" s="105">
        <v>68500</v>
      </c>
      <c r="B140" s="4">
        <f t="shared" si="2"/>
        <v>5240.25</v>
      </c>
    </row>
    <row r="141" spans="1:2" x14ac:dyDescent="0.25">
      <c r="A141" s="105">
        <v>69000</v>
      </c>
      <c r="B141" s="4">
        <f t="shared" si="2"/>
        <v>5278.5</v>
      </c>
    </row>
    <row r="142" spans="1:2" x14ac:dyDescent="0.25">
      <c r="A142" s="105">
        <v>69500</v>
      </c>
      <c r="B142" s="4">
        <f t="shared" si="2"/>
        <v>5316.75</v>
      </c>
    </row>
    <row r="143" spans="1:2" x14ac:dyDescent="0.25">
      <c r="A143" s="105">
        <v>70000</v>
      </c>
      <c r="B143" s="4">
        <f t="shared" si="2"/>
        <v>5355</v>
      </c>
    </row>
    <row r="144" spans="1:2" x14ac:dyDescent="0.25">
      <c r="A144" s="105">
        <v>70500</v>
      </c>
      <c r="B144" s="4">
        <f t="shared" si="2"/>
        <v>5393.25</v>
      </c>
    </row>
    <row r="145" spans="1:2" x14ac:dyDescent="0.25">
      <c r="A145" s="105">
        <v>71000</v>
      </c>
      <c r="B145" s="4">
        <f t="shared" si="2"/>
        <v>5431.5</v>
      </c>
    </row>
    <row r="146" spans="1:2" x14ac:dyDescent="0.25">
      <c r="A146" s="105">
        <v>71500</v>
      </c>
      <c r="B146" s="4">
        <f t="shared" si="2"/>
        <v>5469.75</v>
      </c>
    </row>
    <row r="147" spans="1:2" x14ac:dyDescent="0.25">
      <c r="A147" s="105">
        <v>72000</v>
      </c>
      <c r="B147" s="4">
        <f t="shared" si="2"/>
        <v>5508</v>
      </c>
    </row>
    <row r="148" spans="1:2" x14ac:dyDescent="0.25">
      <c r="A148" s="105">
        <v>72500</v>
      </c>
      <c r="B148" s="4">
        <f t="shared" si="2"/>
        <v>5546.25</v>
      </c>
    </row>
    <row r="149" spans="1:2" x14ac:dyDescent="0.25">
      <c r="A149" s="105">
        <v>73000</v>
      </c>
      <c r="B149" s="4">
        <f t="shared" si="2"/>
        <v>5584.5</v>
      </c>
    </row>
    <row r="150" spans="1:2" x14ac:dyDescent="0.25">
      <c r="A150" s="105">
        <v>73500</v>
      </c>
      <c r="B150" s="4">
        <f t="shared" si="2"/>
        <v>5622.75</v>
      </c>
    </row>
    <row r="151" spans="1:2" x14ac:dyDescent="0.25">
      <c r="A151" s="105">
        <v>74000</v>
      </c>
      <c r="B151" s="4">
        <f t="shared" si="2"/>
        <v>5661</v>
      </c>
    </row>
    <row r="152" spans="1:2" x14ac:dyDescent="0.25">
      <c r="A152" s="105">
        <v>74500</v>
      </c>
      <c r="B152" s="4">
        <f t="shared" si="2"/>
        <v>5699.25</v>
      </c>
    </row>
    <row r="153" spans="1:2" x14ac:dyDescent="0.25">
      <c r="A153" s="105">
        <v>75000</v>
      </c>
      <c r="B153" s="4">
        <f t="shared" si="2"/>
        <v>5737.5</v>
      </c>
    </row>
    <row r="154" spans="1:2" x14ac:dyDescent="0.25">
      <c r="A154" s="105">
        <v>75500</v>
      </c>
      <c r="B154" s="4">
        <f t="shared" si="2"/>
        <v>5775.75</v>
      </c>
    </row>
    <row r="155" spans="1:2" x14ac:dyDescent="0.25">
      <c r="A155" s="105">
        <v>76000</v>
      </c>
      <c r="B155" s="4">
        <f t="shared" si="2"/>
        <v>5814</v>
      </c>
    </row>
    <row r="156" spans="1:2" x14ac:dyDescent="0.25">
      <c r="A156" s="105">
        <v>76500</v>
      </c>
      <c r="B156" s="4">
        <f t="shared" si="2"/>
        <v>5852.25</v>
      </c>
    </row>
    <row r="157" spans="1:2" x14ac:dyDescent="0.25">
      <c r="A157" s="105">
        <v>77000</v>
      </c>
      <c r="B157" s="4">
        <f t="shared" si="2"/>
        <v>5890.5</v>
      </c>
    </row>
    <row r="158" spans="1:2" x14ac:dyDescent="0.25">
      <c r="A158" s="105">
        <v>77500</v>
      </c>
      <c r="B158" s="4">
        <f t="shared" si="2"/>
        <v>5928.75</v>
      </c>
    </row>
    <row r="159" spans="1:2" x14ac:dyDescent="0.25">
      <c r="A159" s="105">
        <v>78000</v>
      </c>
      <c r="B159" s="4">
        <f t="shared" si="2"/>
        <v>5967</v>
      </c>
    </row>
    <row r="160" spans="1:2" x14ac:dyDescent="0.25">
      <c r="A160" s="105">
        <v>78500</v>
      </c>
      <c r="B160" s="4">
        <f t="shared" si="2"/>
        <v>6005.25</v>
      </c>
    </row>
    <row r="161" spans="1:2" x14ac:dyDescent="0.25">
      <c r="A161" s="105">
        <v>79000</v>
      </c>
      <c r="B161" s="4">
        <f t="shared" si="2"/>
        <v>6043.5</v>
      </c>
    </row>
    <row r="162" spans="1:2" x14ac:dyDescent="0.25">
      <c r="A162" s="105">
        <v>79500</v>
      </c>
      <c r="B162" s="4">
        <f t="shared" si="2"/>
        <v>6081.75</v>
      </c>
    </row>
    <row r="163" spans="1:2" x14ac:dyDescent="0.25">
      <c r="A163" s="105">
        <v>80000</v>
      </c>
      <c r="B163" s="4">
        <f t="shared" si="2"/>
        <v>6120</v>
      </c>
    </row>
    <row r="164" spans="1:2" x14ac:dyDescent="0.25">
      <c r="A164" s="105">
        <v>80500</v>
      </c>
      <c r="B164" s="4">
        <f t="shared" si="2"/>
        <v>6158.25</v>
      </c>
    </row>
    <row r="165" spans="1:2" x14ac:dyDescent="0.25">
      <c r="A165" s="105">
        <v>81000</v>
      </c>
      <c r="B165" s="4">
        <f t="shared" si="2"/>
        <v>6196.5</v>
      </c>
    </row>
    <row r="166" spans="1:2" x14ac:dyDescent="0.25">
      <c r="A166" s="105">
        <v>81500</v>
      </c>
      <c r="B166" s="4">
        <f t="shared" si="2"/>
        <v>6234.75</v>
      </c>
    </row>
    <row r="167" spans="1:2" x14ac:dyDescent="0.25">
      <c r="A167" s="105">
        <v>82000</v>
      </c>
      <c r="B167" s="4">
        <f t="shared" si="2"/>
        <v>6273</v>
      </c>
    </row>
    <row r="168" spans="1:2" x14ac:dyDescent="0.25">
      <c r="A168" s="105">
        <v>82500</v>
      </c>
      <c r="B168" s="4">
        <f t="shared" si="2"/>
        <v>6311.25</v>
      </c>
    </row>
    <row r="169" spans="1:2" x14ac:dyDescent="0.25">
      <c r="A169" s="105">
        <v>83000</v>
      </c>
      <c r="B169" s="4">
        <f t="shared" si="2"/>
        <v>6349.5</v>
      </c>
    </row>
    <row r="170" spans="1:2" x14ac:dyDescent="0.25">
      <c r="A170" s="105">
        <v>83500</v>
      </c>
      <c r="B170" s="4">
        <f t="shared" si="2"/>
        <v>6387.75</v>
      </c>
    </row>
    <row r="171" spans="1:2" x14ac:dyDescent="0.25">
      <c r="A171" s="105">
        <v>84000</v>
      </c>
      <c r="B171" s="4">
        <f t="shared" si="2"/>
        <v>6426</v>
      </c>
    </row>
    <row r="172" spans="1:2" x14ac:dyDescent="0.25">
      <c r="A172" s="105">
        <v>84500</v>
      </c>
      <c r="B172" s="4">
        <f t="shared" si="2"/>
        <v>6464.25</v>
      </c>
    </row>
    <row r="173" spans="1:2" x14ac:dyDescent="0.25">
      <c r="A173" s="105">
        <v>85000</v>
      </c>
      <c r="B173" s="4">
        <f t="shared" si="2"/>
        <v>6502.5</v>
      </c>
    </row>
    <row r="174" spans="1:2" x14ac:dyDescent="0.25">
      <c r="A174" s="105">
        <v>85500</v>
      </c>
      <c r="B174" s="4">
        <f t="shared" si="2"/>
        <v>6540.75</v>
      </c>
    </row>
    <row r="175" spans="1:2" x14ac:dyDescent="0.25">
      <c r="A175" s="105">
        <v>86000</v>
      </c>
      <c r="B175" s="4">
        <f t="shared" si="2"/>
        <v>6579</v>
      </c>
    </row>
    <row r="176" spans="1:2" x14ac:dyDescent="0.25">
      <c r="A176" s="105">
        <v>86500</v>
      </c>
      <c r="B176" s="4">
        <f t="shared" si="2"/>
        <v>6617.25</v>
      </c>
    </row>
    <row r="177" spans="1:2" x14ac:dyDescent="0.25">
      <c r="A177" s="105">
        <v>87000</v>
      </c>
      <c r="B177" s="4">
        <f t="shared" si="2"/>
        <v>6655.5</v>
      </c>
    </row>
    <row r="178" spans="1:2" x14ac:dyDescent="0.25">
      <c r="A178" s="105">
        <v>87500</v>
      </c>
      <c r="B178" s="4">
        <f t="shared" si="2"/>
        <v>6693.75</v>
      </c>
    </row>
    <row r="179" spans="1:2" x14ac:dyDescent="0.25">
      <c r="A179" s="105">
        <v>88000</v>
      </c>
      <c r="B179" s="4">
        <f t="shared" si="2"/>
        <v>6732</v>
      </c>
    </row>
    <row r="180" spans="1:2" x14ac:dyDescent="0.25">
      <c r="A180" s="105">
        <v>88500</v>
      </c>
      <c r="B180" s="4">
        <f t="shared" si="2"/>
        <v>6770.25</v>
      </c>
    </row>
    <row r="181" spans="1:2" x14ac:dyDescent="0.25">
      <c r="A181" s="105">
        <v>89000</v>
      </c>
      <c r="B181" s="4">
        <f t="shared" si="2"/>
        <v>6808.5</v>
      </c>
    </row>
    <row r="182" spans="1:2" x14ac:dyDescent="0.25">
      <c r="A182" s="105">
        <v>89500</v>
      </c>
      <c r="B182" s="4">
        <f t="shared" si="2"/>
        <v>6846.75</v>
      </c>
    </row>
    <row r="183" spans="1:2" x14ac:dyDescent="0.25">
      <c r="A183" s="105">
        <v>90000</v>
      </c>
      <c r="B183" s="4">
        <f t="shared" si="2"/>
        <v>6885</v>
      </c>
    </row>
    <row r="184" spans="1:2" x14ac:dyDescent="0.25">
      <c r="A184" s="105">
        <v>90500</v>
      </c>
      <c r="B184" s="4">
        <f t="shared" si="2"/>
        <v>6923.25</v>
      </c>
    </row>
    <row r="185" spans="1:2" x14ac:dyDescent="0.25">
      <c r="A185" s="105">
        <v>91000</v>
      </c>
      <c r="B185" s="4">
        <f t="shared" si="2"/>
        <v>6961.5</v>
      </c>
    </row>
    <row r="186" spans="1:2" x14ac:dyDescent="0.25">
      <c r="A186" s="105">
        <v>91500</v>
      </c>
      <c r="B186" s="4">
        <f t="shared" si="2"/>
        <v>6999.75</v>
      </c>
    </row>
    <row r="187" spans="1:2" x14ac:dyDescent="0.25">
      <c r="A187" s="105">
        <v>92000</v>
      </c>
      <c r="B187" s="4">
        <f t="shared" si="2"/>
        <v>7038</v>
      </c>
    </row>
    <row r="188" spans="1:2" x14ac:dyDescent="0.25">
      <c r="A188" s="105">
        <v>92500</v>
      </c>
      <c r="B188" s="4">
        <f t="shared" si="2"/>
        <v>7076.25</v>
      </c>
    </row>
    <row r="189" spans="1:2" x14ac:dyDescent="0.25">
      <c r="A189" s="105">
        <v>93000</v>
      </c>
      <c r="B189" s="4">
        <f t="shared" si="2"/>
        <v>7114.5</v>
      </c>
    </row>
    <row r="190" spans="1:2" x14ac:dyDescent="0.25">
      <c r="A190" s="105">
        <v>93500</v>
      </c>
      <c r="B190" s="4">
        <f t="shared" si="2"/>
        <v>7152.75</v>
      </c>
    </row>
    <row r="191" spans="1:2" x14ac:dyDescent="0.25">
      <c r="A191" s="105">
        <v>94000</v>
      </c>
      <c r="B191" s="4">
        <f t="shared" si="2"/>
        <v>7191</v>
      </c>
    </row>
    <row r="192" spans="1:2" x14ac:dyDescent="0.25">
      <c r="A192" s="105">
        <v>94500</v>
      </c>
      <c r="B192" s="4">
        <f t="shared" si="2"/>
        <v>7229.25</v>
      </c>
    </row>
    <row r="193" spans="1:2" x14ac:dyDescent="0.25">
      <c r="A193" s="105">
        <v>95000</v>
      </c>
      <c r="B193" s="4">
        <f t="shared" si="2"/>
        <v>7267.5</v>
      </c>
    </row>
    <row r="194" spans="1:2" x14ac:dyDescent="0.25">
      <c r="A194" s="105">
        <v>95500</v>
      </c>
      <c r="B194" s="4">
        <f t="shared" si="2"/>
        <v>7305.75</v>
      </c>
    </row>
    <row r="195" spans="1:2" x14ac:dyDescent="0.25">
      <c r="A195" s="105">
        <v>96000</v>
      </c>
      <c r="B195" s="4">
        <f t="shared" si="2"/>
        <v>7344</v>
      </c>
    </row>
    <row r="196" spans="1:2" x14ac:dyDescent="0.25">
      <c r="A196" s="105">
        <v>96500</v>
      </c>
      <c r="B196" s="4">
        <f t="shared" ref="B196:B203" si="3">A196*0.0765</f>
        <v>7382.25</v>
      </c>
    </row>
    <row r="197" spans="1:2" x14ac:dyDescent="0.25">
      <c r="A197" s="105">
        <v>97000</v>
      </c>
      <c r="B197" s="4">
        <f t="shared" si="3"/>
        <v>7420.5</v>
      </c>
    </row>
    <row r="198" spans="1:2" x14ac:dyDescent="0.25">
      <c r="A198" s="105">
        <v>97500</v>
      </c>
      <c r="B198" s="4">
        <f t="shared" si="3"/>
        <v>7458.75</v>
      </c>
    </row>
    <row r="199" spans="1:2" x14ac:dyDescent="0.25">
      <c r="A199" s="105">
        <v>98000</v>
      </c>
      <c r="B199" s="4">
        <f t="shared" si="3"/>
        <v>7497</v>
      </c>
    </row>
    <row r="200" spans="1:2" x14ac:dyDescent="0.25">
      <c r="A200" s="105">
        <v>98500</v>
      </c>
      <c r="B200" s="4">
        <f t="shared" si="3"/>
        <v>7535.25</v>
      </c>
    </row>
    <row r="201" spans="1:2" x14ac:dyDescent="0.25">
      <c r="A201" s="105">
        <v>99000</v>
      </c>
      <c r="B201" s="4">
        <f t="shared" si="3"/>
        <v>7573.5</v>
      </c>
    </row>
    <row r="202" spans="1:2" x14ac:dyDescent="0.25">
      <c r="A202" s="105">
        <v>99500</v>
      </c>
      <c r="B202" s="4">
        <f t="shared" si="3"/>
        <v>7611.75</v>
      </c>
    </row>
    <row r="203" spans="1:2" x14ac:dyDescent="0.25">
      <c r="A203" s="105">
        <v>100000</v>
      </c>
      <c r="B203" s="4">
        <f t="shared" si="3"/>
        <v>7650</v>
      </c>
    </row>
  </sheetData>
  <sheetProtection algorithmName="SHA-512" hashValue="eXbttbVw0h9v0RjzmUzI/p9/DxhkRVCgylJJswEP2ntCxKsJHzNuhV0aSYJm412qUZ/7RFTWA+Z1WJPNLRYOww==" saltValue="yLkbT2gLTQYySm9lhl0CJA==" spinCount="100000" sheet="1" objects="1" scenarios="1"/>
  <pageMargins left="0.7" right="0.7" top="0.75" bottom="0.75" header="0.3" footer="0.3"/>
</worksheet>
</file>

<file path=xl/worksheets/sheet2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9EB8886-8912-4B17-8599-CE102CA100E5}">
  <sheetPr codeName="Sheet121"/>
  <dimension ref="A1:BI141"/>
  <sheetViews>
    <sheetView workbookViewId="0">
      <pane xSplit="1" ySplit="3" topLeftCell="B4" activePane="bottomRight" state="frozen"/>
      <selection pane="topRight" activeCell="B1" sqref="B1"/>
      <selection pane="bottomLeft" activeCell="A4" sqref="A4"/>
      <selection pane="bottomRight" activeCell="K8" sqref="K8"/>
    </sheetView>
  </sheetViews>
  <sheetFormatPr defaultRowHeight="15" x14ac:dyDescent="0.25"/>
  <cols>
    <col min="1" max="1" width="28.140625" customWidth="1"/>
    <col min="2" max="2" width="9.5703125" customWidth="1"/>
    <col min="3" max="3" width="8.7109375" customWidth="1"/>
    <col min="4" max="50" width="8.5703125" customWidth="1"/>
    <col min="51" max="51" width="15" customWidth="1"/>
    <col min="52" max="52" width="11.7109375" customWidth="1"/>
    <col min="53" max="53" width="12.85546875" customWidth="1"/>
  </cols>
  <sheetData>
    <row r="1" spans="1:61" x14ac:dyDescent="0.25">
      <c r="A1" t="s">
        <v>271</v>
      </c>
      <c r="B1" s="466" t="s">
        <v>567</v>
      </c>
      <c r="C1" s="466"/>
      <c r="D1" s="466"/>
      <c r="E1" s="466"/>
      <c r="F1" s="466"/>
      <c r="G1" s="466"/>
      <c r="H1" s="466"/>
      <c r="I1" s="466"/>
      <c r="J1" s="466"/>
      <c r="K1" s="466"/>
      <c r="L1" s="466"/>
      <c r="M1" s="466"/>
      <c r="N1" s="466"/>
      <c r="O1" s="466"/>
      <c r="P1" s="466"/>
      <c r="Q1" s="466"/>
      <c r="R1" s="466"/>
      <c r="S1" s="466"/>
      <c r="T1" s="466"/>
      <c r="U1" s="466"/>
      <c r="V1" s="466"/>
      <c r="W1" s="466"/>
      <c r="X1" s="466"/>
      <c r="Y1" s="466"/>
      <c r="Z1" s="466"/>
      <c r="AA1" s="466"/>
      <c r="AB1" s="466"/>
      <c r="AC1" s="466"/>
      <c r="AD1" s="466"/>
      <c r="AE1" s="466"/>
      <c r="AF1" s="466"/>
      <c r="AG1" s="466"/>
      <c r="AH1" s="466"/>
      <c r="AI1" s="466"/>
      <c r="AJ1" s="466"/>
      <c r="AK1" s="466"/>
      <c r="AL1" s="466"/>
      <c r="AM1" s="466"/>
      <c r="AN1" s="466"/>
      <c r="AO1" s="466"/>
      <c r="AP1" s="466"/>
      <c r="AQ1" s="466"/>
      <c r="AR1" s="466"/>
      <c r="AS1" s="466"/>
      <c r="AT1" s="466"/>
      <c r="AU1" s="466"/>
      <c r="AV1" s="466"/>
      <c r="AW1" s="466"/>
      <c r="AX1" s="466"/>
      <c r="AY1" s="466"/>
      <c r="AZ1" s="74"/>
    </row>
    <row r="2" spans="1:61" x14ac:dyDescent="0.25">
      <c r="B2" s="24">
        <v>18</v>
      </c>
      <c r="C2">
        <v>19</v>
      </c>
      <c r="D2">
        <v>20</v>
      </c>
      <c r="E2">
        <v>21</v>
      </c>
      <c r="F2">
        <v>22</v>
      </c>
      <c r="G2">
        <v>23</v>
      </c>
      <c r="H2">
        <v>24</v>
      </c>
      <c r="I2">
        <v>25</v>
      </c>
      <c r="J2">
        <v>26</v>
      </c>
      <c r="K2">
        <v>27</v>
      </c>
      <c r="L2">
        <v>28</v>
      </c>
      <c r="M2" s="262">
        <v>29</v>
      </c>
      <c r="N2" s="263">
        <v>30</v>
      </c>
      <c r="O2" s="263">
        <v>31</v>
      </c>
      <c r="P2" s="263">
        <v>32</v>
      </c>
      <c r="Q2" s="263">
        <v>33</v>
      </c>
      <c r="R2" s="263">
        <v>34</v>
      </c>
      <c r="S2" s="263">
        <v>35</v>
      </c>
      <c r="T2" s="263">
        <v>36</v>
      </c>
      <c r="U2" s="263">
        <v>37</v>
      </c>
      <c r="V2" s="263">
        <v>38</v>
      </c>
      <c r="W2" s="263">
        <v>39</v>
      </c>
      <c r="X2" s="263">
        <v>40</v>
      </c>
      <c r="Y2" s="263">
        <v>41</v>
      </c>
      <c r="Z2" s="263">
        <v>42</v>
      </c>
      <c r="AA2" s="263">
        <v>43</v>
      </c>
      <c r="AB2" s="263">
        <v>44</v>
      </c>
      <c r="AC2" s="263">
        <v>45</v>
      </c>
      <c r="AD2" s="263">
        <v>46</v>
      </c>
      <c r="AE2" s="263">
        <v>47</v>
      </c>
      <c r="AF2" s="263">
        <v>48</v>
      </c>
      <c r="AG2" s="263">
        <v>49</v>
      </c>
      <c r="AH2" s="263">
        <v>50</v>
      </c>
      <c r="AI2" s="263">
        <v>51</v>
      </c>
      <c r="AJ2" s="263">
        <v>52</v>
      </c>
      <c r="AK2" s="263">
        <v>53</v>
      </c>
      <c r="AL2" s="263">
        <v>54</v>
      </c>
      <c r="AM2" s="263">
        <v>55</v>
      </c>
      <c r="AN2" s="263">
        <v>56</v>
      </c>
      <c r="AO2" s="263">
        <v>57</v>
      </c>
      <c r="AP2" s="263">
        <v>58</v>
      </c>
      <c r="AQ2" s="263">
        <v>59</v>
      </c>
      <c r="AR2" s="263">
        <v>60</v>
      </c>
      <c r="AS2" s="263">
        <v>61</v>
      </c>
      <c r="AT2" s="263">
        <v>62</v>
      </c>
      <c r="AU2" s="263">
        <v>63</v>
      </c>
      <c r="AV2" s="263">
        <v>64</v>
      </c>
      <c r="AW2" s="263"/>
      <c r="AX2" s="263"/>
      <c r="AY2" s="74">
        <v>1</v>
      </c>
      <c r="AZ2" s="74">
        <v>2</v>
      </c>
      <c r="BA2" s="74">
        <v>3</v>
      </c>
      <c r="BB2" s="74">
        <v>4</v>
      </c>
      <c r="BC2" s="74">
        <v>5</v>
      </c>
      <c r="BD2" s="74">
        <v>6</v>
      </c>
      <c r="BE2" s="74">
        <v>7</v>
      </c>
    </row>
    <row r="3" spans="1:61" x14ac:dyDescent="0.25">
      <c r="A3" t="s">
        <v>663</v>
      </c>
      <c r="B3">
        <v>2</v>
      </c>
      <c r="C3">
        <v>3</v>
      </c>
      <c r="D3">
        <v>4</v>
      </c>
      <c r="E3">
        <v>5</v>
      </c>
      <c r="F3">
        <v>6</v>
      </c>
      <c r="G3">
        <v>7</v>
      </c>
      <c r="H3">
        <v>8</v>
      </c>
      <c r="I3">
        <v>9</v>
      </c>
      <c r="J3">
        <v>10</v>
      </c>
      <c r="K3">
        <v>11</v>
      </c>
      <c r="L3">
        <v>12</v>
      </c>
      <c r="M3">
        <v>13</v>
      </c>
      <c r="N3">
        <v>14</v>
      </c>
      <c r="O3">
        <v>15</v>
      </c>
      <c r="P3">
        <v>16</v>
      </c>
      <c r="Q3">
        <v>17</v>
      </c>
      <c r="R3">
        <v>18</v>
      </c>
      <c r="S3">
        <v>19</v>
      </c>
      <c r="T3">
        <v>20</v>
      </c>
      <c r="U3">
        <v>21</v>
      </c>
      <c r="V3">
        <v>22</v>
      </c>
      <c r="W3">
        <v>23</v>
      </c>
      <c r="X3">
        <v>24</v>
      </c>
      <c r="Y3">
        <v>25</v>
      </c>
      <c r="Z3">
        <v>26</v>
      </c>
      <c r="AA3">
        <v>27</v>
      </c>
      <c r="AB3">
        <v>28</v>
      </c>
      <c r="AC3">
        <v>29</v>
      </c>
      <c r="AD3">
        <v>30</v>
      </c>
      <c r="AE3">
        <v>31</v>
      </c>
      <c r="AF3">
        <v>32</v>
      </c>
      <c r="AG3">
        <v>33</v>
      </c>
      <c r="AH3">
        <v>34</v>
      </c>
      <c r="AI3">
        <v>35</v>
      </c>
      <c r="AJ3">
        <v>36</v>
      </c>
      <c r="AK3">
        <v>37</v>
      </c>
      <c r="AL3">
        <v>38</v>
      </c>
      <c r="AM3">
        <v>39</v>
      </c>
      <c r="AN3">
        <v>40</v>
      </c>
      <c r="AO3">
        <v>41</v>
      </c>
      <c r="AP3">
        <v>42</v>
      </c>
      <c r="AQ3">
        <v>43</v>
      </c>
      <c r="AR3">
        <v>44</v>
      </c>
      <c r="AS3">
        <v>45</v>
      </c>
      <c r="AT3">
        <v>46</v>
      </c>
      <c r="AU3">
        <v>47</v>
      </c>
      <c r="AV3">
        <v>48</v>
      </c>
      <c r="AW3">
        <v>49</v>
      </c>
      <c r="AX3">
        <v>50</v>
      </c>
      <c r="AY3">
        <v>51</v>
      </c>
      <c r="AZ3">
        <v>52</v>
      </c>
      <c r="BA3">
        <v>53</v>
      </c>
      <c r="BB3">
        <v>54</v>
      </c>
      <c r="BC3">
        <v>55</v>
      </c>
      <c r="BD3">
        <v>56</v>
      </c>
      <c r="BE3">
        <v>57</v>
      </c>
      <c r="BI3" t="s">
        <v>600</v>
      </c>
    </row>
    <row r="4" spans="1:61" x14ac:dyDescent="0.25">
      <c r="A4" t="s">
        <v>119</v>
      </c>
      <c r="B4" s="7">
        <v>371</v>
      </c>
      <c r="C4" s="7">
        <v>363</v>
      </c>
      <c r="D4" s="7">
        <v>375</v>
      </c>
      <c r="E4" s="7">
        <v>386</v>
      </c>
      <c r="F4" s="7">
        <v>386</v>
      </c>
      <c r="G4" s="7">
        <v>386</v>
      </c>
      <c r="H4" s="7">
        <v>386</v>
      </c>
      <c r="I4" s="7">
        <v>388</v>
      </c>
      <c r="J4" s="7">
        <v>395</v>
      </c>
      <c r="K4" s="7">
        <v>405</v>
      </c>
      <c r="L4" s="7">
        <v>420</v>
      </c>
      <c r="M4" s="7">
        <v>432</v>
      </c>
      <c r="N4" s="7">
        <v>438</v>
      </c>
      <c r="O4" s="7">
        <v>448</v>
      </c>
      <c r="P4" s="7">
        <v>457</v>
      </c>
      <c r="Q4" s="7">
        <v>463</v>
      </c>
      <c r="R4" s="7">
        <v>469</v>
      </c>
      <c r="S4" s="7">
        <v>472</v>
      </c>
      <c r="T4" s="7">
        <v>475</v>
      </c>
      <c r="U4" s="7">
        <v>478</v>
      </c>
      <c r="V4" s="7">
        <v>481</v>
      </c>
      <c r="W4" s="7">
        <v>487</v>
      </c>
      <c r="X4" s="7">
        <v>494</v>
      </c>
      <c r="Y4" s="7">
        <v>503</v>
      </c>
      <c r="Z4" s="7">
        <v>512</v>
      </c>
      <c r="AA4" s="7">
        <v>524</v>
      </c>
      <c r="AB4" s="7">
        <v>540</v>
      </c>
      <c r="AC4" s="7">
        <v>558</v>
      </c>
      <c r="AD4" s="7">
        <v>579</v>
      </c>
      <c r="AE4" s="7">
        <v>603</v>
      </c>
      <c r="AF4" s="7">
        <v>631</v>
      </c>
      <c r="AG4" s="7">
        <v>659</v>
      </c>
      <c r="AH4" s="7">
        <v>690</v>
      </c>
      <c r="AI4" s="7">
        <v>720</v>
      </c>
      <c r="AJ4" s="7">
        <v>754</v>
      </c>
      <c r="AK4" s="7">
        <v>788</v>
      </c>
      <c r="AL4" s="7">
        <v>825</v>
      </c>
      <c r="AM4" s="7">
        <v>861</v>
      </c>
      <c r="AN4" s="7">
        <v>901</v>
      </c>
      <c r="AO4" s="7">
        <v>941</v>
      </c>
      <c r="AP4" s="7">
        <v>984</v>
      </c>
      <c r="AQ4" s="7">
        <v>1005</v>
      </c>
      <c r="AR4" s="7">
        <v>1048</v>
      </c>
      <c r="AS4" s="7">
        <v>1085</v>
      </c>
      <c r="AT4" s="7">
        <v>1110</v>
      </c>
      <c r="AU4" s="7">
        <v>1140</v>
      </c>
      <c r="AV4" s="7">
        <v>1159</v>
      </c>
      <c r="AW4" s="7"/>
      <c r="AX4" s="7"/>
      <c r="AY4" s="7">
        <v>375</v>
      </c>
      <c r="AZ4" s="290">
        <v>375</v>
      </c>
      <c r="BA4" s="7">
        <v>375</v>
      </c>
      <c r="BB4" s="7">
        <v>375</v>
      </c>
      <c r="BC4" s="7">
        <v>375</v>
      </c>
      <c r="BD4" s="7">
        <v>375</v>
      </c>
      <c r="BE4" s="7">
        <v>375</v>
      </c>
      <c r="BI4">
        <v>23301</v>
      </c>
    </row>
    <row r="5" spans="1:61" x14ac:dyDescent="0.25">
      <c r="A5" t="s">
        <v>121</v>
      </c>
      <c r="B5" s="6">
        <v>375</v>
      </c>
      <c r="C5" s="7">
        <v>368</v>
      </c>
      <c r="D5" s="7">
        <v>379</v>
      </c>
      <c r="E5" s="7">
        <v>391</v>
      </c>
      <c r="F5" s="7">
        <v>391</v>
      </c>
      <c r="G5" s="7">
        <v>391</v>
      </c>
      <c r="H5" s="7">
        <v>391</v>
      </c>
      <c r="I5" s="7">
        <v>392</v>
      </c>
      <c r="J5" s="7">
        <v>400</v>
      </c>
      <c r="K5" s="7">
        <v>410</v>
      </c>
      <c r="L5" s="7">
        <v>425</v>
      </c>
      <c r="M5" s="7">
        <v>437</v>
      </c>
      <c r="N5" s="7">
        <v>444</v>
      </c>
      <c r="O5" s="7">
        <v>453</v>
      </c>
      <c r="P5" s="7">
        <v>462</v>
      </c>
      <c r="Q5" s="7">
        <v>468</v>
      </c>
      <c r="R5" s="7">
        <v>474</v>
      </c>
      <c r="S5" s="7">
        <v>478</v>
      </c>
      <c r="T5" s="7">
        <v>481</v>
      </c>
      <c r="U5" s="7">
        <v>484</v>
      </c>
      <c r="V5" s="7">
        <v>487</v>
      </c>
      <c r="W5" s="7">
        <v>493</v>
      </c>
      <c r="X5" s="7">
        <v>499</v>
      </c>
      <c r="Y5" s="7">
        <v>509</v>
      </c>
      <c r="Z5" s="7">
        <v>518</v>
      </c>
      <c r="AA5" s="7">
        <v>530</v>
      </c>
      <c r="AB5" s="7">
        <v>546</v>
      </c>
      <c r="AC5" s="7">
        <v>564</v>
      </c>
      <c r="AD5" s="7">
        <v>586</v>
      </c>
      <c r="AE5" s="7">
        <v>611</v>
      </c>
      <c r="AF5" s="7">
        <v>639</v>
      </c>
      <c r="AG5" s="7">
        <v>667</v>
      </c>
      <c r="AH5" s="7">
        <v>698</v>
      </c>
      <c r="AI5" s="7">
        <v>729</v>
      </c>
      <c r="AJ5" s="7">
        <v>763</v>
      </c>
      <c r="AK5" s="7">
        <v>797</v>
      </c>
      <c r="AL5" s="7">
        <v>834</v>
      </c>
      <c r="AM5" s="7">
        <v>871</v>
      </c>
      <c r="AN5" s="7">
        <v>912</v>
      </c>
      <c r="AO5" s="7">
        <v>952</v>
      </c>
      <c r="AP5" s="7">
        <v>996</v>
      </c>
      <c r="AQ5" s="7">
        <v>1017</v>
      </c>
      <c r="AR5" s="7">
        <v>1061</v>
      </c>
      <c r="AS5" s="7">
        <v>1098</v>
      </c>
      <c r="AT5" s="7">
        <v>1123</v>
      </c>
      <c r="AU5" s="7">
        <v>1154</v>
      </c>
      <c r="AV5" s="7">
        <v>1172</v>
      </c>
      <c r="AW5" s="7"/>
      <c r="AX5" s="7"/>
      <c r="AY5" s="264">
        <v>400</v>
      </c>
      <c r="AZ5" s="264">
        <v>400</v>
      </c>
      <c r="BA5" s="7">
        <v>400</v>
      </c>
      <c r="BB5" s="7">
        <v>400</v>
      </c>
      <c r="BC5" s="7">
        <v>400</v>
      </c>
      <c r="BD5" s="7">
        <v>400</v>
      </c>
      <c r="BE5" s="7">
        <v>400</v>
      </c>
      <c r="BI5">
        <v>22924</v>
      </c>
    </row>
    <row r="6" spans="1:61" s="7" customFormat="1" x14ac:dyDescent="0.25">
      <c r="A6" s="86" t="s">
        <v>26</v>
      </c>
      <c r="B6" s="7">
        <v>338</v>
      </c>
      <c r="C6" s="7">
        <v>332</v>
      </c>
      <c r="D6" s="7">
        <v>342</v>
      </c>
      <c r="E6" s="7">
        <v>352</v>
      </c>
      <c r="F6" s="7">
        <v>352</v>
      </c>
      <c r="G6" s="7">
        <v>352</v>
      </c>
      <c r="H6" s="7">
        <v>352</v>
      </c>
      <c r="I6" s="7">
        <v>354</v>
      </c>
      <c r="J6" s="7">
        <v>361</v>
      </c>
      <c r="K6" s="7">
        <v>369</v>
      </c>
      <c r="L6" s="7">
        <v>383</v>
      </c>
      <c r="M6" s="7">
        <v>394</v>
      </c>
      <c r="N6" s="7">
        <v>400</v>
      </c>
      <c r="O6" s="7">
        <v>409</v>
      </c>
      <c r="P6" s="7">
        <v>417</v>
      </c>
      <c r="Q6" s="7">
        <v>422</v>
      </c>
      <c r="R6" s="7">
        <v>428</v>
      </c>
      <c r="S6" s="7">
        <v>431</v>
      </c>
      <c r="T6" s="7">
        <v>434</v>
      </c>
      <c r="U6" s="7">
        <v>436</v>
      </c>
      <c r="V6" s="7">
        <v>439</v>
      </c>
      <c r="W6" s="7">
        <v>445</v>
      </c>
      <c r="X6" s="7">
        <v>450</v>
      </c>
      <c r="Y6" s="7">
        <v>459</v>
      </c>
      <c r="Z6" s="7">
        <v>467</v>
      </c>
      <c r="AA6" s="7">
        <v>478</v>
      </c>
      <c r="AB6" s="7">
        <v>492</v>
      </c>
      <c r="AC6" s="7">
        <v>509</v>
      </c>
      <c r="AD6" s="7">
        <v>529</v>
      </c>
      <c r="AE6" s="7">
        <v>551</v>
      </c>
      <c r="AF6" s="7">
        <v>576</v>
      </c>
      <c r="AG6" s="7">
        <v>601</v>
      </c>
      <c r="AH6" s="7">
        <v>629</v>
      </c>
      <c r="AI6" s="7">
        <v>657</v>
      </c>
      <c r="AJ6" s="7">
        <v>688</v>
      </c>
      <c r="AK6" s="7">
        <v>719</v>
      </c>
      <c r="AL6" s="7">
        <v>753</v>
      </c>
      <c r="AM6" s="7">
        <v>786</v>
      </c>
      <c r="AN6" s="7">
        <v>822</v>
      </c>
      <c r="AO6" s="7">
        <v>859</v>
      </c>
      <c r="AP6" s="7">
        <v>898</v>
      </c>
      <c r="AQ6" s="7">
        <v>917</v>
      </c>
      <c r="AR6" s="7">
        <v>957</v>
      </c>
      <c r="AS6" s="7">
        <v>990</v>
      </c>
      <c r="AT6" s="7">
        <v>1013</v>
      </c>
      <c r="AU6" s="7">
        <v>1040</v>
      </c>
      <c r="AV6" s="7">
        <v>1057</v>
      </c>
      <c r="AY6" s="264">
        <v>342</v>
      </c>
      <c r="AZ6" s="264">
        <v>342</v>
      </c>
      <c r="BA6" s="7">
        <v>342</v>
      </c>
      <c r="BB6" s="7">
        <v>342</v>
      </c>
      <c r="BC6" s="7">
        <v>339</v>
      </c>
      <c r="BD6" s="7">
        <v>342</v>
      </c>
      <c r="BE6" s="7">
        <v>342</v>
      </c>
      <c r="BI6">
        <v>22206</v>
      </c>
    </row>
    <row r="7" spans="1:61" s="7" customFormat="1" x14ac:dyDescent="0.25">
      <c r="A7" s="7" t="s">
        <v>126</v>
      </c>
      <c r="B7" s="7">
        <v>370</v>
      </c>
      <c r="C7" s="11">
        <v>363</v>
      </c>
      <c r="D7" s="11">
        <v>375</v>
      </c>
      <c r="E7" s="11">
        <v>386</v>
      </c>
      <c r="F7" s="11">
        <v>386</v>
      </c>
      <c r="G7" s="11">
        <v>386</v>
      </c>
      <c r="H7" s="11">
        <v>386</v>
      </c>
      <c r="I7" s="11">
        <v>388</v>
      </c>
      <c r="J7" s="11">
        <v>395</v>
      </c>
      <c r="K7" s="11">
        <v>405</v>
      </c>
      <c r="L7" s="11">
        <v>420</v>
      </c>
      <c r="M7" s="11">
        <v>432</v>
      </c>
      <c r="N7" s="11">
        <v>438</v>
      </c>
      <c r="O7" s="11">
        <v>448</v>
      </c>
      <c r="P7" s="11">
        <v>457</v>
      </c>
      <c r="Q7" s="11">
        <v>463</v>
      </c>
      <c r="R7" s="11">
        <v>469</v>
      </c>
      <c r="S7" s="11">
        <v>472</v>
      </c>
      <c r="T7" s="11">
        <v>475</v>
      </c>
      <c r="U7" s="11">
        <v>478</v>
      </c>
      <c r="V7" s="11">
        <v>481</v>
      </c>
      <c r="W7" s="11">
        <v>487</v>
      </c>
      <c r="X7" s="11">
        <v>494</v>
      </c>
      <c r="Y7" s="11">
        <v>503</v>
      </c>
      <c r="Z7" s="11">
        <v>512</v>
      </c>
      <c r="AA7" s="11">
        <v>524</v>
      </c>
      <c r="AB7" s="11">
        <v>540</v>
      </c>
      <c r="AC7" s="11">
        <v>558</v>
      </c>
      <c r="AD7" s="11">
        <v>579</v>
      </c>
      <c r="AE7" s="11">
        <v>604</v>
      </c>
      <c r="AF7" s="11">
        <v>631</v>
      </c>
      <c r="AG7" s="11">
        <v>659</v>
      </c>
      <c r="AH7" s="11">
        <v>690</v>
      </c>
      <c r="AI7" s="11">
        <v>720</v>
      </c>
      <c r="AJ7" s="11">
        <v>754</v>
      </c>
      <c r="AK7" s="11">
        <v>788</v>
      </c>
      <c r="AL7" s="11">
        <v>825</v>
      </c>
      <c r="AM7" s="11">
        <v>861</v>
      </c>
      <c r="AN7" s="11">
        <v>901</v>
      </c>
      <c r="AO7" s="11">
        <v>941</v>
      </c>
      <c r="AP7" s="11">
        <v>984</v>
      </c>
      <c r="AQ7" s="11">
        <v>1005</v>
      </c>
      <c r="AR7" s="11">
        <v>1048</v>
      </c>
      <c r="AS7" s="11">
        <v>1085</v>
      </c>
      <c r="AT7" s="11">
        <v>1110</v>
      </c>
      <c r="AU7" s="11">
        <v>1140</v>
      </c>
      <c r="AV7" s="11">
        <v>1159</v>
      </c>
      <c r="AW7" s="21"/>
      <c r="AX7" s="21"/>
      <c r="AY7" s="264">
        <v>375</v>
      </c>
      <c r="AZ7" s="264">
        <v>375</v>
      </c>
      <c r="BA7" s="7">
        <v>375</v>
      </c>
      <c r="BB7" s="7">
        <v>375</v>
      </c>
      <c r="BC7" s="7">
        <v>375</v>
      </c>
      <c r="BD7" s="7">
        <v>375</v>
      </c>
      <c r="BE7" s="7">
        <v>375</v>
      </c>
      <c r="BF7" s="21"/>
      <c r="BG7" s="21"/>
      <c r="BH7" s="21"/>
      <c r="BI7" s="21">
        <v>24426</v>
      </c>
    </row>
    <row r="8" spans="1:61" s="7" customFormat="1" x14ac:dyDescent="0.25">
      <c r="A8" s="7" t="s">
        <v>129</v>
      </c>
      <c r="B8" s="7">
        <v>331</v>
      </c>
      <c r="C8" s="11">
        <v>323</v>
      </c>
      <c r="D8" s="11">
        <v>333</v>
      </c>
      <c r="E8" s="11">
        <v>344</v>
      </c>
      <c r="F8" s="11">
        <v>344</v>
      </c>
      <c r="G8" s="11">
        <v>344</v>
      </c>
      <c r="H8" s="11">
        <v>344</v>
      </c>
      <c r="I8" s="11">
        <v>345</v>
      </c>
      <c r="J8" s="11">
        <v>352</v>
      </c>
      <c r="K8" s="11">
        <v>360</v>
      </c>
      <c r="L8" s="11">
        <v>374</v>
      </c>
      <c r="M8" s="11">
        <v>385</v>
      </c>
      <c r="N8" s="11">
        <v>390</v>
      </c>
      <c r="O8" s="11">
        <v>398</v>
      </c>
      <c r="P8" s="11">
        <v>407</v>
      </c>
      <c r="Q8" s="11">
        <v>412</v>
      </c>
      <c r="R8" s="11">
        <v>417</v>
      </c>
      <c r="S8" s="11">
        <v>420</v>
      </c>
      <c r="T8" s="11">
        <v>423</v>
      </c>
      <c r="U8" s="11">
        <v>425</v>
      </c>
      <c r="V8" s="11">
        <v>428</v>
      </c>
      <c r="W8" s="11">
        <v>434</v>
      </c>
      <c r="X8" s="11">
        <v>439</v>
      </c>
      <c r="Y8" s="11">
        <v>447</v>
      </c>
      <c r="Z8" s="11">
        <v>455</v>
      </c>
      <c r="AA8" s="11">
        <v>466</v>
      </c>
      <c r="AB8" s="11">
        <v>480</v>
      </c>
      <c r="AC8" s="11">
        <v>496</v>
      </c>
      <c r="AD8" s="11">
        <v>516</v>
      </c>
      <c r="AE8" s="11">
        <v>537</v>
      </c>
      <c r="AF8" s="11">
        <v>562</v>
      </c>
      <c r="AG8" s="11">
        <v>586</v>
      </c>
      <c r="AH8" s="11">
        <v>614</v>
      </c>
      <c r="AI8" s="11">
        <v>641</v>
      </c>
      <c r="AJ8" s="11">
        <v>671</v>
      </c>
      <c r="AK8" s="11">
        <v>701</v>
      </c>
      <c r="AL8" s="11">
        <v>734</v>
      </c>
      <c r="AM8" s="11">
        <v>766</v>
      </c>
      <c r="AN8" s="11">
        <v>802</v>
      </c>
      <c r="AO8" s="11">
        <v>838</v>
      </c>
      <c r="AP8" s="11">
        <v>876</v>
      </c>
      <c r="AQ8" s="11">
        <v>895</v>
      </c>
      <c r="AR8" s="11">
        <v>933</v>
      </c>
      <c r="AS8" s="11">
        <v>966</v>
      </c>
      <c r="AT8" s="11">
        <v>987</v>
      </c>
      <c r="AU8" s="11">
        <v>1015</v>
      </c>
      <c r="AV8" s="11">
        <v>1031</v>
      </c>
      <c r="AW8" s="21"/>
      <c r="AX8" s="21"/>
      <c r="AY8" s="264">
        <v>333</v>
      </c>
      <c r="AZ8" s="264">
        <v>333</v>
      </c>
      <c r="BA8" s="7">
        <v>333</v>
      </c>
      <c r="BB8" s="7">
        <v>333</v>
      </c>
      <c r="BC8" s="7">
        <v>333</v>
      </c>
      <c r="BD8" s="7">
        <v>333</v>
      </c>
      <c r="BE8" s="7">
        <v>333</v>
      </c>
      <c r="BF8" s="21"/>
      <c r="BG8" s="21"/>
      <c r="BH8" s="21"/>
      <c r="BI8" s="21">
        <v>23002</v>
      </c>
    </row>
    <row r="9" spans="1:61" s="7" customFormat="1" x14ac:dyDescent="0.25">
      <c r="A9" s="7" t="s">
        <v>130</v>
      </c>
      <c r="B9" s="7">
        <v>346</v>
      </c>
      <c r="C9" s="11">
        <v>339</v>
      </c>
      <c r="D9" s="11">
        <v>350</v>
      </c>
      <c r="E9" s="11">
        <v>361</v>
      </c>
      <c r="F9" s="11">
        <v>361</v>
      </c>
      <c r="G9" s="11">
        <v>361</v>
      </c>
      <c r="H9" s="11">
        <v>361</v>
      </c>
      <c r="I9" s="11">
        <v>362</v>
      </c>
      <c r="J9" s="11">
        <v>369</v>
      </c>
      <c r="K9" s="11">
        <v>378</v>
      </c>
      <c r="L9" s="11">
        <v>392</v>
      </c>
      <c r="M9" s="11">
        <v>403</v>
      </c>
      <c r="N9" s="11">
        <v>409</v>
      </c>
      <c r="O9" s="11">
        <v>418</v>
      </c>
      <c r="P9" s="11">
        <v>427</v>
      </c>
      <c r="Q9" s="11">
        <v>432</v>
      </c>
      <c r="R9" s="11">
        <v>438</v>
      </c>
      <c r="S9" s="11">
        <v>441</v>
      </c>
      <c r="T9" s="11">
        <v>443</v>
      </c>
      <c r="U9" s="11">
        <v>446</v>
      </c>
      <c r="V9" s="11">
        <v>449</v>
      </c>
      <c r="W9" s="11">
        <v>455</v>
      </c>
      <c r="X9" s="11">
        <v>461</v>
      </c>
      <c r="Y9" s="11">
        <v>469</v>
      </c>
      <c r="Z9" s="11">
        <v>478</v>
      </c>
      <c r="AA9" s="11">
        <v>489</v>
      </c>
      <c r="AB9" s="11">
        <v>504</v>
      </c>
      <c r="AC9" s="11">
        <v>521</v>
      </c>
      <c r="AD9" s="11">
        <v>541</v>
      </c>
      <c r="AE9" s="11">
        <v>564</v>
      </c>
      <c r="AF9" s="11">
        <v>589</v>
      </c>
      <c r="AG9" s="11">
        <v>615</v>
      </c>
      <c r="AH9" s="11">
        <v>644</v>
      </c>
      <c r="AI9" s="11">
        <v>672</v>
      </c>
      <c r="AJ9" s="11">
        <v>704</v>
      </c>
      <c r="AK9" s="11">
        <v>736</v>
      </c>
      <c r="AL9" s="11">
        <v>770</v>
      </c>
      <c r="AM9" s="11">
        <v>804</v>
      </c>
      <c r="AN9" s="11">
        <v>841</v>
      </c>
      <c r="AO9" s="11">
        <v>879</v>
      </c>
      <c r="AP9" s="11">
        <v>919</v>
      </c>
      <c r="AQ9" s="11">
        <v>939</v>
      </c>
      <c r="AR9" s="11">
        <v>979</v>
      </c>
      <c r="AS9" s="11">
        <v>1013</v>
      </c>
      <c r="AT9" s="11">
        <v>1036</v>
      </c>
      <c r="AU9" s="11">
        <v>1064</v>
      </c>
      <c r="AV9" s="11">
        <v>1082</v>
      </c>
      <c r="AW9" s="21"/>
      <c r="AX9" s="21"/>
      <c r="AY9" s="264">
        <v>350</v>
      </c>
      <c r="AZ9" s="264">
        <v>350</v>
      </c>
      <c r="BA9" s="7">
        <v>350</v>
      </c>
      <c r="BB9" s="7">
        <v>350</v>
      </c>
      <c r="BC9" s="7">
        <v>350</v>
      </c>
      <c r="BD9" s="7">
        <v>350</v>
      </c>
      <c r="BE9" s="7">
        <v>350</v>
      </c>
      <c r="BF9" s="21"/>
      <c r="BG9" s="21"/>
      <c r="BH9" s="21"/>
      <c r="BI9" s="21">
        <v>24595</v>
      </c>
    </row>
    <row r="10" spans="1:61" s="7" customFormat="1" x14ac:dyDescent="0.25">
      <c r="A10" s="7" t="s">
        <v>133</v>
      </c>
      <c r="B10" s="7">
        <v>346</v>
      </c>
      <c r="C10" s="11">
        <v>339</v>
      </c>
      <c r="D10" s="11">
        <v>350</v>
      </c>
      <c r="E10" s="11">
        <v>361</v>
      </c>
      <c r="F10" s="11">
        <v>361</v>
      </c>
      <c r="G10" s="11">
        <v>361</v>
      </c>
      <c r="H10" s="11">
        <v>361</v>
      </c>
      <c r="I10" s="11">
        <v>362</v>
      </c>
      <c r="J10" s="11">
        <v>369</v>
      </c>
      <c r="K10" s="11">
        <v>378</v>
      </c>
      <c r="L10" s="11">
        <v>392</v>
      </c>
      <c r="M10" s="11">
        <v>403</v>
      </c>
      <c r="N10" s="11">
        <v>409</v>
      </c>
      <c r="O10" s="11">
        <v>418</v>
      </c>
      <c r="P10" s="11">
        <v>427</v>
      </c>
      <c r="Q10" s="11">
        <v>432</v>
      </c>
      <c r="R10" s="11">
        <v>438</v>
      </c>
      <c r="S10" s="11">
        <v>441</v>
      </c>
      <c r="T10" s="11">
        <v>443</v>
      </c>
      <c r="U10" s="11">
        <v>446</v>
      </c>
      <c r="V10" s="11">
        <v>449</v>
      </c>
      <c r="W10" s="11">
        <v>455</v>
      </c>
      <c r="X10" s="11">
        <v>461</v>
      </c>
      <c r="Y10" s="11">
        <v>469</v>
      </c>
      <c r="Z10" s="11">
        <v>478</v>
      </c>
      <c r="AA10" s="11">
        <v>489</v>
      </c>
      <c r="AB10" s="11">
        <v>504</v>
      </c>
      <c r="AC10" s="11">
        <v>521</v>
      </c>
      <c r="AD10" s="11">
        <v>541</v>
      </c>
      <c r="AE10" s="11">
        <v>564</v>
      </c>
      <c r="AF10" s="11">
        <v>589</v>
      </c>
      <c r="AG10" s="11">
        <v>615</v>
      </c>
      <c r="AH10" s="11">
        <v>644</v>
      </c>
      <c r="AI10" s="11">
        <v>672</v>
      </c>
      <c r="AJ10" s="11">
        <v>704</v>
      </c>
      <c r="AK10" s="11">
        <v>736</v>
      </c>
      <c r="AL10" s="11">
        <v>770</v>
      </c>
      <c r="AM10" s="11">
        <v>804</v>
      </c>
      <c r="AN10" s="11">
        <v>841</v>
      </c>
      <c r="AO10" s="11">
        <v>879</v>
      </c>
      <c r="AP10" s="11">
        <v>919</v>
      </c>
      <c r="AQ10" s="11">
        <v>939</v>
      </c>
      <c r="AR10" s="11">
        <v>979</v>
      </c>
      <c r="AS10" s="11">
        <v>1013</v>
      </c>
      <c r="AT10" s="11">
        <v>1036</v>
      </c>
      <c r="AU10" s="11">
        <v>1064</v>
      </c>
      <c r="AV10" s="11">
        <v>1082</v>
      </c>
      <c r="AW10" s="21"/>
      <c r="AX10" s="21"/>
      <c r="AY10" s="264">
        <v>350</v>
      </c>
      <c r="AZ10" s="264">
        <v>350</v>
      </c>
      <c r="BA10" s="7">
        <v>350</v>
      </c>
      <c r="BB10" s="7">
        <v>350</v>
      </c>
      <c r="BC10" s="7">
        <v>350</v>
      </c>
      <c r="BD10" s="7">
        <v>350</v>
      </c>
      <c r="BE10" s="7">
        <v>350</v>
      </c>
      <c r="BF10" s="21"/>
      <c r="BG10" s="21"/>
      <c r="BH10" s="21"/>
      <c r="BI10" s="21">
        <v>24522</v>
      </c>
    </row>
    <row r="11" spans="1:61" s="7" customFormat="1" x14ac:dyDescent="0.25">
      <c r="A11" s="7" t="s">
        <v>135</v>
      </c>
      <c r="B11" s="7">
        <v>338</v>
      </c>
      <c r="C11" s="7">
        <v>332</v>
      </c>
      <c r="D11" s="7">
        <v>342</v>
      </c>
      <c r="E11" s="7">
        <v>352</v>
      </c>
      <c r="F11" s="7">
        <v>352</v>
      </c>
      <c r="G11" s="7">
        <v>352</v>
      </c>
      <c r="H11" s="7">
        <v>352</v>
      </c>
      <c r="I11" s="7">
        <v>354</v>
      </c>
      <c r="J11" s="7">
        <v>361</v>
      </c>
      <c r="K11" s="7">
        <v>369</v>
      </c>
      <c r="L11" s="7">
        <v>383</v>
      </c>
      <c r="M11" s="7">
        <v>394</v>
      </c>
      <c r="N11" s="7">
        <v>400</v>
      </c>
      <c r="O11" s="7">
        <v>409</v>
      </c>
      <c r="P11" s="7">
        <v>417</v>
      </c>
      <c r="Q11" s="7">
        <v>422</v>
      </c>
      <c r="R11" s="7">
        <v>428</v>
      </c>
      <c r="S11" s="7">
        <v>431</v>
      </c>
      <c r="T11" s="7">
        <v>434</v>
      </c>
      <c r="U11" s="7">
        <v>436</v>
      </c>
      <c r="V11" s="7">
        <v>439</v>
      </c>
      <c r="W11" s="7">
        <v>445</v>
      </c>
      <c r="X11" s="7">
        <v>450</v>
      </c>
      <c r="Y11" s="7">
        <v>459</v>
      </c>
      <c r="Z11" s="7">
        <v>467</v>
      </c>
      <c r="AA11" s="7">
        <v>478</v>
      </c>
      <c r="AB11" s="7">
        <v>492</v>
      </c>
      <c r="AC11" s="7">
        <v>509</v>
      </c>
      <c r="AD11" s="7">
        <v>529</v>
      </c>
      <c r="AE11" s="7">
        <v>551</v>
      </c>
      <c r="AF11" s="7">
        <v>576</v>
      </c>
      <c r="AG11" s="7">
        <v>601</v>
      </c>
      <c r="AH11" s="7">
        <v>629</v>
      </c>
      <c r="AI11" s="7">
        <v>657</v>
      </c>
      <c r="AJ11" s="7">
        <v>688</v>
      </c>
      <c r="AK11" s="7">
        <v>719</v>
      </c>
      <c r="AL11" s="7">
        <v>753</v>
      </c>
      <c r="AM11" s="7">
        <v>786</v>
      </c>
      <c r="AN11" s="7">
        <v>822</v>
      </c>
      <c r="AO11" s="7">
        <v>859</v>
      </c>
      <c r="AP11" s="7">
        <v>898</v>
      </c>
      <c r="AQ11" s="7">
        <v>917</v>
      </c>
      <c r="AR11" s="7">
        <v>957</v>
      </c>
      <c r="AS11" s="7">
        <v>990</v>
      </c>
      <c r="AT11" s="7">
        <v>1013</v>
      </c>
      <c r="AU11" s="7">
        <v>1040</v>
      </c>
      <c r="AV11" s="7">
        <v>1057</v>
      </c>
      <c r="AW11" s="21"/>
      <c r="AX11" s="21"/>
      <c r="AY11" s="264">
        <v>342</v>
      </c>
      <c r="AZ11" s="264">
        <v>342</v>
      </c>
      <c r="BA11" s="7">
        <v>342</v>
      </c>
      <c r="BB11" s="7">
        <v>342</v>
      </c>
      <c r="BC11" s="7">
        <v>339</v>
      </c>
      <c r="BD11" s="7">
        <v>342</v>
      </c>
      <c r="BE11" s="7">
        <v>342</v>
      </c>
      <c r="BF11" s="21"/>
      <c r="BG11" s="21"/>
      <c r="BH11" s="21"/>
      <c r="BI11" s="21">
        <v>22201</v>
      </c>
    </row>
    <row r="12" spans="1:61" s="7" customFormat="1" x14ac:dyDescent="0.25">
      <c r="A12" s="7" t="s">
        <v>137</v>
      </c>
      <c r="B12" s="7">
        <v>370</v>
      </c>
      <c r="C12" s="11">
        <v>363</v>
      </c>
      <c r="D12" s="11">
        <v>375</v>
      </c>
      <c r="E12" s="11">
        <v>386</v>
      </c>
      <c r="F12" s="11">
        <v>386</v>
      </c>
      <c r="G12" s="11">
        <v>386</v>
      </c>
      <c r="H12" s="11">
        <v>386</v>
      </c>
      <c r="I12" s="11">
        <v>388</v>
      </c>
      <c r="J12" s="11">
        <v>395</v>
      </c>
      <c r="K12" s="11">
        <v>405</v>
      </c>
      <c r="L12" s="11">
        <v>420</v>
      </c>
      <c r="M12" s="11">
        <v>432</v>
      </c>
      <c r="N12" s="11">
        <v>438</v>
      </c>
      <c r="O12" s="11">
        <v>448</v>
      </c>
      <c r="P12" s="11">
        <v>457</v>
      </c>
      <c r="Q12" s="11">
        <v>463</v>
      </c>
      <c r="R12" s="11">
        <v>469</v>
      </c>
      <c r="S12" s="11">
        <v>472</v>
      </c>
      <c r="T12" s="11">
        <v>475</v>
      </c>
      <c r="U12" s="11">
        <v>478</v>
      </c>
      <c r="V12" s="11">
        <v>481</v>
      </c>
      <c r="W12" s="11">
        <v>487</v>
      </c>
      <c r="X12" s="11">
        <v>494</v>
      </c>
      <c r="Y12" s="11">
        <v>503</v>
      </c>
      <c r="Z12" s="11">
        <v>512</v>
      </c>
      <c r="AA12" s="11">
        <v>524</v>
      </c>
      <c r="AB12" s="11">
        <v>540</v>
      </c>
      <c r="AC12" s="11">
        <v>558</v>
      </c>
      <c r="AD12" s="11">
        <v>579</v>
      </c>
      <c r="AE12" s="11">
        <v>604</v>
      </c>
      <c r="AF12" s="11">
        <v>631</v>
      </c>
      <c r="AG12" s="11">
        <v>659</v>
      </c>
      <c r="AH12" s="11">
        <v>690</v>
      </c>
      <c r="AI12" s="11">
        <v>720</v>
      </c>
      <c r="AJ12" s="11">
        <v>754</v>
      </c>
      <c r="AK12" s="11">
        <v>788</v>
      </c>
      <c r="AL12" s="11">
        <v>825</v>
      </c>
      <c r="AM12" s="11">
        <v>861</v>
      </c>
      <c r="AN12" s="11">
        <v>901</v>
      </c>
      <c r="AO12" s="11">
        <v>941</v>
      </c>
      <c r="AP12" s="11">
        <v>984</v>
      </c>
      <c r="AQ12" s="11">
        <v>1005</v>
      </c>
      <c r="AR12" s="11">
        <v>1048</v>
      </c>
      <c r="AS12" s="11">
        <v>1085</v>
      </c>
      <c r="AT12" s="11">
        <v>1110</v>
      </c>
      <c r="AU12" s="11">
        <v>1140</v>
      </c>
      <c r="AV12" s="11">
        <v>1159</v>
      </c>
      <c r="AW12" s="21"/>
      <c r="AX12" s="21"/>
      <c r="AY12" s="264">
        <v>375</v>
      </c>
      <c r="AZ12" s="264">
        <v>375</v>
      </c>
      <c r="BA12" s="7">
        <v>375</v>
      </c>
      <c r="BB12" s="7">
        <v>375</v>
      </c>
      <c r="BC12" s="7">
        <v>375</v>
      </c>
      <c r="BD12" s="7">
        <v>375</v>
      </c>
      <c r="BE12" s="7">
        <v>375</v>
      </c>
      <c r="BF12" s="21"/>
      <c r="BG12" s="21"/>
      <c r="BH12" s="21"/>
      <c r="BI12" s="21">
        <v>24476</v>
      </c>
    </row>
    <row r="13" spans="1:61" s="7" customFormat="1" x14ac:dyDescent="0.25">
      <c r="A13" s="7" t="s">
        <v>139</v>
      </c>
      <c r="B13" s="7">
        <v>370</v>
      </c>
      <c r="C13" s="11">
        <v>363</v>
      </c>
      <c r="D13" s="11">
        <v>375</v>
      </c>
      <c r="E13" s="11">
        <v>386</v>
      </c>
      <c r="F13" s="11">
        <v>386</v>
      </c>
      <c r="G13" s="11">
        <v>386</v>
      </c>
      <c r="H13" s="11">
        <v>386</v>
      </c>
      <c r="I13" s="11">
        <v>388</v>
      </c>
      <c r="J13" s="11">
        <v>395</v>
      </c>
      <c r="K13" s="11">
        <v>405</v>
      </c>
      <c r="L13" s="11">
        <v>420</v>
      </c>
      <c r="M13" s="11">
        <v>432</v>
      </c>
      <c r="N13" s="11">
        <v>438</v>
      </c>
      <c r="O13" s="11">
        <v>448</v>
      </c>
      <c r="P13" s="11">
        <v>457</v>
      </c>
      <c r="Q13" s="11">
        <v>463</v>
      </c>
      <c r="R13" s="11">
        <v>469</v>
      </c>
      <c r="S13" s="11">
        <v>472</v>
      </c>
      <c r="T13" s="11">
        <v>475</v>
      </c>
      <c r="U13" s="11">
        <v>478</v>
      </c>
      <c r="V13" s="11">
        <v>481</v>
      </c>
      <c r="W13" s="11">
        <v>487</v>
      </c>
      <c r="X13" s="11">
        <v>494</v>
      </c>
      <c r="Y13" s="11">
        <v>503</v>
      </c>
      <c r="Z13" s="11">
        <v>512</v>
      </c>
      <c r="AA13" s="11">
        <v>524</v>
      </c>
      <c r="AB13" s="11">
        <v>540</v>
      </c>
      <c r="AC13" s="11">
        <v>558</v>
      </c>
      <c r="AD13" s="11">
        <v>579</v>
      </c>
      <c r="AE13" s="11">
        <v>604</v>
      </c>
      <c r="AF13" s="11">
        <v>631</v>
      </c>
      <c r="AG13" s="11">
        <v>659</v>
      </c>
      <c r="AH13" s="11">
        <v>690</v>
      </c>
      <c r="AI13" s="11">
        <v>720</v>
      </c>
      <c r="AJ13" s="11">
        <v>754</v>
      </c>
      <c r="AK13" s="11">
        <v>788</v>
      </c>
      <c r="AL13" s="11">
        <v>825</v>
      </c>
      <c r="AM13" s="11">
        <v>861</v>
      </c>
      <c r="AN13" s="11">
        <v>901</v>
      </c>
      <c r="AO13" s="11">
        <v>941</v>
      </c>
      <c r="AP13" s="11">
        <v>984</v>
      </c>
      <c r="AQ13" s="11">
        <v>1005</v>
      </c>
      <c r="AR13" s="11">
        <v>1048</v>
      </c>
      <c r="AS13" s="11">
        <v>1085</v>
      </c>
      <c r="AT13" s="11">
        <v>1110</v>
      </c>
      <c r="AU13" s="11">
        <v>1140</v>
      </c>
      <c r="AV13" s="11">
        <v>1159</v>
      </c>
      <c r="AW13" s="21"/>
      <c r="AX13" s="21"/>
      <c r="AY13" s="264">
        <v>375</v>
      </c>
      <c r="AZ13" s="264">
        <v>375</v>
      </c>
      <c r="BA13" s="7">
        <v>375</v>
      </c>
      <c r="BB13" s="7">
        <v>375</v>
      </c>
      <c r="BC13" s="7">
        <v>375</v>
      </c>
      <c r="BD13" s="7">
        <v>375</v>
      </c>
      <c r="BE13" s="7">
        <v>375</v>
      </c>
      <c r="BF13" s="21"/>
      <c r="BG13" s="21"/>
      <c r="BH13" s="21"/>
      <c r="BI13" s="21">
        <v>24412</v>
      </c>
    </row>
    <row r="14" spans="1:61" s="7" customFormat="1" x14ac:dyDescent="0.25">
      <c r="A14" s="7" t="s">
        <v>141</v>
      </c>
      <c r="B14" s="7">
        <v>347</v>
      </c>
      <c r="C14" s="11">
        <v>339</v>
      </c>
      <c r="D14" s="11">
        <v>350</v>
      </c>
      <c r="E14" s="11">
        <v>361</v>
      </c>
      <c r="F14" s="11">
        <v>361</v>
      </c>
      <c r="G14" s="11">
        <v>361</v>
      </c>
      <c r="H14" s="11">
        <v>361</v>
      </c>
      <c r="I14" s="11">
        <v>362</v>
      </c>
      <c r="J14" s="11">
        <v>369</v>
      </c>
      <c r="K14" s="11">
        <v>378</v>
      </c>
      <c r="L14" s="11">
        <v>392</v>
      </c>
      <c r="M14" s="11">
        <v>403</v>
      </c>
      <c r="N14" s="11">
        <v>409</v>
      </c>
      <c r="O14" s="11">
        <v>418</v>
      </c>
      <c r="P14" s="11">
        <v>427</v>
      </c>
      <c r="Q14" s="11">
        <v>432</v>
      </c>
      <c r="R14" s="11">
        <v>438</v>
      </c>
      <c r="S14" s="11">
        <v>441</v>
      </c>
      <c r="T14" s="11">
        <v>443</v>
      </c>
      <c r="U14" s="11">
        <v>446</v>
      </c>
      <c r="V14" s="11">
        <v>449</v>
      </c>
      <c r="W14" s="11">
        <v>455</v>
      </c>
      <c r="X14" s="11">
        <v>461</v>
      </c>
      <c r="Y14" s="11">
        <v>469</v>
      </c>
      <c r="Z14" s="11">
        <v>478</v>
      </c>
      <c r="AA14" s="11">
        <v>489</v>
      </c>
      <c r="AB14" s="11">
        <v>504</v>
      </c>
      <c r="AC14" s="11">
        <v>521</v>
      </c>
      <c r="AD14" s="11">
        <v>541</v>
      </c>
      <c r="AE14" s="11">
        <v>564</v>
      </c>
      <c r="AF14" s="11">
        <v>589</v>
      </c>
      <c r="AG14" s="11">
        <v>615</v>
      </c>
      <c r="AH14" s="11">
        <v>644</v>
      </c>
      <c r="AI14" s="11">
        <v>672</v>
      </c>
      <c r="AJ14" s="11">
        <v>704</v>
      </c>
      <c r="AK14" s="11">
        <v>736</v>
      </c>
      <c r="AL14" s="11">
        <v>770</v>
      </c>
      <c r="AM14" s="11">
        <v>804</v>
      </c>
      <c r="AN14" s="11">
        <v>841</v>
      </c>
      <c r="AO14" s="11">
        <v>879</v>
      </c>
      <c r="AP14" s="11">
        <v>919</v>
      </c>
      <c r="AQ14" s="11">
        <v>939</v>
      </c>
      <c r="AR14" s="11">
        <v>979</v>
      </c>
      <c r="AS14" s="11">
        <v>1013</v>
      </c>
      <c r="AT14" s="11">
        <v>1036</v>
      </c>
      <c r="AU14" s="11">
        <v>1064</v>
      </c>
      <c r="AV14" s="11">
        <v>1082</v>
      </c>
      <c r="AW14" s="21"/>
      <c r="AX14" s="21"/>
      <c r="AY14" s="264">
        <v>350</v>
      </c>
      <c r="AZ14" s="264">
        <v>350</v>
      </c>
      <c r="BA14" s="7">
        <v>350</v>
      </c>
      <c r="BB14" s="7">
        <v>350</v>
      </c>
      <c r="BC14" s="7">
        <v>350</v>
      </c>
      <c r="BD14" s="7">
        <v>350</v>
      </c>
      <c r="BE14" s="7">
        <v>350</v>
      </c>
      <c r="BF14" s="21"/>
      <c r="BG14" s="21"/>
      <c r="BH14" s="21"/>
      <c r="BI14" s="21">
        <v>24523</v>
      </c>
    </row>
    <row r="15" spans="1:61" s="7" customFormat="1" x14ac:dyDescent="0.25">
      <c r="A15" s="7" t="s">
        <v>144</v>
      </c>
      <c r="B15" s="7">
        <v>371</v>
      </c>
      <c r="C15" s="7">
        <v>363</v>
      </c>
      <c r="D15" s="7">
        <v>375</v>
      </c>
      <c r="E15" s="7">
        <v>386</v>
      </c>
      <c r="F15" s="7">
        <v>386</v>
      </c>
      <c r="G15" s="7">
        <v>386</v>
      </c>
      <c r="H15" s="7">
        <v>386</v>
      </c>
      <c r="I15" s="7">
        <v>388</v>
      </c>
      <c r="J15" s="7">
        <v>395</v>
      </c>
      <c r="K15" s="7">
        <v>405</v>
      </c>
      <c r="L15" s="7">
        <v>420</v>
      </c>
      <c r="M15" s="7">
        <v>432</v>
      </c>
      <c r="N15" s="7">
        <v>438</v>
      </c>
      <c r="O15" s="7">
        <v>448</v>
      </c>
      <c r="P15" s="7">
        <v>457</v>
      </c>
      <c r="Q15" s="7">
        <v>463</v>
      </c>
      <c r="R15" s="7">
        <v>469</v>
      </c>
      <c r="S15" s="7">
        <v>472</v>
      </c>
      <c r="T15" s="7">
        <v>475</v>
      </c>
      <c r="U15" s="7">
        <v>478</v>
      </c>
      <c r="V15" s="7">
        <v>481</v>
      </c>
      <c r="W15" s="7">
        <v>487</v>
      </c>
      <c r="X15" s="7">
        <v>494</v>
      </c>
      <c r="Y15" s="7">
        <v>503</v>
      </c>
      <c r="Z15" s="7">
        <v>512</v>
      </c>
      <c r="AA15" s="7">
        <v>524</v>
      </c>
      <c r="AB15" s="7">
        <v>540</v>
      </c>
      <c r="AC15" s="7">
        <v>558</v>
      </c>
      <c r="AD15" s="7">
        <v>579</v>
      </c>
      <c r="AE15" s="7">
        <v>603</v>
      </c>
      <c r="AF15" s="7">
        <v>631</v>
      </c>
      <c r="AG15" s="7">
        <v>659</v>
      </c>
      <c r="AH15" s="7">
        <v>690</v>
      </c>
      <c r="AI15" s="7">
        <v>720</v>
      </c>
      <c r="AJ15" s="7">
        <v>754</v>
      </c>
      <c r="AK15" s="7">
        <v>788</v>
      </c>
      <c r="AL15" s="7">
        <v>825</v>
      </c>
      <c r="AM15" s="7">
        <v>861</v>
      </c>
      <c r="AN15" s="7">
        <v>901</v>
      </c>
      <c r="AO15" s="7">
        <v>941</v>
      </c>
      <c r="AP15" s="7">
        <v>984</v>
      </c>
      <c r="AQ15" s="7">
        <v>1005</v>
      </c>
      <c r="AR15" s="7">
        <v>1048</v>
      </c>
      <c r="AS15" s="7">
        <v>1085</v>
      </c>
      <c r="AT15" s="7">
        <v>1110</v>
      </c>
      <c r="AU15" s="7">
        <v>1140</v>
      </c>
      <c r="AV15" s="7">
        <v>1159</v>
      </c>
      <c r="AW15" s="21"/>
      <c r="AX15" s="21"/>
      <c r="AY15" s="7">
        <v>375</v>
      </c>
      <c r="AZ15" s="290">
        <v>375</v>
      </c>
      <c r="BA15" s="7">
        <v>375</v>
      </c>
      <c r="BB15" s="7">
        <v>375</v>
      </c>
      <c r="BC15" s="7">
        <v>375</v>
      </c>
      <c r="BD15" s="7">
        <v>375</v>
      </c>
      <c r="BE15" s="7">
        <v>375</v>
      </c>
      <c r="BF15" s="21"/>
      <c r="BG15" s="21"/>
      <c r="BH15" s="21"/>
      <c r="BI15" s="21">
        <v>24315</v>
      </c>
    </row>
    <row r="16" spans="1:61" s="7" customFormat="1" x14ac:dyDescent="0.25">
      <c r="A16" s="7" t="s">
        <v>145</v>
      </c>
      <c r="B16" s="7">
        <v>370</v>
      </c>
      <c r="C16" s="11">
        <v>363</v>
      </c>
      <c r="D16" s="11">
        <v>375</v>
      </c>
      <c r="E16" s="11">
        <v>386</v>
      </c>
      <c r="F16" s="11">
        <v>386</v>
      </c>
      <c r="G16" s="11">
        <v>386</v>
      </c>
      <c r="H16" s="11">
        <v>386</v>
      </c>
      <c r="I16" s="11">
        <v>388</v>
      </c>
      <c r="J16" s="11">
        <v>395</v>
      </c>
      <c r="K16" s="11">
        <v>405</v>
      </c>
      <c r="L16" s="11">
        <v>420</v>
      </c>
      <c r="M16" s="11">
        <v>432</v>
      </c>
      <c r="N16" s="11">
        <v>438</v>
      </c>
      <c r="O16" s="11">
        <v>448</v>
      </c>
      <c r="P16" s="11">
        <v>457</v>
      </c>
      <c r="Q16" s="11">
        <v>463</v>
      </c>
      <c r="R16" s="11">
        <v>469</v>
      </c>
      <c r="S16" s="11">
        <v>472</v>
      </c>
      <c r="T16" s="11">
        <v>475</v>
      </c>
      <c r="U16" s="11">
        <v>478</v>
      </c>
      <c r="V16" s="11">
        <v>481</v>
      </c>
      <c r="W16" s="11">
        <v>487</v>
      </c>
      <c r="X16" s="11">
        <v>494</v>
      </c>
      <c r="Y16" s="11">
        <v>503</v>
      </c>
      <c r="Z16" s="11">
        <v>512</v>
      </c>
      <c r="AA16" s="11">
        <v>524</v>
      </c>
      <c r="AB16" s="11">
        <v>540</v>
      </c>
      <c r="AC16" s="11">
        <v>558</v>
      </c>
      <c r="AD16" s="11">
        <v>579</v>
      </c>
      <c r="AE16" s="11">
        <v>604</v>
      </c>
      <c r="AF16" s="11">
        <v>631</v>
      </c>
      <c r="AG16" s="11">
        <v>659</v>
      </c>
      <c r="AH16" s="11">
        <v>690</v>
      </c>
      <c r="AI16" s="11">
        <v>720</v>
      </c>
      <c r="AJ16" s="11">
        <v>754</v>
      </c>
      <c r="AK16" s="11">
        <v>788</v>
      </c>
      <c r="AL16" s="11">
        <v>825</v>
      </c>
      <c r="AM16" s="11">
        <v>861</v>
      </c>
      <c r="AN16" s="11">
        <v>901</v>
      </c>
      <c r="AO16" s="11">
        <v>941</v>
      </c>
      <c r="AP16" s="11">
        <v>984</v>
      </c>
      <c r="AQ16" s="11">
        <v>1005</v>
      </c>
      <c r="AR16" s="11">
        <v>1048</v>
      </c>
      <c r="AS16" s="11">
        <v>1085</v>
      </c>
      <c r="AT16" s="11">
        <v>1110</v>
      </c>
      <c r="AU16" s="11">
        <v>1140</v>
      </c>
      <c r="AV16" s="11">
        <v>1159</v>
      </c>
      <c r="AY16" s="264">
        <v>375</v>
      </c>
      <c r="AZ16" s="264">
        <v>375</v>
      </c>
      <c r="BA16" s="7">
        <v>375</v>
      </c>
      <c r="BB16" s="7">
        <v>375</v>
      </c>
      <c r="BC16" s="7">
        <v>375</v>
      </c>
      <c r="BD16" s="7">
        <v>375</v>
      </c>
      <c r="BE16" s="7">
        <v>375</v>
      </c>
      <c r="BI16" s="21">
        <v>24438</v>
      </c>
    </row>
    <row r="17" spans="1:61" s="7" customFormat="1" x14ac:dyDescent="0.25">
      <c r="A17" s="7" t="s">
        <v>146</v>
      </c>
      <c r="B17" s="7">
        <v>366</v>
      </c>
      <c r="C17" s="7">
        <v>358</v>
      </c>
      <c r="D17" s="7">
        <v>370</v>
      </c>
      <c r="E17" s="11">
        <v>381</v>
      </c>
      <c r="F17" s="11">
        <v>381</v>
      </c>
      <c r="G17" s="11">
        <v>381</v>
      </c>
      <c r="H17" s="11">
        <v>381</v>
      </c>
      <c r="I17" s="11">
        <v>382</v>
      </c>
      <c r="J17" s="11">
        <v>390</v>
      </c>
      <c r="K17" s="11">
        <v>399</v>
      </c>
      <c r="L17" s="11">
        <v>414</v>
      </c>
      <c r="M17" s="11">
        <v>426</v>
      </c>
      <c r="N17" s="11">
        <v>432</v>
      </c>
      <c r="O17" s="11">
        <v>441</v>
      </c>
      <c r="P17" s="11">
        <v>451</v>
      </c>
      <c r="Q17" s="11">
        <v>456</v>
      </c>
      <c r="R17" s="11">
        <v>462</v>
      </c>
      <c r="S17" s="11">
        <v>465</v>
      </c>
      <c r="T17" s="11">
        <v>469</v>
      </c>
      <c r="U17" s="11">
        <v>472</v>
      </c>
      <c r="V17" s="390">
        <v>475</v>
      </c>
      <c r="W17" s="11">
        <v>481</v>
      </c>
      <c r="X17" s="11">
        <v>487</v>
      </c>
      <c r="Y17" s="11">
        <v>496</v>
      </c>
      <c r="Z17" s="11">
        <v>505</v>
      </c>
      <c r="AA17" s="11">
        <v>517</v>
      </c>
      <c r="AB17" s="11">
        <v>532</v>
      </c>
      <c r="AC17" s="11">
        <v>550</v>
      </c>
      <c r="AD17" s="11">
        <v>571</v>
      </c>
      <c r="AE17" s="11">
        <v>595</v>
      </c>
      <c r="AF17" s="11">
        <v>623</v>
      </c>
      <c r="AG17" s="11">
        <v>650</v>
      </c>
      <c r="AH17" s="11">
        <v>680</v>
      </c>
      <c r="AI17" s="11">
        <v>710</v>
      </c>
      <c r="AJ17" s="11">
        <v>744</v>
      </c>
      <c r="AK17" s="11">
        <v>777</v>
      </c>
      <c r="AL17" s="11">
        <v>813</v>
      </c>
      <c r="AM17" s="11">
        <v>849</v>
      </c>
      <c r="AN17" s="11">
        <v>889</v>
      </c>
      <c r="AO17" s="11">
        <v>928</v>
      </c>
      <c r="AP17" s="11">
        <v>971</v>
      </c>
      <c r="AQ17" s="11">
        <v>992</v>
      </c>
      <c r="AR17" s="11">
        <v>1034</v>
      </c>
      <c r="AS17" s="11">
        <v>1070</v>
      </c>
      <c r="AT17" s="11">
        <v>1094</v>
      </c>
      <c r="AU17" s="11">
        <v>1124</v>
      </c>
      <c r="AV17" s="11">
        <v>1143</v>
      </c>
      <c r="AY17" s="264">
        <v>676</v>
      </c>
      <c r="AZ17" s="264">
        <v>985</v>
      </c>
      <c r="BA17" s="7">
        <v>1295</v>
      </c>
      <c r="BB17" s="7">
        <v>1295</v>
      </c>
      <c r="BC17" s="7">
        <v>1295</v>
      </c>
      <c r="BD17" s="7">
        <v>1295</v>
      </c>
      <c r="BE17" s="7">
        <v>1295</v>
      </c>
      <c r="BI17" s="21">
        <v>24201</v>
      </c>
    </row>
    <row r="18" spans="1:61" s="7" customFormat="1" x14ac:dyDescent="0.25">
      <c r="A18" s="7" t="s">
        <v>148</v>
      </c>
      <c r="B18" s="7">
        <v>370</v>
      </c>
      <c r="C18" s="390">
        <v>363</v>
      </c>
      <c r="D18" s="390">
        <v>375</v>
      </c>
      <c r="E18" s="11">
        <v>386</v>
      </c>
      <c r="F18" s="11">
        <v>386</v>
      </c>
      <c r="G18" s="11">
        <v>386</v>
      </c>
      <c r="H18" s="11">
        <v>386</v>
      </c>
      <c r="I18" s="11">
        <v>388</v>
      </c>
      <c r="J18" s="11">
        <v>395</v>
      </c>
      <c r="K18" s="11">
        <v>405</v>
      </c>
      <c r="L18" s="11">
        <v>420</v>
      </c>
      <c r="M18" s="11">
        <v>432</v>
      </c>
      <c r="N18" s="11">
        <v>438</v>
      </c>
      <c r="O18" s="11">
        <v>448</v>
      </c>
      <c r="P18" s="11">
        <v>457</v>
      </c>
      <c r="Q18" s="11">
        <v>463</v>
      </c>
      <c r="R18" s="11">
        <v>469</v>
      </c>
      <c r="S18" s="11">
        <v>472</v>
      </c>
      <c r="T18" s="11">
        <v>475</v>
      </c>
      <c r="U18" s="11">
        <v>478</v>
      </c>
      <c r="V18" s="11">
        <v>481</v>
      </c>
      <c r="W18" s="11">
        <v>487</v>
      </c>
      <c r="X18" s="11">
        <v>494</v>
      </c>
      <c r="Y18" s="11">
        <v>503</v>
      </c>
      <c r="Z18" s="11">
        <v>512</v>
      </c>
      <c r="AA18" s="11">
        <v>524</v>
      </c>
      <c r="AB18" s="11">
        <v>540</v>
      </c>
      <c r="AC18" s="11">
        <v>558</v>
      </c>
      <c r="AD18" s="11">
        <v>579</v>
      </c>
      <c r="AE18" s="11">
        <v>604</v>
      </c>
      <c r="AF18" s="11">
        <v>631</v>
      </c>
      <c r="AG18" s="11">
        <v>659</v>
      </c>
      <c r="AH18" s="11">
        <v>690</v>
      </c>
      <c r="AI18" s="11">
        <v>720</v>
      </c>
      <c r="AJ18" s="11">
        <v>754</v>
      </c>
      <c r="AK18" s="11">
        <v>788</v>
      </c>
      <c r="AL18" s="11">
        <v>825</v>
      </c>
      <c r="AM18" s="11">
        <v>861</v>
      </c>
      <c r="AN18" s="11">
        <v>901</v>
      </c>
      <c r="AO18" s="11">
        <v>941</v>
      </c>
      <c r="AP18" s="11">
        <v>984</v>
      </c>
      <c r="AQ18" s="11">
        <v>1005</v>
      </c>
      <c r="AR18" s="11">
        <v>1048</v>
      </c>
      <c r="AS18" s="11">
        <v>1085</v>
      </c>
      <c r="AT18" s="11">
        <v>1110</v>
      </c>
      <c r="AU18" s="11">
        <v>1140</v>
      </c>
      <c r="AV18" s="11">
        <v>1159</v>
      </c>
      <c r="AY18" s="264">
        <v>375</v>
      </c>
      <c r="AZ18" s="264">
        <v>375</v>
      </c>
      <c r="BA18" s="7">
        <v>375</v>
      </c>
      <c r="BB18" s="7">
        <v>375</v>
      </c>
      <c r="BC18" s="7">
        <v>375</v>
      </c>
      <c r="BD18" s="7">
        <v>375</v>
      </c>
      <c r="BE18" s="7">
        <v>375</v>
      </c>
      <c r="BI18" s="21">
        <v>23868</v>
      </c>
    </row>
    <row r="19" spans="1:61" s="7" customFormat="1" x14ac:dyDescent="0.25">
      <c r="A19" s="7" t="s">
        <v>150</v>
      </c>
      <c r="B19" s="7">
        <v>370</v>
      </c>
      <c r="C19" s="390">
        <v>363</v>
      </c>
      <c r="D19" s="390">
        <v>375</v>
      </c>
      <c r="E19" s="11">
        <v>386</v>
      </c>
      <c r="F19" s="11">
        <v>386</v>
      </c>
      <c r="G19" s="11">
        <v>386</v>
      </c>
      <c r="H19" s="11">
        <v>386</v>
      </c>
      <c r="I19" s="11">
        <v>388</v>
      </c>
      <c r="J19" s="11">
        <v>395</v>
      </c>
      <c r="K19" s="11">
        <v>405</v>
      </c>
      <c r="L19" s="11">
        <v>420</v>
      </c>
      <c r="M19" s="11">
        <v>432</v>
      </c>
      <c r="N19" s="11">
        <v>438</v>
      </c>
      <c r="O19" s="11">
        <v>448</v>
      </c>
      <c r="P19" s="11">
        <v>457</v>
      </c>
      <c r="Q19" s="11">
        <v>463</v>
      </c>
      <c r="R19" s="11">
        <v>469</v>
      </c>
      <c r="S19" s="11">
        <v>472</v>
      </c>
      <c r="T19" s="11">
        <v>475</v>
      </c>
      <c r="U19" s="11">
        <v>478</v>
      </c>
      <c r="V19" s="11">
        <v>481</v>
      </c>
      <c r="W19" s="11">
        <v>487</v>
      </c>
      <c r="X19" s="11">
        <v>494</v>
      </c>
      <c r="Y19" s="11">
        <v>503</v>
      </c>
      <c r="Z19" s="11">
        <v>512</v>
      </c>
      <c r="AA19" s="11">
        <v>524</v>
      </c>
      <c r="AB19" s="11">
        <v>540</v>
      </c>
      <c r="AC19" s="11">
        <v>558</v>
      </c>
      <c r="AD19" s="11">
        <v>579</v>
      </c>
      <c r="AE19" s="11">
        <v>604</v>
      </c>
      <c r="AF19" s="11">
        <v>631</v>
      </c>
      <c r="AG19" s="11">
        <v>659</v>
      </c>
      <c r="AH19" s="11">
        <v>690</v>
      </c>
      <c r="AI19" s="11">
        <v>720</v>
      </c>
      <c r="AJ19" s="11">
        <v>754</v>
      </c>
      <c r="AK19" s="11">
        <v>788</v>
      </c>
      <c r="AL19" s="11">
        <v>825</v>
      </c>
      <c r="AM19" s="11">
        <v>861</v>
      </c>
      <c r="AN19" s="11">
        <v>901</v>
      </c>
      <c r="AO19" s="11">
        <v>941</v>
      </c>
      <c r="AP19" s="11">
        <v>984</v>
      </c>
      <c r="AQ19" s="11">
        <v>1005</v>
      </c>
      <c r="AR19" s="11">
        <v>1048</v>
      </c>
      <c r="AS19" s="11">
        <v>1085</v>
      </c>
      <c r="AT19" s="11">
        <v>1110</v>
      </c>
      <c r="AU19" s="11">
        <v>1140</v>
      </c>
      <c r="AV19" s="11">
        <v>1159</v>
      </c>
      <c r="AY19" s="264">
        <v>375</v>
      </c>
      <c r="AZ19" s="264">
        <v>375</v>
      </c>
      <c r="BA19" s="7">
        <v>375</v>
      </c>
      <c r="BB19" s="7">
        <v>375</v>
      </c>
      <c r="BC19" s="7">
        <v>375</v>
      </c>
      <c r="BD19" s="7">
        <v>375</v>
      </c>
      <c r="BE19" s="7">
        <v>375</v>
      </c>
      <c r="BI19" s="21">
        <v>24066</v>
      </c>
    </row>
    <row r="20" spans="1:61" s="7" customFormat="1" x14ac:dyDescent="0.25">
      <c r="A20" s="7" t="s">
        <v>152</v>
      </c>
      <c r="B20" s="7">
        <v>370</v>
      </c>
      <c r="C20" s="390">
        <v>363</v>
      </c>
      <c r="D20" s="390">
        <v>375</v>
      </c>
      <c r="E20" s="11">
        <v>386</v>
      </c>
      <c r="F20" s="11">
        <v>386</v>
      </c>
      <c r="G20" s="11">
        <v>386</v>
      </c>
      <c r="H20" s="11">
        <v>386</v>
      </c>
      <c r="I20" s="11">
        <v>388</v>
      </c>
      <c r="J20" s="11">
        <v>395</v>
      </c>
      <c r="K20" s="11">
        <v>405</v>
      </c>
      <c r="L20" s="11">
        <v>420</v>
      </c>
      <c r="M20" s="11">
        <v>432</v>
      </c>
      <c r="N20" s="11">
        <v>438</v>
      </c>
      <c r="O20" s="11">
        <v>448</v>
      </c>
      <c r="P20" s="11">
        <v>457</v>
      </c>
      <c r="Q20" s="11">
        <v>463</v>
      </c>
      <c r="R20" s="11">
        <v>469</v>
      </c>
      <c r="S20" s="11">
        <v>472</v>
      </c>
      <c r="T20" s="11">
        <v>475</v>
      </c>
      <c r="U20" s="11">
        <v>478</v>
      </c>
      <c r="V20" s="11">
        <v>481</v>
      </c>
      <c r="W20" s="11">
        <v>487</v>
      </c>
      <c r="X20" s="11">
        <v>494</v>
      </c>
      <c r="Y20" s="11">
        <v>503</v>
      </c>
      <c r="Z20" s="11">
        <v>512</v>
      </c>
      <c r="AA20" s="11">
        <v>524</v>
      </c>
      <c r="AB20" s="11">
        <v>540</v>
      </c>
      <c r="AC20" s="11">
        <v>558</v>
      </c>
      <c r="AD20" s="11">
        <v>579</v>
      </c>
      <c r="AE20" s="11">
        <v>604</v>
      </c>
      <c r="AF20" s="11">
        <v>631</v>
      </c>
      <c r="AG20" s="11">
        <v>659</v>
      </c>
      <c r="AH20" s="11">
        <v>690</v>
      </c>
      <c r="AI20" s="11">
        <v>720</v>
      </c>
      <c r="AJ20" s="11">
        <v>754</v>
      </c>
      <c r="AK20" s="11">
        <v>788</v>
      </c>
      <c r="AL20" s="11">
        <v>825</v>
      </c>
      <c r="AM20" s="11">
        <v>861</v>
      </c>
      <c r="AN20" s="11">
        <v>901</v>
      </c>
      <c r="AO20" s="11">
        <v>941</v>
      </c>
      <c r="AP20" s="11">
        <v>984</v>
      </c>
      <c r="AQ20" s="11">
        <v>1005</v>
      </c>
      <c r="AR20" s="11">
        <v>1048</v>
      </c>
      <c r="AS20" s="11">
        <v>1085</v>
      </c>
      <c r="AT20" s="11">
        <v>1110</v>
      </c>
      <c r="AU20" s="11">
        <v>1140</v>
      </c>
      <c r="AV20" s="11">
        <v>1159</v>
      </c>
      <c r="AY20" s="264">
        <v>375</v>
      </c>
      <c r="AZ20" s="264">
        <v>375</v>
      </c>
      <c r="BA20" s="7">
        <v>375</v>
      </c>
      <c r="BB20" s="7">
        <v>375</v>
      </c>
      <c r="BC20" s="7">
        <v>375</v>
      </c>
      <c r="BD20" s="7">
        <v>375</v>
      </c>
      <c r="BE20" s="7">
        <v>375</v>
      </c>
      <c r="BI20" s="21">
        <v>23921</v>
      </c>
    </row>
    <row r="21" spans="1:61" s="7" customFormat="1" x14ac:dyDescent="0.25">
      <c r="A21" s="7" t="s">
        <v>155</v>
      </c>
      <c r="B21" s="7">
        <v>370</v>
      </c>
      <c r="C21" s="390">
        <v>363</v>
      </c>
      <c r="D21" s="390">
        <v>375</v>
      </c>
      <c r="E21" s="11">
        <v>386</v>
      </c>
      <c r="F21" s="11">
        <v>386</v>
      </c>
      <c r="G21" s="11">
        <v>386</v>
      </c>
      <c r="H21" s="11">
        <v>386</v>
      </c>
      <c r="I21" s="11">
        <v>388</v>
      </c>
      <c r="J21" s="11">
        <v>395</v>
      </c>
      <c r="K21" s="11">
        <v>405</v>
      </c>
      <c r="L21" s="11">
        <v>420</v>
      </c>
      <c r="M21" s="11">
        <v>432</v>
      </c>
      <c r="N21" s="11">
        <v>438</v>
      </c>
      <c r="O21" s="11">
        <v>448</v>
      </c>
      <c r="P21" s="11">
        <v>457</v>
      </c>
      <c r="Q21" s="11">
        <v>463</v>
      </c>
      <c r="R21" s="11">
        <v>469</v>
      </c>
      <c r="S21" s="11">
        <v>472</v>
      </c>
      <c r="T21" s="11">
        <v>475</v>
      </c>
      <c r="U21" s="11">
        <v>478</v>
      </c>
      <c r="V21" s="11">
        <v>481</v>
      </c>
      <c r="W21" s="11">
        <v>487</v>
      </c>
      <c r="X21" s="11">
        <v>494</v>
      </c>
      <c r="Y21" s="11">
        <v>503</v>
      </c>
      <c r="Z21" s="11">
        <v>512</v>
      </c>
      <c r="AA21" s="11">
        <v>524</v>
      </c>
      <c r="AB21" s="11">
        <v>540</v>
      </c>
      <c r="AC21" s="11">
        <v>558</v>
      </c>
      <c r="AD21" s="11">
        <v>579</v>
      </c>
      <c r="AE21" s="11">
        <v>604</v>
      </c>
      <c r="AF21" s="11">
        <v>631</v>
      </c>
      <c r="AG21" s="11">
        <v>659</v>
      </c>
      <c r="AH21" s="11">
        <v>690</v>
      </c>
      <c r="AI21" s="11">
        <v>720</v>
      </c>
      <c r="AJ21" s="11">
        <v>754</v>
      </c>
      <c r="AK21" s="11">
        <v>788</v>
      </c>
      <c r="AL21" s="11">
        <v>825</v>
      </c>
      <c r="AM21" s="11">
        <v>861</v>
      </c>
      <c r="AN21" s="11">
        <v>901</v>
      </c>
      <c r="AO21" s="11">
        <v>941</v>
      </c>
      <c r="AP21" s="11">
        <v>984</v>
      </c>
      <c r="AQ21" s="11">
        <v>1005</v>
      </c>
      <c r="AR21" s="11">
        <v>1048</v>
      </c>
      <c r="AS21" s="11">
        <v>1085</v>
      </c>
      <c r="AT21" s="11">
        <v>1110</v>
      </c>
      <c r="AU21" s="11">
        <v>1140</v>
      </c>
      <c r="AV21" s="11">
        <v>1159</v>
      </c>
      <c r="AY21" s="264">
        <v>375</v>
      </c>
      <c r="AZ21" s="264">
        <v>375</v>
      </c>
      <c r="BA21" s="7">
        <v>375</v>
      </c>
      <c r="BB21" s="7">
        <v>375</v>
      </c>
      <c r="BC21" s="7">
        <v>375</v>
      </c>
      <c r="BD21" s="7">
        <v>375</v>
      </c>
      <c r="BE21" s="7">
        <v>375</v>
      </c>
      <c r="BI21" s="21">
        <v>24416</v>
      </c>
    </row>
    <row r="22" spans="1:61" s="7" customFormat="1" x14ac:dyDescent="0.25">
      <c r="A22" s="7" t="s">
        <v>156</v>
      </c>
      <c r="B22" s="7">
        <v>346</v>
      </c>
      <c r="C22" s="11">
        <v>339</v>
      </c>
      <c r="D22" s="11">
        <v>350</v>
      </c>
      <c r="E22" s="11">
        <v>361</v>
      </c>
      <c r="F22" s="11">
        <v>361</v>
      </c>
      <c r="G22" s="11">
        <v>361</v>
      </c>
      <c r="H22" s="11">
        <v>361</v>
      </c>
      <c r="I22" s="11">
        <v>362</v>
      </c>
      <c r="J22" s="11">
        <v>369</v>
      </c>
      <c r="K22" s="11">
        <v>378</v>
      </c>
      <c r="L22" s="11">
        <v>392</v>
      </c>
      <c r="M22" s="11">
        <v>403</v>
      </c>
      <c r="N22" s="11">
        <v>409</v>
      </c>
      <c r="O22" s="11">
        <v>418</v>
      </c>
      <c r="P22" s="11">
        <v>427</v>
      </c>
      <c r="Q22" s="11">
        <v>432</v>
      </c>
      <c r="R22" s="11">
        <v>438</v>
      </c>
      <c r="S22" s="11">
        <v>441</v>
      </c>
      <c r="T22" s="11">
        <v>443</v>
      </c>
      <c r="U22" s="11">
        <v>446</v>
      </c>
      <c r="V22" s="11">
        <v>449</v>
      </c>
      <c r="W22" s="11">
        <v>455</v>
      </c>
      <c r="X22" s="11">
        <v>461</v>
      </c>
      <c r="Y22" s="11">
        <v>469</v>
      </c>
      <c r="Z22" s="11">
        <v>478</v>
      </c>
      <c r="AA22" s="11">
        <v>489</v>
      </c>
      <c r="AB22" s="11">
        <v>504</v>
      </c>
      <c r="AC22" s="11">
        <v>521</v>
      </c>
      <c r="AD22" s="11">
        <v>541</v>
      </c>
      <c r="AE22" s="11">
        <v>564</v>
      </c>
      <c r="AF22" s="11">
        <v>589</v>
      </c>
      <c r="AG22" s="11">
        <v>615</v>
      </c>
      <c r="AH22" s="11">
        <v>644</v>
      </c>
      <c r="AI22" s="11">
        <v>672</v>
      </c>
      <c r="AJ22" s="11">
        <v>704</v>
      </c>
      <c r="AK22" s="11">
        <v>736</v>
      </c>
      <c r="AL22" s="11">
        <v>770</v>
      </c>
      <c r="AM22" s="11">
        <v>804</v>
      </c>
      <c r="AN22" s="11">
        <v>841</v>
      </c>
      <c r="AO22" s="11">
        <v>879</v>
      </c>
      <c r="AP22" s="11">
        <v>919</v>
      </c>
      <c r="AQ22" s="11">
        <v>939</v>
      </c>
      <c r="AR22" s="11">
        <v>979</v>
      </c>
      <c r="AS22" s="11">
        <v>1013</v>
      </c>
      <c r="AT22" s="11">
        <v>1036</v>
      </c>
      <c r="AU22" s="11">
        <v>1064</v>
      </c>
      <c r="AV22" s="11">
        <v>1082</v>
      </c>
      <c r="AY22" s="264">
        <v>350</v>
      </c>
      <c r="AZ22" s="264">
        <v>350</v>
      </c>
      <c r="BA22" s="7">
        <v>350</v>
      </c>
      <c r="BB22" s="7">
        <v>350</v>
      </c>
      <c r="BC22" s="7">
        <v>350</v>
      </c>
      <c r="BD22" s="7">
        <v>350</v>
      </c>
      <c r="BE22" s="7">
        <v>350</v>
      </c>
      <c r="BI22" s="21">
        <v>24588</v>
      </c>
    </row>
    <row r="23" spans="1:61" s="7" customFormat="1" x14ac:dyDescent="0.25">
      <c r="A23" s="7" t="s">
        <v>157</v>
      </c>
      <c r="B23" s="7">
        <v>331</v>
      </c>
      <c r="C23" s="390">
        <v>323</v>
      </c>
      <c r="D23" s="390">
        <v>333</v>
      </c>
      <c r="E23" s="390">
        <v>344</v>
      </c>
      <c r="F23" s="390">
        <v>344</v>
      </c>
      <c r="G23" s="390">
        <v>344</v>
      </c>
      <c r="H23" s="390">
        <v>344</v>
      </c>
      <c r="I23" s="390">
        <v>345</v>
      </c>
      <c r="J23" s="390">
        <v>352</v>
      </c>
      <c r="K23" s="390">
        <v>360</v>
      </c>
      <c r="L23" s="390">
        <v>374</v>
      </c>
      <c r="M23" s="390">
        <v>385</v>
      </c>
      <c r="N23" s="390">
        <v>390</v>
      </c>
      <c r="O23" s="390">
        <v>398</v>
      </c>
      <c r="P23" s="390">
        <v>407</v>
      </c>
      <c r="Q23" s="390">
        <v>412</v>
      </c>
      <c r="R23" s="390">
        <v>417</v>
      </c>
      <c r="S23" s="390">
        <v>420</v>
      </c>
      <c r="T23" s="390">
        <v>423</v>
      </c>
      <c r="U23" s="390">
        <v>425</v>
      </c>
      <c r="V23" s="390">
        <v>428</v>
      </c>
      <c r="W23" s="390">
        <v>434</v>
      </c>
      <c r="X23" s="390">
        <v>439</v>
      </c>
      <c r="Y23" s="390">
        <v>447</v>
      </c>
      <c r="Z23" s="390">
        <v>455</v>
      </c>
      <c r="AA23" s="390">
        <v>466</v>
      </c>
      <c r="AB23" s="390">
        <v>480</v>
      </c>
      <c r="AC23" s="390">
        <v>496</v>
      </c>
      <c r="AD23" s="390">
        <v>516</v>
      </c>
      <c r="AE23" s="390">
        <v>537</v>
      </c>
      <c r="AF23" s="390">
        <v>562</v>
      </c>
      <c r="AG23" s="390">
        <v>586</v>
      </c>
      <c r="AH23" s="390">
        <v>614</v>
      </c>
      <c r="AI23" s="390">
        <v>641</v>
      </c>
      <c r="AJ23" s="390">
        <v>671</v>
      </c>
      <c r="AK23" s="390">
        <v>701</v>
      </c>
      <c r="AL23" s="390">
        <v>734</v>
      </c>
      <c r="AM23" s="390">
        <v>766</v>
      </c>
      <c r="AN23" s="390">
        <v>802</v>
      </c>
      <c r="AO23" s="390">
        <v>838</v>
      </c>
      <c r="AP23" s="390">
        <v>876</v>
      </c>
      <c r="AQ23" s="390">
        <v>895</v>
      </c>
      <c r="AR23" s="390">
        <v>933</v>
      </c>
      <c r="AS23" s="390">
        <v>966</v>
      </c>
      <c r="AT23" s="390">
        <v>987</v>
      </c>
      <c r="AU23" s="390">
        <v>1015</v>
      </c>
      <c r="AV23" s="390">
        <v>1031</v>
      </c>
      <c r="AY23" s="264">
        <v>333</v>
      </c>
      <c r="AZ23" s="264">
        <v>333</v>
      </c>
      <c r="BA23" s="7">
        <v>333</v>
      </c>
      <c r="BB23" s="7">
        <v>333</v>
      </c>
      <c r="BC23" s="7">
        <v>333</v>
      </c>
      <c r="BD23" s="7">
        <v>333</v>
      </c>
      <c r="BE23" s="7">
        <v>333</v>
      </c>
      <c r="BI23" s="21">
        <v>22427</v>
      </c>
    </row>
    <row r="24" spans="1:61" s="7" customFormat="1" x14ac:dyDescent="0.25">
      <c r="A24" s="7" t="s">
        <v>158</v>
      </c>
      <c r="B24" s="7">
        <v>371</v>
      </c>
      <c r="C24" s="7">
        <v>363</v>
      </c>
      <c r="D24" s="7">
        <v>375</v>
      </c>
      <c r="E24" s="7">
        <v>386</v>
      </c>
      <c r="F24" s="7">
        <v>386</v>
      </c>
      <c r="G24" s="7">
        <v>386</v>
      </c>
      <c r="H24" s="7">
        <v>386</v>
      </c>
      <c r="I24" s="7">
        <v>388</v>
      </c>
      <c r="J24" s="7">
        <v>395</v>
      </c>
      <c r="K24" s="7">
        <v>405</v>
      </c>
      <c r="L24" s="7">
        <v>420</v>
      </c>
      <c r="M24" s="7">
        <v>432</v>
      </c>
      <c r="N24" s="7">
        <v>438</v>
      </c>
      <c r="O24" s="7">
        <v>448</v>
      </c>
      <c r="P24" s="7">
        <v>457</v>
      </c>
      <c r="Q24" s="7">
        <v>463</v>
      </c>
      <c r="R24" s="7">
        <v>469</v>
      </c>
      <c r="S24" s="7">
        <v>472</v>
      </c>
      <c r="T24" s="7">
        <v>475</v>
      </c>
      <c r="U24" s="7">
        <v>478</v>
      </c>
      <c r="V24" s="7">
        <v>481</v>
      </c>
      <c r="W24" s="7">
        <v>487</v>
      </c>
      <c r="X24" s="7">
        <v>494</v>
      </c>
      <c r="Y24" s="7">
        <v>503</v>
      </c>
      <c r="Z24" s="7">
        <v>512</v>
      </c>
      <c r="AA24" s="7">
        <v>524</v>
      </c>
      <c r="AB24" s="7">
        <v>540</v>
      </c>
      <c r="AC24" s="7">
        <v>558</v>
      </c>
      <c r="AD24" s="7">
        <v>579</v>
      </c>
      <c r="AE24" s="7">
        <v>603</v>
      </c>
      <c r="AF24" s="7">
        <v>631</v>
      </c>
      <c r="AG24" s="7">
        <v>659</v>
      </c>
      <c r="AH24" s="7">
        <v>690</v>
      </c>
      <c r="AI24" s="7">
        <v>720</v>
      </c>
      <c r="AJ24" s="7">
        <v>754</v>
      </c>
      <c r="AK24" s="7">
        <v>788</v>
      </c>
      <c r="AL24" s="7">
        <v>825</v>
      </c>
      <c r="AM24" s="7">
        <v>861</v>
      </c>
      <c r="AN24" s="7">
        <v>901</v>
      </c>
      <c r="AO24" s="7">
        <v>941</v>
      </c>
      <c r="AP24" s="7">
        <v>984</v>
      </c>
      <c r="AQ24" s="7">
        <v>1005</v>
      </c>
      <c r="AR24" s="7">
        <v>1048</v>
      </c>
      <c r="AS24" s="7">
        <v>1085</v>
      </c>
      <c r="AT24" s="7">
        <v>1110</v>
      </c>
      <c r="AU24" s="7">
        <v>1140</v>
      </c>
      <c r="AV24" s="7">
        <v>1159</v>
      </c>
      <c r="AY24" s="7">
        <v>375</v>
      </c>
      <c r="AZ24" s="290">
        <v>375</v>
      </c>
      <c r="BA24" s="7">
        <v>375</v>
      </c>
      <c r="BB24" s="7">
        <v>375</v>
      </c>
      <c r="BC24" s="7">
        <v>375</v>
      </c>
      <c r="BD24" s="7">
        <v>375</v>
      </c>
      <c r="BE24" s="7">
        <v>375</v>
      </c>
      <c r="BI24" s="21">
        <v>24343</v>
      </c>
    </row>
    <row r="25" spans="1:61" s="7" customFormat="1" x14ac:dyDescent="0.25">
      <c r="A25" s="7" t="s">
        <v>159</v>
      </c>
      <c r="B25" s="7">
        <v>331</v>
      </c>
      <c r="C25" s="390">
        <v>323</v>
      </c>
      <c r="D25" s="390">
        <v>333</v>
      </c>
      <c r="E25" s="390">
        <v>344</v>
      </c>
      <c r="F25" s="390">
        <v>344</v>
      </c>
      <c r="G25" s="390">
        <v>344</v>
      </c>
      <c r="H25" s="390">
        <v>344</v>
      </c>
      <c r="I25" s="390">
        <v>345</v>
      </c>
      <c r="J25" s="390">
        <v>352</v>
      </c>
      <c r="K25" s="390">
        <v>360</v>
      </c>
      <c r="L25" s="390">
        <v>374</v>
      </c>
      <c r="M25" s="390">
        <v>385</v>
      </c>
      <c r="N25" s="390">
        <v>390</v>
      </c>
      <c r="O25" s="390">
        <v>398</v>
      </c>
      <c r="P25" s="390">
        <v>407</v>
      </c>
      <c r="Q25" s="390">
        <v>412</v>
      </c>
      <c r="R25" s="390">
        <v>417</v>
      </c>
      <c r="S25" s="390">
        <v>420</v>
      </c>
      <c r="T25" s="390">
        <v>423</v>
      </c>
      <c r="U25" s="390">
        <v>425</v>
      </c>
      <c r="V25" s="390">
        <v>428</v>
      </c>
      <c r="W25" s="390">
        <v>434</v>
      </c>
      <c r="X25" s="390">
        <v>439</v>
      </c>
      <c r="Y25" s="390">
        <v>447</v>
      </c>
      <c r="Z25" s="390">
        <v>455</v>
      </c>
      <c r="AA25" s="390">
        <v>466</v>
      </c>
      <c r="AB25" s="390">
        <v>480</v>
      </c>
      <c r="AC25" s="390">
        <v>496</v>
      </c>
      <c r="AD25" s="390">
        <v>516</v>
      </c>
      <c r="AE25" s="390">
        <v>537</v>
      </c>
      <c r="AF25" s="390">
        <v>562</v>
      </c>
      <c r="AG25" s="390">
        <v>586</v>
      </c>
      <c r="AH25" s="390">
        <v>614</v>
      </c>
      <c r="AI25" s="390">
        <v>641</v>
      </c>
      <c r="AJ25" s="390">
        <v>671</v>
      </c>
      <c r="AK25" s="390">
        <v>701</v>
      </c>
      <c r="AL25" s="390">
        <v>734</v>
      </c>
      <c r="AM25" s="390">
        <v>766</v>
      </c>
      <c r="AN25" s="390">
        <v>802</v>
      </c>
      <c r="AO25" s="390">
        <v>838</v>
      </c>
      <c r="AP25" s="390">
        <v>876</v>
      </c>
      <c r="AQ25" s="390">
        <v>895</v>
      </c>
      <c r="AR25" s="390">
        <v>933</v>
      </c>
      <c r="AS25" s="390">
        <v>966</v>
      </c>
      <c r="AT25" s="390">
        <v>987</v>
      </c>
      <c r="AU25" s="390">
        <v>1015</v>
      </c>
      <c r="AV25" s="390">
        <v>1031</v>
      </c>
      <c r="AY25" s="264">
        <v>333</v>
      </c>
      <c r="AZ25" s="264">
        <v>333</v>
      </c>
      <c r="BA25" s="7">
        <v>333</v>
      </c>
      <c r="BB25" s="7">
        <v>333</v>
      </c>
      <c r="BC25" s="7">
        <v>333</v>
      </c>
      <c r="BD25" s="7">
        <v>333</v>
      </c>
      <c r="BE25" s="7">
        <v>333</v>
      </c>
      <c r="BI25" s="21">
        <v>23030</v>
      </c>
    </row>
    <row r="26" spans="1:61" x14ac:dyDescent="0.25">
      <c r="A26" t="s">
        <v>160</v>
      </c>
      <c r="B26" s="7">
        <v>370</v>
      </c>
      <c r="C26" s="390">
        <v>363</v>
      </c>
      <c r="D26" s="390">
        <v>375</v>
      </c>
      <c r="E26" s="11">
        <v>386</v>
      </c>
      <c r="F26" s="11">
        <v>386</v>
      </c>
      <c r="G26" s="11">
        <v>386</v>
      </c>
      <c r="H26" s="11">
        <v>386</v>
      </c>
      <c r="I26" s="11">
        <v>388</v>
      </c>
      <c r="J26" s="11">
        <v>395</v>
      </c>
      <c r="K26" s="11">
        <v>405</v>
      </c>
      <c r="L26" s="11">
        <v>420</v>
      </c>
      <c r="M26" s="11">
        <v>432</v>
      </c>
      <c r="N26" s="11">
        <v>438</v>
      </c>
      <c r="O26" s="11">
        <v>448</v>
      </c>
      <c r="P26" s="11">
        <v>457</v>
      </c>
      <c r="Q26" s="11">
        <v>463</v>
      </c>
      <c r="R26" s="11">
        <v>469</v>
      </c>
      <c r="S26" s="11">
        <v>472</v>
      </c>
      <c r="T26" s="11">
        <v>475</v>
      </c>
      <c r="U26" s="11">
        <v>478</v>
      </c>
      <c r="V26" s="11">
        <v>481</v>
      </c>
      <c r="W26" s="11">
        <v>487</v>
      </c>
      <c r="X26" s="11">
        <v>494</v>
      </c>
      <c r="Y26" s="11">
        <v>503</v>
      </c>
      <c r="Z26" s="11">
        <v>512</v>
      </c>
      <c r="AA26" s="11">
        <v>524</v>
      </c>
      <c r="AB26" s="11">
        <v>540</v>
      </c>
      <c r="AC26" s="11">
        <v>558</v>
      </c>
      <c r="AD26" s="11">
        <v>579</v>
      </c>
      <c r="AE26" s="11">
        <v>604</v>
      </c>
      <c r="AF26" s="11">
        <v>631</v>
      </c>
      <c r="AG26" s="11">
        <v>659</v>
      </c>
      <c r="AH26" s="11">
        <v>690</v>
      </c>
      <c r="AI26" s="11">
        <v>720</v>
      </c>
      <c r="AJ26" s="11">
        <v>754</v>
      </c>
      <c r="AK26" s="11">
        <v>788</v>
      </c>
      <c r="AL26" s="11">
        <v>825</v>
      </c>
      <c r="AM26" s="11">
        <v>861</v>
      </c>
      <c r="AN26" s="11">
        <v>901</v>
      </c>
      <c r="AO26" s="11">
        <v>941</v>
      </c>
      <c r="AP26" s="11">
        <v>984</v>
      </c>
      <c r="AQ26" s="11">
        <v>1005</v>
      </c>
      <c r="AR26" s="11">
        <v>1048</v>
      </c>
      <c r="AS26" s="11">
        <v>1085</v>
      </c>
      <c r="AT26" s="11">
        <v>1110</v>
      </c>
      <c r="AU26" s="11">
        <v>1140</v>
      </c>
      <c r="AV26" s="11">
        <v>1159</v>
      </c>
      <c r="AY26" s="264">
        <v>375</v>
      </c>
      <c r="AZ26" s="264">
        <v>375</v>
      </c>
      <c r="BA26" s="7">
        <v>375</v>
      </c>
      <c r="BB26" s="7">
        <v>375</v>
      </c>
      <c r="BC26" s="7">
        <v>375</v>
      </c>
      <c r="BD26" s="7">
        <v>375</v>
      </c>
      <c r="BE26" s="7">
        <v>375</v>
      </c>
      <c r="BI26" s="21">
        <v>23934</v>
      </c>
    </row>
    <row r="27" spans="1:61" x14ac:dyDescent="0.25">
      <c r="A27" s="88" t="s">
        <v>161</v>
      </c>
      <c r="B27" s="6">
        <v>375</v>
      </c>
      <c r="C27" s="7">
        <v>368</v>
      </c>
      <c r="D27" s="7">
        <v>379</v>
      </c>
      <c r="E27" s="7">
        <v>391</v>
      </c>
      <c r="F27" s="7">
        <v>391</v>
      </c>
      <c r="G27" s="7">
        <v>391</v>
      </c>
      <c r="H27" s="7">
        <v>391</v>
      </c>
      <c r="I27" s="7">
        <v>392</v>
      </c>
      <c r="J27" s="7">
        <v>400</v>
      </c>
      <c r="K27" s="7">
        <v>410</v>
      </c>
      <c r="L27" s="7">
        <v>425</v>
      </c>
      <c r="M27" s="7">
        <v>437</v>
      </c>
      <c r="N27" s="7">
        <v>444</v>
      </c>
      <c r="O27" s="7">
        <v>453</v>
      </c>
      <c r="P27" s="7">
        <v>462</v>
      </c>
      <c r="Q27" s="7">
        <v>468</v>
      </c>
      <c r="R27" s="7">
        <v>474</v>
      </c>
      <c r="S27" s="7">
        <v>478</v>
      </c>
      <c r="T27" s="7">
        <v>481</v>
      </c>
      <c r="U27" s="7">
        <v>484</v>
      </c>
      <c r="V27" s="7">
        <v>487</v>
      </c>
      <c r="W27" s="7">
        <v>493</v>
      </c>
      <c r="X27" s="7">
        <v>499</v>
      </c>
      <c r="Y27" s="7">
        <v>509</v>
      </c>
      <c r="Z27" s="7">
        <v>518</v>
      </c>
      <c r="AA27" s="7">
        <v>530</v>
      </c>
      <c r="AB27" s="7">
        <v>546</v>
      </c>
      <c r="AC27" s="7">
        <v>564</v>
      </c>
      <c r="AD27" s="7">
        <v>586</v>
      </c>
      <c r="AE27" s="7">
        <v>611</v>
      </c>
      <c r="AF27" s="7">
        <v>639</v>
      </c>
      <c r="AG27" s="7">
        <v>667</v>
      </c>
      <c r="AH27" s="7">
        <v>698</v>
      </c>
      <c r="AI27" s="7">
        <v>729</v>
      </c>
      <c r="AJ27" s="7">
        <v>763</v>
      </c>
      <c r="AK27" s="7">
        <v>797</v>
      </c>
      <c r="AL27" s="7">
        <v>834</v>
      </c>
      <c r="AM27" s="7">
        <v>871</v>
      </c>
      <c r="AN27" s="7">
        <v>912</v>
      </c>
      <c r="AO27" s="7">
        <v>952</v>
      </c>
      <c r="AP27" s="7">
        <v>996</v>
      </c>
      <c r="AQ27" s="7">
        <v>1017</v>
      </c>
      <c r="AR27" s="7">
        <v>1061</v>
      </c>
      <c r="AS27" s="7">
        <v>1098</v>
      </c>
      <c r="AT27" s="7">
        <v>1123</v>
      </c>
      <c r="AU27" s="7">
        <v>1154</v>
      </c>
      <c r="AV27" s="7">
        <v>1172</v>
      </c>
      <c r="AY27" s="264">
        <v>379</v>
      </c>
      <c r="AZ27" s="264">
        <v>379</v>
      </c>
      <c r="BA27" s="7">
        <v>379</v>
      </c>
      <c r="BB27" s="7">
        <v>379</v>
      </c>
      <c r="BC27" s="7">
        <v>379</v>
      </c>
      <c r="BD27" s="7">
        <v>379</v>
      </c>
      <c r="BE27" s="7">
        <v>379</v>
      </c>
      <c r="BI27" s="21">
        <v>22907</v>
      </c>
    </row>
    <row r="28" spans="1:61" x14ac:dyDescent="0.25">
      <c r="A28" s="26" t="s">
        <v>162</v>
      </c>
      <c r="B28" s="7">
        <v>337</v>
      </c>
      <c r="C28" s="7">
        <v>331</v>
      </c>
      <c r="D28" s="7">
        <v>341</v>
      </c>
      <c r="E28" s="7">
        <v>351</v>
      </c>
      <c r="F28" s="7">
        <v>351</v>
      </c>
      <c r="G28" s="7">
        <v>351</v>
      </c>
      <c r="H28" s="7">
        <v>351</v>
      </c>
      <c r="I28" s="7">
        <v>353</v>
      </c>
      <c r="J28" s="7">
        <v>360</v>
      </c>
      <c r="K28" s="7">
        <v>368</v>
      </c>
      <c r="L28" s="7">
        <v>382</v>
      </c>
      <c r="M28" s="7">
        <v>393</v>
      </c>
      <c r="N28" s="7">
        <v>399</v>
      </c>
      <c r="O28" s="7">
        <v>407</v>
      </c>
      <c r="P28" s="7">
        <v>416</v>
      </c>
      <c r="Q28" s="7">
        <v>421</v>
      </c>
      <c r="R28" s="7">
        <v>427</v>
      </c>
      <c r="S28" s="7">
        <v>429</v>
      </c>
      <c r="T28" s="7">
        <v>432</v>
      </c>
      <c r="U28" s="7">
        <v>435</v>
      </c>
      <c r="V28" s="7">
        <v>438</v>
      </c>
      <c r="W28" s="7">
        <v>443</v>
      </c>
      <c r="X28" s="7">
        <v>449</v>
      </c>
      <c r="Y28" s="7">
        <v>458</v>
      </c>
      <c r="Z28" s="7">
        <v>466</v>
      </c>
      <c r="AA28" s="7">
        <v>477</v>
      </c>
      <c r="AB28" s="7">
        <v>491</v>
      </c>
      <c r="AC28" s="7">
        <v>507</v>
      </c>
      <c r="AD28" s="7">
        <v>527</v>
      </c>
      <c r="AE28" s="7">
        <v>549</v>
      </c>
      <c r="AF28" s="7">
        <v>575</v>
      </c>
      <c r="AG28" s="7">
        <v>600</v>
      </c>
      <c r="AH28" s="7">
        <v>628</v>
      </c>
      <c r="AI28" s="7">
        <v>655</v>
      </c>
      <c r="AJ28" s="7">
        <v>686</v>
      </c>
      <c r="AK28" s="7">
        <v>717</v>
      </c>
      <c r="AL28" s="7">
        <v>750</v>
      </c>
      <c r="AM28" s="7">
        <v>784</v>
      </c>
      <c r="AN28" s="7">
        <v>820</v>
      </c>
      <c r="AO28" s="7">
        <v>856</v>
      </c>
      <c r="AP28" s="7">
        <v>895</v>
      </c>
      <c r="AQ28" s="7">
        <v>915</v>
      </c>
      <c r="AR28" s="7">
        <v>954</v>
      </c>
      <c r="AS28" s="7">
        <v>987</v>
      </c>
      <c r="AT28" s="7">
        <v>1010</v>
      </c>
      <c r="AU28" s="7">
        <v>1037</v>
      </c>
      <c r="AV28" s="7">
        <v>1054</v>
      </c>
      <c r="AY28" s="264">
        <v>341</v>
      </c>
      <c r="AZ28" s="264">
        <v>341</v>
      </c>
      <c r="BA28" s="7">
        <v>341</v>
      </c>
      <c r="BB28" s="7">
        <v>341</v>
      </c>
      <c r="BC28" s="7">
        <v>341</v>
      </c>
      <c r="BD28" s="7">
        <v>341</v>
      </c>
      <c r="BE28" s="7">
        <v>341</v>
      </c>
      <c r="BI28" s="21">
        <v>23322</v>
      </c>
    </row>
    <row r="29" spans="1:61" x14ac:dyDescent="0.25">
      <c r="A29" s="26" t="s">
        <v>163</v>
      </c>
      <c r="B29" s="390">
        <v>330</v>
      </c>
      <c r="C29" s="390">
        <v>323</v>
      </c>
      <c r="D29" s="390">
        <v>333</v>
      </c>
      <c r="E29" s="390">
        <v>344</v>
      </c>
      <c r="F29" s="390">
        <v>344</v>
      </c>
      <c r="G29" s="390">
        <v>344</v>
      </c>
      <c r="H29" s="390">
        <v>344</v>
      </c>
      <c r="I29" s="390">
        <v>345</v>
      </c>
      <c r="J29" s="390">
        <v>352</v>
      </c>
      <c r="K29" s="390">
        <v>360</v>
      </c>
      <c r="L29" s="390">
        <v>374</v>
      </c>
      <c r="M29" s="390">
        <v>385</v>
      </c>
      <c r="N29" s="390">
        <v>390</v>
      </c>
      <c r="O29" s="390">
        <v>398</v>
      </c>
      <c r="P29" s="390">
        <v>407</v>
      </c>
      <c r="Q29" s="390">
        <v>412</v>
      </c>
      <c r="R29" s="390">
        <v>417</v>
      </c>
      <c r="S29" s="390">
        <v>420</v>
      </c>
      <c r="T29" s="390">
        <v>423</v>
      </c>
      <c r="U29" s="390">
        <v>425</v>
      </c>
      <c r="V29" s="390">
        <v>428</v>
      </c>
      <c r="W29" s="390">
        <v>434</v>
      </c>
      <c r="X29" s="390">
        <v>439</v>
      </c>
      <c r="Y29" s="390">
        <v>447</v>
      </c>
      <c r="Z29" s="390">
        <v>455</v>
      </c>
      <c r="AA29" s="390">
        <v>466</v>
      </c>
      <c r="AB29" s="390">
        <v>480</v>
      </c>
      <c r="AC29" s="390">
        <v>496</v>
      </c>
      <c r="AD29" s="390">
        <v>516</v>
      </c>
      <c r="AE29" s="390">
        <v>537</v>
      </c>
      <c r="AF29" s="390">
        <v>562</v>
      </c>
      <c r="AG29" s="390">
        <v>586</v>
      </c>
      <c r="AH29" s="390">
        <v>614</v>
      </c>
      <c r="AI29" s="390">
        <v>641</v>
      </c>
      <c r="AJ29" s="390">
        <v>671</v>
      </c>
      <c r="AK29" s="390">
        <v>701</v>
      </c>
      <c r="AL29" s="390">
        <v>734</v>
      </c>
      <c r="AM29" s="390">
        <v>766</v>
      </c>
      <c r="AN29" s="390">
        <v>802</v>
      </c>
      <c r="AO29" s="390">
        <v>838</v>
      </c>
      <c r="AP29" s="390">
        <v>876</v>
      </c>
      <c r="AQ29" s="390">
        <v>895</v>
      </c>
      <c r="AR29" s="390">
        <v>933</v>
      </c>
      <c r="AS29" s="390">
        <v>966</v>
      </c>
      <c r="AT29" s="390">
        <v>987</v>
      </c>
      <c r="AU29" s="390">
        <v>1015</v>
      </c>
      <c r="AV29" s="390">
        <v>1031</v>
      </c>
      <c r="AW29" s="29"/>
      <c r="AX29" s="29"/>
      <c r="AY29" s="264">
        <v>333</v>
      </c>
      <c r="AZ29" s="264">
        <v>333</v>
      </c>
      <c r="BA29" s="7">
        <v>333</v>
      </c>
      <c r="BB29" s="7">
        <v>333</v>
      </c>
      <c r="BC29" s="7">
        <v>333</v>
      </c>
      <c r="BD29" s="7">
        <v>333</v>
      </c>
      <c r="BE29" s="7">
        <v>333</v>
      </c>
      <c r="BI29" s="21">
        <v>23832</v>
      </c>
    </row>
    <row r="30" spans="1:61" x14ac:dyDescent="0.25">
      <c r="A30" t="s">
        <v>164</v>
      </c>
      <c r="B30" s="7">
        <v>339</v>
      </c>
      <c r="C30" s="7">
        <v>332</v>
      </c>
      <c r="D30" s="7">
        <v>342</v>
      </c>
      <c r="E30" s="7">
        <v>352</v>
      </c>
      <c r="F30" s="7">
        <v>352</v>
      </c>
      <c r="G30" s="7">
        <v>352</v>
      </c>
      <c r="H30" s="7">
        <v>352</v>
      </c>
      <c r="I30" s="7">
        <v>354</v>
      </c>
      <c r="J30" s="7">
        <v>361</v>
      </c>
      <c r="K30" s="7">
        <v>369</v>
      </c>
      <c r="L30" s="7">
        <v>383</v>
      </c>
      <c r="M30" s="7">
        <v>394</v>
      </c>
      <c r="N30" s="7">
        <v>400</v>
      </c>
      <c r="O30" s="7">
        <v>409</v>
      </c>
      <c r="P30" s="7">
        <v>417</v>
      </c>
      <c r="Q30" s="7">
        <v>422</v>
      </c>
      <c r="R30" s="7">
        <v>428</v>
      </c>
      <c r="S30" s="7">
        <v>431</v>
      </c>
      <c r="T30" s="7">
        <v>434</v>
      </c>
      <c r="U30" s="7">
        <v>436</v>
      </c>
      <c r="V30" s="7">
        <v>439</v>
      </c>
      <c r="W30" s="7">
        <v>445</v>
      </c>
      <c r="X30" s="7">
        <v>450</v>
      </c>
      <c r="Y30" s="7">
        <v>459</v>
      </c>
      <c r="Z30" s="7">
        <v>467</v>
      </c>
      <c r="AA30" s="7">
        <v>478</v>
      </c>
      <c r="AB30" s="7">
        <v>492</v>
      </c>
      <c r="AC30" s="7">
        <v>509</v>
      </c>
      <c r="AD30" s="7">
        <v>529</v>
      </c>
      <c r="AE30" s="7">
        <v>551</v>
      </c>
      <c r="AF30" s="7">
        <v>576</v>
      </c>
      <c r="AG30" s="7">
        <v>601</v>
      </c>
      <c r="AH30" s="7">
        <v>629</v>
      </c>
      <c r="AI30" s="7">
        <v>657</v>
      </c>
      <c r="AJ30" s="7">
        <v>688</v>
      </c>
      <c r="AK30" s="7">
        <v>719</v>
      </c>
      <c r="AL30" s="7">
        <v>753</v>
      </c>
      <c r="AM30" s="7">
        <v>786</v>
      </c>
      <c r="AN30" s="7">
        <v>822</v>
      </c>
      <c r="AO30" s="7">
        <v>859</v>
      </c>
      <c r="AP30" s="7">
        <v>898</v>
      </c>
      <c r="AQ30" s="7">
        <v>917</v>
      </c>
      <c r="AR30" s="7">
        <v>957</v>
      </c>
      <c r="AS30" s="7">
        <v>990</v>
      </c>
      <c r="AT30" s="7">
        <v>1013</v>
      </c>
      <c r="AU30" s="7">
        <v>1040</v>
      </c>
      <c r="AV30" s="7">
        <v>1057</v>
      </c>
      <c r="AW30" s="29"/>
      <c r="AX30" s="29"/>
      <c r="AY30" s="264">
        <v>342</v>
      </c>
      <c r="AZ30" s="264">
        <v>342</v>
      </c>
      <c r="BA30" s="7">
        <v>342</v>
      </c>
      <c r="BB30" s="7">
        <v>342</v>
      </c>
      <c r="BC30" s="7">
        <v>339</v>
      </c>
      <c r="BD30" s="7">
        <v>342</v>
      </c>
      <c r="BE30" s="7">
        <v>342</v>
      </c>
      <c r="BI30" s="21">
        <v>22611</v>
      </c>
    </row>
    <row r="31" spans="1:61" x14ac:dyDescent="0.25">
      <c r="A31" t="s">
        <v>631</v>
      </c>
      <c r="B31" s="7">
        <v>370</v>
      </c>
      <c r="C31" s="11">
        <v>363</v>
      </c>
      <c r="D31" s="11">
        <v>375</v>
      </c>
      <c r="E31" s="11">
        <v>386</v>
      </c>
      <c r="F31" s="11">
        <v>386</v>
      </c>
      <c r="G31" s="11">
        <v>386</v>
      </c>
      <c r="H31" s="11">
        <v>386</v>
      </c>
      <c r="I31" s="11">
        <v>388</v>
      </c>
      <c r="J31" s="11">
        <v>395</v>
      </c>
      <c r="K31" s="11">
        <v>405</v>
      </c>
      <c r="L31" s="11">
        <v>420</v>
      </c>
      <c r="M31" s="11">
        <v>432</v>
      </c>
      <c r="N31" s="11">
        <v>438</v>
      </c>
      <c r="O31" s="11">
        <v>448</v>
      </c>
      <c r="P31" s="11">
        <v>457</v>
      </c>
      <c r="Q31" s="11">
        <v>463</v>
      </c>
      <c r="R31" s="11">
        <v>469</v>
      </c>
      <c r="S31" s="11">
        <v>472</v>
      </c>
      <c r="T31" s="11">
        <v>475</v>
      </c>
      <c r="U31" s="11">
        <v>478</v>
      </c>
      <c r="V31" s="11">
        <v>481</v>
      </c>
      <c r="W31" s="11">
        <v>487</v>
      </c>
      <c r="X31" s="11">
        <v>494</v>
      </c>
      <c r="Y31" s="11">
        <v>503</v>
      </c>
      <c r="Z31" s="11">
        <v>512</v>
      </c>
      <c r="AA31" s="11">
        <v>524</v>
      </c>
      <c r="AB31" s="11">
        <v>540</v>
      </c>
      <c r="AC31" s="11">
        <v>558</v>
      </c>
      <c r="AD31" s="11">
        <v>579</v>
      </c>
      <c r="AE31" s="11">
        <v>604</v>
      </c>
      <c r="AF31" s="11">
        <v>631</v>
      </c>
      <c r="AG31" s="11">
        <v>659</v>
      </c>
      <c r="AH31" s="11">
        <v>690</v>
      </c>
      <c r="AI31" s="11">
        <v>720</v>
      </c>
      <c r="AJ31" s="11">
        <v>754</v>
      </c>
      <c r="AK31" s="11">
        <v>788</v>
      </c>
      <c r="AL31" s="11">
        <v>825</v>
      </c>
      <c r="AM31" s="11">
        <v>861</v>
      </c>
      <c r="AN31" s="11">
        <v>901</v>
      </c>
      <c r="AO31" s="11">
        <v>941</v>
      </c>
      <c r="AP31" s="11">
        <v>984</v>
      </c>
      <c r="AQ31" s="11">
        <v>1005</v>
      </c>
      <c r="AR31" s="11">
        <v>1048</v>
      </c>
      <c r="AS31" s="11">
        <v>1085</v>
      </c>
      <c r="AT31" s="11">
        <v>1110</v>
      </c>
      <c r="AU31" s="11">
        <v>1140</v>
      </c>
      <c r="AV31" s="11">
        <v>1159</v>
      </c>
      <c r="AW31" s="21"/>
      <c r="AX31" s="21"/>
      <c r="AY31" s="264">
        <v>375</v>
      </c>
      <c r="AZ31" s="264">
        <v>375</v>
      </c>
      <c r="BA31" s="7">
        <v>375</v>
      </c>
      <c r="BB31" s="7">
        <v>375</v>
      </c>
      <c r="BC31" s="7">
        <v>375</v>
      </c>
      <c r="BD31" s="7">
        <v>375</v>
      </c>
      <c r="BE31" s="7">
        <v>375</v>
      </c>
      <c r="BI31" s="21">
        <v>24422</v>
      </c>
    </row>
    <row r="32" spans="1:61" x14ac:dyDescent="0.25">
      <c r="A32" t="s">
        <v>165</v>
      </c>
      <c r="B32" s="390">
        <v>330</v>
      </c>
      <c r="C32" s="390">
        <v>323</v>
      </c>
      <c r="D32" s="390">
        <v>333</v>
      </c>
      <c r="E32" s="390">
        <v>344</v>
      </c>
      <c r="F32" s="390">
        <v>344</v>
      </c>
      <c r="G32" s="390">
        <v>344</v>
      </c>
      <c r="H32" s="390">
        <v>344</v>
      </c>
      <c r="I32" s="390">
        <v>345</v>
      </c>
      <c r="J32" s="390">
        <v>352</v>
      </c>
      <c r="K32" s="390">
        <v>360</v>
      </c>
      <c r="L32" s="390">
        <v>374</v>
      </c>
      <c r="M32" s="390">
        <v>385</v>
      </c>
      <c r="N32" s="390">
        <v>390</v>
      </c>
      <c r="O32" s="390">
        <v>398</v>
      </c>
      <c r="P32" s="390">
        <v>407</v>
      </c>
      <c r="Q32" s="390">
        <v>412</v>
      </c>
      <c r="R32" s="390">
        <v>417</v>
      </c>
      <c r="S32" s="390">
        <v>420</v>
      </c>
      <c r="T32" s="390">
        <v>423</v>
      </c>
      <c r="U32" s="390">
        <v>425</v>
      </c>
      <c r="V32" s="390">
        <v>428</v>
      </c>
      <c r="W32" s="390">
        <v>434</v>
      </c>
      <c r="X32" s="390">
        <v>439</v>
      </c>
      <c r="Y32" s="390">
        <v>447</v>
      </c>
      <c r="Z32" s="390">
        <v>455</v>
      </c>
      <c r="AA32" s="390">
        <v>466</v>
      </c>
      <c r="AB32" s="390">
        <v>480</v>
      </c>
      <c r="AC32" s="390">
        <v>496</v>
      </c>
      <c r="AD32" s="390">
        <v>516</v>
      </c>
      <c r="AE32" s="390">
        <v>537</v>
      </c>
      <c r="AF32" s="390">
        <v>562</v>
      </c>
      <c r="AG32" s="390">
        <v>586</v>
      </c>
      <c r="AH32" s="390">
        <v>614</v>
      </c>
      <c r="AI32" s="390">
        <v>641</v>
      </c>
      <c r="AJ32" s="390">
        <v>671</v>
      </c>
      <c r="AK32" s="390">
        <v>701</v>
      </c>
      <c r="AL32" s="390">
        <v>734</v>
      </c>
      <c r="AM32" s="390">
        <v>766</v>
      </c>
      <c r="AN32" s="390">
        <v>802</v>
      </c>
      <c r="AO32" s="390">
        <v>838</v>
      </c>
      <c r="AP32" s="390">
        <v>876</v>
      </c>
      <c r="AQ32" s="390">
        <v>895</v>
      </c>
      <c r="AR32" s="390">
        <v>933</v>
      </c>
      <c r="AS32" s="390">
        <v>966</v>
      </c>
      <c r="AT32" s="390">
        <v>987</v>
      </c>
      <c r="AU32" s="390">
        <v>1015</v>
      </c>
      <c r="AV32" s="390">
        <v>1031</v>
      </c>
      <c r="AY32" s="264">
        <v>333</v>
      </c>
      <c r="AZ32" s="264">
        <v>333</v>
      </c>
      <c r="BA32" s="7">
        <v>333</v>
      </c>
      <c r="BB32" s="7">
        <v>333</v>
      </c>
      <c r="BC32" s="7">
        <v>333</v>
      </c>
      <c r="BD32" s="7">
        <v>333</v>
      </c>
      <c r="BE32" s="7">
        <v>333</v>
      </c>
      <c r="BI32" s="21">
        <v>23834</v>
      </c>
    </row>
    <row r="33" spans="1:61" x14ac:dyDescent="0.25">
      <c r="A33" t="s">
        <v>166</v>
      </c>
      <c r="B33" s="7">
        <v>370</v>
      </c>
      <c r="C33" s="390">
        <v>363</v>
      </c>
      <c r="D33" s="390">
        <v>375</v>
      </c>
      <c r="E33" s="11">
        <v>386</v>
      </c>
      <c r="F33" s="11">
        <v>386</v>
      </c>
      <c r="G33" s="11">
        <v>386</v>
      </c>
      <c r="H33" s="11">
        <v>386</v>
      </c>
      <c r="I33" s="11">
        <v>388</v>
      </c>
      <c r="J33" s="11">
        <v>395</v>
      </c>
      <c r="K33" s="11">
        <v>405</v>
      </c>
      <c r="L33" s="11">
        <v>420</v>
      </c>
      <c r="M33" s="11">
        <v>432</v>
      </c>
      <c r="N33" s="11">
        <v>438</v>
      </c>
      <c r="O33" s="11">
        <v>448</v>
      </c>
      <c r="P33" s="11">
        <v>457</v>
      </c>
      <c r="Q33" s="11">
        <v>463</v>
      </c>
      <c r="R33" s="11">
        <v>469</v>
      </c>
      <c r="S33" s="11">
        <v>472</v>
      </c>
      <c r="T33" s="11">
        <v>475</v>
      </c>
      <c r="U33" s="11">
        <v>478</v>
      </c>
      <c r="V33" s="11">
        <v>481</v>
      </c>
      <c r="W33" s="11">
        <v>487</v>
      </c>
      <c r="X33" s="11">
        <v>494</v>
      </c>
      <c r="Y33" s="11">
        <v>503</v>
      </c>
      <c r="Z33" s="11">
        <v>512</v>
      </c>
      <c r="AA33" s="11">
        <v>524</v>
      </c>
      <c r="AB33" s="11">
        <v>540</v>
      </c>
      <c r="AC33" s="11">
        <v>558</v>
      </c>
      <c r="AD33" s="11">
        <v>579</v>
      </c>
      <c r="AE33" s="11">
        <v>604</v>
      </c>
      <c r="AF33" s="11">
        <v>631</v>
      </c>
      <c r="AG33" s="11">
        <v>659</v>
      </c>
      <c r="AH33" s="11">
        <v>690</v>
      </c>
      <c r="AI33" s="11">
        <v>720</v>
      </c>
      <c r="AJ33" s="11">
        <v>754</v>
      </c>
      <c r="AK33" s="11">
        <v>788</v>
      </c>
      <c r="AL33" s="11">
        <v>825</v>
      </c>
      <c r="AM33" s="11">
        <v>861</v>
      </c>
      <c r="AN33" s="11">
        <v>901</v>
      </c>
      <c r="AO33" s="11">
        <v>941</v>
      </c>
      <c r="AP33" s="11">
        <v>984</v>
      </c>
      <c r="AQ33" s="11">
        <v>1005</v>
      </c>
      <c r="AR33" s="11">
        <v>1048</v>
      </c>
      <c r="AS33" s="11">
        <v>1085</v>
      </c>
      <c r="AT33" s="11">
        <v>1110</v>
      </c>
      <c r="AU33" s="11">
        <v>1140</v>
      </c>
      <c r="AV33" s="11">
        <v>1159</v>
      </c>
      <c r="AY33" s="264">
        <v>375</v>
      </c>
      <c r="AZ33" s="264">
        <v>375</v>
      </c>
      <c r="BA33" s="7">
        <v>375</v>
      </c>
      <c r="BB33" s="7">
        <v>375</v>
      </c>
      <c r="BC33" s="7">
        <v>375</v>
      </c>
      <c r="BD33" s="7">
        <v>375</v>
      </c>
      <c r="BE33" s="7">
        <v>375</v>
      </c>
      <c r="BI33" s="21">
        <v>22611</v>
      </c>
    </row>
    <row r="34" spans="1:61" x14ac:dyDescent="0.25">
      <c r="A34" t="s">
        <v>167</v>
      </c>
      <c r="B34" s="7">
        <v>370</v>
      </c>
      <c r="C34" s="11">
        <v>363</v>
      </c>
      <c r="D34" s="11">
        <v>375</v>
      </c>
      <c r="E34" s="11">
        <v>386</v>
      </c>
      <c r="F34" s="11">
        <v>386</v>
      </c>
      <c r="G34" s="11">
        <v>386</v>
      </c>
      <c r="H34" s="11">
        <v>386</v>
      </c>
      <c r="I34" s="11">
        <v>388</v>
      </c>
      <c r="J34" s="11">
        <v>395</v>
      </c>
      <c r="K34" s="11">
        <v>405</v>
      </c>
      <c r="L34" s="11">
        <v>420</v>
      </c>
      <c r="M34" s="11">
        <v>432</v>
      </c>
      <c r="N34" s="11">
        <v>438</v>
      </c>
      <c r="O34" s="11">
        <v>448</v>
      </c>
      <c r="P34" s="11">
        <v>457</v>
      </c>
      <c r="Q34" s="11">
        <v>463</v>
      </c>
      <c r="R34" s="11">
        <v>469</v>
      </c>
      <c r="S34" s="11">
        <v>472</v>
      </c>
      <c r="T34" s="11">
        <v>475</v>
      </c>
      <c r="U34" s="11">
        <v>478</v>
      </c>
      <c r="V34" s="11">
        <v>481</v>
      </c>
      <c r="W34" s="11">
        <v>487</v>
      </c>
      <c r="X34" s="11">
        <v>494</v>
      </c>
      <c r="Y34" s="11">
        <v>503</v>
      </c>
      <c r="Z34" s="11">
        <v>512</v>
      </c>
      <c r="AA34" s="11">
        <v>524</v>
      </c>
      <c r="AB34" s="11">
        <v>540</v>
      </c>
      <c r="AC34" s="11">
        <v>558</v>
      </c>
      <c r="AD34" s="11">
        <v>579</v>
      </c>
      <c r="AE34" s="11">
        <v>604</v>
      </c>
      <c r="AF34" s="11">
        <v>631</v>
      </c>
      <c r="AG34" s="11">
        <v>659</v>
      </c>
      <c r="AH34" s="11">
        <v>690</v>
      </c>
      <c r="AI34" s="11">
        <v>720</v>
      </c>
      <c r="AJ34" s="11">
        <v>754</v>
      </c>
      <c r="AK34" s="11">
        <v>788</v>
      </c>
      <c r="AL34" s="11">
        <v>825</v>
      </c>
      <c r="AM34" s="11">
        <v>861</v>
      </c>
      <c r="AN34" s="11">
        <v>901</v>
      </c>
      <c r="AO34" s="11">
        <v>941</v>
      </c>
      <c r="AP34" s="11">
        <v>984</v>
      </c>
      <c r="AQ34" s="11">
        <v>1005</v>
      </c>
      <c r="AR34" s="11">
        <v>1048</v>
      </c>
      <c r="AS34" s="11">
        <v>1085</v>
      </c>
      <c r="AT34" s="11">
        <v>1110</v>
      </c>
      <c r="AU34" s="11">
        <v>1140</v>
      </c>
      <c r="AV34" s="11">
        <v>1159</v>
      </c>
      <c r="AY34" s="264">
        <v>375</v>
      </c>
      <c r="AZ34" s="264">
        <v>375</v>
      </c>
      <c r="BA34" s="7">
        <v>375</v>
      </c>
      <c r="BB34" s="7">
        <v>375</v>
      </c>
      <c r="BC34" s="7">
        <v>375</v>
      </c>
      <c r="BD34" s="7">
        <v>375</v>
      </c>
      <c r="BE34" s="7">
        <v>375</v>
      </c>
      <c r="BI34" s="21">
        <v>24070</v>
      </c>
    </row>
    <row r="35" spans="1:61" x14ac:dyDescent="0.25">
      <c r="A35" t="s">
        <v>168</v>
      </c>
      <c r="B35" s="7">
        <v>370</v>
      </c>
      <c r="C35" s="390">
        <v>363</v>
      </c>
      <c r="D35" s="390">
        <v>375</v>
      </c>
      <c r="E35" s="11">
        <v>386</v>
      </c>
      <c r="F35" s="11">
        <v>386</v>
      </c>
      <c r="G35" s="11">
        <v>386</v>
      </c>
      <c r="H35" s="11">
        <v>386</v>
      </c>
      <c r="I35" s="11">
        <v>388</v>
      </c>
      <c r="J35" s="11">
        <v>395</v>
      </c>
      <c r="K35" s="11">
        <v>405</v>
      </c>
      <c r="L35" s="11">
        <v>420</v>
      </c>
      <c r="M35" s="11">
        <v>432</v>
      </c>
      <c r="N35" s="11">
        <v>438</v>
      </c>
      <c r="O35" s="11">
        <v>448</v>
      </c>
      <c r="P35" s="11">
        <v>457</v>
      </c>
      <c r="Q35" s="11">
        <v>463</v>
      </c>
      <c r="R35" s="11">
        <v>469</v>
      </c>
      <c r="S35" s="11">
        <v>472</v>
      </c>
      <c r="T35" s="11">
        <v>475</v>
      </c>
      <c r="U35" s="11">
        <v>478</v>
      </c>
      <c r="V35" s="11">
        <v>481</v>
      </c>
      <c r="W35" s="11">
        <v>487</v>
      </c>
      <c r="X35" s="11">
        <v>494</v>
      </c>
      <c r="Y35" s="11">
        <v>503</v>
      </c>
      <c r="Z35" s="11">
        <v>512</v>
      </c>
      <c r="AA35" s="11">
        <v>524</v>
      </c>
      <c r="AB35" s="11">
        <v>540</v>
      </c>
      <c r="AC35" s="11">
        <v>558</v>
      </c>
      <c r="AD35" s="11">
        <v>579</v>
      </c>
      <c r="AE35" s="11">
        <v>604</v>
      </c>
      <c r="AF35" s="11">
        <v>631</v>
      </c>
      <c r="AG35" s="11">
        <v>659</v>
      </c>
      <c r="AH35" s="11">
        <v>690</v>
      </c>
      <c r="AI35" s="11">
        <v>720</v>
      </c>
      <c r="AJ35" s="11">
        <v>754</v>
      </c>
      <c r="AK35" s="11">
        <v>788</v>
      </c>
      <c r="AL35" s="11">
        <v>825</v>
      </c>
      <c r="AM35" s="11">
        <v>861</v>
      </c>
      <c r="AN35" s="11">
        <v>901</v>
      </c>
      <c r="AO35" s="11">
        <v>941</v>
      </c>
      <c r="AP35" s="11">
        <v>984</v>
      </c>
      <c r="AQ35" s="11">
        <v>1005</v>
      </c>
      <c r="AR35" s="11">
        <v>1048</v>
      </c>
      <c r="AS35" s="11">
        <v>1085</v>
      </c>
      <c r="AT35" s="11">
        <v>1110</v>
      </c>
      <c r="AU35" s="11">
        <v>1140</v>
      </c>
      <c r="AV35" s="11">
        <v>1159</v>
      </c>
      <c r="AY35" s="264">
        <v>375</v>
      </c>
      <c r="AZ35" s="264">
        <v>375</v>
      </c>
      <c r="BA35" s="7">
        <v>375</v>
      </c>
      <c r="BB35" s="7">
        <v>375</v>
      </c>
      <c r="BC35" s="7">
        <v>375</v>
      </c>
      <c r="BD35" s="7">
        <v>375</v>
      </c>
      <c r="BE35" s="7">
        <v>375</v>
      </c>
      <c r="BI35" s="21">
        <v>22701</v>
      </c>
    </row>
    <row r="36" spans="1:61" x14ac:dyDescent="0.25">
      <c r="A36" t="s">
        <v>169</v>
      </c>
      <c r="B36" s="7">
        <v>331</v>
      </c>
      <c r="C36" s="11">
        <v>323</v>
      </c>
      <c r="D36" s="11">
        <v>333</v>
      </c>
      <c r="E36" s="11">
        <v>344</v>
      </c>
      <c r="F36" s="11">
        <v>344</v>
      </c>
      <c r="G36" s="11">
        <v>344</v>
      </c>
      <c r="H36" s="11">
        <v>344</v>
      </c>
      <c r="I36" s="11">
        <v>345</v>
      </c>
      <c r="J36" s="11">
        <v>352</v>
      </c>
      <c r="K36" s="11">
        <v>360</v>
      </c>
      <c r="L36" s="11">
        <v>374</v>
      </c>
      <c r="M36" s="11">
        <v>385</v>
      </c>
      <c r="N36" s="11">
        <v>390</v>
      </c>
      <c r="O36" s="11">
        <v>398</v>
      </c>
      <c r="P36" s="11">
        <v>407</v>
      </c>
      <c r="Q36" s="11">
        <v>412</v>
      </c>
      <c r="R36" s="11">
        <v>417</v>
      </c>
      <c r="S36" s="11">
        <v>420</v>
      </c>
      <c r="T36" s="11">
        <v>423</v>
      </c>
      <c r="U36" s="11">
        <v>425</v>
      </c>
      <c r="V36" s="11">
        <v>428</v>
      </c>
      <c r="W36" s="11">
        <v>434</v>
      </c>
      <c r="X36" s="11">
        <v>439</v>
      </c>
      <c r="Y36" s="11">
        <v>447</v>
      </c>
      <c r="Z36" s="11">
        <v>455</v>
      </c>
      <c r="AA36" s="11">
        <v>466</v>
      </c>
      <c r="AB36" s="11">
        <v>480</v>
      </c>
      <c r="AC36" s="11">
        <v>496</v>
      </c>
      <c r="AD36" s="11">
        <v>516</v>
      </c>
      <c r="AE36" s="11">
        <v>537</v>
      </c>
      <c r="AF36" s="11">
        <v>562</v>
      </c>
      <c r="AG36" s="11">
        <v>586</v>
      </c>
      <c r="AH36" s="11">
        <v>614</v>
      </c>
      <c r="AI36" s="11">
        <v>641</v>
      </c>
      <c r="AJ36" s="11">
        <v>671</v>
      </c>
      <c r="AK36" s="11">
        <v>701</v>
      </c>
      <c r="AL36" s="11">
        <v>734</v>
      </c>
      <c r="AM36" s="11">
        <v>766</v>
      </c>
      <c r="AN36" s="11">
        <v>802</v>
      </c>
      <c r="AO36" s="11">
        <v>838</v>
      </c>
      <c r="AP36" s="11">
        <v>876</v>
      </c>
      <c r="AQ36" s="11">
        <v>895</v>
      </c>
      <c r="AR36" s="11">
        <v>933</v>
      </c>
      <c r="AS36" s="11">
        <v>966</v>
      </c>
      <c r="AT36" s="11">
        <v>987</v>
      </c>
      <c r="AU36" s="11">
        <v>1015</v>
      </c>
      <c r="AV36" s="11">
        <v>1031</v>
      </c>
      <c r="AW36" s="7"/>
      <c r="AX36" s="7"/>
      <c r="AY36" s="264">
        <v>333</v>
      </c>
      <c r="AZ36" s="264">
        <v>333</v>
      </c>
      <c r="BA36" s="7">
        <v>333</v>
      </c>
      <c r="BB36" s="7">
        <v>333</v>
      </c>
      <c r="BC36" s="7">
        <v>333</v>
      </c>
      <c r="BD36" s="7">
        <v>333</v>
      </c>
      <c r="BE36" s="7">
        <v>333</v>
      </c>
      <c r="BI36" s="21">
        <v>24540</v>
      </c>
    </row>
    <row r="37" spans="1:61" x14ac:dyDescent="0.25">
      <c r="A37" t="s">
        <v>170</v>
      </c>
      <c r="B37" s="7">
        <v>371</v>
      </c>
      <c r="C37" s="7">
        <v>363</v>
      </c>
      <c r="D37" s="7">
        <v>375</v>
      </c>
      <c r="E37" s="7">
        <v>386</v>
      </c>
      <c r="F37" s="7">
        <v>386</v>
      </c>
      <c r="G37" s="7">
        <v>386</v>
      </c>
      <c r="H37" s="7">
        <v>386</v>
      </c>
      <c r="I37" s="7">
        <v>388</v>
      </c>
      <c r="J37" s="7">
        <v>395</v>
      </c>
      <c r="K37" s="7">
        <v>405</v>
      </c>
      <c r="L37" s="7">
        <v>420</v>
      </c>
      <c r="M37" s="7">
        <v>432</v>
      </c>
      <c r="N37" s="7">
        <v>438</v>
      </c>
      <c r="O37" s="7">
        <v>448</v>
      </c>
      <c r="P37" s="7">
        <v>457</v>
      </c>
      <c r="Q37" s="7">
        <v>463</v>
      </c>
      <c r="R37" s="7">
        <v>469</v>
      </c>
      <c r="S37" s="7">
        <v>472</v>
      </c>
      <c r="T37" s="7">
        <v>475</v>
      </c>
      <c r="U37" s="7">
        <v>478</v>
      </c>
      <c r="V37" s="7">
        <v>481</v>
      </c>
      <c r="W37" s="7">
        <v>487</v>
      </c>
      <c r="X37" s="7">
        <v>494</v>
      </c>
      <c r="Y37" s="7">
        <v>503</v>
      </c>
      <c r="Z37" s="7">
        <v>512</v>
      </c>
      <c r="AA37" s="7">
        <v>524</v>
      </c>
      <c r="AB37" s="7">
        <v>540</v>
      </c>
      <c r="AC37" s="7">
        <v>558</v>
      </c>
      <c r="AD37" s="7">
        <v>579</v>
      </c>
      <c r="AE37" s="7">
        <v>603</v>
      </c>
      <c r="AF37" s="7">
        <v>631</v>
      </c>
      <c r="AG37" s="7">
        <v>659</v>
      </c>
      <c r="AH37" s="7">
        <v>690</v>
      </c>
      <c r="AI37" s="7">
        <v>720</v>
      </c>
      <c r="AJ37" s="7">
        <v>754</v>
      </c>
      <c r="AK37" s="7">
        <v>788</v>
      </c>
      <c r="AL37" s="7">
        <v>825</v>
      </c>
      <c r="AM37" s="7">
        <v>861</v>
      </c>
      <c r="AN37" s="7">
        <v>901</v>
      </c>
      <c r="AO37" s="7">
        <v>941</v>
      </c>
      <c r="AP37" s="7">
        <v>984</v>
      </c>
      <c r="AQ37" s="7">
        <v>1005</v>
      </c>
      <c r="AR37" s="7">
        <v>1048</v>
      </c>
      <c r="AS37" s="7">
        <v>1085</v>
      </c>
      <c r="AT37" s="7">
        <v>1110</v>
      </c>
      <c r="AU37" s="7">
        <v>1140</v>
      </c>
      <c r="AV37" s="7">
        <v>1159</v>
      </c>
      <c r="AW37" s="391"/>
      <c r="AX37" s="391"/>
      <c r="AY37" s="7">
        <v>375</v>
      </c>
      <c r="AZ37" s="290">
        <v>375</v>
      </c>
      <c r="BA37" s="7">
        <v>375</v>
      </c>
      <c r="BB37" s="7">
        <v>375</v>
      </c>
      <c r="BC37" s="7">
        <v>375</v>
      </c>
      <c r="BD37" s="7">
        <v>375</v>
      </c>
      <c r="BE37" s="7">
        <v>375</v>
      </c>
      <c r="BI37" s="21">
        <v>24540</v>
      </c>
    </row>
    <row r="38" spans="1:61" x14ac:dyDescent="0.25">
      <c r="A38" t="s">
        <v>171</v>
      </c>
      <c r="B38" s="7">
        <v>371</v>
      </c>
      <c r="C38" s="7">
        <v>363</v>
      </c>
      <c r="D38" s="7">
        <v>375</v>
      </c>
      <c r="E38" s="7">
        <v>386</v>
      </c>
      <c r="F38" s="7">
        <v>386</v>
      </c>
      <c r="G38" s="7">
        <v>386</v>
      </c>
      <c r="H38" s="7">
        <v>386</v>
      </c>
      <c r="I38" s="7">
        <v>388</v>
      </c>
      <c r="J38" s="7">
        <v>395</v>
      </c>
      <c r="K38" s="7">
        <v>405</v>
      </c>
      <c r="L38" s="7">
        <v>420</v>
      </c>
      <c r="M38" s="7">
        <v>432</v>
      </c>
      <c r="N38" s="7">
        <v>438</v>
      </c>
      <c r="O38" s="7">
        <v>448</v>
      </c>
      <c r="P38" s="7">
        <v>457</v>
      </c>
      <c r="Q38" s="7">
        <v>463</v>
      </c>
      <c r="R38" s="7">
        <v>469</v>
      </c>
      <c r="S38" s="7">
        <v>472</v>
      </c>
      <c r="T38" s="7">
        <v>475</v>
      </c>
      <c r="U38" s="7">
        <v>478</v>
      </c>
      <c r="V38" s="7">
        <v>481</v>
      </c>
      <c r="W38" s="7">
        <v>487</v>
      </c>
      <c r="X38" s="7">
        <v>494</v>
      </c>
      <c r="Y38" s="7">
        <v>503</v>
      </c>
      <c r="Z38" s="7">
        <v>512</v>
      </c>
      <c r="AA38" s="7">
        <v>524</v>
      </c>
      <c r="AB38" s="7">
        <v>540</v>
      </c>
      <c r="AC38" s="7">
        <v>558</v>
      </c>
      <c r="AD38" s="7">
        <v>579</v>
      </c>
      <c r="AE38" s="7">
        <v>603</v>
      </c>
      <c r="AF38" s="7">
        <v>631</v>
      </c>
      <c r="AG38" s="7">
        <v>659</v>
      </c>
      <c r="AH38" s="7">
        <v>690</v>
      </c>
      <c r="AI38" s="7">
        <v>720</v>
      </c>
      <c r="AJ38" s="7">
        <v>754</v>
      </c>
      <c r="AK38" s="7">
        <v>788</v>
      </c>
      <c r="AL38" s="7">
        <v>825</v>
      </c>
      <c r="AM38" s="7">
        <v>861</v>
      </c>
      <c r="AN38" s="7">
        <v>901</v>
      </c>
      <c r="AO38" s="7">
        <v>941</v>
      </c>
      <c r="AP38" s="7">
        <v>984</v>
      </c>
      <c r="AQ38" s="7">
        <v>1005</v>
      </c>
      <c r="AR38" s="7">
        <v>1048</v>
      </c>
      <c r="AS38" s="7">
        <v>1085</v>
      </c>
      <c r="AT38" s="7">
        <v>1110</v>
      </c>
      <c r="AU38" s="7">
        <v>1140</v>
      </c>
      <c r="AV38" s="7">
        <v>1159</v>
      </c>
      <c r="AW38" s="391"/>
      <c r="AX38" s="391"/>
      <c r="AY38" s="7">
        <v>375</v>
      </c>
      <c r="AZ38" s="290">
        <v>375</v>
      </c>
      <c r="BA38" s="7">
        <v>375</v>
      </c>
      <c r="BB38" s="7">
        <v>375</v>
      </c>
      <c r="BC38" s="7">
        <v>375</v>
      </c>
      <c r="BD38" s="7">
        <v>375</v>
      </c>
      <c r="BE38" s="7">
        <v>375</v>
      </c>
      <c r="BI38" s="21">
        <v>24217</v>
      </c>
    </row>
    <row r="39" spans="1:61" x14ac:dyDescent="0.25">
      <c r="A39" t="s">
        <v>172</v>
      </c>
      <c r="B39" s="7">
        <v>331</v>
      </c>
      <c r="C39" s="11">
        <v>323</v>
      </c>
      <c r="D39" s="11">
        <v>333</v>
      </c>
      <c r="E39" s="11">
        <v>344</v>
      </c>
      <c r="F39" s="11">
        <v>344</v>
      </c>
      <c r="G39" s="11">
        <v>344</v>
      </c>
      <c r="H39" s="11">
        <v>344</v>
      </c>
      <c r="I39" s="11">
        <v>345</v>
      </c>
      <c r="J39" s="11">
        <v>352</v>
      </c>
      <c r="K39" s="11">
        <v>360</v>
      </c>
      <c r="L39" s="11">
        <v>374</v>
      </c>
      <c r="M39" s="11">
        <v>385</v>
      </c>
      <c r="N39" s="11">
        <v>390</v>
      </c>
      <c r="O39" s="11">
        <v>398</v>
      </c>
      <c r="P39" s="11">
        <v>407</v>
      </c>
      <c r="Q39" s="11">
        <v>412</v>
      </c>
      <c r="R39" s="11">
        <v>417</v>
      </c>
      <c r="S39" s="11">
        <v>420</v>
      </c>
      <c r="T39" s="11">
        <v>423</v>
      </c>
      <c r="U39" s="11">
        <v>425</v>
      </c>
      <c r="V39" s="11">
        <v>428</v>
      </c>
      <c r="W39" s="11">
        <v>434</v>
      </c>
      <c r="X39" s="11">
        <v>439</v>
      </c>
      <c r="Y39" s="11">
        <v>447</v>
      </c>
      <c r="Z39" s="11">
        <v>455</v>
      </c>
      <c r="AA39" s="11">
        <v>466</v>
      </c>
      <c r="AB39" s="11">
        <v>480</v>
      </c>
      <c r="AC39" s="11">
        <v>496</v>
      </c>
      <c r="AD39" s="11">
        <v>516</v>
      </c>
      <c r="AE39" s="11">
        <v>537</v>
      </c>
      <c r="AF39" s="11">
        <v>562</v>
      </c>
      <c r="AG39" s="11">
        <v>586</v>
      </c>
      <c r="AH39" s="11">
        <v>614</v>
      </c>
      <c r="AI39" s="11">
        <v>641</v>
      </c>
      <c r="AJ39" s="11">
        <v>671</v>
      </c>
      <c r="AK39" s="11">
        <v>701</v>
      </c>
      <c r="AL39" s="11">
        <v>734</v>
      </c>
      <c r="AM39" s="11">
        <v>766</v>
      </c>
      <c r="AN39" s="11">
        <v>802</v>
      </c>
      <c r="AO39" s="11">
        <v>838</v>
      </c>
      <c r="AP39" s="11">
        <v>876</v>
      </c>
      <c r="AQ39" s="11">
        <v>895</v>
      </c>
      <c r="AR39" s="11">
        <v>933</v>
      </c>
      <c r="AS39" s="11">
        <v>966</v>
      </c>
      <c r="AT39" s="11">
        <v>987</v>
      </c>
      <c r="AU39" s="11">
        <v>1015</v>
      </c>
      <c r="AV39" s="11">
        <v>1031</v>
      </c>
      <c r="AW39" s="391"/>
      <c r="AX39" s="391"/>
      <c r="AY39" s="264">
        <v>333</v>
      </c>
      <c r="AZ39" s="264">
        <v>333</v>
      </c>
      <c r="BA39" s="7">
        <v>333</v>
      </c>
      <c r="BB39" s="7">
        <v>333</v>
      </c>
      <c r="BC39" s="7">
        <v>333</v>
      </c>
      <c r="BD39" s="7">
        <v>333</v>
      </c>
      <c r="BE39" s="7">
        <v>333</v>
      </c>
      <c r="BI39" s="21">
        <v>23841</v>
      </c>
    </row>
    <row r="40" spans="1:61" x14ac:dyDescent="0.25">
      <c r="A40" t="s">
        <v>173</v>
      </c>
      <c r="B40" s="7">
        <v>370</v>
      </c>
      <c r="C40" s="390">
        <v>363</v>
      </c>
      <c r="D40" s="390">
        <v>375</v>
      </c>
      <c r="E40" s="11">
        <v>386</v>
      </c>
      <c r="F40" s="11">
        <v>386</v>
      </c>
      <c r="G40" s="11">
        <v>386</v>
      </c>
      <c r="H40" s="11">
        <v>386</v>
      </c>
      <c r="I40" s="11">
        <v>388</v>
      </c>
      <c r="J40" s="11">
        <v>395</v>
      </c>
      <c r="K40" s="11">
        <v>405</v>
      </c>
      <c r="L40" s="11">
        <v>420</v>
      </c>
      <c r="M40" s="11">
        <v>432</v>
      </c>
      <c r="N40" s="11">
        <v>438</v>
      </c>
      <c r="O40" s="11">
        <v>448</v>
      </c>
      <c r="P40" s="11">
        <v>457</v>
      </c>
      <c r="Q40" s="11">
        <v>463</v>
      </c>
      <c r="R40" s="11">
        <v>469</v>
      </c>
      <c r="S40" s="11">
        <v>472</v>
      </c>
      <c r="T40" s="11">
        <v>475</v>
      </c>
      <c r="U40" s="11">
        <v>478</v>
      </c>
      <c r="V40" s="11">
        <v>481</v>
      </c>
      <c r="W40" s="11">
        <v>487</v>
      </c>
      <c r="X40" s="11">
        <v>494</v>
      </c>
      <c r="Y40" s="11">
        <v>503</v>
      </c>
      <c r="Z40" s="11">
        <v>512</v>
      </c>
      <c r="AA40" s="11">
        <v>524</v>
      </c>
      <c r="AB40" s="11">
        <v>540</v>
      </c>
      <c r="AC40" s="11">
        <v>558</v>
      </c>
      <c r="AD40" s="11">
        <v>579</v>
      </c>
      <c r="AE40" s="11">
        <v>604</v>
      </c>
      <c r="AF40" s="11">
        <v>631</v>
      </c>
      <c r="AG40" s="11">
        <v>659</v>
      </c>
      <c r="AH40" s="11">
        <v>690</v>
      </c>
      <c r="AI40" s="11">
        <v>720</v>
      </c>
      <c r="AJ40" s="11">
        <v>754</v>
      </c>
      <c r="AK40" s="11">
        <v>788</v>
      </c>
      <c r="AL40" s="11">
        <v>825</v>
      </c>
      <c r="AM40" s="11">
        <v>861</v>
      </c>
      <c r="AN40" s="11">
        <v>901</v>
      </c>
      <c r="AO40" s="11">
        <v>941</v>
      </c>
      <c r="AP40" s="11">
        <v>984</v>
      </c>
      <c r="AQ40" s="11">
        <v>1005</v>
      </c>
      <c r="AR40" s="11">
        <v>1048</v>
      </c>
      <c r="AS40" s="11">
        <v>1085</v>
      </c>
      <c r="AT40" s="11">
        <v>1110</v>
      </c>
      <c r="AU40" s="11">
        <v>1140</v>
      </c>
      <c r="AV40" s="11">
        <v>1159</v>
      </c>
      <c r="AY40" s="264">
        <v>375</v>
      </c>
      <c r="AZ40" s="264">
        <v>375</v>
      </c>
      <c r="BA40" s="7">
        <v>375</v>
      </c>
      <c r="BB40" s="7">
        <v>375</v>
      </c>
      <c r="BC40" s="7">
        <v>375</v>
      </c>
      <c r="BD40" s="7">
        <v>375</v>
      </c>
      <c r="BE40" s="7">
        <v>375</v>
      </c>
      <c r="BI40" s="21">
        <v>23847</v>
      </c>
    </row>
    <row r="41" spans="1:61" x14ac:dyDescent="0.25">
      <c r="A41" t="s">
        <v>174</v>
      </c>
      <c r="B41" s="7">
        <v>370</v>
      </c>
      <c r="C41" s="390">
        <v>363</v>
      </c>
      <c r="D41" s="390">
        <v>375</v>
      </c>
      <c r="E41" s="11">
        <v>386</v>
      </c>
      <c r="F41" s="11">
        <v>386</v>
      </c>
      <c r="G41" s="11">
        <v>386</v>
      </c>
      <c r="H41" s="11">
        <v>386</v>
      </c>
      <c r="I41" s="11">
        <v>388</v>
      </c>
      <c r="J41" s="11">
        <v>395</v>
      </c>
      <c r="K41" s="11">
        <v>405</v>
      </c>
      <c r="L41" s="11">
        <v>420</v>
      </c>
      <c r="M41" s="11">
        <v>432</v>
      </c>
      <c r="N41" s="11">
        <v>438</v>
      </c>
      <c r="O41" s="11">
        <v>448</v>
      </c>
      <c r="P41" s="11">
        <v>457</v>
      </c>
      <c r="Q41" s="11">
        <v>463</v>
      </c>
      <c r="R41" s="11">
        <v>469</v>
      </c>
      <c r="S41" s="11">
        <v>472</v>
      </c>
      <c r="T41" s="11">
        <v>475</v>
      </c>
      <c r="U41" s="11">
        <v>478</v>
      </c>
      <c r="V41" s="11">
        <v>481</v>
      </c>
      <c r="W41" s="11">
        <v>487</v>
      </c>
      <c r="X41" s="11">
        <v>494</v>
      </c>
      <c r="Y41" s="11">
        <v>503</v>
      </c>
      <c r="Z41" s="11">
        <v>512</v>
      </c>
      <c r="AA41" s="11">
        <v>524</v>
      </c>
      <c r="AB41" s="11">
        <v>540</v>
      </c>
      <c r="AC41" s="11">
        <v>558</v>
      </c>
      <c r="AD41" s="11">
        <v>579</v>
      </c>
      <c r="AE41" s="11">
        <v>604</v>
      </c>
      <c r="AF41" s="11">
        <v>631</v>
      </c>
      <c r="AG41" s="11">
        <v>659</v>
      </c>
      <c r="AH41" s="11">
        <v>690</v>
      </c>
      <c r="AI41" s="11">
        <v>720</v>
      </c>
      <c r="AJ41" s="11">
        <v>754</v>
      </c>
      <c r="AK41" s="11">
        <v>788</v>
      </c>
      <c r="AL41" s="11">
        <v>825</v>
      </c>
      <c r="AM41" s="11">
        <v>861</v>
      </c>
      <c r="AN41" s="11">
        <v>901</v>
      </c>
      <c r="AO41" s="11">
        <v>941</v>
      </c>
      <c r="AP41" s="11">
        <v>984</v>
      </c>
      <c r="AQ41" s="11">
        <v>1005</v>
      </c>
      <c r="AR41" s="11">
        <v>1048</v>
      </c>
      <c r="AS41" s="11">
        <v>1085</v>
      </c>
      <c r="AT41" s="11">
        <v>1110</v>
      </c>
      <c r="AU41" s="11">
        <v>1140</v>
      </c>
      <c r="AV41" s="11">
        <v>1159</v>
      </c>
      <c r="AY41" s="264">
        <v>375</v>
      </c>
      <c r="AZ41" s="264">
        <v>375</v>
      </c>
      <c r="BA41" s="7">
        <v>375</v>
      </c>
      <c r="BB41" s="7">
        <v>375</v>
      </c>
      <c r="BC41" s="7">
        <v>375</v>
      </c>
      <c r="BD41" s="7">
        <v>375</v>
      </c>
      <c r="BE41" s="7">
        <v>375</v>
      </c>
      <c r="BI41" s="21">
        <v>22560</v>
      </c>
    </row>
    <row r="42" spans="1:61" x14ac:dyDescent="0.25">
      <c r="A42" s="88" t="s">
        <v>175</v>
      </c>
      <c r="B42" s="7">
        <v>338</v>
      </c>
      <c r="C42" s="7">
        <v>332</v>
      </c>
      <c r="D42" s="7">
        <v>342</v>
      </c>
      <c r="E42" s="7">
        <v>352</v>
      </c>
      <c r="F42" s="7">
        <v>352</v>
      </c>
      <c r="G42" s="7">
        <v>352</v>
      </c>
      <c r="H42" s="7">
        <v>352</v>
      </c>
      <c r="I42" s="7">
        <v>354</v>
      </c>
      <c r="J42" s="7">
        <v>361</v>
      </c>
      <c r="K42" s="7">
        <v>369</v>
      </c>
      <c r="L42" s="7">
        <v>383</v>
      </c>
      <c r="M42" s="7">
        <v>394</v>
      </c>
      <c r="N42" s="7">
        <v>400</v>
      </c>
      <c r="O42" s="7">
        <v>409</v>
      </c>
      <c r="P42" s="7">
        <v>417</v>
      </c>
      <c r="Q42" s="7">
        <v>422</v>
      </c>
      <c r="R42" s="7">
        <v>428</v>
      </c>
      <c r="S42" s="7">
        <v>431</v>
      </c>
      <c r="T42" s="7">
        <v>434</v>
      </c>
      <c r="U42" s="7">
        <v>436</v>
      </c>
      <c r="V42" s="7">
        <v>439</v>
      </c>
      <c r="W42" s="7">
        <v>445</v>
      </c>
      <c r="X42" s="7">
        <v>450</v>
      </c>
      <c r="Y42" s="7">
        <v>459</v>
      </c>
      <c r="Z42" s="7">
        <v>467</v>
      </c>
      <c r="AA42" s="7">
        <v>478</v>
      </c>
      <c r="AB42" s="7">
        <v>492</v>
      </c>
      <c r="AC42" s="7">
        <v>509</v>
      </c>
      <c r="AD42" s="7">
        <v>529</v>
      </c>
      <c r="AE42" s="7">
        <v>551</v>
      </c>
      <c r="AF42" s="7">
        <v>576</v>
      </c>
      <c r="AG42" s="7">
        <v>601</v>
      </c>
      <c r="AH42" s="7">
        <v>629</v>
      </c>
      <c r="AI42" s="7">
        <v>657</v>
      </c>
      <c r="AJ42" s="7">
        <v>688</v>
      </c>
      <c r="AK42" s="7">
        <v>719</v>
      </c>
      <c r="AL42" s="7">
        <v>753</v>
      </c>
      <c r="AM42" s="7">
        <v>786</v>
      </c>
      <c r="AN42" s="7">
        <v>822</v>
      </c>
      <c r="AO42" s="7">
        <v>859</v>
      </c>
      <c r="AP42" s="7">
        <v>898</v>
      </c>
      <c r="AQ42" s="7">
        <v>917</v>
      </c>
      <c r="AR42" s="7">
        <v>957</v>
      </c>
      <c r="AS42" s="7">
        <v>990</v>
      </c>
      <c r="AT42" s="7">
        <v>1013</v>
      </c>
      <c r="AU42" s="7">
        <v>1040</v>
      </c>
      <c r="AV42" s="7">
        <v>1057</v>
      </c>
      <c r="AW42" s="21"/>
      <c r="AX42" s="21"/>
      <c r="AY42" s="264">
        <v>342</v>
      </c>
      <c r="AZ42" s="264">
        <v>342</v>
      </c>
      <c r="BA42" s="7">
        <v>342</v>
      </c>
      <c r="BB42" s="7">
        <v>342</v>
      </c>
      <c r="BC42" s="7">
        <v>339</v>
      </c>
      <c r="BD42" s="7">
        <v>342</v>
      </c>
      <c r="BE42" s="7">
        <v>342</v>
      </c>
      <c r="BI42" s="21">
        <v>22030</v>
      </c>
    </row>
    <row r="43" spans="1:61" x14ac:dyDescent="0.25">
      <c r="A43" t="s">
        <v>176</v>
      </c>
      <c r="B43" s="7">
        <v>338</v>
      </c>
      <c r="C43" s="7">
        <v>332</v>
      </c>
      <c r="D43" s="7">
        <v>342</v>
      </c>
      <c r="E43" s="7">
        <v>352</v>
      </c>
      <c r="F43" s="7">
        <v>352</v>
      </c>
      <c r="G43" s="7">
        <v>352</v>
      </c>
      <c r="H43" s="7">
        <v>352</v>
      </c>
      <c r="I43" s="7">
        <v>354</v>
      </c>
      <c r="J43" s="7">
        <v>361</v>
      </c>
      <c r="K43" s="7">
        <v>369</v>
      </c>
      <c r="L43" s="7">
        <v>383</v>
      </c>
      <c r="M43" s="7">
        <v>394</v>
      </c>
      <c r="N43" s="7">
        <v>400</v>
      </c>
      <c r="O43" s="7">
        <v>409</v>
      </c>
      <c r="P43" s="7">
        <v>417</v>
      </c>
      <c r="Q43" s="7">
        <v>422</v>
      </c>
      <c r="R43" s="7">
        <v>428</v>
      </c>
      <c r="S43" s="7">
        <v>431</v>
      </c>
      <c r="T43" s="7">
        <v>434</v>
      </c>
      <c r="U43" s="7">
        <v>436</v>
      </c>
      <c r="V43" s="7">
        <v>439</v>
      </c>
      <c r="W43" s="7">
        <v>445</v>
      </c>
      <c r="X43" s="7">
        <v>450</v>
      </c>
      <c r="Y43" s="7">
        <v>459</v>
      </c>
      <c r="Z43" s="7">
        <v>467</v>
      </c>
      <c r="AA43" s="7">
        <v>478</v>
      </c>
      <c r="AB43" s="7">
        <v>492</v>
      </c>
      <c r="AC43" s="7">
        <v>509</v>
      </c>
      <c r="AD43" s="7">
        <v>529</v>
      </c>
      <c r="AE43" s="7">
        <v>551</v>
      </c>
      <c r="AF43" s="7">
        <v>576</v>
      </c>
      <c r="AG43" s="7">
        <v>601</v>
      </c>
      <c r="AH43" s="7">
        <v>629</v>
      </c>
      <c r="AI43" s="7">
        <v>657</v>
      </c>
      <c r="AJ43" s="7">
        <v>688</v>
      </c>
      <c r="AK43" s="7">
        <v>719</v>
      </c>
      <c r="AL43" s="7">
        <v>753</v>
      </c>
      <c r="AM43" s="7">
        <v>786</v>
      </c>
      <c r="AN43" s="7">
        <v>822</v>
      </c>
      <c r="AO43" s="7">
        <v>859</v>
      </c>
      <c r="AP43" s="7">
        <v>898</v>
      </c>
      <c r="AQ43" s="7">
        <v>917</v>
      </c>
      <c r="AR43" s="7">
        <v>957</v>
      </c>
      <c r="AS43" s="7">
        <v>990</v>
      </c>
      <c r="AT43" s="7">
        <v>1013</v>
      </c>
      <c r="AU43" s="7">
        <v>1040</v>
      </c>
      <c r="AV43" s="7">
        <v>1057</v>
      </c>
      <c r="AW43" s="21"/>
      <c r="AX43" s="21"/>
      <c r="AY43" s="264">
        <v>342</v>
      </c>
      <c r="AZ43" s="264">
        <v>342</v>
      </c>
      <c r="BA43" s="7">
        <v>342</v>
      </c>
      <c r="BB43" s="7">
        <v>342</v>
      </c>
      <c r="BC43" s="7">
        <v>339</v>
      </c>
      <c r="BD43" s="7">
        <v>342</v>
      </c>
      <c r="BE43" s="7">
        <v>342</v>
      </c>
      <c r="BI43" s="21">
        <v>22044</v>
      </c>
    </row>
    <row r="44" spans="1:61" x14ac:dyDescent="0.25">
      <c r="A44" s="88" t="s">
        <v>177</v>
      </c>
      <c r="B44" s="7">
        <v>338</v>
      </c>
      <c r="C44" s="7">
        <v>332</v>
      </c>
      <c r="D44" s="7">
        <v>342</v>
      </c>
      <c r="E44" s="7">
        <v>352</v>
      </c>
      <c r="F44" s="7">
        <v>352</v>
      </c>
      <c r="G44" s="7">
        <v>352</v>
      </c>
      <c r="H44" s="7">
        <v>352</v>
      </c>
      <c r="I44" s="7">
        <v>354</v>
      </c>
      <c r="J44" s="7">
        <v>361</v>
      </c>
      <c r="K44" s="7">
        <v>369</v>
      </c>
      <c r="L44" s="7">
        <v>383</v>
      </c>
      <c r="M44" s="7">
        <v>394</v>
      </c>
      <c r="N44" s="7">
        <v>400</v>
      </c>
      <c r="O44" s="7">
        <v>409</v>
      </c>
      <c r="P44" s="7">
        <v>417</v>
      </c>
      <c r="Q44" s="7">
        <v>422</v>
      </c>
      <c r="R44" s="7">
        <v>428</v>
      </c>
      <c r="S44" s="7">
        <v>431</v>
      </c>
      <c r="T44" s="7">
        <v>434</v>
      </c>
      <c r="U44" s="7">
        <v>436</v>
      </c>
      <c r="V44" s="7">
        <v>439</v>
      </c>
      <c r="W44" s="7">
        <v>445</v>
      </c>
      <c r="X44" s="7">
        <v>450</v>
      </c>
      <c r="Y44" s="7">
        <v>459</v>
      </c>
      <c r="Z44" s="7">
        <v>467</v>
      </c>
      <c r="AA44" s="7">
        <v>478</v>
      </c>
      <c r="AB44" s="7">
        <v>492</v>
      </c>
      <c r="AC44" s="7">
        <v>509</v>
      </c>
      <c r="AD44" s="7">
        <v>529</v>
      </c>
      <c r="AE44" s="7">
        <v>551</v>
      </c>
      <c r="AF44" s="7">
        <v>576</v>
      </c>
      <c r="AG44" s="7">
        <v>601</v>
      </c>
      <c r="AH44" s="7">
        <v>629</v>
      </c>
      <c r="AI44" s="7">
        <v>657</v>
      </c>
      <c r="AJ44" s="7">
        <v>688</v>
      </c>
      <c r="AK44" s="7">
        <v>719</v>
      </c>
      <c r="AL44" s="7">
        <v>753</v>
      </c>
      <c r="AM44" s="7">
        <v>786</v>
      </c>
      <c r="AN44" s="7">
        <v>822</v>
      </c>
      <c r="AO44" s="7">
        <v>859</v>
      </c>
      <c r="AP44" s="7">
        <v>898</v>
      </c>
      <c r="AQ44" s="7">
        <v>917</v>
      </c>
      <c r="AR44" s="7">
        <v>957</v>
      </c>
      <c r="AS44" s="7">
        <v>990</v>
      </c>
      <c r="AT44" s="7">
        <v>1013</v>
      </c>
      <c r="AU44" s="7">
        <v>1040</v>
      </c>
      <c r="AV44" s="7">
        <v>1057</v>
      </c>
      <c r="AW44" s="21"/>
      <c r="AX44" s="21"/>
      <c r="AY44" s="264">
        <v>342</v>
      </c>
      <c r="AZ44" s="264">
        <v>342</v>
      </c>
      <c r="BA44" s="7">
        <v>342</v>
      </c>
      <c r="BB44" s="7">
        <v>342</v>
      </c>
      <c r="BC44" s="7">
        <v>339</v>
      </c>
      <c r="BD44" s="7">
        <v>342</v>
      </c>
      <c r="BE44" s="7">
        <v>342</v>
      </c>
      <c r="BI44" s="21">
        <v>22044</v>
      </c>
    </row>
    <row r="45" spans="1:61" x14ac:dyDescent="0.25">
      <c r="A45" s="88" t="s">
        <v>178</v>
      </c>
      <c r="B45" s="7">
        <v>339</v>
      </c>
      <c r="C45" s="7">
        <v>332</v>
      </c>
      <c r="D45" s="7">
        <v>342</v>
      </c>
      <c r="E45" s="7">
        <v>352</v>
      </c>
      <c r="F45" s="7">
        <v>352</v>
      </c>
      <c r="G45" s="7">
        <v>352</v>
      </c>
      <c r="H45" s="7">
        <v>352</v>
      </c>
      <c r="I45" s="7">
        <v>354</v>
      </c>
      <c r="J45" s="7">
        <v>361</v>
      </c>
      <c r="K45" s="7">
        <v>369</v>
      </c>
      <c r="L45" s="7">
        <v>383</v>
      </c>
      <c r="M45" s="7">
        <v>394</v>
      </c>
      <c r="N45" s="7">
        <v>400</v>
      </c>
      <c r="O45" s="7">
        <v>409</v>
      </c>
      <c r="P45" s="7">
        <v>417</v>
      </c>
      <c r="Q45" s="7">
        <v>422</v>
      </c>
      <c r="R45" s="7">
        <v>428</v>
      </c>
      <c r="S45" s="7">
        <v>431</v>
      </c>
      <c r="T45" s="7">
        <v>434</v>
      </c>
      <c r="U45" s="7">
        <v>436</v>
      </c>
      <c r="V45" s="7">
        <v>439</v>
      </c>
      <c r="W45" s="7">
        <v>445</v>
      </c>
      <c r="X45" s="7">
        <v>450</v>
      </c>
      <c r="Y45" s="7">
        <v>459</v>
      </c>
      <c r="Z45" s="7">
        <v>467</v>
      </c>
      <c r="AA45" s="7">
        <v>478</v>
      </c>
      <c r="AB45" s="7">
        <v>492</v>
      </c>
      <c r="AC45" s="7">
        <v>509</v>
      </c>
      <c r="AD45" s="7">
        <v>529</v>
      </c>
      <c r="AE45" s="7">
        <v>551</v>
      </c>
      <c r="AF45" s="7">
        <v>576</v>
      </c>
      <c r="AG45" s="7">
        <v>601</v>
      </c>
      <c r="AH45" s="7">
        <v>629</v>
      </c>
      <c r="AI45" s="7">
        <v>657</v>
      </c>
      <c r="AJ45" s="7">
        <v>688</v>
      </c>
      <c r="AK45" s="7">
        <v>719</v>
      </c>
      <c r="AL45" s="7">
        <v>753</v>
      </c>
      <c r="AM45" s="7">
        <v>786</v>
      </c>
      <c r="AN45" s="7">
        <v>822</v>
      </c>
      <c r="AO45" s="7">
        <v>859</v>
      </c>
      <c r="AP45" s="7">
        <v>898</v>
      </c>
      <c r="AQ45" s="7">
        <v>917</v>
      </c>
      <c r="AR45" s="7">
        <v>957</v>
      </c>
      <c r="AS45" s="7">
        <v>990</v>
      </c>
      <c r="AT45" s="7">
        <v>1013</v>
      </c>
      <c r="AU45" s="7">
        <v>1040</v>
      </c>
      <c r="AV45" s="7">
        <v>1057</v>
      </c>
      <c r="AW45" s="29"/>
      <c r="AX45" s="29"/>
      <c r="AY45" s="264">
        <v>342</v>
      </c>
      <c r="AZ45" s="264">
        <v>342</v>
      </c>
      <c r="BA45" s="7">
        <v>342</v>
      </c>
      <c r="BB45" s="7">
        <v>342</v>
      </c>
      <c r="BC45" s="7">
        <v>339</v>
      </c>
      <c r="BD45" s="7">
        <v>342</v>
      </c>
      <c r="BE45" s="7">
        <v>342</v>
      </c>
      <c r="BI45" s="21">
        <v>20187</v>
      </c>
    </row>
    <row r="46" spans="1:61" x14ac:dyDescent="0.25">
      <c r="A46" s="88" t="s">
        <v>179</v>
      </c>
      <c r="B46" s="7">
        <v>371</v>
      </c>
      <c r="C46" s="7">
        <v>363</v>
      </c>
      <c r="D46" s="7">
        <v>375</v>
      </c>
      <c r="E46" s="7">
        <v>386</v>
      </c>
      <c r="F46" s="7">
        <v>386</v>
      </c>
      <c r="G46" s="7">
        <v>386</v>
      </c>
      <c r="H46" s="7">
        <v>386</v>
      </c>
      <c r="I46" s="7">
        <v>388</v>
      </c>
      <c r="J46" s="7">
        <v>395</v>
      </c>
      <c r="K46" s="7">
        <v>405</v>
      </c>
      <c r="L46" s="7">
        <v>420</v>
      </c>
      <c r="M46" s="7">
        <v>432</v>
      </c>
      <c r="N46" s="7">
        <v>438</v>
      </c>
      <c r="O46" s="7">
        <v>448</v>
      </c>
      <c r="P46" s="7">
        <v>457</v>
      </c>
      <c r="Q46" s="7">
        <v>463</v>
      </c>
      <c r="R46" s="7">
        <v>469</v>
      </c>
      <c r="S46" s="7">
        <v>472</v>
      </c>
      <c r="T46" s="7">
        <v>475</v>
      </c>
      <c r="U46" s="7">
        <v>478</v>
      </c>
      <c r="V46" s="7">
        <v>481</v>
      </c>
      <c r="W46" s="7">
        <v>487</v>
      </c>
      <c r="X46" s="7">
        <v>494</v>
      </c>
      <c r="Y46" s="7">
        <v>503</v>
      </c>
      <c r="Z46" s="7">
        <v>512</v>
      </c>
      <c r="AA46" s="7">
        <v>524</v>
      </c>
      <c r="AB46" s="7">
        <v>540</v>
      </c>
      <c r="AC46" s="7">
        <v>558</v>
      </c>
      <c r="AD46" s="7">
        <v>579</v>
      </c>
      <c r="AE46" s="7">
        <v>603</v>
      </c>
      <c r="AF46" s="7">
        <v>631</v>
      </c>
      <c r="AG46" s="7">
        <v>659</v>
      </c>
      <c r="AH46" s="7">
        <v>690</v>
      </c>
      <c r="AI46" s="7">
        <v>720</v>
      </c>
      <c r="AJ46" s="7">
        <v>754</v>
      </c>
      <c r="AK46" s="7">
        <v>788</v>
      </c>
      <c r="AL46" s="7">
        <v>825</v>
      </c>
      <c r="AM46" s="7">
        <v>861</v>
      </c>
      <c r="AN46" s="7">
        <v>901</v>
      </c>
      <c r="AO46" s="7">
        <v>941</v>
      </c>
      <c r="AP46" s="7">
        <v>984</v>
      </c>
      <c r="AQ46" s="7">
        <v>1005</v>
      </c>
      <c r="AR46" s="7">
        <v>1048</v>
      </c>
      <c r="AS46" s="7">
        <v>1085</v>
      </c>
      <c r="AT46" s="7">
        <v>1110</v>
      </c>
      <c r="AU46" s="7">
        <v>1140</v>
      </c>
      <c r="AV46" s="7">
        <v>1159</v>
      </c>
      <c r="AW46" s="391"/>
      <c r="AX46" s="391"/>
      <c r="AY46" s="7">
        <v>375</v>
      </c>
      <c r="AZ46" s="290">
        <v>375</v>
      </c>
      <c r="BA46" s="7">
        <v>375</v>
      </c>
      <c r="BB46" s="7">
        <v>375</v>
      </c>
      <c r="BC46" s="7">
        <v>375</v>
      </c>
      <c r="BD46" s="7">
        <v>375</v>
      </c>
      <c r="BE46" s="7">
        <v>375</v>
      </c>
      <c r="BI46" s="21">
        <v>24091</v>
      </c>
    </row>
    <row r="47" spans="1:61" x14ac:dyDescent="0.25">
      <c r="A47" s="88" t="s">
        <v>180</v>
      </c>
      <c r="B47" s="7">
        <v>374</v>
      </c>
      <c r="C47" s="11">
        <v>368</v>
      </c>
      <c r="D47" s="11">
        <v>379</v>
      </c>
      <c r="E47" s="11">
        <v>391</v>
      </c>
      <c r="F47" s="11">
        <v>391</v>
      </c>
      <c r="G47" s="11">
        <v>391</v>
      </c>
      <c r="H47" s="11">
        <v>391</v>
      </c>
      <c r="I47" s="11">
        <v>392</v>
      </c>
      <c r="J47" s="11">
        <v>400</v>
      </c>
      <c r="K47" s="11">
        <v>410</v>
      </c>
      <c r="L47" s="11">
        <v>425</v>
      </c>
      <c r="M47" s="11">
        <v>437</v>
      </c>
      <c r="N47" s="11">
        <v>444</v>
      </c>
      <c r="O47" s="11">
        <v>453</v>
      </c>
      <c r="P47" s="11">
        <v>462</v>
      </c>
      <c r="Q47" s="11">
        <v>468</v>
      </c>
      <c r="R47" s="7">
        <v>474</v>
      </c>
      <c r="S47" s="7">
        <v>478</v>
      </c>
      <c r="T47" s="7">
        <v>481</v>
      </c>
      <c r="U47" s="7">
        <v>484</v>
      </c>
      <c r="V47" s="7">
        <v>487</v>
      </c>
      <c r="W47" s="7">
        <v>493</v>
      </c>
      <c r="X47" s="7">
        <v>499</v>
      </c>
      <c r="Y47" s="7">
        <v>509</v>
      </c>
      <c r="Z47" s="7">
        <v>518</v>
      </c>
      <c r="AA47" s="7">
        <v>530</v>
      </c>
      <c r="AB47" s="7">
        <v>546</v>
      </c>
      <c r="AC47" s="7">
        <v>564</v>
      </c>
      <c r="AD47" s="7">
        <v>586</v>
      </c>
      <c r="AE47" s="7">
        <v>611</v>
      </c>
      <c r="AF47" s="7">
        <v>639</v>
      </c>
      <c r="AG47" s="7">
        <v>667</v>
      </c>
      <c r="AH47" s="7">
        <v>698</v>
      </c>
      <c r="AI47" s="7">
        <v>729</v>
      </c>
      <c r="AJ47" s="7">
        <v>763</v>
      </c>
      <c r="AK47" s="7">
        <v>797</v>
      </c>
      <c r="AL47" s="7">
        <v>834</v>
      </c>
      <c r="AM47" s="7">
        <v>871</v>
      </c>
      <c r="AN47" s="7">
        <v>912</v>
      </c>
      <c r="AO47" s="7">
        <v>952</v>
      </c>
      <c r="AP47" s="7">
        <v>996</v>
      </c>
      <c r="AQ47" s="7">
        <v>1017</v>
      </c>
      <c r="AR47" s="7">
        <v>1061</v>
      </c>
      <c r="AS47" s="7">
        <v>1098</v>
      </c>
      <c r="AT47" s="7">
        <v>1123</v>
      </c>
      <c r="AU47" s="7">
        <v>1154</v>
      </c>
      <c r="AV47" s="7">
        <v>1172</v>
      </c>
      <c r="AY47" s="264">
        <v>379</v>
      </c>
      <c r="AZ47" s="264">
        <v>379</v>
      </c>
      <c r="BA47" s="7">
        <v>379</v>
      </c>
      <c r="BB47" s="7">
        <v>379</v>
      </c>
      <c r="BC47" s="7">
        <v>379</v>
      </c>
      <c r="BD47" s="7">
        <v>379</v>
      </c>
      <c r="BE47" s="7">
        <v>379</v>
      </c>
      <c r="BI47" s="21">
        <v>22963</v>
      </c>
    </row>
    <row r="48" spans="1:61" x14ac:dyDescent="0.25">
      <c r="A48" s="88" t="s">
        <v>181</v>
      </c>
      <c r="B48" s="7">
        <v>370</v>
      </c>
      <c r="C48" s="390">
        <v>363</v>
      </c>
      <c r="D48" s="390">
        <v>375</v>
      </c>
      <c r="E48" s="11">
        <v>386</v>
      </c>
      <c r="F48" s="11">
        <v>386</v>
      </c>
      <c r="G48" s="11">
        <v>386</v>
      </c>
      <c r="H48" s="11">
        <v>386</v>
      </c>
      <c r="I48" s="11">
        <v>388</v>
      </c>
      <c r="J48" s="11">
        <v>395</v>
      </c>
      <c r="K48" s="11">
        <v>405</v>
      </c>
      <c r="L48" s="11">
        <v>420</v>
      </c>
      <c r="M48" s="11">
        <v>432</v>
      </c>
      <c r="N48" s="11">
        <v>438</v>
      </c>
      <c r="O48" s="11">
        <v>448</v>
      </c>
      <c r="P48" s="11">
        <v>457</v>
      </c>
      <c r="Q48" s="11">
        <v>463</v>
      </c>
      <c r="R48" s="11">
        <v>469</v>
      </c>
      <c r="S48" s="11">
        <v>472</v>
      </c>
      <c r="T48" s="11">
        <v>475</v>
      </c>
      <c r="U48" s="11">
        <v>478</v>
      </c>
      <c r="V48" s="11">
        <v>481</v>
      </c>
      <c r="W48" s="11">
        <v>487</v>
      </c>
      <c r="X48" s="11">
        <v>494</v>
      </c>
      <c r="Y48" s="11">
        <v>503</v>
      </c>
      <c r="Z48" s="11">
        <v>512</v>
      </c>
      <c r="AA48" s="11">
        <v>524</v>
      </c>
      <c r="AB48" s="11">
        <v>540</v>
      </c>
      <c r="AC48" s="11">
        <v>558</v>
      </c>
      <c r="AD48" s="11">
        <v>579</v>
      </c>
      <c r="AE48" s="11">
        <v>604</v>
      </c>
      <c r="AF48" s="11">
        <v>631</v>
      </c>
      <c r="AG48" s="11">
        <v>659</v>
      </c>
      <c r="AH48" s="11">
        <v>690</v>
      </c>
      <c r="AI48" s="11">
        <v>720</v>
      </c>
      <c r="AJ48" s="11">
        <v>754</v>
      </c>
      <c r="AK48" s="11">
        <v>788</v>
      </c>
      <c r="AL48" s="11">
        <v>825</v>
      </c>
      <c r="AM48" s="11">
        <v>861</v>
      </c>
      <c r="AN48" s="11">
        <v>901</v>
      </c>
      <c r="AO48" s="11">
        <v>941</v>
      </c>
      <c r="AP48" s="11">
        <v>984</v>
      </c>
      <c r="AQ48" s="11">
        <v>1005</v>
      </c>
      <c r="AR48" s="11">
        <v>1048</v>
      </c>
      <c r="AS48" s="11">
        <v>1085</v>
      </c>
      <c r="AT48" s="11">
        <v>1110</v>
      </c>
      <c r="AU48" s="11">
        <v>1140</v>
      </c>
      <c r="AV48" s="11">
        <v>1159</v>
      </c>
      <c r="AY48" s="264">
        <v>375</v>
      </c>
      <c r="AZ48" s="264">
        <v>375</v>
      </c>
      <c r="BA48" s="7">
        <v>375</v>
      </c>
      <c r="BB48" s="7">
        <v>375</v>
      </c>
      <c r="BC48" s="7">
        <v>375</v>
      </c>
      <c r="BD48" s="7">
        <v>375</v>
      </c>
      <c r="BE48" s="7">
        <v>375</v>
      </c>
      <c r="BI48" s="21">
        <v>23851</v>
      </c>
    </row>
    <row r="49" spans="1:61" x14ac:dyDescent="0.25">
      <c r="A49" s="88" t="s">
        <v>182</v>
      </c>
      <c r="B49" s="7">
        <v>371</v>
      </c>
      <c r="C49" s="7">
        <v>363</v>
      </c>
      <c r="D49" s="7">
        <v>375</v>
      </c>
      <c r="E49" s="7">
        <v>386</v>
      </c>
      <c r="F49" s="7">
        <v>386</v>
      </c>
      <c r="G49" s="7">
        <v>386</v>
      </c>
      <c r="H49" s="7">
        <v>386</v>
      </c>
      <c r="I49" s="7">
        <v>388</v>
      </c>
      <c r="J49" s="7">
        <v>395</v>
      </c>
      <c r="K49" s="7">
        <v>405</v>
      </c>
      <c r="L49" s="7">
        <v>420</v>
      </c>
      <c r="M49" s="7">
        <v>432</v>
      </c>
      <c r="N49" s="7">
        <v>438</v>
      </c>
      <c r="O49" s="7">
        <v>448</v>
      </c>
      <c r="P49" s="7">
        <v>457</v>
      </c>
      <c r="Q49" s="7">
        <v>463</v>
      </c>
      <c r="R49" s="7">
        <v>469</v>
      </c>
      <c r="S49" s="7">
        <v>472</v>
      </c>
      <c r="T49" s="7">
        <v>475</v>
      </c>
      <c r="U49" s="7">
        <v>478</v>
      </c>
      <c r="V49" s="7">
        <v>481</v>
      </c>
      <c r="W49" s="7">
        <v>487</v>
      </c>
      <c r="X49" s="7">
        <v>494</v>
      </c>
      <c r="Y49" s="7">
        <v>503</v>
      </c>
      <c r="Z49" s="7">
        <v>512</v>
      </c>
      <c r="AA49" s="7">
        <v>524</v>
      </c>
      <c r="AB49" s="7">
        <v>540</v>
      </c>
      <c r="AC49" s="7">
        <v>558</v>
      </c>
      <c r="AD49" s="7">
        <v>579</v>
      </c>
      <c r="AE49" s="7">
        <v>603</v>
      </c>
      <c r="AF49" s="7">
        <v>631</v>
      </c>
      <c r="AG49" s="7">
        <v>659</v>
      </c>
      <c r="AH49" s="7">
        <v>690</v>
      </c>
      <c r="AI49" s="7">
        <v>720</v>
      </c>
      <c r="AJ49" s="7">
        <v>754</v>
      </c>
      <c r="AK49" s="7">
        <v>788</v>
      </c>
      <c r="AL49" s="7">
        <v>825</v>
      </c>
      <c r="AM49" s="7">
        <v>861</v>
      </c>
      <c r="AN49" s="7">
        <v>901</v>
      </c>
      <c r="AO49" s="7">
        <v>941</v>
      </c>
      <c r="AP49" s="7">
        <v>984</v>
      </c>
      <c r="AQ49" s="7">
        <v>1005</v>
      </c>
      <c r="AR49" s="7">
        <v>1048</v>
      </c>
      <c r="AS49" s="7">
        <v>1085</v>
      </c>
      <c r="AT49" s="7">
        <v>1110</v>
      </c>
      <c r="AU49" s="7">
        <v>1140</v>
      </c>
      <c r="AV49" s="7">
        <v>1159</v>
      </c>
      <c r="AW49" s="391"/>
      <c r="AX49" s="391"/>
      <c r="AY49" s="7">
        <v>375</v>
      </c>
      <c r="AZ49" s="290">
        <v>375</v>
      </c>
      <c r="BA49" s="7">
        <v>375</v>
      </c>
      <c r="BB49" s="7">
        <v>375</v>
      </c>
      <c r="BC49" s="7">
        <v>375</v>
      </c>
      <c r="BD49" s="7">
        <v>375</v>
      </c>
      <c r="BE49" s="7">
        <v>375</v>
      </c>
      <c r="BI49" s="21">
        <v>24112</v>
      </c>
    </row>
    <row r="50" spans="1:61" x14ac:dyDescent="0.25">
      <c r="A50" t="s">
        <v>183</v>
      </c>
      <c r="B50" s="7">
        <v>371</v>
      </c>
      <c r="C50" s="7">
        <v>363</v>
      </c>
      <c r="D50" s="7">
        <v>375</v>
      </c>
      <c r="E50" s="7">
        <v>386</v>
      </c>
      <c r="F50" s="7">
        <v>386</v>
      </c>
      <c r="G50" s="7">
        <v>386</v>
      </c>
      <c r="H50" s="7">
        <v>386</v>
      </c>
      <c r="I50" s="7">
        <v>388</v>
      </c>
      <c r="J50" s="7">
        <v>395</v>
      </c>
      <c r="K50" s="7">
        <v>405</v>
      </c>
      <c r="L50" s="7">
        <v>420</v>
      </c>
      <c r="M50" s="7">
        <v>432</v>
      </c>
      <c r="N50" s="7">
        <v>438</v>
      </c>
      <c r="O50" s="7">
        <v>448</v>
      </c>
      <c r="P50" s="7">
        <v>457</v>
      </c>
      <c r="Q50" s="7">
        <v>463</v>
      </c>
      <c r="R50" s="7">
        <v>469</v>
      </c>
      <c r="S50" s="7">
        <v>472</v>
      </c>
      <c r="T50" s="7">
        <v>475</v>
      </c>
      <c r="U50" s="7">
        <v>478</v>
      </c>
      <c r="V50" s="7">
        <v>481</v>
      </c>
      <c r="W50" s="7">
        <v>487</v>
      </c>
      <c r="X50" s="7">
        <v>494</v>
      </c>
      <c r="Y50" s="7">
        <v>503</v>
      </c>
      <c r="Z50" s="7">
        <v>512</v>
      </c>
      <c r="AA50" s="7">
        <v>524</v>
      </c>
      <c r="AB50" s="7">
        <v>540</v>
      </c>
      <c r="AC50" s="7">
        <v>558</v>
      </c>
      <c r="AD50" s="7">
        <v>579</v>
      </c>
      <c r="AE50" s="7">
        <v>603</v>
      </c>
      <c r="AF50" s="7">
        <v>631</v>
      </c>
      <c r="AG50" s="7">
        <v>659</v>
      </c>
      <c r="AH50" s="7">
        <v>690</v>
      </c>
      <c r="AI50" s="7">
        <v>720</v>
      </c>
      <c r="AJ50" s="7">
        <v>754</v>
      </c>
      <c r="AK50" s="7">
        <v>788</v>
      </c>
      <c r="AL50" s="7">
        <v>825</v>
      </c>
      <c r="AM50" s="7">
        <v>861</v>
      </c>
      <c r="AN50" s="7">
        <v>901</v>
      </c>
      <c r="AO50" s="7">
        <v>941</v>
      </c>
      <c r="AP50" s="7">
        <v>984</v>
      </c>
      <c r="AQ50" s="7">
        <v>1005</v>
      </c>
      <c r="AR50" s="7">
        <v>1048</v>
      </c>
      <c r="AS50" s="7">
        <v>1085</v>
      </c>
      <c r="AT50" s="7">
        <v>1110</v>
      </c>
      <c r="AU50" s="7">
        <v>1140</v>
      </c>
      <c r="AV50" s="7">
        <v>1159</v>
      </c>
      <c r="AW50" s="391"/>
      <c r="AX50" s="391"/>
      <c r="AY50" s="7">
        <v>375</v>
      </c>
      <c r="AZ50" s="290">
        <v>375</v>
      </c>
      <c r="BA50" s="7">
        <v>375</v>
      </c>
      <c r="BB50" s="7">
        <v>375</v>
      </c>
      <c r="BC50" s="7">
        <v>375</v>
      </c>
      <c r="BD50" s="7">
        <v>375</v>
      </c>
      <c r="BE50" s="7">
        <v>375</v>
      </c>
      <c r="BI50" s="21">
        <v>22602</v>
      </c>
    </row>
    <row r="51" spans="1:61" x14ac:dyDescent="0.25">
      <c r="A51" s="88" t="s">
        <v>184</v>
      </c>
      <c r="B51" s="7">
        <v>338</v>
      </c>
      <c r="C51" s="7">
        <v>332</v>
      </c>
      <c r="D51" s="7">
        <v>342</v>
      </c>
      <c r="E51" s="7">
        <v>352</v>
      </c>
      <c r="F51" s="7">
        <v>352</v>
      </c>
      <c r="G51" s="7">
        <v>352</v>
      </c>
      <c r="H51" s="7">
        <v>352</v>
      </c>
      <c r="I51" s="7">
        <v>354</v>
      </c>
      <c r="J51" s="7">
        <v>361</v>
      </c>
      <c r="K51" s="7">
        <v>369</v>
      </c>
      <c r="L51" s="7">
        <v>383</v>
      </c>
      <c r="M51" s="7">
        <v>394</v>
      </c>
      <c r="N51" s="7">
        <v>400</v>
      </c>
      <c r="O51" s="7">
        <v>409</v>
      </c>
      <c r="P51" s="7">
        <v>417</v>
      </c>
      <c r="Q51" s="7">
        <v>422</v>
      </c>
      <c r="R51" s="7">
        <v>428</v>
      </c>
      <c r="S51" s="7">
        <v>431</v>
      </c>
      <c r="T51" s="7">
        <v>434</v>
      </c>
      <c r="U51" s="7">
        <v>436</v>
      </c>
      <c r="V51" s="7">
        <v>439</v>
      </c>
      <c r="W51" s="7">
        <v>445</v>
      </c>
      <c r="X51" s="7">
        <v>450</v>
      </c>
      <c r="Y51" s="7">
        <v>459</v>
      </c>
      <c r="Z51" s="7">
        <v>467</v>
      </c>
      <c r="AA51" s="7">
        <v>478</v>
      </c>
      <c r="AB51" s="7">
        <v>492</v>
      </c>
      <c r="AC51" s="7">
        <v>509</v>
      </c>
      <c r="AD51" s="7">
        <v>529</v>
      </c>
      <c r="AE51" s="7">
        <v>551</v>
      </c>
      <c r="AF51" s="7">
        <v>576</v>
      </c>
      <c r="AG51" s="7">
        <v>601</v>
      </c>
      <c r="AH51" s="7">
        <v>629</v>
      </c>
      <c r="AI51" s="7">
        <v>657</v>
      </c>
      <c r="AJ51" s="7">
        <v>688</v>
      </c>
      <c r="AK51" s="7">
        <v>719</v>
      </c>
      <c r="AL51" s="7">
        <v>753</v>
      </c>
      <c r="AM51" s="7">
        <v>786</v>
      </c>
      <c r="AN51" s="7">
        <v>822</v>
      </c>
      <c r="AO51" s="7">
        <v>859</v>
      </c>
      <c r="AP51" s="7">
        <v>898</v>
      </c>
      <c r="AQ51" s="7">
        <v>917</v>
      </c>
      <c r="AR51" s="7">
        <v>957</v>
      </c>
      <c r="AS51" s="7">
        <v>990</v>
      </c>
      <c r="AT51" s="7">
        <v>1013</v>
      </c>
      <c r="AU51" s="7">
        <v>1040</v>
      </c>
      <c r="AV51" s="7">
        <v>1057</v>
      </c>
      <c r="AW51" s="21"/>
      <c r="AX51" s="21"/>
      <c r="AY51" s="264">
        <v>342</v>
      </c>
      <c r="AZ51" s="264">
        <v>342</v>
      </c>
      <c r="BA51" s="7">
        <v>342</v>
      </c>
      <c r="BB51" s="7">
        <v>342</v>
      </c>
      <c r="BC51" s="7">
        <v>339</v>
      </c>
      <c r="BD51" s="7">
        <v>342</v>
      </c>
      <c r="BE51" s="7">
        <v>342</v>
      </c>
      <c r="BI51" s="21">
        <v>22404</v>
      </c>
    </row>
    <row r="52" spans="1:61" x14ac:dyDescent="0.25">
      <c r="A52" s="88" t="s">
        <v>185</v>
      </c>
      <c r="B52" s="7">
        <v>371</v>
      </c>
      <c r="C52" s="7">
        <v>363</v>
      </c>
      <c r="D52" s="7">
        <v>375</v>
      </c>
      <c r="E52" s="7">
        <v>386</v>
      </c>
      <c r="F52" s="7">
        <v>386</v>
      </c>
      <c r="G52" s="7">
        <v>386</v>
      </c>
      <c r="H52" s="7">
        <v>386</v>
      </c>
      <c r="I52" s="7">
        <v>388</v>
      </c>
      <c r="J52" s="7">
        <v>395</v>
      </c>
      <c r="K52" s="7">
        <v>405</v>
      </c>
      <c r="L52" s="7">
        <v>420</v>
      </c>
      <c r="M52" s="7">
        <v>432</v>
      </c>
      <c r="N52" s="7">
        <v>438</v>
      </c>
      <c r="O52" s="7">
        <v>448</v>
      </c>
      <c r="P52" s="7">
        <v>457</v>
      </c>
      <c r="Q52" s="7">
        <v>463</v>
      </c>
      <c r="R52" s="7">
        <v>469</v>
      </c>
      <c r="S52" s="7">
        <v>472</v>
      </c>
      <c r="T52" s="7">
        <v>475</v>
      </c>
      <c r="U52" s="7">
        <v>478</v>
      </c>
      <c r="V52" s="7">
        <v>481</v>
      </c>
      <c r="W52" s="7">
        <v>487</v>
      </c>
      <c r="X52" s="7">
        <v>494</v>
      </c>
      <c r="Y52" s="7">
        <v>503</v>
      </c>
      <c r="Z52" s="7">
        <v>512</v>
      </c>
      <c r="AA52" s="7">
        <v>524</v>
      </c>
      <c r="AB52" s="7">
        <v>540</v>
      </c>
      <c r="AC52" s="7">
        <v>558</v>
      </c>
      <c r="AD52" s="7">
        <v>579</v>
      </c>
      <c r="AE52" s="7">
        <v>603</v>
      </c>
      <c r="AF52" s="7">
        <v>631</v>
      </c>
      <c r="AG52" s="7">
        <v>659</v>
      </c>
      <c r="AH52" s="7">
        <v>690</v>
      </c>
      <c r="AI52" s="7">
        <v>720</v>
      </c>
      <c r="AJ52" s="7">
        <v>754</v>
      </c>
      <c r="AK52" s="7">
        <v>788</v>
      </c>
      <c r="AL52" s="7">
        <v>825</v>
      </c>
      <c r="AM52" s="7">
        <v>861</v>
      </c>
      <c r="AN52" s="7">
        <v>901</v>
      </c>
      <c r="AO52" s="7">
        <v>941</v>
      </c>
      <c r="AP52" s="7">
        <v>984</v>
      </c>
      <c r="AQ52" s="7">
        <v>1005</v>
      </c>
      <c r="AR52" s="7">
        <v>1048</v>
      </c>
      <c r="AS52" s="7">
        <v>1085</v>
      </c>
      <c r="AT52" s="7">
        <v>1110</v>
      </c>
      <c r="AU52" s="7">
        <v>1140</v>
      </c>
      <c r="AV52" s="7">
        <v>1159</v>
      </c>
      <c r="AW52" s="391"/>
      <c r="AX52" s="391"/>
      <c r="AY52" s="7">
        <v>375</v>
      </c>
      <c r="AZ52" s="290">
        <v>375</v>
      </c>
      <c r="BA52" s="7">
        <v>375</v>
      </c>
      <c r="BB52" s="7">
        <v>375</v>
      </c>
      <c r="BC52" s="7">
        <v>375</v>
      </c>
      <c r="BD52" s="7">
        <v>375</v>
      </c>
      <c r="BE52" s="7">
        <v>375</v>
      </c>
      <c r="BI52" s="21">
        <v>24333</v>
      </c>
    </row>
    <row r="53" spans="1:61" x14ac:dyDescent="0.25">
      <c r="A53" s="88" t="s">
        <v>186</v>
      </c>
      <c r="B53" s="7">
        <v>371</v>
      </c>
      <c r="C53" s="7">
        <v>363</v>
      </c>
      <c r="D53" s="7">
        <v>375</v>
      </c>
      <c r="E53" s="7">
        <v>386</v>
      </c>
      <c r="F53" s="7">
        <v>386</v>
      </c>
      <c r="G53" s="7">
        <v>386</v>
      </c>
      <c r="H53" s="7">
        <v>386</v>
      </c>
      <c r="I53" s="7">
        <v>388</v>
      </c>
      <c r="J53" s="7">
        <v>395</v>
      </c>
      <c r="K53" s="7">
        <v>405</v>
      </c>
      <c r="L53" s="7">
        <v>420</v>
      </c>
      <c r="M53" s="7">
        <v>432</v>
      </c>
      <c r="N53" s="7">
        <v>438</v>
      </c>
      <c r="O53" s="7">
        <v>448</v>
      </c>
      <c r="P53" s="7">
        <v>457</v>
      </c>
      <c r="Q53" s="7">
        <v>463</v>
      </c>
      <c r="R53" s="7">
        <v>469</v>
      </c>
      <c r="S53" s="7">
        <v>472</v>
      </c>
      <c r="T53" s="7">
        <v>475</v>
      </c>
      <c r="U53" s="7">
        <v>478</v>
      </c>
      <c r="V53" s="7">
        <v>481</v>
      </c>
      <c r="W53" s="7">
        <v>487</v>
      </c>
      <c r="X53" s="7">
        <v>494</v>
      </c>
      <c r="Y53" s="7">
        <v>503</v>
      </c>
      <c r="Z53" s="7">
        <v>512</v>
      </c>
      <c r="AA53" s="7">
        <v>524</v>
      </c>
      <c r="AB53" s="7">
        <v>540</v>
      </c>
      <c r="AC53" s="7">
        <v>558</v>
      </c>
      <c r="AD53" s="7">
        <v>579</v>
      </c>
      <c r="AE53" s="7">
        <v>603</v>
      </c>
      <c r="AF53" s="7">
        <v>631</v>
      </c>
      <c r="AG53" s="7">
        <v>659</v>
      </c>
      <c r="AH53" s="7">
        <v>690</v>
      </c>
      <c r="AI53" s="7">
        <v>720</v>
      </c>
      <c r="AJ53" s="7">
        <v>754</v>
      </c>
      <c r="AK53" s="7">
        <v>788</v>
      </c>
      <c r="AL53" s="7">
        <v>825</v>
      </c>
      <c r="AM53" s="7">
        <v>861</v>
      </c>
      <c r="AN53" s="7">
        <v>901</v>
      </c>
      <c r="AO53" s="7">
        <v>941</v>
      </c>
      <c r="AP53" s="7">
        <v>984</v>
      </c>
      <c r="AQ53" s="7">
        <v>1005</v>
      </c>
      <c r="AR53" s="7">
        <v>1048</v>
      </c>
      <c r="AS53" s="7">
        <v>1085</v>
      </c>
      <c r="AT53" s="7">
        <v>1110</v>
      </c>
      <c r="AU53" s="7">
        <v>1140</v>
      </c>
      <c r="AV53" s="7">
        <v>1159</v>
      </c>
      <c r="AW53" s="391"/>
      <c r="AX53" s="391"/>
      <c r="AY53" s="7">
        <v>375</v>
      </c>
      <c r="AZ53" s="290">
        <v>375</v>
      </c>
      <c r="BA53" s="7">
        <v>375</v>
      </c>
      <c r="BB53" s="7">
        <v>375</v>
      </c>
      <c r="BC53" s="7">
        <v>375</v>
      </c>
      <c r="BD53" s="7">
        <v>375</v>
      </c>
      <c r="BE53" s="7">
        <v>375</v>
      </c>
      <c r="BI53" s="21">
        <v>24124</v>
      </c>
    </row>
    <row r="54" spans="1:61" x14ac:dyDescent="0.25">
      <c r="A54" s="88" t="s">
        <v>187</v>
      </c>
      <c r="B54" s="7">
        <v>338</v>
      </c>
      <c r="C54" s="7">
        <v>332</v>
      </c>
      <c r="D54" s="7">
        <v>342</v>
      </c>
      <c r="E54" s="7">
        <v>352</v>
      </c>
      <c r="F54" s="7">
        <v>352</v>
      </c>
      <c r="G54" s="7">
        <v>352</v>
      </c>
      <c r="H54" s="7">
        <v>352</v>
      </c>
      <c r="I54" s="7">
        <v>354</v>
      </c>
      <c r="J54" s="7">
        <v>361</v>
      </c>
      <c r="K54" s="7">
        <v>369</v>
      </c>
      <c r="L54" s="7">
        <v>383</v>
      </c>
      <c r="M54" s="7">
        <v>394</v>
      </c>
      <c r="N54" s="7">
        <v>400</v>
      </c>
      <c r="O54" s="7">
        <v>409</v>
      </c>
      <c r="P54" s="7">
        <v>417</v>
      </c>
      <c r="Q54" s="7">
        <v>422</v>
      </c>
      <c r="R54" s="7">
        <v>428</v>
      </c>
      <c r="S54" s="7">
        <v>431</v>
      </c>
      <c r="T54" s="7">
        <v>434</v>
      </c>
      <c r="U54" s="7">
        <v>436</v>
      </c>
      <c r="V54" s="7">
        <v>439</v>
      </c>
      <c r="W54" s="7">
        <v>445</v>
      </c>
      <c r="X54" s="7">
        <v>450</v>
      </c>
      <c r="Y54" s="7">
        <v>459</v>
      </c>
      <c r="Z54" s="7">
        <v>467</v>
      </c>
      <c r="AA54" s="7">
        <v>478</v>
      </c>
      <c r="AB54" s="7">
        <v>492</v>
      </c>
      <c r="AC54" s="7">
        <v>509</v>
      </c>
      <c r="AD54" s="7">
        <v>529</v>
      </c>
      <c r="AE54" s="7">
        <v>551</v>
      </c>
      <c r="AF54" s="7">
        <v>576</v>
      </c>
      <c r="AG54" s="7">
        <v>601</v>
      </c>
      <c r="AH54" s="7">
        <v>629</v>
      </c>
      <c r="AI54" s="7">
        <v>657</v>
      </c>
      <c r="AJ54" s="7">
        <v>688</v>
      </c>
      <c r="AK54" s="7">
        <v>719</v>
      </c>
      <c r="AL54" s="7">
        <v>753</v>
      </c>
      <c r="AM54" s="7">
        <v>786</v>
      </c>
      <c r="AN54" s="7">
        <v>822</v>
      </c>
      <c r="AO54" s="7">
        <v>859</v>
      </c>
      <c r="AP54" s="7">
        <v>898</v>
      </c>
      <c r="AQ54" s="7">
        <v>917</v>
      </c>
      <c r="AR54" s="7">
        <v>957</v>
      </c>
      <c r="AS54" s="7">
        <v>990</v>
      </c>
      <c r="AT54" s="7">
        <v>1013</v>
      </c>
      <c r="AU54" s="7">
        <v>1040</v>
      </c>
      <c r="AV54" s="7">
        <v>1057</v>
      </c>
      <c r="AW54" s="391"/>
      <c r="AX54" s="391"/>
      <c r="AY54" s="264">
        <v>342</v>
      </c>
      <c r="AZ54" s="264">
        <v>342</v>
      </c>
      <c r="BA54" s="7">
        <v>342</v>
      </c>
      <c r="BB54" s="7">
        <v>342</v>
      </c>
      <c r="BC54" s="7">
        <v>339</v>
      </c>
      <c r="BD54" s="7">
        <v>342</v>
      </c>
      <c r="BE54" s="7">
        <v>342</v>
      </c>
      <c r="BI54" s="21">
        <v>23061</v>
      </c>
    </row>
    <row r="55" spans="1:61" x14ac:dyDescent="0.25">
      <c r="A55" s="88" t="s">
        <v>188</v>
      </c>
      <c r="B55" s="7">
        <v>331</v>
      </c>
      <c r="C55" s="11">
        <v>323</v>
      </c>
      <c r="D55" s="11">
        <v>333</v>
      </c>
      <c r="E55" s="11">
        <v>344</v>
      </c>
      <c r="F55" s="11">
        <v>344</v>
      </c>
      <c r="G55" s="11">
        <v>344</v>
      </c>
      <c r="H55" s="11">
        <v>344</v>
      </c>
      <c r="I55" s="11">
        <v>345</v>
      </c>
      <c r="J55" s="11">
        <v>352</v>
      </c>
      <c r="K55" s="11">
        <v>360</v>
      </c>
      <c r="L55" s="11">
        <v>374</v>
      </c>
      <c r="M55" s="11">
        <v>385</v>
      </c>
      <c r="N55" s="11">
        <v>390</v>
      </c>
      <c r="O55" s="11">
        <v>398</v>
      </c>
      <c r="P55" s="11">
        <v>407</v>
      </c>
      <c r="Q55" s="11">
        <v>412</v>
      </c>
      <c r="R55" s="11">
        <v>417</v>
      </c>
      <c r="S55" s="11">
        <v>420</v>
      </c>
      <c r="T55" s="11">
        <v>423</v>
      </c>
      <c r="U55" s="11">
        <v>425</v>
      </c>
      <c r="V55" s="11">
        <v>428</v>
      </c>
      <c r="W55" s="11">
        <v>434</v>
      </c>
      <c r="X55" s="11">
        <v>439</v>
      </c>
      <c r="Y55" s="11">
        <v>447</v>
      </c>
      <c r="Z55" s="11">
        <v>455</v>
      </c>
      <c r="AA55" s="11">
        <v>466</v>
      </c>
      <c r="AB55" s="11">
        <v>480</v>
      </c>
      <c r="AC55" s="11">
        <v>496</v>
      </c>
      <c r="AD55" s="11">
        <v>516</v>
      </c>
      <c r="AE55" s="11">
        <v>537</v>
      </c>
      <c r="AF55" s="11">
        <v>562</v>
      </c>
      <c r="AG55" s="11">
        <v>586</v>
      </c>
      <c r="AH55" s="11">
        <v>614</v>
      </c>
      <c r="AI55" s="11">
        <v>641</v>
      </c>
      <c r="AJ55" s="11">
        <v>671</v>
      </c>
      <c r="AK55" s="11">
        <v>701</v>
      </c>
      <c r="AL55" s="11">
        <v>734</v>
      </c>
      <c r="AM55" s="11">
        <v>766</v>
      </c>
      <c r="AN55" s="11">
        <v>802</v>
      </c>
      <c r="AO55" s="11">
        <v>838</v>
      </c>
      <c r="AP55" s="11">
        <v>876</v>
      </c>
      <c r="AQ55" s="11">
        <v>895</v>
      </c>
      <c r="AR55" s="11">
        <v>933</v>
      </c>
      <c r="AS55" s="11">
        <v>966</v>
      </c>
      <c r="AT55" s="11">
        <v>987</v>
      </c>
      <c r="AU55" s="11">
        <v>1015</v>
      </c>
      <c r="AV55" s="11">
        <v>1031</v>
      </c>
      <c r="AW55" s="7"/>
      <c r="AX55" s="7"/>
      <c r="AY55" s="264">
        <v>333</v>
      </c>
      <c r="AZ55" s="264">
        <v>333</v>
      </c>
      <c r="BA55" s="7">
        <v>333</v>
      </c>
      <c r="BB55" s="7">
        <v>333</v>
      </c>
      <c r="BC55" s="7">
        <v>333</v>
      </c>
      <c r="BD55" s="7">
        <v>333</v>
      </c>
      <c r="BE55" s="7">
        <v>333</v>
      </c>
      <c r="BI55" s="21">
        <v>23063</v>
      </c>
    </row>
    <row r="56" spans="1:61" x14ac:dyDescent="0.25">
      <c r="A56" s="88" t="s">
        <v>189</v>
      </c>
      <c r="B56" s="7">
        <v>370</v>
      </c>
      <c r="C56" s="390">
        <v>363</v>
      </c>
      <c r="D56" s="390">
        <v>375</v>
      </c>
      <c r="E56" s="11">
        <v>386</v>
      </c>
      <c r="F56" s="11">
        <v>386</v>
      </c>
      <c r="G56" s="11">
        <v>386</v>
      </c>
      <c r="H56" s="11">
        <v>386</v>
      </c>
      <c r="I56" s="11">
        <v>388</v>
      </c>
      <c r="J56" s="11">
        <v>395</v>
      </c>
      <c r="K56" s="11">
        <v>405</v>
      </c>
      <c r="L56" s="11">
        <v>420</v>
      </c>
      <c r="M56" s="11">
        <v>432</v>
      </c>
      <c r="N56" s="11">
        <v>438</v>
      </c>
      <c r="O56" s="11">
        <v>448</v>
      </c>
      <c r="P56" s="11">
        <v>457</v>
      </c>
      <c r="Q56" s="11">
        <v>463</v>
      </c>
      <c r="R56" s="11">
        <v>469</v>
      </c>
      <c r="S56" s="11">
        <v>472</v>
      </c>
      <c r="T56" s="11">
        <v>475</v>
      </c>
      <c r="U56" s="11">
        <v>478</v>
      </c>
      <c r="V56" s="11">
        <v>481</v>
      </c>
      <c r="W56" s="11">
        <v>487</v>
      </c>
      <c r="X56" s="11">
        <v>494</v>
      </c>
      <c r="Y56" s="11">
        <v>503</v>
      </c>
      <c r="Z56" s="11">
        <v>512</v>
      </c>
      <c r="AA56" s="11">
        <v>524</v>
      </c>
      <c r="AB56" s="11">
        <v>540</v>
      </c>
      <c r="AC56" s="11">
        <v>558</v>
      </c>
      <c r="AD56" s="11">
        <v>579</v>
      </c>
      <c r="AE56" s="11">
        <v>604</v>
      </c>
      <c r="AF56" s="11">
        <v>631</v>
      </c>
      <c r="AG56" s="11">
        <v>659</v>
      </c>
      <c r="AH56" s="11">
        <v>690</v>
      </c>
      <c r="AI56" s="11">
        <v>720</v>
      </c>
      <c r="AJ56" s="11">
        <v>754</v>
      </c>
      <c r="AK56" s="11">
        <v>788</v>
      </c>
      <c r="AL56" s="11">
        <v>825</v>
      </c>
      <c r="AM56" s="11">
        <v>861</v>
      </c>
      <c r="AN56" s="11">
        <v>901</v>
      </c>
      <c r="AO56" s="11">
        <v>941</v>
      </c>
      <c r="AP56" s="11">
        <v>984</v>
      </c>
      <c r="AQ56" s="11">
        <v>1005</v>
      </c>
      <c r="AR56" s="11">
        <v>1048</v>
      </c>
      <c r="AS56" s="11">
        <v>1085</v>
      </c>
      <c r="AT56" s="11">
        <v>1110</v>
      </c>
      <c r="AU56" s="11">
        <v>1140</v>
      </c>
      <c r="AV56" s="11">
        <v>1159</v>
      </c>
      <c r="AY56" s="264">
        <v>375</v>
      </c>
      <c r="AZ56" s="264">
        <v>375</v>
      </c>
      <c r="BA56" s="7">
        <v>375</v>
      </c>
      <c r="BB56" s="7">
        <v>375</v>
      </c>
      <c r="BC56" s="7">
        <v>375</v>
      </c>
      <c r="BD56" s="7">
        <v>375</v>
      </c>
      <c r="BE56" s="7">
        <v>375</v>
      </c>
      <c r="BI56" s="21">
        <v>24333</v>
      </c>
    </row>
    <row r="57" spans="1:61" x14ac:dyDescent="0.25">
      <c r="A57" s="88" t="s">
        <v>190</v>
      </c>
      <c r="B57" s="7">
        <v>374</v>
      </c>
      <c r="C57" s="11">
        <v>368</v>
      </c>
      <c r="D57" s="11">
        <v>379</v>
      </c>
      <c r="E57" s="11">
        <v>391</v>
      </c>
      <c r="F57" s="11">
        <v>391</v>
      </c>
      <c r="G57" s="11">
        <v>391</v>
      </c>
      <c r="H57" s="11">
        <v>391</v>
      </c>
      <c r="I57" s="11">
        <v>392</v>
      </c>
      <c r="J57" s="11">
        <v>400</v>
      </c>
      <c r="K57" s="11">
        <v>410</v>
      </c>
      <c r="L57" s="11">
        <v>425</v>
      </c>
      <c r="M57" s="11">
        <v>437</v>
      </c>
      <c r="N57" s="11">
        <v>444</v>
      </c>
      <c r="O57" s="11">
        <v>453</v>
      </c>
      <c r="P57" s="11">
        <v>462</v>
      </c>
      <c r="Q57" s="11">
        <v>468</v>
      </c>
      <c r="R57" s="7">
        <v>474</v>
      </c>
      <c r="S57" s="7">
        <v>478</v>
      </c>
      <c r="T57" s="7">
        <v>481</v>
      </c>
      <c r="U57" s="7">
        <v>484</v>
      </c>
      <c r="V57" s="7">
        <v>487</v>
      </c>
      <c r="W57" s="7">
        <v>493</v>
      </c>
      <c r="X57" s="7">
        <v>499</v>
      </c>
      <c r="Y57" s="7">
        <v>509</v>
      </c>
      <c r="Z57" s="7">
        <v>518</v>
      </c>
      <c r="AA57" s="7">
        <v>530</v>
      </c>
      <c r="AB57" s="7">
        <v>546</v>
      </c>
      <c r="AC57" s="7">
        <v>564</v>
      </c>
      <c r="AD57" s="7">
        <v>586</v>
      </c>
      <c r="AE57" s="7">
        <v>611</v>
      </c>
      <c r="AF57" s="7">
        <v>639</v>
      </c>
      <c r="AG57" s="7">
        <v>667</v>
      </c>
      <c r="AH57" s="7">
        <v>698</v>
      </c>
      <c r="AI57" s="7">
        <v>729</v>
      </c>
      <c r="AJ57" s="7">
        <v>763</v>
      </c>
      <c r="AK57" s="7">
        <v>797</v>
      </c>
      <c r="AL57" s="7">
        <v>834</v>
      </c>
      <c r="AM57" s="7">
        <v>871</v>
      </c>
      <c r="AN57" s="7">
        <v>912</v>
      </c>
      <c r="AO57" s="7">
        <v>952</v>
      </c>
      <c r="AP57" s="7">
        <v>996</v>
      </c>
      <c r="AQ57" s="7">
        <v>1017</v>
      </c>
      <c r="AR57" s="7">
        <v>1061</v>
      </c>
      <c r="AS57" s="7">
        <v>1098</v>
      </c>
      <c r="AT57" s="7">
        <v>1123</v>
      </c>
      <c r="AU57" s="7">
        <v>1154</v>
      </c>
      <c r="AV57" s="7">
        <v>1172</v>
      </c>
      <c r="AY57" s="264">
        <v>379</v>
      </c>
      <c r="AZ57" s="264">
        <v>379</v>
      </c>
      <c r="BA57" s="7">
        <v>379</v>
      </c>
      <c r="BB57" s="7">
        <v>379</v>
      </c>
      <c r="BC57" s="7">
        <v>379</v>
      </c>
      <c r="BD57" s="7">
        <v>379</v>
      </c>
      <c r="BE57" s="7">
        <v>379</v>
      </c>
      <c r="BI57" s="21">
        <v>22968</v>
      </c>
    </row>
    <row r="58" spans="1:61" x14ac:dyDescent="0.25">
      <c r="A58" s="88" t="s">
        <v>191</v>
      </c>
      <c r="B58" s="7">
        <v>370</v>
      </c>
      <c r="C58" s="390">
        <v>363</v>
      </c>
      <c r="D58" s="390">
        <v>375</v>
      </c>
      <c r="E58" s="11">
        <v>386</v>
      </c>
      <c r="F58" s="11">
        <v>386</v>
      </c>
      <c r="G58" s="11">
        <v>386</v>
      </c>
      <c r="H58" s="11">
        <v>386</v>
      </c>
      <c r="I58" s="11">
        <v>388</v>
      </c>
      <c r="J58" s="11">
        <v>395</v>
      </c>
      <c r="K58" s="11">
        <v>405</v>
      </c>
      <c r="L58" s="11">
        <v>420</v>
      </c>
      <c r="M58" s="11">
        <v>432</v>
      </c>
      <c r="N58" s="11">
        <v>438</v>
      </c>
      <c r="O58" s="11">
        <v>448</v>
      </c>
      <c r="P58" s="11">
        <v>457</v>
      </c>
      <c r="Q58" s="11">
        <v>463</v>
      </c>
      <c r="R58" s="11">
        <v>469</v>
      </c>
      <c r="S58" s="11">
        <v>472</v>
      </c>
      <c r="T58" s="11">
        <v>475</v>
      </c>
      <c r="U58" s="11">
        <v>478</v>
      </c>
      <c r="V58" s="11">
        <v>481</v>
      </c>
      <c r="W58" s="11">
        <v>487</v>
      </c>
      <c r="X58" s="11">
        <v>494</v>
      </c>
      <c r="Y58" s="11">
        <v>503</v>
      </c>
      <c r="Z58" s="11">
        <v>512</v>
      </c>
      <c r="AA58" s="11">
        <v>524</v>
      </c>
      <c r="AB58" s="11">
        <v>540</v>
      </c>
      <c r="AC58" s="11">
        <v>558</v>
      </c>
      <c r="AD58" s="11">
        <v>579</v>
      </c>
      <c r="AE58" s="11">
        <v>604</v>
      </c>
      <c r="AF58" s="11">
        <v>631</v>
      </c>
      <c r="AG58" s="11">
        <v>659</v>
      </c>
      <c r="AH58" s="11">
        <v>690</v>
      </c>
      <c r="AI58" s="11">
        <v>720</v>
      </c>
      <c r="AJ58" s="11">
        <v>754</v>
      </c>
      <c r="AK58" s="11">
        <v>788</v>
      </c>
      <c r="AL58" s="11">
        <v>825</v>
      </c>
      <c r="AM58" s="11">
        <v>861</v>
      </c>
      <c r="AN58" s="11">
        <v>901</v>
      </c>
      <c r="AO58" s="11">
        <v>941</v>
      </c>
      <c r="AP58" s="11">
        <v>984</v>
      </c>
      <c r="AQ58" s="11">
        <v>1005</v>
      </c>
      <c r="AR58" s="11">
        <v>1048</v>
      </c>
      <c r="AS58" s="11">
        <v>1085</v>
      </c>
      <c r="AT58" s="11">
        <v>1110</v>
      </c>
      <c r="AU58" s="11">
        <v>1140</v>
      </c>
      <c r="AV58" s="11">
        <v>1159</v>
      </c>
      <c r="AY58" s="264">
        <v>375</v>
      </c>
      <c r="AZ58" s="264">
        <v>375</v>
      </c>
      <c r="BA58" s="7">
        <v>375</v>
      </c>
      <c r="BB58" s="7">
        <v>375</v>
      </c>
      <c r="BC58" s="7">
        <v>375</v>
      </c>
      <c r="BD58" s="7">
        <v>375</v>
      </c>
      <c r="BE58" s="7">
        <v>375</v>
      </c>
      <c r="BI58" s="21">
        <v>23879</v>
      </c>
    </row>
    <row r="59" spans="1:61" x14ac:dyDescent="0.25">
      <c r="A59" s="88" t="s">
        <v>192</v>
      </c>
      <c r="B59" s="7">
        <v>370</v>
      </c>
      <c r="C59" s="390">
        <v>363</v>
      </c>
      <c r="D59" s="390">
        <v>375</v>
      </c>
      <c r="E59" s="11">
        <v>386</v>
      </c>
      <c r="F59" s="11">
        <v>386</v>
      </c>
      <c r="G59" s="11">
        <v>386</v>
      </c>
      <c r="H59" s="11">
        <v>386</v>
      </c>
      <c r="I59" s="11">
        <v>388</v>
      </c>
      <c r="J59" s="11">
        <v>395</v>
      </c>
      <c r="K59" s="11">
        <v>405</v>
      </c>
      <c r="L59" s="11">
        <v>420</v>
      </c>
      <c r="M59" s="11">
        <v>432</v>
      </c>
      <c r="N59" s="11">
        <v>438</v>
      </c>
      <c r="O59" s="11">
        <v>448</v>
      </c>
      <c r="P59" s="11">
        <v>457</v>
      </c>
      <c r="Q59" s="11">
        <v>463</v>
      </c>
      <c r="R59" s="11">
        <v>469</v>
      </c>
      <c r="S59" s="11">
        <v>472</v>
      </c>
      <c r="T59" s="11">
        <v>475</v>
      </c>
      <c r="U59" s="11">
        <v>478</v>
      </c>
      <c r="V59" s="11">
        <v>481</v>
      </c>
      <c r="W59" s="11">
        <v>487</v>
      </c>
      <c r="X59" s="11">
        <v>494</v>
      </c>
      <c r="Y59" s="11">
        <v>503</v>
      </c>
      <c r="Z59" s="11">
        <v>512</v>
      </c>
      <c r="AA59" s="11">
        <v>524</v>
      </c>
      <c r="AB59" s="11">
        <v>540</v>
      </c>
      <c r="AC59" s="11">
        <v>558</v>
      </c>
      <c r="AD59" s="11">
        <v>579</v>
      </c>
      <c r="AE59" s="11">
        <v>604</v>
      </c>
      <c r="AF59" s="11">
        <v>631</v>
      </c>
      <c r="AG59" s="11">
        <v>659</v>
      </c>
      <c r="AH59" s="11">
        <v>690</v>
      </c>
      <c r="AI59" s="11">
        <v>720</v>
      </c>
      <c r="AJ59" s="11">
        <v>754</v>
      </c>
      <c r="AK59" s="11">
        <v>788</v>
      </c>
      <c r="AL59" s="11">
        <v>825</v>
      </c>
      <c r="AM59" s="11">
        <v>861</v>
      </c>
      <c r="AN59" s="11">
        <v>901</v>
      </c>
      <c r="AO59" s="11">
        <v>941</v>
      </c>
      <c r="AP59" s="11">
        <v>984</v>
      </c>
      <c r="AQ59" s="11">
        <v>1005</v>
      </c>
      <c r="AR59" s="11">
        <v>1048</v>
      </c>
      <c r="AS59" s="11">
        <v>1085</v>
      </c>
      <c r="AT59" s="11">
        <v>1110</v>
      </c>
      <c r="AU59" s="11">
        <v>1140</v>
      </c>
      <c r="AV59" s="11">
        <v>1159</v>
      </c>
      <c r="AY59" s="264">
        <v>375</v>
      </c>
      <c r="AZ59" s="264">
        <v>375</v>
      </c>
      <c r="BA59" s="7">
        <v>375</v>
      </c>
      <c r="BB59" s="7">
        <v>375</v>
      </c>
      <c r="BC59" s="7">
        <v>375</v>
      </c>
      <c r="BD59" s="7">
        <v>375</v>
      </c>
      <c r="BE59" s="7">
        <v>375</v>
      </c>
      <c r="BI59" s="21">
        <v>24558</v>
      </c>
    </row>
    <row r="60" spans="1:61" x14ac:dyDescent="0.25">
      <c r="A60" s="88" t="s">
        <v>193</v>
      </c>
      <c r="B60" s="7">
        <v>337</v>
      </c>
      <c r="C60" s="7">
        <v>331</v>
      </c>
      <c r="D60" s="7">
        <v>341</v>
      </c>
      <c r="E60" s="7">
        <v>351</v>
      </c>
      <c r="F60" s="7">
        <v>351</v>
      </c>
      <c r="G60" s="7">
        <v>351</v>
      </c>
      <c r="H60" s="7">
        <v>351</v>
      </c>
      <c r="I60" s="7">
        <v>353</v>
      </c>
      <c r="J60" s="7">
        <v>360</v>
      </c>
      <c r="K60" s="7">
        <v>368</v>
      </c>
      <c r="L60" s="7">
        <v>382</v>
      </c>
      <c r="M60" s="7">
        <v>393</v>
      </c>
      <c r="N60" s="7">
        <v>399</v>
      </c>
      <c r="O60" s="7">
        <v>407</v>
      </c>
      <c r="P60" s="7">
        <v>416</v>
      </c>
      <c r="Q60" s="7">
        <v>421</v>
      </c>
      <c r="R60" s="7">
        <v>427</v>
      </c>
      <c r="S60" s="7">
        <v>429</v>
      </c>
      <c r="T60" s="7">
        <v>432</v>
      </c>
      <c r="U60" s="7">
        <v>435</v>
      </c>
      <c r="V60" s="7">
        <v>438</v>
      </c>
      <c r="W60" s="7">
        <v>443</v>
      </c>
      <c r="X60" s="7">
        <v>449</v>
      </c>
      <c r="Y60" s="7">
        <v>458</v>
      </c>
      <c r="Z60" s="7">
        <v>466</v>
      </c>
      <c r="AA60" s="7">
        <v>477</v>
      </c>
      <c r="AB60" s="7">
        <v>491</v>
      </c>
      <c r="AC60" s="7">
        <v>507</v>
      </c>
      <c r="AD60" s="7">
        <v>527</v>
      </c>
      <c r="AE60" s="7">
        <v>549</v>
      </c>
      <c r="AF60" s="7">
        <v>575</v>
      </c>
      <c r="AG60" s="7">
        <v>600</v>
      </c>
      <c r="AH60" s="7">
        <v>628</v>
      </c>
      <c r="AI60" s="7">
        <v>655</v>
      </c>
      <c r="AJ60" s="7">
        <v>686</v>
      </c>
      <c r="AK60" s="7">
        <v>717</v>
      </c>
      <c r="AL60" s="7">
        <v>750</v>
      </c>
      <c r="AM60" s="7">
        <v>784</v>
      </c>
      <c r="AN60" s="7">
        <v>820</v>
      </c>
      <c r="AO60" s="7">
        <v>856</v>
      </c>
      <c r="AP60" s="7">
        <v>895</v>
      </c>
      <c r="AQ60" s="7">
        <v>915</v>
      </c>
      <c r="AR60" s="7">
        <v>954</v>
      </c>
      <c r="AS60" s="7">
        <v>987</v>
      </c>
      <c r="AT60" s="7">
        <v>1010</v>
      </c>
      <c r="AU60" s="7">
        <v>1037</v>
      </c>
      <c r="AV60" s="7">
        <v>1054</v>
      </c>
      <c r="AY60" s="264">
        <v>341</v>
      </c>
      <c r="AZ60" s="264">
        <v>341</v>
      </c>
      <c r="BA60" s="7">
        <v>341</v>
      </c>
      <c r="BB60" s="7">
        <v>341</v>
      </c>
      <c r="BC60" s="7">
        <v>341</v>
      </c>
      <c r="BD60" s="7">
        <v>341</v>
      </c>
      <c r="BE60" s="7">
        <v>341</v>
      </c>
      <c r="BI60" s="21">
        <v>23664</v>
      </c>
    </row>
    <row r="61" spans="1:61" x14ac:dyDescent="0.25">
      <c r="A61" s="26" t="s">
        <v>194</v>
      </c>
      <c r="B61" s="390">
        <v>330</v>
      </c>
      <c r="C61" s="390">
        <v>323</v>
      </c>
      <c r="D61" s="390">
        <v>333</v>
      </c>
      <c r="E61" s="390">
        <v>344</v>
      </c>
      <c r="F61" s="390">
        <v>344</v>
      </c>
      <c r="G61" s="390">
        <v>344</v>
      </c>
      <c r="H61" s="390">
        <v>344</v>
      </c>
      <c r="I61" s="390">
        <v>345</v>
      </c>
      <c r="J61" s="390">
        <v>352</v>
      </c>
      <c r="K61" s="390">
        <v>360</v>
      </c>
      <c r="L61" s="390">
        <v>374</v>
      </c>
      <c r="M61" s="390">
        <v>385</v>
      </c>
      <c r="N61" s="390">
        <v>390</v>
      </c>
      <c r="O61" s="390">
        <v>398</v>
      </c>
      <c r="P61" s="390">
        <v>407</v>
      </c>
      <c r="Q61" s="390">
        <v>412</v>
      </c>
      <c r="R61" s="390">
        <v>417</v>
      </c>
      <c r="S61" s="390">
        <v>420</v>
      </c>
      <c r="T61" s="390">
        <v>423</v>
      </c>
      <c r="U61" s="390">
        <v>425</v>
      </c>
      <c r="V61" s="390">
        <v>428</v>
      </c>
      <c r="W61" s="390">
        <v>434</v>
      </c>
      <c r="X61" s="390">
        <v>439</v>
      </c>
      <c r="Y61" s="390">
        <v>447</v>
      </c>
      <c r="Z61" s="390">
        <v>455</v>
      </c>
      <c r="AA61" s="390">
        <v>466</v>
      </c>
      <c r="AB61" s="390">
        <v>480</v>
      </c>
      <c r="AC61" s="390">
        <v>496</v>
      </c>
      <c r="AD61" s="390">
        <v>516</v>
      </c>
      <c r="AE61" s="390">
        <v>537</v>
      </c>
      <c r="AF61" s="390">
        <v>562</v>
      </c>
      <c r="AG61" s="390">
        <v>586</v>
      </c>
      <c r="AH61" s="390">
        <v>614</v>
      </c>
      <c r="AI61" s="390">
        <v>641</v>
      </c>
      <c r="AJ61" s="390">
        <v>671</v>
      </c>
      <c r="AK61" s="390">
        <v>701</v>
      </c>
      <c r="AL61" s="390">
        <v>734</v>
      </c>
      <c r="AM61" s="390">
        <v>766</v>
      </c>
      <c r="AN61" s="390">
        <v>802</v>
      </c>
      <c r="AO61" s="390">
        <v>838</v>
      </c>
      <c r="AP61" s="390">
        <v>876</v>
      </c>
      <c r="AQ61" s="390">
        <v>895</v>
      </c>
      <c r="AR61" s="390">
        <v>933</v>
      </c>
      <c r="AS61" s="390">
        <v>966</v>
      </c>
      <c r="AT61" s="390">
        <v>987</v>
      </c>
      <c r="AU61" s="390">
        <v>1015</v>
      </c>
      <c r="AV61" s="390">
        <v>1031</v>
      </c>
      <c r="AW61" s="29"/>
      <c r="AX61" s="29"/>
      <c r="AY61" s="264">
        <v>333</v>
      </c>
      <c r="AZ61" s="264">
        <v>333</v>
      </c>
      <c r="BA61" s="7">
        <v>333</v>
      </c>
      <c r="BB61" s="7">
        <v>333</v>
      </c>
      <c r="BC61" s="7">
        <v>333</v>
      </c>
      <c r="BD61" s="7">
        <v>333</v>
      </c>
      <c r="BE61" s="7">
        <v>333</v>
      </c>
      <c r="BI61" s="21">
        <v>23069</v>
      </c>
    </row>
    <row r="62" spans="1:61" x14ac:dyDescent="0.25">
      <c r="A62" s="88" t="s">
        <v>195</v>
      </c>
      <c r="B62" s="7">
        <v>371</v>
      </c>
      <c r="C62" s="7">
        <v>363</v>
      </c>
      <c r="D62" s="7">
        <v>375</v>
      </c>
      <c r="E62" s="7">
        <v>386</v>
      </c>
      <c r="F62" s="7">
        <v>386</v>
      </c>
      <c r="G62" s="7">
        <v>386</v>
      </c>
      <c r="H62" s="7">
        <v>386</v>
      </c>
      <c r="I62" s="7">
        <v>388</v>
      </c>
      <c r="J62" s="7">
        <v>395</v>
      </c>
      <c r="K62" s="7">
        <v>405</v>
      </c>
      <c r="L62" s="7">
        <v>420</v>
      </c>
      <c r="M62" s="7">
        <v>432</v>
      </c>
      <c r="N62" s="7">
        <v>438</v>
      </c>
      <c r="O62" s="7">
        <v>448</v>
      </c>
      <c r="P62" s="7">
        <v>457</v>
      </c>
      <c r="Q62" s="7">
        <v>463</v>
      </c>
      <c r="R62" s="7">
        <v>469</v>
      </c>
      <c r="S62" s="7">
        <v>472</v>
      </c>
      <c r="T62" s="7">
        <v>475</v>
      </c>
      <c r="U62" s="7">
        <v>478</v>
      </c>
      <c r="V62" s="7">
        <v>481</v>
      </c>
      <c r="W62" s="7">
        <v>487</v>
      </c>
      <c r="X62" s="7">
        <v>494</v>
      </c>
      <c r="Y62" s="7">
        <v>503</v>
      </c>
      <c r="Z62" s="7">
        <v>512</v>
      </c>
      <c r="AA62" s="7">
        <v>524</v>
      </c>
      <c r="AB62" s="7">
        <v>540</v>
      </c>
      <c r="AC62" s="7">
        <v>558</v>
      </c>
      <c r="AD62" s="7">
        <v>579</v>
      </c>
      <c r="AE62" s="7">
        <v>603</v>
      </c>
      <c r="AF62" s="7">
        <v>631</v>
      </c>
      <c r="AG62" s="7">
        <v>659</v>
      </c>
      <c r="AH62" s="7">
        <v>690</v>
      </c>
      <c r="AI62" s="7">
        <v>720</v>
      </c>
      <c r="AJ62" s="7">
        <v>754</v>
      </c>
      <c r="AK62" s="7">
        <v>788</v>
      </c>
      <c r="AL62" s="7">
        <v>825</v>
      </c>
      <c r="AM62" s="7">
        <v>861</v>
      </c>
      <c r="AN62" s="7">
        <v>901</v>
      </c>
      <c r="AO62" s="7">
        <v>941</v>
      </c>
      <c r="AP62" s="7">
        <v>984</v>
      </c>
      <c r="AQ62" s="7">
        <v>1005</v>
      </c>
      <c r="AR62" s="7">
        <v>1048</v>
      </c>
      <c r="AS62" s="7">
        <v>1085</v>
      </c>
      <c r="AT62" s="7">
        <v>1110</v>
      </c>
      <c r="AU62" s="7">
        <v>1140</v>
      </c>
      <c r="AV62" s="7">
        <v>1159</v>
      </c>
      <c r="AW62" s="391"/>
      <c r="AX62" s="391"/>
      <c r="AY62" s="7">
        <v>375</v>
      </c>
      <c r="AZ62" s="290">
        <v>375</v>
      </c>
      <c r="BA62" s="7">
        <v>375</v>
      </c>
      <c r="BB62" s="7">
        <v>375</v>
      </c>
      <c r="BC62" s="7">
        <v>375</v>
      </c>
      <c r="BD62" s="7">
        <v>375</v>
      </c>
      <c r="BE62" s="7">
        <v>375</v>
      </c>
      <c r="BI62" s="21">
        <v>22801</v>
      </c>
    </row>
    <row r="63" spans="1:61" x14ac:dyDescent="0.25">
      <c r="A63" s="88" t="s">
        <v>196</v>
      </c>
      <c r="B63" s="390">
        <v>330</v>
      </c>
      <c r="C63" s="390">
        <v>323</v>
      </c>
      <c r="D63" s="390">
        <v>333</v>
      </c>
      <c r="E63" s="390">
        <v>344</v>
      </c>
      <c r="F63" s="390">
        <v>344</v>
      </c>
      <c r="G63" s="390">
        <v>344</v>
      </c>
      <c r="H63" s="390">
        <v>344</v>
      </c>
      <c r="I63" s="390">
        <v>345</v>
      </c>
      <c r="J63" s="390">
        <v>352</v>
      </c>
      <c r="K63" s="390">
        <v>360</v>
      </c>
      <c r="L63" s="390">
        <v>374</v>
      </c>
      <c r="M63" s="390">
        <v>385</v>
      </c>
      <c r="N63" s="390">
        <v>390</v>
      </c>
      <c r="O63" s="390">
        <v>398</v>
      </c>
      <c r="P63" s="390">
        <v>407</v>
      </c>
      <c r="Q63" s="390">
        <v>412</v>
      </c>
      <c r="R63" s="390">
        <v>417</v>
      </c>
      <c r="S63" s="390">
        <v>420</v>
      </c>
      <c r="T63" s="390">
        <v>423</v>
      </c>
      <c r="U63" s="390">
        <v>425</v>
      </c>
      <c r="V63" s="390">
        <v>428</v>
      </c>
      <c r="W63" s="390">
        <v>434</v>
      </c>
      <c r="X63" s="390">
        <v>439</v>
      </c>
      <c r="Y63" s="390">
        <v>447</v>
      </c>
      <c r="Z63" s="390">
        <v>455</v>
      </c>
      <c r="AA63" s="390">
        <v>466</v>
      </c>
      <c r="AB63" s="390">
        <v>480</v>
      </c>
      <c r="AC63" s="390">
        <v>496</v>
      </c>
      <c r="AD63" s="390">
        <v>516</v>
      </c>
      <c r="AE63" s="390">
        <v>537</v>
      </c>
      <c r="AF63" s="390">
        <v>562</v>
      </c>
      <c r="AG63" s="390">
        <v>586</v>
      </c>
      <c r="AH63" s="390">
        <v>614</v>
      </c>
      <c r="AI63" s="390">
        <v>641</v>
      </c>
      <c r="AJ63" s="390">
        <v>671</v>
      </c>
      <c r="AK63" s="390">
        <v>701</v>
      </c>
      <c r="AL63" s="390">
        <v>734</v>
      </c>
      <c r="AM63" s="390">
        <v>766</v>
      </c>
      <c r="AN63" s="390">
        <v>802</v>
      </c>
      <c r="AO63" s="390">
        <v>838</v>
      </c>
      <c r="AP63" s="390">
        <v>876</v>
      </c>
      <c r="AQ63" s="390">
        <v>895</v>
      </c>
      <c r="AR63" s="390">
        <v>933</v>
      </c>
      <c r="AS63" s="390">
        <v>966</v>
      </c>
      <c r="AT63" s="390">
        <v>987</v>
      </c>
      <c r="AU63" s="390">
        <v>1015</v>
      </c>
      <c r="AV63" s="390">
        <v>1031</v>
      </c>
      <c r="AW63" s="29"/>
      <c r="AX63" s="29"/>
      <c r="AY63" s="264">
        <v>333</v>
      </c>
      <c r="AZ63" s="264">
        <v>333</v>
      </c>
      <c r="BA63" s="7">
        <v>333</v>
      </c>
      <c r="BB63" s="7">
        <v>333</v>
      </c>
      <c r="BC63" s="7">
        <v>333</v>
      </c>
      <c r="BD63" s="7">
        <v>333</v>
      </c>
      <c r="BE63" s="7">
        <v>333</v>
      </c>
      <c r="BI63" s="21">
        <v>23223</v>
      </c>
    </row>
    <row r="64" spans="1:61" x14ac:dyDescent="0.25">
      <c r="A64" s="88" t="s">
        <v>197</v>
      </c>
      <c r="B64" s="7">
        <v>371</v>
      </c>
      <c r="C64" s="7">
        <v>363</v>
      </c>
      <c r="D64" s="7">
        <v>375</v>
      </c>
      <c r="E64" s="7">
        <v>386</v>
      </c>
      <c r="F64" s="7">
        <v>386</v>
      </c>
      <c r="G64" s="7">
        <v>386</v>
      </c>
      <c r="H64" s="7">
        <v>386</v>
      </c>
      <c r="I64" s="7">
        <v>388</v>
      </c>
      <c r="J64" s="7">
        <v>395</v>
      </c>
      <c r="K64" s="7">
        <v>405</v>
      </c>
      <c r="L64" s="7">
        <v>420</v>
      </c>
      <c r="M64" s="7">
        <v>432</v>
      </c>
      <c r="N64" s="7">
        <v>438</v>
      </c>
      <c r="O64" s="7">
        <v>448</v>
      </c>
      <c r="P64" s="7">
        <v>457</v>
      </c>
      <c r="Q64" s="7">
        <v>463</v>
      </c>
      <c r="R64" s="7">
        <v>469</v>
      </c>
      <c r="S64" s="7">
        <v>472</v>
      </c>
      <c r="T64" s="7">
        <v>475</v>
      </c>
      <c r="U64" s="7">
        <v>478</v>
      </c>
      <c r="V64" s="7">
        <v>481</v>
      </c>
      <c r="W64" s="7">
        <v>487</v>
      </c>
      <c r="X64" s="7">
        <v>494</v>
      </c>
      <c r="Y64" s="7">
        <v>503</v>
      </c>
      <c r="Z64" s="7">
        <v>512</v>
      </c>
      <c r="AA64" s="7">
        <v>524</v>
      </c>
      <c r="AB64" s="7">
        <v>540</v>
      </c>
      <c r="AC64" s="7">
        <v>558</v>
      </c>
      <c r="AD64" s="7">
        <v>579</v>
      </c>
      <c r="AE64" s="7">
        <v>603</v>
      </c>
      <c r="AF64" s="7">
        <v>631</v>
      </c>
      <c r="AG64" s="7">
        <v>659</v>
      </c>
      <c r="AH64" s="7">
        <v>690</v>
      </c>
      <c r="AI64" s="7">
        <v>720</v>
      </c>
      <c r="AJ64" s="7">
        <v>754</v>
      </c>
      <c r="AK64" s="7">
        <v>788</v>
      </c>
      <c r="AL64" s="7">
        <v>825</v>
      </c>
      <c r="AM64" s="7">
        <v>861</v>
      </c>
      <c r="AN64" s="7">
        <v>901</v>
      </c>
      <c r="AO64" s="7">
        <v>941</v>
      </c>
      <c r="AP64" s="7">
        <v>984</v>
      </c>
      <c r="AQ64" s="7">
        <v>1005</v>
      </c>
      <c r="AR64" s="7">
        <v>1048</v>
      </c>
      <c r="AS64" s="7">
        <v>1085</v>
      </c>
      <c r="AT64" s="7">
        <v>1110</v>
      </c>
      <c r="AU64" s="7">
        <v>1140</v>
      </c>
      <c r="AV64" s="7">
        <v>1159</v>
      </c>
      <c r="AW64" s="391"/>
      <c r="AX64" s="391"/>
      <c r="AY64" s="7">
        <v>375</v>
      </c>
      <c r="AZ64" s="290">
        <v>375</v>
      </c>
      <c r="BA64" s="7">
        <v>375</v>
      </c>
      <c r="BB64" s="7">
        <v>375</v>
      </c>
      <c r="BC64" s="7">
        <v>375</v>
      </c>
      <c r="BD64" s="7">
        <v>375</v>
      </c>
      <c r="BE64" s="7">
        <v>375</v>
      </c>
      <c r="BI64" s="21">
        <v>24102</v>
      </c>
    </row>
    <row r="65" spans="1:61" x14ac:dyDescent="0.25">
      <c r="A65" s="88" t="s">
        <v>198</v>
      </c>
      <c r="B65" s="7">
        <v>370</v>
      </c>
      <c r="C65" s="390">
        <v>363</v>
      </c>
      <c r="D65" s="390">
        <v>375</v>
      </c>
      <c r="E65" s="11">
        <v>386</v>
      </c>
      <c r="F65" s="11">
        <v>386</v>
      </c>
      <c r="G65" s="11">
        <v>386</v>
      </c>
      <c r="H65" s="11">
        <v>386</v>
      </c>
      <c r="I65" s="11">
        <v>388</v>
      </c>
      <c r="J65" s="11">
        <v>395</v>
      </c>
      <c r="K65" s="11">
        <v>405</v>
      </c>
      <c r="L65" s="11">
        <v>420</v>
      </c>
      <c r="M65" s="11">
        <v>432</v>
      </c>
      <c r="N65" s="11">
        <v>438</v>
      </c>
      <c r="O65" s="11">
        <v>448</v>
      </c>
      <c r="P65" s="11">
        <v>457</v>
      </c>
      <c r="Q65" s="11">
        <v>463</v>
      </c>
      <c r="R65" s="11">
        <v>469</v>
      </c>
      <c r="S65" s="11">
        <v>472</v>
      </c>
      <c r="T65" s="11">
        <v>475</v>
      </c>
      <c r="U65" s="11">
        <v>478</v>
      </c>
      <c r="V65" s="11">
        <v>481</v>
      </c>
      <c r="W65" s="11">
        <v>487</v>
      </c>
      <c r="X65" s="11">
        <v>494</v>
      </c>
      <c r="Y65" s="11">
        <v>503</v>
      </c>
      <c r="Z65" s="11">
        <v>512</v>
      </c>
      <c r="AA65" s="11">
        <v>524</v>
      </c>
      <c r="AB65" s="11">
        <v>540</v>
      </c>
      <c r="AC65" s="11">
        <v>558</v>
      </c>
      <c r="AD65" s="11">
        <v>579</v>
      </c>
      <c r="AE65" s="11">
        <v>604</v>
      </c>
      <c r="AF65" s="11">
        <v>631</v>
      </c>
      <c r="AG65" s="11">
        <v>659</v>
      </c>
      <c r="AH65" s="11">
        <v>690</v>
      </c>
      <c r="AI65" s="11">
        <v>720</v>
      </c>
      <c r="AJ65" s="11">
        <v>754</v>
      </c>
      <c r="AK65" s="11">
        <v>788</v>
      </c>
      <c r="AL65" s="11">
        <v>825</v>
      </c>
      <c r="AM65" s="11">
        <v>861</v>
      </c>
      <c r="AN65" s="11">
        <v>901</v>
      </c>
      <c r="AO65" s="11">
        <v>941</v>
      </c>
      <c r="AP65" s="11">
        <v>984</v>
      </c>
      <c r="AQ65" s="11">
        <v>1005</v>
      </c>
      <c r="AR65" s="11">
        <v>1048</v>
      </c>
      <c r="AS65" s="11">
        <v>1085</v>
      </c>
      <c r="AT65" s="11">
        <v>1110</v>
      </c>
      <c r="AU65" s="11">
        <v>1140</v>
      </c>
      <c r="AV65" s="11">
        <v>1159</v>
      </c>
      <c r="AY65" s="264">
        <v>375</v>
      </c>
      <c r="AZ65" s="264">
        <v>375</v>
      </c>
      <c r="BA65" s="7">
        <v>375</v>
      </c>
      <c r="BB65" s="7">
        <v>375</v>
      </c>
      <c r="BC65" s="7">
        <v>375</v>
      </c>
      <c r="BD65" s="7">
        <v>375</v>
      </c>
      <c r="BE65" s="7">
        <v>375</v>
      </c>
      <c r="BI65" s="21">
        <v>24442</v>
      </c>
    </row>
    <row r="66" spans="1:61" x14ac:dyDescent="0.25">
      <c r="A66" s="88" t="s">
        <v>199</v>
      </c>
      <c r="B66" s="7">
        <v>331</v>
      </c>
      <c r="C66" s="11">
        <v>323</v>
      </c>
      <c r="D66" s="11">
        <v>333</v>
      </c>
      <c r="E66" s="11">
        <v>344</v>
      </c>
      <c r="F66" s="11">
        <v>344</v>
      </c>
      <c r="G66" s="11">
        <v>344</v>
      </c>
      <c r="H66" s="11">
        <v>344</v>
      </c>
      <c r="I66" s="11">
        <v>345</v>
      </c>
      <c r="J66" s="11">
        <v>352</v>
      </c>
      <c r="K66" s="11">
        <v>360</v>
      </c>
      <c r="L66" s="11">
        <v>374</v>
      </c>
      <c r="M66" s="11">
        <v>385</v>
      </c>
      <c r="N66" s="11">
        <v>390</v>
      </c>
      <c r="O66" s="11">
        <v>398</v>
      </c>
      <c r="P66" s="11">
        <v>407</v>
      </c>
      <c r="Q66" s="11">
        <v>412</v>
      </c>
      <c r="R66" s="11">
        <v>417</v>
      </c>
      <c r="S66" s="11">
        <v>420</v>
      </c>
      <c r="T66" s="11">
        <v>423</v>
      </c>
      <c r="U66" s="11">
        <v>425</v>
      </c>
      <c r="V66" s="11">
        <v>428</v>
      </c>
      <c r="W66" s="11">
        <v>434</v>
      </c>
      <c r="X66" s="11">
        <v>439</v>
      </c>
      <c r="Y66" s="11">
        <v>447</v>
      </c>
      <c r="Z66" s="11">
        <v>455</v>
      </c>
      <c r="AA66" s="11">
        <v>466</v>
      </c>
      <c r="AB66" s="11">
        <v>480</v>
      </c>
      <c r="AC66" s="11">
        <v>496</v>
      </c>
      <c r="AD66" s="11">
        <v>516</v>
      </c>
      <c r="AE66" s="11">
        <v>537</v>
      </c>
      <c r="AF66" s="11">
        <v>562</v>
      </c>
      <c r="AG66" s="11">
        <v>586</v>
      </c>
      <c r="AH66" s="11">
        <v>614</v>
      </c>
      <c r="AI66" s="11">
        <v>641</v>
      </c>
      <c r="AJ66" s="11">
        <v>671</v>
      </c>
      <c r="AK66" s="11">
        <v>701</v>
      </c>
      <c r="AL66" s="11">
        <v>734</v>
      </c>
      <c r="AM66" s="11">
        <v>766</v>
      </c>
      <c r="AN66" s="11">
        <v>802</v>
      </c>
      <c r="AO66" s="11">
        <v>838</v>
      </c>
      <c r="AP66" s="11">
        <v>876</v>
      </c>
      <c r="AQ66" s="11">
        <v>895</v>
      </c>
      <c r="AR66" s="11">
        <v>933</v>
      </c>
      <c r="AS66" s="11">
        <v>966</v>
      </c>
      <c r="AT66" s="11">
        <v>987</v>
      </c>
      <c r="AU66" s="11">
        <v>1015</v>
      </c>
      <c r="AV66" s="11">
        <v>1031</v>
      </c>
      <c r="AW66" s="391"/>
      <c r="AX66" s="391"/>
      <c r="AY66" s="264">
        <v>333</v>
      </c>
      <c r="AZ66" s="264">
        <v>333</v>
      </c>
      <c r="BA66" s="7">
        <v>333</v>
      </c>
      <c r="BB66" s="7">
        <v>333</v>
      </c>
      <c r="BC66" s="7">
        <v>333</v>
      </c>
      <c r="BD66" s="7">
        <v>333</v>
      </c>
      <c r="BE66" s="7">
        <v>333</v>
      </c>
      <c r="BI66" s="21">
        <v>23860</v>
      </c>
    </row>
    <row r="67" spans="1:61" x14ac:dyDescent="0.25">
      <c r="A67" s="88" t="s">
        <v>200</v>
      </c>
      <c r="B67" s="7">
        <v>338</v>
      </c>
      <c r="C67" s="7">
        <v>332</v>
      </c>
      <c r="D67" s="7">
        <v>342</v>
      </c>
      <c r="E67" s="7">
        <v>352</v>
      </c>
      <c r="F67" s="7">
        <v>352</v>
      </c>
      <c r="G67" s="7">
        <v>352</v>
      </c>
      <c r="H67" s="7">
        <v>352</v>
      </c>
      <c r="I67" s="7">
        <v>354</v>
      </c>
      <c r="J67" s="7">
        <v>361</v>
      </c>
      <c r="K67" s="7">
        <v>369</v>
      </c>
      <c r="L67" s="7">
        <v>383</v>
      </c>
      <c r="M67" s="7">
        <v>394</v>
      </c>
      <c r="N67" s="7">
        <v>400</v>
      </c>
      <c r="O67" s="7">
        <v>409</v>
      </c>
      <c r="P67" s="7">
        <v>417</v>
      </c>
      <c r="Q67" s="7">
        <v>422</v>
      </c>
      <c r="R67" s="7">
        <v>428</v>
      </c>
      <c r="S67" s="7">
        <v>431</v>
      </c>
      <c r="T67" s="7">
        <v>434</v>
      </c>
      <c r="U67" s="7">
        <v>436</v>
      </c>
      <c r="V67" s="7">
        <v>439</v>
      </c>
      <c r="W67" s="7">
        <v>445</v>
      </c>
      <c r="X67" s="7">
        <v>450</v>
      </c>
      <c r="Y67" s="7">
        <v>459</v>
      </c>
      <c r="Z67" s="7">
        <v>467</v>
      </c>
      <c r="AA67" s="7">
        <v>478</v>
      </c>
      <c r="AB67" s="7">
        <v>492</v>
      </c>
      <c r="AC67" s="7">
        <v>509</v>
      </c>
      <c r="AD67" s="7">
        <v>529</v>
      </c>
      <c r="AE67" s="7">
        <v>551</v>
      </c>
      <c r="AF67" s="7">
        <v>576</v>
      </c>
      <c r="AG67" s="7">
        <v>601</v>
      </c>
      <c r="AH67" s="7">
        <v>629</v>
      </c>
      <c r="AI67" s="7">
        <v>657</v>
      </c>
      <c r="AJ67" s="7">
        <v>688</v>
      </c>
      <c r="AK67" s="7">
        <v>719</v>
      </c>
      <c r="AL67" s="7">
        <v>753</v>
      </c>
      <c r="AM67" s="7">
        <v>786</v>
      </c>
      <c r="AN67" s="7">
        <v>822</v>
      </c>
      <c r="AO67" s="7">
        <v>859</v>
      </c>
      <c r="AP67" s="7">
        <v>898</v>
      </c>
      <c r="AQ67" s="7">
        <v>917</v>
      </c>
      <c r="AR67" s="7">
        <v>957</v>
      </c>
      <c r="AS67" s="7">
        <v>990</v>
      </c>
      <c r="AT67" s="7">
        <v>1013</v>
      </c>
      <c r="AU67" s="7">
        <v>1040</v>
      </c>
      <c r="AV67" s="7">
        <v>1057</v>
      </c>
      <c r="AW67" s="391"/>
      <c r="AX67" s="391"/>
      <c r="AY67" s="264">
        <v>342</v>
      </c>
      <c r="AZ67" s="264">
        <v>342</v>
      </c>
      <c r="BA67" s="7">
        <v>342</v>
      </c>
      <c r="BB67" s="7">
        <v>342</v>
      </c>
      <c r="BC67" s="7">
        <v>339</v>
      </c>
      <c r="BD67" s="7">
        <v>342</v>
      </c>
      <c r="BE67" s="7">
        <v>342</v>
      </c>
      <c r="BI67" s="21">
        <v>23397</v>
      </c>
    </row>
    <row r="68" spans="1:61" x14ac:dyDescent="0.25">
      <c r="A68" s="88" t="s">
        <v>201</v>
      </c>
      <c r="B68" s="7">
        <v>338</v>
      </c>
      <c r="C68" s="7">
        <v>332</v>
      </c>
      <c r="D68" s="7">
        <v>342</v>
      </c>
      <c r="E68" s="7">
        <v>352</v>
      </c>
      <c r="F68" s="7">
        <v>352</v>
      </c>
      <c r="G68" s="7">
        <v>352</v>
      </c>
      <c r="H68" s="7">
        <v>352</v>
      </c>
      <c r="I68" s="7">
        <v>354</v>
      </c>
      <c r="J68" s="7">
        <v>361</v>
      </c>
      <c r="K68" s="7">
        <v>369</v>
      </c>
      <c r="L68" s="7">
        <v>383</v>
      </c>
      <c r="M68" s="7">
        <v>394</v>
      </c>
      <c r="N68" s="7">
        <v>400</v>
      </c>
      <c r="O68" s="7">
        <v>409</v>
      </c>
      <c r="P68" s="7">
        <v>417</v>
      </c>
      <c r="Q68" s="7">
        <v>422</v>
      </c>
      <c r="R68" s="7">
        <v>428</v>
      </c>
      <c r="S68" s="7">
        <v>431</v>
      </c>
      <c r="T68" s="7">
        <v>434</v>
      </c>
      <c r="U68" s="7">
        <v>436</v>
      </c>
      <c r="V68" s="7">
        <v>439</v>
      </c>
      <c r="W68" s="7">
        <v>445</v>
      </c>
      <c r="X68" s="7">
        <v>450</v>
      </c>
      <c r="Y68" s="7">
        <v>459</v>
      </c>
      <c r="Z68" s="7">
        <v>467</v>
      </c>
      <c r="AA68" s="7">
        <v>478</v>
      </c>
      <c r="AB68" s="7">
        <v>492</v>
      </c>
      <c r="AC68" s="7">
        <v>509</v>
      </c>
      <c r="AD68" s="7">
        <v>529</v>
      </c>
      <c r="AE68" s="7">
        <v>551</v>
      </c>
      <c r="AF68" s="7">
        <v>576</v>
      </c>
      <c r="AG68" s="7">
        <v>601</v>
      </c>
      <c r="AH68" s="7">
        <v>629</v>
      </c>
      <c r="AI68" s="7">
        <v>657</v>
      </c>
      <c r="AJ68" s="7">
        <v>688</v>
      </c>
      <c r="AK68" s="7">
        <v>719</v>
      </c>
      <c r="AL68" s="7">
        <v>753</v>
      </c>
      <c r="AM68" s="7">
        <v>786</v>
      </c>
      <c r="AN68" s="7">
        <v>822</v>
      </c>
      <c r="AO68" s="7">
        <v>859</v>
      </c>
      <c r="AP68" s="7">
        <v>898</v>
      </c>
      <c r="AQ68" s="7">
        <v>917</v>
      </c>
      <c r="AR68" s="7">
        <v>957</v>
      </c>
      <c r="AS68" s="7">
        <v>990</v>
      </c>
      <c r="AT68" s="7">
        <v>1013</v>
      </c>
      <c r="AU68" s="7">
        <v>1040</v>
      </c>
      <c r="AV68" s="7">
        <v>1057</v>
      </c>
      <c r="AW68" s="391"/>
      <c r="AX68" s="391"/>
      <c r="AY68" s="264">
        <v>342</v>
      </c>
      <c r="AZ68" s="264">
        <v>342</v>
      </c>
      <c r="BA68" s="7">
        <v>342</v>
      </c>
      <c r="BB68" s="7">
        <v>342</v>
      </c>
      <c r="BC68" s="7">
        <v>339</v>
      </c>
      <c r="BD68" s="7">
        <v>342</v>
      </c>
      <c r="BE68" s="7">
        <v>342</v>
      </c>
      <c r="BI68" s="21">
        <v>23081</v>
      </c>
    </row>
    <row r="69" spans="1:61" x14ac:dyDescent="0.25">
      <c r="A69" s="88" t="s">
        <v>202</v>
      </c>
      <c r="B69" s="7">
        <v>331</v>
      </c>
      <c r="C69" s="11">
        <v>323</v>
      </c>
      <c r="D69" s="11">
        <v>333</v>
      </c>
      <c r="E69" s="11">
        <v>344</v>
      </c>
      <c r="F69" s="11">
        <v>344</v>
      </c>
      <c r="G69" s="11">
        <v>344</v>
      </c>
      <c r="H69" s="11">
        <v>344</v>
      </c>
      <c r="I69" s="11">
        <v>345</v>
      </c>
      <c r="J69" s="11">
        <v>352</v>
      </c>
      <c r="K69" s="11">
        <v>360</v>
      </c>
      <c r="L69" s="11">
        <v>374</v>
      </c>
      <c r="M69" s="11">
        <v>385</v>
      </c>
      <c r="N69" s="11">
        <v>390</v>
      </c>
      <c r="O69" s="11">
        <v>398</v>
      </c>
      <c r="P69" s="11">
        <v>407</v>
      </c>
      <c r="Q69" s="11">
        <v>412</v>
      </c>
      <c r="R69" s="11">
        <v>417</v>
      </c>
      <c r="S69" s="11">
        <v>420</v>
      </c>
      <c r="T69" s="11">
        <v>423</v>
      </c>
      <c r="U69" s="11">
        <v>425</v>
      </c>
      <c r="V69" s="11">
        <v>428</v>
      </c>
      <c r="W69" s="11">
        <v>434</v>
      </c>
      <c r="X69" s="11">
        <v>439</v>
      </c>
      <c r="Y69" s="11">
        <v>447</v>
      </c>
      <c r="Z69" s="11">
        <v>455</v>
      </c>
      <c r="AA69" s="11">
        <v>466</v>
      </c>
      <c r="AB69" s="11">
        <v>480</v>
      </c>
      <c r="AC69" s="11">
        <v>496</v>
      </c>
      <c r="AD69" s="11">
        <v>516</v>
      </c>
      <c r="AE69" s="11">
        <v>537</v>
      </c>
      <c r="AF69" s="11">
        <v>562</v>
      </c>
      <c r="AG69" s="11">
        <v>586</v>
      </c>
      <c r="AH69" s="11">
        <v>614</v>
      </c>
      <c r="AI69" s="11">
        <v>641</v>
      </c>
      <c r="AJ69" s="11">
        <v>671</v>
      </c>
      <c r="AK69" s="11">
        <v>701</v>
      </c>
      <c r="AL69" s="11">
        <v>734</v>
      </c>
      <c r="AM69" s="11">
        <v>766</v>
      </c>
      <c r="AN69" s="11">
        <v>802</v>
      </c>
      <c r="AO69" s="11">
        <v>838</v>
      </c>
      <c r="AP69" s="11">
        <v>876</v>
      </c>
      <c r="AQ69" s="11">
        <v>895</v>
      </c>
      <c r="AR69" s="11">
        <v>933</v>
      </c>
      <c r="AS69" s="11">
        <v>966</v>
      </c>
      <c r="AT69" s="11">
        <v>987</v>
      </c>
      <c r="AU69" s="11">
        <v>1015</v>
      </c>
      <c r="AV69" s="11">
        <v>1031</v>
      </c>
      <c r="AW69" s="391"/>
      <c r="AX69" s="391"/>
      <c r="AY69" s="264">
        <v>333</v>
      </c>
      <c r="AZ69" s="264">
        <v>333</v>
      </c>
      <c r="BA69" s="7">
        <v>333</v>
      </c>
      <c r="BB69" s="7">
        <v>333</v>
      </c>
      <c r="BC69" s="7">
        <v>333</v>
      </c>
      <c r="BD69" s="7">
        <v>333</v>
      </c>
      <c r="BE69" s="7">
        <v>333</v>
      </c>
      <c r="BI69" s="21">
        <v>22560</v>
      </c>
    </row>
    <row r="70" spans="1:61" x14ac:dyDescent="0.25">
      <c r="A70" s="88" t="s">
        <v>203</v>
      </c>
      <c r="B70" s="7">
        <v>360</v>
      </c>
      <c r="C70" s="7">
        <v>360</v>
      </c>
      <c r="D70" s="7">
        <v>371</v>
      </c>
      <c r="E70" s="11">
        <v>383</v>
      </c>
      <c r="F70" s="11">
        <v>383</v>
      </c>
      <c r="G70" s="11">
        <v>383</v>
      </c>
      <c r="H70" s="11">
        <v>383</v>
      </c>
      <c r="I70" s="11">
        <v>384</v>
      </c>
      <c r="J70" s="11">
        <v>392</v>
      </c>
      <c r="K70" s="11">
        <v>401</v>
      </c>
      <c r="L70" s="11">
        <v>416</v>
      </c>
      <c r="M70" s="11">
        <v>428</v>
      </c>
      <c r="N70" s="11">
        <v>434</v>
      </c>
      <c r="O70" s="11">
        <v>444</v>
      </c>
      <c r="P70" s="11">
        <v>453</v>
      </c>
      <c r="Q70" s="11">
        <v>459</v>
      </c>
      <c r="R70" s="11">
        <v>465</v>
      </c>
      <c r="S70" s="11">
        <v>468</v>
      </c>
      <c r="T70" s="11">
        <v>471</v>
      </c>
      <c r="U70" s="11">
        <v>474</v>
      </c>
      <c r="V70" s="11">
        <v>477</v>
      </c>
      <c r="W70" s="11">
        <v>483</v>
      </c>
      <c r="X70" s="11">
        <v>489</v>
      </c>
      <c r="Y70" s="11">
        <v>498</v>
      </c>
      <c r="Z70" s="11">
        <v>507</v>
      </c>
      <c r="AA70" s="11">
        <v>519</v>
      </c>
      <c r="AB70" s="11">
        <v>535</v>
      </c>
      <c r="AC70" s="11">
        <v>553</v>
      </c>
      <c r="AD70" s="11">
        <v>574</v>
      </c>
      <c r="AE70" s="11">
        <v>598</v>
      </c>
      <c r="AF70" s="11">
        <v>626</v>
      </c>
      <c r="AG70" s="11">
        <v>653</v>
      </c>
      <c r="AH70" s="11">
        <v>684</v>
      </c>
      <c r="AI70" s="11">
        <v>714</v>
      </c>
      <c r="AJ70" s="11">
        <v>747</v>
      </c>
      <c r="AK70" s="11">
        <v>781</v>
      </c>
      <c r="AL70" s="11">
        <v>817</v>
      </c>
      <c r="AM70" s="11">
        <v>854</v>
      </c>
      <c r="AN70" s="11">
        <v>893</v>
      </c>
      <c r="AO70" s="11">
        <v>933</v>
      </c>
      <c r="AP70" s="11">
        <v>975</v>
      </c>
      <c r="AQ70" s="11">
        <v>996</v>
      </c>
      <c r="AR70" s="11">
        <v>1039</v>
      </c>
      <c r="AS70" s="11">
        <v>1076</v>
      </c>
      <c r="AT70" s="11">
        <v>1100</v>
      </c>
      <c r="AU70" s="11">
        <v>1130</v>
      </c>
      <c r="AV70" s="11">
        <v>1148</v>
      </c>
      <c r="AY70" s="264">
        <v>371</v>
      </c>
      <c r="AZ70" s="264">
        <v>371</v>
      </c>
      <c r="BA70" s="7">
        <v>371</v>
      </c>
      <c r="BB70" s="7">
        <v>371</v>
      </c>
      <c r="BC70" s="7">
        <v>371</v>
      </c>
      <c r="BD70" s="7">
        <v>371</v>
      </c>
      <c r="BE70" s="7">
        <v>371</v>
      </c>
      <c r="BI70" s="21">
        <v>22448</v>
      </c>
    </row>
    <row r="71" spans="1:61" x14ac:dyDescent="0.25">
      <c r="A71" s="88" t="s">
        <v>204</v>
      </c>
      <c r="B71" s="7">
        <v>331</v>
      </c>
      <c r="C71" s="11">
        <v>323</v>
      </c>
      <c r="D71" s="11">
        <v>333</v>
      </c>
      <c r="E71" s="11">
        <v>344</v>
      </c>
      <c r="F71" s="11">
        <v>344</v>
      </c>
      <c r="G71" s="11">
        <v>344</v>
      </c>
      <c r="H71" s="11">
        <v>344</v>
      </c>
      <c r="I71" s="11">
        <v>345</v>
      </c>
      <c r="J71" s="11">
        <v>352</v>
      </c>
      <c r="K71" s="11">
        <v>360</v>
      </c>
      <c r="L71" s="11">
        <v>374</v>
      </c>
      <c r="M71" s="11">
        <v>385</v>
      </c>
      <c r="N71" s="11">
        <v>390</v>
      </c>
      <c r="O71" s="11">
        <v>398</v>
      </c>
      <c r="P71" s="11">
        <v>407</v>
      </c>
      <c r="Q71" s="11">
        <v>412</v>
      </c>
      <c r="R71" s="11">
        <v>417</v>
      </c>
      <c r="S71" s="11">
        <v>420</v>
      </c>
      <c r="T71" s="11">
        <v>423</v>
      </c>
      <c r="U71" s="11">
        <v>425</v>
      </c>
      <c r="V71" s="11">
        <v>428</v>
      </c>
      <c r="W71" s="11">
        <v>434</v>
      </c>
      <c r="X71" s="11">
        <v>439</v>
      </c>
      <c r="Y71" s="11">
        <v>447</v>
      </c>
      <c r="Z71" s="11">
        <v>455</v>
      </c>
      <c r="AA71" s="11">
        <v>466</v>
      </c>
      <c r="AB71" s="11">
        <v>480</v>
      </c>
      <c r="AC71" s="11">
        <v>496</v>
      </c>
      <c r="AD71" s="11">
        <v>516</v>
      </c>
      <c r="AE71" s="11">
        <v>537</v>
      </c>
      <c r="AF71" s="11">
        <v>562</v>
      </c>
      <c r="AG71" s="11">
        <v>586</v>
      </c>
      <c r="AH71" s="11">
        <v>614</v>
      </c>
      <c r="AI71" s="11">
        <v>641</v>
      </c>
      <c r="AJ71" s="11">
        <v>671</v>
      </c>
      <c r="AK71" s="11">
        <v>701</v>
      </c>
      <c r="AL71" s="11">
        <v>734</v>
      </c>
      <c r="AM71" s="11">
        <v>766</v>
      </c>
      <c r="AN71" s="11">
        <v>802</v>
      </c>
      <c r="AO71" s="11">
        <v>838</v>
      </c>
      <c r="AP71" s="11">
        <v>876</v>
      </c>
      <c r="AQ71" s="11">
        <v>895</v>
      </c>
      <c r="AR71" s="11">
        <v>933</v>
      </c>
      <c r="AS71" s="11">
        <v>966</v>
      </c>
      <c r="AT71" s="11">
        <v>987</v>
      </c>
      <c r="AU71" s="11">
        <v>1015</v>
      </c>
      <c r="AV71" s="11">
        <v>1031</v>
      </c>
      <c r="AW71" s="391"/>
      <c r="AX71" s="391"/>
      <c r="AY71" s="264">
        <v>333</v>
      </c>
      <c r="AZ71" s="264">
        <v>333</v>
      </c>
      <c r="BA71" s="7">
        <v>333</v>
      </c>
      <c r="BB71" s="7">
        <v>333</v>
      </c>
      <c r="BC71" s="7">
        <v>333</v>
      </c>
      <c r="BD71" s="7">
        <v>333</v>
      </c>
      <c r="BE71" s="7">
        <v>333</v>
      </c>
      <c r="BI71" s="21">
        <v>23086</v>
      </c>
    </row>
    <row r="72" spans="1:61" x14ac:dyDescent="0.25">
      <c r="A72" s="88" t="s">
        <v>205</v>
      </c>
      <c r="B72" s="7">
        <v>370</v>
      </c>
      <c r="C72" s="390">
        <v>363</v>
      </c>
      <c r="D72" s="390">
        <v>375</v>
      </c>
      <c r="E72" s="11">
        <v>386</v>
      </c>
      <c r="F72" s="11">
        <v>386</v>
      </c>
      <c r="G72" s="11">
        <v>386</v>
      </c>
      <c r="H72" s="11">
        <v>386</v>
      </c>
      <c r="I72" s="11">
        <v>388</v>
      </c>
      <c r="J72" s="11">
        <v>395</v>
      </c>
      <c r="K72" s="11">
        <v>405</v>
      </c>
      <c r="L72" s="11">
        <v>420</v>
      </c>
      <c r="M72" s="11">
        <v>432</v>
      </c>
      <c r="N72" s="11">
        <v>438</v>
      </c>
      <c r="O72" s="11">
        <v>448</v>
      </c>
      <c r="P72" s="11">
        <v>457</v>
      </c>
      <c r="Q72" s="11">
        <v>463</v>
      </c>
      <c r="R72" s="11">
        <v>469</v>
      </c>
      <c r="S72" s="11">
        <v>472</v>
      </c>
      <c r="T72" s="11">
        <v>475</v>
      </c>
      <c r="U72" s="11">
        <v>478</v>
      </c>
      <c r="V72" s="11">
        <v>481</v>
      </c>
      <c r="W72" s="11">
        <v>487</v>
      </c>
      <c r="X72" s="11">
        <v>494</v>
      </c>
      <c r="Y72" s="11">
        <v>503</v>
      </c>
      <c r="Z72" s="11">
        <v>512</v>
      </c>
      <c r="AA72" s="11">
        <v>524</v>
      </c>
      <c r="AB72" s="11">
        <v>540</v>
      </c>
      <c r="AC72" s="11">
        <v>558</v>
      </c>
      <c r="AD72" s="11">
        <v>579</v>
      </c>
      <c r="AE72" s="11">
        <v>604</v>
      </c>
      <c r="AF72" s="11">
        <v>631</v>
      </c>
      <c r="AG72" s="11">
        <v>659</v>
      </c>
      <c r="AH72" s="11">
        <v>690</v>
      </c>
      <c r="AI72" s="11">
        <v>720</v>
      </c>
      <c r="AJ72" s="11">
        <v>754</v>
      </c>
      <c r="AK72" s="11">
        <v>788</v>
      </c>
      <c r="AL72" s="11">
        <v>825</v>
      </c>
      <c r="AM72" s="11">
        <v>861</v>
      </c>
      <c r="AN72" s="11">
        <v>901</v>
      </c>
      <c r="AO72" s="11">
        <v>941</v>
      </c>
      <c r="AP72" s="11">
        <v>984</v>
      </c>
      <c r="AQ72" s="11">
        <v>1005</v>
      </c>
      <c r="AR72" s="11">
        <v>1048</v>
      </c>
      <c r="AS72" s="11">
        <v>1085</v>
      </c>
      <c r="AT72" s="11">
        <v>1110</v>
      </c>
      <c r="AU72" s="11">
        <v>1140</v>
      </c>
      <c r="AV72" s="11">
        <v>1159</v>
      </c>
      <c r="AY72" s="264">
        <v>375</v>
      </c>
      <c r="AZ72" s="264">
        <v>375</v>
      </c>
      <c r="BA72" s="7">
        <v>375</v>
      </c>
      <c r="BB72" s="7">
        <v>375</v>
      </c>
      <c r="BC72" s="7">
        <v>375</v>
      </c>
      <c r="BD72" s="7">
        <v>375</v>
      </c>
      <c r="BE72" s="7">
        <v>375</v>
      </c>
      <c r="BI72" s="21">
        <v>22503</v>
      </c>
    </row>
    <row r="73" spans="1:61" x14ac:dyDescent="0.25">
      <c r="A73" s="88" t="s">
        <v>206</v>
      </c>
      <c r="B73" s="7">
        <v>371</v>
      </c>
      <c r="C73" s="7">
        <v>363</v>
      </c>
      <c r="D73" s="7">
        <v>375</v>
      </c>
      <c r="E73" s="7">
        <v>386</v>
      </c>
      <c r="F73" s="7">
        <v>386</v>
      </c>
      <c r="G73" s="7">
        <v>386</v>
      </c>
      <c r="H73" s="7">
        <v>386</v>
      </c>
      <c r="I73" s="7">
        <v>388</v>
      </c>
      <c r="J73" s="7">
        <v>395</v>
      </c>
      <c r="K73" s="7">
        <v>405</v>
      </c>
      <c r="L73" s="7">
        <v>420</v>
      </c>
      <c r="M73" s="7">
        <v>432</v>
      </c>
      <c r="N73" s="7">
        <v>438</v>
      </c>
      <c r="O73" s="7">
        <v>448</v>
      </c>
      <c r="P73" s="7">
        <v>457</v>
      </c>
      <c r="Q73" s="7">
        <v>463</v>
      </c>
      <c r="R73" s="7">
        <v>469</v>
      </c>
      <c r="S73" s="7">
        <v>472</v>
      </c>
      <c r="T73" s="7">
        <v>475</v>
      </c>
      <c r="U73" s="7">
        <v>478</v>
      </c>
      <c r="V73" s="7">
        <v>481</v>
      </c>
      <c r="W73" s="7">
        <v>487</v>
      </c>
      <c r="X73" s="7">
        <v>494</v>
      </c>
      <c r="Y73" s="7">
        <v>503</v>
      </c>
      <c r="Z73" s="7">
        <v>512</v>
      </c>
      <c r="AA73" s="7">
        <v>524</v>
      </c>
      <c r="AB73" s="7">
        <v>540</v>
      </c>
      <c r="AC73" s="7">
        <v>558</v>
      </c>
      <c r="AD73" s="7">
        <v>579</v>
      </c>
      <c r="AE73" s="7">
        <v>603</v>
      </c>
      <c r="AF73" s="7">
        <v>631</v>
      </c>
      <c r="AG73" s="7">
        <v>659</v>
      </c>
      <c r="AH73" s="7">
        <v>690</v>
      </c>
      <c r="AI73" s="7">
        <v>720</v>
      </c>
      <c r="AJ73" s="7">
        <v>754</v>
      </c>
      <c r="AK73" s="7">
        <v>788</v>
      </c>
      <c r="AL73" s="7">
        <v>825</v>
      </c>
      <c r="AM73" s="7">
        <v>861</v>
      </c>
      <c r="AN73" s="7">
        <v>901</v>
      </c>
      <c r="AO73" s="7">
        <v>941</v>
      </c>
      <c r="AP73" s="7">
        <v>984</v>
      </c>
      <c r="AQ73" s="7">
        <v>1005</v>
      </c>
      <c r="AR73" s="7">
        <v>1048</v>
      </c>
      <c r="AS73" s="7">
        <v>1085</v>
      </c>
      <c r="AT73" s="7">
        <v>1110</v>
      </c>
      <c r="AU73" s="7">
        <v>1140</v>
      </c>
      <c r="AV73" s="7">
        <v>1159</v>
      </c>
      <c r="AW73" s="391"/>
      <c r="AX73" s="391"/>
      <c r="AY73" s="7">
        <v>375</v>
      </c>
      <c r="AZ73" s="290">
        <v>375</v>
      </c>
      <c r="BA73" s="7">
        <v>375</v>
      </c>
      <c r="BB73" s="7">
        <v>375</v>
      </c>
      <c r="BC73" s="7">
        <v>375</v>
      </c>
      <c r="BD73" s="7">
        <v>375</v>
      </c>
      <c r="BE73" s="7">
        <v>375</v>
      </c>
      <c r="BI73" s="21">
        <v>24219</v>
      </c>
    </row>
    <row r="74" spans="1:61" x14ac:dyDescent="0.25">
      <c r="A74" s="88" t="s">
        <v>207</v>
      </c>
      <c r="B74" s="7">
        <v>370</v>
      </c>
      <c r="C74" s="390">
        <v>363</v>
      </c>
      <c r="D74" s="390">
        <v>375</v>
      </c>
      <c r="E74" s="11">
        <v>386</v>
      </c>
      <c r="F74" s="11">
        <v>386</v>
      </c>
      <c r="G74" s="11">
        <v>386</v>
      </c>
      <c r="H74" s="11">
        <v>386</v>
      </c>
      <c r="I74" s="11">
        <v>388</v>
      </c>
      <c r="J74" s="11">
        <v>395</v>
      </c>
      <c r="K74" s="11">
        <v>405</v>
      </c>
      <c r="L74" s="11">
        <v>420</v>
      </c>
      <c r="M74" s="11">
        <v>432</v>
      </c>
      <c r="N74" s="11">
        <v>438</v>
      </c>
      <c r="O74" s="11">
        <v>448</v>
      </c>
      <c r="P74" s="11">
        <v>457</v>
      </c>
      <c r="Q74" s="11">
        <v>463</v>
      </c>
      <c r="R74" s="11">
        <v>469</v>
      </c>
      <c r="S74" s="11">
        <v>472</v>
      </c>
      <c r="T74" s="11">
        <v>475</v>
      </c>
      <c r="U74" s="11">
        <v>478</v>
      </c>
      <c r="V74" s="11">
        <v>481</v>
      </c>
      <c r="W74" s="11">
        <v>487</v>
      </c>
      <c r="X74" s="11">
        <v>494</v>
      </c>
      <c r="Y74" s="11">
        <v>503</v>
      </c>
      <c r="Z74" s="11">
        <v>512</v>
      </c>
      <c r="AA74" s="11">
        <v>524</v>
      </c>
      <c r="AB74" s="11">
        <v>540</v>
      </c>
      <c r="AC74" s="11">
        <v>558</v>
      </c>
      <c r="AD74" s="11">
        <v>579</v>
      </c>
      <c r="AE74" s="11">
        <v>604</v>
      </c>
      <c r="AF74" s="11">
        <v>631</v>
      </c>
      <c r="AG74" s="11">
        <v>659</v>
      </c>
      <c r="AH74" s="11">
        <v>690</v>
      </c>
      <c r="AI74" s="11">
        <v>720</v>
      </c>
      <c r="AJ74" s="11">
        <v>754</v>
      </c>
      <c r="AK74" s="11">
        <v>788</v>
      </c>
      <c r="AL74" s="11">
        <v>825</v>
      </c>
      <c r="AM74" s="11">
        <v>861</v>
      </c>
      <c r="AN74" s="11">
        <v>901</v>
      </c>
      <c r="AO74" s="11">
        <v>941</v>
      </c>
      <c r="AP74" s="11">
        <v>984</v>
      </c>
      <c r="AQ74" s="11">
        <v>1005</v>
      </c>
      <c r="AR74" s="11">
        <v>1048</v>
      </c>
      <c r="AS74" s="11">
        <v>1085</v>
      </c>
      <c r="AT74" s="11">
        <v>1110</v>
      </c>
      <c r="AU74" s="11">
        <v>1140</v>
      </c>
      <c r="AV74" s="11">
        <v>1159</v>
      </c>
      <c r="AY74" s="264">
        <v>375</v>
      </c>
      <c r="AZ74" s="264">
        <v>375</v>
      </c>
      <c r="BA74" s="7">
        <v>375</v>
      </c>
      <c r="BB74" s="7">
        <v>375</v>
      </c>
      <c r="BC74" s="7">
        <v>375</v>
      </c>
      <c r="BD74" s="7">
        <v>375</v>
      </c>
      <c r="BE74" s="7">
        <v>375</v>
      </c>
      <c r="BI74" s="21">
        <v>24450</v>
      </c>
    </row>
    <row r="75" spans="1:61" x14ac:dyDescent="0.25">
      <c r="A75" s="88" t="s">
        <v>208</v>
      </c>
      <c r="B75" s="7">
        <v>338</v>
      </c>
      <c r="C75" s="7">
        <v>332</v>
      </c>
      <c r="D75" s="7">
        <v>342</v>
      </c>
      <c r="E75" s="7">
        <v>352</v>
      </c>
      <c r="F75" s="7">
        <v>352</v>
      </c>
      <c r="G75" s="7">
        <v>352</v>
      </c>
      <c r="H75" s="7">
        <v>352</v>
      </c>
      <c r="I75" s="7">
        <v>354</v>
      </c>
      <c r="J75" s="7">
        <v>361</v>
      </c>
      <c r="K75" s="7">
        <v>369</v>
      </c>
      <c r="L75" s="7">
        <v>383</v>
      </c>
      <c r="M75" s="7">
        <v>394</v>
      </c>
      <c r="N75" s="7">
        <v>400</v>
      </c>
      <c r="O75" s="7">
        <v>409</v>
      </c>
      <c r="P75" s="7">
        <v>417</v>
      </c>
      <c r="Q75" s="7">
        <v>422</v>
      </c>
      <c r="R75" s="7">
        <v>428</v>
      </c>
      <c r="S75" s="7">
        <v>431</v>
      </c>
      <c r="T75" s="7">
        <v>434</v>
      </c>
      <c r="U75" s="7">
        <v>436</v>
      </c>
      <c r="V75" s="7">
        <v>439</v>
      </c>
      <c r="W75" s="7">
        <v>445</v>
      </c>
      <c r="X75" s="7">
        <v>450</v>
      </c>
      <c r="Y75" s="7">
        <v>459</v>
      </c>
      <c r="Z75" s="7">
        <v>467</v>
      </c>
      <c r="AA75" s="7">
        <v>478</v>
      </c>
      <c r="AB75" s="7">
        <v>492</v>
      </c>
      <c r="AC75" s="7">
        <v>509</v>
      </c>
      <c r="AD75" s="7">
        <v>529</v>
      </c>
      <c r="AE75" s="7">
        <v>551</v>
      </c>
      <c r="AF75" s="7">
        <v>576</v>
      </c>
      <c r="AG75" s="7">
        <v>601</v>
      </c>
      <c r="AH75" s="7">
        <v>629</v>
      </c>
      <c r="AI75" s="7">
        <v>657</v>
      </c>
      <c r="AJ75" s="7">
        <v>688</v>
      </c>
      <c r="AK75" s="7">
        <v>719</v>
      </c>
      <c r="AL75" s="7">
        <v>753</v>
      </c>
      <c r="AM75" s="7">
        <v>786</v>
      </c>
      <c r="AN75" s="7">
        <v>822</v>
      </c>
      <c r="AO75" s="7">
        <v>859</v>
      </c>
      <c r="AP75" s="7">
        <v>898</v>
      </c>
      <c r="AQ75" s="7">
        <v>917</v>
      </c>
      <c r="AR75" s="7">
        <v>957</v>
      </c>
      <c r="AS75" s="7">
        <v>990</v>
      </c>
      <c r="AT75" s="7">
        <v>1013</v>
      </c>
      <c r="AU75" s="7">
        <v>1040</v>
      </c>
      <c r="AV75" s="7">
        <v>1057</v>
      </c>
      <c r="AW75" s="391"/>
      <c r="AX75" s="391"/>
      <c r="AY75" s="264">
        <v>342</v>
      </c>
      <c r="AZ75" s="264">
        <v>342</v>
      </c>
      <c r="BA75" s="7">
        <v>342</v>
      </c>
      <c r="BB75" s="7">
        <v>342</v>
      </c>
      <c r="BC75" s="7">
        <v>339</v>
      </c>
      <c r="BD75" s="7">
        <v>342</v>
      </c>
      <c r="BE75" s="7">
        <v>342</v>
      </c>
      <c r="BI75" s="21">
        <v>20147</v>
      </c>
    </row>
    <row r="76" spans="1:61" x14ac:dyDescent="0.25">
      <c r="A76" s="88" t="s">
        <v>209</v>
      </c>
      <c r="B76" s="7">
        <v>331</v>
      </c>
      <c r="C76" s="11">
        <v>323</v>
      </c>
      <c r="D76" s="11">
        <v>333</v>
      </c>
      <c r="E76" s="11">
        <v>344</v>
      </c>
      <c r="F76" s="11">
        <v>344</v>
      </c>
      <c r="G76" s="11">
        <v>344</v>
      </c>
      <c r="H76" s="11">
        <v>344</v>
      </c>
      <c r="I76" s="11">
        <v>345</v>
      </c>
      <c r="J76" s="11">
        <v>352</v>
      </c>
      <c r="K76" s="11">
        <v>360</v>
      </c>
      <c r="L76" s="11">
        <v>374</v>
      </c>
      <c r="M76" s="11">
        <v>385</v>
      </c>
      <c r="N76" s="11">
        <v>390</v>
      </c>
      <c r="O76" s="11">
        <v>398</v>
      </c>
      <c r="P76" s="11">
        <v>407</v>
      </c>
      <c r="Q76" s="11">
        <v>412</v>
      </c>
      <c r="R76" s="11">
        <v>417</v>
      </c>
      <c r="S76" s="11">
        <v>420</v>
      </c>
      <c r="T76" s="11">
        <v>423</v>
      </c>
      <c r="U76" s="11">
        <v>425</v>
      </c>
      <c r="V76" s="11">
        <v>428</v>
      </c>
      <c r="W76" s="11">
        <v>434</v>
      </c>
      <c r="X76" s="11">
        <v>439</v>
      </c>
      <c r="Y76" s="11">
        <v>447</v>
      </c>
      <c r="Z76" s="11">
        <v>455</v>
      </c>
      <c r="AA76" s="11">
        <v>466</v>
      </c>
      <c r="AB76" s="11">
        <v>480</v>
      </c>
      <c r="AC76" s="11">
        <v>496</v>
      </c>
      <c r="AD76" s="11">
        <v>516</v>
      </c>
      <c r="AE76" s="11">
        <v>537</v>
      </c>
      <c r="AF76" s="11">
        <v>562</v>
      </c>
      <c r="AG76" s="11">
        <v>586</v>
      </c>
      <c r="AH76" s="11">
        <v>614</v>
      </c>
      <c r="AI76" s="11">
        <v>641</v>
      </c>
      <c r="AJ76" s="11">
        <v>671</v>
      </c>
      <c r="AK76" s="11">
        <v>701</v>
      </c>
      <c r="AL76" s="11">
        <v>734</v>
      </c>
      <c r="AM76" s="11">
        <v>766</v>
      </c>
      <c r="AN76" s="11">
        <v>802</v>
      </c>
      <c r="AO76" s="11">
        <v>838</v>
      </c>
      <c r="AP76" s="11">
        <v>876</v>
      </c>
      <c r="AQ76" s="11">
        <v>895</v>
      </c>
      <c r="AR76" s="11">
        <v>933</v>
      </c>
      <c r="AS76" s="11">
        <v>966</v>
      </c>
      <c r="AT76" s="11">
        <v>987</v>
      </c>
      <c r="AU76" s="11">
        <v>1015</v>
      </c>
      <c r="AV76" s="11">
        <v>1031</v>
      </c>
      <c r="AW76" s="391"/>
      <c r="AX76" s="391"/>
      <c r="AY76" s="264">
        <v>333</v>
      </c>
      <c r="AZ76" s="264">
        <v>333</v>
      </c>
      <c r="BA76" s="7">
        <v>333</v>
      </c>
      <c r="BB76" s="7">
        <v>333</v>
      </c>
      <c r="BC76" s="7">
        <v>333</v>
      </c>
      <c r="BD76" s="7">
        <v>333</v>
      </c>
      <c r="BE76" s="7">
        <v>333</v>
      </c>
      <c r="BI76" s="21">
        <v>23093</v>
      </c>
    </row>
    <row r="77" spans="1:61" x14ac:dyDescent="0.25">
      <c r="A77" s="88" t="s">
        <v>210</v>
      </c>
      <c r="B77" s="7">
        <v>370</v>
      </c>
      <c r="C77" s="390">
        <v>363</v>
      </c>
      <c r="D77" s="390">
        <v>375</v>
      </c>
      <c r="E77" s="11">
        <v>386</v>
      </c>
      <c r="F77" s="11">
        <v>386</v>
      </c>
      <c r="G77" s="11">
        <v>386</v>
      </c>
      <c r="H77" s="11">
        <v>386</v>
      </c>
      <c r="I77" s="11">
        <v>388</v>
      </c>
      <c r="J77" s="11">
        <v>395</v>
      </c>
      <c r="K77" s="11">
        <v>405</v>
      </c>
      <c r="L77" s="11">
        <v>420</v>
      </c>
      <c r="M77" s="11">
        <v>432</v>
      </c>
      <c r="N77" s="11">
        <v>438</v>
      </c>
      <c r="O77" s="11">
        <v>448</v>
      </c>
      <c r="P77" s="11">
        <v>457</v>
      </c>
      <c r="Q77" s="11">
        <v>463</v>
      </c>
      <c r="R77" s="11">
        <v>469</v>
      </c>
      <c r="S77" s="11">
        <v>472</v>
      </c>
      <c r="T77" s="11">
        <v>475</v>
      </c>
      <c r="U77" s="11">
        <v>478</v>
      </c>
      <c r="V77" s="11">
        <v>481</v>
      </c>
      <c r="W77" s="11">
        <v>487</v>
      </c>
      <c r="X77" s="11">
        <v>494</v>
      </c>
      <c r="Y77" s="11">
        <v>503</v>
      </c>
      <c r="Z77" s="11">
        <v>512</v>
      </c>
      <c r="AA77" s="11">
        <v>524</v>
      </c>
      <c r="AB77" s="11">
        <v>540</v>
      </c>
      <c r="AC77" s="11">
        <v>558</v>
      </c>
      <c r="AD77" s="11">
        <v>579</v>
      </c>
      <c r="AE77" s="11">
        <v>604</v>
      </c>
      <c r="AF77" s="11">
        <v>631</v>
      </c>
      <c r="AG77" s="11">
        <v>659</v>
      </c>
      <c r="AH77" s="11">
        <v>690</v>
      </c>
      <c r="AI77" s="11">
        <v>720</v>
      </c>
      <c r="AJ77" s="11">
        <v>754</v>
      </c>
      <c r="AK77" s="11">
        <v>788</v>
      </c>
      <c r="AL77" s="11">
        <v>825</v>
      </c>
      <c r="AM77" s="11">
        <v>861</v>
      </c>
      <c r="AN77" s="11">
        <v>901</v>
      </c>
      <c r="AO77" s="11">
        <v>941</v>
      </c>
      <c r="AP77" s="11">
        <v>984</v>
      </c>
      <c r="AQ77" s="11">
        <v>1005</v>
      </c>
      <c r="AR77" s="11">
        <v>1048</v>
      </c>
      <c r="AS77" s="11">
        <v>1085</v>
      </c>
      <c r="AT77" s="11">
        <v>1110</v>
      </c>
      <c r="AU77" s="11">
        <v>1140</v>
      </c>
      <c r="AV77" s="11">
        <v>1159</v>
      </c>
      <c r="AY77" s="264">
        <v>375</v>
      </c>
      <c r="AZ77" s="264">
        <v>375</v>
      </c>
      <c r="BA77" s="7">
        <v>375</v>
      </c>
      <c r="BB77" s="7">
        <v>375</v>
      </c>
      <c r="BC77" s="7">
        <v>375</v>
      </c>
      <c r="BD77" s="7">
        <v>375</v>
      </c>
      <c r="BE77" s="7">
        <v>375</v>
      </c>
      <c r="BI77" s="21">
        <v>23952</v>
      </c>
    </row>
    <row r="78" spans="1:61" x14ac:dyDescent="0.25">
      <c r="A78" s="88" t="s">
        <v>211</v>
      </c>
      <c r="B78" s="7">
        <v>346</v>
      </c>
      <c r="C78" s="11">
        <v>339</v>
      </c>
      <c r="D78" s="11">
        <v>350</v>
      </c>
      <c r="E78" s="11">
        <v>361</v>
      </c>
      <c r="F78" s="11">
        <v>361</v>
      </c>
      <c r="G78" s="11">
        <v>361</v>
      </c>
      <c r="H78" s="11">
        <v>361</v>
      </c>
      <c r="I78" s="11">
        <v>362</v>
      </c>
      <c r="J78" s="11">
        <v>369</v>
      </c>
      <c r="K78" s="11">
        <v>378</v>
      </c>
      <c r="L78" s="11">
        <v>392</v>
      </c>
      <c r="M78" s="11">
        <v>403</v>
      </c>
      <c r="N78" s="11">
        <v>409</v>
      </c>
      <c r="O78" s="11">
        <v>418</v>
      </c>
      <c r="P78" s="11">
        <v>427</v>
      </c>
      <c r="Q78" s="11">
        <v>432</v>
      </c>
      <c r="R78" s="11">
        <v>438</v>
      </c>
      <c r="S78" s="11">
        <v>441</v>
      </c>
      <c r="T78" s="11">
        <v>443</v>
      </c>
      <c r="U78" s="11">
        <v>446</v>
      </c>
      <c r="V78" s="11">
        <v>449</v>
      </c>
      <c r="W78" s="11">
        <v>455</v>
      </c>
      <c r="X78" s="11">
        <v>461</v>
      </c>
      <c r="Y78" s="11">
        <v>469</v>
      </c>
      <c r="Z78" s="11">
        <v>478</v>
      </c>
      <c r="AA78" s="11">
        <v>489</v>
      </c>
      <c r="AB78" s="11">
        <v>504</v>
      </c>
      <c r="AC78" s="11">
        <v>521</v>
      </c>
      <c r="AD78" s="11">
        <v>541</v>
      </c>
      <c r="AE78" s="11">
        <v>564</v>
      </c>
      <c r="AF78" s="11">
        <v>589</v>
      </c>
      <c r="AG78" s="11">
        <v>615</v>
      </c>
      <c r="AH78" s="11">
        <v>644</v>
      </c>
      <c r="AI78" s="11">
        <v>672</v>
      </c>
      <c r="AJ78" s="11">
        <v>704</v>
      </c>
      <c r="AK78" s="11">
        <v>736</v>
      </c>
      <c r="AL78" s="11">
        <v>770</v>
      </c>
      <c r="AM78" s="11">
        <v>804</v>
      </c>
      <c r="AN78" s="11">
        <v>841</v>
      </c>
      <c r="AO78" s="11">
        <v>879</v>
      </c>
      <c r="AP78" s="11">
        <v>919</v>
      </c>
      <c r="AQ78" s="11">
        <v>939</v>
      </c>
      <c r="AR78" s="11">
        <v>979</v>
      </c>
      <c r="AS78" s="11">
        <v>1013</v>
      </c>
      <c r="AT78" s="11">
        <v>1036</v>
      </c>
      <c r="AU78" s="11">
        <v>1064</v>
      </c>
      <c r="AV78" s="11">
        <v>1082</v>
      </c>
      <c r="AW78" s="391"/>
      <c r="AX78" s="391"/>
      <c r="AY78" s="264">
        <v>350</v>
      </c>
      <c r="AZ78" s="264">
        <v>350</v>
      </c>
      <c r="BA78" s="7">
        <v>350</v>
      </c>
      <c r="BB78" s="7">
        <v>350</v>
      </c>
      <c r="BC78" s="7">
        <v>350</v>
      </c>
      <c r="BD78" s="7">
        <v>350</v>
      </c>
      <c r="BE78" s="7">
        <v>350</v>
      </c>
      <c r="BI78" s="21">
        <v>24502</v>
      </c>
    </row>
    <row r="79" spans="1:61" x14ac:dyDescent="0.25">
      <c r="A79" s="88" t="s">
        <v>212</v>
      </c>
      <c r="B79" s="7">
        <v>370</v>
      </c>
      <c r="C79" s="390">
        <v>363</v>
      </c>
      <c r="D79" s="390">
        <v>375</v>
      </c>
      <c r="E79" s="11">
        <v>386</v>
      </c>
      <c r="F79" s="11">
        <v>386</v>
      </c>
      <c r="G79" s="11">
        <v>386</v>
      </c>
      <c r="H79" s="11">
        <v>386</v>
      </c>
      <c r="I79" s="11">
        <v>388</v>
      </c>
      <c r="J79" s="11">
        <v>395</v>
      </c>
      <c r="K79" s="11">
        <v>405</v>
      </c>
      <c r="L79" s="11">
        <v>420</v>
      </c>
      <c r="M79" s="11">
        <v>432</v>
      </c>
      <c r="N79" s="11">
        <v>438</v>
      </c>
      <c r="O79" s="11">
        <v>448</v>
      </c>
      <c r="P79" s="11">
        <v>457</v>
      </c>
      <c r="Q79" s="11">
        <v>463</v>
      </c>
      <c r="R79" s="11">
        <v>469</v>
      </c>
      <c r="S79" s="11">
        <v>472</v>
      </c>
      <c r="T79" s="11">
        <v>475</v>
      </c>
      <c r="U79" s="11">
        <v>478</v>
      </c>
      <c r="V79" s="11">
        <v>481</v>
      </c>
      <c r="W79" s="11">
        <v>487</v>
      </c>
      <c r="X79" s="11">
        <v>494</v>
      </c>
      <c r="Y79" s="11">
        <v>503</v>
      </c>
      <c r="Z79" s="11">
        <v>512</v>
      </c>
      <c r="AA79" s="11">
        <v>524</v>
      </c>
      <c r="AB79" s="11">
        <v>540</v>
      </c>
      <c r="AC79" s="11">
        <v>558</v>
      </c>
      <c r="AD79" s="11">
        <v>579</v>
      </c>
      <c r="AE79" s="11">
        <v>604</v>
      </c>
      <c r="AF79" s="11">
        <v>631</v>
      </c>
      <c r="AG79" s="11">
        <v>659</v>
      </c>
      <c r="AH79" s="11">
        <v>690</v>
      </c>
      <c r="AI79" s="11">
        <v>720</v>
      </c>
      <c r="AJ79" s="11">
        <v>754</v>
      </c>
      <c r="AK79" s="11">
        <v>788</v>
      </c>
      <c r="AL79" s="11">
        <v>825</v>
      </c>
      <c r="AM79" s="11">
        <v>861</v>
      </c>
      <c r="AN79" s="11">
        <v>901</v>
      </c>
      <c r="AO79" s="11">
        <v>941</v>
      </c>
      <c r="AP79" s="11">
        <v>984</v>
      </c>
      <c r="AQ79" s="11">
        <v>1005</v>
      </c>
      <c r="AR79" s="11">
        <v>1048</v>
      </c>
      <c r="AS79" s="11">
        <v>1085</v>
      </c>
      <c r="AT79" s="11">
        <v>1110</v>
      </c>
      <c r="AU79" s="11">
        <v>1140</v>
      </c>
      <c r="AV79" s="11">
        <v>1159</v>
      </c>
      <c r="AY79" s="264">
        <v>375</v>
      </c>
      <c r="AZ79" s="264">
        <v>375</v>
      </c>
      <c r="BA79" s="7">
        <v>375</v>
      </c>
      <c r="BB79" s="7">
        <v>375</v>
      </c>
      <c r="BC79" s="7">
        <v>375</v>
      </c>
      <c r="BD79" s="7">
        <v>375</v>
      </c>
      <c r="BE79" s="7">
        <v>375</v>
      </c>
      <c r="BI79" s="21">
        <v>22727</v>
      </c>
    </row>
    <row r="80" spans="1:61" x14ac:dyDescent="0.25">
      <c r="A80" s="88" t="s">
        <v>213</v>
      </c>
      <c r="B80" s="7">
        <v>339</v>
      </c>
      <c r="C80" s="7">
        <v>332</v>
      </c>
      <c r="D80" s="7">
        <v>342</v>
      </c>
      <c r="E80" s="7">
        <v>352</v>
      </c>
      <c r="F80" s="7">
        <v>352</v>
      </c>
      <c r="G80" s="7">
        <v>352</v>
      </c>
      <c r="H80" s="7">
        <v>352</v>
      </c>
      <c r="I80" s="7">
        <v>354</v>
      </c>
      <c r="J80" s="7">
        <v>361</v>
      </c>
      <c r="K80" s="7">
        <v>369</v>
      </c>
      <c r="L80" s="7">
        <v>383</v>
      </c>
      <c r="M80" s="7">
        <v>394</v>
      </c>
      <c r="N80" s="7">
        <v>400</v>
      </c>
      <c r="O80" s="7">
        <v>409</v>
      </c>
      <c r="P80" s="7">
        <v>417</v>
      </c>
      <c r="Q80" s="7">
        <v>422</v>
      </c>
      <c r="R80" s="7">
        <v>428</v>
      </c>
      <c r="S80" s="7">
        <v>431</v>
      </c>
      <c r="T80" s="7">
        <v>434</v>
      </c>
      <c r="U80" s="7">
        <v>436</v>
      </c>
      <c r="V80" s="7">
        <v>439</v>
      </c>
      <c r="W80" s="7">
        <v>445</v>
      </c>
      <c r="X80" s="7">
        <v>450</v>
      </c>
      <c r="Y80" s="7">
        <v>459</v>
      </c>
      <c r="Z80" s="7">
        <v>467</v>
      </c>
      <c r="AA80" s="7">
        <v>478</v>
      </c>
      <c r="AB80" s="7">
        <v>492</v>
      </c>
      <c r="AC80" s="7">
        <v>509</v>
      </c>
      <c r="AD80" s="7">
        <v>529</v>
      </c>
      <c r="AE80" s="7">
        <v>551</v>
      </c>
      <c r="AF80" s="7">
        <v>576</v>
      </c>
      <c r="AG80" s="7">
        <v>601</v>
      </c>
      <c r="AH80" s="7">
        <v>629</v>
      </c>
      <c r="AI80" s="7">
        <v>657</v>
      </c>
      <c r="AJ80" s="7">
        <v>688</v>
      </c>
      <c r="AK80" s="7">
        <v>719</v>
      </c>
      <c r="AL80" s="7">
        <v>753</v>
      </c>
      <c r="AM80" s="7">
        <v>786</v>
      </c>
      <c r="AN80" s="7">
        <v>822</v>
      </c>
      <c r="AO80" s="7">
        <v>859</v>
      </c>
      <c r="AP80" s="7">
        <v>898</v>
      </c>
      <c r="AQ80" s="7">
        <v>917</v>
      </c>
      <c r="AR80" s="7">
        <v>957</v>
      </c>
      <c r="AS80" s="7">
        <v>990</v>
      </c>
      <c r="AT80" s="7">
        <v>1013</v>
      </c>
      <c r="AU80" s="7">
        <v>1040</v>
      </c>
      <c r="AV80" s="7">
        <v>1057</v>
      </c>
      <c r="AW80" s="29"/>
      <c r="AX80" s="29"/>
      <c r="AY80" s="264">
        <v>342</v>
      </c>
      <c r="AZ80" s="264">
        <v>342</v>
      </c>
      <c r="BA80" s="7">
        <v>342</v>
      </c>
      <c r="BB80" s="7">
        <v>342</v>
      </c>
      <c r="BC80" s="7">
        <v>339</v>
      </c>
      <c r="BD80" s="7">
        <v>342</v>
      </c>
      <c r="BE80" s="7">
        <v>342</v>
      </c>
      <c r="BI80" s="21">
        <v>20109</v>
      </c>
    </row>
    <row r="81" spans="1:61" x14ac:dyDescent="0.25">
      <c r="A81" s="88" t="s">
        <v>214</v>
      </c>
      <c r="B81" s="7">
        <v>339</v>
      </c>
      <c r="C81" s="7">
        <v>332</v>
      </c>
      <c r="D81" s="7">
        <v>342</v>
      </c>
      <c r="E81" s="7">
        <v>352</v>
      </c>
      <c r="F81" s="7">
        <v>352</v>
      </c>
      <c r="G81" s="7">
        <v>352</v>
      </c>
      <c r="H81" s="7">
        <v>352</v>
      </c>
      <c r="I81" s="7">
        <v>354</v>
      </c>
      <c r="J81" s="7">
        <v>361</v>
      </c>
      <c r="K81" s="7">
        <v>369</v>
      </c>
      <c r="L81" s="7">
        <v>383</v>
      </c>
      <c r="M81" s="7">
        <v>394</v>
      </c>
      <c r="N81" s="7">
        <v>400</v>
      </c>
      <c r="O81" s="7">
        <v>409</v>
      </c>
      <c r="P81" s="7">
        <v>417</v>
      </c>
      <c r="Q81" s="7">
        <v>422</v>
      </c>
      <c r="R81" s="7">
        <v>428</v>
      </c>
      <c r="S81" s="7">
        <v>431</v>
      </c>
      <c r="T81" s="7">
        <v>434</v>
      </c>
      <c r="U81" s="7">
        <v>436</v>
      </c>
      <c r="V81" s="7">
        <v>439</v>
      </c>
      <c r="W81" s="7">
        <v>445</v>
      </c>
      <c r="X81" s="7">
        <v>450</v>
      </c>
      <c r="Y81" s="7">
        <v>459</v>
      </c>
      <c r="Z81" s="7">
        <v>467</v>
      </c>
      <c r="AA81" s="7">
        <v>478</v>
      </c>
      <c r="AB81" s="7">
        <v>492</v>
      </c>
      <c r="AC81" s="7">
        <v>509</v>
      </c>
      <c r="AD81" s="7">
        <v>529</v>
      </c>
      <c r="AE81" s="7">
        <v>551</v>
      </c>
      <c r="AF81" s="7">
        <v>576</v>
      </c>
      <c r="AG81" s="7">
        <v>601</v>
      </c>
      <c r="AH81" s="7">
        <v>629</v>
      </c>
      <c r="AI81" s="7">
        <v>657</v>
      </c>
      <c r="AJ81" s="7">
        <v>688</v>
      </c>
      <c r="AK81" s="7">
        <v>719</v>
      </c>
      <c r="AL81" s="7">
        <v>753</v>
      </c>
      <c r="AM81" s="7">
        <v>786</v>
      </c>
      <c r="AN81" s="7">
        <v>822</v>
      </c>
      <c r="AO81" s="7">
        <v>859</v>
      </c>
      <c r="AP81" s="7">
        <v>898</v>
      </c>
      <c r="AQ81" s="7">
        <v>917</v>
      </c>
      <c r="AR81" s="7">
        <v>957</v>
      </c>
      <c r="AS81" s="7">
        <v>990</v>
      </c>
      <c r="AT81" s="7">
        <v>1013</v>
      </c>
      <c r="AU81" s="7">
        <v>1040</v>
      </c>
      <c r="AV81" s="7">
        <v>1057</v>
      </c>
      <c r="AW81" s="29"/>
      <c r="AX81" s="29"/>
      <c r="AY81" s="264">
        <v>342</v>
      </c>
      <c r="AZ81" s="264">
        <v>342</v>
      </c>
      <c r="BA81" s="7">
        <v>342</v>
      </c>
      <c r="BB81" s="7">
        <v>342</v>
      </c>
      <c r="BC81" s="7">
        <v>339</v>
      </c>
      <c r="BD81" s="7">
        <v>342</v>
      </c>
      <c r="BE81" s="7">
        <v>342</v>
      </c>
      <c r="BI81" s="21">
        <v>20111</v>
      </c>
    </row>
    <row r="82" spans="1:61" x14ac:dyDescent="0.25">
      <c r="A82" s="88" t="s">
        <v>215</v>
      </c>
      <c r="B82" s="7">
        <v>371</v>
      </c>
      <c r="C82" s="7">
        <v>363</v>
      </c>
      <c r="D82" s="7">
        <v>375</v>
      </c>
      <c r="E82" s="7">
        <v>386</v>
      </c>
      <c r="F82" s="7">
        <v>386</v>
      </c>
      <c r="G82" s="7">
        <v>386</v>
      </c>
      <c r="H82" s="7">
        <v>386</v>
      </c>
      <c r="I82" s="7">
        <v>388</v>
      </c>
      <c r="J82" s="7">
        <v>395</v>
      </c>
      <c r="K82" s="7">
        <v>405</v>
      </c>
      <c r="L82" s="7">
        <v>420</v>
      </c>
      <c r="M82" s="7">
        <v>432</v>
      </c>
      <c r="N82" s="7">
        <v>438</v>
      </c>
      <c r="O82" s="7">
        <v>448</v>
      </c>
      <c r="P82" s="7">
        <v>457</v>
      </c>
      <c r="Q82" s="7">
        <v>463</v>
      </c>
      <c r="R82" s="7">
        <v>469</v>
      </c>
      <c r="S82" s="7">
        <v>472</v>
      </c>
      <c r="T82" s="7">
        <v>475</v>
      </c>
      <c r="U82" s="7">
        <v>478</v>
      </c>
      <c r="V82" s="7">
        <v>481</v>
      </c>
      <c r="W82" s="7">
        <v>487</v>
      </c>
      <c r="X82" s="7">
        <v>494</v>
      </c>
      <c r="Y82" s="7">
        <v>503</v>
      </c>
      <c r="Z82" s="7">
        <v>512</v>
      </c>
      <c r="AA82" s="7">
        <v>524</v>
      </c>
      <c r="AB82" s="7">
        <v>540</v>
      </c>
      <c r="AC82" s="7">
        <v>558</v>
      </c>
      <c r="AD82" s="7">
        <v>579</v>
      </c>
      <c r="AE82" s="7">
        <v>603</v>
      </c>
      <c r="AF82" s="7">
        <v>631</v>
      </c>
      <c r="AG82" s="7">
        <v>659</v>
      </c>
      <c r="AH82" s="7">
        <v>690</v>
      </c>
      <c r="AI82" s="7">
        <v>720</v>
      </c>
      <c r="AJ82" s="7">
        <v>754</v>
      </c>
      <c r="AK82" s="7">
        <v>788</v>
      </c>
      <c r="AL82" s="7">
        <v>825</v>
      </c>
      <c r="AM82" s="7">
        <v>861</v>
      </c>
      <c r="AN82" s="7">
        <v>901</v>
      </c>
      <c r="AO82" s="7">
        <v>941</v>
      </c>
      <c r="AP82" s="7">
        <v>984</v>
      </c>
      <c r="AQ82" s="7">
        <v>1005</v>
      </c>
      <c r="AR82" s="7">
        <v>1048</v>
      </c>
      <c r="AS82" s="7">
        <v>1085</v>
      </c>
      <c r="AT82" s="7">
        <v>1110</v>
      </c>
      <c r="AU82" s="7">
        <v>1140</v>
      </c>
      <c r="AV82" s="7">
        <v>1159</v>
      </c>
      <c r="AW82" s="391"/>
      <c r="AX82" s="391"/>
      <c r="AY82" s="7">
        <v>375</v>
      </c>
      <c r="AZ82" s="290">
        <v>375</v>
      </c>
      <c r="BA82" s="7">
        <v>375</v>
      </c>
      <c r="BB82" s="7">
        <v>375</v>
      </c>
      <c r="BC82" s="7">
        <v>375</v>
      </c>
      <c r="BD82" s="7">
        <v>375</v>
      </c>
      <c r="BE82" s="7">
        <v>375</v>
      </c>
      <c r="BI82" s="21">
        <v>24112</v>
      </c>
    </row>
    <row r="83" spans="1:61" x14ac:dyDescent="0.25">
      <c r="A83" s="88" t="s">
        <v>216</v>
      </c>
      <c r="B83" s="7">
        <v>338</v>
      </c>
      <c r="C83" s="7">
        <v>332</v>
      </c>
      <c r="D83" s="7">
        <v>342</v>
      </c>
      <c r="E83" s="7">
        <v>352</v>
      </c>
      <c r="F83" s="7">
        <v>352</v>
      </c>
      <c r="G83" s="7">
        <v>352</v>
      </c>
      <c r="H83" s="7">
        <v>352</v>
      </c>
      <c r="I83" s="7">
        <v>354</v>
      </c>
      <c r="J83" s="7">
        <v>361</v>
      </c>
      <c r="K83" s="7">
        <v>369</v>
      </c>
      <c r="L83" s="7">
        <v>383</v>
      </c>
      <c r="M83" s="7">
        <v>394</v>
      </c>
      <c r="N83" s="7">
        <v>400</v>
      </c>
      <c r="O83" s="7">
        <v>409</v>
      </c>
      <c r="P83" s="7">
        <v>417</v>
      </c>
      <c r="Q83" s="7">
        <v>422</v>
      </c>
      <c r="R83" s="7">
        <v>428</v>
      </c>
      <c r="S83" s="7">
        <v>431</v>
      </c>
      <c r="T83" s="7">
        <v>434</v>
      </c>
      <c r="U83" s="7">
        <v>436</v>
      </c>
      <c r="V83" s="7">
        <v>439</v>
      </c>
      <c r="W83" s="7">
        <v>445</v>
      </c>
      <c r="X83" s="7">
        <v>450</v>
      </c>
      <c r="Y83" s="7">
        <v>459</v>
      </c>
      <c r="Z83" s="7">
        <v>467</v>
      </c>
      <c r="AA83" s="7">
        <v>478</v>
      </c>
      <c r="AB83" s="7">
        <v>492</v>
      </c>
      <c r="AC83" s="7">
        <v>509</v>
      </c>
      <c r="AD83" s="7">
        <v>529</v>
      </c>
      <c r="AE83" s="7">
        <v>551</v>
      </c>
      <c r="AF83" s="7">
        <v>576</v>
      </c>
      <c r="AG83" s="7">
        <v>601</v>
      </c>
      <c r="AH83" s="7">
        <v>629</v>
      </c>
      <c r="AI83" s="7">
        <v>657</v>
      </c>
      <c r="AJ83" s="7">
        <v>688</v>
      </c>
      <c r="AK83" s="7">
        <v>719</v>
      </c>
      <c r="AL83" s="7">
        <v>753</v>
      </c>
      <c r="AM83" s="7">
        <v>786</v>
      </c>
      <c r="AN83" s="7">
        <v>822</v>
      </c>
      <c r="AO83" s="7">
        <v>859</v>
      </c>
      <c r="AP83" s="7">
        <v>898</v>
      </c>
      <c r="AQ83" s="7">
        <v>917</v>
      </c>
      <c r="AR83" s="7">
        <v>957</v>
      </c>
      <c r="AS83" s="7">
        <v>990</v>
      </c>
      <c r="AT83" s="7">
        <v>1013</v>
      </c>
      <c r="AU83" s="7">
        <v>1040</v>
      </c>
      <c r="AV83" s="7">
        <v>1057</v>
      </c>
      <c r="AW83" s="391"/>
      <c r="AX83" s="391"/>
      <c r="AY83" s="264">
        <v>342</v>
      </c>
      <c r="AZ83" s="264">
        <v>342</v>
      </c>
      <c r="BA83" s="7">
        <v>342</v>
      </c>
      <c r="BB83" s="7">
        <v>342</v>
      </c>
      <c r="BC83" s="7">
        <v>339</v>
      </c>
      <c r="BD83" s="7">
        <v>342</v>
      </c>
      <c r="BE83" s="7">
        <v>342</v>
      </c>
      <c r="BI83" s="21">
        <v>23109</v>
      </c>
    </row>
    <row r="84" spans="1:61" x14ac:dyDescent="0.25">
      <c r="A84" s="88" t="s">
        <v>217</v>
      </c>
      <c r="B84" s="7">
        <v>370</v>
      </c>
      <c r="C84" s="390">
        <v>363</v>
      </c>
      <c r="D84" s="390">
        <v>375</v>
      </c>
      <c r="E84" s="11">
        <v>386</v>
      </c>
      <c r="F84" s="11">
        <v>386</v>
      </c>
      <c r="G84" s="11">
        <v>386</v>
      </c>
      <c r="H84" s="11">
        <v>386</v>
      </c>
      <c r="I84" s="11">
        <v>388</v>
      </c>
      <c r="J84" s="11">
        <v>395</v>
      </c>
      <c r="K84" s="11">
        <v>405</v>
      </c>
      <c r="L84" s="11">
        <v>420</v>
      </c>
      <c r="M84" s="11">
        <v>432</v>
      </c>
      <c r="N84" s="11">
        <v>438</v>
      </c>
      <c r="O84" s="11">
        <v>448</v>
      </c>
      <c r="P84" s="11">
        <v>457</v>
      </c>
      <c r="Q84" s="11">
        <v>463</v>
      </c>
      <c r="R84" s="11">
        <v>469</v>
      </c>
      <c r="S84" s="11">
        <v>472</v>
      </c>
      <c r="T84" s="11">
        <v>475</v>
      </c>
      <c r="U84" s="11">
        <v>478</v>
      </c>
      <c r="V84" s="11">
        <v>481</v>
      </c>
      <c r="W84" s="11">
        <v>487</v>
      </c>
      <c r="X84" s="11">
        <v>494</v>
      </c>
      <c r="Y84" s="11">
        <v>503</v>
      </c>
      <c r="Z84" s="11">
        <v>512</v>
      </c>
      <c r="AA84" s="11">
        <v>524</v>
      </c>
      <c r="AB84" s="11">
        <v>540</v>
      </c>
      <c r="AC84" s="11">
        <v>558</v>
      </c>
      <c r="AD84" s="11">
        <v>579</v>
      </c>
      <c r="AE84" s="11">
        <v>604</v>
      </c>
      <c r="AF84" s="11">
        <v>631</v>
      </c>
      <c r="AG84" s="11">
        <v>659</v>
      </c>
      <c r="AH84" s="11">
        <v>690</v>
      </c>
      <c r="AI84" s="11">
        <v>720</v>
      </c>
      <c r="AJ84" s="11">
        <v>754</v>
      </c>
      <c r="AK84" s="11">
        <v>788</v>
      </c>
      <c r="AL84" s="11">
        <v>825</v>
      </c>
      <c r="AM84" s="11">
        <v>861</v>
      </c>
      <c r="AN84" s="11">
        <v>901</v>
      </c>
      <c r="AO84" s="11">
        <v>941</v>
      </c>
      <c r="AP84" s="11">
        <v>984</v>
      </c>
      <c r="AQ84" s="11">
        <v>1005</v>
      </c>
      <c r="AR84" s="11">
        <v>1048</v>
      </c>
      <c r="AS84" s="11">
        <v>1085</v>
      </c>
      <c r="AT84" s="11">
        <v>1110</v>
      </c>
      <c r="AU84" s="11">
        <v>1140</v>
      </c>
      <c r="AV84" s="11">
        <v>1159</v>
      </c>
      <c r="AY84" s="264">
        <v>375</v>
      </c>
      <c r="AZ84" s="264">
        <v>375</v>
      </c>
      <c r="BA84" s="7">
        <v>375</v>
      </c>
      <c r="BB84" s="7">
        <v>375</v>
      </c>
      <c r="BC84" s="7">
        <v>375</v>
      </c>
      <c r="BD84" s="7">
        <v>375</v>
      </c>
      <c r="BE84" s="7">
        <v>375</v>
      </c>
      <c r="BI84" s="21">
        <v>23970</v>
      </c>
    </row>
    <row r="85" spans="1:61" x14ac:dyDescent="0.25">
      <c r="A85" s="88" t="s">
        <v>218</v>
      </c>
      <c r="B85" s="7">
        <v>370</v>
      </c>
      <c r="C85" s="390">
        <v>363</v>
      </c>
      <c r="D85" s="390">
        <v>375</v>
      </c>
      <c r="E85" s="11">
        <v>386</v>
      </c>
      <c r="F85" s="11">
        <v>386</v>
      </c>
      <c r="G85" s="11">
        <v>386</v>
      </c>
      <c r="H85" s="11">
        <v>386</v>
      </c>
      <c r="I85" s="11">
        <v>388</v>
      </c>
      <c r="J85" s="11">
        <v>395</v>
      </c>
      <c r="K85" s="11">
        <v>405</v>
      </c>
      <c r="L85" s="11">
        <v>420</v>
      </c>
      <c r="M85" s="11">
        <v>432</v>
      </c>
      <c r="N85" s="11">
        <v>438</v>
      </c>
      <c r="O85" s="11">
        <v>448</v>
      </c>
      <c r="P85" s="11">
        <v>457</v>
      </c>
      <c r="Q85" s="11">
        <v>463</v>
      </c>
      <c r="R85" s="11">
        <v>469</v>
      </c>
      <c r="S85" s="11">
        <v>472</v>
      </c>
      <c r="T85" s="11">
        <v>475</v>
      </c>
      <c r="U85" s="11">
        <v>478</v>
      </c>
      <c r="V85" s="11">
        <v>481</v>
      </c>
      <c r="W85" s="11">
        <v>487</v>
      </c>
      <c r="X85" s="11">
        <v>494</v>
      </c>
      <c r="Y85" s="11">
        <v>503</v>
      </c>
      <c r="Z85" s="11">
        <v>512</v>
      </c>
      <c r="AA85" s="11">
        <v>524</v>
      </c>
      <c r="AB85" s="11">
        <v>540</v>
      </c>
      <c r="AC85" s="11">
        <v>558</v>
      </c>
      <c r="AD85" s="11">
        <v>579</v>
      </c>
      <c r="AE85" s="11">
        <v>604</v>
      </c>
      <c r="AF85" s="11">
        <v>631</v>
      </c>
      <c r="AG85" s="11">
        <v>659</v>
      </c>
      <c r="AH85" s="11">
        <v>690</v>
      </c>
      <c r="AI85" s="11">
        <v>720</v>
      </c>
      <c r="AJ85" s="11">
        <v>754</v>
      </c>
      <c r="AK85" s="11">
        <v>788</v>
      </c>
      <c r="AL85" s="11">
        <v>825</v>
      </c>
      <c r="AM85" s="11">
        <v>861</v>
      </c>
      <c r="AN85" s="11">
        <v>901</v>
      </c>
      <c r="AO85" s="11">
        <v>941</v>
      </c>
      <c r="AP85" s="11">
        <v>984</v>
      </c>
      <c r="AQ85" s="11">
        <v>1005</v>
      </c>
      <c r="AR85" s="11">
        <v>1048</v>
      </c>
      <c r="AS85" s="11">
        <v>1085</v>
      </c>
      <c r="AT85" s="11">
        <v>1110</v>
      </c>
      <c r="AU85" s="11">
        <v>1140</v>
      </c>
      <c r="AV85" s="11">
        <v>1159</v>
      </c>
      <c r="AY85" s="264">
        <v>375</v>
      </c>
      <c r="AZ85" s="264">
        <v>375</v>
      </c>
      <c r="BA85" s="7">
        <v>375</v>
      </c>
      <c r="BB85" s="7">
        <v>375</v>
      </c>
      <c r="BC85" s="7">
        <v>375</v>
      </c>
      <c r="BD85" s="7">
        <v>375</v>
      </c>
      <c r="BE85" s="7">
        <v>375</v>
      </c>
      <c r="BI85" s="21">
        <v>23149</v>
      </c>
    </row>
    <row r="86" spans="1:61" x14ac:dyDescent="0.25">
      <c r="A86" s="88" t="s">
        <v>219</v>
      </c>
      <c r="B86" s="7">
        <v>371</v>
      </c>
      <c r="C86" s="7">
        <v>363</v>
      </c>
      <c r="D86" s="7">
        <v>375</v>
      </c>
      <c r="E86" s="7">
        <v>386</v>
      </c>
      <c r="F86" s="7">
        <v>386</v>
      </c>
      <c r="G86" s="7">
        <v>386</v>
      </c>
      <c r="H86" s="7">
        <v>386</v>
      </c>
      <c r="I86" s="7">
        <v>388</v>
      </c>
      <c r="J86" s="7">
        <v>395</v>
      </c>
      <c r="K86" s="7">
        <v>405</v>
      </c>
      <c r="L86" s="7">
        <v>420</v>
      </c>
      <c r="M86" s="7">
        <v>432</v>
      </c>
      <c r="N86" s="7">
        <v>438</v>
      </c>
      <c r="O86" s="7">
        <v>448</v>
      </c>
      <c r="P86" s="7">
        <v>457</v>
      </c>
      <c r="Q86" s="7">
        <v>463</v>
      </c>
      <c r="R86" s="7">
        <v>469</v>
      </c>
      <c r="S86" s="7">
        <v>472</v>
      </c>
      <c r="T86" s="7">
        <v>475</v>
      </c>
      <c r="U86" s="7">
        <v>478</v>
      </c>
      <c r="V86" s="7">
        <v>481</v>
      </c>
      <c r="W86" s="7">
        <v>487</v>
      </c>
      <c r="X86" s="7">
        <v>494</v>
      </c>
      <c r="Y86" s="7">
        <v>503</v>
      </c>
      <c r="Z86" s="7">
        <v>512</v>
      </c>
      <c r="AA86" s="7">
        <v>524</v>
      </c>
      <c r="AB86" s="7">
        <v>540</v>
      </c>
      <c r="AC86" s="7">
        <v>558</v>
      </c>
      <c r="AD86" s="7">
        <v>579</v>
      </c>
      <c r="AE86" s="7">
        <v>603</v>
      </c>
      <c r="AF86" s="7">
        <v>631</v>
      </c>
      <c r="AG86" s="7">
        <v>659</v>
      </c>
      <c r="AH86" s="7">
        <v>690</v>
      </c>
      <c r="AI86" s="7">
        <v>720</v>
      </c>
      <c r="AJ86" s="7">
        <v>754</v>
      </c>
      <c r="AK86" s="7">
        <v>788</v>
      </c>
      <c r="AL86" s="7">
        <v>825</v>
      </c>
      <c r="AM86" s="7">
        <v>861</v>
      </c>
      <c r="AN86" s="7">
        <v>901</v>
      </c>
      <c r="AO86" s="7">
        <v>941</v>
      </c>
      <c r="AP86" s="7">
        <v>984</v>
      </c>
      <c r="AQ86" s="7">
        <v>1005</v>
      </c>
      <c r="AR86" s="7">
        <v>1048</v>
      </c>
      <c r="AS86" s="7">
        <v>1085</v>
      </c>
      <c r="AT86" s="7">
        <v>1110</v>
      </c>
      <c r="AU86" s="7">
        <v>1140</v>
      </c>
      <c r="AV86" s="7">
        <v>1159</v>
      </c>
      <c r="AW86" s="391"/>
      <c r="AX86" s="391"/>
      <c r="AY86" s="7">
        <v>375</v>
      </c>
      <c r="AZ86" s="290">
        <v>375</v>
      </c>
      <c r="BA86" s="7">
        <v>375</v>
      </c>
      <c r="BB86" s="7">
        <v>375</v>
      </c>
      <c r="BC86" s="7">
        <v>375</v>
      </c>
      <c r="BD86" s="7">
        <v>375</v>
      </c>
      <c r="BE86" s="7">
        <v>375</v>
      </c>
      <c r="BI86" s="21">
        <v>24060</v>
      </c>
    </row>
    <row r="87" spans="1:61" x14ac:dyDescent="0.25">
      <c r="A87" s="88" t="s">
        <v>220</v>
      </c>
      <c r="B87" s="7">
        <v>374</v>
      </c>
      <c r="C87" s="11">
        <v>368</v>
      </c>
      <c r="D87" s="11">
        <v>379</v>
      </c>
      <c r="E87" s="11">
        <v>391</v>
      </c>
      <c r="F87" s="11">
        <v>391</v>
      </c>
      <c r="G87" s="11">
        <v>391</v>
      </c>
      <c r="H87" s="11">
        <v>391</v>
      </c>
      <c r="I87" s="11">
        <v>392</v>
      </c>
      <c r="J87" s="11">
        <v>400</v>
      </c>
      <c r="K87" s="11">
        <v>410</v>
      </c>
      <c r="L87" s="11">
        <v>425</v>
      </c>
      <c r="M87" s="11">
        <v>437</v>
      </c>
      <c r="N87" s="11">
        <v>444</v>
      </c>
      <c r="O87" s="11">
        <v>453</v>
      </c>
      <c r="P87" s="11">
        <v>462</v>
      </c>
      <c r="Q87" s="11">
        <v>468</v>
      </c>
      <c r="R87" s="7">
        <v>474</v>
      </c>
      <c r="S87" s="7">
        <v>478</v>
      </c>
      <c r="T87" s="7">
        <v>481</v>
      </c>
      <c r="U87" s="7">
        <v>484</v>
      </c>
      <c r="V87" s="7">
        <v>487</v>
      </c>
      <c r="W87" s="7">
        <v>493</v>
      </c>
      <c r="X87" s="7">
        <v>499</v>
      </c>
      <c r="Y87" s="7">
        <v>509</v>
      </c>
      <c r="Z87" s="7">
        <v>518</v>
      </c>
      <c r="AA87" s="7">
        <v>530</v>
      </c>
      <c r="AB87" s="7">
        <v>546</v>
      </c>
      <c r="AC87" s="7">
        <v>564</v>
      </c>
      <c r="AD87" s="7">
        <v>586</v>
      </c>
      <c r="AE87" s="7">
        <v>611</v>
      </c>
      <c r="AF87" s="7">
        <v>639</v>
      </c>
      <c r="AG87" s="7">
        <v>667</v>
      </c>
      <c r="AH87" s="7">
        <v>698</v>
      </c>
      <c r="AI87" s="7">
        <v>729</v>
      </c>
      <c r="AJ87" s="7">
        <v>763</v>
      </c>
      <c r="AK87" s="7">
        <v>797</v>
      </c>
      <c r="AL87" s="7">
        <v>834</v>
      </c>
      <c r="AM87" s="7">
        <v>871</v>
      </c>
      <c r="AN87" s="7">
        <v>912</v>
      </c>
      <c r="AO87" s="7">
        <v>952</v>
      </c>
      <c r="AP87" s="7">
        <v>996</v>
      </c>
      <c r="AQ87" s="7">
        <v>1017</v>
      </c>
      <c r="AR87" s="7">
        <v>1061</v>
      </c>
      <c r="AS87" s="7">
        <v>1098</v>
      </c>
      <c r="AT87" s="7">
        <v>1123</v>
      </c>
      <c r="AU87" s="7">
        <v>1154</v>
      </c>
      <c r="AV87" s="7">
        <v>1172</v>
      </c>
      <c r="AY87" s="264">
        <v>379</v>
      </c>
      <c r="AZ87" s="264">
        <v>379</v>
      </c>
      <c r="BA87" s="7">
        <v>379</v>
      </c>
      <c r="BB87" s="7">
        <v>379</v>
      </c>
      <c r="BC87" s="7">
        <v>379</v>
      </c>
      <c r="BD87" s="7">
        <v>379</v>
      </c>
      <c r="BE87" s="7">
        <v>379</v>
      </c>
      <c r="BI87" s="21">
        <v>22920</v>
      </c>
    </row>
    <row r="88" spans="1:61" x14ac:dyDescent="0.25">
      <c r="A88" s="88" t="s">
        <v>221</v>
      </c>
      <c r="B88" s="7">
        <v>331</v>
      </c>
      <c r="C88" s="11">
        <v>323</v>
      </c>
      <c r="D88" s="11">
        <v>333</v>
      </c>
      <c r="E88" s="11">
        <v>344</v>
      </c>
      <c r="F88" s="11">
        <v>344</v>
      </c>
      <c r="G88" s="11">
        <v>344</v>
      </c>
      <c r="H88" s="11">
        <v>344</v>
      </c>
      <c r="I88" s="11">
        <v>345</v>
      </c>
      <c r="J88" s="11">
        <v>352</v>
      </c>
      <c r="K88" s="11">
        <v>360</v>
      </c>
      <c r="L88" s="11">
        <v>374</v>
      </c>
      <c r="M88" s="11">
        <v>385</v>
      </c>
      <c r="N88" s="11">
        <v>390</v>
      </c>
      <c r="O88" s="11">
        <v>398</v>
      </c>
      <c r="P88" s="11">
        <v>407</v>
      </c>
      <c r="Q88" s="11">
        <v>412</v>
      </c>
      <c r="R88" s="11">
        <v>417</v>
      </c>
      <c r="S88" s="11">
        <v>420</v>
      </c>
      <c r="T88" s="11">
        <v>423</v>
      </c>
      <c r="U88" s="11">
        <v>425</v>
      </c>
      <c r="V88" s="11">
        <v>428</v>
      </c>
      <c r="W88" s="11">
        <v>434</v>
      </c>
      <c r="X88" s="11">
        <v>439</v>
      </c>
      <c r="Y88" s="11">
        <v>447</v>
      </c>
      <c r="Z88" s="11">
        <v>455</v>
      </c>
      <c r="AA88" s="11">
        <v>466</v>
      </c>
      <c r="AB88" s="11">
        <v>480</v>
      </c>
      <c r="AC88" s="11">
        <v>496</v>
      </c>
      <c r="AD88" s="11">
        <v>516</v>
      </c>
      <c r="AE88" s="11">
        <v>537</v>
      </c>
      <c r="AF88" s="11">
        <v>562</v>
      </c>
      <c r="AG88" s="11">
        <v>586</v>
      </c>
      <c r="AH88" s="11">
        <v>614</v>
      </c>
      <c r="AI88" s="11">
        <v>641</v>
      </c>
      <c r="AJ88" s="11">
        <v>671</v>
      </c>
      <c r="AK88" s="11">
        <v>701</v>
      </c>
      <c r="AL88" s="11">
        <v>734</v>
      </c>
      <c r="AM88" s="11">
        <v>766</v>
      </c>
      <c r="AN88" s="11">
        <v>802</v>
      </c>
      <c r="AO88" s="11">
        <v>838</v>
      </c>
      <c r="AP88" s="11">
        <v>876</v>
      </c>
      <c r="AQ88" s="11">
        <v>895</v>
      </c>
      <c r="AR88" s="11">
        <v>933</v>
      </c>
      <c r="AS88" s="11">
        <v>966</v>
      </c>
      <c r="AT88" s="11">
        <v>987</v>
      </c>
      <c r="AU88" s="11">
        <v>1015</v>
      </c>
      <c r="AV88" s="11">
        <v>1031</v>
      </c>
      <c r="AW88" s="391"/>
      <c r="AX88" s="391"/>
      <c r="AY88" s="264">
        <v>333</v>
      </c>
      <c r="AZ88" s="264">
        <v>333</v>
      </c>
      <c r="BA88" s="7">
        <v>333</v>
      </c>
      <c r="BB88" s="7">
        <v>333</v>
      </c>
      <c r="BC88" s="7">
        <v>333</v>
      </c>
      <c r="BD88" s="7">
        <v>333</v>
      </c>
      <c r="BE88" s="7">
        <v>333</v>
      </c>
      <c r="BI88" s="21">
        <v>23140</v>
      </c>
    </row>
    <row r="89" spans="1:61" x14ac:dyDescent="0.25">
      <c r="A89" s="26" t="s">
        <v>222</v>
      </c>
      <c r="B89" s="7">
        <v>337</v>
      </c>
      <c r="C89" s="7">
        <v>331</v>
      </c>
      <c r="D89" s="7">
        <v>341</v>
      </c>
      <c r="E89" s="7">
        <v>351</v>
      </c>
      <c r="F89" s="7">
        <v>351</v>
      </c>
      <c r="G89" s="7">
        <v>351</v>
      </c>
      <c r="H89" s="7">
        <v>351</v>
      </c>
      <c r="I89" s="7">
        <v>353</v>
      </c>
      <c r="J89" s="7">
        <v>360</v>
      </c>
      <c r="K89" s="7">
        <v>368</v>
      </c>
      <c r="L89" s="7">
        <v>382</v>
      </c>
      <c r="M89" s="7">
        <v>393</v>
      </c>
      <c r="N89" s="7">
        <v>399</v>
      </c>
      <c r="O89" s="7">
        <v>407</v>
      </c>
      <c r="P89" s="7">
        <v>416</v>
      </c>
      <c r="Q89" s="7">
        <v>421</v>
      </c>
      <c r="R89" s="7">
        <v>427</v>
      </c>
      <c r="S89" s="7">
        <v>429</v>
      </c>
      <c r="T89" s="7">
        <v>432</v>
      </c>
      <c r="U89" s="7">
        <v>435</v>
      </c>
      <c r="V89" s="7">
        <v>438</v>
      </c>
      <c r="W89" s="7">
        <v>443</v>
      </c>
      <c r="X89" s="7">
        <v>449</v>
      </c>
      <c r="Y89" s="7">
        <v>458</v>
      </c>
      <c r="Z89" s="7">
        <v>466</v>
      </c>
      <c r="AA89" s="7">
        <v>477</v>
      </c>
      <c r="AB89" s="7">
        <v>491</v>
      </c>
      <c r="AC89" s="7">
        <v>507</v>
      </c>
      <c r="AD89" s="7">
        <v>527</v>
      </c>
      <c r="AE89" s="7">
        <v>549</v>
      </c>
      <c r="AF89" s="7">
        <v>575</v>
      </c>
      <c r="AG89" s="7">
        <v>600</v>
      </c>
      <c r="AH89" s="7">
        <v>628</v>
      </c>
      <c r="AI89" s="7">
        <v>655</v>
      </c>
      <c r="AJ89" s="7">
        <v>686</v>
      </c>
      <c r="AK89" s="7">
        <v>717</v>
      </c>
      <c r="AL89" s="7">
        <v>750</v>
      </c>
      <c r="AM89" s="7">
        <v>784</v>
      </c>
      <c r="AN89" s="7">
        <v>820</v>
      </c>
      <c r="AO89" s="7">
        <v>856</v>
      </c>
      <c r="AP89" s="7">
        <v>895</v>
      </c>
      <c r="AQ89" s="7">
        <v>915</v>
      </c>
      <c r="AR89" s="7">
        <v>954</v>
      </c>
      <c r="AS89" s="7">
        <v>987</v>
      </c>
      <c r="AT89" s="7">
        <v>1010</v>
      </c>
      <c r="AU89" s="7">
        <v>1037</v>
      </c>
      <c r="AV89" s="7">
        <v>1054</v>
      </c>
      <c r="AY89" s="264">
        <v>341</v>
      </c>
      <c r="AZ89" s="264">
        <v>341</v>
      </c>
      <c r="BA89" s="7">
        <v>341</v>
      </c>
      <c r="BB89" s="7">
        <v>341</v>
      </c>
      <c r="BC89" s="7">
        <v>341</v>
      </c>
      <c r="BD89" s="7">
        <v>341</v>
      </c>
      <c r="BE89" s="7">
        <v>341</v>
      </c>
      <c r="BI89" s="21">
        <v>23601</v>
      </c>
    </row>
    <row r="90" spans="1:61" x14ac:dyDescent="0.25">
      <c r="A90" s="26" t="s">
        <v>223</v>
      </c>
      <c r="B90" s="7">
        <v>337</v>
      </c>
      <c r="C90" s="7">
        <v>331</v>
      </c>
      <c r="D90" s="7">
        <v>341</v>
      </c>
      <c r="E90" s="7">
        <v>351</v>
      </c>
      <c r="F90" s="7">
        <v>351</v>
      </c>
      <c r="G90" s="7">
        <v>351</v>
      </c>
      <c r="H90" s="7">
        <v>351</v>
      </c>
      <c r="I90" s="7">
        <v>353</v>
      </c>
      <c r="J90" s="7">
        <v>360</v>
      </c>
      <c r="K90" s="7">
        <v>368</v>
      </c>
      <c r="L90" s="7">
        <v>382</v>
      </c>
      <c r="M90" s="7">
        <v>393</v>
      </c>
      <c r="N90" s="7">
        <v>399</v>
      </c>
      <c r="O90" s="7">
        <v>407</v>
      </c>
      <c r="P90" s="7">
        <v>416</v>
      </c>
      <c r="Q90" s="7">
        <v>421</v>
      </c>
      <c r="R90" s="7">
        <v>427</v>
      </c>
      <c r="S90" s="7">
        <v>429</v>
      </c>
      <c r="T90" s="7">
        <v>432</v>
      </c>
      <c r="U90" s="7">
        <v>435</v>
      </c>
      <c r="V90" s="7">
        <v>438</v>
      </c>
      <c r="W90" s="7">
        <v>443</v>
      </c>
      <c r="X90" s="7">
        <v>449</v>
      </c>
      <c r="Y90" s="7">
        <v>458</v>
      </c>
      <c r="Z90" s="7">
        <v>466</v>
      </c>
      <c r="AA90" s="7">
        <v>477</v>
      </c>
      <c r="AB90" s="7">
        <v>491</v>
      </c>
      <c r="AC90" s="7">
        <v>507</v>
      </c>
      <c r="AD90" s="7">
        <v>527</v>
      </c>
      <c r="AE90" s="7">
        <v>549</v>
      </c>
      <c r="AF90" s="7">
        <v>575</v>
      </c>
      <c r="AG90" s="7">
        <v>600</v>
      </c>
      <c r="AH90" s="7">
        <v>628</v>
      </c>
      <c r="AI90" s="7">
        <v>655</v>
      </c>
      <c r="AJ90" s="7">
        <v>686</v>
      </c>
      <c r="AK90" s="7">
        <v>717</v>
      </c>
      <c r="AL90" s="7">
        <v>750</v>
      </c>
      <c r="AM90" s="7">
        <v>784</v>
      </c>
      <c r="AN90" s="7">
        <v>820</v>
      </c>
      <c r="AO90" s="7">
        <v>856</v>
      </c>
      <c r="AP90" s="7">
        <v>895</v>
      </c>
      <c r="AQ90" s="7">
        <v>915</v>
      </c>
      <c r="AR90" s="7">
        <v>954</v>
      </c>
      <c r="AS90" s="7">
        <v>987</v>
      </c>
      <c r="AT90" s="7">
        <v>1010</v>
      </c>
      <c r="AU90" s="7">
        <v>1037</v>
      </c>
      <c r="AV90" s="7">
        <v>1054</v>
      </c>
      <c r="AY90" s="264">
        <v>341</v>
      </c>
      <c r="AZ90" s="264">
        <v>341</v>
      </c>
      <c r="BA90" s="7">
        <v>341</v>
      </c>
      <c r="BB90" s="7">
        <v>341</v>
      </c>
      <c r="BC90" s="7">
        <v>341</v>
      </c>
      <c r="BD90" s="7">
        <v>341</v>
      </c>
      <c r="BE90" s="7">
        <v>341</v>
      </c>
      <c r="BI90" s="21">
        <v>23507</v>
      </c>
    </row>
    <row r="91" spans="1:61" x14ac:dyDescent="0.25">
      <c r="A91" s="88" t="s">
        <v>224</v>
      </c>
      <c r="B91" s="7">
        <v>370</v>
      </c>
      <c r="C91" s="390">
        <v>363</v>
      </c>
      <c r="D91" s="390">
        <v>375</v>
      </c>
      <c r="E91" s="11">
        <v>386</v>
      </c>
      <c r="F91" s="11">
        <v>386</v>
      </c>
      <c r="G91" s="11">
        <v>386</v>
      </c>
      <c r="H91" s="11">
        <v>386</v>
      </c>
      <c r="I91" s="11">
        <v>388</v>
      </c>
      <c r="J91" s="11">
        <v>395</v>
      </c>
      <c r="K91" s="11">
        <v>405</v>
      </c>
      <c r="L91" s="11">
        <v>420</v>
      </c>
      <c r="M91" s="11">
        <v>432</v>
      </c>
      <c r="N91" s="11">
        <v>438</v>
      </c>
      <c r="O91" s="11">
        <v>448</v>
      </c>
      <c r="P91" s="11">
        <v>457</v>
      </c>
      <c r="Q91" s="11">
        <v>463</v>
      </c>
      <c r="R91" s="11">
        <v>469</v>
      </c>
      <c r="S91" s="11">
        <v>472</v>
      </c>
      <c r="T91" s="11">
        <v>475</v>
      </c>
      <c r="U91" s="11">
        <v>478</v>
      </c>
      <c r="V91" s="11">
        <v>481</v>
      </c>
      <c r="W91" s="11">
        <v>487</v>
      </c>
      <c r="X91" s="11">
        <v>494</v>
      </c>
      <c r="Y91" s="11">
        <v>503</v>
      </c>
      <c r="Z91" s="11">
        <v>512</v>
      </c>
      <c r="AA91" s="11">
        <v>524</v>
      </c>
      <c r="AB91" s="11">
        <v>540</v>
      </c>
      <c r="AC91" s="11">
        <v>558</v>
      </c>
      <c r="AD91" s="11">
        <v>579</v>
      </c>
      <c r="AE91" s="11">
        <v>604</v>
      </c>
      <c r="AF91" s="11">
        <v>631</v>
      </c>
      <c r="AG91" s="11">
        <v>659</v>
      </c>
      <c r="AH91" s="11">
        <v>690</v>
      </c>
      <c r="AI91" s="11">
        <v>720</v>
      </c>
      <c r="AJ91" s="11">
        <v>754</v>
      </c>
      <c r="AK91" s="11">
        <v>788</v>
      </c>
      <c r="AL91" s="11">
        <v>825</v>
      </c>
      <c r="AM91" s="11">
        <v>861</v>
      </c>
      <c r="AN91" s="11">
        <v>901</v>
      </c>
      <c r="AO91" s="11">
        <v>941</v>
      </c>
      <c r="AP91" s="11">
        <v>984</v>
      </c>
      <c r="AQ91" s="11">
        <v>1005</v>
      </c>
      <c r="AR91" s="11">
        <v>1048</v>
      </c>
      <c r="AS91" s="11">
        <v>1085</v>
      </c>
      <c r="AT91" s="11">
        <v>1110</v>
      </c>
      <c r="AU91" s="11">
        <v>1140</v>
      </c>
      <c r="AV91" s="11">
        <v>1159</v>
      </c>
      <c r="AY91" s="264">
        <v>375</v>
      </c>
      <c r="AZ91" s="264">
        <v>375</v>
      </c>
      <c r="BA91" s="7">
        <v>375</v>
      </c>
      <c r="BB91" s="7">
        <v>375</v>
      </c>
      <c r="BC91" s="7">
        <v>375</v>
      </c>
      <c r="BD91" s="7">
        <v>375</v>
      </c>
      <c r="BE91" s="7">
        <v>375</v>
      </c>
      <c r="BI91" s="21">
        <v>23310</v>
      </c>
    </row>
    <row r="92" spans="1:61" x14ac:dyDescent="0.25">
      <c r="A92" s="88" t="s">
        <v>225</v>
      </c>
      <c r="B92" s="7">
        <v>370</v>
      </c>
      <c r="C92" s="390">
        <v>363</v>
      </c>
      <c r="D92" s="390">
        <v>375</v>
      </c>
      <c r="E92" s="11">
        <v>386</v>
      </c>
      <c r="F92" s="11">
        <v>386</v>
      </c>
      <c r="G92" s="11">
        <v>386</v>
      </c>
      <c r="H92" s="11">
        <v>386</v>
      </c>
      <c r="I92" s="11">
        <v>388</v>
      </c>
      <c r="J92" s="11">
        <v>395</v>
      </c>
      <c r="K92" s="11">
        <v>405</v>
      </c>
      <c r="L92" s="11">
        <v>420</v>
      </c>
      <c r="M92" s="11">
        <v>432</v>
      </c>
      <c r="N92" s="11">
        <v>438</v>
      </c>
      <c r="O92" s="11">
        <v>448</v>
      </c>
      <c r="P92" s="11">
        <v>457</v>
      </c>
      <c r="Q92" s="11">
        <v>463</v>
      </c>
      <c r="R92" s="11">
        <v>469</v>
      </c>
      <c r="S92" s="11">
        <v>472</v>
      </c>
      <c r="T92" s="11">
        <v>475</v>
      </c>
      <c r="U92" s="11">
        <v>478</v>
      </c>
      <c r="V92" s="11">
        <v>481</v>
      </c>
      <c r="W92" s="11">
        <v>487</v>
      </c>
      <c r="X92" s="11">
        <v>494</v>
      </c>
      <c r="Y92" s="11">
        <v>503</v>
      </c>
      <c r="Z92" s="11">
        <v>512</v>
      </c>
      <c r="AA92" s="11">
        <v>524</v>
      </c>
      <c r="AB92" s="11">
        <v>540</v>
      </c>
      <c r="AC92" s="11">
        <v>558</v>
      </c>
      <c r="AD92" s="11">
        <v>579</v>
      </c>
      <c r="AE92" s="11">
        <v>604</v>
      </c>
      <c r="AF92" s="11">
        <v>631</v>
      </c>
      <c r="AG92" s="11">
        <v>659</v>
      </c>
      <c r="AH92" s="11">
        <v>690</v>
      </c>
      <c r="AI92" s="11">
        <v>720</v>
      </c>
      <c r="AJ92" s="11">
        <v>754</v>
      </c>
      <c r="AK92" s="11">
        <v>788</v>
      </c>
      <c r="AL92" s="11">
        <v>825</v>
      </c>
      <c r="AM92" s="11">
        <v>861</v>
      </c>
      <c r="AN92" s="11">
        <v>901</v>
      </c>
      <c r="AO92" s="11">
        <v>941</v>
      </c>
      <c r="AP92" s="11">
        <v>984</v>
      </c>
      <c r="AQ92" s="11">
        <v>1005</v>
      </c>
      <c r="AR92" s="11">
        <v>1048</v>
      </c>
      <c r="AS92" s="11">
        <v>1085</v>
      </c>
      <c r="AT92" s="11">
        <v>1110</v>
      </c>
      <c r="AU92" s="11">
        <v>1140</v>
      </c>
      <c r="AV92" s="11">
        <v>1159</v>
      </c>
      <c r="AY92" s="264">
        <v>375</v>
      </c>
      <c r="AZ92" s="264">
        <v>375</v>
      </c>
      <c r="BA92" s="7">
        <v>375</v>
      </c>
      <c r="BB92" s="7">
        <v>375</v>
      </c>
      <c r="BC92" s="7">
        <v>375</v>
      </c>
      <c r="BD92" s="7">
        <v>375</v>
      </c>
      <c r="BE92" s="7">
        <v>375</v>
      </c>
      <c r="BI92" s="21">
        <v>22473</v>
      </c>
    </row>
    <row r="93" spans="1:61" x14ac:dyDescent="0.25">
      <c r="A93" s="88" t="s">
        <v>226</v>
      </c>
      <c r="B93" s="7">
        <v>371</v>
      </c>
      <c r="C93" s="7">
        <v>363</v>
      </c>
      <c r="D93" s="7">
        <v>375</v>
      </c>
      <c r="E93" s="7">
        <v>386</v>
      </c>
      <c r="F93" s="7">
        <v>386</v>
      </c>
      <c r="G93" s="7">
        <v>386</v>
      </c>
      <c r="H93" s="7">
        <v>386</v>
      </c>
      <c r="I93" s="7">
        <v>388</v>
      </c>
      <c r="J93" s="7">
        <v>395</v>
      </c>
      <c r="K93" s="7">
        <v>405</v>
      </c>
      <c r="L93" s="7">
        <v>420</v>
      </c>
      <c r="M93" s="7">
        <v>432</v>
      </c>
      <c r="N93" s="7">
        <v>438</v>
      </c>
      <c r="O93" s="7">
        <v>448</v>
      </c>
      <c r="P93" s="7">
        <v>457</v>
      </c>
      <c r="Q93" s="7">
        <v>463</v>
      </c>
      <c r="R93" s="7">
        <v>469</v>
      </c>
      <c r="S93" s="7">
        <v>472</v>
      </c>
      <c r="T93" s="7">
        <v>475</v>
      </c>
      <c r="U93" s="7">
        <v>478</v>
      </c>
      <c r="V93" s="7">
        <v>481</v>
      </c>
      <c r="W93" s="7">
        <v>487</v>
      </c>
      <c r="X93" s="7">
        <v>494</v>
      </c>
      <c r="Y93" s="7">
        <v>503</v>
      </c>
      <c r="Z93" s="7">
        <v>512</v>
      </c>
      <c r="AA93" s="7">
        <v>524</v>
      </c>
      <c r="AB93" s="7">
        <v>540</v>
      </c>
      <c r="AC93" s="7">
        <v>558</v>
      </c>
      <c r="AD93" s="7">
        <v>579</v>
      </c>
      <c r="AE93" s="7">
        <v>603</v>
      </c>
      <c r="AF93" s="7">
        <v>631</v>
      </c>
      <c r="AG93" s="7">
        <v>659</v>
      </c>
      <c r="AH93" s="7">
        <v>690</v>
      </c>
      <c r="AI93" s="7">
        <v>720</v>
      </c>
      <c r="AJ93" s="7">
        <v>754</v>
      </c>
      <c r="AK93" s="7">
        <v>788</v>
      </c>
      <c r="AL93" s="7">
        <v>825</v>
      </c>
      <c r="AM93" s="7">
        <v>861</v>
      </c>
      <c r="AN93" s="7">
        <v>901</v>
      </c>
      <c r="AO93" s="7">
        <v>941</v>
      </c>
      <c r="AP93" s="7">
        <v>984</v>
      </c>
      <c r="AQ93" s="7">
        <v>1005</v>
      </c>
      <c r="AR93" s="7">
        <v>1048</v>
      </c>
      <c r="AS93" s="7">
        <v>1085</v>
      </c>
      <c r="AT93" s="7">
        <v>1110</v>
      </c>
      <c r="AU93" s="7">
        <v>1140</v>
      </c>
      <c r="AV93" s="7">
        <v>1159</v>
      </c>
      <c r="AW93" s="391"/>
      <c r="AX93" s="391"/>
      <c r="AY93" s="7">
        <v>375</v>
      </c>
      <c r="AZ93" s="290">
        <v>375</v>
      </c>
      <c r="BA93" s="7">
        <v>375</v>
      </c>
      <c r="BB93" s="7">
        <v>375</v>
      </c>
      <c r="BC93" s="7">
        <v>375</v>
      </c>
      <c r="BD93" s="7">
        <v>375</v>
      </c>
      <c r="BE93" s="7">
        <v>375</v>
      </c>
      <c r="BI93" s="21">
        <v>24273</v>
      </c>
    </row>
    <row r="94" spans="1:61" x14ac:dyDescent="0.25">
      <c r="A94" s="88" t="s">
        <v>227</v>
      </c>
      <c r="B94" s="7">
        <v>370</v>
      </c>
      <c r="C94" s="390">
        <v>363</v>
      </c>
      <c r="D94" s="390">
        <v>375</v>
      </c>
      <c r="E94" s="11">
        <v>386</v>
      </c>
      <c r="F94" s="11">
        <v>386</v>
      </c>
      <c r="G94" s="11">
        <v>386</v>
      </c>
      <c r="H94" s="11">
        <v>386</v>
      </c>
      <c r="I94" s="11">
        <v>388</v>
      </c>
      <c r="J94" s="11">
        <v>395</v>
      </c>
      <c r="K94" s="11">
        <v>405</v>
      </c>
      <c r="L94" s="11">
        <v>420</v>
      </c>
      <c r="M94" s="11">
        <v>432</v>
      </c>
      <c r="N94" s="11">
        <v>438</v>
      </c>
      <c r="O94" s="11">
        <v>448</v>
      </c>
      <c r="P94" s="11">
        <v>457</v>
      </c>
      <c r="Q94" s="11">
        <v>463</v>
      </c>
      <c r="R94" s="11">
        <v>469</v>
      </c>
      <c r="S94" s="11">
        <v>472</v>
      </c>
      <c r="T94" s="11">
        <v>475</v>
      </c>
      <c r="U94" s="11">
        <v>478</v>
      </c>
      <c r="V94" s="11">
        <v>481</v>
      </c>
      <c r="W94" s="11">
        <v>487</v>
      </c>
      <c r="X94" s="11">
        <v>494</v>
      </c>
      <c r="Y94" s="11">
        <v>503</v>
      </c>
      <c r="Z94" s="11">
        <v>512</v>
      </c>
      <c r="AA94" s="11">
        <v>524</v>
      </c>
      <c r="AB94" s="11">
        <v>540</v>
      </c>
      <c r="AC94" s="11">
        <v>558</v>
      </c>
      <c r="AD94" s="11">
        <v>579</v>
      </c>
      <c r="AE94" s="11">
        <v>604</v>
      </c>
      <c r="AF94" s="11">
        <v>631</v>
      </c>
      <c r="AG94" s="11">
        <v>659</v>
      </c>
      <c r="AH94" s="11">
        <v>690</v>
      </c>
      <c r="AI94" s="11">
        <v>720</v>
      </c>
      <c r="AJ94" s="11">
        <v>754</v>
      </c>
      <c r="AK94" s="11">
        <v>788</v>
      </c>
      <c r="AL94" s="11">
        <v>825</v>
      </c>
      <c r="AM94" s="11">
        <v>861</v>
      </c>
      <c r="AN94" s="11">
        <v>901</v>
      </c>
      <c r="AO94" s="11">
        <v>941</v>
      </c>
      <c r="AP94" s="11">
        <v>984</v>
      </c>
      <c r="AQ94" s="11">
        <v>1005</v>
      </c>
      <c r="AR94" s="11">
        <v>1048</v>
      </c>
      <c r="AS94" s="11">
        <v>1085</v>
      </c>
      <c r="AT94" s="11">
        <v>1110</v>
      </c>
      <c r="AU94" s="11">
        <v>1140</v>
      </c>
      <c r="AV94" s="11">
        <v>1159</v>
      </c>
      <c r="AY94" s="264">
        <v>375</v>
      </c>
      <c r="AZ94" s="264">
        <v>375</v>
      </c>
      <c r="BA94" s="7">
        <v>375</v>
      </c>
      <c r="BB94" s="7">
        <v>375</v>
      </c>
      <c r="BC94" s="7">
        <v>375</v>
      </c>
      <c r="BD94" s="7">
        <v>375</v>
      </c>
      <c r="BE94" s="7">
        <v>375</v>
      </c>
      <c r="BI94" s="21">
        <v>23930</v>
      </c>
    </row>
    <row r="95" spans="1:61" x14ac:dyDescent="0.25">
      <c r="A95" s="88" t="s">
        <v>228</v>
      </c>
      <c r="B95" s="7">
        <v>360</v>
      </c>
      <c r="C95" s="7">
        <v>360</v>
      </c>
      <c r="D95" s="7">
        <v>371</v>
      </c>
      <c r="E95" s="11">
        <v>383</v>
      </c>
      <c r="F95" s="11">
        <v>383</v>
      </c>
      <c r="G95" s="11">
        <v>383</v>
      </c>
      <c r="H95" s="11">
        <v>383</v>
      </c>
      <c r="I95" s="11">
        <v>384</v>
      </c>
      <c r="J95" s="11">
        <v>392</v>
      </c>
      <c r="K95" s="11">
        <v>401</v>
      </c>
      <c r="L95" s="11">
        <v>416</v>
      </c>
      <c r="M95" s="11">
        <v>428</v>
      </c>
      <c r="N95" s="11">
        <v>434</v>
      </c>
      <c r="O95" s="11">
        <v>444</v>
      </c>
      <c r="P95" s="11">
        <v>453</v>
      </c>
      <c r="Q95" s="11">
        <v>459</v>
      </c>
      <c r="R95" s="11">
        <v>465</v>
      </c>
      <c r="S95" s="11">
        <v>468</v>
      </c>
      <c r="T95" s="11">
        <v>471</v>
      </c>
      <c r="U95" s="11">
        <v>474</v>
      </c>
      <c r="V95" s="11">
        <v>477</v>
      </c>
      <c r="W95" s="11">
        <v>483</v>
      </c>
      <c r="X95" s="11">
        <v>489</v>
      </c>
      <c r="Y95" s="11">
        <v>498</v>
      </c>
      <c r="Z95" s="11">
        <v>507</v>
      </c>
      <c r="AA95" s="11">
        <v>519</v>
      </c>
      <c r="AB95" s="11">
        <v>535</v>
      </c>
      <c r="AC95" s="11">
        <v>553</v>
      </c>
      <c r="AD95" s="11">
        <v>574</v>
      </c>
      <c r="AE95" s="11">
        <v>598</v>
      </c>
      <c r="AF95" s="11">
        <v>626</v>
      </c>
      <c r="AG95" s="11">
        <v>653</v>
      </c>
      <c r="AH95" s="11">
        <v>684</v>
      </c>
      <c r="AI95" s="11">
        <v>714</v>
      </c>
      <c r="AJ95" s="11">
        <v>747</v>
      </c>
      <c r="AK95" s="11">
        <v>781</v>
      </c>
      <c r="AL95" s="11">
        <v>817</v>
      </c>
      <c r="AM95" s="11">
        <v>854</v>
      </c>
      <c r="AN95" s="11">
        <v>893</v>
      </c>
      <c r="AO95" s="11">
        <v>933</v>
      </c>
      <c r="AP95" s="11">
        <v>975</v>
      </c>
      <c r="AQ95" s="11">
        <v>996</v>
      </c>
      <c r="AR95" s="11">
        <v>1039</v>
      </c>
      <c r="AS95" s="11">
        <v>1076</v>
      </c>
      <c r="AT95" s="11">
        <v>1100</v>
      </c>
      <c r="AU95" s="11">
        <v>1130</v>
      </c>
      <c r="AV95" s="11">
        <v>1148</v>
      </c>
      <c r="AY95" s="264">
        <v>371</v>
      </c>
      <c r="AZ95" s="264">
        <v>371</v>
      </c>
      <c r="BA95" s="7">
        <v>371</v>
      </c>
      <c r="BB95" s="7">
        <v>371</v>
      </c>
      <c r="BC95" s="7">
        <v>371</v>
      </c>
      <c r="BD95" s="7">
        <v>371</v>
      </c>
      <c r="BE95" s="7">
        <v>371</v>
      </c>
      <c r="BI95" s="21">
        <v>22960</v>
      </c>
    </row>
    <row r="96" spans="1:61" x14ac:dyDescent="0.25">
      <c r="A96" s="88" t="s">
        <v>229</v>
      </c>
      <c r="B96" s="7">
        <v>370</v>
      </c>
      <c r="C96" s="390">
        <v>363</v>
      </c>
      <c r="D96" s="390">
        <v>375</v>
      </c>
      <c r="E96" s="11">
        <v>386</v>
      </c>
      <c r="F96" s="11">
        <v>386</v>
      </c>
      <c r="G96" s="11">
        <v>386</v>
      </c>
      <c r="H96" s="11">
        <v>386</v>
      </c>
      <c r="I96" s="11">
        <v>388</v>
      </c>
      <c r="J96" s="11">
        <v>395</v>
      </c>
      <c r="K96" s="11">
        <v>405</v>
      </c>
      <c r="L96" s="11">
        <v>420</v>
      </c>
      <c r="M96" s="11">
        <v>432</v>
      </c>
      <c r="N96" s="11">
        <v>438</v>
      </c>
      <c r="O96" s="11">
        <v>448</v>
      </c>
      <c r="P96" s="11">
        <v>457</v>
      </c>
      <c r="Q96" s="11">
        <v>463</v>
      </c>
      <c r="R96" s="11">
        <v>469</v>
      </c>
      <c r="S96" s="11">
        <v>472</v>
      </c>
      <c r="T96" s="11">
        <v>475</v>
      </c>
      <c r="U96" s="11">
        <v>478</v>
      </c>
      <c r="V96" s="11">
        <v>481</v>
      </c>
      <c r="W96" s="11">
        <v>487</v>
      </c>
      <c r="X96" s="11">
        <v>494</v>
      </c>
      <c r="Y96" s="11">
        <v>503</v>
      </c>
      <c r="Z96" s="11">
        <v>512</v>
      </c>
      <c r="AA96" s="11">
        <v>524</v>
      </c>
      <c r="AB96" s="11">
        <v>540</v>
      </c>
      <c r="AC96" s="11">
        <v>558</v>
      </c>
      <c r="AD96" s="11">
        <v>579</v>
      </c>
      <c r="AE96" s="11">
        <v>604</v>
      </c>
      <c r="AF96" s="11">
        <v>631</v>
      </c>
      <c r="AG96" s="11">
        <v>659</v>
      </c>
      <c r="AH96" s="11">
        <v>690</v>
      </c>
      <c r="AI96" s="11">
        <v>720</v>
      </c>
      <c r="AJ96" s="11">
        <v>754</v>
      </c>
      <c r="AK96" s="11">
        <v>788</v>
      </c>
      <c r="AL96" s="11">
        <v>825</v>
      </c>
      <c r="AM96" s="11">
        <v>861</v>
      </c>
      <c r="AN96" s="11">
        <v>901</v>
      </c>
      <c r="AO96" s="11">
        <v>941</v>
      </c>
      <c r="AP96" s="11">
        <v>984</v>
      </c>
      <c r="AQ96" s="11">
        <v>1005</v>
      </c>
      <c r="AR96" s="11">
        <v>1048</v>
      </c>
      <c r="AS96" s="11">
        <v>1085</v>
      </c>
      <c r="AT96" s="11">
        <v>1110</v>
      </c>
      <c r="AU96" s="11">
        <v>1140</v>
      </c>
      <c r="AV96" s="11">
        <v>1159</v>
      </c>
      <c r="AY96" s="264">
        <v>375</v>
      </c>
      <c r="AZ96" s="264">
        <v>375</v>
      </c>
      <c r="BA96" s="7">
        <v>375</v>
      </c>
      <c r="BB96" s="7">
        <v>375</v>
      </c>
      <c r="BC96" s="7">
        <v>375</v>
      </c>
      <c r="BD96" s="7">
        <v>375</v>
      </c>
      <c r="BE96" s="7">
        <v>375</v>
      </c>
      <c r="BI96" s="21">
        <v>22835</v>
      </c>
    </row>
    <row r="97" spans="1:61" x14ac:dyDescent="0.25">
      <c r="A97" s="88" t="s">
        <v>230</v>
      </c>
      <c r="B97" s="7">
        <v>371</v>
      </c>
      <c r="C97" s="7">
        <v>363</v>
      </c>
      <c r="D97" s="7">
        <v>375</v>
      </c>
      <c r="E97" s="7">
        <v>386</v>
      </c>
      <c r="F97" s="7">
        <v>386</v>
      </c>
      <c r="G97" s="7">
        <v>386</v>
      </c>
      <c r="H97" s="7">
        <v>386</v>
      </c>
      <c r="I97" s="7">
        <v>388</v>
      </c>
      <c r="J97" s="7">
        <v>395</v>
      </c>
      <c r="K97" s="7">
        <v>405</v>
      </c>
      <c r="L97" s="7">
        <v>420</v>
      </c>
      <c r="M97" s="7">
        <v>432</v>
      </c>
      <c r="N97" s="7">
        <v>438</v>
      </c>
      <c r="O97" s="7">
        <v>448</v>
      </c>
      <c r="P97" s="7">
        <v>457</v>
      </c>
      <c r="Q97" s="7">
        <v>463</v>
      </c>
      <c r="R97" s="7">
        <v>469</v>
      </c>
      <c r="S97" s="7">
        <v>472</v>
      </c>
      <c r="T97" s="7">
        <v>475</v>
      </c>
      <c r="U97" s="7">
        <v>478</v>
      </c>
      <c r="V97" s="7">
        <v>481</v>
      </c>
      <c r="W97" s="7">
        <v>487</v>
      </c>
      <c r="X97" s="7">
        <v>494</v>
      </c>
      <c r="Y97" s="7">
        <v>503</v>
      </c>
      <c r="Z97" s="7">
        <v>512</v>
      </c>
      <c r="AA97" s="7">
        <v>524</v>
      </c>
      <c r="AB97" s="7">
        <v>540</v>
      </c>
      <c r="AC97" s="7">
        <v>558</v>
      </c>
      <c r="AD97" s="7">
        <v>579</v>
      </c>
      <c r="AE97" s="7">
        <v>603</v>
      </c>
      <c r="AF97" s="7">
        <v>631</v>
      </c>
      <c r="AG97" s="7">
        <v>659</v>
      </c>
      <c r="AH97" s="7">
        <v>690</v>
      </c>
      <c r="AI97" s="7">
        <v>720</v>
      </c>
      <c r="AJ97" s="7">
        <v>754</v>
      </c>
      <c r="AK97" s="7">
        <v>788</v>
      </c>
      <c r="AL97" s="7">
        <v>825</v>
      </c>
      <c r="AM97" s="7">
        <v>861</v>
      </c>
      <c r="AN97" s="7">
        <v>901</v>
      </c>
      <c r="AO97" s="7">
        <v>941</v>
      </c>
      <c r="AP97" s="7">
        <v>984</v>
      </c>
      <c r="AQ97" s="7">
        <v>1005</v>
      </c>
      <c r="AR97" s="7">
        <v>1048</v>
      </c>
      <c r="AS97" s="7">
        <v>1085</v>
      </c>
      <c r="AT97" s="7">
        <v>1110</v>
      </c>
      <c r="AU97" s="7">
        <v>1140</v>
      </c>
      <c r="AV97" s="7">
        <v>1159</v>
      </c>
      <c r="AW97" s="391"/>
      <c r="AX97" s="391"/>
      <c r="AY97" s="7">
        <v>375</v>
      </c>
      <c r="AZ97" s="290">
        <v>375</v>
      </c>
      <c r="BA97" s="7">
        <v>375</v>
      </c>
      <c r="BB97" s="7">
        <v>375</v>
      </c>
      <c r="BC97" s="7">
        <v>375</v>
      </c>
      <c r="BD97" s="7">
        <v>375</v>
      </c>
      <c r="BE97" s="7">
        <v>375</v>
      </c>
      <c r="BI97" s="21">
        <v>24171</v>
      </c>
    </row>
    <row r="98" spans="1:61" x14ac:dyDescent="0.25">
      <c r="A98" s="88" t="s">
        <v>231</v>
      </c>
      <c r="B98" s="7">
        <v>331</v>
      </c>
      <c r="C98" s="11">
        <v>323</v>
      </c>
      <c r="D98" s="11">
        <v>333</v>
      </c>
      <c r="E98" s="11">
        <v>344</v>
      </c>
      <c r="F98" s="11">
        <v>344</v>
      </c>
      <c r="G98" s="11">
        <v>344</v>
      </c>
      <c r="H98" s="11">
        <v>344</v>
      </c>
      <c r="I98" s="11">
        <v>345</v>
      </c>
      <c r="J98" s="11">
        <v>352</v>
      </c>
      <c r="K98" s="11">
        <v>360</v>
      </c>
      <c r="L98" s="11">
        <v>374</v>
      </c>
      <c r="M98" s="11">
        <v>385</v>
      </c>
      <c r="N98" s="11">
        <v>390</v>
      </c>
      <c r="O98" s="11">
        <v>398</v>
      </c>
      <c r="P98" s="11">
        <v>407</v>
      </c>
      <c r="Q98" s="11">
        <v>412</v>
      </c>
      <c r="R98" s="11">
        <v>417</v>
      </c>
      <c r="S98" s="11">
        <v>420</v>
      </c>
      <c r="T98" s="11">
        <v>423</v>
      </c>
      <c r="U98" s="11">
        <v>425</v>
      </c>
      <c r="V98" s="11">
        <v>428</v>
      </c>
      <c r="W98" s="11">
        <v>434</v>
      </c>
      <c r="X98" s="11">
        <v>439</v>
      </c>
      <c r="Y98" s="11">
        <v>447</v>
      </c>
      <c r="Z98" s="11">
        <v>455</v>
      </c>
      <c r="AA98" s="11">
        <v>466</v>
      </c>
      <c r="AB98" s="11">
        <v>480</v>
      </c>
      <c r="AC98" s="11">
        <v>496</v>
      </c>
      <c r="AD98" s="11">
        <v>516</v>
      </c>
      <c r="AE98" s="11">
        <v>537</v>
      </c>
      <c r="AF98" s="11">
        <v>562</v>
      </c>
      <c r="AG98" s="11">
        <v>586</v>
      </c>
      <c r="AH98" s="11">
        <v>614</v>
      </c>
      <c r="AI98" s="11">
        <v>641</v>
      </c>
      <c r="AJ98" s="11">
        <v>671</v>
      </c>
      <c r="AK98" s="11">
        <v>701</v>
      </c>
      <c r="AL98" s="11">
        <v>734</v>
      </c>
      <c r="AM98" s="11">
        <v>766</v>
      </c>
      <c r="AN98" s="11">
        <v>802</v>
      </c>
      <c r="AO98" s="11">
        <v>838</v>
      </c>
      <c r="AP98" s="11">
        <v>876</v>
      </c>
      <c r="AQ98" s="11">
        <v>895</v>
      </c>
      <c r="AR98" s="11">
        <v>933</v>
      </c>
      <c r="AS98" s="11">
        <v>966</v>
      </c>
      <c r="AT98" s="11">
        <v>987</v>
      </c>
      <c r="AU98" s="11">
        <v>1015</v>
      </c>
      <c r="AV98" s="11">
        <v>1031</v>
      </c>
      <c r="AW98" s="391"/>
      <c r="AX98" s="391"/>
      <c r="AY98" s="264">
        <v>333</v>
      </c>
      <c r="AZ98" s="264">
        <v>333</v>
      </c>
      <c r="BA98" s="7">
        <v>333</v>
      </c>
      <c r="BB98" s="7">
        <v>333</v>
      </c>
      <c r="BC98" s="7">
        <v>333</v>
      </c>
      <c r="BD98" s="7">
        <v>333</v>
      </c>
      <c r="BE98" s="7">
        <v>333</v>
      </c>
      <c r="BI98" s="21">
        <v>23803</v>
      </c>
    </row>
    <row r="99" spans="1:61" x14ac:dyDescent="0.25">
      <c r="A99" s="88" t="s">
        <v>232</v>
      </c>
      <c r="B99" s="7">
        <v>370</v>
      </c>
      <c r="C99" s="11">
        <v>363</v>
      </c>
      <c r="D99" s="11">
        <v>375</v>
      </c>
      <c r="E99" s="11">
        <v>386</v>
      </c>
      <c r="F99" s="11">
        <v>386</v>
      </c>
      <c r="G99" s="11">
        <v>386</v>
      </c>
      <c r="H99" s="11">
        <v>386</v>
      </c>
      <c r="I99" s="11">
        <v>388</v>
      </c>
      <c r="J99" s="11">
        <v>395</v>
      </c>
      <c r="K99" s="11">
        <v>405</v>
      </c>
      <c r="L99" s="11">
        <v>420</v>
      </c>
      <c r="M99" s="11">
        <v>432</v>
      </c>
      <c r="N99" s="11">
        <v>438</v>
      </c>
      <c r="O99" s="11">
        <v>448</v>
      </c>
      <c r="P99" s="11">
        <v>457</v>
      </c>
      <c r="Q99" s="11">
        <v>463</v>
      </c>
      <c r="R99" s="11">
        <v>469</v>
      </c>
      <c r="S99" s="11">
        <v>472</v>
      </c>
      <c r="T99" s="11">
        <v>475</v>
      </c>
      <c r="U99" s="11">
        <v>478</v>
      </c>
      <c r="V99" s="11">
        <v>481</v>
      </c>
      <c r="W99" s="11">
        <v>487</v>
      </c>
      <c r="X99" s="11">
        <v>494</v>
      </c>
      <c r="Y99" s="11">
        <v>503</v>
      </c>
      <c r="Z99" s="11">
        <v>512</v>
      </c>
      <c r="AA99" s="11">
        <v>524</v>
      </c>
      <c r="AB99" s="11">
        <v>540</v>
      </c>
      <c r="AC99" s="11">
        <v>558</v>
      </c>
      <c r="AD99" s="11">
        <v>579</v>
      </c>
      <c r="AE99" s="11">
        <v>604</v>
      </c>
      <c r="AF99" s="11">
        <v>631</v>
      </c>
      <c r="AG99" s="11">
        <v>659</v>
      </c>
      <c r="AH99" s="11">
        <v>690</v>
      </c>
      <c r="AI99" s="11">
        <v>720</v>
      </c>
      <c r="AJ99" s="11">
        <v>754</v>
      </c>
      <c r="AK99" s="11">
        <v>788</v>
      </c>
      <c r="AL99" s="11">
        <v>825</v>
      </c>
      <c r="AM99" s="11">
        <v>861</v>
      </c>
      <c r="AN99" s="11">
        <v>901</v>
      </c>
      <c r="AO99" s="11">
        <v>941</v>
      </c>
      <c r="AP99" s="11">
        <v>984</v>
      </c>
      <c r="AQ99" s="11">
        <v>1005</v>
      </c>
      <c r="AR99" s="11">
        <v>1048</v>
      </c>
      <c r="AS99" s="11">
        <v>1085</v>
      </c>
      <c r="AT99" s="11">
        <v>1110</v>
      </c>
      <c r="AU99" s="11">
        <v>1140</v>
      </c>
      <c r="AV99" s="11">
        <v>1159</v>
      </c>
      <c r="AY99" s="264">
        <v>375</v>
      </c>
      <c r="AZ99" s="264">
        <v>375</v>
      </c>
      <c r="BA99" s="7">
        <v>375</v>
      </c>
      <c r="BB99" s="7">
        <v>375</v>
      </c>
      <c r="BC99" s="7">
        <v>375</v>
      </c>
      <c r="BD99" s="7">
        <v>375</v>
      </c>
      <c r="BE99" s="7">
        <v>375</v>
      </c>
      <c r="BI99" s="21">
        <v>24540</v>
      </c>
    </row>
    <row r="100" spans="1:61" x14ac:dyDescent="0.25">
      <c r="A100" s="88" t="s">
        <v>233</v>
      </c>
      <c r="B100" s="7">
        <v>338</v>
      </c>
      <c r="C100" s="7">
        <v>332</v>
      </c>
      <c r="D100" s="7">
        <v>342</v>
      </c>
      <c r="E100" s="7">
        <v>352</v>
      </c>
      <c r="F100" s="7">
        <v>352</v>
      </c>
      <c r="G100" s="7">
        <v>352</v>
      </c>
      <c r="H100" s="7">
        <v>352</v>
      </c>
      <c r="I100" s="7">
        <v>354</v>
      </c>
      <c r="J100" s="7">
        <v>361</v>
      </c>
      <c r="K100" s="7">
        <v>369</v>
      </c>
      <c r="L100" s="7">
        <v>383</v>
      </c>
      <c r="M100" s="7">
        <v>394</v>
      </c>
      <c r="N100" s="7">
        <v>400</v>
      </c>
      <c r="O100" s="7">
        <v>409</v>
      </c>
      <c r="P100" s="7">
        <v>417</v>
      </c>
      <c r="Q100" s="7">
        <v>422</v>
      </c>
      <c r="R100" s="7">
        <v>428</v>
      </c>
      <c r="S100" s="7">
        <v>431</v>
      </c>
      <c r="T100" s="7">
        <v>434</v>
      </c>
      <c r="U100" s="7">
        <v>436</v>
      </c>
      <c r="V100" s="7">
        <v>439</v>
      </c>
      <c r="W100" s="7">
        <v>445</v>
      </c>
      <c r="X100" s="7">
        <v>450</v>
      </c>
      <c r="Y100" s="7">
        <v>459</v>
      </c>
      <c r="Z100" s="7">
        <v>467</v>
      </c>
      <c r="AA100" s="7">
        <v>478</v>
      </c>
      <c r="AB100" s="7">
        <v>492</v>
      </c>
      <c r="AC100" s="7">
        <v>509</v>
      </c>
      <c r="AD100" s="7">
        <v>529</v>
      </c>
      <c r="AE100" s="7">
        <v>551</v>
      </c>
      <c r="AF100" s="7">
        <v>576</v>
      </c>
      <c r="AG100" s="7">
        <v>601</v>
      </c>
      <c r="AH100" s="7">
        <v>629</v>
      </c>
      <c r="AI100" s="7">
        <v>657</v>
      </c>
      <c r="AJ100" s="7">
        <v>688</v>
      </c>
      <c r="AK100" s="7">
        <v>719</v>
      </c>
      <c r="AL100" s="7">
        <v>753</v>
      </c>
      <c r="AM100" s="7">
        <v>786</v>
      </c>
      <c r="AN100" s="7">
        <v>822</v>
      </c>
      <c r="AO100" s="7">
        <v>859</v>
      </c>
      <c r="AP100" s="7">
        <v>898</v>
      </c>
      <c r="AQ100" s="7">
        <v>917</v>
      </c>
      <c r="AR100" s="7">
        <v>957</v>
      </c>
      <c r="AS100" s="7">
        <v>990</v>
      </c>
      <c r="AT100" s="7">
        <v>1013</v>
      </c>
      <c r="AU100" s="7">
        <v>1040</v>
      </c>
      <c r="AV100" s="7">
        <v>1057</v>
      </c>
      <c r="AW100" s="391"/>
      <c r="AX100" s="391"/>
      <c r="AY100" s="264">
        <v>342</v>
      </c>
      <c r="AZ100" s="264">
        <v>342</v>
      </c>
      <c r="BA100" s="7">
        <v>342</v>
      </c>
      <c r="BB100" s="7">
        <v>342</v>
      </c>
      <c r="BC100" s="7">
        <v>339</v>
      </c>
      <c r="BD100" s="7">
        <v>342</v>
      </c>
      <c r="BE100" s="7">
        <v>342</v>
      </c>
      <c r="BI100" s="21">
        <v>23662</v>
      </c>
    </row>
    <row r="101" spans="1:61" x14ac:dyDescent="0.25">
      <c r="A101" s="88" t="s">
        <v>234</v>
      </c>
      <c r="B101" s="7">
        <v>338</v>
      </c>
      <c r="C101" s="7">
        <v>332</v>
      </c>
      <c r="D101" s="7">
        <v>342</v>
      </c>
      <c r="E101" s="7">
        <v>352</v>
      </c>
      <c r="F101" s="7">
        <v>352</v>
      </c>
      <c r="G101" s="7">
        <v>352</v>
      </c>
      <c r="H101" s="7">
        <v>352</v>
      </c>
      <c r="I101" s="7">
        <v>354</v>
      </c>
      <c r="J101" s="7">
        <v>361</v>
      </c>
      <c r="K101" s="7">
        <v>369</v>
      </c>
      <c r="L101" s="7">
        <v>383</v>
      </c>
      <c r="M101" s="7">
        <v>394</v>
      </c>
      <c r="N101" s="7">
        <v>400</v>
      </c>
      <c r="O101" s="7">
        <v>409</v>
      </c>
      <c r="P101" s="7">
        <v>417</v>
      </c>
      <c r="Q101" s="7">
        <v>422</v>
      </c>
      <c r="R101" s="7">
        <v>428</v>
      </c>
      <c r="S101" s="7">
        <v>431</v>
      </c>
      <c r="T101" s="7">
        <v>434</v>
      </c>
      <c r="U101" s="7">
        <v>436</v>
      </c>
      <c r="V101" s="7">
        <v>439</v>
      </c>
      <c r="W101" s="7">
        <v>445</v>
      </c>
      <c r="X101" s="7">
        <v>450</v>
      </c>
      <c r="Y101" s="7">
        <v>459</v>
      </c>
      <c r="Z101" s="7">
        <v>467</v>
      </c>
      <c r="AA101" s="7">
        <v>478</v>
      </c>
      <c r="AB101" s="7">
        <v>492</v>
      </c>
      <c r="AC101" s="7">
        <v>509</v>
      </c>
      <c r="AD101" s="7">
        <v>529</v>
      </c>
      <c r="AE101" s="7">
        <v>551</v>
      </c>
      <c r="AF101" s="7">
        <v>576</v>
      </c>
      <c r="AG101" s="7">
        <v>601</v>
      </c>
      <c r="AH101" s="7">
        <v>629</v>
      </c>
      <c r="AI101" s="7">
        <v>657</v>
      </c>
      <c r="AJ101" s="7">
        <v>688</v>
      </c>
      <c r="AK101" s="7">
        <v>719</v>
      </c>
      <c r="AL101" s="7">
        <v>753</v>
      </c>
      <c r="AM101" s="7">
        <v>786</v>
      </c>
      <c r="AN101" s="7">
        <v>822</v>
      </c>
      <c r="AO101" s="7">
        <v>859</v>
      </c>
      <c r="AP101" s="7">
        <v>898</v>
      </c>
      <c r="AQ101" s="7">
        <v>917</v>
      </c>
      <c r="AR101" s="7">
        <v>957</v>
      </c>
      <c r="AS101" s="7">
        <v>990</v>
      </c>
      <c r="AT101" s="7">
        <v>1013</v>
      </c>
      <c r="AU101" s="7">
        <v>1040</v>
      </c>
      <c r="AV101" s="7">
        <v>1057</v>
      </c>
      <c r="AW101" s="391"/>
      <c r="AX101" s="391"/>
      <c r="AY101" s="264">
        <v>342</v>
      </c>
      <c r="AZ101" s="264">
        <v>342</v>
      </c>
      <c r="BA101" s="7">
        <v>342</v>
      </c>
      <c r="BB101" s="7">
        <v>342</v>
      </c>
      <c r="BC101" s="7">
        <v>339</v>
      </c>
      <c r="BD101" s="7">
        <v>342</v>
      </c>
      <c r="BE101" s="7">
        <v>342</v>
      </c>
      <c r="BI101" s="21">
        <v>23507</v>
      </c>
    </row>
    <row r="102" spans="1:61" x14ac:dyDescent="0.25">
      <c r="A102" s="88" t="s">
        <v>235</v>
      </c>
      <c r="B102" s="7">
        <v>331</v>
      </c>
      <c r="C102" s="11">
        <v>323</v>
      </c>
      <c r="D102" s="11">
        <v>333</v>
      </c>
      <c r="E102" s="11">
        <v>344</v>
      </c>
      <c r="F102" s="11">
        <v>344</v>
      </c>
      <c r="G102" s="11">
        <v>344</v>
      </c>
      <c r="H102" s="11">
        <v>344</v>
      </c>
      <c r="I102" s="11">
        <v>345</v>
      </c>
      <c r="J102" s="11">
        <v>352</v>
      </c>
      <c r="K102" s="11">
        <v>360</v>
      </c>
      <c r="L102" s="11">
        <v>374</v>
      </c>
      <c r="M102" s="11">
        <v>385</v>
      </c>
      <c r="N102" s="11">
        <v>390</v>
      </c>
      <c r="O102" s="11">
        <v>398</v>
      </c>
      <c r="P102" s="11">
        <v>407</v>
      </c>
      <c r="Q102" s="11">
        <v>412</v>
      </c>
      <c r="R102" s="11">
        <v>417</v>
      </c>
      <c r="S102" s="11">
        <v>420</v>
      </c>
      <c r="T102" s="11">
        <v>423</v>
      </c>
      <c r="U102" s="11">
        <v>425</v>
      </c>
      <c r="V102" s="11">
        <v>428</v>
      </c>
      <c r="W102" s="11">
        <v>434</v>
      </c>
      <c r="X102" s="11">
        <v>439</v>
      </c>
      <c r="Y102" s="11">
        <v>447</v>
      </c>
      <c r="Z102" s="11">
        <v>455</v>
      </c>
      <c r="AA102" s="11">
        <v>466</v>
      </c>
      <c r="AB102" s="11">
        <v>480</v>
      </c>
      <c r="AC102" s="11">
        <v>496</v>
      </c>
      <c r="AD102" s="11">
        <v>516</v>
      </c>
      <c r="AE102" s="11">
        <v>537</v>
      </c>
      <c r="AF102" s="11">
        <v>562</v>
      </c>
      <c r="AG102" s="11">
        <v>586</v>
      </c>
      <c r="AH102" s="11">
        <v>614</v>
      </c>
      <c r="AI102" s="11">
        <v>641</v>
      </c>
      <c r="AJ102" s="11">
        <v>671</v>
      </c>
      <c r="AK102" s="11">
        <v>701</v>
      </c>
      <c r="AL102" s="11">
        <v>734</v>
      </c>
      <c r="AM102" s="11">
        <v>766</v>
      </c>
      <c r="AN102" s="11">
        <v>802</v>
      </c>
      <c r="AO102" s="11">
        <v>838</v>
      </c>
      <c r="AP102" s="11">
        <v>876</v>
      </c>
      <c r="AQ102" s="11">
        <v>895</v>
      </c>
      <c r="AR102" s="11">
        <v>933</v>
      </c>
      <c r="AS102" s="11">
        <v>966</v>
      </c>
      <c r="AT102" s="11">
        <v>987</v>
      </c>
      <c r="AU102" s="11">
        <v>1015</v>
      </c>
      <c r="AV102" s="11">
        <v>1031</v>
      </c>
      <c r="AW102" s="391"/>
      <c r="AX102" s="391"/>
      <c r="AY102" s="264">
        <v>333</v>
      </c>
      <c r="AZ102" s="264">
        <v>333</v>
      </c>
      <c r="BA102" s="7">
        <v>333</v>
      </c>
      <c r="BB102" s="7">
        <v>333</v>
      </c>
      <c r="BC102" s="7">
        <v>333</v>
      </c>
      <c r="BD102" s="7">
        <v>333</v>
      </c>
      <c r="BE102" s="7">
        <v>333</v>
      </c>
      <c r="BI102" s="21">
        <v>23139</v>
      </c>
    </row>
    <row r="103" spans="1:61" x14ac:dyDescent="0.25">
      <c r="A103" s="88" t="s">
        <v>236</v>
      </c>
      <c r="B103" s="7">
        <v>370</v>
      </c>
      <c r="C103" s="390">
        <v>363</v>
      </c>
      <c r="D103" s="390">
        <v>375</v>
      </c>
      <c r="E103" s="11">
        <v>386</v>
      </c>
      <c r="F103" s="11">
        <v>386</v>
      </c>
      <c r="G103" s="11">
        <v>386</v>
      </c>
      <c r="H103" s="11">
        <v>386</v>
      </c>
      <c r="I103" s="11">
        <v>388</v>
      </c>
      <c r="J103" s="11">
        <v>395</v>
      </c>
      <c r="K103" s="11">
        <v>405</v>
      </c>
      <c r="L103" s="11">
        <v>420</v>
      </c>
      <c r="M103" s="11">
        <v>432</v>
      </c>
      <c r="N103" s="11">
        <v>438</v>
      </c>
      <c r="O103" s="11">
        <v>448</v>
      </c>
      <c r="P103" s="11">
        <v>457</v>
      </c>
      <c r="Q103" s="11">
        <v>463</v>
      </c>
      <c r="R103" s="11">
        <v>469</v>
      </c>
      <c r="S103" s="11">
        <v>472</v>
      </c>
      <c r="T103" s="11">
        <v>475</v>
      </c>
      <c r="U103" s="11">
        <v>478</v>
      </c>
      <c r="V103" s="11">
        <v>481</v>
      </c>
      <c r="W103" s="11">
        <v>487</v>
      </c>
      <c r="X103" s="11">
        <v>494</v>
      </c>
      <c r="Y103" s="11">
        <v>503</v>
      </c>
      <c r="Z103" s="11">
        <v>512</v>
      </c>
      <c r="AA103" s="11">
        <v>524</v>
      </c>
      <c r="AB103" s="11">
        <v>540</v>
      </c>
      <c r="AC103" s="11">
        <v>558</v>
      </c>
      <c r="AD103" s="11">
        <v>579</v>
      </c>
      <c r="AE103" s="11">
        <v>604</v>
      </c>
      <c r="AF103" s="11">
        <v>631</v>
      </c>
      <c r="AG103" s="11">
        <v>659</v>
      </c>
      <c r="AH103" s="11">
        <v>690</v>
      </c>
      <c r="AI103" s="11">
        <v>720</v>
      </c>
      <c r="AJ103" s="11">
        <v>754</v>
      </c>
      <c r="AK103" s="11">
        <v>788</v>
      </c>
      <c r="AL103" s="11">
        <v>825</v>
      </c>
      <c r="AM103" s="11">
        <v>861</v>
      </c>
      <c r="AN103" s="11">
        <v>901</v>
      </c>
      <c r="AO103" s="11">
        <v>941</v>
      </c>
      <c r="AP103" s="11">
        <v>984</v>
      </c>
      <c r="AQ103" s="11">
        <v>1005</v>
      </c>
      <c r="AR103" s="11">
        <v>1048</v>
      </c>
      <c r="AS103" s="11">
        <v>1085</v>
      </c>
      <c r="AT103" s="11">
        <v>1110</v>
      </c>
      <c r="AU103" s="11">
        <v>1140</v>
      </c>
      <c r="AV103" s="11">
        <v>1159</v>
      </c>
      <c r="AY103" s="264">
        <v>375</v>
      </c>
      <c r="AZ103" s="264">
        <v>375</v>
      </c>
      <c r="BA103" s="7">
        <v>375</v>
      </c>
      <c r="BB103" s="7">
        <v>375</v>
      </c>
      <c r="BC103" s="7">
        <v>375</v>
      </c>
      <c r="BD103" s="7">
        <v>375</v>
      </c>
      <c r="BE103" s="7">
        <v>375</v>
      </c>
      <c r="BI103" s="21">
        <v>23901</v>
      </c>
    </row>
    <row r="104" spans="1:61" x14ac:dyDescent="0.25">
      <c r="A104" s="88" t="s">
        <v>237</v>
      </c>
      <c r="B104" s="7">
        <v>331</v>
      </c>
      <c r="C104" s="11">
        <v>323</v>
      </c>
      <c r="D104" s="11">
        <v>333</v>
      </c>
      <c r="E104" s="11">
        <v>344</v>
      </c>
      <c r="F104" s="11">
        <v>344</v>
      </c>
      <c r="G104" s="11">
        <v>344</v>
      </c>
      <c r="H104" s="11">
        <v>344</v>
      </c>
      <c r="I104" s="11">
        <v>345</v>
      </c>
      <c r="J104" s="11">
        <v>352</v>
      </c>
      <c r="K104" s="11">
        <v>360</v>
      </c>
      <c r="L104" s="11">
        <v>374</v>
      </c>
      <c r="M104" s="11">
        <v>385</v>
      </c>
      <c r="N104" s="11">
        <v>390</v>
      </c>
      <c r="O104" s="11">
        <v>398</v>
      </c>
      <c r="P104" s="11">
        <v>407</v>
      </c>
      <c r="Q104" s="11">
        <v>412</v>
      </c>
      <c r="R104" s="11">
        <v>417</v>
      </c>
      <c r="S104" s="11">
        <v>420</v>
      </c>
      <c r="T104" s="11">
        <v>423</v>
      </c>
      <c r="U104" s="11">
        <v>425</v>
      </c>
      <c r="V104" s="11">
        <v>428</v>
      </c>
      <c r="W104" s="11">
        <v>434</v>
      </c>
      <c r="X104" s="11">
        <v>439</v>
      </c>
      <c r="Y104" s="11">
        <v>447</v>
      </c>
      <c r="Z104" s="11">
        <v>455</v>
      </c>
      <c r="AA104" s="11">
        <v>466</v>
      </c>
      <c r="AB104" s="11">
        <v>480</v>
      </c>
      <c r="AC104" s="11">
        <v>496</v>
      </c>
      <c r="AD104" s="11">
        <v>516</v>
      </c>
      <c r="AE104" s="11">
        <v>537</v>
      </c>
      <c r="AF104" s="11">
        <v>562</v>
      </c>
      <c r="AG104" s="11">
        <v>586</v>
      </c>
      <c r="AH104" s="11">
        <v>614</v>
      </c>
      <c r="AI104" s="11">
        <v>641</v>
      </c>
      <c r="AJ104" s="11">
        <v>671</v>
      </c>
      <c r="AK104" s="11">
        <v>701</v>
      </c>
      <c r="AL104" s="11">
        <v>734</v>
      </c>
      <c r="AM104" s="11">
        <v>766</v>
      </c>
      <c r="AN104" s="11">
        <v>802</v>
      </c>
      <c r="AO104" s="11">
        <v>838</v>
      </c>
      <c r="AP104" s="11">
        <v>876</v>
      </c>
      <c r="AQ104" s="11">
        <v>895</v>
      </c>
      <c r="AR104" s="11">
        <v>933</v>
      </c>
      <c r="AS104" s="11">
        <v>966</v>
      </c>
      <c r="AT104" s="11">
        <v>987</v>
      </c>
      <c r="AU104" s="11">
        <v>1015</v>
      </c>
      <c r="AV104" s="11">
        <v>1031</v>
      </c>
      <c r="AW104" s="391"/>
      <c r="AX104" s="391"/>
      <c r="AY104" s="264">
        <v>333</v>
      </c>
      <c r="AZ104" s="264">
        <v>333</v>
      </c>
      <c r="BA104" s="7">
        <v>333</v>
      </c>
      <c r="BB104" s="7">
        <v>333</v>
      </c>
      <c r="BC104" s="7">
        <v>333</v>
      </c>
      <c r="BD104" s="7">
        <v>333</v>
      </c>
      <c r="BE104" s="7">
        <v>333</v>
      </c>
      <c r="BI104" s="21">
        <v>23875</v>
      </c>
    </row>
    <row r="105" spans="1:61" x14ac:dyDescent="0.25">
      <c r="A105" s="26" t="s">
        <v>238</v>
      </c>
      <c r="B105" s="7">
        <v>338</v>
      </c>
      <c r="C105" s="7">
        <v>332</v>
      </c>
      <c r="D105" s="7">
        <v>342</v>
      </c>
      <c r="E105" s="7">
        <v>352</v>
      </c>
      <c r="F105" s="7">
        <v>352</v>
      </c>
      <c r="G105" s="7">
        <v>352</v>
      </c>
      <c r="H105" s="7">
        <v>352</v>
      </c>
      <c r="I105" s="7">
        <v>354</v>
      </c>
      <c r="J105" s="7">
        <v>361</v>
      </c>
      <c r="K105" s="7">
        <v>369</v>
      </c>
      <c r="L105" s="7">
        <v>383</v>
      </c>
      <c r="M105" s="7">
        <v>394</v>
      </c>
      <c r="N105" s="7">
        <v>400</v>
      </c>
      <c r="O105" s="7">
        <v>409</v>
      </c>
      <c r="P105" s="7">
        <v>417</v>
      </c>
      <c r="Q105" s="7">
        <v>422</v>
      </c>
      <c r="R105" s="7">
        <v>428</v>
      </c>
      <c r="S105" s="7">
        <v>431</v>
      </c>
      <c r="T105" s="7">
        <v>434</v>
      </c>
      <c r="U105" s="7">
        <v>436</v>
      </c>
      <c r="V105" s="7">
        <v>439</v>
      </c>
      <c r="W105" s="7">
        <v>445</v>
      </c>
      <c r="X105" s="7">
        <v>450</v>
      </c>
      <c r="Y105" s="7">
        <v>459</v>
      </c>
      <c r="Z105" s="7">
        <v>467</v>
      </c>
      <c r="AA105" s="7">
        <v>478</v>
      </c>
      <c r="AB105" s="7">
        <v>492</v>
      </c>
      <c r="AC105" s="7">
        <v>509</v>
      </c>
      <c r="AD105" s="7">
        <v>529</v>
      </c>
      <c r="AE105" s="7">
        <v>551</v>
      </c>
      <c r="AF105" s="7">
        <v>576</v>
      </c>
      <c r="AG105" s="7">
        <v>601</v>
      </c>
      <c r="AH105" s="7">
        <v>629</v>
      </c>
      <c r="AI105" s="7">
        <v>657</v>
      </c>
      <c r="AJ105" s="7">
        <v>688</v>
      </c>
      <c r="AK105" s="7">
        <v>719</v>
      </c>
      <c r="AL105" s="7">
        <v>753</v>
      </c>
      <c r="AM105" s="7">
        <v>786</v>
      </c>
      <c r="AN105" s="7">
        <v>822</v>
      </c>
      <c r="AO105" s="7">
        <v>859</v>
      </c>
      <c r="AP105" s="7">
        <v>898</v>
      </c>
      <c r="AQ105" s="7">
        <v>917</v>
      </c>
      <c r="AR105" s="7">
        <v>957</v>
      </c>
      <c r="AS105" s="7">
        <v>990</v>
      </c>
      <c r="AT105" s="7">
        <v>1013</v>
      </c>
      <c r="AU105" s="7">
        <v>1040</v>
      </c>
      <c r="AV105" s="7">
        <v>1057</v>
      </c>
      <c r="AW105" s="391"/>
      <c r="AX105" s="391"/>
      <c r="AY105" s="264">
        <v>342</v>
      </c>
      <c r="AZ105" s="264">
        <v>342</v>
      </c>
      <c r="BA105" s="7">
        <v>342</v>
      </c>
      <c r="BB105" s="7">
        <v>342</v>
      </c>
      <c r="BC105" s="7">
        <v>339</v>
      </c>
      <c r="BD105" s="7">
        <v>342</v>
      </c>
      <c r="BE105" s="7">
        <v>342</v>
      </c>
      <c r="BI105" s="21">
        <v>20109</v>
      </c>
    </row>
    <row r="106" spans="1:61" x14ac:dyDescent="0.25">
      <c r="A106" s="88" t="s">
        <v>239</v>
      </c>
      <c r="B106" s="7">
        <v>371</v>
      </c>
      <c r="C106" s="7">
        <v>363</v>
      </c>
      <c r="D106" s="7">
        <v>375</v>
      </c>
      <c r="E106" s="7">
        <v>386</v>
      </c>
      <c r="F106" s="7">
        <v>386</v>
      </c>
      <c r="G106" s="7">
        <v>386</v>
      </c>
      <c r="H106" s="7">
        <v>386</v>
      </c>
      <c r="I106" s="7">
        <v>388</v>
      </c>
      <c r="J106" s="7">
        <v>395</v>
      </c>
      <c r="K106" s="7">
        <v>405</v>
      </c>
      <c r="L106" s="7">
        <v>420</v>
      </c>
      <c r="M106" s="7">
        <v>432</v>
      </c>
      <c r="N106" s="7">
        <v>438</v>
      </c>
      <c r="O106" s="7">
        <v>448</v>
      </c>
      <c r="P106" s="7">
        <v>457</v>
      </c>
      <c r="Q106" s="7">
        <v>463</v>
      </c>
      <c r="R106" s="7">
        <v>469</v>
      </c>
      <c r="S106" s="7">
        <v>472</v>
      </c>
      <c r="T106" s="7">
        <v>475</v>
      </c>
      <c r="U106" s="7">
        <v>478</v>
      </c>
      <c r="V106" s="7">
        <v>481</v>
      </c>
      <c r="W106" s="7">
        <v>487</v>
      </c>
      <c r="X106" s="7">
        <v>494</v>
      </c>
      <c r="Y106" s="7">
        <v>503</v>
      </c>
      <c r="Z106" s="7">
        <v>512</v>
      </c>
      <c r="AA106" s="7">
        <v>524</v>
      </c>
      <c r="AB106" s="7">
        <v>540</v>
      </c>
      <c r="AC106" s="7">
        <v>558</v>
      </c>
      <c r="AD106" s="7">
        <v>579</v>
      </c>
      <c r="AE106" s="7">
        <v>603</v>
      </c>
      <c r="AF106" s="7">
        <v>631</v>
      </c>
      <c r="AG106" s="7">
        <v>659</v>
      </c>
      <c r="AH106" s="7">
        <v>690</v>
      </c>
      <c r="AI106" s="7">
        <v>720</v>
      </c>
      <c r="AJ106" s="7">
        <v>754</v>
      </c>
      <c r="AK106" s="7">
        <v>788</v>
      </c>
      <c r="AL106" s="7">
        <v>825</v>
      </c>
      <c r="AM106" s="7">
        <v>861</v>
      </c>
      <c r="AN106" s="7">
        <v>901</v>
      </c>
      <c r="AO106" s="7">
        <v>941</v>
      </c>
      <c r="AP106" s="7">
        <v>984</v>
      </c>
      <c r="AQ106" s="7">
        <v>1005</v>
      </c>
      <c r="AR106" s="7">
        <v>1048</v>
      </c>
      <c r="AS106" s="7">
        <v>1085</v>
      </c>
      <c r="AT106" s="7">
        <v>1110</v>
      </c>
      <c r="AU106" s="7">
        <v>1140</v>
      </c>
      <c r="AV106" s="7">
        <v>1159</v>
      </c>
      <c r="AW106" s="391"/>
      <c r="AX106" s="391"/>
      <c r="AY106" s="7">
        <v>375</v>
      </c>
      <c r="AZ106" s="290">
        <v>375</v>
      </c>
      <c r="BA106" s="7">
        <v>375</v>
      </c>
      <c r="BB106" s="7">
        <v>375</v>
      </c>
      <c r="BC106" s="7">
        <v>375</v>
      </c>
      <c r="BD106" s="7">
        <v>375</v>
      </c>
      <c r="BE106" s="7">
        <v>375</v>
      </c>
      <c r="BI106" s="21">
        <v>24301</v>
      </c>
    </row>
    <row r="107" spans="1:61" x14ac:dyDescent="0.25">
      <c r="A107" s="88" t="s">
        <v>240</v>
      </c>
      <c r="B107" s="7">
        <v>371</v>
      </c>
      <c r="C107" s="7">
        <v>363</v>
      </c>
      <c r="D107" s="7">
        <v>375</v>
      </c>
      <c r="E107" s="7">
        <v>386</v>
      </c>
      <c r="F107" s="7">
        <v>386</v>
      </c>
      <c r="G107" s="7">
        <v>386</v>
      </c>
      <c r="H107" s="7">
        <v>386</v>
      </c>
      <c r="I107" s="7">
        <v>388</v>
      </c>
      <c r="J107" s="7">
        <v>395</v>
      </c>
      <c r="K107" s="7">
        <v>405</v>
      </c>
      <c r="L107" s="7">
        <v>420</v>
      </c>
      <c r="M107" s="7">
        <v>432</v>
      </c>
      <c r="N107" s="7">
        <v>438</v>
      </c>
      <c r="O107" s="7">
        <v>448</v>
      </c>
      <c r="P107" s="7">
        <v>457</v>
      </c>
      <c r="Q107" s="7">
        <v>463</v>
      </c>
      <c r="R107" s="7">
        <v>469</v>
      </c>
      <c r="S107" s="7">
        <v>472</v>
      </c>
      <c r="T107" s="7">
        <v>475</v>
      </c>
      <c r="U107" s="7">
        <v>478</v>
      </c>
      <c r="V107" s="7">
        <v>481</v>
      </c>
      <c r="W107" s="7">
        <v>487</v>
      </c>
      <c r="X107" s="7">
        <v>494</v>
      </c>
      <c r="Y107" s="7">
        <v>503</v>
      </c>
      <c r="Z107" s="7">
        <v>512</v>
      </c>
      <c r="AA107" s="7">
        <v>524</v>
      </c>
      <c r="AB107" s="7">
        <v>540</v>
      </c>
      <c r="AC107" s="7">
        <v>558</v>
      </c>
      <c r="AD107" s="7">
        <v>579</v>
      </c>
      <c r="AE107" s="7">
        <v>603</v>
      </c>
      <c r="AF107" s="7">
        <v>631</v>
      </c>
      <c r="AG107" s="7">
        <v>659</v>
      </c>
      <c r="AH107" s="7">
        <v>690</v>
      </c>
      <c r="AI107" s="7">
        <v>720</v>
      </c>
      <c r="AJ107" s="7">
        <v>754</v>
      </c>
      <c r="AK107" s="7">
        <v>788</v>
      </c>
      <c r="AL107" s="7">
        <v>825</v>
      </c>
      <c r="AM107" s="7">
        <v>861</v>
      </c>
      <c r="AN107" s="7">
        <v>901</v>
      </c>
      <c r="AO107" s="7">
        <v>941</v>
      </c>
      <c r="AP107" s="7">
        <v>984</v>
      </c>
      <c r="AQ107" s="7">
        <v>1005</v>
      </c>
      <c r="AR107" s="7">
        <v>1048</v>
      </c>
      <c r="AS107" s="7">
        <v>1085</v>
      </c>
      <c r="AT107" s="7">
        <v>1110</v>
      </c>
      <c r="AU107" s="7">
        <v>1140</v>
      </c>
      <c r="AV107" s="7">
        <v>1159</v>
      </c>
      <c r="AW107" s="391"/>
      <c r="AX107" s="391"/>
      <c r="AY107" s="7">
        <v>375</v>
      </c>
      <c r="AZ107" s="290">
        <v>375</v>
      </c>
      <c r="BA107" s="7">
        <v>375</v>
      </c>
      <c r="BB107" s="7">
        <v>375</v>
      </c>
      <c r="BC107" s="7">
        <v>375</v>
      </c>
      <c r="BD107" s="7">
        <v>375</v>
      </c>
      <c r="BE107" s="7">
        <v>375</v>
      </c>
      <c r="BI107" s="21">
        <v>24141</v>
      </c>
    </row>
    <row r="108" spans="1:61" x14ac:dyDescent="0.25">
      <c r="A108" s="88" t="s">
        <v>241</v>
      </c>
      <c r="B108" s="7">
        <v>370</v>
      </c>
      <c r="C108" s="390">
        <v>363</v>
      </c>
      <c r="D108" s="390">
        <v>375</v>
      </c>
      <c r="E108" s="11">
        <v>386</v>
      </c>
      <c r="F108" s="11">
        <v>386</v>
      </c>
      <c r="G108" s="11">
        <v>386</v>
      </c>
      <c r="H108" s="11">
        <v>386</v>
      </c>
      <c r="I108" s="11">
        <v>388</v>
      </c>
      <c r="J108" s="11">
        <v>395</v>
      </c>
      <c r="K108" s="11">
        <v>405</v>
      </c>
      <c r="L108" s="11">
        <v>420</v>
      </c>
      <c r="M108" s="11">
        <v>432</v>
      </c>
      <c r="N108" s="11">
        <v>438</v>
      </c>
      <c r="O108" s="11">
        <v>448</v>
      </c>
      <c r="P108" s="11">
        <v>457</v>
      </c>
      <c r="Q108" s="11">
        <v>463</v>
      </c>
      <c r="R108" s="11">
        <v>469</v>
      </c>
      <c r="S108" s="11">
        <v>472</v>
      </c>
      <c r="T108" s="11">
        <v>475</v>
      </c>
      <c r="U108" s="11">
        <v>478</v>
      </c>
      <c r="V108" s="11">
        <v>481</v>
      </c>
      <c r="W108" s="11">
        <v>487</v>
      </c>
      <c r="X108" s="11">
        <v>494</v>
      </c>
      <c r="Y108" s="11">
        <v>503</v>
      </c>
      <c r="Z108" s="11">
        <v>512</v>
      </c>
      <c r="AA108" s="11">
        <v>524</v>
      </c>
      <c r="AB108" s="11">
        <v>540</v>
      </c>
      <c r="AC108" s="11">
        <v>558</v>
      </c>
      <c r="AD108" s="11">
        <v>579</v>
      </c>
      <c r="AE108" s="11">
        <v>604</v>
      </c>
      <c r="AF108" s="11">
        <v>631</v>
      </c>
      <c r="AG108" s="11">
        <v>659</v>
      </c>
      <c r="AH108" s="11">
        <v>690</v>
      </c>
      <c r="AI108" s="11">
        <v>720</v>
      </c>
      <c r="AJ108" s="11">
        <v>754</v>
      </c>
      <c r="AK108" s="11">
        <v>788</v>
      </c>
      <c r="AL108" s="11">
        <v>825</v>
      </c>
      <c r="AM108" s="11">
        <v>861</v>
      </c>
      <c r="AN108" s="11">
        <v>901</v>
      </c>
      <c r="AO108" s="11">
        <v>941</v>
      </c>
      <c r="AP108" s="11">
        <v>984</v>
      </c>
      <c r="AQ108" s="11">
        <v>1005</v>
      </c>
      <c r="AR108" s="11">
        <v>1048</v>
      </c>
      <c r="AS108" s="11">
        <v>1085</v>
      </c>
      <c r="AT108" s="11">
        <v>1110</v>
      </c>
      <c r="AU108" s="11">
        <v>1140</v>
      </c>
      <c r="AV108" s="11">
        <v>1159</v>
      </c>
      <c r="AY108" s="264">
        <v>375</v>
      </c>
      <c r="AZ108" s="264">
        <v>375</v>
      </c>
      <c r="BA108" s="7">
        <v>375</v>
      </c>
      <c r="BB108" s="7">
        <v>375</v>
      </c>
      <c r="BC108" s="7">
        <v>375</v>
      </c>
      <c r="BD108" s="7">
        <v>375</v>
      </c>
      <c r="BE108" s="7">
        <v>375</v>
      </c>
      <c r="BI108" s="21">
        <v>20106</v>
      </c>
    </row>
    <row r="109" spans="1:61" x14ac:dyDescent="0.25">
      <c r="A109" s="26" t="s">
        <v>242</v>
      </c>
      <c r="B109" s="7">
        <v>331</v>
      </c>
      <c r="C109" s="11">
        <v>323</v>
      </c>
      <c r="D109" s="11">
        <v>333</v>
      </c>
      <c r="E109" s="11">
        <v>344</v>
      </c>
      <c r="F109" s="11">
        <v>344</v>
      </c>
      <c r="G109" s="11">
        <v>344</v>
      </c>
      <c r="H109" s="11">
        <v>344</v>
      </c>
      <c r="I109" s="11">
        <v>345</v>
      </c>
      <c r="J109" s="11">
        <v>352</v>
      </c>
      <c r="K109" s="11">
        <v>360</v>
      </c>
      <c r="L109" s="11">
        <v>374</v>
      </c>
      <c r="M109" s="11">
        <v>385</v>
      </c>
      <c r="N109" s="11">
        <v>390</v>
      </c>
      <c r="O109" s="11">
        <v>398</v>
      </c>
      <c r="P109" s="11">
        <v>407</v>
      </c>
      <c r="Q109" s="11">
        <v>412</v>
      </c>
      <c r="R109" s="11">
        <v>417</v>
      </c>
      <c r="S109" s="11">
        <v>420</v>
      </c>
      <c r="T109" s="11">
        <v>423</v>
      </c>
      <c r="U109" s="11">
        <v>425</v>
      </c>
      <c r="V109" s="11">
        <v>428</v>
      </c>
      <c r="W109" s="11">
        <v>434</v>
      </c>
      <c r="X109" s="11">
        <v>439</v>
      </c>
      <c r="Y109" s="11">
        <v>447</v>
      </c>
      <c r="Z109" s="11">
        <v>455</v>
      </c>
      <c r="AA109" s="11">
        <v>466</v>
      </c>
      <c r="AB109" s="11">
        <v>480</v>
      </c>
      <c r="AC109" s="11">
        <v>496</v>
      </c>
      <c r="AD109" s="11">
        <v>516</v>
      </c>
      <c r="AE109" s="11">
        <v>537</v>
      </c>
      <c r="AF109" s="11">
        <v>562</v>
      </c>
      <c r="AG109" s="11">
        <v>586</v>
      </c>
      <c r="AH109" s="11">
        <v>614</v>
      </c>
      <c r="AI109" s="11">
        <v>641</v>
      </c>
      <c r="AJ109" s="11">
        <v>671</v>
      </c>
      <c r="AK109" s="11">
        <v>701</v>
      </c>
      <c r="AL109" s="11">
        <v>734</v>
      </c>
      <c r="AM109" s="11">
        <v>766</v>
      </c>
      <c r="AN109" s="11">
        <v>802</v>
      </c>
      <c r="AO109" s="11">
        <v>838</v>
      </c>
      <c r="AP109" s="11">
        <v>876</v>
      </c>
      <c r="AQ109" s="11">
        <v>895</v>
      </c>
      <c r="AR109" s="11">
        <v>933</v>
      </c>
      <c r="AS109" s="11">
        <v>966</v>
      </c>
      <c r="AT109" s="11">
        <v>987</v>
      </c>
      <c r="AU109" s="11">
        <v>1015</v>
      </c>
      <c r="AV109" s="11">
        <v>1031</v>
      </c>
      <c r="AW109" s="391"/>
      <c r="AX109" s="391"/>
      <c r="AY109" s="264">
        <v>333</v>
      </c>
      <c r="AZ109" s="264">
        <v>333</v>
      </c>
      <c r="BA109" s="7">
        <v>333</v>
      </c>
      <c r="BB109" s="7">
        <v>333</v>
      </c>
      <c r="BC109" s="7">
        <v>333</v>
      </c>
      <c r="BD109" s="7">
        <v>333</v>
      </c>
      <c r="BE109" s="7">
        <v>333</v>
      </c>
      <c r="BI109" s="21">
        <v>23173</v>
      </c>
    </row>
    <row r="110" spans="1:61" x14ac:dyDescent="0.25">
      <c r="A110" s="26" t="s">
        <v>243</v>
      </c>
      <c r="B110" s="7">
        <v>370</v>
      </c>
      <c r="C110" s="390">
        <v>363</v>
      </c>
      <c r="D110" s="390">
        <v>375</v>
      </c>
      <c r="E110" s="11">
        <v>386</v>
      </c>
      <c r="F110" s="11">
        <v>386</v>
      </c>
      <c r="G110" s="11">
        <v>386</v>
      </c>
      <c r="H110" s="11">
        <v>386</v>
      </c>
      <c r="I110" s="11">
        <v>388</v>
      </c>
      <c r="J110" s="11">
        <v>395</v>
      </c>
      <c r="K110" s="11">
        <v>405</v>
      </c>
      <c r="L110" s="11">
        <v>420</v>
      </c>
      <c r="M110" s="11">
        <v>432</v>
      </c>
      <c r="N110" s="11">
        <v>438</v>
      </c>
      <c r="O110" s="11">
        <v>448</v>
      </c>
      <c r="P110" s="11">
        <v>457</v>
      </c>
      <c r="Q110" s="11">
        <v>463</v>
      </c>
      <c r="R110" s="11">
        <v>469</v>
      </c>
      <c r="S110" s="11">
        <v>472</v>
      </c>
      <c r="T110" s="11">
        <v>475</v>
      </c>
      <c r="U110" s="11">
        <v>478</v>
      </c>
      <c r="V110" s="11">
        <v>481</v>
      </c>
      <c r="W110" s="11">
        <v>487</v>
      </c>
      <c r="X110" s="11">
        <v>494</v>
      </c>
      <c r="Y110" s="11">
        <v>503</v>
      </c>
      <c r="Z110" s="11">
        <v>512</v>
      </c>
      <c r="AA110" s="11">
        <v>524</v>
      </c>
      <c r="AB110" s="11">
        <v>540</v>
      </c>
      <c r="AC110" s="11">
        <v>558</v>
      </c>
      <c r="AD110" s="11">
        <v>579</v>
      </c>
      <c r="AE110" s="11">
        <v>604</v>
      </c>
      <c r="AF110" s="11">
        <v>631</v>
      </c>
      <c r="AG110" s="11">
        <v>659</v>
      </c>
      <c r="AH110" s="11">
        <v>690</v>
      </c>
      <c r="AI110" s="11">
        <v>720</v>
      </c>
      <c r="AJ110" s="11">
        <v>754</v>
      </c>
      <c r="AK110" s="11">
        <v>788</v>
      </c>
      <c r="AL110" s="11">
        <v>825</v>
      </c>
      <c r="AM110" s="11">
        <v>861</v>
      </c>
      <c r="AN110" s="11">
        <v>901</v>
      </c>
      <c r="AO110" s="11">
        <v>941</v>
      </c>
      <c r="AP110" s="11">
        <v>984</v>
      </c>
      <c r="AQ110" s="11">
        <v>1005</v>
      </c>
      <c r="AR110" s="11">
        <v>1048</v>
      </c>
      <c r="AS110" s="11">
        <v>1085</v>
      </c>
      <c r="AT110" s="11">
        <v>1110</v>
      </c>
      <c r="AU110" s="11">
        <v>1140</v>
      </c>
      <c r="AV110" s="11">
        <v>1159</v>
      </c>
      <c r="AY110" s="264">
        <v>375</v>
      </c>
      <c r="AZ110" s="264">
        <v>375</v>
      </c>
      <c r="BA110" s="7">
        <v>375</v>
      </c>
      <c r="BB110" s="7">
        <v>375</v>
      </c>
      <c r="BC110" s="7">
        <v>375</v>
      </c>
      <c r="BD110" s="7">
        <v>375</v>
      </c>
      <c r="BE110" s="7">
        <v>375</v>
      </c>
      <c r="BI110" s="21">
        <v>22460</v>
      </c>
    </row>
    <row r="111" spans="1:61" x14ac:dyDescent="0.25">
      <c r="A111" s="26" t="s">
        <v>244</v>
      </c>
      <c r="B111" s="7">
        <v>371</v>
      </c>
      <c r="C111" s="7">
        <v>363</v>
      </c>
      <c r="D111" s="7">
        <v>375</v>
      </c>
      <c r="E111" s="7">
        <v>386</v>
      </c>
      <c r="F111" s="7">
        <v>386</v>
      </c>
      <c r="G111" s="7">
        <v>386</v>
      </c>
      <c r="H111" s="7">
        <v>386</v>
      </c>
      <c r="I111" s="7">
        <v>388</v>
      </c>
      <c r="J111" s="7">
        <v>395</v>
      </c>
      <c r="K111" s="7">
        <v>405</v>
      </c>
      <c r="L111" s="7">
        <v>420</v>
      </c>
      <c r="M111" s="7">
        <v>432</v>
      </c>
      <c r="N111" s="7">
        <v>438</v>
      </c>
      <c r="O111" s="7">
        <v>448</v>
      </c>
      <c r="P111" s="7">
        <v>457</v>
      </c>
      <c r="Q111" s="7">
        <v>463</v>
      </c>
      <c r="R111" s="7">
        <v>469</v>
      </c>
      <c r="S111" s="7">
        <v>472</v>
      </c>
      <c r="T111" s="7">
        <v>475</v>
      </c>
      <c r="U111" s="7">
        <v>478</v>
      </c>
      <c r="V111" s="7">
        <v>481</v>
      </c>
      <c r="W111" s="7">
        <v>487</v>
      </c>
      <c r="X111" s="7">
        <v>494</v>
      </c>
      <c r="Y111" s="7">
        <v>503</v>
      </c>
      <c r="Z111" s="7">
        <v>512</v>
      </c>
      <c r="AA111" s="7">
        <v>524</v>
      </c>
      <c r="AB111" s="7">
        <v>540</v>
      </c>
      <c r="AC111" s="7">
        <v>558</v>
      </c>
      <c r="AD111" s="7">
        <v>579</v>
      </c>
      <c r="AE111" s="7">
        <v>603</v>
      </c>
      <c r="AF111" s="7">
        <v>631</v>
      </c>
      <c r="AG111" s="7">
        <v>659</v>
      </c>
      <c r="AH111" s="7">
        <v>690</v>
      </c>
      <c r="AI111" s="7">
        <v>720</v>
      </c>
      <c r="AJ111" s="7">
        <v>754</v>
      </c>
      <c r="AK111" s="7">
        <v>788</v>
      </c>
      <c r="AL111" s="7">
        <v>825</v>
      </c>
      <c r="AM111" s="7">
        <v>861</v>
      </c>
      <c r="AN111" s="7">
        <v>901</v>
      </c>
      <c r="AO111" s="7">
        <v>941</v>
      </c>
      <c r="AP111" s="7">
        <v>984</v>
      </c>
      <c r="AQ111" s="7">
        <v>1005</v>
      </c>
      <c r="AR111" s="7">
        <v>1048</v>
      </c>
      <c r="AS111" s="7">
        <v>1085</v>
      </c>
      <c r="AT111" s="7">
        <v>1110</v>
      </c>
      <c r="AU111" s="7">
        <v>1140</v>
      </c>
      <c r="AV111" s="7">
        <v>1159</v>
      </c>
      <c r="AW111" s="391"/>
      <c r="AX111" s="391"/>
      <c r="AY111" s="7">
        <v>375</v>
      </c>
      <c r="AZ111" s="290">
        <v>375</v>
      </c>
      <c r="BA111" s="7">
        <v>375</v>
      </c>
      <c r="BB111" s="7">
        <v>375</v>
      </c>
      <c r="BC111" s="7">
        <v>375</v>
      </c>
      <c r="BD111" s="7">
        <v>375</v>
      </c>
      <c r="BE111" s="7">
        <v>375</v>
      </c>
      <c r="BI111" s="21">
        <v>24001</v>
      </c>
    </row>
    <row r="112" spans="1:61" x14ac:dyDescent="0.25">
      <c r="A112" s="26" t="s">
        <v>245</v>
      </c>
      <c r="B112" s="7">
        <v>371</v>
      </c>
      <c r="C112" s="7">
        <v>363</v>
      </c>
      <c r="D112" s="7">
        <v>375</v>
      </c>
      <c r="E112" s="7">
        <v>386</v>
      </c>
      <c r="F112" s="7">
        <v>386</v>
      </c>
      <c r="G112" s="7">
        <v>386</v>
      </c>
      <c r="H112" s="7">
        <v>386</v>
      </c>
      <c r="I112" s="7">
        <v>388</v>
      </c>
      <c r="J112" s="7">
        <v>395</v>
      </c>
      <c r="K112" s="7">
        <v>405</v>
      </c>
      <c r="L112" s="7">
        <v>420</v>
      </c>
      <c r="M112" s="7">
        <v>432</v>
      </c>
      <c r="N112" s="7">
        <v>438</v>
      </c>
      <c r="O112" s="7">
        <v>448</v>
      </c>
      <c r="P112" s="7">
        <v>457</v>
      </c>
      <c r="Q112" s="7">
        <v>463</v>
      </c>
      <c r="R112" s="7">
        <v>469</v>
      </c>
      <c r="S112" s="7">
        <v>472</v>
      </c>
      <c r="T112" s="7">
        <v>475</v>
      </c>
      <c r="U112" s="7">
        <v>478</v>
      </c>
      <c r="V112" s="7">
        <v>481</v>
      </c>
      <c r="W112" s="7">
        <v>487</v>
      </c>
      <c r="X112" s="7">
        <v>494</v>
      </c>
      <c r="Y112" s="7">
        <v>503</v>
      </c>
      <c r="Z112" s="7">
        <v>512</v>
      </c>
      <c r="AA112" s="7">
        <v>524</v>
      </c>
      <c r="AB112" s="7">
        <v>540</v>
      </c>
      <c r="AC112" s="7">
        <v>558</v>
      </c>
      <c r="AD112" s="7">
        <v>579</v>
      </c>
      <c r="AE112" s="7">
        <v>603</v>
      </c>
      <c r="AF112" s="7">
        <v>631</v>
      </c>
      <c r="AG112" s="7">
        <v>659</v>
      </c>
      <c r="AH112" s="7">
        <v>690</v>
      </c>
      <c r="AI112" s="7">
        <v>720</v>
      </c>
      <c r="AJ112" s="7">
        <v>754</v>
      </c>
      <c r="AK112" s="7">
        <v>788</v>
      </c>
      <c r="AL112" s="7">
        <v>825</v>
      </c>
      <c r="AM112" s="7">
        <v>861</v>
      </c>
      <c r="AN112" s="7">
        <v>901</v>
      </c>
      <c r="AO112" s="7">
        <v>941</v>
      </c>
      <c r="AP112" s="7">
        <v>984</v>
      </c>
      <c r="AQ112" s="7">
        <v>1005</v>
      </c>
      <c r="AR112" s="7">
        <v>1048</v>
      </c>
      <c r="AS112" s="7">
        <v>1085</v>
      </c>
      <c r="AT112" s="7">
        <v>1110</v>
      </c>
      <c r="AU112" s="7">
        <v>1140</v>
      </c>
      <c r="AV112" s="7">
        <v>1159</v>
      </c>
      <c r="AW112" s="391"/>
      <c r="AX112" s="391"/>
      <c r="AY112" s="7">
        <v>375</v>
      </c>
      <c r="AZ112" s="290">
        <v>375</v>
      </c>
      <c r="BA112" s="7">
        <v>375</v>
      </c>
      <c r="BB112" s="7">
        <v>375</v>
      </c>
      <c r="BC112" s="7">
        <v>375</v>
      </c>
      <c r="BD112" s="7">
        <v>375</v>
      </c>
      <c r="BE112" s="7">
        <v>375</v>
      </c>
      <c r="BI112" s="21">
        <v>24018</v>
      </c>
    </row>
    <row r="113" spans="1:61" x14ac:dyDescent="0.25">
      <c r="A113" s="26" t="s">
        <v>246</v>
      </c>
      <c r="B113" s="7">
        <v>370</v>
      </c>
      <c r="C113" s="390">
        <v>363</v>
      </c>
      <c r="D113" s="390">
        <v>375</v>
      </c>
      <c r="E113" s="11">
        <v>386</v>
      </c>
      <c r="F113" s="11">
        <v>386</v>
      </c>
      <c r="G113" s="11">
        <v>386</v>
      </c>
      <c r="H113" s="11">
        <v>386</v>
      </c>
      <c r="I113" s="11">
        <v>388</v>
      </c>
      <c r="J113" s="11">
        <v>395</v>
      </c>
      <c r="K113" s="11">
        <v>405</v>
      </c>
      <c r="L113" s="11">
        <v>420</v>
      </c>
      <c r="M113" s="11">
        <v>432</v>
      </c>
      <c r="N113" s="11">
        <v>438</v>
      </c>
      <c r="O113" s="11">
        <v>448</v>
      </c>
      <c r="P113" s="11">
        <v>457</v>
      </c>
      <c r="Q113" s="11">
        <v>463</v>
      </c>
      <c r="R113" s="11">
        <v>469</v>
      </c>
      <c r="S113" s="11">
        <v>472</v>
      </c>
      <c r="T113" s="11">
        <v>475</v>
      </c>
      <c r="U113" s="11">
        <v>478</v>
      </c>
      <c r="V113" s="11">
        <v>481</v>
      </c>
      <c r="W113" s="11">
        <v>487</v>
      </c>
      <c r="X113" s="11">
        <v>494</v>
      </c>
      <c r="Y113" s="11">
        <v>503</v>
      </c>
      <c r="Z113" s="11">
        <v>512</v>
      </c>
      <c r="AA113" s="11">
        <v>524</v>
      </c>
      <c r="AB113" s="11">
        <v>540</v>
      </c>
      <c r="AC113" s="11">
        <v>558</v>
      </c>
      <c r="AD113" s="11">
        <v>579</v>
      </c>
      <c r="AE113" s="11">
        <v>604</v>
      </c>
      <c r="AF113" s="11">
        <v>631</v>
      </c>
      <c r="AG113" s="11">
        <v>659</v>
      </c>
      <c r="AH113" s="11">
        <v>690</v>
      </c>
      <c r="AI113" s="11">
        <v>720</v>
      </c>
      <c r="AJ113" s="11">
        <v>754</v>
      </c>
      <c r="AK113" s="11">
        <v>788</v>
      </c>
      <c r="AL113" s="11">
        <v>825</v>
      </c>
      <c r="AM113" s="11">
        <v>861</v>
      </c>
      <c r="AN113" s="11">
        <v>901</v>
      </c>
      <c r="AO113" s="11">
        <v>941</v>
      </c>
      <c r="AP113" s="11">
        <v>984</v>
      </c>
      <c r="AQ113" s="11">
        <v>1005</v>
      </c>
      <c r="AR113" s="11">
        <v>1048</v>
      </c>
      <c r="AS113" s="11">
        <v>1085</v>
      </c>
      <c r="AT113" s="11">
        <v>1110</v>
      </c>
      <c r="AU113" s="11">
        <v>1140</v>
      </c>
      <c r="AV113" s="11">
        <v>1159</v>
      </c>
      <c r="AY113" s="264">
        <v>375</v>
      </c>
      <c r="AZ113" s="264">
        <v>375</v>
      </c>
      <c r="BA113" s="7">
        <v>375</v>
      </c>
      <c r="BB113" s="7">
        <v>375</v>
      </c>
      <c r="BC113" s="7">
        <v>375</v>
      </c>
      <c r="BD113" s="7">
        <v>375</v>
      </c>
      <c r="BE113" s="7">
        <v>375</v>
      </c>
      <c r="BI113" s="21">
        <v>24416</v>
      </c>
    </row>
    <row r="114" spans="1:61" x14ac:dyDescent="0.25">
      <c r="A114" s="88" t="s">
        <v>247</v>
      </c>
      <c r="B114" s="7">
        <v>370</v>
      </c>
      <c r="C114" s="11">
        <v>363</v>
      </c>
      <c r="D114" s="11">
        <v>375</v>
      </c>
      <c r="E114" s="11">
        <v>386</v>
      </c>
      <c r="F114" s="11">
        <v>386</v>
      </c>
      <c r="G114" s="11">
        <v>386</v>
      </c>
      <c r="H114" s="11">
        <v>386</v>
      </c>
      <c r="I114" s="11">
        <v>388</v>
      </c>
      <c r="J114" s="11">
        <v>395</v>
      </c>
      <c r="K114" s="11">
        <v>405</v>
      </c>
      <c r="L114" s="11">
        <v>420</v>
      </c>
      <c r="M114" s="11">
        <v>432</v>
      </c>
      <c r="N114" s="11">
        <v>438</v>
      </c>
      <c r="O114" s="11">
        <v>448</v>
      </c>
      <c r="P114" s="11">
        <v>457</v>
      </c>
      <c r="Q114" s="11">
        <v>463</v>
      </c>
      <c r="R114" s="11">
        <v>469</v>
      </c>
      <c r="S114" s="11">
        <v>472</v>
      </c>
      <c r="T114" s="11">
        <v>475</v>
      </c>
      <c r="U114" s="11">
        <v>478</v>
      </c>
      <c r="V114" s="11">
        <v>481</v>
      </c>
      <c r="W114" s="11">
        <v>487</v>
      </c>
      <c r="X114" s="11">
        <v>494</v>
      </c>
      <c r="Y114" s="11">
        <v>503</v>
      </c>
      <c r="Z114" s="11">
        <v>512</v>
      </c>
      <c r="AA114" s="11">
        <v>524</v>
      </c>
      <c r="AB114" s="11">
        <v>540</v>
      </c>
      <c r="AC114" s="11">
        <v>558</v>
      </c>
      <c r="AD114" s="11">
        <v>579</v>
      </c>
      <c r="AE114" s="11">
        <v>604</v>
      </c>
      <c r="AF114" s="11">
        <v>631</v>
      </c>
      <c r="AG114" s="11">
        <v>659</v>
      </c>
      <c r="AH114" s="11">
        <v>690</v>
      </c>
      <c r="AI114" s="11">
        <v>720</v>
      </c>
      <c r="AJ114" s="11">
        <v>754</v>
      </c>
      <c r="AK114" s="11">
        <v>788</v>
      </c>
      <c r="AL114" s="11">
        <v>825</v>
      </c>
      <c r="AM114" s="11">
        <v>861</v>
      </c>
      <c r="AN114" s="11">
        <v>901</v>
      </c>
      <c r="AO114" s="11">
        <v>941</v>
      </c>
      <c r="AP114" s="11">
        <v>984</v>
      </c>
      <c r="AQ114" s="11">
        <v>1005</v>
      </c>
      <c r="AR114" s="11">
        <v>1048</v>
      </c>
      <c r="AS114" s="11">
        <v>1085</v>
      </c>
      <c r="AT114" s="11">
        <v>1110</v>
      </c>
      <c r="AU114" s="11">
        <v>1140</v>
      </c>
      <c r="AV114" s="11">
        <v>1159</v>
      </c>
      <c r="AY114" s="264">
        <v>375</v>
      </c>
      <c r="AZ114" s="264">
        <v>375</v>
      </c>
      <c r="BA114" s="7">
        <v>375</v>
      </c>
      <c r="BB114" s="7">
        <v>375</v>
      </c>
      <c r="BC114" s="7">
        <v>375</v>
      </c>
      <c r="BD114" s="7">
        <v>375</v>
      </c>
      <c r="BE114" s="7">
        <v>375</v>
      </c>
      <c r="BI114" s="21">
        <v>22801</v>
      </c>
    </row>
    <row r="115" spans="1:61" x14ac:dyDescent="0.25">
      <c r="A115" s="88" t="s">
        <v>248</v>
      </c>
      <c r="B115" s="7">
        <v>371</v>
      </c>
      <c r="C115" s="7">
        <v>363</v>
      </c>
      <c r="D115" s="7">
        <v>375</v>
      </c>
      <c r="E115" s="7">
        <v>386</v>
      </c>
      <c r="F115" s="7">
        <v>386</v>
      </c>
      <c r="G115" s="7">
        <v>386</v>
      </c>
      <c r="H115" s="7">
        <v>386</v>
      </c>
      <c r="I115" s="7">
        <v>388</v>
      </c>
      <c r="J115" s="7">
        <v>395</v>
      </c>
      <c r="K115" s="7">
        <v>405</v>
      </c>
      <c r="L115" s="7">
        <v>420</v>
      </c>
      <c r="M115" s="7">
        <v>432</v>
      </c>
      <c r="N115" s="7">
        <v>438</v>
      </c>
      <c r="O115" s="7">
        <v>448</v>
      </c>
      <c r="P115" s="7">
        <v>457</v>
      </c>
      <c r="Q115" s="7">
        <v>463</v>
      </c>
      <c r="R115" s="7">
        <v>469</v>
      </c>
      <c r="S115" s="7">
        <v>472</v>
      </c>
      <c r="T115" s="7">
        <v>475</v>
      </c>
      <c r="U115" s="7">
        <v>478</v>
      </c>
      <c r="V115" s="7">
        <v>481</v>
      </c>
      <c r="W115" s="7">
        <v>487</v>
      </c>
      <c r="X115" s="7">
        <v>494</v>
      </c>
      <c r="Y115" s="7">
        <v>503</v>
      </c>
      <c r="Z115" s="7">
        <v>512</v>
      </c>
      <c r="AA115" s="7">
        <v>524</v>
      </c>
      <c r="AB115" s="7">
        <v>540</v>
      </c>
      <c r="AC115" s="7">
        <v>558</v>
      </c>
      <c r="AD115" s="7">
        <v>579</v>
      </c>
      <c r="AE115" s="7">
        <v>603</v>
      </c>
      <c r="AF115" s="7">
        <v>631</v>
      </c>
      <c r="AG115" s="7">
        <v>659</v>
      </c>
      <c r="AH115" s="7">
        <v>690</v>
      </c>
      <c r="AI115" s="7">
        <v>720</v>
      </c>
      <c r="AJ115" s="7">
        <v>754</v>
      </c>
      <c r="AK115" s="7">
        <v>788</v>
      </c>
      <c r="AL115" s="7">
        <v>825</v>
      </c>
      <c r="AM115" s="7">
        <v>861</v>
      </c>
      <c r="AN115" s="7">
        <v>901</v>
      </c>
      <c r="AO115" s="7">
        <v>941</v>
      </c>
      <c r="AP115" s="7">
        <v>984</v>
      </c>
      <c r="AQ115" s="7">
        <v>1005</v>
      </c>
      <c r="AR115" s="7">
        <v>1048</v>
      </c>
      <c r="AS115" s="7">
        <v>1085</v>
      </c>
      <c r="AT115" s="7">
        <v>1110</v>
      </c>
      <c r="AU115" s="7">
        <v>1140</v>
      </c>
      <c r="AV115" s="7">
        <v>1159</v>
      </c>
      <c r="AW115" s="391"/>
      <c r="AX115" s="391"/>
      <c r="AY115" s="7">
        <v>375</v>
      </c>
      <c r="AZ115" s="290">
        <v>375</v>
      </c>
      <c r="BA115" s="7">
        <v>375</v>
      </c>
      <c r="BB115" s="7">
        <v>375</v>
      </c>
      <c r="BC115" s="7">
        <v>375</v>
      </c>
      <c r="BD115" s="7">
        <v>375</v>
      </c>
      <c r="BE115" s="7">
        <v>375</v>
      </c>
      <c r="BI115" s="21">
        <v>24260</v>
      </c>
    </row>
    <row r="116" spans="1:61" x14ac:dyDescent="0.25">
      <c r="A116" s="88" t="s">
        <v>249</v>
      </c>
      <c r="B116" s="7">
        <v>371</v>
      </c>
      <c r="C116" s="7">
        <v>363</v>
      </c>
      <c r="D116" s="7">
        <v>375</v>
      </c>
      <c r="E116" s="7">
        <v>386</v>
      </c>
      <c r="F116" s="7">
        <v>386</v>
      </c>
      <c r="G116" s="7">
        <v>386</v>
      </c>
      <c r="H116" s="7">
        <v>386</v>
      </c>
      <c r="I116" s="7">
        <v>388</v>
      </c>
      <c r="J116" s="7">
        <v>395</v>
      </c>
      <c r="K116" s="7">
        <v>405</v>
      </c>
      <c r="L116" s="7">
        <v>420</v>
      </c>
      <c r="M116" s="7">
        <v>432</v>
      </c>
      <c r="N116" s="7">
        <v>438</v>
      </c>
      <c r="O116" s="7">
        <v>448</v>
      </c>
      <c r="P116" s="7">
        <v>457</v>
      </c>
      <c r="Q116" s="7">
        <v>463</v>
      </c>
      <c r="R116" s="7">
        <v>469</v>
      </c>
      <c r="S116" s="7">
        <v>472</v>
      </c>
      <c r="T116" s="7">
        <v>475</v>
      </c>
      <c r="U116" s="7">
        <v>478</v>
      </c>
      <c r="V116" s="7">
        <v>481</v>
      </c>
      <c r="W116" s="7">
        <v>487</v>
      </c>
      <c r="X116" s="7">
        <v>494</v>
      </c>
      <c r="Y116" s="7">
        <v>503</v>
      </c>
      <c r="Z116" s="7">
        <v>512</v>
      </c>
      <c r="AA116" s="7">
        <v>524</v>
      </c>
      <c r="AB116" s="7">
        <v>540</v>
      </c>
      <c r="AC116" s="7">
        <v>558</v>
      </c>
      <c r="AD116" s="7">
        <v>579</v>
      </c>
      <c r="AE116" s="7">
        <v>603</v>
      </c>
      <c r="AF116" s="7">
        <v>631</v>
      </c>
      <c r="AG116" s="7">
        <v>659</v>
      </c>
      <c r="AH116" s="7">
        <v>690</v>
      </c>
      <c r="AI116" s="7">
        <v>720</v>
      </c>
      <c r="AJ116" s="7">
        <v>754</v>
      </c>
      <c r="AK116" s="7">
        <v>788</v>
      </c>
      <c r="AL116" s="7">
        <v>825</v>
      </c>
      <c r="AM116" s="7">
        <v>861</v>
      </c>
      <c r="AN116" s="7">
        <v>901</v>
      </c>
      <c r="AO116" s="7">
        <v>941</v>
      </c>
      <c r="AP116" s="7">
        <v>984</v>
      </c>
      <c r="AQ116" s="7">
        <v>1005</v>
      </c>
      <c r="AR116" s="7">
        <v>1048</v>
      </c>
      <c r="AS116" s="7">
        <v>1085</v>
      </c>
      <c r="AT116" s="7">
        <v>1110</v>
      </c>
      <c r="AU116" s="7">
        <v>1140</v>
      </c>
      <c r="AV116" s="7">
        <v>1159</v>
      </c>
      <c r="AW116" s="391"/>
      <c r="AX116" s="391"/>
      <c r="AY116" s="7">
        <v>375</v>
      </c>
      <c r="AZ116" s="290">
        <v>375</v>
      </c>
      <c r="BA116" s="7">
        <v>375</v>
      </c>
      <c r="BB116" s="7">
        <v>375</v>
      </c>
      <c r="BC116" s="7">
        <v>375</v>
      </c>
      <c r="BD116" s="7">
        <v>375</v>
      </c>
      <c r="BE116" s="7">
        <v>375</v>
      </c>
      <c r="BI116" s="21">
        <v>24153</v>
      </c>
    </row>
    <row r="117" spans="1:61" x14ac:dyDescent="0.25">
      <c r="A117" s="88" t="s">
        <v>250</v>
      </c>
      <c r="B117" s="7">
        <v>366</v>
      </c>
      <c r="C117" s="11">
        <v>358</v>
      </c>
      <c r="D117" s="11">
        <v>370</v>
      </c>
      <c r="E117" s="11">
        <v>381</v>
      </c>
      <c r="F117" s="11">
        <v>381</v>
      </c>
      <c r="G117" s="11">
        <v>381</v>
      </c>
      <c r="H117" s="11">
        <v>381</v>
      </c>
      <c r="I117" s="11">
        <v>382</v>
      </c>
      <c r="J117" s="11">
        <v>390</v>
      </c>
      <c r="K117" s="11">
        <v>399</v>
      </c>
      <c r="L117" s="11">
        <v>414</v>
      </c>
      <c r="M117" s="11">
        <v>426</v>
      </c>
      <c r="N117" s="11">
        <v>432</v>
      </c>
      <c r="O117" s="11">
        <v>441</v>
      </c>
      <c r="P117" s="11">
        <v>451</v>
      </c>
      <c r="Q117" s="11">
        <v>456</v>
      </c>
      <c r="R117" s="11">
        <v>462</v>
      </c>
      <c r="S117" s="11">
        <v>465</v>
      </c>
      <c r="T117" s="11">
        <v>469</v>
      </c>
      <c r="U117" s="11">
        <v>472</v>
      </c>
      <c r="V117" s="11">
        <v>475</v>
      </c>
      <c r="W117" s="11">
        <v>481</v>
      </c>
      <c r="X117" s="11">
        <v>487</v>
      </c>
      <c r="Y117" s="11">
        <v>496</v>
      </c>
      <c r="Z117" s="11">
        <v>505</v>
      </c>
      <c r="AA117" s="11">
        <v>517</v>
      </c>
      <c r="AB117" s="11">
        <v>532</v>
      </c>
      <c r="AC117" s="11">
        <v>550</v>
      </c>
      <c r="AD117" s="11">
        <v>571</v>
      </c>
      <c r="AE117" s="11">
        <v>595</v>
      </c>
      <c r="AF117" s="11">
        <v>623</v>
      </c>
      <c r="AG117" s="11">
        <v>650</v>
      </c>
      <c r="AH117" s="11">
        <v>680</v>
      </c>
      <c r="AI117" s="11">
        <v>710</v>
      </c>
      <c r="AJ117" s="11">
        <v>744</v>
      </c>
      <c r="AK117" s="11">
        <v>777</v>
      </c>
      <c r="AL117" s="11">
        <v>813</v>
      </c>
      <c r="AM117" s="11">
        <v>849</v>
      </c>
      <c r="AN117" s="11">
        <v>889</v>
      </c>
      <c r="AO117" s="11">
        <v>928</v>
      </c>
      <c r="AP117" s="11">
        <v>971</v>
      </c>
      <c r="AQ117" s="11">
        <v>992</v>
      </c>
      <c r="AR117" s="11">
        <v>1034</v>
      </c>
      <c r="AS117" s="11">
        <v>1070</v>
      </c>
      <c r="AT117" s="11">
        <v>1094</v>
      </c>
      <c r="AU117" s="11">
        <v>1124</v>
      </c>
      <c r="AV117" s="11">
        <v>1143</v>
      </c>
      <c r="AY117" s="264">
        <v>370</v>
      </c>
      <c r="AZ117" s="264">
        <v>370</v>
      </c>
      <c r="BA117" s="7">
        <v>370</v>
      </c>
      <c r="BB117" s="7">
        <v>370</v>
      </c>
      <c r="BC117" s="7">
        <v>370</v>
      </c>
      <c r="BD117" s="7">
        <v>370</v>
      </c>
      <c r="BE117" s="7">
        <v>370</v>
      </c>
      <c r="BI117" s="21">
        <v>24250</v>
      </c>
    </row>
    <row r="118" spans="1:61" x14ac:dyDescent="0.25">
      <c r="A118" s="26" t="s">
        <v>251</v>
      </c>
      <c r="B118" s="7">
        <v>370</v>
      </c>
      <c r="C118" s="390">
        <v>363</v>
      </c>
      <c r="D118" s="390">
        <v>375</v>
      </c>
      <c r="E118" s="11">
        <v>386</v>
      </c>
      <c r="F118" s="11">
        <v>386</v>
      </c>
      <c r="G118" s="11">
        <v>386</v>
      </c>
      <c r="H118" s="11">
        <v>386</v>
      </c>
      <c r="I118" s="11">
        <v>388</v>
      </c>
      <c r="J118" s="11">
        <v>395</v>
      </c>
      <c r="K118" s="11">
        <v>405</v>
      </c>
      <c r="L118" s="11">
        <v>420</v>
      </c>
      <c r="M118" s="11">
        <v>432</v>
      </c>
      <c r="N118" s="11">
        <v>438</v>
      </c>
      <c r="O118" s="11">
        <v>448</v>
      </c>
      <c r="P118" s="11">
        <v>457</v>
      </c>
      <c r="Q118" s="11">
        <v>463</v>
      </c>
      <c r="R118" s="11">
        <v>469</v>
      </c>
      <c r="S118" s="11">
        <v>472</v>
      </c>
      <c r="T118" s="11">
        <v>475</v>
      </c>
      <c r="U118" s="11">
        <v>478</v>
      </c>
      <c r="V118" s="11">
        <v>481</v>
      </c>
      <c r="W118" s="11">
        <v>487</v>
      </c>
      <c r="X118" s="11">
        <v>494</v>
      </c>
      <c r="Y118" s="11">
        <v>503</v>
      </c>
      <c r="Z118" s="11">
        <v>512</v>
      </c>
      <c r="AA118" s="11">
        <v>524</v>
      </c>
      <c r="AB118" s="11">
        <v>540</v>
      </c>
      <c r="AC118" s="11">
        <v>558</v>
      </c>
      <c r="AD118" s="11">
        <v>579</v>
      </c>
      <c r="AE118" s="11">
        <v>604</v>
      </c>
      <c r="AF118" s="11">
        <v>631</v>
      </c>
      <c r="AG118" s="11">
        <v>659</v>
      </c>
      <c r="AH118" s="11">
        <v>690</v>
      </c>
      <c r="AI118" s="11">
        <v>720</v>
      </c>
      <c r="AJ118" s="11">
        <v>754</v>
      </c>
      <c r="AK118" s="11">
        <v>788</v>
      </c>
      <c r="AL118" s="11">
        <v>825</v>
      </c>
      <c r="AM118" s="11">
        <v>861</v>
      </c>
      <c r="AN118" s="11">
        <v>901</v>
      </c>
      <c r="AO118" s="11">
        <v>941</v>
      </c>
      <c r="AP118" s="11">
        <v>984</v>
      </c>
      <c r="AQ118" s="11">
        <v>1005</v>
      </c>
      <c r="AR118" s="11">
        <v>1048</v>
      </c>
      <c r="AS118" s="11">
        <v>1085</v>
      </c>
      <c r="AT118" s="11">
        <v>1110</v>
      </c>
      <c r="AU118" s="11">
        <v>1140</v>
      </c>
      <c r="AV118" s="11">
        <v>1159</v>
      </c>
      <c r="AY118" s="264">
        <v>375</v>
      </c>
      <c r="AZ118" s="264">
        <v>375</v>
      </c>
      <c r="BA118" s="7">
        <v>375</v>
      </c>
      <c r="BB118" s="7">
        <v>375</v>
      </c>
      <c r="BC118" s="7">
        <v>375</v>
      </c>
      <c r="BD118" s="7">
        <v>375</v>
      </c>
      <c r="BE118" s="7">
        <v>375</v>
      </c>
      <c r="BI118" s="21">
        <v>22626</v>
      </c>
    </row>
    <row r="119" spans="1:61" x14ac:dyDescent="0.25">
      <c r="A119" s="88" t="s">
        <v>252</v>
      </c>
      <c r="B119" s="7">
        <v>371</v>
      </c>
      <c r="C119" s="7">
        <v>363</v>
      </c>
      <c r="D119" s="7">
        <v>375</v>
      </c>
      <c r="E119" s="7">
        <v>386</v>
      </c>
      <c r="F119" s="7">
        <v>386</v>
      </c>
      <c r="G119" s="7">
        <v>386</v>
      </c>
      <c r="H119" s="7">
        <v>386</v>
      </c>
      <c r="I119" s="7">
        <v>388</v>
      </c>
      <c r="J119" s="7">
        <v>395</v>
      </c>
      <c r="K119" s="7">
        <v>405</v>
      </c>
      <c r="L119" s="7">
        <v>420</v>
      </c>
      <c r="M119" s="7">
        <v>432</v>
      </c>
      <c r="N119" s="7">
        <v>438</v>
      </c>
      <c r="O119" s="7">
        <v>448</v>
      </c>
      <c r="P119" s="7">
        <v>457</v>
      </c>
      <c r="Q119" s="7">
        <v>463</v>
      </c>
      <c r="R119" s="7">
        <v>469</v>
      </c>
      <c r="S119" s="7">
        <v>472</v>
      </c>
      <c r="T119" s="7">
        <v>475</v>
      </c>
      <c r="U119" s="7">
        <v>478</v>
      </c>
      <c r="V119" s="7">
        <v>481</v>
      </c>
      <c r="W119" s="7">
        <v>487</v>
      </c>
      <c r="X119" s="7">
        <v>494</v>
      </c>
      <c r="Y119" s="7">
        <v>503</v>
      </c>
      <c r="Z119" s="7">
        <v>512</v>
      </c>
      <c r="AA119" s="7">
        <v>524</v>
      </c>
      <c r="AB119" s="7">
        <v>540</v>
      </c>
      <c r="AC119" s="7">
        <v>558</v>
      </c>
      <c r="AD119" s="7">
        <v>579</v>
      </c>
      <c r="AE119" s="7">
        <v>603</v>
      </c>
      <c r="AF119" s="7">
        <v>631</v>
      </c>
      <c r="AG119" s="7">
        <v>659</v>
      </c>
      <c r="AH119" s="7">
        <v>690</v>
      </c>
      <c r="AI119" s="7">
        <v>720</v>
      </c>
      <c r="AJ119" s="7">
        <v>754</v>
      </c>
      <c r="AK119" s="7">
        <v>788</v>
      </c>
      <c r="AL119" s="7">
        <v>825</v>
      </c>
      <c r="AM119" s="7">
        <v>861</v>
      </c>
      <c r="AN119" s="7">
        <v>901</v>
      </c>
      <c r="AO119" s="7">
        <v>941</v>
      </c>
      <c r="AP119" s="7">
        <v>984</v>
      </c>
      <c r="AQ119" s="7">
        <v>1005</v>
      </c>
      <c r="AR119" s="7">
        <v>1048</v>
      </c>
      <c r="AS119" s="7">
        <v>1085</v>
      </c>
      <c r="AT119" s="7">
        <v>1110</v>
      </c>
      <c r="AU119" s="7">
        <v>1140</v>
      </c>
      <c r="AV119" s="7">
        <v>1159</v>
      </c>
      <c r="AW119" s="391"/>
      <c r="AX119" s="391"/>
      <c r="AY119" s="7">
        <v>375</v>
      </c>
      <c r="AZ119" s="290">
        <v>375</v>
      </c>
      <c r="BA119" s="7">
        <v>375</v>
      </c>
      <c r="BB119" s="7">
        <v>375</v>
      </c>
      <c r="BC119" s="7">
        <v>375</v>
      </c>
      <c r="BD119" s="7">
        <v>375</v>
      </c>
      <c r="BE119" s="7">
        <v>375</v>
      </c>
      <c r="BI119" s="21">
        <v>24354</v>
      </c>
    </row>
    <row r="120" spans="1:61" x14ac:dyDescent="0.25">
      <c r="A120" s="88" t="s">
        <v>253</v>
      </c>
      <c r="B120" s="7">
        <v>370</v>
      </c>
      <c r="C120" s="390">
        <v>363</v>
      </c>
      <c r="D120" s="390">
        <v>375</v>
      </c>
      <c r="E120" s="11">
        <v>386</v>
      </c>
      <c r="F120" s="11">
        <v>386</v>
      </c>
      <c r="G120" s="11">
        <v>386</v>
      </c>
      <c r="H120" s="11">
        <v>386</v>
      </c>
      <c r="I120" s="11">
        <v>388</v>
      </c>
      <c r="J120" s="11">
        <v>395</v>
      </c>
      <c r="K120" s="11">
        <v>405</v>
      </c>
      <c r="L120" s="11">
        <v>420</v>
      </c>
      <c r="M120" s="11">
        <v>432</v>
      </c>
      <c r="N120" s="11">
        <v>438</v>
      </c>
      <c r="O120" s="11">
        <v>448</v>
      </c>
      <c r="P120" s="11">
        <v>457</v>
      </c>
      <c r="Q120" s="11">
        <v>463</v>
      </c>
      <c r="R120" s="11">
        <v>469</v>
      </c>
      <c r="S120" s="11">
        <v>472</v>
      </c>
      <c r="T120" s="11">
        <v>475</v>
      </c>
      <c r="U120" s="11">
        <v>478</v>
      </c>
      <c r="V120" s="11">
        <v>481</v>
      </c>
      <c r="W120" s="11">
        <v>487</v>
      </c>
      <c r="X120" s="11">
        <v>494</v>
      </c>
      <c r="Y120" s="11">
        <v>503</v>
      </c>
      <c r="Z120" s="11">
        <v>512</v>
      </c>
      <c r="AA120" s="11">
        <v>524</v>
      </c>
      <c r="AB120" s="11">
        <v>540</v>
      </c>
      <c r="AC120" s="11">
        <v>558</v>
      </c>
      <c r="AD120" s="11">
        <v>579</v>
      </c>
      <c r="AE120" s="11">
        <v>604</v>
      </c>
      <c r="AF120" s="11">
        <v>631</v>
      </c>
      <c r="AG120" s="11">
        <v>659</v>
      </c>
      <c r="AH120" s="11">
        <v>690</v>
      </c>
      <c r="AI120" s="11">
        <v>720</v>
      </c>
      <c r="AJ120" s="11">
        <v>754</v>
      </c>
      <c r="AK120" s="11">
        <v>788</v>
      </c>
      <c r="AL120" s="11">
        <v>825</v>
      </c>
      <c r="AM120" s="11">
        <v>861</v>
      </c>
      <c r="AN120" s="11">
        <v>901</v>
      </c>
      <c r="AO120" s="11">
        <v>941</v>
      </c>
      <c r="AP120" s="11">
        <v>984</v>
      </c>
      <c r="AQ120" s="11">
        <v>1005</v>
      </c>
      <c r="AR120" s="11">
        <v>1048</v>
      </c>
      <c r="AS120" s="11">
        <v>1085</v>
      </c>
      <c r="AT120" s="11">
        <v>1110</v>
      </c>
      <c r="AU120" s="11">
        <v>1140</v>
      </c>
      <c r="AV120" s="11">
        <v>1159</v>
      </c>
      <c r="AY120" s="264">
        <v>375</v>
      </c>
      <c r="AZ120" s="264">
        <v>375</v>
      </c>
      <c r="BA120" s="7">
        <v>375</v>
      </c>
      <c r="BB120" s="7">
        <v>375</v>
      </c>
      <c r="BC120" s="7">
        <v>375</v>
      </c>
      <c r="BD120" s="7">
        <v>375</v>
      </c>
      <c r="BE120" s="7">
        <v>375</v>
      </c>
      <c r="BI120" s="21">
        <v>23851</v>
      </c>
    </row>
    <row r="121" spans="1:61" x14ac:dyDescent="0.25">
      <c r="A121" s="26" t="s">
        <v>254</v>
      </c>
      <c r="B121" s="7">
        <v>338</v>
      </c>
      <c r="C121" s="7">
        <v>332</v>
      </c>
      <c r="D121" s="7">
        <v>342</v>
      </c>
      <c r="E121" s="7">
        <v>352</v>
      </c>
      <c r="F121" s="7">
        <v>352</v>
      </c>
      <c r="G121" s="7">
        <v>352</v>
      </c>
      <c r="H121" s="7">
        <v>352</v>
      </c>
      <c r="I121" s="7">
        <v>354</v>
      </c>
      <c r="J121" s="7">
        <v>361</v>
      </c>
      <c r="K121" s="7">
        <v>369</v>
      </c>
      <c r="L121" s="7">
        <v>383</v>
      </c>
      <c r="M121" s="7">
        <v>394</v>
      </c>
      <c r="N121" s="7">
        <v>400</v>
      </c>
      <c r="O121" s="7">
        <v>409</v>
      </c>
      <c r="P121" s="7">
        <v>417</v>
      </c>
      <c r="Q121" s="7">
        <v>422</v>
      </c>
      <c r="R121" s="7">
        <v>428</v>
      </c>
      <c r="S121" s="7">
        <v>431</v>
      </c>
      <c r="T121" s="7">
        <v>434</v>
      </c>
      <c r="U121" s="7">
        <v>436</v>
      </c>
      <c r="V121" s="7">
        <v>439</v>
      </c>
      <c r="W121" s="7">
        <v>445</v>
      </c>
      <c r="X121" s="7">
        <v>450</v>
      </c>
      <c r="Y121" s="7">
        <v>459</v>
      </c>
      <c r="Z121" s="7">
        <v>467</v>
      </c>
      <c r="AA121" s="7">
        <v>478</v>
      </c>
      <c r="AB121" s="7">
        <v>492</v>
      </c>
      <c r="AC121" s="7">
        <v>509</v>
      </c>
      <c r="AD121" s="7">
        <v>529</v>
      </c>
      <c r="AE121" s="7">
        <v>551</v>
      </c>
      <c r="AF121" s="7">
        <v>576</v>
      </c>
      <c r="AG121" s="7">
        <v>601</v>
      </c>
      <c r="AH121" s="7">
        <v>629</v>
      </c>
      <c r="AI121" s="7">
        <v>657</v>
      </c>
      <c r="AJ121" s="7">
        <v>688</v>
      </c>
      <c r="AK121" s="7">
        <v>719</v>
      </c>
      <c r="AL121" s="7">
        <v>753</v>
      </c>
      <c r="AM121" s="7">
        <v>786</v>
      </c>
      <c r="AN121" s="7">
        <v>822</v>
      </c>
      <c r="AO121" s="7">
        <v>859</v>
      </c>
      <c r="AP121" s="7">
        <v>898</v>
      </c>
      <c r="AQ121" s="7">
        <v>917</v>
      </c>
      <c r="AR121" s="7">
        <v>957</v>
      </c>
      <c r="AS121" s="7">
        <v>990</v>
      </c>
      <c r="AT121" s="7">
        <v>1013</v>
      </c>
      <c r="AU121" s="7">
        <v>1040</v>
      </c>
      <c r="AV121" s="7">
        <v>1057</v>
      </c>
      <c r="AW121" s="391"/>
      <c r="AX121" s="391"/>
      <c r="AY121" s="264">
        <v>342</v>
      </c>
      <c r="AZ121" s="264">
        <v>342</v>
      </c>
      <c r="BA121" s="7">
        <v>342</v>
      </c>
      <c r="BB121" s="7">
        <v>342</v>
      </c>
      <c r="BC121" s="7">
        <v>339</v>
      </c>
      <c r="BD121" s="7">
        <v>342</v>
      </c>
      <c r="BE121" s="7">
        <v>342</v>
      </c>
      <c r="BI121" s="21">
        <v>22551</v>
      </c>
    </row>
    <row r="122" spans="1:61" x14ac:dyDescent="0.25">
      <c r="A122" s="26" t="s">
        <v>255</v>
      </c>
      <c r="B122" s="7">
        <v>338</v>
      </c>
      <c r="C122" s="7">
        <v>332</v>
      </c>
      <c r="D122" s="7">
        <v>342</v>
      </c>
      <c r="E122" s="7">
        <v>352</v>
      </c>
      <c r="F122" s="7">
        <v>352</v>
      </c>
      <c r="G122" s="7">
        <v>352</v>
      </c>
      <c r="H122" s="7">
        <v>352</v>
      </c>
      <c r="I122" s="7">
        <v>354</v>
      </c>
      <c r="J122" s="7">
        <v>361</v>
      </c>
      <c r="K122" s="7">
        <v>369</v>
      </c>
      <c r="L122" s="7">
        <v>383</v>
      </c>
      <c r="M122" s="7">
        <v>394</v>
      </c>
      <c r="N122" s="7">
        <v>400</v>
      </c>
      <c r="O122" s="7">
        <v>409</v>
      </c>
      <c r="P122" s="7">
        <v>417</v>
      </c>
      <c r="Q122" s="7">
        <v>422</v>
      </c>
      <c r="R122" s="7">
        <v>428</v>
      </c>
      <c r="S122" s="7">
        <v>431</v>
      </c>
      <c r="T122" s="7">
        <v>434</v>
      </c>
      <c r="U122" s="7">
        <v>436</v>
      </c>
      <c r="V122" s="7">
        <v>439</v>
      </c>
      <c r="W122" s="7">
        <v>445</v>
      </c>
      <c r="X122" s="7">
        <v>450</v>
      </c>
      <c r="Y122" s="7">
        <v>459</v>
      </c>
      <c r="Z122" s="7">
        <v>467</v>
      </c>
      <c r="AA122" s="7">
        <v>478</v>
      </c>
      <c r="AB122" s="7">
        <v>492</v>
      </c>
      <c r="AC122" s="7">
        <v>509</v>
      </c>
      <c r="AD122" s="7">
        <v>529</v>
      </c>
      <c r="AE122" s="7">
        <v>551</v>
      </c>
      <c r="AF122" s="7">
        <v>576</v>
      </c>
      <c r="AG122" s="7">
        <v>601</v>
      </c>
      <c r="AH122" s="7">
        <v>629</v>
      </c>
      <c r="AI122" s="7">
        <v>657</v>
      </c>
      <c r="AJ122" s="7">
        <v>688</v>
      </c>
      <c r="AK122" s="7">
        <v>719</v>
      </c>
      <c r="AL122" s="7">
        <v>753</v>
      </c>
      <c r="AM122" s="7">
        <v>786</v>
      </c>
      <c r="AN122" s="7">
        <v>822</v>
      </c>
      <c r="AO122" s="7">
        <v>859</v>
      </c>
      <c r="AP122" s="7">
        <v>898</v>
      </c>
      <c r="AQ122" s="7">
        <v>917</v>
      </c>
      <c r="AR122" s="7">
        <v>957</v>
      </c>
      <c r="AS122" s="7">
        <v>990</v>
      </c>
      <c r="AT122" s="7">
        <v>1013</v>
      </c>
      <c r="AU122" s="7">
        <v>1040</v>
      </c>
      <c r="AV122" s="7">
        <v>1057</v>
      </c>
      <c r="AW122" s="391"/>
      <c r="AX122" s="391"/>
      <c r="AY122" s="264">
        <v>342</v>
      </c>
      <c r="AZ122" s="264">
        <v>342</v>
      </c>
      <c r="BA122" s="7">
        <v>342</v>
      </c>
      <c r="BB122" s="7">
        <v>342</v>
      </c>
      <c r="BC122" s="7">
        <v>339</v>
      </c>
      <c r="BD122" s="7">
        <v>342</v>
      </c>
      <c r="BE122" s="7">
        <v>342</v>
      </c>
      <c r="BI122" s="21">
        <v>22554</v>
      </c>
    </row>
    <row r="123" spans="1:61" x14ac:dyDescent="0.25">
      <c r="A123" s="88" t="s">
        <v>256</v>
      </c>
      <c r="B123" s="7">
        <v>370</v>
      </c>
      <c r="C123" s="390">
        <v>363</v>
      </c>
      <c r="D123" s="390">
        <v>375</v>
      </c>
      <c r="E123" s="11">
        <v>386</v>
      </c>
      <c r="F123" s="11">
        <v>386</v>
      </c>
      <c r="G123" s="11">
        <v>386</v>
      </c>
      <c r="H123" s="11">
        <v>386</v>
      </c>
      <c r="I123" s="11">
        <v>388</v>
      </c>
      <c r="J123" s="11">
        <v>395</v>
      </c>
      <c r="K123" s="11">
        <v>405</v>
      </c>
      <c r="L123" s="11">
        <v>420</v>
      </c>
      <c r="M123" s="11">
        <v>432</v>
      </c>
      <c r="N123" s="11">
        <v>438</v>
      </c>
      <c r="O123" s="11">
        <v>448</v>
      </c>
      <c r="P123" s="11">
        <v>457</v>
      </c>
      <c r="Q123" s="11">
        <v>463</v>
      </c>
      <c r="R123" s="11">
        <v>469</v>
      </c>
      <c r="S123" s="11">
        <v>472</v>
      </c>
      <c r="T123" s="11">
        <v>475</v>
      </c>
      <c r="U123" s="11">
        <v>478</v>
      </c>
      <c r="V123" s="11">
        <v>481</v>
      </c>
      <c r="W123" s="11">
        <v>487</v>
      </c>
      <c r="X123" s="11">
        <v>494</v>
      </c>
      <c r="Y123" s="11">
        <v>503</v>
      </c>
      <c r="Z123" s="11">
        <v>512</v>
      </c>
      <c r="AA123" s="11">
        <v>524</v>
      </c>
      <c r="AB123" s="11">
        <v>540</v>
      </c>
      <c r="AC123" s="11">
        <v>558</v>
      </c>
      <c r="AD123" s="11">
        <v>579</v>
      </c>
      <c r="AE123" s="11">
        <v>604</v>
      </c>
      <c r="AF123" s="11">
        <v>631</v>
      </c>
      <c r="AG123" s="11">
        <v>659</v>
      </c>
      <c r="AH123" s="11">
        <v>690</v>
      </c>
      <c r="AI123" s="11">
        <v>720</v>
      </c>
      <c r="AJ123" s="11">
        <v>754</v>
      </c>
      <c r="AK123" s="11">
        <v>788</v>
      </c>
      <c r="AL123" s="11">
        <v>825</v>
      </c>
      <c r="AM123" s="11">
        <v>861</v>
      </c>
      <c r="AN123" s="11">
        <v>901</v>
      </c>
      <c r="AO123" s="11">
        <v>941</v>
      </c>
      <c r="AP123" s="11">
        <v>984</v>
      </c>
      <c r="AQ123" s="11">
        <v>1005</v>
      </c>
      <c r="AR123" s="11">
        <v>1048</v>
      </c>
      <c r="AS123" s="11">
        <v>1085</v>
      </c>
      <c r="AT123" s="11">
        <v>1110</v>
      </c>
      <c r="AU123" s="11">
        <v>1140</v>
      </c>
      <c r="AV123" s="11">
        <v>1159</v>
      </c>
      <c r="AY123" s="264">
        <v>375</v>
      </c>
      <c r="AZ123" s="264">
        <v>375</v>
      </c>
      <c r="BA123" s="7">
        <v>375</v>
      </c>
      <c r="BB123" s="7">
        <v>375</v>
      </c>
      <c r="BC123" s="7">
        <v>375</v>
      </c>
      <c r="BD123" s="7">
        <v>375</v>
      </c>
      <c r="BE123" s="7">
        <v>375</v>
      </c>
      <c r="BI123" s="21">
        <v>24401</v>
      </c>
    </row>
    <row r="124" spans="1:61" x14ac:dyDescent="0.25">
      <c r="A124" s="26" t="s">
        <v>257</v>
      </c>
      <c r="B124" s="7">
        <v>337</v>
      </c>
      <c r="C124" s="7">
        <v>331</v>
      </c>
      <c r="D124" s="7">
        <v>341</v>
      </c>
      <c r="E124" s="7">
        <v>351</v>
      </c>
      <c r="F124" s="7">
        <v>351</v>
      </c>
      <c r="G124" s="7">
        <v>351</v>
      </c>
      <c r="H124" s="7">
        <v>351</v>
      </c>
      <c r="I124" s="7">
        <v>353</v>
      </c>
      <c r="J124" s="7">
        <v>360</v>
      </c>
      <c r="K124" s="7">
        <v>368</v>
      </c>
      <c r="L124" s="7">
        <v>382</v>
      </c>
      <c r="M124" s="7">
        <v>393</v>
      </c>
      <c r="N124" s="7">
        <v>399</v>
      </c>
      <c r="O124" s="7">
        <v>407</v>
      </c>
      <c r="P124" s="7">
        <v>416</v>
      </c>
      <c r="Q124" s="7">
        <v>421</v>
      </c>
      <c r="R124" s="7">
        <v>427</v>
      </c>
      <c r="S124" s="7">
        <v>429</v>
      </c>
      <c r="T124" s="7">
        <v>432</v>
      </c>
      <c r="U124" s="7">
        <v>435</v>
      </c>
      <c r="V124" s="7">
        <v>438</v>
      </c>
      <c r="W124" s="7">
        <v>443</v>
      </c>
      <c r="X124" s="7">
        <v>449</v>
      </c>
      <c r="Y124" s="7">
        <v>458</v>
      </c>
      <c r="Z124" s="7">
        <v>466</v>
      </c>
      <c r="AA124" s="7">
        <v>477</v>
      </c>
      <c r="AB124" s="7">
        <v>491</v>
      </c>
      <c r="AC124" s="7">
        <v>507</v>
      </c>
      <c r="AD124" s="7">
        <v>527</v>
      </c>
      <c r="AE124" s="7">
        <v>549</v>
      </c>
      <c r="AF124" s="7">
        <v>575</v>
      </c>
      <c r="AG124" s="7">
        <v>600</v>
      </c>
      <c r="AH124" s="7">
        <v>628</v>
      </c>
      <c r="AI124" s="7">
        <v>655</v>
      </c>
      <c r="AJ124" s="7">
        <v>686</v>
      </c>
      <c r="AK124" s="7">
        <v>717</v>
      </c>
      <c r="AL124" s="7">
        <v>750</v>
      </c>
      <c r="AM124" s="7">
        <v>784</v>
      </c>
      <c r="AN124" s="7">
        <v>820</v>
      </c>
      <c r="AO124" s="7">
        <v>856</v>
      </c>
      <c r="AP124" s="7">
        <v>895</v>
      </c>
      <c r="AQ124" s="7">
        <v>915</v>
      </c>
      <c r="AR124" s="7">
        <v>954</v>
      </c>
      <c r="AS124" s="7">
        <v>987</v>
      </c>
      <c r="AT124" s="7">
        <v>1010</v>
      </c>
      <c r="AU124" s="7">
        <v>1037</v>
      </c>
      <c r="AV124" s="7">
        <v>1054</v>
      </c>
      <c r="AY124" s="264">
        <v>341</v>
      </c>
      <c r="AZ124" s="264">
        <v>341</v>
      </c>
      <c r="BA124" s="7">
        <v>341</v>
      </c>
      <c r="BB124" s="7">
        <v>341</v>
      </c>
      <c r="BC124" s="7">
        <v>341</v>
      </c>
      <c r="BD124" s="7">
        <v>341</v>
      </c>
      <c r="BE124" s="7">
        <v>341</v>
      </c>
      <c r="BI124" s="21">
        <v>23433</v>
      </c>
    </row>
    <row r="125" spans="1:61" x14ac:dyDescent="0.25">
      <c r="A125" s="88" t="s">
        <v>258</v>
      </c>
      <c r="B125" s="7">
        <v>338</v>
      </c>
      <c r="C125" s="7">
        <v>332</v>
      </c>
      <c r="D125" s="7">
        <v>342</v>
      </c>
      <c r="E125" s="7">
        <v>352</v>
      </c>
      <c r="F125" s="7">
        <v>352</v>
      </c>
      <c r="G125" s="7">
        <v>352</v>
      </c>
      <c r="H125" s="7">
        <v>352</v>
      </c>
      <c r="I125" s="7">
        <v>354</v>
      </c>
      <c r="J125" s="7">
        <v>361</v>
      </c>
      <c r="K125" s="7">
        <v>369</v>
      </c>
      <c r="L125" s="7">
        <v>383</v>
      </c>
      <c r="M125" s="7">
        <v>394</v>
      </c>
      <c r="N125" s="7">
        <v>400</v>
      </c>
      <c r="O125" s="7">
        <v>409</v>
      </c>
      <c r="P125" s="7">
        <v>417</v>
      </c>
      <c r="Q125" s="7">
        <v>422</v>
      </c>
      <c r="R125" s="7">
        <v>428</v>
      </c>
      <c r="S125" s="7">
        <v>431</v>
      </c>
      <c r="T125" s="7">
        <v>434</v>
      </c>
      <c r="U125" s="7">
        <v>436</v>
      </c>
      <c r="V125" s="7">
        <v>439</v>
      </c>
      <c r="W125" s="7">
        <v>445</v>
      </c>
      <c r="X125" s="7">
        <v>450</v>
      </c>
      <c r="Y125" s="7">
        <v>459</v>
      </c>
      <c r="Z125" s="7">
        <v>467</v>
      </c>
      <c r="AA125" s="7">
        <v>478</v>
      </c>
      <c r="AB125" s="7">
        <v>492</v>
      </c>
      <c r="AC125" s="7">
        <v>509</v>
      </c>
      <c r="AD125" s="7">
        <v>529</v>
      </c>
      <c r="AE125" s="7">
        <v>551</v>
      </c>
      <c r="AF125" s="7">
        <v>576</v>
      </c>
      <c r="AG125" s="7">
        <v>601</v>
      </c>
      <c r="AH125" s="7">
        <v>629</v>
      </c>
      <c r="AI125" s="7">
        <v>657</v>
      </c>
      <c r="AJ125" s="7">
        <v>688</v>
      </c>
      <c r="AK125" s="7">
        <v>719</v>
      </c>
      <c r="AL125" s="7">
        <v>753</v>
      </c>
      <c r="AM125" s="7">
        <v>786</v>
      </c>
      <c r="AN125" s="7">
        <v>822</v>
      </c>
      <c r="AO125" s="7">
        <v>859</v>
      </c>
      <c r="AP125" s="7">
        <v>898</v>
      </c>
      <c r="AQ125" s="7">
        <v>917</v>
      </c>
      <c r="AR125" s="7">
        <v>957</v>
      </c>
      <c r="AS125" s="7">
        <v>990</v>
      </c>
      <c r="AT125" s="7">
        <v>1013</v>
      </c>
      <c r="AU125" s="7">
        <v>1040</v>
      </c>
      <c r="AV125" s="7">
        <v>1057</v>
      </c>
      <c r="AW125" s="391"/>
      <c r="AX125" s="391"/>
      <c r="AY125" s="264">
        <v>342</v>
      </c>
      <c r="AZ125" s="264">
        <v>342</v>
      </c>
      <c r="BA125" s="7">
        <v>342</v>
      </c>
      <c r="BB125" s="7">
        <v>342</v>
      </c>
      <c r="BC125" s="7">
        <v>339</v>
      </c>
      <c r="BD125" s="7">
        <v>342</v>
      </c>
      <c r="BE125" s="7">
        <v>342</v>
      </c>
      <c r="BI125" s="21">
        <v>23883</v>
      </c>
    </row>
    <row r="126" spans="1:61" x14ac:dyDescent="0.25">
      <c r="A126" s="88" t="s">
        <v>259</v>
      </c>
      <c r="B126" s="7">
        <v>331</v>
      </c>
      <c r="C126" s="11">
        <v>323</v>
      </c>
      <c r="D126" s="11">
        <v>333</v>
      </c>
      <c r="E126" s="11">
        <v>344</v>
      </c>
      <c r="F126" s="11">
        <v>344</v>
      </c>
      <c r="G126" s="11">
        <v>344</v>
      </c>
      <c r="H126" s="11">
        <v>344</v>
      </c>
      <c r="I126" s="11">
        <v>345</v>
      </c>
      <c r="J126" s="11">
        <v>352</v>
      </c>
      <c r="K126" s="11">
        <v>360</v>
      </c>
      <c r="L126" s="11">
        <v>374</v>
      </c>
      <c r="M126" s="11">
        <v>385</v>
      </c>
      <c r="N126" s="11">
        <v>390</v>
      </c>
      <c r="O126" s="11">
        <v>398</v>
      </c>
      <c r="P126" s="11">
        <v>407</v>
      </c>
      <c r="Q126" s="11">
        <v>412</v>
      </c>
      <c r="R126" s="11">
        <v>417</v>
      </c>
      <c r="S126" s="11">
        <v>420</v>
      </c>
      <c r="T126" s="11">
        <v>423</v>
      </c>
      <c r="U126" s="11">
        <v>425</v>
      </c>
      <c r="V126" s="11">
        <v>428</v>
      </c>
      <c r="W126" s="11">
        <v>434</v>
      </c>
      <c r="X126" s="11">
        <v>439</v>
      </c>
      <c r="Y126" s="11">
        <v>447</v>
      </c>
      <c r="Z126" s="11">
        <v>455</v>
      </c>
      <c r="AA126" s="11">
        <v>466</v>
      </c>
      <c r="AB126" s="11">
        <v>480</v>
      </c>
      <c r="AC126" s="11">
        <v>496</v>
      </c>
      <c r="AD126" s="11">
        <v>516</v>
      </c>
      <c r="AE126" s="11">
        <v>537</v>
      </c>
      <c r="AF126" s="11">
        <v>562</v>
      </c>
      <c r="AG126" s="11">
        <v>586</v>
      </c>
      <c r="AH126" s="11">
        <v>614</v>
      </c>
      <c r="AI126" s="11">
        <v>641</v>
      </c>
      <c r="AJ126" s="11">
        <v>671</v>
      </c>
      <c r="AK126" s="11">
        <v>701</v>
      </c>
      <c r="AL126" s="11">
        <v>734</v>
      </c>
      <c r="AM126" s="11">
        <v>766</v>
      </c>
      <c r="AN126" s="11">
        <v>802</v>
      </c>
      <c r="AO126" s="11">
        <v>838</v>
      </c>
      <c r="AP126" s="11">
        <v>876</v>
      </c>
      <c r="AQ126" s="11">
        <v>895</v>
      </c>
      <c r="AR126" s="11">
        <v>933</v>
      </c>
      <c r="AS126" s="11">
        <v>966</v>
      </c>
      <c r="AT126" s="11">
        <v>987</v>
      </c>
      <c r="AU126" s="11">
        <v>1015</v>
      </c>
      <c r="AV126" s="11">
        <v>1031</v>
      </c>
      <c r="AW126" s="391"/>
      <c r="AX126" s="391"/>
      <c r="AY126" s="264">
        <v>333</v>
      </c>
      <c r="AZ126" s="264">
        <v>333</v>
      </c>
      <c r="BA126" s="7">
        <v>333</v>
      </c>
      <c r="BB126" s="7">
        <v>333</v>
      </c>
      <c r="BC126" s="7">
        <v>333</v>
      </c>
      <c r="BD126" s="7">
        <v>333</v>
      </c>
      <c r="BE126" s="7">
        <v>333</v>
      </c>
      <c r="BI126" s="21">
        <v>23875</v>
      </c>
    </row>
    <row r="127" spans="1:61" x14ac:dyDescent="0.25">
      <c r="A127" s="88" t="s">
        <v>260</v>
      </c>
      <c r="B127" s="7">
        <v>371</v>
      </c>
      <c r="C127" s="7">
        <v>363</v>
      </c>
      <c r="D127" s="7">
        <v>375</v>
      </c>
      <c r="E127" s="7">
        <v>386</v>
      </c>
      <c r="F127" s="7">
        <v>386</v>
      </c>
      <c r="G127" s="7">
        <v>386</v>
      </c>
      <c r="H127" s="7">
        <v>386</v>
      </c>
      <c r="I127" s="7">
        <v>388</v>
      </c>
      <c r="J127" s="7">
        <v>395</v>
      </c>
      <c r="K127" s="7">
        <v>405</v>
      </c>
      <c r="L127" s="7">
        <v>420</v>
      </c>
      <c r="M127" s="7">
        <v>432</v>
      </c>
      <c r="N127" s="7">
        <v>438</v>
      </c>
      <c r="O127" s="7">
        <v>448</v>
      </c>
      <c r="P127" s="7">
        <v>457</v>
      </c>
      <c r="Q127" s="7">
        <v>463</v>
      </c>
      <c r="R127" s="7">
        <v>469</v>
      </c>
      <c r="S127" s="7">
        <v>472</v>
      </c>
      <c r="T127" s="7">
        <v>475</v>
      </c>
      <c r="U127" s="7">
        <v>478</v>
      </c>
      <c r="V127" s="7">
        <v>481</v>
      </c>
      <c r="W127" s="7">
        <v>487</v>
      </c>
      <c r="X127" s="7">
        <v>494</v>
      </c>
      <c r="Y127" s="7">
        <v>503</v>
      </c>
      <c r="Z127" s="7">
        <v>512</v>
      </c>
      <c r="AA127" s="7">
        <v>524</v>
      </c>
      <c r="AB127" s="7">
        <v>540</v>
      </c>
      <c r="AC127" s="7">
        <v>558</v>
      </c>
      <c r="AD127" s="7">
        <v>579</v>
      </c>
      <c r="AE127" s="7">
        <v>603</v>
      </c>
      <c r="AF127" s="7">
        <v>631</v>
      </c>
      <c r="AG127" s="7">
        <v>659</v>
      </c>
      <c r="AH127" s="7">
        <v>690</v>
      </c>
      <c r="AI127" s="7">
        <v>720</v>
      </c>
      <c r="AJ127" s="7">
        <v>754</v>
      </c>
      <c r="AK127" s="7">
        <v>788</v>
      </c>
      <c r="AL127" s="7">
        <v>825</v>
      </c>
      <c r="AM127" s="7">
        <v>861</v>
      </c>
      <c r="AN127" s="7">
        <v>901</v>
      </c>
      <c r="AO127" s="7">
        <v>941</v>
      </c>
      <c r="AP127" s="7">
        <v>984</v>
      </c>
      <c r="AQ127" s="7">
        <v>1005</v>
      </c>
      <c r="AR127" s="7">
        <v>1048</v>
      </c>
      <c r="AS127" s="7">
        <v>1085</v>
      </c>
      <c r="AT127" s="7">
        <v>1110</v>
      </c>
      <c r="AU127" s="7">
        <v>1140</v>
      </c>
      <c r="AV127" s="7">
        <v>1159</v>
      </c>
      <c r="AW127" s="391"/>
      <c r="AX127" s="391"/>
      <c r="AY127" s="7">
        <v>375</v>
      </c>
      <c r="AZ127" s="290">
        <v>375</v>
      </c>
      <c r="BA127" s="7">
        <v>375</v>
      </c>
      <c r="BB127" s="7">
        <v>375</v>
      </c>
      <c r="BC127" s="7">
        <v>375</v>
      </c>
      <c r="BD127" s="7">
        <v>375</v>
      </c>
      <c r="BE127" s="7">
        <v>375</v>
      </c>
      <c r="BI127" s="21">
        <v>24630</v>
      </c>
    </row>
    <row r="128" spans="1:61" x14ac:dyDescent="0.25">
      <c r="A128" s="88" t="s">
        <v>261</v>
      </c>
      <c r="B128" s="7">
        <v>337</v>
      </c>
      <c r="C128" s="7">
        <v>331</v>
      </c>
      <c r="D128" s="7">
        <v>341</v>
      </c>
      <c r="E128" s="7">
        <v>351</v>
      </c>
      <c r="F128" s="7">
        <v>351</v>
      </c>
      <c r="G128" s="7">
        <v>351</v>
      </c>
      <c r="H128" s="7">
        <v>351</v>
      </c>
      <c r="I128" s="7">
        <v>353</v>
      </c>
      <c r="J128" s="7">
        <v>360</v>
      </c>
      <c r="K128" s="7">
        <v>368</v>
      </c>
      <c r="L128" s="7">
        <v>382</v>
      </c>
      <c r="M128" s="7">
        <v>393</v>
      </c>
      <c r="N128" s="7">
        <v>399</v>
      </c>
      <c r="O128" s="7">
        <v>407</v>
      </c>
      <c r="P128" s="7">
        <v>416</v>
      </c>
      <c r="Q128" s="7">
        <v>421</v>
      </c>
      <c r="R128" s="7">
        <v>427</v>
      </c>
      <c r="S128" s="7">
        <v>429</v>
      </c>
      <c r="T128" s="7">
        <v>432</v>
      </c>
      <c r="U128" s="7">
        <v>435</v>
      </c>
      <c r="V128" s="7">
        <v>438</v>
      </c>
      <c r="W128" s="7">
        <v>443</v>
      </c>
      <c r="X128" s="7">
        <v>449</v>
      </c>
      <c r="Y128" s="7">
        <v>458</v>
      </c>
      <c r="Z128" s="7">
        <v>466</v>
      </c>
      <c r="AA128" s="7">
        <v>477</v>
      </c>
      <c r="AB128" s="7">
        <v>491</v>
      </c>
      <c r="AC128" s="7">
        <v>507</v>
      </c>
      <c r="AD128" s="7">
        <v>527</v>
      </c>
      <c r="AE128" s="7">
        <v>549</v>
      </c>
      <c r="AF128" s="7">
        <v>575</v>
      </c>
      <c r="AG128" s="7">
        <v>600</v>
      </c>
      <c r="AH128" s="7">
        <v>628</v>
      </c>
      <c r="AI128" s="7">
        <v>655</v>
      </c>
      <c r="AJ128" s="7">
        <v>686</v>
      </c>
      <c r="AK128" s="7">
        <v>717</v>
      </c>
      <c r="AL128" s="7">
        <v>750</v>
      </c>
      <c r="AM128" s="7">
        <v>784</v>
      </c>
      <c r="AN128" s="7">
        <v>820</v>
      </c>
      <c r="AO128" s="7">
        <v>856</v>
      </c>
      <c r="AP128" s="7">
        <v>895</v>
      </c>
      <c r="AQ128" s="7">
        <v>915</v>
      </c>
      <c r="AR128" s="7">
        <v>954</v>
      </c>
      <c r="AS128" s="7">
        <v>987</v>
      </c>
      <c r="AT128" s="7">
        <v>1010</v>
      </c>
      <c r="AU128" s="7">
        <v>1037</v>
      </c>
      <c r="AV128" s="7">
        <v>1054</v>
      </c>
      <c r="AY128" s="264">
        <v>341</v>
      </c>
      <c r="AZ128" s="264">
        <v>341</v>
      </c>
      <c r="BA128" s="7">
        <v>341</v>
      </c>
      <c r="BB128" s="7">
        <v>341</v>
      </c>
      <c r="BC128" s="7">
        <v>341</v>
      </c>
      <c r="BD128" s="7">
        <v>341</v>
      </c>
      <c r="BE128" s="7">
        <v>341</v>
      </c>
      <c r="BI128" s="21">
        <v>23450</v>
      </c>
    </row>
    <row r="129" spans="1:61" x14ac:dyDescent="0.25">
      <c r="A129" s="88" t="s">
        <v>262</v>
      </c>
      <c r="B129" s="7">
        <v>339</v>
      </c>
      <c r="C129" s="7">
        <v>332</v>
      </c>
      <c r="D129" s="7">
        <v>342</v>
      </c>
      <c r="E129" s="7">
        <v>352</v>
      </c>
      <c r="F129" s="7">
        <v>352</v>
      </c>
      <c r="G129" s="7">
        <v>352</v>
      </c>
      <c r="H129" s="7">
        <v>352</v>
      </c>
      <c r="I129" s="7">
        <v>354</v>
      </c>
      <c r="J129" s="7">
        <v>361</v>
      </c>
      <c r="K129" s="7">
        <v>369</v>
      </c>
      <c r="L129" s="7">
        <v>383</v>
      </c>
      <c r="M129" s="7">
        <v>394</v>
      </c>
      <c r="N129" s="7">
        <v>400</v>
      </c>
      <c r="O129" s="7">
        <v>409</v>
      </c>
      <c r="P129" s="7">
        <v>417</v>
      </c>
      <c r="Q129" s="7">
        <v>422</v>
      </c>
      <c r="R129" s="7">
        <v>428</v>
      </c>
      <c r="S129" s="7">
        <v>431</v>
      </c>
      <c r="T129" s="7">
        <v>434</v>
      </c>
      <c r="U129" s="7">
        <v>436</v>
      </c>
      <c r="V129" s="7">
        <v>439</v>
      </c>
      <c r="W129" s="7">
        <v>445</v>
      </c>
      <c r="X129" s="7">
        <v>450</v>
      </c>
      <c r="Y129" s="7">
        <v>459</v>
      </c>
      <c r="Z129" s="7">
        <v>467</v>
      </c>
      <c r="AA129" s="7">
        <v>478</v>
      </c>
      <c r="AB129" s="7">
        <v>492</v>
      </c>
      <c r="AC129" s="7">
        <v>509</v>
      </c>
      <c r="AD129" s="7">
        <v>529</v>
      </c>
      <c r="AE129" s="7">
        <v>551</v>
      </c>
      <c r="AF129" s="7">
        <v>576</v>
      </c>
      <c r="AG129" s="7">
        <v>601</v>
      </c>
      <c r="AH129" s="7">
        <v>629</v>
      </c>
      <c r="AI129" s="7">
        <v>657</v>
      </c>
      <c r="AJ129" s="7">
        <v>688</v>
      </c>
      <c r="AK129" s="7">
        <v>719</v>
      </c>
      <c r="AL129" s="7">
        <v>753</v>
      </c>
      <c r="AM129" s="7">
        <v>786</v>
      </c>
      <c r="AN129" s="7">
        <v>822</v>
      </c>
      <c r="AO129" s="7">
        <v>859</v>
      </c>
      <c r="AP129" s="7">
        <v>898</v>
      </c>
      <c r="AQ129" s="7">
        <v>917</v>
      </c>
      <c r="AR129" s="7">
        <v>957</v>
      </c>
      <c r="AS129" s="7">
        <v>990</v>
      </c>
      <c r="AT129" s="7">
        <v>1013</v>
      </c>
      <c r="AU129" s="7">
        <v>1040</v>
      </c>
      <c r="AV129" s="7">
        <v>1057</v>
      </c>
      <c r="AW129" s="29"/>
      <c r="AX129" s="29"/>
      <c r="AY129" s="264">
        <v>342</v>
      </c>
      <c r="AZ129" s="264">
        <v>342</v>
      </c>
      <c r="BA129" s="7">
        <v>342</v>
      </c>
      <c r="BB129" s="7">
        <v>342</v>
      </c>
      <c r="BC129" s="7">
        <v>339</v>
      </c>
      <c r="BD129" s="7">
        <v>342</v>
      </c>
      <c r="BE129" s="7">
        <v>342</v>
      </c>
      <c r="BI129" s="21">
        <v>22630</v>
      </c>
    </row>
    <row r="130" spans="1:61" x14ac:dyDescent="0.25">
      <c r="A130" s="26" t="s">
        <v>263</v>
      </c>
      <c r="B130" s="7">
        <v>366</v>
      </c>
      <c r="C130" s="390">
        <v>358</v>
      </c>
      <c r="D130" s="390">
        <v>370</v>
      </c>
      <c r="E130" s="11">
        <v>381</v>
      </c>
      <c r="F130" s="11">
        <v>381</v>
      </c>
      <c r="G130" s="11">
        <v>381</v>
      </c>
      <c r="H130" s="11">
        <v>381</v>
      </c>
      <c r="I130" s="11">
        <v>382</v>
      </c>
      <c r="J130" s="11">
        <v>390</v>
      </c>
      <c r="K130" s="11">
        <v>399</v>
      </c>
      <c r="L130" s="11">
        <v>414</v>
      </c>
      <c r="M130" s="11">
        <v>426</v>
      </c>
      <c r="N130" s="11">
        <v>432</v>
      </c>
      <c r="O130" s="11">
        <v>441</v>
      </c>
      <c r="P130" s="11">
        <v>451</v>
      </c>
      <c r="Q130" s="11">
        <v>456</v>
      </c>
      <c r="R130" s="11">
        <v>462</v>
      </c>
      <c r="S130" s="11">
        <v>465</v>
      </c>
      <c r="T130" s="11">
        <v>469</v>
      </c>
      <c r="U130" s="11">
        <v>472</v>
      </c>
      <c r="V130" s="11">
        <v>475</v>
      </c>
      <c r="W130" s="11">
        <v>481</v>
      </c>
      <c r="X130" s="11">
        <v>487</v>
      </c>
      <c r="Y130" s="11">
        <v>496</v>
      </c>
      <c r="Z130" s="11">
        <v>505</v>
      </c>
      <c r="AA130" s="11">
        <v>517</v>
      </c>
      <c r="AB130" s="11">
        <v>532</v>
      </c>
      <c r="AC130" s="11">
        <v>550</v>
      </c>
      <c r="AD130" s="11">
        <v>571</v>
      </c>
      <c r="AE130" s="11">
        <v>595</v>
      </c>
      <c r="AF130" s="11">
        <v>623</v>
      </c>
      <c r="AG130" s="11">
        <v>650</v>
      </c>
      <c r="AH130" s="11">
        <v>680</v>
      </c>
      <c r="AI130" s="11">
        <v>710</v>
      </c>
      <c r="AJ130" s="11">
        <v>744</v>
      </c>
      <c r="AK130" s="11">
        <v>777</v>
      </c>
      <c r="AL130" s="11">
        <v>813</v>
      </c>
      <c r="AM130" s="11">
        <v>849</v>
      </c>
      <c r="AN130" s="11">
        <v>889</v>
      </c>
      <c r="AO130" s="11">
        <v>928</v>
      </c>
      <c r="AP130" s="11">
        <v>971</v>
      </c>
      <c r="AQ130" s="11">
        <v>992</v>
      </c>
      <c r="AR130" s="11">
        <v>1034</v>
      </c>
      <c r="AS130" s="11">
        <v>1070</v>
      </c>
      <c r="AT130" s="11">
        <v>1094</v>
      </c>
      <c r="AU130" s="11">
        <v>1124</v>
      </c>
      <c r="AV130" s="11">
        <v>1143</v>
      </c>
      <c r="AY130" s="264">
        <v>370</v>
      </c>
      <c r="AZ130" s="264">
        <v>370</v>
      </c>
      <c r="BA130" s="7">
        <v>370</v>
      </c>
      <c r="BB130" s="7">
        <v>370</v>
      </c>
      <c r="BC130" s="7">
        <v>370</v>
      </c>
      <c r="BD130" s="7">
        <v>370</v>
      </c>
      <c r="BE130" s="7">
        <v>370</v>
      </c>
      <c r="BI130" s="21">
        <v>24236</v>
      </c>
    </row>
    <row r="131" spans="1:61" x14ac:dyDescent="0.25">
      <c r="A131" s="88" t="s">
        <v>264</v>
      </c>
      <c r="B131" s="7">
        <v>370</v>
      </c>
      <c r="C131" s="390">
        <v>363</v>
      </c>
      <c r="D131" s="390">
        <v>375</v>
      </c>
      <c r="E131" s="11">
        <v>386</v>
      </c>
      <c r="F131" s="11">
        <v>386</v>
      </c>
      <c r="G131" s="11">
        <v>386</v>
      </c>
      <c r="H131" s="11">
        <v>386</v>
      </c>
      <c r="I131" s="11">
        <v>388</v>
      </c>
      <c r="J131" s="11">
        <v>395</v>
      </c>
      <c r="K131" s="11">
        <v>405</v>
      </c>
      <c r="L131" s="11">
        <v>420</v>
      </c>
      <c r="M131" s="11">
        <v>432</v>
      </c>
      <c r="N131" s="11">
        <v>438</v>
      </c>
      <c r="O131" s="11">
        <v>448</v>
      </c>
      <c r="P131" s="11">
        <v>457</v>
      </c>
      <c r="Q131" s="11">
        <v>463</v>
      </c>
      <c r="R131" s="11">
        <v>469</v>
      </c>
      <c r="S131" s="11">
        <v>472</v>
      </c>
      <c r="T131" s="11">
        <v>475</v>
      </c>
      <c r="U131" s="11">
        <v>478</v>
      </c>
      <c r="V131" s="11">
        <v>481</v>
      </c>
      <c r="W131" s="11">
        <v>487</v>
      </c>
      <c r="X131" s="11">
        <v>494</v>
      </c>
      <c r="Y131" s="11">
        <v>503</v>
      </c>
      <c r="Z131" s="11">
        <v>512</v>
      </c>
      <c r="AA131" s="11">
        <v>524</v>
      </c>
      <c r="AB131" s="11">
        <v>540</v>
      </c>
      <c r="AC131" s="11">
        <v>558</v>
      </c>
      <c r="AD131" s="11">
        <v>579</v>
      </c>
      <c r="AE131" s="11">
        <v>604</v>
      </c>
      <c r="AF131" s="11">
        <v>631</v>
      </c>
      <c r="AG131" s="11">
        <v>659</v>
      </c>
      <c r="AH131" s="11">
        <v>690</v>
      </c>
      <c r="AI131" s="11">
        <v>720</v>
      </c>
      <c r="AJ131" s="11">
        <v>754</v>
      </c>
      <c r="AK131" s="11">
        <v>788</v>
      </c>
      <c r="AL131" s="11">
        <v>825</v>
      </c>
      <c r="AM131" s="11">
        <v>861</v>
      </c>
      <c r="AN131" s="11">
        <v>901</v>
      </c>
      <c r="AO131" s="11">
        <v>941</v>
      </c>
      <c r="AP131" s="11">
        <v>984</v>
      </c>
      <c r="AQ131" s="11">
        <v>1005</v>
      </c>
      <c r="AR131" s="11">
        <v>1048</v>
      </c>
      <c r="AS131" s="11">
        <v>1085</v>
      </c>
      <c r="AT131" s="11">
        <v>1110</v>
      </c>
      <c r="AU131" s="11">
        <v>1140</v>
      </c>
      <c r="AV131" s="11">
        <v>1159</v>
      </c>
      <c r="AY131" s="264">
        <v>375</v>
      </c>
      <c r="AZ131" s="264">
        <v>375</v>
      </c>
      <c r="BA131" s="7">
        <v>375</v>
      </c>
      <c r="BB131" s="7">
        <v>375</v>
      </c>
      <c r="BC131" s="7">
        <v>375</v>
      </c>
      <c r="BD131" s="7">
        <v>375</v>
      </c>
      <c r="BE131" s="7">
        <v>375</v>
      </c>
      <c r="BI131" s="21">
        <v>22980</v>
      </c>
    </row>
    <row r="132" spans="1:61" x14ac:dyDescent="0.25">
      <c r="A132" s="88" t="s">
        <v>265</v>
      </c>
      <c r="B132" s="7">
        <v>370</v>
      </c>
      <c r="C132" s="390">
        <v>363</v>
      </c>
      <c r="D132" s="390">
        <v>375</v>
      </c>
      <c r="E132" s="11">
        <v>386</v>
      </c>
      <c r="F132" s="11">
        <v>386</v>
      </c>
      <c r="G132" s="11">
        <v>386</v>
      </c>
      <c r="H132" s="11">
        <v>386</v>
      </c>
      <c r="I132" s="11">
        <v>388</v>
      </c>
      <c r="J132" s="11">
        <v>395</v>
      </c>
      <c r="K132" s="11">
        <v>405</v>
      </c>
      <c r="L132" s="11">
        <v>420</v>
      </c>
      <c r="M132" s="11">
        <v>432</v>
      </c>
      <c r="N132" s="11">
        <v>438</v>
      </c>
      <c r="O132" s="11">
        <v>448</v>
      </c>
      <c r="P132" s="11">
        <v>457</v>
      </c>
      <c r="Q132" s="11">
        <v>463</v>
      </c>
      <c r="R132" s="11">
        <v>469</v>
      </c>
      <c r="S132" s="11">
        <v>472</v>
      </c>
      <c r="T132" s="11">
        <v>475</v>
      </c>
      <c r="U132" s="11">
        <v>478</v>
      </c>
      <c r="V132" s="11">
        <v>481</v>
      </c>
      <c r="W132" s="11">
        <v>487</v>
      </c>
      <c r="X132" s="11">
        <v>494</v>
      </c>
      <c r="Y132" s="11">
        <v>503</v>
      </c>
      <c r="Z132" s="11">
        <v>512</v>
      </c>
      <c r="AA132" s="11">
        <v>524</v>
      </c>
      <c r="AB132" s="11">
        <v>540</v>
      </c>
      <c r="AC132" s="11">
        <v>558</v>
      </c>
      <c r="AD132" s="11">
        <v>579</v>
      </c>
      <c r="AE132" s="11">
        <v>604</v>
      </c>
      <c r="AF132" s="11">
        <v>631</v>
      </c>
      <c r="AG132" s="11">
        <v>659</v>
      </c>
      <c r="AH132" s="11">
        <v>690</v>
      </c>
      <c r="AI132" s="11">
        <v>720</v>
      </c>
      <c r="AJ132" s="11">
        <v>754</v>
      </c>
      <c r="AK132" s="11">
        <v>788</v>
      </c>
      <c r="AL132" s="11">
        <v>825</v>
      </c>
      <c r="AM132" s="11">
        <v>861</v>
      </c>
      <c r="AN132" s="11">
        <v>901</v>
      </c>
      <c r="AO132" s="11">
        <v>941</v>
      </c>
      <c r="AP132" s="11">
        <v>984</v>
      </c>
      <c r="AQ132" s="11">
        <v>1005</v>
      </c>
      <c r="AR132" s="11">
        <v>1048</v>
      </c>
      <c r="AS132" s="11">
        <v>1085</v>
      </c>
      <c r="AT132" s="11">
        <v>1110</v>
      </c>
      <c r="AU132" s="11">
        <v>1140</v>
      </c>
      <c r="AV132" s="11">
        <v>1159</v>
      </c>
      <c r="AY132" s="264">
        <v>375</v>
      </c>
      <c r="AZ132" s="264">
        <v>375</v>
      </c>
      <c r="BA132" s="7">
        <v>375</v>
      </c>
      <c r="BB132" s="7">
        <v>375</v>
      </c>
      <c r="BC132" s="7">
        <v>375</v>
      </c>
      <c r="BD132" s="7">
        <v>375</v>
      </c>
      <c r="BE132" s="7">
        <v>375</v>
      </c>
      <c r="BI132" s="21">
        <v>22488</v>
      </c>
    </row>
    <row r="133" spans="1:61" x14ac:dyDescent="0.25">
      <c r="A133" s="88" t="s">
        <v>266</v>
      </c>
      <c r="B133" s="7">
        <v>338</v>
      </c>
      <c r="C133" s="7">
        <v>332</v>
      </c>
      <c r="D133" s="7">
        <v>342</v>
      </c>
      <c r="E133" s="7">
        <v>352</v>
      </c>
      <c r="F133" s="7">
        <v>352</v>
      </c>
      <c r="G133" s="7">
        <v>352</v>
      </c>
      <c r="H133" s="7">
        <v>352</v>
      </c>
      <c r="I133" s="7">
        <v>354</v>
      </c>
      <c r="J133" s="7">
        <v>361</v>
      </c>
      <c r="K133" s="7">
        <v>369</v>
      </c>
      <c r="L133" s="7">
        <v>383</v>
      </c>
      <c r="M133" s="7">
        <v>394</v>
      </c>
      <c r="N133" s="7">
        <v>400</v>
      </c>
      <c r="O133" s="7">
        <v>409</v>
      </c>
      <c r="P133" s="7">
        <v>417</v>
      </c>
      <c r="Q133" s="7">
        <v>422</v>
      </c>
      <c r="R133" s="7">
        <v>428</v>
      </c>
      <c r="S133" s="7">
        <v>431</v>
      </c>
      <c r="T133" s="7">
        <v>434</v>
      </c>
      <c r="U133" s="7">
        <v>436</v>
      </c>
      <c r="V133" s="7">
        <v>439</v>
      </c>
      <c r="W133" s="7">
        <v>445</v>
      </c>
      <c r="X133" s="7">
        <v>450</v>
      </c>
      <c r="Y133" s="7">
        <v>459</v>
      </c>
      <c r="Z133" s="7">
        <v>467</v>
      </c>
      <c r="AA133" s="7">
        <v>478</v>
      </c>
      <c r="AB133" s="7">
        <v>492</v>
      </c>
      <c r="AC133" s="7">
        <v>509</v>
      </c>
      <c r="AD133" s="7">
        <v>529</v>
      </c>
      <c r="AE133" s="7">
        <v>551</v>
      </c>
      <c r="AF133" s="7">
        <v>576</v>
      </c>
      <c r="AG133" s="7">
        <v>601</v>
      </c>
      <c r="AH133" s="7">
        <v>629</v>
      </c>
      <c r="AI133" s="7">
        <v>657</v>
      </c>
      <c r="AJ133" s="7">
        <v>688</v>
      </c>
      <c r="AK133" s="7">
        <v>719</v>
      </c>
      <c r="AL133" s="7">
        <v>753</v>
      </c>
      <c r="AM133" s="7">
        <v>786</v>
      </c>
      <c r="AN133" s="7">
        <v>822</v>
      </c>
      <c r="AO133" s="7">
        <v>859</v>
      </c>
      <c r="AP133" s="7">
        <v>898</v>
      </c>
      <c r="AQ133" s="7">
        <v>917</v>
      </c>
      <c r="AR133" s="7">
        <v>957</v>
      </c>
      <c r="AS133" s="7">
        <v>990</v>
      </c>
      <c r="AT133" s="7">
        <v>1013</v>
      </c>
      <c r="AU133" s="7">
        <v>1040</v>
      </c>
      <c r="AV133" s="7">
        <v>1057</v>
      </c>
      <c r="AW133" s="391"/>
      <c r="AX133" s="391"/>
      <c r="AY133" s="264">
        <v>342</v>
      </c>
      <c r="AZ133" s="264">
        <v>342</v>
      </c>
      <c r="BA133" s="7">
        <v>342</v>
      </c>
      <c r="BB133" s="7">
        <v>342</v>
      </c>
      <c r="BC133" s="7">
        <v>339</v>
      </c>
      <c r="BD133" s="7">
        <v>342</v>
      </c>
      <c r="BE133" s="7">
        <v>342</v>
      </c>
      <c r="BI133" s="21">
        <v>23185</v>
      </c>
    </row>
    <row r="134" spans="1:61" x14ac:dyDescent="0.25">
      <c r="A134" s="88" t="s">
        <v>267</v>
      </c>
      <c r="B134" s="7">
        <v>370</v>
      </c>
      <c r="C134" s="11">
        <v>363</v>
      </c>
      <c r="D134" s="11">
        <v>375</v>
      </c>
      <c r="E134" s="11">
        <v>386</v>
      </c>
      <c r="F134" s="11">
        <v>386</v>
      </c>
      <c r="G134" s="11">
        <v>386</v>
      </c>
      <c r="H134" s="11">
        <v>386</v>
      </c>
      <c r="I134" s="11">
        <v>388</v>
      </c>
      <c r="J134" s="11">
        <v>395</v>
      </c>
      <c r="K134" s="11">
        <v>405</v>
      </c>
      <c r="L134" s="11">
        <v>420</v>
      </c>
      <c r="M134" s="11">
        <v>432</v>
      </c>
      <c r="N134" s="11">
        <v>438</v>
      </c>
      <c r="O134" s="11">
        <v>448</v>
      </c>
      <c r="P134" s="11">
        <v>457</v>
      </c>
      <c r="Q134" s="11">
        <v>463</v>
      </c>
      <c r="R134" s="11">
        <v>469</v>
      </c>
      <c r="S134" s="11">
        <v>472</v>
      </c>
      <c r="T134" s="11">
        <v>475</v>
      </c>
      <c r="U134" s="11">
        <v>478</v>
      </c>
      <c r="V134" s="11">
        <v>481</v>
      </c>
      <c r="W134" s="11">
        <v>487</v>
      </c>
      <c r="X134" s="11">
        <v>494</v>
      </c>
      <c r="Y134" s="11">
        <v>503</v>
      </c>
      <c r="Z134" s="11">
        <v>512</v>
      </c>
      <c r="AA134" s="11">
        <v>524</v>
      </c>
      <c r="AB134" s="11">
        <v>540</v>
      </c>
      <c r="AC134" s="11">
        <v>558</v>
      </c>
      <c r="AD134" s="11">
        <v>579</v>
      </c>
      <c r="AE134" s="11">
        <v>604</v>
      </c>
      <c r="AF134" s="11">
        <v>631</v>
      </c>
      <c r="AG134" s="11">
        <v>659</v>
      </c>
      <c r="AH134" s="11">
        <v>690</v>
      </c>
      <c r="AI134" s="11">
        <v>720</v>
      </c>
      <c r="AJ134" s="11">
        <v>754</v>
      </c>
      <c r="AK134" s="11">
        <v>788</v>
      </c>
      <c r="AL134" s="11">
        <v>825</v>
      </c>
      <c r="AM134" s="11">
        <v>861</v>
      </c>
      <c r="AN134" s="11">
        <v>901</v>
      </c>
      <c r="AO134" s="11">
        <v>941</v>
      </c>
      <c r="AP134" s="11">
        <v>984</v>
      </c>
      <c r="AQ134" s="11">
        <v>1005</v>
      </c>
      <c r="AR134" s="11">
        <v>1048</v>
      </c>
      <c r="AS134" s="11">
        <v>1085</v>
      </c>
      <c r="AT134" s="11">
        <v>1110</v>
      </c>
      <c r="AU134" s="11">
        <v>1140</v>
      </c>
      <c r="AV134" s="11">
        <v>1159</v>
      </c>
      <c r="AY134" s="264">
        <v>375</v>
      </c>
      <c r="AZ134" s="264">
        <v>375</v>
      </c>
      <c r="BA134" s="7">
        <v>375</v>
      </c>
      <c r="BB134" s="7">
        <v>375</v>
      </c>
      <c r="BC134" s="7">
        <v>375</v>
      </c>
      <c r="BD134" s="7">
        <v>375</v>
      </c>
      <c r="BE134" s="7">
        <v>375</v>
      </c>
      <c r="BI134" s="21">
        <v>22601</v>
      </c>
    </row>
    <row r="135" spans="1:61" x14ac:dyDescent="0.25">
      <c r="A135" s="88" t="s">
        <v>268</v>
      </c>
      <c r="B135" s="7">
        <v>371</v>
      </c>
      <c r="C135" s="7">
        <v>363</v>
      </c>
      <c r="D135" s="7">
        <v>375</v>
      </c>
      <c r="E135" s="7">
        <v>386</v>
      </c>
      <c r="F135" s="7">
        <v>386</v>
      </c>
      <c r="G135" s="7">
        <v>386</v>
      </c>
      <c r="H135" s="7">
        <v>386</v>
      </c>
      <c r="I135" s="7">
        <v>388</v>
      </c>
      <c r="J135" s="7">
        <v>395</v>
      </c>
      <c r="K135" s="7">
        <v>405</v>
      </c>
      <c r="L135" s="7">
        <v>420</v>
      </c>
      <c r="M135" s="7">
        <v>432</v>
      </c>
      <c r="N135" s="7">
        <v>438</v>
      </c>
      <c r="O135" s="7">
        <v>448</v>
      </c>
      <c r="P135" s="7">
        <v>457</v>
      </c>
      <c r="Q135" s="7">
        <v>463</v>
      </c>
      <c r="R135" s="7">
        <v>469</v>
      </c>
      <c r="S135" s="7">
        <v>472</v>
      </c>
      <c r="T135" s="7">
        <v>475</v>
      </c>
      <c r="U135" s="7">
        <v>478</v>
      </c>
      <c r="V135" s="7">
        <v>481</v>
      </c>
      <c r="W135" s="7">
        <v>487</v>
      </c>
      <c r="X135" s="7">
        <v>494</v>
      </c>
      <c r="Y135" s="7">
        <v>503</v>
      </c>
      <c r="Z135" s="7">
        <v>512</v>
      </c>
      <c r="AA135" s="7">
        <v>524</v>
      </c>
      <c r="AB135" s="7">
        <v>540</v>
      </c>
      <c r="AC135" s="7">
        <v>558</v>
      </c>
      <c r="AD135" s="7">
        <v>579</v>
      </c>
      <c r="AE135" s="7">
        <v>603</v>
      </c>
      <c r="AF135" s="7">
        <v>631</v>
      </c>
      <c r="AG135" s="7">
        <v>659</v>
      </c>
      <c r="AH135" s="7">
        <v>690</v>
      </c>
      <c r="AI135" s="7">
        <v>720</v>
      </c>
      <c r="AJ135" s="7">
        <v>754</v>
      </c>
      <c r="AK135" s="7">
        <v>788</v>
      </c>
      <c r="AL135" s="7">
        <v>825</v>
      </c>
      <c r="AM135" s="7">
        <v>861</v>
      </c>
      <c r="AN135" s="7">
        <v>901</v>
      </c>
      <c r="AO135" s="7">
        <v>941</v>
      </c>
      <c r="AP135" s="7">
        <v>984</v>
      </c>
      <c r="AQ135" s="7">
        <v>1005</v>
      </c>
      <c r="AR135" s="7">
        <v>1048</v>
      </c>
      <c r="AS135" s="7">
        <v>1085</v>
      </c>
      <c r="AT135" s="7">
        <v>1110</v>
      </c>
      <c r="AU135" s="7">
        <v>1140</v>
      </c>
      <c r="AV135" s="7">
        <v>1159</v>
      </c>
      <c r="AW135" s="391"/>
      <c r="AX135" s="391"/>
      <c r="AY135" s="7">
        <v>375</v>
      </c>
      <c r="AZ135" s="290">
        <v>375</v>
      </c>
      <c r="BA135" s="7">
        <v>375</v>
      </c>
      <c r="BB135" s="7">
        <v>375</v>
      </c>
      <c r="BC135" s="7">
        <v>375</v>
      </c>
      <c r="BD135" s="7">
        <v>375</v>
      </c>
      <c r="BE135" s="7">
        <v>375</v>
      </c>
      <c r="BI135" s="21">
        <v>24293</v>
      </c>
    </row>
    <row r="136" spans="1:61" x14ac:dyDescent="0.25">
      <c r="A136" s="88" t="s">
        <v>269</v>
      </c>
      <c r="B136" s="7">
        <v>371</v>
      </c>
      <c r="C136" s="7">
        <v>363</v>
      </c>
      <c r="D136" s="7">
        <v>375</v>
      </c>
      <c r="E136" s="7">
        <v>386</v>
      </c>
      <c r="F136" s="7">
        <v>386</v>
      </c>
      <c r="G136" s="7">
        <v>386</v>
      </c>
      <c r="H136" s="7">
        <v>386</v>
      </c>
      <c r="I136" s="7">
        <v>388</v>
      </c>
      <c r="J136" s="7">
        <v>395</v>
      </c>
      <c r="K136" s="7">
        <v>405</v>
      </c>
      <c r="L136" s="7">
        <v>420</v>
      </c>
      <c r="M136" s="7">
        <v>432</v>
      </c>
      <c r="N136" s="7">
        <v>438</v>
      </c>
      <c r="O136" s="7">
        <v>448</v>
      </c>
      <c r="P136" s="7">
        <v>457</v>
      </c>
      <c r="Q136" s="7">
        <v>463</v>
      </c>
      <c r="R136" s="7">
        <v>469</v>
      </c>
      <c r="S136" s="7">
        <v>472</v>
      </c>
      <c r="T136" s="7">
        <v>475</v>
      </c>
      <c r="U136" s="7">
        <v>478</v>
      </c>
      <c r="V136" s="7">
        <v>481</v>
      </c>
      <c r="W136" s="7">
        <v>487</v>
      </c>
      <c r="X136" s="7">
        <v>494</v>
      </c>
      <c r="Y136" s="7">
        <v>503</v>
      </c>
      <c r="Z136" s="7">
        <v>512</v>
      </c>
      <c r="AA136" s="7">
        <v>524</v>
      </c>
      <c r="AB136" s="7">
        <v>540</v>
      </c>
      <c r="AC136" s="7">
        <v>558</v>
      </c>
      <c r="AD136" s="7">
        <v>579</v>
      </c>
      <c r="AE136" s="7">
        <v>603</v>
      </c>
      <c r="AF136" s="7">
        <v>631</v>
      </c>
      <c r="AG136" s="7">
        <v>659</v>
      </c>
      <c r="AH136" s="7">
        <v>690</v>
      </c>
      <c r="AI136" s="7">
        <v>720</v>
      </c>
      <c r="AJ136" s="7">
        <v>754</v>
      </c>
      <c r="AK136" s="7">
        <v>788</v>
      </c>
      <c r="AL136" s="7">
        <v>825</v>
      </c>
      <c r="AM136" s="7">
        <v>861</v>
      </c>
      <c r="AN136" s="7">
        <v>901</v>
      </c>
      <c r="AO136" s="7">
        <v>941</v>
      </c>
      <c r="AP136" s="7">
        <v>984</v>
      </c>
      <c r="AQ136" s="7">
        <v>1005</v>
      </c>
      <c r="AR136" s="7">
        <v>1048</v>
      </c>
      <c r="AS136" s="7">
        <v>1085</v>
      </c>
      <c r="AT136" s="7">
        <v>1110</v>
      </c>
      <c r="AU136" s="7">
        <v>1140</v>
      </c>
      <c r="AV136" s="7">
        <v>1159</v>
      </c>
      <c r="AW136" s="391"/>
      <c r="AX136" s="391"/>
      <c r="AY136" s="7">
        <v>375</v>
      </c>
      <c r="AZ136" s="290">
        <v>375</v>
      </c>
      <c r="BA136" s="7">
        <v>375</v>
      </c>
      <c r="BB136" s="7">
        <v>375</v>
      </c>
      <c r="BC136" s="7">
        <v>375</v>
      </c>
      <c r="BD136" s="7">
        <v>375</v>
      </c>
      <c r="BE136" s="7">
        <v>375</v>
      </c>
      <c r="BI136" s="21">
        <v>24360</v>
      </c>
    </row>
    <row r="137" spans="1:61" x14ac:dyDescent="0.25">
      <c r="A137" s="88" t="s">
        <v>270</v>
      </c>
      <c r="B137" s="7">
        <v>338</v>
      </c>
      <c r="C137" s="7">
        <v>332</v>
      </c>
      <c r="D137" s="7">
        <v>342</v>
      </c>
      <c r="E137" s="7">
        <v>352</v>
      </c>
      <c r="F137" s="7">
        <v>352</v>
      </c>
      <c r="G137" s="7">
        <v>352</v>
      </c>
      <c r="H137" s="7">
        <v>352</v>
      </c>
      <c r="I137" s="7">
        <v>354</v>
      </c>
      <c r="J137" s="7">
        <v>361</v>
      </c>
      <c r="K137" s="7">
        <v>369</v>
      </c>
      <c r="L137" s="7">
        <v>383</v>
      </c>
      <c r="M137" s="7">
        <v>394</v>
      </c>
      <c r="N137" s="7">
        <v>400</v>
      </c>
      <c r="O137" s="7">
        <v>409</v>
      </c>
      <c r="P137" s="7">
        <v>417</v>
      </c>
      <c r="Q137" s="7">
        <v>422</v>
      </c>
      <c r="R137" s="7">
        <v>428</v>
      </c>
      <c r="S137" s="7">
        <v>431</v>
      </c>
      <c r="T137" s="7">
        <v>434</v>
      </c>
      <c r="U137" s="7">
        <v>436</v>
      </c>
      <c r="V137" s="7">
        <v>439</v>
      </c>
      <c r="W137" s="7">
        <v>445</v>
      </c>
      <c r="X137" s="7">
        <v>450</v>
      </c>
      <c r="Y137" s="7">
        <v>459</v>
      </c>
      <c r="Z137" s="7">
        <v>467</v>
      </c>
      <c r="AA137" s="7">
        <v>478</v>
      </c>
      <c r="AB137" s="7">
        <v>492</v>
      </c>
      <c r="AC137" s="7">
        <v>509</v>
      </c>
      <c r="AD137" s="7">
        <v>529</v>
      </c>
      <c r="AE137" s="7">
        <v>551</v>
      </c>
      <c r="AF137" s="7">
        <v>576</v>
      </c>
      <c r="AG137" s="7">
        <v>601</v>
      </c>
      <c r="AH137" s="7">
        <v>629</v>
      </c>
      <c r="AI137" s="7">
        <v>657</v>
      </c>
      <c r="AJ137" s="7">
        <v>688</v>
      </c>
      <c r="AK137" s="7">
        <v>719</v>
      </c>
      <c r="AL137" s="7">
        <v>753</v>
      </c>
      <c r="AM137" s="7">
        <v>786</v>
      </c>
      <c r="AN137" s="7">
        <v>822</v>
      </c>
      <c r="AO137" s="7">
        <v>859</v>
      </c>
      <c r="AP137" s="7">
        <v>898</v>
      </c>
      <c r="AQ137" s="7">
        <v>917</v>
      </c>
      <c r="AR137" s="7">
        <v>957</v>
      </c>
      <c r="AS137" s="7">
        <v>990</v>
      </c>
      <c r="AT137" s="7">
        <v>1013</v>
      </c>
      <c r="AU137" s="7">
        <v>1040</v>
      </c>
      <c r="AV137" s="7">
        <v>1057</v>
      </c>
      <c r="AW137" s="391"/>
      <c r="AX137" s="391"/>
      <c r="AY137" s="264">
        <v>342</v>
      </c>
      <c r="AZ137" s="264">
        <v>342</v>
      </c>
      <c r="BA137" s="7">
        <v>342</v>
      </c>
      <c r="BB137" s="7">
        <v>342</v>
      </c>
      <c r="BC137" s="7">
        <v>339</v>
      </c>
      <c r="BD137" s="7">
        <v>342</v>
      </c>
      <c r="BE137" s="7">
        <v>342</v>
      </c>
      <c r="BI137" s="21">
        <v>24250</v>
      </c>
    </row>
    <row r="141" spans="1:61" x14ac:dyDescent="0.25">
      <c r="B141" t="s">
        <v>632</v>
      </c>
    </row>
  </sheetData>
  <mergeCells count="1">
    <mergeCell ref="B1:AY1"/>
  </mergeCells>
  <pageMargins left="0.7" right="0.7" top="0.75" bottom="0.75" header="0.3" footer="0.3"/>
</worksheet>
</file>

<file path=xl/worksheets/sheet2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EC900DF-A1EE-48F1-B6E3-A1A423C75FB6}">
  <sheetPr codeName="Sheet17"/>
  <dimension ref="A2:G24"/>
  <sheetViews>
    <sheetView workbookViewId="0">
      <selection activeCell="H2" sqref="H2"/>
    </sheetView>
  </sheetViews>
  <sheetFormatPr defaultRowHeight="15" x14ac:dyDescent="0.25"/>
  <cols>
    <col min="1" max="1" width="26.140625" customWidth="1"/>
    <col min="2" max="2" width="20" style="29" customWidth="1"/>
    <col min="3" max="9" width="16.140625" customWidth="1"/>
  </cols>
  <sheetData>
    <row r="2" spans="1:7" ht="45" customHeight="1" x14ac:dyDescent="0.25">
      <c r="A2" s="467" t="s">
        <v>633</v>
      </c>
      <c r="B2" s="467"/>
      <c r="C2" s="467"/>
    </row>
    <row r="4" spans="1:7" x14ac:dyDescent="0.25">
      <c r="A4" t="s">
        <v>619</v>
      </c>
    </row>
    <row r="5" spans="1:7" x14ac:dyDescent="0.25">
      <c r="A5" t="s">
        <v>305</v>
      </c>
      <c r="B5" s="29" t="s">
        <v>391</v>
      </c>
      <c r="C5" t="s">
        <v>392</v>
      </c>
      <c r="D5" t="s">
        <v>393</v>
      </c>
      <c r="E5" t="s">
        <v>394</v>
      </c>
      <c r="F5" t="s">
        <v>395</v>
      </c>
      <c r="G5" t="s">
        <v>396</v>
      </c>
    </row>
    <row r="6" spans="1:7" x14ac:dyDescent="0.25">
      <c r="A6">
        <v>0</v>
      </c>
      <c r="B6" s="29">
        <v>18591</v>
      </c>
      <c r="C6" s="29">
        <v>632</v>
      </c>
      <c r="D6" s="147">
        <v>7.6499999999999999E-2</v>
      </c>
      <c r="E6" s="41">
        <v>7.6499999999999999E-2</v>
      </c>
      <c r="F6" s="29">
        <v>4220</v>
      </c>
      <c r="G6" s="29">
        <v>5280</v>
      </c>
    </row>
    <row r="7" spans="1:7" x14ac:dyDescent="0.25">
      <c r="A7">
        <v>1</v>
      </c>
      <c r="B7" s="29">
        <v>49084</v>
      </c>
      <c r="C7" s="29">
        <v>4213</v>
      </c>
      <c r="D7" s="147">
        <v>0.34</v>
      </c>
      <c r="E7" s="41">
        <v>0.1598</v>
      </c>
      <c r="F7" s="29">
        <v>6330</v>
      </c>
      <c r="G7" s="29">
        <v>11610</v>
      </c>
    </row>
    <row r="8" spans="1:7" x14ac:dyDescent="0.25">
      <c r="A8">
        <v>2</v>
      </c>
      <c r="B8" s="29">
        <v>55768</v>
      </c>
      <c r="C8" s="29">
        <v>6960</v>
      </c>
      <c r="D8" s="147">
        <v>0.4</v>
      </c>
      <c r="E8" s="41">
        <v>0.21060000000000001</v>
      </c>
      <c r="F8" s="29">
        <v>8890</v>
      </c>
      <c r="G8" s="29">
        <v>11610</v>
      </c>
    </row>
    <row r="9" spans="1:7" x14ac:dyDescent="0.25">
      <c r="A9">
        <v>3</v>
      </c>
      <c r="B9" s="29">
        <v>59899</v>
      </c>
      <c r="C9" s="29">
        <v>7830</v>
      </c>
      <c r="D9" s="147">
        <v>0.45</v>
      </c>
      <c r="E9" s="41">
        <v>0.21060000000000001</v>
      </c>
      <c r="F9" s="29">
        <v>8890</v>
      </c>
      <c r="G9" s="29">
        <v>11610</v>
      </c>
    </row>
    <row r="10" spans="1:7" x14ac:dyDescent="0.25">
      <c r="A10">
        <v>4</v>
      </c>
      <c r="B10" s="29">
        <v>59899</v>
      </c>
      <c r="C10" s="29">
        <v>7830</v>
      </c>
      <c r="D10" s="147">
        <v>0.45</v>
      </c>
      <c r="E10" s="41">
        <v>0.21060000000000001</v>
      </c>
      <c r="F10" s="29">
        <v>8890</v>
      </c>
      <c r="G10" s="29">
        <v>11610</v>
      </c>
    </row>
    <row r="11" spans="1:7" x14ac:dyDescent="0.25">
      <c r="A11">
        <v>5</v>
      </c>
      <c r="B11" s="29">
        <v>59899</v>
      </c>
      <c r="C11" s="29">
        <v>7830</v>
      </c>
      <c r="D11" s="147">
        <v>0.45</v>
      </c>
      <c r="E11" s="41">
        <v>0.21060000000000001</v>
      </c>
      <c r="F11" s="29">
        <v>8890</v>
      </c>
      <c r="G11" s="29">
        <v>11610</v>
      </c>
    </row>
    <row r="12" spans="1:7" x14ac:dyDescent="0.25">
      <c r="A12">
        <v>6</v>
      </c>
      <c r="B12" s="29">
        <v>59899</v>
      </c>
      <c r="C12" s="29">
        <v>7830</v>
      </c>
      <c r="D12" s="147">
        <v>0.45</v>
      </c>
      <c r="E12" s="41">
        <v>0.21060000000000001</v>
      </c>
      <c r="F12" s="29">
        <v>8890</v>
      </c>
      <c r="G12" s="29">
        <v>11610</v>
      </c>
    </row>
    <row r="13" spans="1:7" x14ac:dyDescent="0.25">
      <c r="A13">
        <v>7</v>
      </c>
      <c r="B13" s="29">
        <v>59899</v>
      </c>
      <c r="C13" s="29">
        <v>7830</v>
      </c>
      <c r="D13" s="147">
        <v>0.45</v>
      </c>
      <c r="E13" s="41">
        <v>0.21060000000000001</v>
      </c>
      <c r="F13" s="29">
        <v>8890</v>
      </c>
      <c r="G13" s="29">
        <v>11610</v>
      </c>
    </row>
    <row r="14" spans="1:7" x14ac:dyDescent="0.25">
      <c r="C14" s="29"/>
    </row>
    <row r="15" spans="1:7" x14ac:dyDescent="0.25">
      <c r="A15" t="s">
        <v>620</v>
      </c>
      <c r="C15" s="29"/>
    </row>
    <row r="16" spans="1:7" x14ac:dyDescent="0.25">
      <c r="A16" t="s">
        <v>305</v>
      </c>
      <c r="C16" s="29"/>
    </row>
    <row r="17" spans="1:7" x14ac:dyDescent="0.25">
      <c r="A17">
        <v>0</v>
      </c>
      <c r="B17" s="29">
        <v>25511</v>
      </c>
      <c r="C17" s="29">
        <v>632</v>
      </c>
      <c r="D17" s="147">
        <v>7.6499999999999999E-2</v>
      </c>
      <c r="E17" s="41">
        <v>6.5000000000000002E-2</v>
      </c>
      <c r="F17" s="29">
        <v>4220</v>
      </c>
      <c r="G17" s="29">
        <f>G6+5000</f>
        <v>10280</v>
      </c>
    </row>
    <row r="18" spans="1:7" x14ac:dyDescent="0.25">
      <c r="A18">
        <v>1</v>
      </c>
      <c r="B18" s="29">
        <v>56004</v>
      </c>
      <c r="C18" s="29">
        <v>4213</v>
      </c>
      <c r="D18" s="147">
        <v>0.34</v>
      </c>
      <c r="E18" s="41">
        <v>0.1598</v>
      </c>
      <c r="F18" s="29">
        <v>6330</v>
      </c>
      <c r="G18" s="29">
        <f t="shared" ref="G18:G24" si="0">G7+5000</f>
        <v>16610</v>
      </c>
    </row>
    <row r="19" spans="1:7" x14ac:dyDescent="0.25">
      <c r="A19">
        <v>2</v>
      </c>
      <c r="B19" s="29">
        <v>62688</v>
      </c>
      <c r="C19" s="29">
        <v>6960</v>
      </c>
      <c r="D19" s="147">
        <v>0.4</v>
      </c>
      <c r="E19" s="41">
        <v>0.21060000000000001</v>
      </c>
      <c r="F19" s="29">
        <v>8890</v>
      </c>
      <c r="G19" s="29">
        <f t="shared" si="0"/>
        <v>16610</v>
      </c>
    </row>
    <row r="20" spans="1:7" x14ac:dyDescent="0.25">
      <c r="A20">
        <v>3</v>
      </c>
      <c r="B20" s="29">
        <v>66819</v>
      </c>
      <c r="C20" s="29">
        <v>7830</v>
      </c>
      <c r="D20" s="147">
        <v>0.45</v>
      </c>
      <c r="E20" s="41">
        <v>0.21060000000000001</v>
      </c>
      <c r="F20" s="29">
        <v>8890</v>
      </c>
      <c r="G20" s="29">
        <f t="shared" si="0"/>
        <v>16610</v>
      </c>
    </row>
    <row r="21" spans="1:7" x14ac:dyDescent="0.25">
      <c r="A21">
        <v>4</v>
      </c>
      <c r="B21" s="29">
        <v>66819</v>
      </c>
      <c r="C21" s="29">
        <v>7830</v>
      </c>
      <c r="D21" s="147">
        <v>0.45</v>
      </c>
      <c r="E21" s="41">
        <v>0.21060000000000001</v>
      </c>
      <c r="F21" s="29">
        <v>8890</v>
      </c>
      <c r="G21" s="29">
        <f t="shared" si="0"/>
        <v>16610</v>
      </c>
    </row>
    <row r="22" spans="1:7" x14ac:dyDescent="0.25">
      <c r="A22">
        <v>5</v>
      </c>
      <c r="B22" s="29">
        <v>66819</v>
      </c>
      <c r="C22" s="29">
        <v>7830</v>
      </c>
      <c r="D22" s="147">
        <v>0.45</v>
      </c>
      <c r="E22" s="41">
        <v>0.21060000000000001</v>
      </c>
      <c r="F22" s="29">
        <v>8890</v>
      </c>
      <c r="G22" s="29">
        <f t="shared" si="0"/>
        <v>16610</v>
      </c>
    </row>
    <row r="23" spans="1:7" x14ac:dyDescent="0.25">
      <c r="A23">
        <v>6</v>
      </c>
      <c r="B23" s="29">
        <v>66819</v>
      </c>
      <c r="C23" s="29">
        <v>7830</v>
      </c>
      <c r="D23" s="147">
        <v>0.45</v>
      </c>
      <c r="E23" s="41">
        <v>0.21060000000000001</v>
      </c>
      <c r="F23" s="29">
        <v>8890</v>
      </c>
      <c r="G23" s="29">
        <f t="shared" si="0"/>
        <v>16610</v>
      </c>
    </row>
    <row r="24" spans="1:7" x14ac:dyDescent="0.25">
      <c r="A24">
        <v>7</v>
      </c>
      <c r="B24" s="29">
        <v>66819</v>
      </c>
      <c r="C24" s="29">
        <v>7830</v>
      </c>
      <c r="D24" s="147">
        <v>0.45</v>
      </c>
      <c r="E24" s="41">
        <v>0.21060000000000001</v>
      </c>
      <c r="F24" s="29">
        <v>8890</v>
      </c>
      <c r="G24" s="29">
        <f t="shared" si="0"/>
        <v>16610</v>
      </c>
    </row>
  </sheetData>
  <sheetProtection algorithmName="SHA-512" hashValue="nSoR8Ais6slRmNqVxQx0nUj3t8zi5yozIL2EkfswTqsUwax9Xoj9o/AiPvqaZTUU3Hr3T4rtlPqx/Wr3L0Msxw==" saltValue="3OIjRGLY2vqGp01mmlXWhw==" spinCount="100000" sheet="1" objects="1" scenarios="1"/>
  <mergeCells count="1">
    <mergeCell ref="A2:C2"/>
  </mergeCells>
  <pageMargins left="0.7" right="0.7" top="0.75" bottom="0.75" header="0.3" footer="0.3"/>
</worksheet>
</file>

<file path=xl/worksheets/sheet2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4EB1543-37C7-4B4F-9AC8-04B1556A0DE0}">
  <sheetPr codeName="Sheet14"/>
  <dimension ref="A1:B36"/>
  <sheetViews>
    <sheetView workbookViewId="0">
      <selection activeCell="M15" sqref="M15"/>
    </sheetView>
  </sheetViews>
  <sheetFormatPr defaultRowHeight="15" x14ac:dyDescent="0.25"/>
  <cols>
    <col min="1" max="1" width="55" customWidth="1"/>
  </cols>
  <sheetData>
    <row r="1" spans="1:2" x14ac:dyDescent="0.25">
      <c r="A1" s="81" t="s">
        <v>701</v>
      </c>
    </row>
    <row r="2" spans="1:2" x14ac:dyDescent="0.25">
      <c r="A2" t="s">
        <v>637</v>
      </c>
      <c r="B2" t="s">
        <v>734</v>
      </c>
    </row>
    <row r="3" spans="1:2" x14ac:dyDescent="0.25">
      <c r="A3" t="s">
        <v>706</v>
      </c>
      <c r="B3" t="s">
        <v>707</v>
      </c>
    </row>
    <row r="4" spans="1:2" x14ac:dyDescent="0.25">
      <c r="A4" t="s">
        <v>703</v>
      </c>
      <c r="B4" t="s">
        <v>704</v>
      </c>
    </row>
    <row r="5" spans="1:2" x14ac:dyDescent="0.25">
      <c r="A5" t="s">
        <v>642</v>
      </c>
      <c r="B5" s="299" t="s">
        <v>711</v>
      </c>
    </row>
    <row r="6" spans="1:2" x14ac:dyDescent="0.25">
      <c r="A6" t="s">
        <v>638</v>
      </c>
      <c r="B6" s="87" t="s">
        <v>714</v>
      </c>
    </row>
    <row r="7" spans="1:2" x14ac:dyDescent="0.25">
      <c r="A7" t="s">
        <v>716</v>
      </c>
      <c r="B7" s="87" t="s">
        <v>715</v>
      </c>
    </row>
    <row r="8" spans="1:2" x14ac:dyDescent="0.25">
      <c r="B8" s="87"/>
    </row>
    <row r="9" spans="1:2" x14ac:dyDescent="0.25">
      <c r="A9" s="81" t="s">
        <v>634</v>
      </c>
    </row>
    <row r="10" spans="1:2" x14ac:dyDescent="0.25">
      <c r="A10" t="s">
        <v>635</v>
      </c>
      <c r="B10" s="87" t="s">
        <v>636</v>
      </c>
    </row>
    <row r="11" spans="1:2" x14ac:dyDescent="0.25">
      <c r="A11" t="s">
        <v>712</v>
      </c>
      <c r="B11" t="s">
        <v>517</v>
      </c>
    </row>
    <row r="12" spans="1:2" x14ac:dyDescent="0.25">
      <c r="A12" t="s">
        <v>638</v>
      </c>
      <c r="B12" t="s">
        <v>551</v>
      </c>
    </row>
    <row r="13" spans="1:2" x14ac:dyDescent="0.25">
      <c r="A13" t="s">
        <v>639</v>
      </c>
      <c r="B13" t="s">
        <v>717</v>
      </c>
    </row>
    <row r="14" spans="1:2" x14ac:dyDescent="0.25">
      <c r="A14" t="s">
        <v>640</v>
      </c>
      <c r="B14" t="s">
        <v>717</v>
      </c>
    </row>
    <row r="15" spans="1:2" x14ac:dyDescent="0.25">
      <c r="A15" t="s">
        <v>641</v>
      </c>
      <c r="B15" t="s">
        <v>624</v>
      </c>
    </row>
    <row r="16" spans="1:2" x14ac:dyDescent="0.25">
      <c r="A16" t="s">
        <v>643</v>
      </c>
      <c r="B16" s="87" t="s">
        <v>560</v>
      </c>
    </row>
    <row r="17" spans="1:2" x14ac:dyDescent="0.25">
      <c r="A17" t="s">
        <v>710</v>
      </c>
      <c r="B17" s="87" t="s">
        <v>644</v>
      </c>
    </row>
    <row r="19" spans="1:2" x14ac:dyDescent="0.25">
      <c r="A19" s="81" t="s">
        <v>645</v>
      </c>
    </row>
    <row r="20" spans="1:2" x14ac:dyDescent="0.25">
      <c r="A20" t="s">
        <v>646</v>
      </c>
      <c r="B20" t="s">
        <v>647</v>
      </c>
    </row>
    <row r="21" spans="1:2" x14ac:dyDescent="0.25">
      <c r="A21" t="s">
        <v>648</v>
      </c>
      <c r="B21" s="87" t="s">
        <v>527</v>
      </c>
    </row>
    <row r="22" spans="1:2" x14ac:dyDescent="0.25">
      <c r="A22" t="s">
        <v>649</v>
      </c>
      <c r="B22" t="s">
        <v>650</v>
      </c>
    </row>
    <row r="24" spans="1:2" x14ac:dyDescent="0.25">
      <c r="A24" t="s">
        <v>651</v>
      </c>
      <c r="B24" t="s">
        <v>549</v>
      </c>
    </row>
    <row r="25" spans="1:2" x14ac:dyDescent="0.25">
      <c r="A25" t="s">
        <v>638</v>
      </c>
      <c r="B25" t="s">
        <v>652</v>
      </c>
    </row>
    <row r="26" spans="1:2" x14ac:dyDescent="0.25">
      <c r="A26" t="s">
        <v>653</v>
      </c>
      <c r="B26" s="87" t="s">
        <v>654</v>
      </c>
    </row>
    <row r="27" spans="1:2" x14ac:dyDescent="0.25">
      <c r="B27" s="87"/>
    </row>
    <row r="28" spans="1:2" x14ac:dyDescent="0.25">
      <c r="A28" s="81" t="s">
        <v>655</v>
      </c>
    </row>
    <row r="29" spans="1:2" x14ac:dyDescent="0.25">
      <c r="A29" t="s">
        <v>656</v>
      </c>
      <c r="B29" t="s">
        <v>530</v>
      </c>
    </row>
    <row r="31" spans="1:2" x14ac:dyDescent="0.25">
      <c r="A31" s="120">
        <v>2022</v>
      </c>
    </row>
    <row r="32" spans="1:2" x14ac:dyDescent="0.25">
      <c r="A32" t="s">
        <v>657</v>
      </c>
      <c r="B32" t="s">
        <v>537</v>
      </c>
    </row>
    <row r="33" spans="1:2" x14ac:dyDescent="0.25">
      <c r="A33" t="s">
        <v>658</v>
      </c>
      <c r="B33" t="s">
        <v>537</v>
      </c>
    </row>
    <row r="35" spans="1:2" x14ac:dyDescent="0.25">
      <c r="A35" s="120">
        <v>2019</v>
      </c>
    </row>
    <row r="36" spans="1:2" x14ac:dyDescent="0.25">
      <c r="A36" t="s">
        <v>659</v>
      </c>
      <c r="B36" t="s">
        <v>660</v>
      </c>
    </row>
  </sheetData>
  <hyperlinks>
    <hyperlink ref="B21" r:id="rId1" display="https://www.acf.hhs.gov/sites/default/files/documents/ocs/COMM_LIHEAP_IM 2024-02_Att4SMITable_0.pdf" xr:uid="{77A5D4A5-0317-4BD2-A519-36B58DC8E8B1}"/>
    <hyperlink ref="B26" r:id="rId2" display="https://emar-data-tools.shinyapps.io/prd_dashboard/" xr:uid="{E41979AE-30C4-4A4C-B61A-B49A7A3FE5F8}"/>
    <hyperlink ref="B16" r:id="rId3" display="https://www.ssa.gov/pubs/EN-05-11002.pdf" xr:uid="{7DA25233-93BC-4D37-986C-B023FCA7462F}"/>
    <hyperlink ref="B17" r:id="rId4" location="data_2025" display="https://www.huduser.gov/portal/datasets/il.html - data_2025" xr:uid="{19FE3F02-2E77-48EA-8F72-564AA03528F5}"/>
    <hyperlink ref="B5" r:id="rId5" xr:uid="{89CF513C-53CF-438C-B8CA-5CD6A1659A90}"/>
    <hyperlink ref="B6" r:id="rId6" display="https://www.vdh.virginia.gov/wic-participants/new-participants/" xr:uid="{E0B35857-EB2A-4259-8BFF-657830E870B1}"/>
    <hyperlink ref="B7" r:id="rId7" display="https://www.vdh.virginia.gov/content/uploads/sites/42/2025/07/CRT-05.2.6.pdf" xr:uid="{606A7DD7-09F7-418A-B697-D0A227E26F4D}"/>
  </hyperlinks>
  <pageMargins left="0.7" right="0.7" top="0.75" bottom="0.75" header="0.3" footer="0.3"/>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_rels/item4.xml.rels><?xml version="1.0" encoding="UTF-8" standalone="yes"?>
<Relationships xmlns="http://schemas.openxmlformats.org/package/2006/relationships"><Relationship Id="rId1" Type="http://schemas.openxmlformats.org/officeDocument/2006/relationships/customXmlProps" Target="itemProps4.xml"/></Relationships>
</file>

<file path=customXml/item1.xml><?xml version="1.0" encoding="utf-8"?>
<?mso-contentType ?>
<FormTemplates xmlns="http://schemas.microsoft.com/sharepoint/v3/contenttype/forms">
  <Display>DocumentLibraryForm</Display>
  <Edit>DocumentLibraryForm</Edit>
  <New>DocumentLibraryForm</New>
</FormTemplates>
</file>

<file path=customXml/item2.xml><?xml version="1.0" encoding="utf-8"?>
<ct:contentTypeSchema xmlns:ct="http://schemas.microsoft.com/office/2006/metadata/contentType" xmlns:ma="http://schemas.microsoft.com/office/2006/metadata/properties/metaAttributes" ct:_="" ma:_="" ma:contentTypeName="Document" ma:contentTypeID="0x010100585A89831B6B74469AFCBE992AB2FB09" ma:contentTypeVersion="13" ma:contentTypeDescription="Create a new document." ma:contentTypeScope="" ma:versionID="98cf32b5815ea1e64f30da403806c173">
  <xsd:schema xmlns:xsd="http://www.w3.org/2001/XMLSchema" xmlns:xs="http://www.w3.org/2001/XMLSchema" xmlns:p="http://schemas.microsoft.com/office/2006/metadata/properties" xmlns:ns2="4b561981-8736-4273-a997-80bc49db1fac" xmlns:ns3="ad3a9af3-9667-4aa1-8187-bd39677796e5" targetNamespace="http://schemas.microsoft.com/office/2006/metadata/properties" ma:root="true" ma:fieldsID="d090d2d8b3459abb5099c1f9233ef92c" ns2:_="" ns3:_="">
    <xsd:import namespace="4b561981-8736-4273-a997-80bc49db1fac"/>
    <xsd:import namespace="ad3a9af3-9667-4aa1-8187-bd39677796e5"/>
    <xsd:element name="properties">
      <xsd:complexType>
        <xsd:sequence>
          <xsd:element name="documentManagement">
            <xsd:complexType>
              <xsd:all>
                <xsd:element ref="ns2:MediaServiceMetadata" minOccurs="0"/>
                <xsd:element ref="ns2:MediaServiceFastMetadata" minOccurs="0"/>
                <xsd:element ref="ns2:lcf76f155ced4ddcb4097134ff3c332f" minOccurs="0"/>
                <xsd:element ref="ns2:MediaServiceOCR" minOccurs="0"/>
                <xsd:element ref="ns2:MediaServiceGenerationTime" minOccurs="0"/>
                <xsd:element ref="ns2:MediaServiceEventHashCode" minOccurs="0"/>
                <xsd:element ref="ns3:SharedWithUsers" minOccurs="0"/>
                <xsd:element ref="ns3:SharedWithDetails" minOccurs="0"/>
                <xsd:element ref="ns2:MediaServiceDateTaken" minOccurs="0"/>
                <xsd:element ref="ns2:MediaLengthInSeconds" minOccurs="0"/>
                <xsd:element ref="ns2:MediaServiceObjectDetectorVersions" minOccurs="0"/>
                <xsd:element ref="ns2:MediaServiceSearchProperties" minOccurs="0"/>
              </xsd:all>
            </xsd:complexType>
          </xsd:element>
        </xsd:sequence>
      </xsd:complexType>
    </xsd:element>
  </xsd:schema>
  <xsd:schema xmlns:xsd="http://www.w3.org/2001/XMLSchema" xmlns:xs="http://www.w3.org/2001/XMLSchema" xmlns:dms="http://schemas.microsoft.com/office/2006/documentManagement/types" xmlns:pc="http://schemas.microsoft.com/office/infopath/2007/PartnerControls" targetNamespace="4b561981-8736-4273-a997-80bc49db1fac" elementFormDefault="qualified">
    <xsd:import namespace="http://schemas.microsoft.com/office/2006/documentManagement/types"/>
    <xsd:import namespace="http://schemas.microsoft.com/office/infopath/2007/PartnerControls"/>
    <xsd:element name="MediaServiceMetadata" ma:index="8" nillable="true" ma:displayName="MediaServiceMetadata" ma:hidden="true" ma:internalName="MediaServiceMetadata" ma:readOnly="true">
      <xsd:simpleType>
        <xsd:restriction base="dms:Note"/>
      </xsd:simpleType>
    </xsd:element>
    <xsd:element name="MediaServiceFastMetadata" ma:index="9" nillable="true" ma:displayName="MediaServiceFastMetadata" ma:hidden="true" ma:internalName="MediaServiceFastMetadata" ma:readOnly="true">
      <xsd:simpleType>
        <xsd:restriction base="dms:Note"/>
      </xsd:simpleType>
    </xsd:element>
    <xsd:element name="lcf76f155ced4ddcb4097134ff3c332f" ma:index="11" nillable="true" ma:taxonomy="true" ma:internalName="lcf76f155ced4ddcb4097134ff3c332f" ma:taxonomyFieldName="MediaServiceImageTags" ma:displayName="Image Tags" ma:readOnly="false" ma:fieldId="{5cf76f15-5ced-4ddc-b409-7134ff3c332f}" ma:taxonomyMulti="true" ma:sspId="0920e099-540f-4e49-b54d-0e500676ccfd" ma:termSetId="09814cd3-568e-fe90-9814-8d621ff8fb84" ma:anchorId="fba54fb3-c3e1-fe81-a776-ca4b69148c4d" ma:open="true" ma:isKeyword="false">
      <xsd:complexType>
        <xsd:sequence>
          <xsd:element ref="pc:Terms" minOccurs="0" maxOccurs="1"/>
        </xsd:sequence>
      </xsd:complexType>
    </xsd:element>
    <xsd:element name="MediaServiceOCR" ma:index="12" nillable="true" ma:displayName="Extracted Text" ma:internalName="MediaServiceOCR" ma:readOnly="true">
      <xsd:simpleType>
        <xsd:restriction base="dms:Note">
          <xsd:maxLength value="255"/>
        </xsd:restriction>
      </xsd:simpleType>
    </xsd:element>
    <xsd:element name="MediaServiceGenerationTime" ma:index="13" nillable="true" ma:displayName="MediaServiceGenerationTime" ma:hidden="true" ma:internalName="MediaServiceGenerationTime" ma:readOnly="true">
      <xsd:simpleType>
        <xsd:restriction base="dms:Text"/>
      </xsd:simpleType>
    </xsd:element>
    <xsd:element name="MediaServiceEventHashCode" ma:index="14" nillable="true" ma:displayName="MediaServiceEventHashCode" ma:hidden="true" ma:internalName="MediaServiceEventHashCode" ma:readOnly="true">
      <xsd:simpleType>
        <xsd:restriction base="dms:Text"/>
      </xsd:simpleType>
    </xsd:element>
    <xsd:element name="MediaServiceDateTaken" ma:index="17" nillable="true" ma:displayName="MediaServiceDateTaken" ma:hidden="true" ma:indexed="true" ma:internalName="MediaServiceDateTaken" ma:readOnly="true">
      <xsd:simpleType>
        <xsd:restriction base="dms:Text"/>
      </xsd:simpleType>
    </xsd:element>
    <xsd:element name="MediaLengthInSeconds" ma:index="18" nillable="true" ma:displayName="MediaLengthInSeconds" ma:hidden="true" ma:internalName="MediaLengthInSeconds" ma:readOnly="true">
      <xsd:simpleType>
        <xsd:restriction base="dms:Unknown"/>
      </xsd:simpleType>
    </xsd:element>
    <xsd:element name="MediaServiceObjectDetectorVersions" ma:index="19" nillable="true" ma:displayName="MediaServiceObjectDetectorVersions" ma:hidden="true" ma:indexed="true" ma:internalName="MediaServiceObjectDetectorVersions" ma:readOnly="true">
      <xsd:simpleType>
        <xsd:restriction base="dms:Text"/>
      </xsd:simpleType>
    </xsd:element>
    <xsd:element name="MediaServiceSearchProperties" ma:index="20" nillable="true" ma:displayName="MediaServiceSearchProperties" ma:hidden="true" ma:internalName="MediaServiceSearchProperties" ma:readOnly="true">
      <xsd:simpleType>
        <xsd:restriction base="dms:Note"/>
      </xsd:simpleType>
    </xsd:element>
  </xsd:schema>
  <xsd:schema xmlns:xsd="http://www.w3.org/2001/XMLSchema" xmlns:xs="http://www.w3.org/2001/XMLSchema" xmlns:dms="http://schemas.microsoft.com/office/2006/documentManagement/types" xmlns:pc="http://schemas.microsoft.com/office/infopath/2007/PartnerControls" targetNamespace="ad3a9af3-9667-4aa1-8187-bd39677796e5" elementFormDefault="qualified">
    <xsd:import namespace="http://schemas.microsoft.com/office/2006/documentManagement/types"/>
    <xsd:import namespace="http://schemas.microsoft.com/office/infopath/2007/PartnerControls"/>
    <xsd:element name="SharedWithUsers" ma:index="15" nillable="true" ma:displayName="Shared With" ma:internalName="SharedWithUsers" ma:readOnly="true">
      <xsd:complexType>
        <xsd:complexContent>
          <xsd:extension base="dms:UserMulti">
            <xsd:sequence>
              <xsd:element name="UserInfo" minOccurs="0" maxOccurs="unbounded">
                <xsd:complexType>
                  <xsd:sequence>
                    <xsd:element name="DisplayName" type="xsd:string" minOccurs="0"/>
                    <xsd:element name="AccountId" type="dms:UserId" minOccurs="0" nillable="true"/>
                    <xsd:element name="AccountType" type="xsd:string" minOccurs="0"/>
                  </xsd:sequence>
                </xsd:complexType>
              </xsd:element>
            </xsd:sequence>
          </xsd:extension>
        </xsd:complexContent>
      </xsd:complexType>
    </xsd:element>
    <xsd:element name="SharedWithDetails" ma:index="16" nillable="true" ma:displayName="Shared With Details" ma:internalName="SharedWithDetails" ma:readOnly="true">
      <xsd:simpleType>
        <xsd:restriction base="dms:Note">
          <xsd:maxLength value="255"/>
        </xsd:restriction>
      </xsd:simpleType>
    </xsd:element>
  </xsd:schema>
  <xsd:schema xmlns="http://schemas.openxmlformats.org/package/2006/metadata/core-properties" xmlns:xsd="http://www.w3.org/2001/XMLSchema" xmlns:xsi="http://www.w3.org/2001/XMLSchema-instance" xmlns:dc="http://purl.org/dc/elements/1.1/" xmlns:dcterms="http://purl.org/dc/terms/" xmlns:odoc="http://schemas.microsoft.com/internal/obd" targetNamespace="http://schemas.openxmlformats.org/package/2006/metadata/core-properties" elementFormDefault="qualified" attributeFormDefault="unqualified" blockDefault="#all">
    <xsd:import namespace="http://purl.org/dc/elements/1.1/" schemaLocation="http://dublincore.org/schemas/xmls/qdc/2003/04/02/dc.xsd"/>
    <xsd:import namespace="http://purl.org/dc/terms/" schemaLocation="http://dublincore.org/schemas/xmls/qdc/2003/04/02/dcterms.xsd"/>
    <xsd:element name="coreProperties" type="CT_coreProperties"/>
    <xsd:complexType name="CT_coreProperties">
      <xsd:all>
        <xsd:element ref="dc:creator" minOccurs="0" maxOccurs="1"/>
        <xsd:element ref="dcterms:created" minOccurs="0" maxOccurs="1"/>
        <xsd:element ref="dc:identifier" minOccurs="0" maxOccurs="1"/>
        <xsd:element name="contentType" minOccurs="0" maxOccurs="1" type="xsd:string" ma:index="0" ma:displayName="Content Type"/>
        <xsd:element ref="dc:title" minOccurs="0" maxOccurs="1" ma:index="4" ma:displayName="Title"/>
        <xsd:element ref="dc:subject" minOccurs="0" maxOccurs="1"/>
        <xsd:element ref="dc:description" minOccurs="0" maxOccurs="1"/>
        <xsd:element name="keywords" minOccurs="0" maxOccurs="1" type="xsd:string"/>
        <xsd:element ref="dc:language" minOccurs="0" maxOccurs="1"/>
        <xsd:element name="category" minOccurs="0" maxOccurs="1" type="xsd:string"/>
        <xsd:element name="version" minOccurs="0" maxOccurs="1" type="xsd:string"/>
        <xsd:element name="revision" minOccurs="0" maxOccurs="1" type="xsd:string">
          <xsd:annotation>
            <xsd:documentation>
                        This value indicates the number of saves or revisions. The application is responsible for updating this value after each revision.
                    </xsd:documentation>
          </xsd:annotation>
        </xsd:element>
        <xsd:element name="lastModifiedBy" minOccurs="0" maxOccurs="1" type="xsd:string"/>
        <xsd:element ref="dcterms:modified" minOccurs="0" maxOccurs="1"/>
        <xsd:element name="contentStatus" minOccurs="0" maxOccurs="1" type="xsd:string"/>
      </xsd:all>
    </xsd:complexType>
  </xsd:schema>
  <xs:schema xmlns:pc="http://schemas.microsoft.com/office/infopath/2007/PartnerControls" xmlns:xs="http://www.w3.org/2001/XMLSchema" targetNamespace="http://schemas.microsoft.com/office/infopath/2007/PartnerControls" elementFormDefault="qualified" attributeFormDefault="unqualified">
    <xs:element name="Person">
      <xs:complexType>
        <xs:sequence>
          <xs:element ref="pc:DisplayName" minOccurs="0"/>
          <xs:element ref="pc:AccountId" minOccurs="0"/>
          <xs:element ref="pc:AccountType" minOccurs="0"/>
        </xs:sequence>
      </xs:complexType>
    </xs:element>
    <xs:element name="DisplayName" type="xs:string"/>
    <xs:element name="AccountId" type="xs:string"/>
    <xs:element name="AccountType" type="xs:string"/>
    <xs:element name="BDCAssociatedEntity">
      <xs:complexType>
        <xs:sequence>
          <xs:element ref="pc:BDCEntity" minOccurs="0" maxOccurs="unbounded"/>
        </xs:sequence>
        <xs:attribute ref="pc:EntityNamespace"/>
        <xs:attribute ref="pc:EntityName"/>
        <xs:attribute ref="pc:SystemInstanceName"/>
        <xs:attribute ref="pc:AssociationName"/>
      </xs:complexType>
    </xs:element>
    <xs:attribute name="EntityNamespace" type="xs:string"/>
    <xs:attribute name="EntityName" type="xs:string"/>
    <xs:attribute name="SystemInstanceName" type="xs:string"/>
    <xs:attribute name="AssociationName" type="xs:string"/>
    <xs:element name="BDCEntity">
      <xs:complexType>
        <xs:sequence>
          <xs:element ref="pc:EntityDisplayName" minOccurs="0"/>
          <xs:element ref="pc:EntityInstanceReference" minOccurs="0"/>
          <xs:element ref="pc:EntityId1" minOccurs="0"/>
          <xs:element ref="pc:EntityId2" minOccurs="0"/>
          <xs:element ref="pc:EntityId3" minOccurs="0"/>
          <xs:element ref="pc:EntityId4" minOccurs="0"/>
          <xs:element ref="pc:EntityId5" minOccurs="0"/>
        </xs:sequence>
      </xs:complexType>
    </xs:element>
    <xs:element name="EntityDisplayName" type="xs:string"/>
    <xs:element name="EntityInstanceReference" type="xs:string"/>
    <xs:element name="EntityId1" type="xs:string"/>
    <xs:element name="EntityId2" type="xs:string"/>
    <xs:element name="EntityId3" type="xs:string"/>
    <xs:element name="EntityId4" type="xs:string"/>
    <xs:element name="EntityId5" type="xs:string"/>
    <xs:element name="Terms">
      <xs:complexType>
        <xs:sequence>
          <xs:element ref="pc:TermInfo" minOccurs="0" maxOccurs="unbounded"/>
        </xs:sequence>
      </xs:complexType>
    </xs:element>
    <xs:element name="TermInfo">
      <xs:complexType>
        <xs:sequence>
          <xs:element ref="pc:TermName" minOccurs="0"/>
          <xs:element ref="pc:TermId" minOccurs="0"/>
        </xs:sequence>
      </xs:complexType>
    </xs:element>
    <xs:element name="TermName" type="xs:string"/>
    <xs:element name="TermId" type="xs:string"/>
  </xs:schema>
</ct:contentTypeSchema>
</file>

<file path=customXml/item3.xml>��
</file>

<file path=customXml/item4.xml><?xml version="1.0" encoding="utf-8"?>
<p:properties xmlns:p="http://schemas.microsoft.com/office/2006/metadata/properties" xmlns:xsi="http://www.w3.org/2001/XMLSchema-instance" xmlns:pc="http://schemas.microsoft.com/office/infopath/2007/PartnerControls">
  <documentManagement>
    <lcf76f155ced4ddcb4097134ff3c332f xmlns="4b561981-8736-4273-a997-80bc49db1fac">
      <Terms xmlns="http://schemas.microsoft.com/office/infopath/2007/PartnerControls"/>
    </lcf76f155ced4ddcb4097134ff3c332f>
  </documentManagement>
</p:properties>
</file>

<file path=customXml/itemProps1.xml><?xml version="1.0" encoding="utf-8"?>
<ds:datastoreItem xmlns:ds="http://schemas.openxmlformats.org/officeDocument/2006/customXml" ds:itemID="{571E5E80-FDE6-4CE9-88AE-42E99444E8A9}">
  <ds:schemaRefs>
    <ds:schemaRef ds:uri="http://schemas.microsoft.com/sharepoint/v3/contenttype/forms"/>
  </ds:schemaRefs>
</ds:datastoreItem>
</file>

<file path=customXml/itemProps2.xml><?xml version="1.0" encoding="utf-8"?>
<ds:datastoreItem xmlns:ds="http://schemas.openxmlformats.org/officeDocument/2006/customXml" ds:itemID="{7DCB5C7B-073E-4130-81F6-053752D43307}">
  <ds:schemaRefs>
    <ds:schemaRef ds:uri="http://schemas.microsoft.com/office/2006/metadata/contentType"/>
    <ds:schemaRef ds:uri="http://schemas.microsoft.com/office/2006/metadata/properties/metaAttributes"/>
    <ds:schemaRef ds:uri="http://www.w3.org/2001/XMLSchema"/>
    <ds:schemaRef ds:uri="http://schemas.microsoft.com/office/2006/metadata/properties"/>
    <ds:schemaRef ds:uri="4b561981-8736-4273-a997-80bc49db1fac"/>
    <ds:schemaRef ds:uri="ad3a9af3-9667-4aa1-8187-bd39677796e5"/>
    <ds:schemaRef ds:uri="http://schemas.microsoft.com/office/2006/documentManagement/types"/>
    <ds:schemaRef ds:uri="http://schemas.microsoft.com/office/infopath/2007/PartnerControls"/>
    <ds:schemaRef ds:uri="http://schemas.openxmlformats.org/package/2006/metadata/core-properties"/>
    <ds:schemaRef ds:uri="http://purl.org/dc/elements/1.1/"/>
    <ds:schemaRef ds:uri="http://purl.org/dc/terms/"/>
    <ds:schemaRef ds:uri="http://schemas.microsoft.com/internal/obd"/>
  </ds:schemaRefs>
</ds:datastoreItem>
</file>

<file path=customXml/itemProps3.xml><?xml version="1.0" encoding="utf-8"?>
<ds:datastoreItem xmlns:ds="http://schemas.openxmlformats.org/officeDocument/2006/customXml" ds:itemID="{95751CE0-4718-470C-8FF7-4423FA27A85E}">
  <ds:schemaRefs>
    <ds:schemaRef ds:uri="http://schemas.microsoft.com/DataMashup"/>
  </ds:schemaRefs>
</ds:datastoreItem>
</file>

<file path=customXml/itemProps4.xml><?xml version="1.0" encoding="utf-8"?>
<ds:datastoreItem xmlns:ds="http://schemas.openxmlformats.org/officeDocument/2006/customXml" ds:itemID="{CA8E0EF8-89AC-47A5-BEED-AB183416CCD3}">
  <ds:schemaRefs>
    <ds:schemaRef ds:uri="http://schemas.openxmlformats.org/package/2006/metadata/core-properties"/>
    <ds:schemaRef ds:uri="http://schemas.microsoft.com/office/2006/documentManagement/types"/>
    <ds:schemaRef ds:uri="http://www.w3.org/XML/1998/namespace"/>
    <ds:schemaRef ds:uri="http://purl.org/dc/elements/1.1/"/>
    <ds:schemaRef ds:uri="http://purl.org/dc/dcmitype/"/>
    <ds:schemaRef ds:uri="http://schemas.microsoft.com/office/infopath/2007/PartnerControls"/>
    <ds:schemaRef ds:uri="ad3a9af3-9667-4aa1-8187-bd39677796e5"/>
    <ds:schemaRef ds:uri="4b561981-8736-4273-a997-80bc49db1fac"/>
    <ds:schemaRef ds:uri="http://schemas.microsoft.com/office/2006/metadata/properties"/>
    <ds:schemaRef ds:uri="http://purl.org/dc/terms/"/>
  </ds:schemaRefs>
</ds:datastoreItem>
</file>

<file path=docMetadata/LabelInfo.xml><?xml version="1.0" encoding="utf-8"?>
<clbl:labelList xmlns:clbl="http://schemas.microsoft.com/office/2020/mipLabelMetadata">
  <clbl:label id="{620ae5a9-4ec1-4fa0-8641-5d9f386c7309}" enabled="0" method="" siteId="{620ae5a9-4ec1-4fa0-8641-5d9f386c7309}" removed="1"/>
</clbl:labelLis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24</vt:i4>
      </vt:variant>
    </vt:vector>
  </HeadingPairs>
  <TitlesOfParts>
    <vt:vector size="24" baseType="lpstr">
      <vt:lpstr>Instructions</vt:lpstr>
      <vt:lpstr>Total income package</vt:lpstr>
      <vt:lpstr>Income conversions</vt:lpstr>
      <vt:lpstr>Use this for graphs</vt:lpstr>
      <vt:lpstr>Data validation</vt:lpstr>
      <vt:lpstr>Graphs</vt:lpstr>
      <vt:lpstr>Child care subsidy</vt:lpstr>
      <vt:lpstr>EITC</vt:lpstr>
      <vt:lpstr>Health insurance subsidy </vt:lpstr>
      <vt:lpstr>Housing Voucher</vt:lpstr>
      <vt:lpstr>Medicaid</vt:lpstr>
      <vt:lpstr>SNAP</vt:lpstr>
      <vt:lpstr>SSDI</vt:lpstr>
      <vt:lpstr>SSI</vt:lpstr>
      <vt:lpstr>Program specific data</vt:lpstr>
      <vt:lpstr>TANF-VIEW</vt:lpstr>
      <vt:lpstr>WIC</vt:lpstr>
      <vt:lpstr>Location specific data</vt:lpstr>
      <vt:lpstr>EITC Rates</vt:lpstr>
      <vt:lpstr>IRS income tax tables</vt:lpstr>
      <vt:lpstr>Payroll taxes</vt:lpstr>
      <vt:lpstr>SLCSP premiums</vt:lpstr>
      <vt:lpstr>EITC (2)</vt:lpstr>
      <vt:lpstr>Data years-sources</vt:lpstr>
    </vt:vector>
  </TitlesOfParts>
  <Manager/>
  <Company>VITA</Company>
  <LinksUpToDate>false</LinksUpToDate>
  <SharedDoc>false</SharedDoc>
  <HyperlinkBase/>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Lamm, Sandra (VDSS)</dc:creator>
  <cp:keywords/>
  <dc:description/>
  <cp:lastModifiedBy>Breakthrough Records</cp:lastModifiedBy>
  <cp:revision/>
  <dcterms:created xsi:type="dcterms:W3CDTF">2024-09-25T05:10:03Z</dcterms:created>
  <dcterms:modified xsi:type="dcterms:W3CDTF">2026-06-04T17:53:13Z</dcterms:modified>
  <cp:category/>
  <cp:contentStatus/>
</cp:coreProperties>
</file>

<file path=docProps/custom.xml><?xml version="1.0" encoding="utf-8"?>
<Properties xmlns="http://schemas.openxmlformats.org/officeDocument/2006/custom-properties" xmlns:vt="http://schemas.openxmlformats.org/officeDocument/2006/docPropsVTypes">
  <property fmtid="{D5CDD505-2E9C-101B-9397-08002B2CF9AE}" pid="2" name="ContentTypeId">
    <vt:lpwstr>0x010100585A89831B6B74469AFCBE992AB2FB09</vt:lpwstr>
  </property>
  <property fmtid="{D5CDD505-2E9C-101B-9397-08002B2CF9AE}" pid="3" name="MediaServiceImageTags">
    <vt:lpwstr/>
  </property>
  <property fmtid="{D5CDD505-2E9C-101B-9397-08002B2CF9AE}" pid="4" name="MSIP_Label_766b0589-5486-4fa4-9e2e-e6138c587d2b_Enabled">
    <vt:lpwstr>true</vt:lpwstr>
  </property>
  <property fmtid="{D5CDD505-2E9C-101B-9397-08002B2CF9AE}" pid="5" name="MSIP_Label_766b0589-5486-4fa4-9e2e-e6138c587d2b_SetDate">
    <vt:lpwstr>2026-05-11T22:34:26Z</vt:lpwstr>
  </property>
  <property fmtid="{D5CDD505-2E9C-101B-9397-08002B2CF9AE}" pid="6" name="MSIP_Label_766b0589-5486-4fa4-9e2e-e6138c587d2b_Method">
    <vt:lpwstr>Standard</vt:lpwstr>
  </property>
  <property fmtid="{D5CDD505-2E9C-101B-9397-08002B2CF9AE}" pid="7" name="MSIP_Label_766b0589-5486-4fa4-9e2e-e6138c587d2b_Name">
    <vt:lpwstr>defa4170-0d19-0005-0004-bc88714345d2</vt:lpwstr>
  </property>
  <property fmtid="{D5CDD505-2E9C-101B-9397-08002B2CF9AE}" pid="8" name="MSIP_Label_766b0589-5486-4fa4-9e2e-e6138c587d2b_SiteId">
    <vt:lpwstr>abca6162-bfa7-4526-9826-e7fb30c1fc2e</vt:lpwstr>
  </property>
  <property fmtid="{D5CDD505-2E9C-101B-9397-08002B2CF9AE}" pid="9" name="MSIP_Label_766b0589-5486-4fa4-9e2e-e6138c587d2b_ActionId">
    <vt:lpwstr>36914e88-9a7f-44d0-9ff5-3a6a6c73dd1f</vt:lpwstr>
  </property>
  <property fmtid="{D5CDD505-2E9C-101B-9397-08002B2CF9AE}" pid="10" name="MSIP_Label_766b0589-5486-4fa4-9e2e-e6138c587d2b_ContentBits">
    <vt:lpwstr>0</vt:lpwstr>
  </property>
  <property fmtid="{D5CDD505-2E9C-101B-9397-08002B2CF9AE}" pid="11" name="MSIP_Label_766b0589-5486-4fa4-9e2e-e6138c587d2b_Tag">
    <vt:lpwstr>10, 3, 0, 1</vt:lpwstr>
  </property>
</Properties>
</file>